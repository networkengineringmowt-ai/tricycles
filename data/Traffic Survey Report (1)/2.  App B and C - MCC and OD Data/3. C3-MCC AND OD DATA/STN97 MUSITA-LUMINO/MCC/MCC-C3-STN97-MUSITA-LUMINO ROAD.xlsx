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3 Analysis Complete\STN97 MUSITA-LUMINO\MCC\"/>
    </mc:Choice>
  </mc:AlternateContent>
  <xr:revisionPtr revIDLastSave="0" documentId="13_ncr:1_{6A52BDE1-9CEB-4B5B-A9C8-946164076A1F}" xr6:coauthVersionLast="45" xr6:coauthVersionMax="45" xr10:uidLastSave="{00000000-0000-0000-0000-000000000000}"/>
  <bookViews>
    <workbookView xWindow="-120" yWindow="-120" windowWidth="20730" windowHeight="11160" tabRatio="890" firstSheet="14" activeTab="16" xr2:uid="{00000000-000D-0000-FFFF-FFFF00000000}"/>
  </bookViews>
  <sheets>
    <sheet name="22.08 Musita-Lumino" sheetId="93" r:id="rId1"/>
    <sheet name="22.08 Lumino-Musita" sheetId="94" r:id="rId2"/>
    <sheet name="23.08 Musita-Lumino-24h" sheetId="101" r:id="rId3"/>
    <sheet name="23.08 Lumino-Musita-24h" sheetId="109" r:id="rId4"/>
    <sheet name="24.08 Musita-Lumino" sheetId="95" r:id="rId5"/>
    <sheet name="24.08 Lumino-Musita" sheetId="96" r:id="rId6"/>
    <sheet name="25.08 Musita-Lumino" sheetId="97" r:id="rId7"/>
    <sheet name="25.08 Lumino-Musita" sheetId="98" r:id="rId8"/>
    <sheet name="26.08 Musita-Lumino-24h" sheetId="105" r:id="rId9"/>
    <sheet name="26.08 Lumino-Musita-24h" sheetId="110" r:id="rId10"/>
    <sheet name="27.08 Musita-Lumino" sheetId="99" r:id="rId11"/>
    <sheet name="27.08 Lumino-Musita" sheetId="100" r:id="rId12"/>
    <sheet name="28.08Musita-Lumino" sheetId="103" r:id="rId13"/>
    <sheet name="28.08 Lumino-Musita" sheetId="104" r:id="rId14"/>
    <sheet name="Avg Week Musita-Lumino" sheetId="107" r:id="rId15"/>
    <sheet name="Avg Week Lumino-Musita" sheetId="108" r:id="rId16"/>
    <sheet name="Avg Week Lumino-Musita-2Dir" sheetId="111" r:id="rId17"/>
  </sheets>
  <definedNames>
    <definedName name="_xlnm.Print_Area" localSheetId="1">'22.08 Lumino-Musita'!$A$1:$AF$60</definedName>
    <definedName name="_xlnm.Print_Area" localSheetId="0">'22.08 Musita-Lumino'!$A$1:$AF$60</definedName>
    <definedName name="_xlnm.Print_Area" localSheetId="3">'23.08 Lumino-Musita-24h'!$A$1:$AF$108</definedName>
    <definedName name="_xlnm.Print_Area" localSheetId="2">'23.08 Musita-Lumino-24h'!$A$1:$AF$108</definedName>
    <definedName name="_xlnm.Print_Area" localSheetId="5">'24.08 Lumino-Musita'!$A$1:$AF$60</definedName>
    <definedName name="_xlnm.Print_Area" localSheetId="4">'24.08 Musita-Lumino'!$A$1:$AF$60</definedName>
    <definedName name="_xlnm.Print_Area" localSheetId="7">'25.08 Lumino-Musita'!$A$1:$AF$60</definedName>
    <definedName name="_xlnm.Print_Area" localSheetId="6">'25.08 Musita-Lumino'!$A$1:$AF$60</definedName>
    <definedName name="_xlnm.Print_Area" localSheetId="9">'26.08 Lumino-Musita-24h'!$A$1:$AF$108</definedName>
    <definedName name="_xlnm.Print_Area" localSheetId="8">'26.08 Musita-Lumino-24h'!$A$1:$AF$108</definedName>
    <definedName name="_xlnm.Print_Area" localSheetId="11">'27.08 Lumino-Musita'!$A$1:$AF$60</definedName>
    <definedName name="_xlnm.Print_Area" localSheetId="10">'27.08 Musita-Lumino'!$A$1:$AF$60</definedName>
    <definedName name="_xlnm.Print_Area" localSheetId="13">'28.08 Lumino-Musita'!$A$1:$AF$60</definedName>
    <definedName name="_xlnm.Print_Area" localSheetId="12">'28.08Musita-Lumino'!$A$1:$AF$60</definedName>
    <definedName name="_xlnm.Print_Area" localSheetId="15">'Avg Week Lumino-Musita'!$A$1:$AF$108</definedName>
    <definedName name="_xlnm.Print_Area" localSheetId="16">'Avg Week Lumino-Musita-2Dir'!$A$1:$AF$108</definedName>
    <definedName name="_xlnm.Print_Area" localSheetId="14">'Avg Week Musita-Lumino'!$A$1:$AF$108</definedName>
    <definedName name="_xlnm.Print_Titles" localSheetId="1">'22.08 Lumino-Musita'!$1:$8</definedName>
    <definedName name="_xlnm.Print_Titles" localSheetId="0">'22.08 Musita-Lumino'!$1:$8</definedName>
    <definedName name="_xlnm.Print_Titles" localSheetId="3">'23.08 Lumino-Musita-24h'!$1:$8</definedName>
    <definedName name="_xlnm.Print_Titles" localSheetId="2">'23.08 Musita-Lumino-24h'!$1:$8</definedName>
    <definedName name="_xlnm.Print_Titles" localSheetId="5">'24.08 Lumino-Musita'!$1:$8</definedName>
    <definedName name="_xlnm.Print_Titles" localSheetId="4">'24.08 Musita-Lumino'!$1:$8</definedName>
    <definedName name="_xlnm.Print_Titles" localSheetId="7">'25.08 Lumino-Musita'!$1:$8</definedName>
    <definedName name="_xlnm.Print_Titles" localSheetId="6">'25.08 Musita-Lumino'!$1:$8</definedName>
    <definedName name="_xlnm.Print_Titles" localSheetId="9">'26.08 Lumino-Musita-24h'!$1:$8</definedName>
    <definedName name="_xlnm.Print_Titles" localSheetId="8">'26.08 Musita-Lumino-24h'!$1:$8</definedName>
    <definedName name="_xlnm.Print_Titles" localSheetId="11">'27.08 Lumino-Musita'!$1:$8</definedName>
    <definedName name="_xlnm.Print_Titles" localSheetId="10">'27.08 Musita-Lumino'!$1:$8</definedName>
    <definedName name="_xlnm.Print_Titles" localSheetId="13">'28.08 Lumino-Musita'!$1:$8</definedName>
    <definedName name="_xlnm.Print_Titles" localSheetId="12">'28.08Musita-Lumino'!$1:$8</definedName>
    <definedName name="_xlnm.Print_Titles" localSheetId="15">'Avg Week Lumino-Musita'!$1:$8</definedName>
    <definedName name="_xlnm.Print_Titles" localSheetId="16">'Avg Week Lumino-Musita-2Dir'!$1:$8</definedName>
    <definedName name="_xlnm.Print_Titles" localSheetId="14">'Avg Week Musita-Lumino'!$1:$8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3" i="111" l="1"/>
  <c r="D79" i="111"/>
  <c r="M84" i="111"/>
  <c r="K90" i="111"/>
  <c r="O78" i="108"/>
  <c r="D58" i="108"/>
  <c r="E58" i="108"/>
  <c r="U22" i="108" s="1"/>
  <c r="F58" i="108"/>
  <c r="G58" i="108"/>
  <c r="H58" i="108"/>
  <c r="I58" i="108"/>
  <c r="J58" i="108"/>
  <c r="K58" i="108"/>
  <c r="L58" i="108"/>
  <c r="M58" i="108"/>
  <c r="AC22" i="108" s="1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Y23" i="108" s="1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U24" i="108" s="1"/>
  <c r="F66" i="108"/>
  <c r="G66" i="108"/>
  <c r="H66" i="108"/>
  <c r="I66" i="108"/>
  <c r="J66" i="108"/>
  <c r="K66" i="108"/>
  <c r="L66" i="108"/>
  <c r="M66" i="108"/>
  <c r="AC24" i="108" s="1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Y25" i="108" s="1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U26" i="108" s="1"/>
  <c r="F74" i="108"/>
  <c r="G74" i="108"/>
  <c r="H74" i="108"/>
  <c r="I74" i="108"/>
  <c r="J74" i="108"/>
  <c r="K74" i="108"/>
  <c r="AA26" i="108" s="1"/>
  <c r="L74" i="108"/>
  <c r="M74" i="108"/>
  <c r="AC26" i="108" s="1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Y27" i="108" s="1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U28" i="108" s="1"/>
  <c r="F82" i="108"/>
  <c r="G82" i="108"/>
  <c r="H82" i="108"/>
  <c r="I82" i="108"/>
  <c r="J82" i="108"/>
  <c r="K82" i="108"/>
  <c r="L82" i="108"/>
  <c r="M82" i="108"/>
  <c r="AC28" i="108" s="1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T29" i="108" s="1"/>
  <c r="E86" i="108"/>
  <c r="F86" i="108"/>
  <c r="G86" i="108"/>
  <c r="H86" i="108"/>
  <c r="I86" i="108"/>
  <c r="Y29" i="108" s="1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U30" i="108" s="1"/>
  <c r="F90" i="108"/>
  <c r="G90" i="108"/>
  <c r="H90" i="108"/>
  <c r="I90" i="108"/>
  <c r="J90" i="108"/>
  <c r="K90" i="108"/>
  <c r="L90" i="108"/>
  <c r="M90" i="108"/>
  <c r="AC30" i="108" s="1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Y31" i="108" s="1"/>
  <c r="J94" i="108"/>
  <c r="Z31" i="108" s="1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U32" i="108" s="1"/>
  <c r="F98" i="108"/>
  <c r="G98" i="108"/>
  <c r="H98" i="108"/>
  <c r="I98" i="108"/>
  <c r="J98" i="108"/>
  <c r="K98" i="108"/>
  <c r="L98" i="108"/>
  <c r="M98" i="108"/>
  <c r="AC32" i="108" s="1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Y33" i="108" s="1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P64" i="108" s="1"/>
  <c r="C65" i="108"/>
  <c r="C66" i="108"/>
  <c r="C67" i="108"/>
  <c r="C68" i="108"/>
  <c r="C69" i="108"/>
  <c r="C70" i="108"/>
  <c r="C71" i="108"/>
  <c r="C72" i="108"/>
  <c r="P72" i="108" s="1"/>
  <c r="C73" i="108"/>
  <c r="C74" i="108"/>
  <c r="C75" i="108"/>
  <c r="C76" i="108"/>
  <c r="C77" i="108"/>
  <c r="C78" i="108"/>
  <c r="C79" i="108"/>
  <c r="C80" i="108"/>
  <c r="P80" i="108" s="1"/>
  <c r="C81" i="108"/>
  <c r="C82" i="108"/>
  <c r="C83" i="108"/>
  <c r="C84" i="108"/>
  <c r="C85" i="108"/>
  <c r="C86" i="108"/>
  <c r="C87" i="108"/>
  <c r="C88" i="108"/>
  <c r="P88" i="108" s="1"/>
  <c r="C89" i="108"/>
  <c r="C90" i="108"/>
  <c r="C91" i="108"/>
  <c r="C92" i="108"/>
  <c r="P92" i="108" s="1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P58" i="108" s="1"/>
  <c r="D58" i="107"/>
  <c r="E58" i="107"/>
  <c r="F58" i="107"/>
  <c r="G58" i="107"/>
  <c r="H58" i="107"/>
  <c r="I58" i="107"/>
  <c r="I58" i="111" s="1"/>
  <c r="J58" i="107"/>
  <c r="K58" i="107"/>
  <c r="L58" i="107"/>
  <c r="M58" i="107"/>
  <c r="N58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M61" i="107"/>
  <c r="M61" i="111" s="1"/>
  <c r="N61" i="107"/>
  <c r="N61" i="111" s="1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D63" i="111" s="1"/>
  <c r="E63" i="107"/>
  <c r="E63" i="111" s="1"/>
  <c r="F63" i="107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M69" i="107"/>
  <c r="M69" i="111" s="1"/>
  <c r="N69" i="107"/>
  <c r="N69" i="111" s="1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D71" i="111" s="1"/>
  <c r="E71" i="107"/>
  <c r="E71" i="111" s="1"/>
  <c r="F71" i="107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G73" i="107"/>
  <c r="G73" i="111" s="1"/>
  <c r="H73" i="107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E74" i="107"/>
  <c r="F74" i="107"/>
  <c r="G74" i="107"/>
  <c r="H74" i="107"/>
  <c r="I74" i="107"/>
  <c r="J74" i="107"/>
  <c r="K74" i="107"/>
  <c r="K74" i="111" s="1"/>
  <c r="AA26" i="111" s="1"/>
  <c r="L74" i="107"/>
  <c r="M74" i="107"/>
  <c r="N74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M77" i="107"/>
  <c r="M77" i="111" s="1"/>
  <c r="N77" i="107"/>
  <c r="N77" i="111" s="1"/>
  <c r="D78" i="107"/>
  <c r="E78" i="107"/>
  <c r="F78" i="107"/>
  <c r="G78" i="107"/>
  <c r="G78" i="111" s="1"/>
  <c r="W27" i="111" s="1"/>
  <c r="H78" i="107"/>
  <c r="H78" i="111" s="1"/>
  <c r="I78" i="107"/>
  <c r="J78" i="107"/>
  <c r="K78" i="107"/>
  <c r="L78" i="107"/>
  <c r="M78" i="107"/>
  <c r="N78" i="107"/>
  <c r="D79" i="107"/>
  <c r="E79" i="107"/>
  <c r="E79" i="111" s="1"/>
  <c r="F79" i="107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E82" i="107"/>
  <c r="F82" i="107"/>
  <c r="G82" i="107"/>
  <c r="H82" i="107"/>
  <c r="I82" i="107"/>
  <c r="J82" i="107"/>
  <c r="K82" i="107"/>
  <c r="K82" i="111" s="1"/>
  <c r="AA28" i="111" s="1"/>
  <c r="L82" i="107"/>
  <c r="M82" i="107"/>
  <c r="N82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K83" i="107"/>
  <c r="K83" i="111" s="1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N84" i="107"/>
  <c r="N84" i="111" s="1"/>
  <c r="D85" i="107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M85" i="107"/>
  <c r="M85" i="111" s="1"/>
  <c r="N85" i="107"/>
  <c r="N85" i="111" s="1"/>
  <c r="D86" i="107"/>
  <c r="E86" i="107"/>
  <c r="F86" i="107"/>
  <c r="G86" i="107"/>
  <c r="G86" i="111" s="1"/>
  <c r="W29" i="111" s="1"/>
  <c r="H86" i="107"/>
  <c r="I86" i="107"/>
  <c r="J86" i="107"/>
  <c r="K86" i="107"/>
  <c r="L86" i="107"/>
  <c r="M86" i="107"/>
  <c r="N86" i="107"/>
  <c r="N86" i="111" s="1"/>
  <c r="D87" i="107"/>
  <c r="D87" i="111" s="1"/>
  <c r="E87" i="107"/>
  <c r="E87" i="111" s="1"/>
  <c r="F87" i="107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M93" i="107"/>
  <c r="M93" i="111" s="1"/>
  <c r="N93" i="107"/>
  <c r="N93" i="111" s="1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D95" i="111" s="1"/>
  <c r="E95" i="107"/>
  <c r="E95" i="111" s="1"/>
  <c r="F95" i="107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M101" i="107"/>
  <c r="M101" i="111" s="1"/>
  <c r="N101" i="107"/>
  <c r="N101" i="111" s="1"/>
  <c r="D102" i="107"/>
  <c r="E102" i="107"/>
  <c r="F102" i="107"/>
  <c r="G102" i="107"/>
  <c r="W33" i="107" s="1"/>
  <c r="H102" i="107"/>
  <c r="I102" i="107"/>
  <c r="J102" i="107"/>
  <c r="K102" i="107"/>
  <c r="L102" i="107"/>
  <c r="M102" i="107"/>
  <c r="N102" i="107"/>
  <c r="D103" i="107"/>
  <c r="D103" i="111" s="1"/>
  <c r="E103" i="107"/>
  <c r="E103" i="111" s="1"/>
  <c r="F103" i="107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O70" i="107" s="1"/>
  <c r="C71" i="107"/>
  <c r="C72" i="107"/>
  <c r="C73" i="107"/>
  <c r="C74" i="107"/>
  <c r="O74" i="107" s="1"/>
  <c r="C75" i="107"/>
  <c r="C76" i="107"/>
  <c r="C77" i="107"/>
  <c r="C78" i="107"/>
  <c r="C79" i="107"/>
  <c r="C80" i="107"/>
  <c r="C81" i="107"/>
  <c r="C82" i="107"/>
  <c r="C82" i="111" s="1"/>
  <c r="C83" i="107"/>
  <c r="C84" i="107"/>
  <c r="C85" i="107"/>
  <c r="C86" i="107"/>
  <c r="O86" i="107" s="1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O58" i="107" s="1"/>
  <c r="S31" i="107" l="1"/>
  <c r="C94" i="111"/>
  <c r="P94" i="107"/>
  <c r="S23" i="107"/>
  <c r="C62" i="111"/>
  <c r="P62" i="107"/>
  <c r="AA33" i="107"/>
  <c r="K102" i="111"/>
  <c r="G98" i="111"/>
  <c r="W32" i="111" s="1"/>
  <c r="W32" i="107"/>
  <c r="S30" i="107"/>
  <c r="P90" i="107"/>
  <c r="C90" i="111"/>
  <c r="AA32" i="107"/>
  <c r="K98" i="111"/>
  <c r="AA32" i="111" s="1"/>
  <c r="P76" i="108"/>
  <c r="O76" i="108"/>
  <c r="C97" i="111"/>
  <c r="P97" i="107"/>
  <c r="O97" i="107"/>
  <c r="C81" i="111"/>
  <c r="P81" i="107"/>
  <c r="O81" i="107"/>
  <c r="C104" i="111"/>
  <c r="P104" i="107"/>
  <c r="O104" i="107"/>
  <c r="C88" i="111"/>
  <c r="P88" i="107"/>
  <c r="O88" i="107"/>
  <c r="C64" i="111"/>
  <c r="P64" i="107"/>
  <c r="O64" i="107"/>
  <c r="U33" i="107"/>
  <c r="E102" i="111"/>
  <c r="U33" i="111" s="1"/>
  <c r="Y32" i="107"/>
  <c r="I98" i="111"/>
  <c r="Y32" i="111" s="1"/>
  <c r="AC31" i="107"/>
  <c r="M94" i="111"/>
  <c r="AC31" i="111" s="1"/>
  <c r="U31" i="107"/>
  <c r="E94" i="111"/>
  <c r="U31" i="111" s="1"/>
  <c r="O90" i="108"/>
  <c r="P82" i="108"/>
  <c r="P74" i="108"/>
  <c r="P66" i="108"/>
  <c r="O70" i="108"/>
  <c r="S32" i="107"/>
  <c r="P98" i="107"/>
  <c r="C98" i="111"/>
  <c r="S32" i="111" s="1"/>
  <c r="S24" i="107"/>
  <c r="C66" i="111"/>
  <c r="P66" i="107"/>
  <c r="P84" i="108"/>
  <c r="O84" i="108"/>
  <c r="C89" i="111"/>
  <c r="P89" i="107"/>
  <c r="O89" i="107"/>
  <c r="C65" i="111"/>
  <c r="P65" i="107"/>
  <c r="O65" i="107"/>
  <c r="C96" i="111"/>
  <c r="P96" i="107"/>
  <c r="O96" i="107"/>
  <c r="C80" i="111"/>
  <c r="P80" i="107"/>
  <c r="O80" i="107"/>
  <c r="C72" i="111"/>
  <c r="P72" i="107"/>
  <c r="O72" i="107"/>
  <c r="AC33" i="107"/>
  <c r="M102" i="111"/>
  <c r="AC33" i="111" s="1"/>
  <c r="C103" i="111"/>
  <c r="P103" i="107"/>
  <c r="O103" i="107"/>
  <c r="C95" i="111"/>
  <c r="P95" i="107"/>
  <c r="O95" i="107"/>
  <c r="C87" i="111"/>
  <c r="P87" i="107"/>
  <c r="O87" i="107"/>
  <c r="AE29" i="107" s="1"/>
  <c r="C79" i="111"/>
  <c r="P79" i="111" s="1"/>
  <c r="P79" i="107"/>
  <c r="O79" i="107"/>
  <c r="C71" i="111"/>
  <c r="P71" i="107"/>
  <c r="O71" i="107"/>
  <c r="AE25" i="107" s="1"/>
  <c r="C63" i="111"/>
  <c r="P63" i="107"/>
  <c r="O63" i="107"/>
  <c r="AB33" i="107"/>
  <c r="L102" i="111"/>
  <c r="AB33" i="111" s="1"/>
  <c r="T33" i="107"/>
  <c r="D102" i="111"/>
  <c r="T33" i="111" s="1"/>
  <c r="P81" i="108"/>
  <c r="P73" i="108"/>
  <c r="P65" i="108"/>
  <c r="O90" i="107"/>
  <c r="O74" i="108"/>
  <c r="AA30" i="111"/>
  <c r="C102" i="111"/>
  <c r="S33" i="107"/>
  <c r="P102" i="107"/>
  <c r="AA23" i="107"/>
  <c r="K62" i="111"/>
  <c r="O62" i="107"/>
  <c r="AE23" i="107" s="1"/>
  <c r="O94" i="107"/>
  <c r="AE31" i="107" s="1"/>
  <c r="C93" i="111"/>
  <c r="P93" i="107"/>
  <c r="O93" i="107"/>
  <c r="C77" i="111"/>
  <c r="P77" i="107"/>
  <c r="O77" i="107"/>
  <c r="C69" i="111"/>
  <c r="P69" i="111" s="1"/>
  <c r="P69" i="107"/>
  <c r="O69" i="107"/>
  <c r="C61" i="111"/>
  <c r="P61" i="107"/>
  <c r="O61" i="107"/>
  <c r="J102" i="111"/>
  <c r="Z33" i="111" s="1"/>
  <c r="Z33" i="107"/>
  <c r="AD32" i="107"/>
  <c r="N98" i="111"/>
  <c r="AD32" i="111" s="1"/>
  <c r="F98" i="111"/>
  <c r="V32" i="111" s="1"/>
  <c r="V32" i="107"/>
  <c r="Z31" i="107"/>
  <c r="J94" i="111"/>
  <c r="Z31" i="111" s="1"/>
  <c r="AD30" i="107"/>
  <c r="N90" i="111"/>
  <c r="AD30" i="111" s="1"/>
  <c r="P87" i="108"/>
  <c r="P79" i="108"/>
  <c r="P71" i="108"/>
  <c r="P63" i="108"/>
  <c r="O66" i="107"/>
  <c r="O98" i="107"/>
  <c r="O82" i="108"/>
  <c r="S29" i="107"/>
  <c r="C86" i="111"/>
  <c r="S29" i="111" s="1"/>
  <c r="P86" i="107"/>
  <c r="AF29" i="107" s="1"/>
  <c r="W30" i="107"/>
  <c r="G90" i="111"/>
  <c r="AA29" i="107"/>
  <c r="K86" i="111"/>
  <c r="W28" i="107"/>
  <c r="G82" i="111"/>
  <c r="AA27" i="107"/>
  <c r="K78" i="111"/>
  <c r="W22" i="107"/>
  <c r="G58" i="111"/>
  <c r="C101" i="111"/>
  <c r="P101" i="107"/>
  <c r="O101" i="107"/>
  <c r="C85" i="111"/>
  <c r="P85" i="111" s="1"/>
  <c r="P85" i="107"/>
  <c r="O85" i="107"/>
  <c r="C100" i="111"/>
  <c r="P100" i="107"/>
  <c r="O100" i="107"/>
  <c r="C92" i="111"/>
  <c r="P92" i="107"/>
  <c r="O92" i="107"/>
  <c r="C84" i="111"/>
  <c r="P84" i="107"/>
  <c r="O84" i="107"/>
  <c r="C76" i="111"/>
  <c r="P76" i="107"/>
  <c r="O76" i="107"/>
  <c r="C68" i="111"/>
  <c r="P68" i="107"/>
  <c r="O68" i="107"/>
  <c r="C60" i="111"/>
  <c r="P60" i="107"/>
  <c r="O60" i="107"/>
  <c r="H105" i="111"/>
  <c r="K104" i="111"/>
  <c r="N103" i="111"/>
  <c r="F103" i="111"/>
  <c r="O103" i="111" s="1"/>
  <c r="I102" i="111"/>
  <c r="Y33" i="111" s="1"/>
  <c r="Y33" i="107"/>
  <c r="L101" i="111"/>
  <c r="D101" i="111"/>
  <c r="G100" i="111"/>
  <c r="J99" i="111"/>
  <c r="AC32" i="107"/>
  <c r="M98" i="111"/>
  <c r="AC32" i="111" s="1"/>
  <c r="U32" i="107"/>
  <c r="E98" i="111"/>
  <c r="U32" i="111" s="1"/>
  <c r="H97" i="111"/>
  <c r="K96" i="111"/>
  <c r="N95" i="111"/>
  <c r="F95" i="111"/>
  <c r="Y31" i="107"/>
  <c r="I94" i="111"/>
  <c r="Y31" i="111" s="1"/>
  <c r="L93" i="111"/>
  <c r="D93" i="111"/>
  <c r="G92" i="111"/>
  <c r="J91" i="111"/>
  <c r="AC30" i="107"/>
  <c r="M90" i="111"/>
  <c r="AC30" i="111" s="1"/>
  <c r="U30" i="107"/>
  <c r="E90" i="111"/>
  <c r="U30" i="111" s="1"/>
  <c r="H89" i="111"/>
  <c r="O102" i="107"/>
  <c r="P86" i="108"/>
  <c r="S27" i="107"/>
  <c r="C78" i="111"/>
  <c r="P78" i="107"/>
  <c r="W26" i="107"/>
  <c r="G74" i="111"/>
  <c r="W26" i="111" s="1"/>
  <c r="AA25" i="107"/>
  <c r="K70" i="111"/>
  <c r="W24" i="107"/>
  <c r="G66" i="111"/>
  <c r="C99" i="111"/>
  <c r="P99" i="111" s="1"/>
  <c r="P99" i="107"/>
  <c r="O99" i="107"/>
  <c r="C91" i="111"/>
  <c r="P91" i="111" s="1"/>
  <c r="P91" i="107"/>
  <c r="O91" i="107"/>
  <c r="C83" i="111"/>
  <c r="P83" i="107"/>
  <c r="O83" i="107"/>
  <c r="C75" i="111"/>
  <c r="P75" i="107"/>
  <c r="O75" i="107"/>
  <c r="AE26" i="107" s="1"/>
  <c r="C67" i="111"/>
  <c r="P67" i="107"/>
  <c r="O67" i="107"/>
  <c r="C59" i="111"/>
  <c r="P59" i="107"/>
  <c r="O59" i="107"/>
  <c r="AE22" i="107" s="1"/>
  <c r="X33" i="107"/>
  <c r="H102" i="111"/>
  <c r="X33" i="111" s="1"/>
  <c r="AB32" i="107"/>
  <c r="L98" i="111"/>
  <c r="AB32" i="111" s="1"/>
  <c r="T32" i="107"/>
  <c r="D98" i="111"/>
  <c r="T32" i="111" s="1"/>
  <c r="X31" i="107"/>
  <c r="H94" i="111"/>
  <c r="X31" i="111" s="1"/>
  <c r="AB30" i="107"/>
  <c r="L90" i="111"/>
  <c r="AB30" i="111" s="1"/>
  <c r="T30" i="107"/>
  <c r="D90" i="111"/>
  <c r="T30" i="111" s="1"/>
  <c r="X29" i="107"/>
  <c r="H86" i="111"/>
  <c r="O85" i="108"/>
  <c r="P77" i="108"/>
  <c r="P69" i="108"/>
  <c r="P61" i="108"/>
  <c r="AF22" i="108" s="1"/>
  <c r="O58" i="108"/>
  <c r="O92" i="108"/>
  <c r="S25" i="107"/>
  <c r="C70" i="111"/>
  <c r="P70" i="107"/>
  <c r="S22" i="107"/>
  <c r="C58" i="111"/>
  <c r="S22" i="111" s="1"/>
  <c r="P58" i="107"/>
  <c r="AF22" i="107" s="1"/>
  <c r="S26" i="107"/>
  <c r="C74" i="111"/>
  <c r="S26" i="111" s="1"/>
  <c r="P74" i="107"/>
  <c r="P60" i="108"/>
  <c r="O60" i="108"/>
  <c r="O78" i="107"/>
  <c r="AE27" i="107" s="1"/>
  <c r="O62" i="108"/>
  <c r="X27" i="107"/>
  <c r="K94" i="111"/>
  <c r="AA31" i="111" s="1"/>
  <c r="AA31" i="107"/>
  <c r="S28" i="107"/>
  <c r="P82" i="107"/>
  <c r="AF28" i="107" s="1"/>
  <c r="W31" i="107"/>
  <c r="G94" i="111"/>
  <c r="W31" i="111" s="1"/>
  <c r="P100" i="108"/>
  <c r="O100" i="108"/>
  <c r="P68" i="108"/>
  <c r="O68" i="108"/>
  <c r="C105" i="111"/>
  <c r="P105" i="111" s="1"/>
  <c r="P105" i="107"/>
  <c r="O105" i="107"/>
  <c r="C73" i="111"/>
  <c r="P73" i="107"/>
  <c r="O73" i="107"/>
  <c r="AD33" i="107"/>
  <c r="N102" i="111"/>
  <c r="AD33" i="111" s="1"/>
  <c r="V33" i="107"/>
  <c r="F102" i="111"/>
  <c r="Z32" i="107"/>
  <c r="J98" i="111"/>
  <c r="Z32" i="111" s="1"/>
  <c r="AD31" i="107"/>
  <c r="N94" i="111"/>
  <c r="AD31" i="111" s="1"/>
  <c r="V31" i="107"/>
  <c r="F94" i="111"/>
  <c r="V31" i="111" s="1"/>
  <c r="Z30" i="107"/>
  <c r="J90" i="111"/>
  <c r="Z30" i="111" s="1"/>
  <c r="O91" i="108"/>
  <c r="P83" i="108"/>
  <c r="P75" i="108"/>
  <c r="P67" i="108"/>
  <c r="P59" i="108"/>
  <c r="O82" i="107"/>
  <c r="AE28" i="107" s="1"/>
  <c r="O66" i="108"/>
  <c r="G102" i="111"/>
  <c r="W33" i="111" s="1"/>
  <c r="Y30" i="107"/>
  <c r="I90" i="111"/>
  <c r="Y30" i="111" s="1"/>
  <c r="M86" i="111"/>
  <c r="AC29" i="111" s="1"/>
  <c r="AC29" i="107"/>
  <c r="U29" i="107"/>
  <c r="E86" i="111"/>
  <c r="U29" i="111" s="1"/>
  <c r="Y28" i="107"/>
  <c r="I82" i="111"/>
  <c r="Y28" i="111" s="1"/>
  <c r="AC27" i="107"/>
  <c r="M78" i="111"/>
  <c r="AC27" i="111" s="1"/>
  <c r="U27" i="107"/>
  <c r="E78" i="111"/>
  <c r="U27" i="111" s="1"/>
  <c r="Y26" i="107"/>
  <c r="I74" i="111"/>
  <c r="Y26" i="111" s="1"/>
  <c r="AC25" i="107"/>
  <c r="M70" i="111"/>
  <c r="AC25" i="111" s="1"/>
  <c r="U25" i="107"/>
  <c r="E70" i="111"/>
  <c r="U25" i="111" s="1"/>
  <c r="Y24" i="107"/>
  <c r="I66" i="111"/>
  <c r="Y24" i="111" s="1"/>
  <c r="AC23" i="107"/>
  <c r="M62" i="111"/>
  <c r="AC23" i="111" s="1"/>
  <c r="U23" i="107"/>
  <c r="E62" i="111"/>
  <c r="U23" i="111" s="1"/>
  <c r="Y22" i="111"/>
  <c r="S33" i="108"/>
  <c r="P102" i="108"/>
  <c r="S31" i="108"/>
  <c r="P94" i="108"/>
  <c r="S29" i="108"/>
  <c r="S27" i="108"/>
  <c r="S25" i="108"/>
  <c r="S23" i="108"/>
  <c r="AA33" i="108"/>
  <c r="W32" i="108"/>
  <c r="AA31" i="108"/>
  <c r="W30" i="108"/>
  <c r="AA29" i="108"/>
  <c r="W28" i="108"/>
  <c r="AA27" i="108"/>
  <c r="W26" i="108"/>
  <c r="AA25" i="108"/>
  <c r="W24" i="108"/>
  <c r="AA23" i="108"/>
  <c r="W22" i="108"/>
  <c r="O61" i="108"/>
  <c r="O65" i="108"/>
  <c r="O69" i="108"/>
  <c r="O73" i="108"/>
  <c r="O77" i="108"/>
  <c r="O81" i="108"/>
  <c r="X32" i="107"/>
  <c r="H98" i="111"/>
  <c r="X32" i="111" s="1"/>
  <c r="L94" i="111"/>
  <c r="AB31" i="111" s="1"/>
  <c r="AB31" i="107"/>
  <c r="T31" i="107"/>
  <c r="D94" i="111"/>
  <c r="T31" i="111" s="1"/>
  <c r="X30" i="107"/>
  <c r="H90" i="111"/>
  <c r="X30" i="111" s="1"/>
  <c r="AB29" i="107"/>
  <c r="L86" i="111"/>
  <c r="AB29" i="111" s="1"/>
  <c r="T29" i="107"/>
  <c r="D86" i="111"/>
  <c r="T29" i="111" s="1"/>
  <c r="X28" i="107"/>
  <c r="H82" i="111"/>
  <c r="X28" i="111" s="1"/>
  <c r="AB27" i="107"/>
  <c r="L78" i="111"/>
  <c r="AB27" i="111" s="1"/>
  <c r="T27" i="107"/>
  <c r="D78" i="111"/>
  <c r="T27" i="111" s="1"/>
  <c r="X26" i="107"/>
  <c r="H74" i="111"/>
  <c r="X26" i="111" s="1"/>
  <c r="AB25" i="107"/>
  <c r="L70" i="111"/>
  <c r="AB25" i="111" s="1"/>
  <c r="T25" i="107"/>
  <c r="D70" i="111"/>
  <c r="T25" i="111" s="1"/>
  <c r="X24" i="107"/>
  <c r="H66" i="111"/>
  <c r="X24" i="111" s="1"/>
  <c r="AB23" i="107"/>
  <c r="L62" i="111"/>
  <c r="AB23" i="111" s="1"/>
  <c r="D62" i="111"/>
  <c r="T23" i="111" s="1"/>
  <c r="T23" i="107"/>
  <c r="H58" i="111"/>
  <c r="X22" i="111" s="1"/>
  <c r="X22" i="107"/>
  <c r="P101" i="108"/>
  <c r="O101" i="108"/>
  <c r="P93" i="108"/>
  <c r="P85" i="108"/>
  <c r="Z33" i="108"/>
  <c r="AD32" i="108"/>
  <c r="V32" i="108"/>
  <c r="AD30" i="108"/>
  <c r="V30" i="108"/>
  <c r="Z29" i="108"/>
  <c r="AD28" i="108"/>
  <c r="V28" i="108"/>
  <c r="Z27" i="108"/>
  <c r="AD26" i="108"/>
  <c r="V26" i="108"/>
  <c r="Z25" i="108"/>
  <c r="AD24" i="108"/>
  <c r="V24" i="108"/>
  <c r="Z23" i="108"/>
  <c r="AD22" i="108"/>
  <c r="V22" i="108"/>
  <c r="O86" i="108"/>
  <c r="AD29" i="107"/>
  <c r="V30" i="107"/>
  <c r="F90" i="111"/>
  <c r="V30" i="111" s="1"/>
  <c r="Z29" i="107"/>
  <c r="J86" i="111"/>
  <c r="Z29" i="111" s="1"/>
  <c r="AD28" i="107"/>
  <c r="N82" i="111"/>
  <c r="AD28" i="111" s="1"/>
  <c r="V28" i="107"/>
  <c r="F82" i="111"/>
  <c r="V28" i="111" s="1"/>
  <c r="Z27" i="107"/>
  <c r="J78" i="111"/>
  <c r="Z27" i="111" s="1"/>
  <c r="AD26" i="107"/>
  <c r="N74" i="111"/>
  <c r="AD26" i="111" s="1"/>
  <c r="V26" i="107"/>
  <c r="F74" i="111"/>
  <c r="V26" i="111" s="1"/>
  <c r="Z25" i="107"/>
  <c r="J70" i="111"/>
  <c r="Z25" i="111" s="1"/>
  <c r="N66" i="111"/>
  <c r="AD24" i="111" s="1"/>
  <c r="AD24" i="107"/>
  <c r="F66" i="111"/>
  <c r="V24" i="111" s="1"/>
  <c r="V24" i="107"/>
  <c r="J62" i="111"/>
  <c r="Z23" i="111" s="1"/>
  <c r="Z23" i="107"/>
  <c r="AD22" i="107"/>
  <c r="N58" i="111"/>
  <c r="AD22" i="111" s="1"/>
  <c r="V22" i="107"/>
  <c r="F58" i="111"/>
  <c r="V22" i="111" s="1"/>
  <c r="P99" i="108"/>
  <c r="O99" i="108"/>
  <c r="P91" i="108"/>
  <c r="X33" i="108"/>
  <c r="AB32" i="108"/>
  <c r="T32" i="108"/>
  <c r="X31" i="108"/>
  <c r="AB30" i="108"/>
  <c r="T30" i="108"/>
  <c r="X29" i="108"/>
  <c r="AB28" i="108"/>
  <c r="T28" i="108"/>
  <c r="X27" i="108"/>
  <c r="AB26" i="108"/>
  <c r="T26" i="108"/>
  <c r="X25" i="108"/>
  <c r="AB24" i="108"/>
  <c r="T24" i="108"/>
  <c r="X23" i="108"/>
  <c r="AB22" i="108"/>
  <c r="T22" i="108"/>
  <c r="P62" i="108"/>
  <c r="AF23" i="108" s="1"/>
  <c r="P70" i="108"/>
  <c r="AF25" i="108" s="1"/>
  <c r="P78" i="108"/>
  <c r="AF27" i="108" s="1"/>
  <c r="O87" i="108"/>
  <c r="O93" i="108"/>
  <c r="K88" i="111"/>
  <c r="N87" i="111"/>
  <c r="F87" i="111"/>
  <c r="Y29" i="107"/>
  <c r="I86" i="111"/>
  <c r="Y29" i="111" s="1"/>
  <c r="L85" i="111"/>
  <c r="D85" i="111"/>
  <c r="G84" i="111"/>
  <c r="J83" i="111"/>
  <c r="AC28" i="107"/>
  <c r="M82" i="111"/>
  <c r="AC28" i="111" s="1"/>
  <c r="U28" i="107"/>
  <c r="E82" i="111"/>
  <c r="U28" i="111" s="1"/>
  <c r="H81" i="111"/>
  <c r="K80" i="111"/>
  <c r="N79" i="111"/>
  <c r="F79" i="111"/>
  <c r="Y27" i="107"/>
  <c r="I78" i="111"/>
  <c r="Y27" i="111" s="1"/>
  <c r="L77" i="111"/>
  <c r="O77" i="111" s="1"/>
  <c r="D77" i="111"/>
  <c r="G76" i="111"/>
  <c r="J75" i="111"/>
  <c r="M74" i="111"/>
  <c r="AC26" i="111" s="1"/>
  <c r="AC26" i="107"/>
  <c r="E74" i="111"/>
  <c r="U26" i="111" s="1"/>
  <c r="U26" i="107"/>
  <c r="H73" i="111"/>
  <c r="O73" i="111" s="1"/>
  <c r="K72" i="111"/>
  <c r="O72" i="111" s="1"/>
  <c r="N71" i="111"/>
  <c r="F71" i="111"/>
  <c r="Y25" i="107"/>
  <c r="I70" i="111"/>
  <c r="Y25" i="111" s="1"/>
  <c r="L69" i="111"/>
  <c r="D69" i="111"/>
  <c r="G68" i="111"/>
  <c r="O68" i="111" s="1"/>
  <c r="J67" i="111"/>
  <c r="AC24" i="107"/>
  <c r="M66" i="111"/>
  <c r="AC24" i="111" s="1"/>
  <c r="U24" i="107"/>
  <c r="E66" i="111"/>
  <c r="U24" i="111" s="1"/>
  <c r="H65" i="111"/>
  <c r="K64" i="111"/>
  <c r="O64" i="111" s="1"/>
  <c r="N63" i="111"/>
  <c r="O63" i="111" s="1"/>
  <c r="F63" i="111"/>
  <c r="Y23" i="107"/>
  <c r="I62" i="111"/>
  <c r="Y23" i="111" s="1"/>
  <c r="L61" i="111"/>
  <c r="D61" i="111"/>
  <c r="G60" i="111"/>
  <c r="J59" i="111"/>
  <c r="AC22" i="107"/>
  <c r="M58" i="111"/>
  <c r="AC22" i="111" s="1"/>
  <c r="U22" i="107"/>
  <c r="E58" i="111"/>
  <c r="U22" i="111" s="1"/>
  <c r="S22" i="108"/>
  <c r="S32" i="108"/>
  <c r="P98" i="108"/>
  <c r="S30" i="108"/>
  <c r="P90" i="108"/>
  <c r="AF30" i="108" s="1"/>
  <c r="S28" i="108"/>
  <c r="S26" i="108"/>
  <c r="S24" i="108"/>
  <c r="W33" i="108"/>
  <c r="AA32" i="108"/>
  <c r="W31" i="108"/>
  <c r="AA30" i="108"/>
  <c r="W29" i="108"/>
  <c r="AA28" i="108"/>
  <c r="W27" i="108"/>
  <c r="W25" i="108"/>
  <c r="AA24" i="108"/>
  <c r="W23" i="108"/>
  <c r="AA22" i="108"/>
  <c r="O59" i="108"/>
  <c r="O63" i="108"/>
  <c r="O67" i="108"/>
  <c r="O71" i="108"/>
  <c r="O75" i="108"/>
  <c r="O79" i="108"/>
  <c r="AE27" i="108" s="1"/>
  <c r="O83" i="108"/>
  <c r="O94" i="108"/>
  <c r="Y22" i="107"/>
  <c r="AB28" i="107"/>
  <c r="L82" i="111"/>
  <c r="AB28" i="111" s="1"/>
  <c r="T28" i="107"/>
  <c r="D82" i="111"/>
  <c r="T28" i="111" s="1"/>
  <c r="X27" i="111"/>
  <c r="L74" i="111"/>
  <c r="AB26" i="107"/>
  <c r="D74" i="111"/>
  <c r="T26" i="111" s="1"/>
  <c r="T26" i="107"/>
  <c r="X25" i="107"/>
  <c r="H70" i="111"/>
  <c r="L66" i="111"/>
  <c r="AB24" i="111" s="1"/>
  <c r="AB24" i="107"/>
  <c r="D66" i="111"/>
  <c r="T24" i="111" s="1"/>
  <c r="T24" i="107"/>
  <c r="H62" i="111"/>
  <c r="X23" i="111" s="1"/>
  <c r="X23" i="107"/>
  <c r="AB22" i="107"/>
  <c r="L58" i="111"/>
  <c r="AB22" i="111" s="1"/>
  <c r="T22" i="107"/>
  <c r="D58" i="111"/>
  <c r="T22" i="111" s="1"/>
  <c r="P105" i="108"/>
  <c r="O105" i="108"/>
  <c r="P97" i="108"/>
  <c r="O97" i="108"/>
  <c r="P89" i="108"/>
  <c r="AD33" i="108"/>
  <c r="V33" i="108"/>
  <c r="Z32" i="108"/>
  <c r="AD31" i="108"/>
  <c r="V31" i="108"/>
  <c r="Z30" i="108"/>
  <c r="AD29" i="108"/>
  <c r="V29" i="108"/>
  <c r="Z28" i="108"/>
  <c r="AD27" i="108"/>
  <c r="V27" i="108"/>
  <c r="Z26" i="108"/>
  <c r="AD25" i="108"/>
  <c r="V25" i="108"/>
  <c r="Z24" i="108"/>
  <c r="AD23" i="108"/>
  <c r="V23" i="108"/>
  <c r="Z22" i="108"/>
  <c r="O88" i="108"/>
  <c r="O98" i="108"/>
  <c r="AA30" i="107"/>
  <c r="W29" i="107"/>
  <c r="AA28" i="107"/>
  <c r="W27" i="107"/>
  <c r="AA26" i="107"/>
  <c r="W25" i="107"/>
  <c r="K66" i="111"/>
  <c r="AA24" i="111" s="1"/>
  <c r="AA24" i="107"/>
  <c r="G62" i="111"/>
  <c r="W23" i="111" s="1"/>
  <c r="W23" i="107"/>
  <c r="AA22" i="107"/>
  <c r="K58" i="111"/>
  <c r="AA22" i="111" s="1"/>
  <c r="P104" i="108"/>
  <c r="O104" i="108"/>
  <c r="P96" i="108"/>
  <c r="O96" i="108"/>
  <c r="AC33" i="108"/>
  <c r="U33" i="108"/>
  <c r="Y32" i="108"/>
  <c r="AC31" i="108"/>
  <c r="U31" i="108"/>
  <c r="Y30" i="108"/>
  <c r="AC29" i="108"/>
  <c r="U29" i="108"/>
  <c r="Y28" i="108"/>
  <c r="AC27" i="108"/>
  <c r="U27" i="108"/>
  <c r="Y26" i="108"/>
  <c r="AC25" i="108"/>
  <c r="U25" i="108"/>
  <c r="Y24" i="108"/>
  <c r="AC23" i="108"/>
  <c r="U23" i="108"/>
  <c r="Y22" i="108"/>
  <c r="O64" i="108"/>
  <c r="O72" i="108"/>
  <c r="O80" i="108"/>
  <c r="O102" i="108"/>
  <c r="G70" i="111"/>
  <c r="W25" i="111" s="1"/>
  <c r="AD29" i="111"/>
  <c r="V29" i="107"/>
  <c r="F86" i="111"/>
  <c r="V29" i="111" s="1"/>
  <c r="Z28" i="107"/>
  <c r="J82" i="111"/>
  <c r="Z28" i="111" s="1"/>
  <c r="AD27" i="107"/>
  <c r="N78" i="111"/>
  <c r="AD27" i="111" s="1"/>
  <c r="V27" i="107"/>
  <c r="F78" i="111"/>
  <c r="V27" i="111" s="1"/>
  <c r="Z26" i="107"/>
  <c r="J74" i="111"/>
  <c r="Z26" i="111" s="1"/>
  <c r="AD25" i="107"/>
  <c r="N70" i="111"/>
  <c r="AD25" i="111" s="1"/>
  <c r="V25" i="107"/>
  <c r="F70" i="111"/>
  <c r="V25" i="111" s="1"/>
  <c r="J66" i="111"/>
  <c r="Z24" i="111" s="1"/>
  <c r="Z24" i="107"/>
  <c r="N62" i="111"/>
  <c r="AD23" i="107"/>
  <c r="F62" i="111"/>
  <c r="V23" i="111" s="1"/>
  <c r="V23" i="107"/>
  <c r="O60" i="111"/>
  <c r="Z22" i="107"/>
  <c r="J58" i="111"/>
  <c r="Z22" i="111" s="1"/>
  <c r="P103" i="108"/>
  <c r="O103" i="108"/>
  <c r="P95" i="108"/>
  <c r="O95" i="108"/>
  <c r="AB33" i="108"/>
  <c r="T33" i="108"/>
  <c r="X32" i="108"/>
  <c r="AB31" i="108"/>
  <c r="T31" i="108"/>
  <c r="X30" i="108"/>
  <c r="AB29" i="108"/>
  <c r="X28" i="108"/>
  <c r="AB27" i="108"/>
  <c r="T27" i="108"/>
  <c r="X26" i="108"/>
  <c r="AB25" i="108"/>
  <c r="T25" i="108"/>
  <c r="X24" i="108"/>
  <c r="AB23" i="108"/>
  <c r="T23" i="108"/>
  <c r="X22" i="108"/>
  <c r="O89" i="108"/>
  <c r="P72" i="111"/>
  <c r="P70" i="111"/>
  <c r="P68" i="111"/>
  <c r="P64" i="111"/>
  <c r="P60" i="111"/>
  <c r="O75" i="111"/>
  <c r="O71" i="111"/>
  <c r="O69" i="111"/>
  <c r="O67" i="111"/>
  <c r="O65" i="111"/>
  <c r="O61" i="111"/>
  <c r="O59" i="111"/>
  <c r="O62" i="111"/>
  <c r="O66" i="111"/>
  <c r="O70" i="111"/>
  <c r="P104" i="111"/>
  <c r="O104" i="111"/>
  <c r="P100" i="111"/>
  <c r="O100" i="111"/>
  <c r="P96" i="111"/>
  <c r="O96" i="111"/>
  <c r="P92" i="111"/>
  <c r="O92" i="111"/>
  <c r="P88" i="111"/>
  <c r="O88" i="111"/>
  <c r="P84" i="111"/>
  <c r="O84" i="111"/>
  <c r="P82" i="111"/>
  <c r="O82" i="111"/>
  <c r="P80" i="111"/>
  <c r="O80" i="111"/>
  <c r="P76" i="111"/>
  <c r="O76" i="111"/>
  <c r="O105" i="111"/>
  <c r="O101" i="111"/>
  <c r="O99" i="111"/>
  <c r="O97" i="111"/>
  <c r="O95" i="111"/>
  <c r="O93" i="111"/>
  <c r="O91" i="111"/>
  <c r="O89" i="111"/>
  <c r="O87" i="111"/>
  <c r="O83" i="111"/>
  <c r="O81" i="111"/>
  <c r="K5" i="99"/>
  <c r="K5" i="103"/>
  <c r="O56" i="100"/>
  <c r="P25" i="99"/>
  <c r="K5" i="105"/>
  <c r="K5" i="95"/>
  <c r="P24" i="94"/>
  <c r="C3" i="94"/>
  <c r="O90" i="111" l="1"/>
  <c r="AE30" i="111" s="1"/>
  <c r="O98" i="111"/>
  <c r="AE32" i="111" s="1"/>
  <c r="O74" i="111"/>
  <c r="AE26" i="111" s="1"/>
  <c r="X25" i="111"/>
  <c r="AA25" i="111"/>
  <c r="AE33" i="107"/>
  <c r="P93" i="111"/>
  <c r="P95" i="111"/>
  <c r="S24" i="111"/>
  <c r="AF28" i="108"/>
  <c r="AF31" i="107"/>
  <c r="P90" i="111"/>
  <c r="AF30" i="111" s="1"/>
  <c r="P98" i="111"/>
  <c r="AE25" i="111"/>
  <c r="P66" i="111"/>
  <c r="AF31" i="108"/>
  <c r="AE22" i="108"/>
  <c r="P67" i="111"/>
  <c r="AA27" i="111"/>
  <c r="AE26" i="108"/>
  <c r="P65" i="111"/>
  <c r="AE30" i="108"/>
  <c r="P97" i="111"/>
  <c r="S31" i="111"/>
  <c r="AE24" i="111"/>
  <c r="AE23" i="111"/>
  <c r="AD23" i="111"/>
  <c r="AF33" i="108"/>
  <c r="AE23" i="108"/>
  <c r="W28" i="111"/>
  <c r="AA23" i="111"/>
  <c r="P103" i="111"/>
  <c r="AF32" i="107"/>
  <c r="AA33" i="111"/>
  <c r="O79" i="111"/>
  <c r="O78" i="111"/>
  <c r="O86" i="111"/>
  <c r="AE29" i="111" s="1"/>
  <c r="O94" i="111"/>
  <c r="AE31" i="111" s="1"/>
  <c r="O102" i="111"/>
  <c r="AE33" i="111" s="1"/>
  <c r="O58" i="111"/>
  <c r="AE22" i="111" s="1"/>
  <c r="AE31" i="108"/>
  <c r="AF32" i="108"/>
  <c r="P73" i="111"/>
  <c r="P75" i="111"/>
  <c r="AF27" i="107"/>
  <c r="AE28" i="108"/>
  <c r="P63" i="111"/>
  <c r="P89" i="111"/>
  <c r="P78" i="111"/>
  <c r="P86" i="111"/>
  <c r="P94" i="111"/>
  <c r="AF31" i="111" s="1"/>
  <c r="P102" i="111"/>
  <c r="AF33" i="111" s="1"/>
  <c r="P74" i="111"/>
  <c r="AF26" i="111" s="1"/>
  <c r="AE32" i="108"/>
  <c r="AB26" i="111"/>
  <c r="AE29" i="108"/>
  <c r="AF25" i="107"/>
  <c r="S27" i="111"/>
  <c r="P101" i="111"/>
  <c r="AA29" i="111"/>
  <c r="AE32" i="107"/>
  <c r="P77" i="111"/>
  <c r="AF33" i="107"/>
  <c r="P87" i="111"/>
  <c r="AE25" i="108"/>
  <c r="AF23" i="107"/>
  <c r="AE30" i="107"/>
  <c r="P58" i="111"/>
  <c r="AF22" i="111" s="1"/>
  <c r="V33" i="111"/>
  <c r="S25" i="111"/>
  <c r="X29" i="111"/>
  <c r="P59" i="111"/>
  <c r="W24" i="111"/>
  <c r="AE24" i="107"/>
  <c r="AF24" i="108"/>
  <c r="P81" i="111"/>
  <c r="S30" i="111"/>
  <c r="S23" i="111"/>
  <c r="O85" i="111"/>
  <c r="AE28" i="111" s="1"/>
  <c r="P62" i="111"/>
  <c r="AF23" i="111" s="1"/>
  <c r="AE33" i="108"/>
  <c r="AE24" i="108"/>
  <c r="AF26" i="107"/>
  <c r="P83" i="111"/>
  <c r="AF28" i="111" s="1"/>
  <c r="AF29" i="108"/>
  <c r="W22" i="111"/>
  <c r="W30" i="111"/>
  <c r="P61" i="111"/>
  <c r="S33" i="111"/>
  <c r="P71" i="111"/>
  <c r="AF25" i="111" s="1"/>
  <c r="AF24" i="107"/>
  <c r="AF26" i="108"/>
  <c r="AF30" i="107"/>
  <c r="S28" i="111"/>
  <c r="K6" i="98"/>
  <c r="K6" i="99" s="1"/>
  <c r="K6" i="100" s="1"/>
  <c r="K6" i="101" s="1"/>
  <c r="K6" i="109" s="1"/>
  <c r="K6" i="105" s="1"/>
  <c r="K6" i="110" s="1"/>
  <c r="K6" i="103" s="1"/>
  <c r="K5" i="10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AE27" i="111" l="1"/>
  <c r="AF32" i="111"/>
  <c r="AF29" i="111"/>
  <c r="AF27" i="111"/>
  <c r="AF24" i="111"/>
  <c r="K5" i="108"/>
  <c r="K5" i="111" s="1"/>
  <c r="K5" i="107"/>
  <c r="K6" i="107"/>
  <c r="K6" i="104"/>
  <c r="K6" i="108" s="1"/>
  <c r="K6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A19" i="103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X26" i="98" s="1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Z27" i="97" s="1"/>
  <c r="Y19" i="97"/>
  <c r="X19" i="97"/>
  <c r="X27" i="97" s="1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D38" i="101" l="1"/>
  <c r="Y39" i="109"/>
  <c r="T27" i="97"/>
  <c r="AB27" i="97"/>
  <c r="S27" i="103"/>
  <c r="AA27" i="103"/>
  <c r="W39" i="105"/>
  <c r="AC39" i="109"/>
  <c r="S27" i="99"/>
  <c r="AA27" i="99"/>
  <c r="S39" i="101"/>
  <c r="T27" i="103"/>
  <c r="AB27" i="103"/>
  <c r="X39" i="105"/>
  <c r="Z39" i="105"/>
  <c r="AA26" i="95"/>
  <c r="AD39" i="105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I106" i="107" s="1"/>
  <c r="J10" i="107"/>
  <c r="K10" i="107"/>
  <c r="K106" i="107" s="1"/>
  <c r="L10" i="107"/>
  <c r="M10" i="107"/>
  <c r="N10" i="107"/>
  <c r="C10" i="107"/>
  <c r="J106" i="108" l="1"/>
  <c r="G106" i="107"/>
  <c r="F106" i="107"/>
  <c r="E106" i="107"/>
  <c r="X36" i="101"/>
  <c r="U38" i="109"/>
  <c r="AB26" i="98"/>
  <c r="M106" i="107"/>
  <c r="L106" i="107"/>
  <c r="D106" i="107"/>
  <c r="AF32" i="101"/>
  <c r="N106" i="108"/>
  <c r="AF25" i="101"/>
  <c r="F106" i="108"/>
  <c r="M106" i="108"/>
  <c r="Y38" i="105"/>
  <c r="D106" i="108"/>
  <c r="V19" i="108"/>
  <c r="K106" i="108"/>
  <c r="J106" i="107"/>
  <c r="H106" i="108"/>
  <c r="I106" i="108"/>
  <c r="T26" i="103"/>
  <c r="T36" i="105"/>
  <c r="L106" i="108"/>
  <c r="G106" i="108"/>
  <c r="H106" i="107"/>
  <c r="C106" i="107"/>
  <c r="N106" i="107"/>
  <c r="AF28" i="101"/>
  <c r="C106" i="108"/>
  <c r="E106" i="108"/>
  <c r="S38" i="10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F106" i="111" s="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Z41" i="108" s="1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AC41" i="107" s="1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AB41" i="107" s="1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S41" i="107" s="1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P106" i="107" l="1"/>
  <c r="AF10" i="108"/>
  <c r="P106" i="108"/>
  <c r="O106" i="108"/>
  <c r="X41" i="108"/>
  <c r="V41" i="107"/>
  <c r="V42" i="107" s="1"/>
  <c r="AD39" i="107"/>
  <c r="S41" i="108"/>
  <c r="AA41" i="108"/>
  <c r="S42" i="110"/>
  <c r="AD41" i="108"/>
  <c r="AD41" i="107"/>
  <c r="W41" i="108"/>
  <c r="W42" i="108" s="1"/>
  <c r="Y41" i="108"/>
  <c r="K106" i="111"/>
  <c r="V41" i="108"/>
  <c r="N106" i="111"/>
  <c r="T41" i="107"/>
  <c r="AB41" i="108"/>
  <c r="AA41" i="107"/>
  <c r="AA42" i="107" s="1"/>
  <c r="AC41" i="108"/>
  <c r="AC42" i="108" s="1"/>
  <c r="V22" i="93"/>
  <c r="AE24" i="98"/>
  <c r="S36" i="107"/>
  <c r="X41" i="107"/>
  <c r="U41" i="107"/>
  <c r="U41" i="108"/>
  <c r="Y34" i="108"/>
  <c r="T41" i="108"/>
  <c r="T42" i="108" s="1"/>
  <c r="O106" i="107"/>
  <c r="Y41" i="107"/>
  <c r="Z41" i="107"/>
  <c r="W41" i="107"/>
  <c r="E106" i="111"/>
  <c r="M106" i="111"/>
  <c r="D106" i="111"/>
  <c r="L106" i="111"/>
  <c r="G106" i="111"/>
  <c r="H106" i="111"/>
  <c r="I106" i="111"/>
  <c r="C106" i="111"/>
  <c r="J106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X41" i="111" s="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Z42" i="108" s="1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AC42" i="107" s="1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AB42" i="107" s="1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42" i="107" s="1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41" i="107" l="1"/>
  <c r="Y41" i="111"/>
  <c r="W41" i="111"/>
  <c r="U42" i="108"/>
  <c r="AB42" i="108"/>
  <c r="AD42" i="108"/>
  <c r="X42" i="108"/>
  <c r="AE41" i="107"/>
  <c r="AE42" i="107" s="1"/>
  <c r="W42" i="107"/>
  <c r="U42" i="107"/>
  <c r="T42" i="107"/>
  <c r="AA41" i="111"/>
  <c r="AB41" i="111"/>
  <c r="Z41" i="111"/>
  <c r="Z42" i="107"/>
  <c r="X42" i="107"/>
  <c r="AD42" i="107"/>
  <c r="AC41" i="111"/>
  <c r="T41" i="111"/>
  <c r="Y42" i="107"/>
  <c r="V42" i="108"/>
  <c r="AA42" i="108"/>
  <c r="AF41" i="108"/>
  <c r="X42" i="111"/>
  <c r="U41" i="111"/>
  <c r="V41" i="111"/>
  <c r="S42" i="108"/>
  <c r="AE41" i="108"/>
  <c r="S41" i="111"/>
  <c r="Y42" i="108"/>
  <c r="O106" i="111"/>
  <c r="K108" i="111" s="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1" i="111" l="1"/>
  <c r="S42" i="111"/>
  <c r="Z42" i="111"/>
  <c r="AE42" i="108"/>
  <c r="AB42" i="111"/>
  <c r="AF34" i="111"/>
  <c r="AF41" i="111"/>
  <c r="AF42" i="111" s="1"/>
  <c r="AA42" i="111"/>
  <c r="AF42" i="108"/>
  <c r="T42" i="111"/>
  <c r="W42" i="111"/>
  <c r="V42" i="111"/>
  <c r="AC42" i="111"/>
  <c r="Y42" i="111"/>
  <c r="U42" i="111"/>
  <c r="AF42" i="107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<sst xmlns="http://schemas.openxmlformats.org/spreadsheetml/2006/main" count="2331" uniqueCount="177">
  <si>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</si>
  <si>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</si>
  <si>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</si>
  <si>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</si>
  <si>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</si>
  <si>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</si>
  <si>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</si>
  <si>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</si>
  <si>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</si>
  <si>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</si>
  <si>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</si>
  <si>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</si>
  <si>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</si>
  <si>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</si>
  <si>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</si>
  <si>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</si>
  <si>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</si>
  <si>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</si>
  <si>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</si>
  <si>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</si>
  <si>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</si>
  <si>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</si>
  <si>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</si>
  <si>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</si>
  <si>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</si>
  <si>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</si>
  <si>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</si>
  <si>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</si>
  <si>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</si>
  <si>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</si>
  <si>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</si>
  <si>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</si>
  <si>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</si>
  <si>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</si>
  <si>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</si>
  <si>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</si>
  <si>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</si>
  <si>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</si>
  <si>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</si>
  <si>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</si>
  <si>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</si>
  <si>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</si>
  <si>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</si>
  <si>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</si>
  <si>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</si>
  <si>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</si>
  <si>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</si>
  <si>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</si>
  <si>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</si>
  <si>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</si>
  <si>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</si>
  <si>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</si>
  <si>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</si>
  <si>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</si>
  <si>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</si>
  <si>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</si>
  <si>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</si>
  <si>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</si>
  <si>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</si>
  <si>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</si>
  <si>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</si>
  <si>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</si>
  <si>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</si>
  <si>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</si>
  <si>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</si>
  <si>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</si>
  <si>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</si>
  <si>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</si>
  <si>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</si>
  <si>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</si>
  <si>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</si>
  <si>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</si>
  <si>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</si>
  <si>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</si>
  <si>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</si>
  <si>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</si>
  <si>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</si>
  <si>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</si>
  <si>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</si>
  <si>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</si>
  <si>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</si>
  <si>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</si>
  <si>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</si>
  <si>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</si>
  <si>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</si>
  <si>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</si>
  <si>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</si>
  <si>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</si>
  <si>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</si>
  <si>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</si>
  <si>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</si>
  <si>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</si>
  <si>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</si>
  <si>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</si>
  <si>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</si>
  <si>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</si>
  <si>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</si>
  <si>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</si>
  <si>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</si>
  <si>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</si>
  <si>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</si>
  <si>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</si>
  <si>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</si>
  <si>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</si>
  <si>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</si>
  <si>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</si>
  <si>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</si>
  <si>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</si>
  <si>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</si>
  <si>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</si>
  <si>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</si>
  <si>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</si>
  <si>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</si>
  <si>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</si>
  <si>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</si>
  <si>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</si>
  <si>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</si>
  <si>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</si>
  <si>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</si>
  <si>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</si>
  <si>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</si>
  <si>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</si>
  <si>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</si>
  <si>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</si>
  <si>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</si>
  <si>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</si>
  <si>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</si>
  <si>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</si>
  <si>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</si>
  <si>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</si>
  <si>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</si>
  <si>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</si>
  <si>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</si>
  <si>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</si>
  <si>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</si>
  <si>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</si>
  <si>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</si>
  <si>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</si>
  <si>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</si>
  <si>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</si>
  <si>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</si>
  <si>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</si>
  <si>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</si>
  <si>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</si>
  <si>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</si>
  <si>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</si>
  <si>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</si>
  <si>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</si>
  <si>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</si>
  <si>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</si>
  <si>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</si>
  <si>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</si>
  <si>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</si>
  <si>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</si>
  <si>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</si>
  <si>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</si>
  <si>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</si>
  <si>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</si>
  <si>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</si>
  <si>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</si>
  <si>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</si>
  <si>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</si>
  <si>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</si>
  <si>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26.08.19</t>
  </si>
  <si>
    <t>22.08.19</t>
  </si>
  <si>
    <t>MCC - C1 - STN01 - MUSITA-LUMINO ROAD</t>
  </si>
  <si>
    <t>Musita</t>
  </si>
  <si>
    <t>Lumino</t>
  </si>
  <si>
    <t>Nusulah</t>
  </si>
  <si>
    <t>Ivan</t>
  </si>
  <si>
    <t>23.08.19</t>
  </si>
  <si>
    <t>Josephine</t>
  </si>
  <si>
    <t>25.08.19</t>
  </si>
  <si>
    <t>24.08.19</t>
  </si>
  <si>
    <t>27.08.19</t>
  </si>
  <si>
    <t>28.08.19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</si>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</sst>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Musita-Lumino'!$AE$9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Musita-Lumino'!$AE$10:$AE$21</c:f>
              <c:numCache>
                <c:formatCode>0</c:formatCode>
                <c:ptCount val="12"/>
                <c:pt idx="0">
                  <c:v>60</c:v>
                </c:pt>
                <c:pt idx="1">
                  <c:v>57</c:v>
                </c:pt>
                <c:pt idx="2">
                  <c:v>47</c:v>
                </c:pt>
                <c:pt idx="3">
                  <c:v>73</c:v>
                </c:pt>
                <c:pt idx="4">
                  <c:v>55</c:v>
                </c:pt>
                <c:pt idx="5">
                  <c:v>54</c:v>
                </c:pt>
                <c:pt idx="6">
                  <c:v>44</c:v>
                </c:pt>
                <c:pt idx="7">
                  <c:v>55</c:v>
                </c:pt>
                <c:pt idx="8">
                  <c:v>36</c:v>
                </c:pt>
                <c:pt idx="9">
                  <c:v>47</c:v>
                </c:pt>
                <c:pt idx="10">
                  <c:v>27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'22.08 Musita-Lumino'!$AF$9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Musita-Lumino'!$AF$10:$AF$21</c:f>
              <c:numCache>
                <c:formatCode>0</c:formatCode>
                <c:ptCount val="12"/>
                <c:pt idx="0">
                  <c:v>153</c:v>
                </c:pt>
                <c:pt idx="1">
                  <c:v>162</c:v>
                </c:pt>
                <c:pt idx="2">
                  <c:v>215</c:v>
                </c:pt>
                <c:pt idx="3">
                  <c:v>292</c:v>
                </c:pt>
                <c:pt idx="4">
                  <c:v>290</c:v>
                </c:pt>
                <c:pt idx="5">
                  <c:v>236</c:v>
                </c:pt>
                <c:pt idx="6">
                  <c:v>144</c:v>
                </c:pt>
                <c:pt idx="7">
                  <c:v>128</c:v>
                </c:pt>
                <c:pt idx="8">
                  <c:v>103</c:v>
                </c:pt>
                <c:pt idx="9">
                  <c:v>232</c:v>
                </c:pt>
                <c:pt idx="10">
                  <c:v>137</c:v>
                </c:pt>
                <c:pt idx="11">
                  <c:v>236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00393808"/>
        <c:axId val="-1100400880"/>
      </c:lineChart>
      <c:catAx>
        <c:axId val="-1100393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400880"/>
        <c:crosses val="autoZero"/>
        <c:auto val="1"/>
        <c:lblAlgn val="ctr"/>
        <c:lblOffset val="100"/>
        <c:noMultiLvlLbl val="0"/>
      </c:catAx>
      <c:valAx>
        <c:axId val="-11004008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39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Musita-Lumino'!$C$59:$N$59</c:f>
              <c:numCache>
                <c:formatCode>0.0%</c:formatCode>
                <c:ptCount val="12"/>
                <c:pt idx="0">
                  <c:v>7.3883161512027493E-2</c:v>
                </c:pt>
                <c:pt idx="1">
                  <c:v>1.8470790378006873E-2</c:v>
                </c:pt>
                <c:pt idx="2">
                  <c:v>1.8470790378006873E-2</c:v>
                </c:pt>
                <c:pt idx="3">
                  <c:v>2.9639175257731958E-2</c:v>
                </c:pt>
                <c:pt idx="4">
                  <c:v>8.5910652920962198E-4</c:v>
                </c:pt>
                <c:pt idx="5">
                  <c:v>0</c:v>
                </c:pt>
                <c:pt idx="6">
                  <c:v>5.1116838487972507E-2</c:v>
                </c:pt>
                <c:pt idx="7">
                  <c:v>4.7680412371134018E-2</c:v>
                </c:pt>
                <c:pt idx="8">
                  <c:v>1.1597938144329897E-2</c:v>
                </c:pt>
                <c:pt idx="9">
                  <c:v>3.4364261168384879E-3</c:v>
                </c:pt>
                <c:pt idx="10">
                  <c:v>0.740979381443299</c:v>
                </c:pt>
                <c:pt idx="11">
                  <c:v>3.8659793814432991E-3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Musita-Lumino'!$C$60:$N$60</c:f>
              <c:numCache>
                <c:formatCode>0.00%</c:formatCode>
                <c:ptCount val="12"/>
                <c:pt idx="0">
                  <c:v>0.28524046434494194</c:v>
                </c:pt>
                <c:pt idx="1">
                  <c:v>7.1310116086235484E-2</c:v>
                </c:pt>
                <c:pt idx="2">
                  <c:v>7.1310116086235484E-2</c:v>
                </c:pt>
                <c:pt idx="3">
                  <c:v>0.11442786069651742</c:v>
                </c:pt>
                <c:pt idx="4">
                  <c:v>3.3167495854063019E-3</c:v>
                </c:pt>
                <c:pt idx="5">
                  <c:v>0</c:v>
                </c:pt>
                <c:pt idx="6">
                  <c:v>0.19734660033167495</c:v>
                </c:pt>
                <c:pt idx="7">
                  <c:v>0.18407960199004975</c:v>
                </c:pt>
                <c:pt idx="8">
                  <c:v>4.4776119402985072E-2</c:v>
                </c:pt>
                <c:pt idx="9">
                  <c:v>1.3266998341625208E-2</c:v>
                </c:pt>
                <c:pt idx="11">
                  <c:v>1.4925373134328358E-2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Lumino-Musita'!$AE$9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Lumino-Musita'!$AE$10:$AE$21</c:f>
              <c:numCache>
                <c:formatCode>0</c:formatCode>
                <c:ptCount val="12"/>
                <c:pt idx="0">
                  <c:v>28</c:v>
                </c:pt>
                <c:pt idx="1">
                  <c:v>22</c:v>
                </c:pt>
                <c:pt idx="2">
                  <c:v>28</c:v>
                </c:pt>
                <c:pt idx="3">
                  <c:v>49</c:v>
                </c:pt>
                <c:pt idx="4">
                  <c:v>49</c:v>
                </c:pt>
                <c:pt idx="5">
                  <c:v>50</c:v>
                </c:pt>
                <c:pt idx="6">
                  <c:v>40</c:v>
                </c:pt>
                <c:pt idx="7">
                  <c:v>42</c:v>
                </c:pt>
                <c:pt idx="8">
                  <c:v>37</c:v>
                </c:pt>
                <c:pt idx="9">
                  <c:v>68</c:v>
                </c:pt>
                <c:pt idx="10">
                  <c:v>96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'22.08 Lumino-Musita'!$AF$9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Lumino-Musita'!$AF$10:$AF$21</c:f>
              <c:numCache>
                <c:formatCode>0</c:formatCode>
                <c:ptCount val="12"/>
                <c:pt idx="0">
                  <c:v>155</c:v>
                </c:pt>
                <c:pt idx="1">
                  <c:v>128</c:v>
                </c:pt>
                <c:pt idx="2">
                  <c:v>214</c:v>
                </c:pt>
                <c:pt idx="3">
                  <c:v>196</c:v>
                </c:pt>
                <c:pt idx="4">
                  <c:v>236</c:v>
                </c:pt>
                <c:pt idx="5">
                  <c:v>183</c:v>
                </c:pt>
                <c:pt idx="6">
                  <c:v>152</c:v>
                </c:pt>
                <c:pt idx="7">
                  <c:v>139</c:v>
                </c:pt>
                <c:pt idx="8">
                  <c:v>161</c:v>
                </c:pt>
                <c:pt idx="9">
                  <c:v>304</c:v>
                </c:pt>
                <c:pt idx="10">
                  <c:v>341</c:v>
                </c:pt>
                <c:pt idx="11">
                  <c:v>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00399792"/>
        <c:axId val="-1100391088"/>
      </c:lineChart>
      <c:catAx>
        <c:axId val="-1100399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391088"/>
        <c:crosses val="autoZero"/>
        <c:auto val="1"/>
        <c:lblAlgn val="ctr"/>
        <c:lblOffset val="100"/>
        <c:noMultiLvlLbl val="0"/>
      </c:catAx>
      <c:valAx>
        <c:axId val="-1100391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39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Lumino-Musita'!$C$59:$N$59</c:f>
              <c:numCache>
                <c:formatCode>0.0%</c:formatCode>
                <c:ptCount val="12"/>
                <c:pt idx="0">
                  <c:v>7.5237701529557666E-2</c:v>
                </c:pt>
                <c:pt idx="1">
                  <c:v>1.2401818933443571E-2</c:v>
                </c:pt>
                <c:pt idx="2">
                  <c:v>1.6949152542372881E-2</c:v>
                </c:pt>
                <c:pt idx="3">
                  <c:v>3.3898305084745763E-2</c:v>
                </c:pt>
                <c:pt idx="4">
                  <c:v>4.1339396444811903E-3</c:v>
                </c:pt>
                <c:pt idx="5">
                  <c:v>0</c:v>
                </c:pt>
                <c:pt idx="6">
                  <c:v>4.6713517982637454E-2</c:v>
                </c:pt>
                <c:pt idx="7">
                  <c:v>3.0177759404712692E-2</c:v>
                </c:pt>
                <c:pt idx="8">
                  <c:v>1.1575031004547334E-2</c:v>
                </c:pt>
                <c:pt idx="9">
                  <c:v>1.2401818933443572E-3</c:v>
                </c:pt>
                <c:pt idx="10">
                  <c:v>0.76395204630012403</c:v>
                </c:pt>
                <c:pt idx="11">
                  <c:v>3.7205456800330715E-3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Lumino-Musita'!$S$9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Lumino-Musita'!$S$10:$S$21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7</c:v>
                </c:pt>
                <c:pt idx="3">
                  <c:v>18</c:v>
                </c:pt>
                <c:pt idx="4">
                  <c:v>16</c:v>
                </c:pt>
                <c:pt idx="5">
                  <c:v>18</c:v>
                </c:pt>
                <c:pt idx="6">
                  <c:v>13</c:v>
                </c:pt>
                <c:pt idx="7">
                  <c:v>13</c:v>
                </c:pt>
                <c:pt idx="8">
                  <c:v>10</c:v>
                </c:pt>
                <c:pt idx="9">
                  <c:v>24</c:v>
                </c:pt>
                <c:pt idx="10">
                  <c:v>28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'22.08 Lumino-Musita'!$T$9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Lumino-Musita'!$T$10:$T$21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6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'22.08 Lumino-Musita'!$U$9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Lumino-Musita'!$U$10:$U$21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6</c:v>
                </c:pt>
                <c:pt idx="6">
                  <c:v>1</c:v>
                </c:pt>
                <c:pt idx="7">
                  <c:v>5</c:v>
                </c:pt>
                <c:pt idx="8">
                  <c:v>1</c:v>
                </c:pt>
                <c:pt idx="9">
                  <c:v>5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'22.08 Lumino-Musita'!$V$9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Lumino-Musita'!$V$10:$V$21</c:f>
              <c:numCache>
                <c:formatCode>0</c:formatCode>
                <c:ptCount val="12"/>
                <c:pt idx="0">
                  <c:v>9</c:v>
                </c:pt>
                <c:pt idx="1">
                  <c:v>2</c:v>
                </c:pt>
                <c:pt idx="2">
                  <c:v>6</c:v>
                </c:pt>
                <c:pt idx="3">
                  <c:v>5</c:v>
                </c:pt>
                <c:pt idx="4">
                  <c:v>8</c:v>
                </c:pt>
                <c:pt idx="5">
                  <c:v>3</c:v>
                </c:pt>
                <c:pt idx="6">
                  <c:v>5</c:v>
                </c:pt>
                <c:pt idx="7">
                  <c:v>7</c:v>
                </c:pt>
                <c:pt idx="8">
                  <c:v>3</c:v>
                </c:pt>
                <c:pt idx="9">
                  <c:v>7</c:v>
                </c:pt>
                <c:pt idx="10">
                  <c:v>19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'22.08 Lumino-Musita'!$W$9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'22.08 Lumino-Musita'!$X$9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'22.08 Lumino-Musita'!$Y$9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Lumino-Musita'!$Y$10:$Y$21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12</c:v>
                </c:pt>
                <c:pt idx="4">
                  <c:v>9</c:v>
                </c:pt>
                <c:pt idx="5">
                  <c:v>7</c:v>
                </c:pt>
                <c:pt idx="6">
                  <c:v>14</c:v>
                </c:pt>
                <c:pt idx="7">
                  <c:v>9</c:v>
                </c:pt>
                <c:pt idx="8">
                  <c:v>9</c:v>
                </c:pt>
                <c:pt idx="9">
                  <c:v>20</c:v>
                </c:pt>
                <c:pt idx="10">
                  <c:v>18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'22.08 Lumino-Musita'!$Z$9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Lumino-Musita'!$Z$10:$Z$21</c:f>
              <c:numCache>
                <c:formatCode>0</c:formatCode>
                <c:ptCount val="12"/>
                <c:pt idx="0">
                  <c:v>1</c:v>
                </c:pt>
                <c:pt idx="1">
                  <c:v>7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2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'22.08 Lumino-Musita'!$AA$9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Lumino-Musita'!$AA$10:$AA$21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7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'22.08 Lumino-Musita'!$AB$9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'22.08 Lumino-Musita'!$AC$9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Lumino-Musita'!$AC$10:$AC$21</c:f>
              <c:numCache>
                <c:formatCode>0</c:formatCode>
                <c:ptCount val="12"/>
                <c:pt idx="0">
                  <c:v>127</c:v>
                </c:pt>
                <c:pt idx="1">
                  <c:v>106</c:v>
                </c:pt>
                <c:pt idx="2">
                  <c:v>186</c:v>
                </c:pt>
                <c:pt idx="3">
                  <c:v>147</c:v>
                </c:pt>
                <c:pt idx="4">
                  <c:v>187</c:v>
                </c:pt>
                <c:pt idx="5">
                  <c:v>133</c:v>
                </c:pt>
                <c:pt idx="6">
                  <c:v>112</c:v>
                </c:pt>
                <c:pt idx="7">
                  <c:v>97</c:v>
                </c:pt>
                <c:pt idx="8">
                  <c:v>124</c:v>
                </c:pt>
                <c:pt idx="9">
                  <c:v>236</c:v>
                </c:pt>
                <c:pt idx="10">
                  <c:v>245</c:v>
                </c:pt>
                <c:pt idx="11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'22.08 Lumino-Musita'!$AD$9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Lumino-Musita'!$AD$10:$AD$21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00403056"/>
        <c:axId val="-1100401968"/>
      </c:lineChart>
      <c:catAx>
        <c:axId val="-110040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401968"/>
        <c:crosses val="autoZero"/>
        <c:auto val="1"/>
        <c:lblAlgn val="ctr"/>
        <c:lblOffset val="100"/>
        <c:noMultiLvlLbl val="0"/>
      </c:catAx>
      <c:valAx>
        <c:axId val="-110040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40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Lumino-Musita'!$C$60:$N$60</c:f>
              <c:numCache>
                <c:formatCode>0.00%</c:formatCode>
                <c:ptCount val="12"/>
                <c:pt idx="0">
                  <c:v>0.31873905429071803</c:v>
                </c:pt>
                <c:pt idx="1">
                  <c:v>5.2539404553415062E-2</c:v>
                </c:pt>
                <c:pt idx="2">
                  <c:v>7.1803852889667244E-2</c:v>
                </c:pt>
                <c:pt idx="3">
                  <c:v>0.14360770577933449</c:v>
                </c:pt>
                <c:pt idx="4">
                  <c:v>1.7513134851138354E-2</c:v>
                </c:pt>
                <c:pt idx="5">
                  <c:v>0</c:v>
                </c:pt>
                <c:pt idx="6">
                  <c:v>0.19789842381786341</c:v>
                </c:pt>
                <c:pt idx="7">
                  <c:v>0.12784588441330999</c:v>
                </c:pt>
                <c:pt idx="8">
                  <c:v>4.9036777583187391E-2</c:v>
                </c:pt>
                <c:pt idx="9">
                  <c:v>5.2539404553415062E-3</c:v>
                </c:pt>
                <c:pt idx="11">
                  <c:v>1.5761821366024518E-2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Musita-Lumino-24h'!$AE$9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Musita-Lumino-24h'!$R$10:$R$33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'23.08 Musita-Lumino-24h'!$AE$10:$AE$33</c:f>
              <c:numCache>
                <c:formatCode>0</c:formatCode>
                <c:ptCount val="24"/>
                <c:pt idx="0">
                  <c:v>70</c:v>
                </c:pt>
                <c:pt idx="1">
                  <c:v>35</c:v>
                </c:pt>
                <c:pt idx="2">
                  <c:v>38</c:v>
                </c:pt>
                <c:pt idx="3">
                  <c:v>46</c:v>
                </c:pt>
                <c:pt idx="4">
                  <c:v>61</c:v>
                </c:pt>
                <c:pt idx="5">
                  <c:v>58</c:v>
                </c:pt>
                <c:pt idx="6">
                  <c:v>50</c:v>
                </c:pt>
                <c:pt idx="7">
                  <c:v>61</c:v>
                </c:pt>
                <c:pt idx="8">
                  <c:v>58</c:v>
                </c:pt>
                <c:pt idx="9">
                  <c:v>61</c:v>
                </c:pt>
                <c:pt idx="10">
                  <c:v>52</c:v>
                </c:pt>
                <c:pt idx="11">
                  <c:v>56</c:v>
                </c:pt>
                <c:pt idx="12">
                  <c:v>58</c:v>
                </c:pt>
                <c:pt idx="13">
                  <c:v>49</c:v>
                </c:pt>
                <c:pt idx="14">
                  <c:v>34</c:v>
                </c:pt>
                <c:pt idx="15">
                  <c:v>35</c:v>
                </c:pt>
                <c:pt idx="16">
                  <c:v>9</c:v>
                </c:pt>
                <c:pt idx="17">
                  <c:v>13</c:v>
                </c:pt>
                <c:pt idx="18">
                  <c:v>11</c:v>
                </c:pt>
                <c:pt idx="19">
                  <c:v>7</c:v>
                </c:pt>
                <c:pt idx="20">
                  <c:v>9</c:v>
                </c:pt>
                <c:pt idx="21">
                  <c:v>4</c:v>
                </c:pt>
                <c:pt idx="22">
                  <c:v>14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'23.08 Musita-Lumino-24h'!$AF$9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Musita-Lumino-24h'!$R$10:$R$33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'23.08 Musita-Lumino-24h'!$AF$10:$AF$33</c:f>
              <c:numCache>
                <c:formatCode>0</c:formatCode>
                <c:ptCount val="24"/>
                <c:pt idx="0">
                  <c:v>158</c:v>
                </c:pt>
                <c:pt idx="1">
                  <c:v>200</c:v>
                </c:pt>
                <c:pt idx="2">
                  <c:v>118</c:v>
                </c:pt>
                <c:pt idx="3">
                  <c:v>182</c:v>
                </c:pt>
                <c:pt idx="4">
                  <c:v>231</c:v>
                </c:pt>
                <c:pt idx="5">
                  <c:v>175</c:v>
                </c:pt>
                <c:pt idx="6">
                  <c:v>155</c:v>
                </c:pt>
                <c:pt idx="7">
                  <c:v>172</c:v>
                </c:pt>
                <c:pt idx="8">
                  <c:v>218</c:v>
                </c:pt>
                <c:pt idx="9">
                  <c:v>225</c:v>
                </c:pt>
                <c:pt idx="10">
                  <c:v>182</c:v>
                </c:pt>
                <c:pt idx="11">
                  <c:v>159</c:v>
                </c:pt>
                <c:pt idx="12">
                  <c:v>212</c:v>
                </c:pt>
                <c:pt idx="13">
                  <c:v>219</c:v>
                </c:pt>
                <c:pt idx="14">
                  <c:v>62</c:v>
                </c:pt>
                <c:pt idx="15">
                  <c:v>64</c:v>
                </c:pt>
                <c:pt idx="16">
                  <c:v>40</c:v>
                </c:pt>
                <c:pt idx="17">
                  <c:v>17</c:v>
                </c:pt>
                <c:pt idx="18">
                  <c:v>12</c:v>
                </c:pt>
                <c:pt idx="19">
                  <c:v>7</c:v>
                </c:pt>
                <c:pt idx="20">
                  <c:v>9</c:v>
                </c:pt>
                <c:pt idx="21">
                  <c:v>10</c:v>
                </c:pt>
                <c:pt idx="22">
                  <c:v>26</c:v>
                </c:pt>
                <c:pt idx="23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7785600"/>
        <c:axId val="-957785056"/>
      </c:lineChart>
      <c:catAx>
        <c:axId val="-957785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85056"/>
        <c:crosses val="autoZero"/>
        <c:auto val="1"/>
        <c:lblAlgn val="ctr"/>
        <c:lblOffset val="100"/>
        <c:noMultiLvlLbl val="0"/>
      </c:catAx>
      <c:valAx>
        <c:axId val="-957785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8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Musita-Lumino-24h'!$C$9:$N$9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Musita-Lumino-24h'!$C$107:$N$107</c:f>
              <c:numCache>
                <c:formatCode>0.0%</c:formatCode>
                <c:ptCount val="12"/>
                <c:pt idx="0">
                  <c:v>8.7252897068847993E-2</c:v>
                </c:pt>
                <c:pt idx="1">
                  <c:v>2.7607361963190184E-2</c:v>
                </c:pt>
                <c:pt idx="2">
                  <c:v>1.1588275391956374E-2</c:v>
                </c:pt>
                <c:pt idx="3">
                  <c:v>3.7150647580095432E-2</c:v>
                </c:pt>
                <c:pt idx="4">
                  <c:v>4.7716428084526247E-3</c:v>
                </c:pt>
                <c:pt idx="5">
                  <c:v>1.3633265167007499E-3</c:v>
                </c:pt>
                <c:pt idx="6">
                  <c:v>3.0334014996591684E-2</c:v>
                </c:pt>
                <c:pt idx="7">
                  <c:v>7.4642126789366048E-2</c:v>
                </c:pt>
                <c:pt idx="8">
                  <c:v>1.9427402862985686E-2</c:v>
                </c:pt>
                <c:pt idx="9">
                  <c:v>1.5678254942058625E-2</c:v>
                </c:pt>
                <c:pt idx="10">
                  <c:v>0.68745739604635314</c:v>
                </c:pt>
                <c:pt idx="11">
                  <c:v>2.7266530334014998E-3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Musita-Lumino-24h'!$C$9:$N$9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Musita-Lumino-24h'!$C$108:$N$108</c:f>
              <c:numCache>
                <c:formatCode>0.00%</c:formatCode>
                <c:ptCount val="12"/>
                <c:pt idx="0">
                  <c:v>0.27917121046892041</c:v>
                </c:pt>
                <c:pt idx="1">
                  <c:v>8.8331515812431843E-2</c:v>
                </c:pt>
                <c:pt idx="2">
                  <c:v>3.7077426390403491E-2</c:v>
                </c:pt>
                <c:pt idx="3">
                  <c:v>0.11886586695747001</c:v>
                </c:pt>
                <c:pt idx="4">
                  <c:v>1.5267175572519083E-2</c:v>
                </c:pt>
                <c:pt idx="5">
                  <c:v>4.3620501635768813E-3</c:v>
                </c:pt>
                <c:pt idx="6">
                  <c:v>9.7055616139585604E-2</c:v>
                </c:pt>
                <c:pt idx="7">
                  <c:v>0.23882224645583425</c:v>
                </c:pt>
                <c:pt idx="8">
                  <c:v>6.2159214830970554E-2</c:v>
                </c:pt>
                <c:pt idx="9">
                  <c:v>5.0163576881134132E-2</c:v>
                </c:pt>
                <c:pt idx="11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Lumino-Musita-24h'!$AE$9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Lumino-Musita-24h'!$R$10:$R$33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'23.08 Lumino-Musita-24h'!$AE$10:$AE$33</c:f>
              <c:numCache>
                <c:formatCode>0</c:formatCode>
                <c:ptCount val="24"/>
                <c:pt idx="0">
                  <c:v>22</c:v>
                </c:pt>
                <c:pt idx="1">
                  <c:v>35</c:v>
                </c:pt>
                <c:pt idx="2">
                  <c:v>30</c:v>
                </c:pt>
                <c:pt idx="3">
                  <c:v>55</c:v>
                </c:pt>
                <c:pt idx="4">
                  <c:v>42</c:v>
                </c:pt>
                <c:pt idx="5">
                  <c:v>59</c:v>
                </c:pt>
                <c:pt idx="6">
                  <c:v>42</c:v>
                </c:pt>
                <c:pt idx="7">
                  <c:v>34</c:v>
                </c:pt>
                <c:pt idx="8">
                  <c:v>55</c:v>
                </c:pt>
                <c:pt idx="9">
                  <c:v>50</c:v>
                </c:pt>
                <c:pt idx="10">
                  <c:v>65</c:v>
                </c:pt>
                <c:pt idx="11">
                  <c:v>48</c:v>
                </c:pt>
                <c:pt idx="12">
                  <c:v>58</c:v>
                </c:pt>
                <c:pt idx="13">
                  <c:v>53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19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5</c:v>
                </c:pt>
                <c:pt idx="22">
                  <c:v>10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'23.08 Lumino-Musita-24h'!$AF$9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Lumino-Musita-24h'!$R$10:$R$33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'23.08 Lumino-Musita-24h'!$AF$10:$AF$33</c:f>
              <c:numCache>
                <c:formatCode>0</c:formatCode>
                <c:ptCount val="24"/>
                <c:pt idx="0">
                  <c:v>108</c:v>
                </c:pt>
                <c:pt idx="1">
                  <c:v>136</c:v>
                </c:pt>
                <c:pt idx="2">
                  <c:v>102</c:v>
                </c:pt>
                <c:pt idx="3">
                  <c:v>258</c:v>
                </c:pt>
                <c:pt idx="4">
                  <c:v>204</c:v>
                </c:pt>
                <c:pt idx="5">
                  <c:v>204</c:v>
                </c:pt>
                <c:pt idx="6">
                  <c:v>166</c:v>
                </c:pt>
                <c:pt idx="7">
                  <c:v>135</c:v>
                </c:pt>
                <c:pt idx="8">
                  <c:v>225</c:v>
                </c:pt>
                <c:pt idx="9">
                  <c:v>223</c:v>
                </c:pt>
                <c:pt idx="10">
                  <c:v>195</c:v>
                </c:pt>
                <c:pt idx="11">
                  <c:v>175</c:v>
                </c:pt>
                <c:pt idx="12">
                  <c:v>198</c:v>
                </c:pt>
                <c:pt idx="13">
                  <c:v>199</c:v>
                </c:pt>
                <c:pt idx="14">
                  <c:v>57</c:v>
                </c:pt>
                <c:pt idx="15">
                  <c:v>43</c:v>
                </c:pt>
                <c:pt idx="16">
                  <c:v>40</c:v>
                </c:pt>
                <c:pt idx="17">
                  <c:v>23</c:v>
                </c:pt>
                <c:pt idx="18">
                  <c:v>11</c:v>
                </c:pt>
                <c:pt idx="19">
                  <c:v>11</c:v>
                </c:pt>
                <c:pt idx="20">
                  <c:v>9</c:v>
                </c:pt>
                <c:pt idx="21">
                  <c:v>10</c:v>
                </c:pt>
                <c:pt idx="22">
                  <c:v>21</c:v>
                </c:pt>
                <c:pt idx="23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5413792"/>
        <c:axId val="-955413248"/>
      </c:lineChart>
      <c:catAx>
        <c:axId val="-955413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13248"/>
        <c:crosses val="autoZero"/>
        <c:auto val="1"/>
        <c:lblAlgn val="ctr"/>
        <c:lblOffset val="100"/>
        <c:noMultiLvlLbl val="0"/>
      </c:catAx>
      <c:valAx>
        <c:axId val="-955413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1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Lumino-Musita-24h'!$C$9:$N$9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Lumino-Musita-24h'!$C$107:$N$107</c:f>
              <c:numCache>
                <c:formatCode>0.0%</c:formatCode>
                <c:ptCount val="12"/>
                <c:pt idx="0">
                  <c:v>0.10565371024734982</c:v>
                </c:pt>
                <c:pt idx="1">
                  <c:v>1.519434628975265E-2</c:v>
                </c:pt>
                <c:pt idx="2">
                  <c:v>1.5547703180212015E-2</c:v>
                </c:pt>
                <c:pt idx="3">
                  <c:v>3.2508833922261483E-2</c:v>
                </c:pt>
                <c:pt idx="4">
                  <c:v>2.1201413427561835E-3</c:v>
                </c:pt>
                <c:pt idx="5">
                  <c:v>2.4734982332155478E-3</c:v>
                </c:pt>
                <c:pt idx="6">
                  <c:v>4.628975265017668E-2</c:v>
                </c:pt>
                <c:pt idx="7">
                  <c:v>3.2155477031802118E-2</c:v>
                </c:pt>
                <c:pt idx="8">
                  <c:v>6.0070671378091873E-3</c:v>
                </c:pt>
                <c:pt idx="9">
                  <c:v>2.0141342756183747E-2</c:v>
                </c:pt>
                <c:pt idx="10">
                  <c:v>0.7201413427561838</c:v>
                </c:pt>
                <c:pt idx="11">
                  <c:v>1.7667844522968198E-3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Lumino-Musita-24h'!$C$9:$N$9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Lumino-Musita-24h'!$C$108:$N$108</c:f>
              <c:numCache>
                <c:formatCode>0.00%</c:formatCode>
                <c:ptCount val="12"/>
                <c:pt idx="0">
                  <c:v>0.37752525252525254</c:v>
                </c:pt>
                <c:pt idx="1">
                  <c:v>5.4292929292929296E-2</c:v>
                </c:pt>
                <c:pt idx="2">
                  <c:v>5.5555555555555552E-2</c:v>
                </c:pt>
                <c:pt idx="3">
                  <c:v>0.11616161616161616</c:v>
                </c:pt>
                <c:pt idx="4">
                  <c:v>7.575757575757576E-3</c:v>
                </c:pt>
                <c:pt idx="5">
                  <c:v>8.8383838383838381E-3</c:v>
                </c:pt>
                <c:pt idx="6">
                  <c:v>0.16540404040404041</c:v>
                </c:pt>
                <c:pt idx="7">
                  <c:v>0.1148989898989899</c:v>
                </c:pt>
                <c:pt idx="8">
                  <c:v>2.1464646464646464E-2</c:v>
                </c:pt>
                <c:pt idx="9">
                  <c:v>7.1969696969696975E-2</c:v>
                </c:pt>
                <c:pt idx="11">
                  <c:v>6.313131313131313E-3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Musita-Lumino'!$AE$9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Musita-Lumino'!$AE$10:$AE$21</c:f>
              <c:numCache>
                <c:formatCode>0</c:formatCode>
                <c:ptCount val="12"/>
                <c:pt idx="0">
                  <c:v>43</c:v>
                </c:pt>
                <c:pt idx="1">
                  <c:v>30</c:v>
                </c:pt>
                <c:pt idx="2">
                  <c:v>40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50</c:v>
                </c:pt>
                <c:pt idx="7">
                  <c:v>66</c:v>
                </c:pt>
                <c:pt idx="8">
                  <c:v>68</c:v>
                </c:pt>
                <c:pt idx="9">
                  <c:v>57</c:v>
                </c:pt>
                <c:pt idx="10">
                  <c:v>46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'24.08 Musita-Lumino'!$AF$9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Musita-Lumino'!$AF$10:$AF$21</c:f>
              <c:numCache>
                <c:formatCode>0</c:formatCode>
                <c:ptCount val="12"/>
                <c:pt idx="0">
                  <c:v>196</c:v>
                </c:pt>
                <c:pt idx="1">
                  <c:v>137</c:v>
                </c:pt>
                <c:pt idx="2">
                  <c:v>219</c:v>
                </c:pt>
                <c:pt idx="3">
                  <c:v>191</c:v>
                </c:pt>
                <c:pt idx="4">
                  <c:v>199</c:v>
                </c:pt>
                <c:pt idx="5">
                  <c:v>204</c:v>
                </c:pt>
                <c:pt idx="6">
                  <c:v>169</c:v>
                </c:pt>
                <c:pt idx="7">
                  <c:v>162</c:v>
                </c:pt>
                <c:pt idx="8">
                  <c:v>149</c:v>
                </c:pt>
                <c:pt idx="9">
                  <c:v>230</c:v>
                </c:pt>
                <c:pt idx="10">
                  <c:v>247</c:v>
                </c:pt>
                <c:pt idx="11">
                  <c:v>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00404688"/>
        <c:axId val="-1100401424"/>
      </c:lineChart>
      <c:catAx>
        <c:axId val="-11004046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401424"/>
        <c:crosses val="autoZero"/>
        <c:auto val="1"/>
        <c:lblAlgn val="ctr"/>
        <c:lblOffset val="100"/>
        <c:noMultiLvlLbl val="0"/>
      </c:catAx>
      <c:valAx>
        <c:axId val="-1100401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0040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Musita-Lumino'!$C$59:$N$59</c:f>
              <c:numCache>
                <c:formatCode>0.0%</c:formatCode>
                <c:ptCount val="12"/>
                <c:pt idx="0">
                  <c:v>9.2341356673960609E-2</c:v>
                </c:pt>
                <c:pt idx="1">
                  <c:v>2.2319474835886213E-2</c:v>
                </c:pt>
                <c:pt idx="2">
                  <c:v>1.5317286652078774E-2</c:v>
                </c:pt>
                <c:pt idx="3">
                  <c:v>3.3698030634573307E-2</c:v>
                </c:pt>
                <c:pt idx="4">
                  <c:v>2.6258205689277899E-3</c:v>
                </c:pt>
                <c:pt idx="5">
                  <c:v>4.3763676148796501E-4</c:v>
                </c:pt>
                <c:pt idx="6">
                  <c:v>3.5010940919037198E-2</c:v>
                </c:pt>
                <c:pt idx="7">
                  <c:v>4.8577680525164112E-2</c:v>
                </c:pt>
                <c:pt idx="8">
                  <c:v>4.3763676148796497E-3</c:v>
                </c:pt>
                <c:pt idx="9">
                  <c:v>7.0021881838074401E-3</c:v>
                </c:pt>
                <c:pt idx="10">
                  <c:v>0.73566739606126919</c:v>
                </c:pt>
                <c:pt idx="11">
                  <c:v>2.6258205689277899E-3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Musita-Lumino'!$S$9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Musita-Lumino'!$S$10:$S$21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17</c:v>
                </c:pt>
                <c:pt idx="3">
                  <c:v>13</c:v>
                </c:pt>
                <c:pt idx="4">
                  <c:v>21</c:v>
                </c:pt>
                <c:pt idx="5">
                  <c:v>22</c:v>
                </c:pt>
                <c:pt idx="6">
                  <c:v>25</c:v>
                </c:pt>
                <c:pt idx="7">
                  <c:v>19</c:v>
                </c:pt>
                <c:pt idx="8">
                  <c:v>20</c:v>
                </c:pt>
                <c:pt idx="9">
                  <c:v>24</c:v>
                </c:pt>
                <c:pt idx="10">
                  <c:v>13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'24.08 Musita-Lumino'!$T$9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Musita-Lumino'!$T$10:$T$21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9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7</c:v>
                </c:pt>
                <c:pt idx="8">
                  <c:v>8</c:v>
                </c:pt>
                <c:pt idx="9">
                  <c:v>2</c:v>
                </c:pt>
                <c:pt idx="10">
                  <c:v>2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'24.08 Musita-Lumino'!$U$9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'24.08 Musita-Lumino'!$V$9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Musita-Lumino'!$V$10:$V$21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6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7</c:v>
                </c:pt>
                <c:pt idx="7">
                  <c:v>16</c:v>
                </c:pt>
                <c:pt idx="8">
                  <c:v>6</c:v>
                </c:pt>
                <c:pt idx="9">
                  <c:v>8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'24.08 Musita-Lumino'!$W$9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'24.08 Musita-Lumino'!$X$9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'24.08 Musita-Lumino'!$Y$9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Musita-Lumino'!$Y$10:$Y$21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4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9</c:v>
                </c:pt>
                <c:pt idx="7">
                  <c:v>10</c:v>
                </c:pt>
                <c:pt idx="8">
                  <c:v>2</c:v>
                </c:pt>
                <c:pt idx="9">
                  <c:v>14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'24.08 Musita-Lumino'!$Z$9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Musita-Lumino'!$Z$10:$Z$21</c:f>
              <c:numCache>
                <c:formatCode>0</c:formatCode>
                <c:ptCount val="12"/>
                <c:pt idx="0">
                  <c:v>10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7</c:v>
                </c:pt>
                <c:pt idx="5">
                  <c:v>3</c:v>
                </c:pt>
                <c:pt idx="6">
                  <c:v>3</c:v>
                </c:pt>
                <c:pt idx="7">
                  <c:v>10</c:v>
                </c:pt>
                <c:pt idx="8">
                  <c:v>26</c:v>
                </c:pt>
                <c:pt idx="9">
                  <c:v>7</c:v>
                </c:pt>
                <c:pt idx="10">
                  <c:v>10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'24.08 Musita-Lumino'!$AA$9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'24.08 Musita-Lumino'!$AB$9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Musita-Lumino'!$AB$10:$AB$21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'24.08 Musita-Lumino'!$AC$9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Musita-Lumino'!$AC$10:$AC$21</c:f>
              <c:numCache>
                <c:formatCode>0</c:formatCode>
                <c:ptCount val="12"/>
                <c:pt idx="0">
                  <c:v>153</c:v>
                </c:pt>
                <c:pt idx="1">
                  <c:v>107</c:v>
                </c:pt>
                <c:pt idx="2">
                  <c:v>179</c:v>
                </c:pt>
                <c:pt idx="3">
                  <c:v>146</c:v>
                </c:pt>
                <c:pt idx="4">
                  <c:v>153</c:v>
                </c:pt>
                <c:pt idx="5">
                  <c:v>157</c:v>
                </c:pt>
                <c:pt idx="6">
                  <c:v>119</c:v>
                </c:pt>
                <c:pt idx="7">
                  <c:v>96</c:v>
                </c:pt>
                <c:pt idx="8">
                  <c:v>81</c:v>
                </c:pt>
                <c:pt idx="9">
                  <c:v>173</c:v>
                </c:pt>
                <c:pt idx="10">
                  <c:v>201</c:v>
                </c:pt>
                <c:pt idx="11">
                  <c:v>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'24.08 Musita-Lumino'!$AD$9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Musita-Lumino'!$AD$10:$AD$21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60644288"/>
        <c:axId val="-960655168"/>
      </c:lineChart>
      <c:catAx>
        <c:axId val="-96064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55168"/>
        <c:crosses val="autoZero"/>
        <c:auto val="1"/>
        <c:lblAlgn val="ctr"/>
        <c:lblOffset val="100"/>
        <c:noMultiLvlLbl val="0"/>
      </c:catAx>
      <c:valAx>
        <c:axId val="-9606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4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Musita-Lumino'!$C$60:$N$60</c:f>
              <c:numCache>
                <c:formatCode>0.00%</c:formatCode>
                <c:ptCount val="12"/>
                <c:pt idx="0">
                  <c:v>0.34933774834437087</c:v>
                </c:pt>
                <c:pt idx="1">
                  <c:v>8.4437086092715233E-2</c:v>
                </c:pt>
                <c:pt idx="2">
                  <c:v>5.7947019867549666E-2</c:v>
                </c:pt>
                <c:pt idx="3">
                  <c:v>0.12748344370860928</c:v>
                </c:pt>
                <c:pt idx="4">
                  <c:v>9.9337748344370865E-3</c:v>
                </c:pt>
                <c:pt idx="5">
                  <c:v>1.6556291390728477E-3</c:v>
                </c:pt>
                <c:pt idx="6">
                  <c:v>0.13245033112582782</c:v>
                </c:pt>
                <c:pt idx="7">
                  <c:v>0.18377483443708609</c:v>
                </c:pt>
                <c:pt idx="8">
                  <c:v>1.6556291390728478E-2</c:v>
                </c:pt>
                <c:pt idx="9">
                  <c:v>2.6490066225165563E-2</c:v>
                </c:pt>
                <c:pt idx="11">
                  <c:v>9.9337748344370865E-3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Lumino-Musita'!$AE$9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Lumino-Musita'!$AE$10:$AE$21</c:f>
              <c:numCache>
                <c:formatCode>0</c:formatCode>
                <c:ptCount val="12"/>
                <c:pt idx="0">
                  <c:v>26</c:v>
                </c:pt>
                <c:pt idx="1">
                  <c:v>39</c:v>
                </c:pt>
                <c:pt idx="2">
                  <c:v>43</c:v>
                </c:pt>
                <c:pt idx="3">
                  <c:v>45</c:v>
                </c:pt>
                <c:pt idx="4">
                  <c:v>46</c:v>
                </c:pt>
                <c:pt idx="5">
                  <c:v>41</c:v>
                </c:pt>
                <c:pt idx="6">
                  <c:v>45</c:v>
                </c:pt>
                <c:pt idx="7">
                  <c:v>46</c:v>
                </c:pt>
                <c:pt idx="8">
                  <c:v>61</c:v>
                </c:pt>
                <c:pt idx="9">
                  <c:v>58</c:v>
                </c:pt>
                <c:pt idx="10">
                  <c:v>47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'24.08 Lumino-Musita'!$AF$9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Lumino-Musita'!$AF$10:$AF$21</c:f>
              <c:numCache>
                <c:formatCode>0</c:formatCode>
                <c:ptCount val="12"/>
                <c:pt idx="0">
                  <c:v>176</c:v>
                </c:pt>
                <c:pt idx="1">
                  <c:v>151</c:v>
                </c:pt>
                <c:pt idx="2">
                  <c:v>195</c:v>
                </c:pt>
                <c:pt idx="3">
                  <c:v>160</c:v>
                </c:pt>
                <c:pt idx="4">
                  <c:v>191</c:v>
                </c:pt>
                <c:pt idx="5">
                  <c:v>157</c:v>
                </c:pt>
                <c:pt idx="6">
                  <c:v>168</c:v>
                </c:pt>
                <c:pt idx="7">
                  <c:v>131</c:v>
                </c:pt>
                <c:pt idx="8">
                  <c:v>140</c:v>
                </c:pt>
                <c:pt idx="9">
                  <c:v>224</c:v>
                </c:pt>
                <c:pt idx="10">
                  <c:v>266</c:v>
                </c:pt>
                <c:pt idx="11">
                  <c:v>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60648096"/>
        <c:axId val="-960655712"/>
      </c:lineChart>
      <c:catAx>
        <c:axId val="-960648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55712"/>
        <c:crosses val="autoZero"/>
        <c:auto val="1"/>
        <c:lblAlgn val="ctr"/>
        <c:lblOffset val="100"/>
        <c:noMultiLvlLbl val="0"/>
      </c:catAx>
      <c:valAx>
        <c:axId val="-960655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4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Lumino-Musita'!$C$59:$N$59</c:f>
              <c:numCache>
                <c:formatCode>0.0%</c:formatCode>
                <c:ptCount val="12"/>
                <c:pt idx="0">
                  <c:v>9.0408444240477281E-2</c:v>
                </c:pt>
                <c:pt idx="1">
                  <c:v>2.4782010096374485E-2</c:v>
                </c:pt>
                <c:pt idx="2">
                  <c:v>1.4226709499770536E-2</c:v>
                </c:pt>
                <c:pt idx="3">
                  <c:v>3.2124827902707667E-2</c:v>
                </c:pt>
                <c:pt idx="4">
                  <c:v>3.2124827902707664E-3</c:v>
                </c:pt>
                <c:pt idx="5">
                  <c:v>1.8357044515832951E-3</c:v>
                </c:pt>
                <c:pt idx="6">
                  <c:v>4.4515832950894903E-2</c:v>
                </c:pt>
                <c:pt idx="7">
                  <c:v>3.8549793483249196E-2</c:v>
                </c:pt>
                <c:pt idx="8">
                  <c:v>3.2124827902707664E-3</c:v>
                </c:pt>
                <c:pt idx="9">
                  <c:v>7.3428178063331805E-3</c:v>
                </c:pt>
                <c:pt idx="10">
                  <c:v>0.73887104176227625</c:v>
                </c:pt>
                <c:pt idx="11">
                  <c:v>9.1785222579164757E-4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Lumino-Musita'!$S$9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Lumino-Musita'!$S$10:$S$21</c:f>
              <c:numCache>
                <c:formatCode>0</c:formatCode>
                <c:ptCount val="12"/>
                <c:pt idx="0">
                  <c:v>7</c:v>
                </c:pt>
                <c:pt idx="1">
                  <c:v>17</c:v>
                </c:pt>
                <c:pt idx="2">
                  <c:v>17</c:v>
                </c:pt>
                <c:pt idx="3">
                  <c:v>9</c:v>
                </c:pt>
                <c:pt idx="4">
                  <c:v>17</c:v>
                </c:pt>
                <c:pt idx="5">
                  <c:v>20</c:v>
                </c:pt>
                <c:pt idx="6">
                  <c:v>21</c:v>
                </c:pt>
                <c:pt idx="7">
                  <c:v>17</c:v>
                </c:pt>
                <c:pt idx="8">
                  <c:v>21</c:v>
                </c:pt>
                <c:pt idx="9">
                  <c:v>17</c:v>
                </c:pt>
                <c:pt idx="10">
                  <c:v>8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'24.08 Lumino-Musita'!$T$9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'24.08 Lumino-Musita'!$T$10:$T$21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7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16</c:v>
                </c:pt>
                <c:pt idx="9">
                  <c:v>6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'24.08 Lumino-Musita'!$U$9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Lumino-Musita'!$U$10:$U$21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5</c:v>
                </c:pt>
                <c:pt idx="10">
                  <c:v>9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'24.08 Lumino-Musita'!$V$9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Lumino-Musita'!$V$10:$V$21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10</c:v>
                </c:pt>
                <c:pt idx="4">
                  <c:v>8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'24.08 Lumino-Musita'!$W$9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Lumino-Musita'!$W$10:$W$21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'24.08 Lumino-Musita'!$X$9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'24.08 Lumino-Musita'!$Y$9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Lumino-Musita'!$Y$10:$Y$21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8</c:v>
                </c:pt>
                <c:pt idx="3">
                  <c:v>4</c:v>
                </c:pt>
                <c:pt idx="4">
                  <c:v>13</c:v>
                </c:pt>
                <c:pt idx="5">
                  <c:v>7</c:v>
                </c:pt>
                <c:pt idx="6">
                  <c:v>5</c:v>
                </c:pt>
                <c:pt idx="7">
                  <c:v>1</c:v>
                </c:pt>
                <c:pt idx="8">
                  <c:v>4</c:v>
                </c:pt>
                <c:pt idx="9">
                  <c:v>14</c:v>
                </c:pt>
                <c:pt idx="10">
                  <c:v>16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'24.08 Lumino-Musita'!$Z$9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Lumino-Musita'!$Z$10:$Z$21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3</c:v>
                </c:pt>
                <c:pt idx="5">
                  <c:v>2</c:v>
                </c:pt>
                <c:pt idx="6">
                  <c:v>7</c:v>
                </c:pt>
                <c:pt idx="7">
                  <c:v>14</c:v>
                </c:pt>
                <c:pt idx="8">
                  <c:v>15</c:v>
                </c:pt>
                <c:pt idx="9">
                  <c:v>9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'24.08 Lumino-Musita'!$AA$9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'24.08 Lumino-Musita'!$AB$9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'24.08 Lumino-Musita'!$AC$9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Lumino-Musita'!$AC$10:$AC$21</c:f>
              <c:numCache>
                <c:formatCode>0</c:formatCode>
                <c:ptCount val="12"/>
                <c:pt idx="0">
                  <c:v>150</c:v>
                </c:pt>
                <c:pt idx="1">
                  <c:v>112</c:v>
                </c:pt>
                <c:pt idx="2">
                  <c:v>152</c:v>
                </c:pt>
                <c:pt idx="3">
                  <c:v>115</c:v>
                </c:pt>
                <c:pt idx="4">
                  <c:v>145</c:v>
                </c:pt>
                <c:pt idx="5">
                  <c:v>116</c:v>
                </c:pt>
                <c:pt idx="6">
                  <c:v>123</c:v>
                </c:pt>
                <c:pt idx="7">
                  <c:v>85</c:v>
                </c:pt>
                <c:pt idx="8">
                  <c:v>79</c:v>
                </c:pt>
                <c:pt idx="9">
                  <c:v>166</c:v>
                </c:pt>
                <c:pt idx="10">
                  <c:v>219</c:v>
                </c:pt>
                <c:pt idx="11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'24.08 Lumino-Musita'!$AD$9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'24.08 Lumino-Musita'!$AD$10:$AD$21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60645920"/>
        <c:axId val="-960640480"/>
      </c:lineChart>
      <c:catAx>
        <c:axId val="-96064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40480"/>
        <c:crosses val="autoZero"/>
        <c:auto val="1"/>
        <c:lblAlgn val="ctr"/>
        <c:lblOffset val="100"/>
        <c:noMultiLvlLbl val="0"/>
      </c:catAx>
      <c:valAx>
        <c:axId val="-96064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4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Lumino-Musita'!$C$60:$N$60</c:f>
              <c:numCache>
                <c:formatCode>0.00%</c:formatCode>
                <c:ptCount val="12"/>
                <c:pt idx="0">
                  <c:v>0.34622144112478032</c:v>
                </c:pt>
                <c:pt idx="1">
                  <c:v>9.4903339191564143E-2</c:v>
                </c:pt>
                <c:pt idx="2">
                  <c:v>5.4481546572934976E-2</c:v>
                </c:pt>
                <c:pt idx="3">
                  <c:v>0.12302284710017575</c:v>
                </c:pt>
                <c:pt idx="4">
                  <c:v>1.2302284710017574E-2</c:v>
                </c:pt>
                <c:pt idx="5">
                  <c:v>7.0298769771528994E-3</c:v>
                </c:pt>
                <c:pt idx="6">
                  <c:v>0.17047451669595781</c:v>
                </c:pt>
                <c:pt idx="7">
                  <c:v>0.14762741652021089</c:v>
                </c:pt>
                <c:pt idx="8">
                  <c:v>1.2302284710017574E-2</c:v>
                </c:pt>
                <c:pt idx="9">
                  <c:v>2.8119507908611598E-2</c:v>
                </c:pt>
                <c:pt idx="11">
                  <c:v>3.5149384885764497E-3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Musita-Lumino'!$AE$9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Musita-Lumino'!$AE$10:$AE$21</c:f>
              <c:numCache>
                <c:formatCode>0</c:formatCode>
                <c:ptCount val="12"/>
                <c:pt idx="0">
                  <c:v>40</c:v>
                </c:pt>
                <c:pt idx="1">
                  <c:v>27</c:v>
                </c:pt>
                <c:pt idx="2">
                  <c:v>34</c:v>
                </c:pt>
                <c:pt idx="3">
                  <c:v>55</c:v>
                </c:pt>
                <c:pt idx="4">
                  <c:v>48</c:v>
                </c:pt>
                <c:pt idx="5">
                  <c:v>61</c:v>
                </c:pt>
                <c:pt idx="6">
                  <c:v>60</c:v>
                </c:pt>
                <c:pt idx="7">
                  <c:v>42</c:v>
                </c:pt>
                <c:pt idx="8">
                  <c:v>43</c:v>
                </c:pt>
                <c:pt idx="9">
                  <c:v>46</c:v>
                </c:pt>
                <c:pt idx="10">
                  <c:v>47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'25.08 Musita-Lumino'!$AF$9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Musita-Lumino'!$AF$10:$AF$21</c:f>
              <c:numCache>
                <c:formatCode>0</c:formatCode>
                <c:ptCount val="12"/>
                <c:pt idx="0">
                  <c:v>151</c:v>
                </c:pt>
                <c:pt idx="1">
                  <c:v>167</c:v>
                </c:pt>
                <c:pt idx="2">
                  <c:v>190</c:v>
                </c:pt>
                <c:pt idx="3">
                  <c:v>187</c:v>
                </c:pt>
                <c:pt idx="4">
                  <c:v>232</c:v>
                </c:pt>
                <c:pt idx="5">
                  <c:v>244</c:v>
                </c:pt>
                <c:pt idx="6">
                  <c:v>261</c:v>
                </c:pt>
                <c:pt idx="7">
                  <c:v>208</c:v>
                </c:pt>
                <c:pt idx="8">
                  <c:v>233</c:v>
                </c:pt>
                <c:pt idx="9">
                  <c:v>259</c:v>
                </c:pt>
                <c:pt idx="10">
                  <c:v>206</c:v>
                </c:pt>
                <c:pt idx="11">
                  <c:v>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60648640"/>
        <c:axId val="-960653536"/>
      </c:lineChart>
      <c:catAx>
        <c:axId val="-9606486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53536"/>
        <c:crosses val="autoZero"/>
        <c:auto val="1"/>
        <c:lblAlgn val="ctr"/>
        <c:lblOffset val="100"/>
        <c:noMultiLvlLbl val="0"/>
      </c:catAx>
      <c:valAx>
        <c:axId val="-9606535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4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Musita-Lumino'!$C$59:$N$59</c:f>
              <c:numCache>
                <c:formatCode>0.0%</c:formatCode>
                <c:ptCount val="12"/>
                <c:pt idx="0">
                  <c:v>6.3311049941014552E-2</c:v>
                </c:pt>
                <c:pt idx="1">
                  <c:v>2.0448289421942586E-2</c:v>
                </c:pt>
                <c:pt idx="2">
                  <c:v>1.3763271726307511E-2</c:v>
                </c:pt>
                <c:pt idx="3">
                  <c:v>2.7133307117577665E-2</c:v>
                </c:pt>
                <c:pt idx="4">
                  <c:v>1.9661816751867871E-3</c:v>
                </c:pt>
                <c:pt idx="5">
                  <c:v>3.9323633503735744E-4</c:v>
                </c:pt>
                <c:pt idx="6">
                  <c:v>2.9099488792764451E-2</c:v>
                </c:pt>
                <c:pt idx="7">
                  <c:v>4.0896578843885173E-2</c:v>
                </c:pt>
                <c:pt idx="8">
                  <c:v>1.9268580416830515E-2</c:v>
                </c:pt>
                <c:pt idx="9">
                  <c:v>2.3594180102241447E-3</c:v>
                </c:pt>
                <c:pt idx="10">
                  <c:v>0.77900117970900506</c:v>
                </c:pt>
                <c:pt idx="11">
                  <c:v>2.3594180102241447E-3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Musita-Lumino'!$S$9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Musita-Lumino'!$S$10:$S$21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10</c:v>
                </c:pt>
                <c:pt idx="3">
                  <c:v>17</c:v>
                </c:pt>
                <c:pt idx="4">
                  <c:v>17</c:v>
                </c:pt>
                <c:pt idx="5">
                  <c:v>14</c:v>
                </c:pt>
                <c:pt idx="6">
                  <c:v>25</c:v>
                </c:pt>
                <c:pt idx="7">
                  <c:v>14</c:v>
                </c:pt>
                <c:pt idx="8">
                  <c:v>10</c:v>
                </c:pt>
                <c:pt idx="9">
                  <c:v>15</c:v>
                </c:pt>
                <c:pt idx="10">
                  <c:v>14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'25.08 Musita-Lumino'!$T$9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Musita-Lumino'!$T$10:$T$21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3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'25.08 Musita-Lumino'!$U$9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5</c:v>
                </c:pt>
                <c:pt idx="4">
                  <c:v>0</c:v>
                </c:pt>
                <c:pt idx="5">
                  <c:v>8</c:v>
                </c:pt>
                <c:pt idx="6">
                  <c:v>6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'25.08 Musita-Lumino'!$V$9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Musita-Lumino'!$V$10:$V$21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5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'25.08 Musita-Lumino'!$W$9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'25.08 Musita-Lumino'!$X$9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'25.08 Musita-Lumino'!$Y$9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7</c:v>
                </c:pt>
                <c:pt idx="4">
                  <c:v>6</c:v>
                </c:pt>
                <c:pt idx="5">
                  <c:v>13</c:v>
                </c:pt>
                <c:pt idx="6">
                  <c:v>8</c:v>
                </c:pt>
                <c:pt idx="7">
                  <c:v>7</c:v>
                </c:pt>
                <c:pt idx="8">
                  <c:v>10</c:v>
                </c:pt>
                <c:pt idx="9">
                  <c:v>9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'25.08 Musita-Lumino'!$Z$9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Musita-Lumino'!$Z$10:$Z$21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11</c:v>
                </c:pt>
                <c:pt idx="5">
                  <c:v>13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10</c:v>
                </c:pt>
                <c:pt idx="10">
                  <c:v>13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'25.08 Musita-Lumino'!$AA$9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Musita-Lumino'!$AA$10:$AA$21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10</c:v>
                </c:pt>
                <c:pt idx="3">
                  <c:v>9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7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'25.08 Musita-Lumino'!$AB$9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'25.08 Musita-Lumino'!$AC$9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Musita-Lumino'!$AC$10:$AC$21</c:f>
              <c:numCache>
                <c:formatCode>0</c:formatCode>
                <c:ptCount val="12"/>
                <c:pt idx="0">
                  <c:v>111</c:v>
                </c:pt>
                <c:pt idx="1">
                  <c:v>140</c:v>
                </c:pt>
                <c:pt idx="2">
                  <c:v>156</c:v>
                </c:pt>
                <c:pt idx="3">
                  <c:v>132</c:v>
                </c:pt>
                <c:pt idx="4">
                  <c:v>184</c:v>
                </c:pt>
                <c:pt idx="5">
                  <c:v>183</c:v>
                </c:pt>
                <c:pt idx="6">
                  <c:v>201</c:v>
                </c:pt>
                <c:pt idx="7">
                  <c:v>166</c:v>
                </c:pt>
                <c:pt idx="8">
                  <c:v>190</c:v>
                </c:pt>
                <c:pt idx="9">
                  <c:v>213</c:v>
                </c:pt>
                <c:pt idx="10">
                  <c:v>159</c:v>
                </c:pt>
                <c:pt idx="11">
                  <c:v>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'25.08 Musita-Lumino'!$AD$9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Musita-Lumino'!$AD$10:$AD$21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60643200"/>
        <c:axId val="-960642656"/>
      </c:lineChart>
      <c:catAx>
        <c:axId val="-96064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42656"/>
        <c:crosses val="autoZero"/>
        <c:auto val="1"/>
        <c:lblAlgn val="ctr"/>
        <c:lblOffset val="100"/>
        <c:noMultiLvlLbl val="0"/>
      </c:catAx>
      <c:valAx>
        <c:axId val="-9606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6064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Musita-Lumino'!$C$60:$N$60</c:f>
              <c:numCache>
                <c:formatCode>0.00%</c:formatCode>
                <c:ptCount val="12"/>
                <c:pt idx="0">
                  <c:v>0.28647686832740216</c:v>
                </c:pt>
                <c:pt idx="1">
                  <c:v>9.2526690391459068E-2</c:v>
                </c:pt>
                <c:pt idx="2">
                  <c:v>6.2277580071174378E-2</c:v>
                </c:pt>
                <c:pt idx="3">
                  <c:v>0.12277580071174377</c:v>
                </c:pt>
                <c:pt idx="4">
                  <c:v>8.8967971530249119E-3</c:v>
                </c:pt>
                <c:pt idx="5">
                  <c:v>1.7793594306049821E-3</c:v>
                </c:pt>
                <c:pt idx="6">
                  <c:v>0.13167259786476868</c:v>
                </c:pt>
                <c:pt idx="7">
                  <c:v>0.18505338078291814</c:v>
                </c:pt>
                <c:pt idx="8">
                  <c:v>8.7188612099644125E-2</c:v>
                </c:pt>
                <c:pt idx="9">
                  <c:v>1.0676156583629894E-2</c:v>
                </c:pt>
                <c:pt idx="11">
                  <c:v>1.0676156583629894E-2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Lumino-Musita'!$AE$9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Lumino-Musita'!$AE$10:$AE$21</c:f>
              <c:numCache>
                <c:formatCode>0</c:formatCode>
                <c:ptCount val="12"/>
                <c:pt idx="0">
                  <c:v>38</c:v>
                </c:pt>
                <c:pt idx="1">
                  <c:v>28</c:v>
                </c:pt>
                <c:pt idx="2">
                  <c:v>30</c:v>
                </c:pt>
                <c:pt idx="3">
                  <c:v>42</c:v>
                </c:pt>
                <c:pt idx="4">
                  <c:v>50</c:v>
                </c:pt>
                <c:pt idx="5">
                  <c:v>42</c:v>
                </c:pt>
                <c:pt idx="6">
                  <c:v>40</c:v>
                </c:pt>
                <c:pt idx="7">
                  <c:v>55</c:v>
                </c:pt>
                <c:pt idx="8">
                  <c:v>55</c:v>
                </c:pt>
                <c:pt idx="9">
                  <c:v>58</c:v>
                </c:pt>
                <c:pt idx="10">
                  <c:v>52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'25.08 Lumino-Musita'!$AF$9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Lumino-Musita'!$AF$10:$AF$21</c:f>
              <c:numCache>
                <c:formatCode>0</c:formatCode>
                <c:ptCount val="12"/>
                <c:pt idx="0">
                  <c:v>198</c:v>
                </c:pt>
                <c:pt idx="1">
                  <c:v>198</c:v>
                </c:pt>
                <c:pt idx="2">
                  <c:v>205</c:v>
                </c:pt>
                <c:pt idx="3">
                  <c:v>202</c:v>
                </c:pt>
                <c:pt idx="4">
                  <c:v>213</c:v>
                </c:pt>
                <c:pt idx="5">
                  <c:v>206</c:v>
                </c:pt>
                <c:pt idx="6">
                  <c:v>219</c:v>
                </c:pt>
                <c:pt idx="7">
                  <c:v>190</c:v>
                </c:pt>
                <c:pt idx="8">
                  <c:v>242</c:v>
                </c:pt>
                <c:pt idx="9">
                  <c:v>276</c:v>
                </c:pt>
                <c:pt idx="10">
                  <c:v>180</c:v>
                </c:pt>
                <c:pt idx="11">
                  <c:v>192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8679088"/>
        <c:axId val="-958680720"/>
      </c:lineChart>
      <c:catAx>
        <c:axId val="-958679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8680720"/>
        <c:crosses val="autoZero"/>
        <c:auto val="1"/>
        <c:lblAlgn val="ctr"/>
        <c:lblOffset val="100"/>
        <c:noMultiLvlLbl val="0"/>
      </c:catAx>
      <c:valAx>
        <c:axId val="-958680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867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Lumino-Musita'!$C$59:$N$59</c:f>
              <c:numCache>
                <c:formatCode>0.0%</c:formatCode>
                <c:ptCount val="12"/>
                <c:pt idx="0">
                  <c:v>7.0210234034113445E-2</c:v>
                </c:pt>
                <c:pt idx="1">
                  <c:v>2.6180087266957558E-2</c:v>
                </c:pt>
                <c:pt idx="2">
                  <c:v>1.1503371677905593E-2</c:v>
                </c:pt>
                <c:pt idx="3">
                  <c:v>3.7683458944863149E-2</c:v>
                </c:pt>
                <c:pt idx="4">
                  <c:v>1.1900039666798889E-3</c:v>
                </c:pt>
                <c:pt idx="5">
                  <c:v>3.9666798889329631E-4</c:v>
                </c:pt>
                <c:pt idx="6">
                  <c:v>3.1336771122570412E-2</c:v>
                </c:pt>
                <c:pt idx="7">
                  <c:v>3.2526775089250295E-2</c:v>
                </c:pt>
                <c:pt idx="8">
                  <c:v>3.1733439111463705E-3</c:v>
                </c:pt>
                <c:pt idx="9">
                  <c:v>4.7600158667195558E-3</c:v>
                </c:pt>
                <c:pt idx="10">
                  <c:v>0.77865926219754067</c:v>
                </c:pt>
                <c:pt idx="11">
                  <c:v>2.3800079333597779E-3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Lumino-Musita'!$C$60:$N$60</c:f>
              <c:numCache>
                <c:formatCode>0.00%</c:formatCode>
                <c:ptCount val="12"/>
                <c:pt idx="0">
                  <c:v>0.31720430107526881</c:v>
                </c:pt>
                <c:pt idx="1">
                  <c:v>0.11827956989247312</c:v>
                </c:pt>
                <c:pt idx="2">
                  <c:v>5.197132616487455E-2</c:v>
                </c:pt>
                <c:pt idx="3">
                  <c:v>0.17025089605734767</c:v>
                </c:pt>
                <c:pt idx="4">
                  <c:v>5.3763440860215058E-3</c:v>
                </c:pt>
                <c:pt idx="5">
                  <c:v>1.7921146953405018E-3</c:v>
                </c:pt>
                <c:pt idx="6">
                  <c:v>0.14157706093189965</c:v>
                </c:pt>
                <c:pt idx="7">
                  <c:v>0.14695340501792115</c:v>
                </c:pt>
                <c:pt idx="8">
                  <c:v>1.4336917562724014E-2</c:v>
                </c:pt>
                <c:pt idx="9">
                  <c:v>2.1505376344086023E-2</c:v>
                </c:pt>
                <c:pt idx="11">
                  <c:v>1.0752688172043012E-2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Musita-Lumino-24h'!$AE$9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Musita-Lumino-24h'!$R$10:$R$33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Musita-Lumino-24h'!$AE$10:$AE$33</c:f>
              <c:numCache>
                <c:formatCode>0</c:formatCode>
                <c:ptCount val="24"/>
                <c:pt idx="0">
                  <c:v>51</c:v>
                </c:pt>
                <c:pt idx="1">
                  <c:v>57</c:v>
                </c:pt>
                <c:pt idx="2">
                  <c:v>49</c:v>
                </c:pt>
                <c:pt idx="3">
                  <c:v>53</c:v>
                </c:pt>
                <c:pt idx="4">
                  <c:v>64</c:v>
                </c:pt>
                <c:pt idx="5">
                  <c:v>59</c:v>
                </c:pt>
                <c:pt idx="6">
                  <c:v>67</c:v>
                </c:pt>
                <c:pt idx="7">
                  <c:v>40</c:v>
                </c:pt>
                <c:pt idx="8">
                  <c:v>60</c:v>
                </c:pt>
                <c:pt idx="9">
                  <c:v>53</c:v>
                </c:pt>
                <c:pt idx="10">
                  <c:v>37</c:v>
                </c:pt>
                <c:pt idx="11">
                  <c:v>60</c:v>
                </c:pt>
                <c:pt idx="12">
                  <c:v>96</c:v>
                </c:pt>
                <c:pt idx="13">
                  <c:v>43</c:v>
                </c:pt>
                <c:pt idx="14">
                  <c:v>35</c:v>
                </c:pt>
                <c:pt idx="15">
                  <c:v>38</c:v>
                </c:pt>
                <c:pt idx="16">
                  <c:v>14</c:v>
                </c:pt>
                <c:pt idx="17">
                  <c:v>12</c:v>
                </c:pt>
                <c:pt idx="18">
                  <c:v>12</c:v>
                </c:pt>
                <c:pt idx="19">
                  <c:v>8</c:v>
                </c:pt>
                <c:pt idx="20">
                  <c:v>9</c:v>
                </c:pt>
                <c:pt idx="21">
                  <c:v>14</c:v>
                </c:pt>
                <c:pt idx="22">
                  <c:v>23</c:v>
                </c:pt>
                <c:pt idx="23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'26.08 Musita-Lumino-24h'!$AF$9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Musita-Lumino-24h'!$R$10:$R$33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Musita-Lumino-24h'!$AF$10:$AF$33</c:f>
              <c:numCache>
                <c:formatCode>0</c:formatCode>
                <c:ptCount val="24"/>
                <c:pt idx="0">
                  <c:v>178</c:v>
                </c:pt>
                <c:pt idx="1">
                  <c:v>224</c:v>
                </c:pt>
                <c:pt idx="2">
                  <c:v>166</c:v>
                </c:pt>
                <c:pt idx="3">
                  <c:v>169</c:v>
                </c:pt>
                <c:pt idx="4">
                  <c:v>353</c:v>
                </c:pt>
                <c:pt idx="5">
                  <c:v>292</c:v>
                </c:pt>
                <c:pt idx="6">
                  <c:v>283</c:v>
                </c:pt>
                <c:pt idx="7">
                  <c:v>193</c:v>
                </c:pt>
                <c:pt idx="8">
                  <c:v>216</c:v>
                </c:pt>
                <c:pt idx="9">
                  <c:v>206</c:v>
                </c:pt>
                <c:pt idx="10">
                  <c:v>222</c:v>
                </c:pt>
                <c:pt idx="11">
                  <c:v>247</c:v>
                </c:pt>
                <c:pt idx="12">
                  <c:v>253</c:v>
                </c:pt>
                <c:pt idx="13">
                  <c:v>136</c:v>
                </c:pt>
                <c:pt idx="14">
                  <c:v>91</c:v>
                </c:pt>
                <c:pt idx="15">
                  <c:v>74</c:v>
                </c:pt>
                <c:pt idx="16">
                  <c:v>42</c:v>
                </c:pt>
                <c:pt idx="17">
                  <c:v>16</c:v>
                </c:pt>
                <c:pt idx="18">
                  <c:v>13</c:v>
                </c:pt>
                <c:pt idx="19">
                  <c:v>8</c:v>
                </c:pt>
                <c:pt idx="20">
                  <c:v>9</c:v>
                </c:pt>
                <c:pt idx="21">
                  <c:v>22</c:v>
                </c:pt>
                <c:pt idx="22">
                  <c:v>41</c:v>
                </c:pt>
                <c:pt idx="23">
                  <c:v>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5414880"/>
        <c:axId val="-955415968"/>
      </c:lineChart>
      <c:catAx>
        <c:axId val="-955414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15968"/>
        <c:crosses val="autoZero"/>
        <c:auto val="1"/>
        <c:lblAlgn val="ctr"/>
        <c:lblOffset val="100"/>
        <c:noMultiLvlLbl val="0"/>
      </c:catAx>
      <c:valAx>
        <c:axId val="-955415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1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Musita-Lumino-24h'!$C$9:$N$9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Musita-Lumino-24h'!$C$107:$N$107</c:f>
              <c:numCache>
                <c:formatCode>0.0%</c:formatCode>
                <c:ptCount val="12"/>
                <c:pt idx="0">
                  <c:v>7.7312341861118919E-2</c:v>
                </c:pt>
                <c:pt idx="1">
                  <c:v>2.7270171492831036E-2</c:v>
                </c:pt>
                <c:pt idx="2">
                  <c:v>1.6587011526567334E-2</c:v>
                </c:pt>
                <c:pt idx="3">
                  <c:v>3.092493674444757E-2</c:v>
                </c:pt>
                <c:pt idx="4">
                  <c:v>3.6547652516165309E-3</c:v>
                </c:pt>
                <c:pt idx="5">
                  <c:v>5.6227157717177395E-4</c:v>
                </c:pt>
                <c:pt idx="6">
                  <c:v>3.5985380938993533E-2</c:v>
                </c:pt>
                <c:pt idx="7">
                  <c:v>5.4259207197076186E-2</c:v>
                </c:pt>
                <c:pt idx="8">
                  <c:v>1.7992690469496767E-2</c:v>
                </c:pt>
                <c:pt idx="9">
                  <c:v>1.2369974697779028E-2</c:v>
                </c:pt>
                <c:pt idx="10">
                  <c:v>0.71886421141411305</c:v>
                </c:pt>
                <c:pt idx="11">
                  <c:v>4.2170368287883049E-3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Musita-Lumino-24h'!$C$9:$N$9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Musita-Lumino-24h'!$C$108:$N$108</c:f>
              <c:numCache>
                <c:formatCode>0.00%</c:formatCode>
                <c:ptCount val="12"/>
                <c:pt idx="0">
                  <c:v>0.27500000000000002</c:v>
                </c:pt>
                <c:pt idx="1">
                  <c:v>9.7000000000000003E-2</c:v>
                </c:pt>
                <c:pt idx="2">
                  <c:v>5.8999999999999997E-2</c:v>
                </c:pt>
                <c:pt idx="3">
                  <c:v>0.11</c:v>
                </c:pt>
                <c:pt idx="4">
                  <c:v>1.2999999999999999E-2</c:v>
                </c:pt>
                <c:pt idx="5">
                  <c:v>2E-3</c:v>
                </c:pt>
                <c:pt idx="6">
                  <c:v>0.128</c:v>
                </c:pt>
                <c:pt idx="7">
                  <c:v>0.193</c:v>
                </c:pt>
                <c:pt idx="8">
                  <c:v>6.4000000000000001E-2</c:v>
                </c:pt>
                <c:pt idx="9">
                  <c:v>4.3999999999999997E-2</c:v>
                </c:pt>
                <c:pt idx="11">
                  <c:v>1.4999999999999999E-2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Lumino-Musita-24h'!$AE$9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Lumino-Musita-24h'!$R$10:$R$33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Lumino-Musita-24h'!$AE$10:$AE$33</c:f>
              <c:numCache>
                <c:formatCode>0</c:formatCode>
                <c:ptCount val="24"/>
                <c:pt idx="0">
                  <c:v>39</c:v>
                </c:pt>
                <c:pt idx="1">
                  <c:v>38</c:v>
                </c:pt>
                <c:pt idx="2">
                  <c:v>35</c:v>
                </c:pt>
                <c:pt idx="3">
                  <c:v>39</c:v>
                </c:pt>
                <c:pt idx="4">
                  <c:v>38</c:v>
                </c:pt>
                <c:pt idx="5">
                  <c:v>66</c:v>
                </c:pt>
                <c:pt idx="6">
                  <c:v>59</c:v>
                </c:pt>
                <c:pt idx="7">
                  <c:v>53</c:v>
                </c:pt>
                <c:pt idx="8">
                  <c:v>55</c:v>
                </c:pt>
                <c:pt idx="9">
                  <c:v>62</c:v>
                </c:pt>
                <c:pt idx="10">
                  <c:v>67</c:v>
                </c:pt>
                <c:pt idx="11">
                  <c:v>85</c:v>
                </c:pt>
                <c:pt idx="12">
                  <c:v>85</c:v>
                </c:pt>
                <c:pt idx="13">
                  <c:v>43</c:v>
                </c:pt>
                <c:pt idx="14">
                  <c:v>39</c:v>
                </c:pt>
                <c:pt idx="15">
                  <c:v>34</c:v>
                </c:pt>
                <c:pt idx="16">
                  <c:v>24</c:v>
                </c:pt>
                <c:pt idx="17">
                  <c:v>14</c:v>
                </c:pt>
                <c:pt idx="18">
                  <c:v>10</c:v>
                </c:pt>
                <c:pt idx="19">
                  <c:v>11</c:v>
                </c:pt>
                <c:pt idx="20">
                  <c:v>14</c:v>
                </c:pt>
                <c:pt idx="21">
                  <c:v>22</c:v>
                </c:pt>
                <c:pt idx="22">
                  <c:v>25</c:v>
                </c:pt>
                <c:pt idx="23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'26.08 Lumino-Musita-24h'!$AF$9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Lumino-Musita-24h'!$R$10:$R$33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Lumino-Musita-24h'!$AF$10:$AF$33</c:f>
              <c:numCache>
                <c:formatCode>0</c:formatCode>
                <c:ptCount val="24"/>
                <c:pt idx="0">
                  <c:v>142</c:v>
                </c:pt>
                <c:pt idx="1">
                  <c:v>215</c:v>
                </c:pt>
                <c:pt idx="2">
                  <c:v>152</c:v>
                </c:pt>
                <c:pt idx="3">
                  <c:v>175</c:v>
                </c:pt>
                <c:pt idx="4">
                  <c:v>259</c:v>
                </c:pt>
                <c:pt idx="5">
                  <c:v>305</c:v>
                </c:pt>
                <c:pt idx="6">
                  <c:v>286</c:v>
                </c:pt>
                <c:pt idx="7">
                  <c:v>222</c:v>
                </c:pt>
                <c:pt idx="8">
                  <c:v>223</c:v>
                </c:pt>
                <c:pt idx="9">
                  <c:v>247</c:v>
                </c:pt>
                <c:pt idx="10">
                  <c:v>266</c:v>
                </c:pt>
                <c:pt idx="11">
                  <c:v>308</c:v>
                </c:pt>
                <c:pt idx="12">
                  <c:v>272</c:v>
                </c:pt>
                <c:pt idx="13">
                  <c:v>170</c:v>
                </c:pt>
                <c:pt idx="14">
                  <c:v>83</c:v>
                </c:pt>
                <c:pt idx="15">
                  <c:v>63</c:v>
                </c:pt>
                <c:pt idx="16">
                  <c:v>49</c:v>
                </c:pt>
                <c:pt idx="17">
                  <c:v>17</c:v>
                </c:pt>
                <c:pt idx="18">
                  <c:v>10</c:v>
                </c:pt>
                <c:pt idx="19">
                  <c:v>11</c:v>
                </c:pt>
                <c:pt idx="20">
                  <c:v>14</c:v>
                </c:pt>
                <c:pt idx="21">
                  <c:v>30</c:v>
                </c:pt>
                <c:pt idx="22">
                  <c:v>53</c:v>
                </c:pt>
                <c:pt idx="23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5424128"/>
        <c:axId val="-955418688"/>
      </c:lineChart>
      <c:catAx>
        <c:axId val="-9554241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18688"/>
        <c:crosses val="autoZero"/>
        <c:auto val="1"/>
        <c:lblAlgn val="ctr"/>
        <c:lblOffset val="100"/>
        <c:noMultiLvlLbl val="0"/>
      </c:catAx>
      <c:valAx>
        <c:axId val="-955418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2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Lumino-Musita-24h'!$C$9:$N$9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Lumino-Musita-24h'!$C$107:$N$107</c:f>
              <c:numCache>
                <c:formatCode>0.0%</c:formatCode>
                <c:ptCount val="12"/>
                <c:pt idx="0">
                  <c:v>8.360477741585233E-2</c:v>
                </c:pt>
                <c:pt idx="1">
                  <c:v>2.4158523344191097E-2</c:v>
                </c:pt>
                <c:pt idx="2">
                  <c:v>1.9815418023887078E-2</c:v>
                </c:pt>
                <c:pt idx="3">
                  <c:v>3.691639522258415E-2</c:v>
                </c:pt>
                <c:pt idx="4">
                  <c:v>4.6145494028230188E-3</c:v>
                </c:pt>
                <c:pt idx="5">
                  <c:v>1.0857763300760044E-3</c:v>
                </c:pt>
                <c:pt idx="6">
                  <c:v>3.6373507057546148E-2</c:v>
                </c:pt>
                <c:pt idx="7">
                  <c:v>3.4744842562432141E-2</c:v>
                </c:pt>
                <c:pt idx="8">
                  <c:v>1.4657980456026058E-2</c:v>
                </c:pt>
                <c:pt idx="9">
                  <c:v>1.6829533116178068E-2</c:v>
                </c:pt>
                <c:pt idx="10">
                  <c:v>0.72529858849077089</c:v>
                </c:pt>
                <c:pt idx="11">
                  <c:v>1.9001085776330076E-3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Lumino-Musita-24h'!$C$9:$N$9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Lumino-Musita-24h'!$C$108:$N$108</c:f>
              <c:numCache>
                <c:formatCode>0.00%</c:formatCode>
                <c:ptCount val="12"/>
                <c:pt idx="0">
                  <c:v>0.30434782608695654</c:v>
                </c:pt>
                <c:pt idx="1">
                  <c:v>8.7944664031620559E-2</c:v>
                </c:pt>
                <c:pt idx="2">
                  <c:v>7.2134387351778656E-2</c:v>
                </c:pt>
                <c:pt idx="3">
                  <c:v>0.13438735177865613</c:v>
                </c:pt>
                <c:pt idx="4">
                  <c:v>1.6798418972332016E-2</c:v>
                </c:pt>
                <c:pt idx="5">
                  <c:v>3.952569169960474E-3</c:v>
                </c:pt>
                <c:pt idx="6">
                  <c:v>0.1324110671936759</c:v>
                </c:pt>
                <c:pt idx="7">
                  <c:v>0.12648221343873517</c:v>
                </c:pt>
                <c:pt idx="8">
                  <c:v>5.33596837944664E-2</c:v>
                </c:pt>
                <c:pt idx="9">
                  <c:v>6.1264822134387352E-2</c:v>
                </c:pt>
                <c:pt idx="11">
                  <c:v>6.91699604743083E-3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Musita-Lumino'!$AE$9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Musita-Lumino'!$AE$10:$AE$21</c:f>
              <c:numCache>
                <c:formatCode>0</c:formatCode>
                <c:ptCount val="12"/>
                <c:pt idx="0">
                  <c:v>41</c:v>
                </c:pt>
                <c:pt idx="1">
                  <c:v>48</c:v>
                </c:pt>
                <c:pt idx="2">
                  <c:v>43</c:v>
                </c:pt>
                <c:pt idx="3">
                  <c:v>42</c:v>
                </c:pt>
                <c:pt idx="4">
                  <c:v>40</c:v>
                </c:pt>
                <c:pt idx="5">
                  <c:v>43</c:v>
                </c:pt>
                <c:pt idx="6">
                  <c:v>64</c:v>
                </c:pt>
                <c:pt idx="7">
                  <c:v>71</c:v>
                </c:pt>
                <c:pt idx="8">
                  <c:v>61</c:v>
                </c:pt>
                <c:pt idx="9">
                  <c:v>45</c:v>
                </c:pt>
                <c:pt idx="10">
                  <c:v>52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'27.08 Musita-Lumino'!$AF$9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Musita-Lumino'!$AF$10:$AF$21</c:f>
              <c:numCache>
                <c:formatCode>0</c:formatCode>
                <c:ptCount val="12"/>
                <c:pt idx="0">
                  <c:v>189</c:v>
                </c:pt>
                <c:pt idx="1">
                  <c:v>230</c:v>
                </c:pt>
                <c:pt idx="2">
                  <c:v>209</c:v>
                </c:pt>
                <c:pt idx="3">
                  <c:v>178</c:v>
                </c:pt>
                <c:pt idx="4">
                  <c:v>228</c:v>
                </c:pt>
                <c:pt idx="5">
                  <c:v>243</c:v>
                </c:pt>
                <c:pt idx="6">
                  <c:v>240</c:v>
                </c:pt>
                <c:pt idx="7">
                  <c:v>288</c:v>
                </c:pt>
                <c:pt idx="8">
                  <c:v>257</c:v>
                </c:pt>
                <c:pt idx="9">
                  <c:v>152</c:v>
                </c:pt>
                <c:pt idx="10">
                  <c:v>208</c:v>
                </c:pt>
                <c:pt idx="11">
                  <c:v>310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8675824"/>
        <c:axId val="-958675280"/>
      </c:lineChart>
      <c:catAx>
        <c:axId val="-958675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8675280"/>
        <c:crosses val="autoZero"/>
        <c:auto val="1"/>
        <c:lblAlgn val="ctr"/>
        <c:lblOffset val="100"/>
        <c:noMultiLvlLbl val="0"/>
      </c:catAx>
      <c:valAx>
        <c:axId val="-958675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867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Musita-Lumino'!$C$59:$N$59</c:f>
              <c:numCache>
                <c:formatCode>0.0%</c:formatCode>
                <c:ptCount val="12"/>
                <c:pt idx="0">
                  <c:v>6.6983894582723275E-2</c:v>
                </c:pt>
                <c:pt idx="1">
                  <c:v>2.4524158125915081E-2</c:v>
                </c:pt>
                <c:pt idx="2">
                  <c:v>1.5373352855051245E-2</c:v>
                </c:pt>
                <c:pt idx="3">
                  <c:v>2.7086383601756955E-2</c:v>
                </c:pt>
                <c:pt idx="4">
                  <c:v>2.9282576866764276E-3</c:v>
                </c:pt>
                <c:pt idx="5">
                  <c:v>7.320644216691069E-4</c:v>
                </c:pt>
                <c:pt idx="6">
                  <c:v>3.5871156661786238E-2</c:v>
                </c:pt>
                <c:pt idx="7">
                  <c:v>3.7335285505124452E-2</c:v>
                </c:pt>
                <c:pt idx="8">
                  <c:v>1.0980966325036604E-2</c:v>
                </c:pt>
                <c:pt idx="9">
                  <c:v>6.5885797950219621E-3</c:v>
                </c:pt>
                <c:pt idx="10">
                  <c:v>0.76830161054172763</c:v>
                </c:pt>
                <c:pt idx="11">
                  <c:v>3.2942898975109811E-3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Musita-Lumino'!$S$9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Musita-Lumino'!$S$10:$S$21</c:f>
              <c:numCache>
                <c:formatCode>0</c:formatCode>
                <c:ptCount val="12"/>
                <c:pt idx="0">
                  <c:v>13</c:v>
                </c:pt>
                <c:pt idx="1">
                  <c:v>4</c:v>
                </c:pt>
                <c:pt idx="2">
                  <c:v>13</c:v>
                </c:pt>
                <c:pt idx="3">
                  <c:v>14</c:v>
                </c:pt>
                <c:pt idx="4">
                  <c:v>13</c:v>
                </c:pt>
                <c:pt idx="5">
                  <c:v>10</c:v>
                </c:pt>
                <c:pt idx="6">
                  <c:v>15</c:v>
                </c:pt>
                <c:pt idx="7">
                  <c:v>24</c:v>
                </c:pt>
                <c:pt idx="8">
                  <c:v>17</c:v>
                </c:pt>
                <c:pt idx="9">
                  <c:v>21</c:v>
                </c:pt>
                <c:pt idx="10">
                  <c:v>15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'27.08 Musita-Lumino'!$T$9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'27.08 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Musita-Lumino'!$T$10:$T$21</c:f>
              <c:numCache>
                <c:formatCode>0</c:formatCode>
                <c:ptCount val="12"/>
                <c:pt idx="0">
                  <c:v>3</c:v>
                </c:pt>
                <c:pt idx="1">
                  <c:v>12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1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'27.08 Musita-Lumino'!$U$9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Musita-Lumino'!$U$10:$U$21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'27.08 Musita-Lumino'!$V$9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Musita-Lumino'!$V$10:$V$21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  <c:pt idx="6">
                  <c:v>9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'27.08 Musita-Lumino'!$W$9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Musita-Lumino'!$W$10:$W$21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'27.08 Musita-Lumino'!$X$9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'27.08 Musita-Lumino'!$Y$9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Musita-Lumino'!$Y$10:$Y$21</c:f>
              <c:numCache>
                <c:formatCode>0</c:formatCode>
                <c:ptCount val="12"/>
                <c:pt idx="0">
                  <c:v>8</c:v>
                </c:pt>
                <c:pt idx="1">
                  <c:v>6</c:v>
                </c:pt>
                <c:pt idx="2">
                  <c:v>11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10</c:v>
                </c:pt>
                <c:pt idx="7">
                  <c:v>11</c:v>
                </c:pt>
                <c:pt idx="8">
                  <c:v>8</c:v>
                </c:pt>
                <c:pt idx="9">
                  <c:v>6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'27.08 Musita-Lumino'!$Z$9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Musita-Lumino'!$Z$10:$Z$21</c:f>
              <c:numCache>
                <c:formatCode>0</c:formatCode>
                <c:ptCount val="12"/>
                <c:pt idx="0">
                  <c:v>7</c:v>
                </c:pt>
                <c:pt idx="1">
                  <c:v>13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13</c:v>
                </c:pt>
                <c:pt idx="7">
                  <c:v>10</c:v>
                </c:pt>
                <c:pt idx="8">
                  <c:v>15</c:v>
                </c:pt>
                <c:pt idx="9">
                  <c:v>5</c:v>
                </c:pt>
                <c:pt idx="10">
                  <c:v>6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'27.08 Musita-Lumino'!$AA$9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Musita-Lumino'!$AA$10:$AA$21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'27.08 Musita-Lumino'!$AB$9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'27.08 Musita-Lumino'!$AC$9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Musita-Lumino'!$AC$10:$AC$21</c:f>
              <c:numCache>
                <c:formatCode>0</c:formatCode>
                <c:ptCount val="12"/>
                <c:pt idx="0">
                  <c:v>148</c:v>
                </c:pt>
                <c:pt idx="1">
                  <c:v>182</c:v>
                </c:pt>
                <c:pt idx="2">
                  <c:v>166</c:v>
                </c:pt>
                <c:pt idx="3">
                  <c:v>136</c:v>
                </c:pt>
                <c:pt idx="4">
                  <c:v>188</c:v>
                </c:pt>
                <c:pt idx="5">
                  <c:v>200</c:v>
                </c:pt>
                <c:pt idx="6">
                  <c:v>176</c:v>
                </c:pt>
                <c:pt idx="7">
                  <c:v>217</c:v>
                </c:pt>
                <c:pt idx="8">
                  <c:v>196</c:v>
                </c:pt>
                <c:pt idx="9">
                  <c:v>107</c:v>
                </c:pt>
                <c:pt idx="10">
                  <c:v>156</c:v>
                </c:pt>
                <c:pt idx="11">
                  <c:v>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'27.08 Musita-Lumino'!$AD$9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Musita-Lumino'!$AD$10:$AD$21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57799200"/>
        <c:axId val="-957787776"/>
      </c:lineChart>
      <c:catAx>
        <c:axId val="-95779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87776"/>
        <c:crosses val="autoZero"/>
        <c:auto val="1"/>
        <c:lblAlgn val="ctr"/>
        <c:lblOffset val="100"/>
        <c:noMultiLvlLbl val="0"/>
      </c:catAx>
      <c:valAx>
        <c:axId val="-9577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99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Musita-Lumino'!$C$60:$N$60</c:f>
              <c:numCache>
                <c:formatCode>0.00%</c:formatCode>
                <c:ptCount val="12"/>
                <c:pt idx="0">
                  <c:v>0.2890995260663507</c:v>
                </c:pt>
                <c:pt idx="1">
                  <c:v>0.10584518167456557</c:v>
                </c:pt>
                <c:pt idx="2">
                  <c:v>6.6350710900473939E-2</c:v>
                </c:pt>
                <c:pt idx="3">
                  <c:v>0.11690363349131122</c:v>
                </c:pt>
                <c:pt idx="4">
                  <c:v>1.2638230647709321E-2</c:v>
                </c:pt>
                <c:pt idx="5">
                  <c:v>3.1595576619273301E-3</c:v>
                </c:pt>
                <c:pt idx="6">
                  <c:v>0.15481832543443919</c:v>
                </c:pt>
                <c:pt idx="7">
                  <c:v>0.16113744075829384</c:v>
                </c:pt>
                <c:pt idx="8">
                  <c:v>4.7393364928909949E-2</c:v>
                </c:pt>
                <c:pt idx="9">
                  <c:v>2.843601895734597E-2</c:v>
                </c:pt>
                <c:pt idx="11">
                  <c:v>1.4218009478672985E-2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Lumino-Musita'!$AE$9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Lumino-Musita'!$AE$10:$AE$21</c:f>
              <c:numCache>
                <c:formatCode>0</c:formatCode>
                <c:ptCount val="12"/>
                <c:pt idx="0">
                  <c:v>28</c:v>
                </c:pt>
                <c:pt idx="1">
                  <c:v>46</c:v>
                </c:pt>
                <c:pt idx="2">
                  <c:v>47</c:v>
                </c:pt>
                <c:pt idx="3">
                  <c:v>34</c:v>
                </c:pt>
                <c:pt idx="4">
                  <c:v>47</c:v>
                </c:pt>
                <c:pt idx="5">
                  <c:v>47</c:v>
                </c:pt>
                <c:pt idx="6">
                  <c:v>45</c:v>
                </c:pt>
                <c:pt idx="7">
                  <c:v>62</c:v>
                </c:pt>
                <c:pt idx="8">
                  <c:v>64</c:v>
                </c:pt>
                <c:pt idx="9">
                  <c:v>61</c:v>
                </c:pt>
                <c:pt idx="10">
                  <c:v>68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'27.08 Lumino-Musita'!$AF$9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Lumino-Musita'!$AF$10:$AF$21</c:f>
              <c:numCache>
                <c:formatCode>0</c:formatCode>
                <c:ptCount val="12"/>
                <c:pt idx="0">
                  <c:v>194</c:v>
                </c:pt>
                <c:pt idx="1">
                  <c:v>215</c:v>
                </c:pt>
                <c:pt idx="2">
                  <c:v>184</c:v>
                </c:pt>
                <c:pt idx="3">
                  <c:v>164</c:v>
                </c:pt>
                <c:pt idx="4">
                  <c:v>242</c:v>
                </c:pt>
                <c:pt idx="5">
                  <c:v>282</c:v>
                </c:pt>
                <c:pt idx="6">
                  <c:v>215</c:v>
                </c:pt>
                <c:pt idx="7">
                  <c:v>256</c:v>
                </c:pt>
                <c:pt idx="8">
                  <c:v>240</c:v>
                </c:pt>
                <c:pt idx="9">
                  <c:v>165</c:v>
                </c:pt>
                <c:pt idx="10">
                  <c:v>346</c:v>
                </c:pt>
                <c:pt idx="11">
                  <c:v>354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7797568"/>
        <c:axId val="-957787232"/>
      </c:lineChart>
      <c:catAx>
        <c:axId val="-9577975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87232"/>
        <c:crosses val="autoZero"/>
        <c:auto val="1"/>
        <c:lblAlgn val="ctr"/>
        <c:lblOffset val="100"/>
        <c:noMultiLvlLbl val="0"/>
      </c:catAx>
      <c:valAx>
        <c:axId val="-9577872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9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Lumino-Musita'!$C$59:$N$59</c:f>
              <c:numCache>
                <c:formatCode>0.0%</c:formatCode>
                <c:ptCount val="12"/>
                <c:pt idx="0">
                  <c:v>7.0703535176758842E-2</c:v>
                </c:pt>
                <c:pt idx="1">
                  <c:v>2.7301365068253414E-2</c:v>
                </c:pt>
                <c:pt idx="2">
                  <c:v>1.9250962548127408E-2</c:v>
                </c:pt>
                <c:pt idx="3">
                  <c:v>2.695134756737837E-2</c:v>
                </c:pt>
                <c:pt idx="4">
                  <c:v>1.0500525026251313E-3</c:v>
                </c:pt>
                <c:pt idx="5">
                  <c:v>3.5001750087504374E-4</c:v>
                </c:pt>
                <c:pt idx="6">
                  <c:v>2.7651382569128455E-2</c:v>
                </c:pt>
                <c:pt idx="7">
                  <c:v>3.6751837591879596E-2</c:v>
                </c:pt>
                <c:pt idx="8">
                  <c:v>8.7504375218760942E-3</c:v>
                </c:pt>
                <c:pt idx="9">
                  <c:v>6.3003150157507877E-3</c:v>
                </c:pt>
                <c:pt idx="10">
                  <c:v>0.77458872943647183</c:v>
                </c:pt>
                <c:pt idx="11">
                  <c:v>3.5001750087504374E-4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Lumino-Musita'!$S$9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Lumino-Musita'!$S$10:$S$21</c:f>
              <c:numCache>
                <c:formatCode>0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15</c:v>
                </c:pt>
                <c:pt idx="3">
                  <c:v>6</c:v>
                </c:pt>
                <c:pt idx="4">
                  <c:v>9</c:v>
                </c:pt>
                <c:pt idx="5">
                  <c:v>14</c:v>
                </c:pt>
                <c:pt idx="6">
                  <c:v>13</c:v>
                </c:pt>
                <c:pt idx="7">
                  <c:v>20</c:v>
                </c:pt>
                <c:pt idx="8">
                  <c:v>15</c:v>
                </c:pt>
                <c:pt idx="9">
                  <c:v>19</c:v>
                </c:pt>
                <c:pt idx="10">
                  <c:v>26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'27.08 Lumino-Musita'!$T$9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Lumino-Musita'!$T$10:$T$21</c:f>
              <c:numCache>
                <c:formatCode>0</c:formatCode>
                <c:ptCount val="12"/>
                <c:pt idx="0">
                  <c:v>2</c:v>
                </c:pt>
                <c:pt idx="1">
                  <c:v>12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8</c:v>
                </c:pt>
                <c:pt idx="8">
                  <c:v>10</c:v>
                </c:pt>
                <c:pt idx="9">
                  <c:v>10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'27.08 Lumino-Musita'!$U$9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Lumino-Musita'!$U$10:$U$21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0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'27.08 Lumino-Musita'!$V$9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Lumino-Musita'!$V$10:$V$21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7</c:v>
                </c:pt>
                <c:pt idx="3">
                  <c:v>4</c:v>
                </c:pt>
                <c:pt idx="4">
                  <c:v>8</c:v>
                </c:pt>
                <c:pt idx="5">
                  <c:v>5</c:v>
                </c:pt>
                <c:pt idx="6">
                  <c:v>6</c:v>
                </c:pt>
                <c:pt idx="7">
                  <c:v>11</c:v>
                </c:pt>
                <c:pt idx="8">
                  <c:v>6</c:v>
                </c:pt>
                <c:pt idx="9">
                  <c:v>4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'27.08 Lumino-Musita'!$W$9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'27.08 Lumino-Musita'!$X$9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'27.08 Lumino-Musita'!$Y$9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7</c:v>
                </c:pt>
                <c:pt idx="5">
                  <c:v>10</c:v>
                </c:pt>
                <c:pt idx="6">
                  <c:v>4</c:v>
                </c:pt>
                <c:pt idx="7">
                  <c:v>6</c:v>
                </c:pt>
                <c:pt idx="8">
                  <c:v>9</c:v>
                </c:pt>
                <c:pt idx="9">
                  <c:v>7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'27.08 Lumino-Musita'!$Z$9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Lumino-Musita'!$Z$10:$Z$21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7</c:v>
                </c:pt>
                <c:pt idx="5">
                  <c:v>6</c:v>
                </c:pt>
                <c:pt idx="6">
                  <c:v>11</c:v>
                </c:pt>
                <c:pt idx="7">
                  <c:v>15</c:v>
                </c:pt>
                <c:pt idx="8">
                  <c:v>12</c:v>
                </c:pt>
                <c:pt idx="9">
                  <c:v>11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'27.08 Lumino-Musita'!$AA$9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7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'27.08 Lumino-Musita'!$AB$9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'27.08 Lumino-Musita'!$AC$9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Lumino-Musita'!$AC$10:$AC$21</c:f>
              <c:numCache>
                <c:formatCode>0</c:formatCode>
                <c:ptCount val="12"/>
                <c:pt idx="0">
                  <c:v>166</c:v>
                </c:pt>
                <c:pt idx="1">
                  <c:v>169</c:v>
                </c:pt>
                <c:pt idx="2">
                  <c:v>137</c:v>
                </c:pt>
                <c:pt idx="3">
                  <c:v>130</c:v>
                </c:pt>
                <c:pt idx="4">
                  <c:v>195</c:v>
                </c:pt>
                <c:pt idx="5">
                  <c:v>235</c:v>
                </c:pt>
                <c:pt idx="6">
                  <c:v>170</c:v>
                </c:pt>
                <c:pt idx="7">
                  <c:v>194</c:v>
                </c:pt>
                <c:pt idx="8">
                  <c:v>176</c:v>
                </c:pt>
                <c:pt idx="9">
                  <c:v>104</c:v>
                </c:pt>
                <c:pt idx="10">
                  <c:v>278</c:v>
                </c:pt>
                <c:pt idx="11">
                  <c:v>259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'27.08 Lumino-Musita'!$AD$9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Lumino-Musita'!$AD$10:$AD$21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57794304"/>
        <c:axId val="-957793216"/>
      </c:lineChart>
      <c:catAx>
        <c:axId val="-95779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93216"/>
        <c:crosses val="autoZero"/>
        <c:auto val="1"/>
        <c:lblAlgn val="ctr"/>
        <c:lblOffset val="100"/>
        <c:noMultiLvlLbl val="0"/>
      </c:catAx>
      <c:valAx>
        <c:axId val="-9577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779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Lumino-Musita'!$C$60:$N$60</c:f>
              <c:numCache>
                <c:formatCode>0.00%</c:formatCode>
                <c:ptCount val="12"/>
                <c:pt idx="0">
                  <c:v>0.31366459627329191</c:v>
                </c:pt>
                <c:pt idx="1">
                  <c:v>0.12111801242236025</c:v>
                </c:pt>
                <c:pt idx="2">
                  <c:v>8.5403726708074529E-2</c:v>
                </c:pt>
                <c:pt idx="3">
                  <c:v>0.11956521739130435</c:v>
                </c:pt>
                <c:pt idx="4">
                  <c:v>4.658385093167702E-3</c:v>
                </c:pt>
                <c:pt idx="5">
                  <c:v>1.5527950310559005E-3</c:v>
                </c:pt>
                <c:pt idx="6">
                  <c:v>0.12267080745341614</c:v>
                </c:pt>
                <c:pt idx="7">
                  <c:v>0.16304347826086957</c:v>
                </c:pt>
                <c:pt idx="8">
                  <c:v>3.8819875776397512E-2</c:v>
                </c:pt>
                <c:pt idx="9">
                  <c:v>2.7950310559006212E-2</c:v>
                </c:pt>
                <c:pt idx="11">
                  <c:v>1.5527950310559005E-3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'28.08Musita-Lumino'!$AE$9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'28.08Musita-Lumino'!$R$10:$R$21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'28.08Musita-Lumino'!$AE$10:$AE$21</c:f>
              <c:numCache>
                <c:formatCode>0</c:formatCode>
                <c:ptCount val="12"/>
                <c:pt idx="0">
                  <c:v>52</c:v>
                </c:pt>
                <c:pt idx="1">
                  <c:v>55</c:v>
                </c:pt>
                <c:pt idx="2">
                  <c:v>48</c:v>
                </c:pt>
                <c:pt idx="3">
                  <c:v>47</c:v>
                </c:pt>
                <c:pt idx="4">
                  <c:v>45</c:v>
                </c:pt>
                <c:pt idx="5">
                  <c:v>60</c:v>
                </c:pt>
                <c:pt idx="6">
                  <c:v>56</c:v>
                </c:pt>
                <c:pt idx="7">
                  <c:v>48</c:v>
                </c:pt>
                <c:pt idx="8">
                  <c:v>61</c:v>
                </c:pt>
                <c:pt idx="9">
                  <c:v>65</c:v>
                </c:pt>
                <c:pt idx="10">
                  <c:v>62</c:v>
                </c:pt>
                <c:pt idx="11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'28.08Musita-Lumino'!$AF$9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'28.08Musita-Lumino'!$R$10:$R$21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'28.08Musita-Lumino'!$AF$10:$AF$21</c:f>
              <c:numCache>
                <c:formatCode>0</c:formatCode>
                <c:ptCount val="12"/>
                <c:pt idx="0">
                  <c:v>212</c:v>
                </c:pt>
                <c:pt idx="1">
                  <c:v>214</c:v>
                </c:pt>
                <c:pt idx="2">
                  <c:v>234</c:v>
                </c:pt>
                <c:pt idx="3">
                  <c:v>252</c:v>
                </c:pt>
                <c:pt idx="4">
                  <c:v>231</c:v>
                </c:pt>
                <c:pt idx="5">
                  <c:v>262</c:v>
                </c:pt>
                <c:pt idx="6">
                  <c:v>244</c:v>
                </c:pt>
                <c:pt idx="7">
                  <c:v>210</c:v>
                </c:pt>
                <c:pt idx="8">
                  <c:v>267</c:v>
                </c:pt>
                <c:pt idx="9">
                  <c:v>287</c:v>
                </c:pt>
                <c:pt idx="10">
                  <c:v>303</c:v>
                </c:pt>
                <c:pt idx="11">
                  <c:v>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5419232"/>
        <c:axId val="-955417056"/>
      </c:lineChart>
      <c:catAx>
        <c:axId val="-955419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17056"/>
        <c:crosses val="autoZero"/>
        <c:auto val="1"/>
        <c:lblAlgn val="ctr"/>
        <c:lblOffset val="100"/>
        <c:noMultiLvlLbl val="0"/>
      </c:catAx>
      <c:valAx>
        <c:axId val="-95541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41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'28.08Musita-Lumino'!$C$59:$N$59</c:f>
              <c:numCache>
                <c:formatCode>0.0%</c:formatCode>
                <c:ptCount val="12"/>
                <c:pt idx="0">
                  <c:v>6.316879530548844E-2</c:v>
                </c:pt>
                <c:pt idx="1">
                  <c:v>2.6234035208836728E-2</c:v>
                </c:pt>
                <c:pt idx="2">
                  <c:v>1.9675526406627546E-2</c:v>
                </c:pt>
                <c:pt idx="3">
                  <c:v>2.2091819123230928E-2</c:v>
                </c:pt>
                <c:pt idx="4">
                  <c:v>2.416292716603383E-3</c:v>
                </c:pt>
                <c:pt idx="5">
                  <c:v>6.9036934760096649E-4</c:v>
                </c:pt>
                <c:pt idx="6">
                  <c:v>3.3828098032447358E-2</c:v>
                </c:pt>
                <c:pt idx="7">
                  <c:v>3.6934760096651711E-2</c:v>
                </c:pt>
                <c:pt idx="8">
                  <c:v>1.277183293061788E-2</c:v>
                </c:pt>
                <c:pt idx="9">
                  <c:v>5.8681394546082153E-3</c:v>
                </c:pt>
                <c:pt idx="10">
                  <c:v>0.77528477735588541</c:v>
                </c:pt>
                <c:pt idx="11">
                  <c:v>1.0355540214014498E-3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'28.08Musita-Lumino'!$S$9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'28.08Musita-Lumino'!$R$10:$R$21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'28.08Musita-Lumino'!$S$10:$S$21</c:f>
              <c:numCache>
                <c:formatCode>0</c:formatCode>
                <c:ptCount val="12"/>
                <c:pt idx="0">
                  <c:v>11</c:v>
                </c:pt>
                <c:pt idx="1">
                  <c:v>16</c:v>
                </c:pt>
                <c:pt idx="2">
                  <c:v>13</c:v>
                </c:pt>
                <c:pt idx="3">
                  <c:v>17</c:v>
                </c:pt>
                <c:pt idx="4">
                  <c:v>13</c:v>
                </c:pt>
                <c:pt idx="5">
                  <c:v>19</c:v>
                </c:pt>
                <c:pt idx="6">
                  <c:v>16</c:v>
                </c:pt>
                <c:pt idx="7">
                  <c:v>14</c:v>
                </c:pt>
                <c:pt idx="8">
                  <c:v>19</c:v>
                </c:pt>
                <c:pt idx="9">
                  <c:v>21</c:v>
                </c:pt>
                <c:pt idx="10">
                  <c:v>19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'28.08Musita-Lumino'!$T$9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'28.08Musita-Lumino'!$R$10:$R$21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'28.08Musita-Lumino'!$T$10:$T$21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13</c:v>
                </c:pt>
                <c:pt idx="3">
                  <c:v>8</c:v>
                </c:pt>
                <c:pt idx="4">
                  <c:v>2</c:v>
                </c:pt>
                <c:pt idx="5">
                  <c:v>8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'28.08Musita-Lumino'!$U$9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'28.08Musita-Lumino'!$U$10:$U$21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6</c:v>
                </c:pt>
                <c:pt idx="7">
                  <c:v>6</c:v>
                </c:pt>
                <c:pt idx="8">
                  <c:v>10</c:v>
                </c:pt>
                <c:pt idx="9">
                  <c:v>3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'28.08Musita-Lumino'!$V$9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'28.08Musita-Lumino'!$V$10:$V$21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  <c:pt idx="4">
                  <c:v>8</c:v>
                </c:pt>
                <c:pt idx="5">
                  <c:v>4</c:v>
                </c:pt>
                <c:pt idx="6">
                  <c:v>10</c:v>
                </c:pt>
                <c:pt idx="7">
                  <c:v>2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'28.08Musita-Lumino'!$W$9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'28.08Musita-Lumino'!$X$9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'28.08Musita-Lumino'!$Y$9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'28.08Musita-Lumino'!$Y$10:$Y$21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12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7</c:v>
                </c:pt>
                <c:pt idx="7">
                  <c:v>10</c:v>
                </c:pt>
                <c:pt idx="8">
                  <c:v>7</c:v>
                </c:pt>
                <c:pt idx="9">
                  <c:v>12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'28.08Musita-Lumino'!$Z$9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'28.08Musita-Lumino'!$Z$10:$Z$21</c:f>
              <c:numCache>
                <c:formatCode>0</c:formatCode>
                <c:ptCount val="12"/>
                <c:pt idx="0">
                  <c:v>11</c:v>
                </c:pt>
                <c:pt idx="1">
                  <c:v>7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9</c:v>
                </c:pt>
                <c:pt idx="6">
                  <c:v>10</c:v>
                </c:pt>
                <c:pt idx="7">
                  <c:v>6</c:v>
                </c:pt>
                <c:pt idx="8">
                  <c:v>13</c:v>
                </c:pt>
                <c:pt idx="9">
                  <c:v>13</c:v>
                </c:pt>
                <c:pt idx="10">
                  <c:v>14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'28.08Musita-Lumino'!$AA$9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'28.08Musita-Lumino'!$AA$10:$AA$21</c:f>
              <c:numCache>
                <c:formatCode>0</c:formatCode>
                <c:ptCount val="12"/>
                <c:pt idx="0">
                  <c:v>9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'28.08Musita-Lumino'!$AB$9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'28.08Musita-Lumino'!$AB$10:$AB$21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'28.08Musita-Lumino'!$AC$9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'28.08Musita-Lumino'!$AC$10:$AC$21</c:f>
              <c:numCache>
                <c:formatCode>0</c:formatCode>
                <c:ptCount val="12"/>
                <c:pt idx="0">
                  <c:v>160</c:v>
                </c:pt>
                <c:pt idx="1">
                  <c:v>159</c:v>
                </c:pt>
                <c:pt idx="2">
                  <c:v>186</c:v>
                </c:pt>
                <c:pt idx="3">
                  <c:v>205</c:v>
                </c:pt>
                <c:pt idx="4">
                  <c:v>186</c:v>
                </c:pt>
                <c:pt idx="5">
                  <c:v>202</c:v>
                </c:pt>
                <c:pt idx="6">
                  <c:v>188</c:v>
                </c:pt>
                <c:pt idx="7">
                  <c:v>162</c:v>
                </c:pt>
                <c:pt idx="8">
                  <c:v>206</c:v>
                </c:pt>
                <c:pt idx="9">
                  <c:v>222</c:v>
                </c:pt>
                <c:pt idx="10">
                  <c:v>241</c:v>
                </c:pt>
                <c:pt idx="11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'28.08Musita-Lumino'!$AD$9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'28.08Musita-Lumino'!$AD$10:$AD$21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55030256"/>
        <c:axId val="-955019376"/>
      </c:lineChart>
      <c:catAx>
        <c:axId val="-955030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19376"/>
        <c:crosses val="autoZero"/>
        <c:auto val="1"/>
        <c:lblAlgn val="ctr"/>
        <c:lblOffset val="100"/>
        <c:noMultiLvlLbl val="0"/>
      </c:catAx>
      <c:valAx>
        <c:axId val="-95501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3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'28.08Musita-Lumino'!$C$60:$N$60</c:f>
              <c:numCache>
                <c:formatCode>0.00%</c:formatCode>
                <c:ptCount val="12"/>
                <c:pt idx="0">
                  <c:v>0.28110599078341014</c:v>
                </c:pt>
                <c:pt idx="1">
                  <c:v>0.11674347158218126</c:v>
                </c:pt>
                <c:pt idx="2">
                  <c:v>8.755760368663594E-2</c:v>
                </c:pt>
                <c:pt idx="3">
                  <c:v>9.8310291858678955E-2</c:v>
                </c:pt>
                <c:pt idx="4">
                  <c:v>1.0752688172043012E-2</c:v>
                </c:pt>
                <c:pt idx="5">
                  <c:v>3.0721966205837174E-3</c:v>
                </c:pt>
                <c:pt idx="6">
                  <c:v>0.15053763440860216</c:v>
                </c:pt>
                <c:pt idx="7">
                  <c:v>0.16436251920122888</c:v>
                </c:pt>
                <c:pt idx="8">
                  <c:v>5.683563748079877E-2</c:v>
                </c:pt>
                <c:pt idx="9">
                  <c:v>2.6113671274961597E-2</c:v>
                </c:pt>
                <c:pt idx="11">
                  <c:v>4.608294930875576E-3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Lumino-Musita'!$AE$9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Lumino-Musita'!$AE$10:$AE$21</c:f>
              <c:numCache>
                <c:formatCode>0</c:formatCode>
                <c:ptCount val="12"/>
                <c:pt idx="0">
                  <c:v>35</c:v>
                </c:pt>
                <c:pt idx="1">
                  <c:v>44</c:v>
                </c:pt>
                <c:pt idx="2">
                  <c:v>24</c:v>
                </c:pt>
                <c:pt idx="3">
                  <c:v>34</c:v>
                </c:pt>
                <c:pt idx="4">
                  <c:v>53</c:v>
                </c:pt>
                <c:pt idx="5">
                  <c:v>57</c:v>
                </c:pt>
                <c:pt idx="6">
                  <c:v>50</c:v>
                </c:pt>
                <c:pt idx="7">
                  <c:v>44</c:v>
                </c:pt>
                <c:pt idx="8">
                  <c:v>58</c:v>
                </c:pt>
                <c:pt idx="9">
                  <c:v>64</c:v>
                </c:pt>
                <c:pt idx="10">
                  <c:v>74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'28.08 Lumino-Musita'!$AF$9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Lumino-Musita'!$AF$10:$AF$21</c:f>
              <c:numCache>
                <c:formatCode>0</c:formatCode>
                <c:ptCount val="12"/>
                <c:pt idx="0">
                  <c:v>217</c:v>
                </c:pt>
                <c:pt idx="1">
                  <c:v>261</c:v>
                </c:pt>
                <c:pt idx="2">
                  <c:v>203</c:v>
                </c:pt>
                <c:pt idx="3">
                  <c:v>236</c:v>
                </c:pt>
                <c:pt idx="4">
                  <c:v>258</c:v>
                </c:pt>
                <c:pt idx="5">
                  <c:v>225</c:v>
                </c:pt>
                <c:pt idx="6">
                  <c:v>232</c:v>
                </c:pt>
                <c:pt idx="7">
                  <c:v>211</c:v>
                </c:pt>
                <c:pt idx="8">
                  <c:v>292</c:v>
                </c:pt>
                <c:pt idx="9">
                  <c:v>315</c:v>
                </c:pt>
                <c:pt idx="10">
                  <c:v>270</c:v>
                </c:pt>
                <c:pt idx="11">
                  <c:v>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5027536"/>
        <c:axId val="-955025360"/>
      </c:lineChart>
      <c:catAx>
        <c:axId val="-955027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25360"/>
        <c:crosses val="autoZero"/>
        <c:auto val="1"/>
        <c:lblAlgn val="ctr"/>
        <c:lblOffset val="100"/>
        <c:noMultiLvlLbl val="0"/>
      </c:catAx>
      <c:valAx>
        <c:axId val="-955025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2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Lumino-Musita'!$C$59:$N$59</c:f>
              <c:numCache>
                <c:formatCode>0.0%</c:formatCode>
                <c:ptCount val="12"/>
                <c:pt idx="0">
                  <c:v>5.92964824120603E-2</c:v>
                </c:pt>
                <c:pt idx="1">
                  <c:v>2.3115577889447236E-2</c:v>
                </c:pt>
                <c:pt idx="2">
                  <c:v>1.8090452261306532E-2</c:v>
                </c:pt>
                <c:pt idx="3">
                  <c:v>2.5460636515912898E-2</c:v>
                </c:pt>
                <c:pt idx="4">
                  <c:v>2.0100502512562816E-3</c:v>
                </c:pt>
                <c:pt idx="5">
                  <c:v>3.3500837520938025E-4</c:v>
                </c:pt>
                <c:pt idx="6">
                  <c:v>3.5175879396984924E-2</c:v>
                </c:pt>
                <c:pt idx="7">
                  <c:v>2.747068676716918E-2</c:v>
                </c:pt>
                <c:pt idx="8">
                  <c:v>2.3450586264656616E-3</c:v>
                </c:pt>
                <c:pt idx="9">
                  <c:v>1.4405360134003351E-2</c:v>
                </c:pt>
                <c:pt idx="10">
                  <c:v>0.79195979899497493</c:v>
                </c:pt>
                <c:pt idx="11">
                  <c:v>3.3500837520938025E-4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Lumino-Musita'!$S$9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Lumino-Musita'!$S$10:$S$21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20</c:v>
                </c:pt>
                <c:pt idx="5">
                  <c:v>21</c:v>
                </c:pt>
                <c:pt idx="6">
                  <c:v>12</c:v>
                </c:pt>
                <c:pt idx="7">
                  <c:v>16</c:v>
                </c:pt>
                <c:pt idx="8">
                  <c:v>13</c:v>
                </c:pt>
                <c:pt idx="9">
                  <c:v>12</c:v>
                </c:pt>
                <c:pt idx="10">
                  <c:v>22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'28.08 Lumino-Musita'!$T$9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'28.08 Lumino-Musita'!$R$10:$R$21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Lumino-Musita'!$T$10:$T$21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19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'28.08 Lumino-Musita'!$U$9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Lumino-Musita'!$U$10:$U$21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7</c:v>
                </c:pt>
                <c:pt idx="9">
                  <c:v>7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'28.08 Lumino-Musita'!$V$9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Lumino-Musita'!$V$10:$V$21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3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  <c:pt idx="6">
                  <c:v>11</c:v>
                </c:pt>
                <c:pt idx="7">
                  <c:v>3</c:v>
                </c:pt>
                <c:pt idx="8">
                  <c:v>8</c:v>
                </c:pt>
                <c:pt idx="9">
                  <c:v>10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'28.08 Lumino-Musita'!$W$9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'28.08 Lumino-Musita'!$X$9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'28.08 Lumino-Musita'!$Y$9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Lumino-Musita'!$Y$10:$Y$21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  <c:pt idx="4">
                  <c:v>10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12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'28.08 Lumino-Musita'!$Z$9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Lumino-Musita'!$Z$10:$Z$21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  <c:pt idx="4">
                  <c:v>12</c:v>
                </c:pt>
                <c:pt idx="5">
                  <c:v>13</c:v>
                </c:pt>
                <c:pt idx="6">
                  <c:v>7</c:v>
                </c:pt>
                <c:pt idx="7">
                  <c:v>1</c:v>
                </c:pt>
                <c:pt idx="8">
                  <c:v>6</c:v>
                </c:pt>
                <c:pt idx="9">
                  <c:v>10</c:v>
                </c:pt>
                <c:pt idx="10">
                  <c:v>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'28.08 Lumino-Musita'!$AA$9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'28.08 Lumino-Musita'!$AB$9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'28.08 Lumino-Musita'!$AC$9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Lumino-Musita'!$AC$10:$AC$21</c:f>
              <c:numCache>
                <c:formatCode>0</c:formatCode>
                <c:ptCount val="12"/>
                <c:pt idx="0">
                  <c:v>182</c:v>
                </c:pt>
                <c:pt idx="1">
                  <c:v>217</c:v>
                </c:pt>
                <c:pt idx="2">
                  <c:v>179</c:v>
                </c:pt>
                <c:pt idx="3">
                  <c:v>202</c:v>
                </c:pt>
                <c:pt idx="4">
                  <c:v>205</c:v>
                </c:pt>
                <c:pt idx="5">
                  <c:v>168</c:v>
                </c:pt>
                <c:pt idx="6">
                  <c:v>182</c:v>
                </c:pt>
                <c:pt idx="7">
                  <c:v>167</c:v>
                </c:pt>
                <c:pt idx="8">
                  <c:v>234</c:v>
                </c:pt>
                <c:pt idx="9">
                  <c:v>251</c:v>
                </c:pt>
                <c:pt idx="10">
                  <c:v>196</c:v>
                </c:pt>
                <c:pt idx="11">
                  <c:v>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'28.08 Lumino-Musita'!$AD$9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Lumino-Musita'!$AD$10:$AD$21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55025904"/>
        <c:axId val="-955028624"/>
      </c:lineChart>
      <c:catAx>
        <c:axId val="-955025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28624"/>
        <c:crosses val="autoZero"/>
        <c:auto val="1"/>
        <c:lblAlgn val="ctr"/>
        <c:lblOffset val="100"/>
        <c:noMultiLvlLbl val="0"/>
      </c:catAx>
      <c:valAx>
        <c:axId val="-95502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2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Lumino-Musita'!$C$60:$N$60</c:f>
              <c:numCache>
                <c:formatCode>0.00%</c:formatCode>
                <c:ptCount val="12"/>
                <c:pt idx="0">
                  <c:v>0.28502415458937197</c:v>
                </c:pt>
                <c:pt idx="1">
                  <c:v>0.1111111111111111</c:v>
                </c:pt>
                <c:pt idx="2">
                  <c:v>8.6956521739130432E-2</c:v>
                </c:pt>
                <c:pt idx="3">
                  <c:v>0.12238325281803543</c:v>
                </c:pt>
                <c:pt idx="4">
                  <c:v>9.6618357487922701E-3</c:v>
                </c:pt>
                <c:pt idx="5">
                  <c:v>1.6103059581320451E-3</c:v>
                </c:pt>
                <c:pt idx="6">
                  <c:v>0.16908212560386474</c:v>
                </c:pt>
                <c:pt idx="7">
                  <c:v>0.1320450885668277</c:v>
                </c:pt>
                <c:pt idx="8">
                  <c:v>1.1272141706924315E-2</c:v>
                </c:pt>
                <c:pt idx="9">
                  <c:v>6.9243156199677941E-2</c:v>
                </c:pt>
                <c:pt idx="11">
                  <c:v>1.6103059581320451E-3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Musita-Lumino'!$AE$9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Musita-Lumino'!$R$10:$R$33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Musita-Lumino'!$AE$10:$AE$33</c:f>
              <c:numCache>
                <c:formatCode>0</c:formatCode>
                <c:ptCount val="24"/>
                <c:pt idx="0">
                  <c:v>51</c:v>
                </c:pt>
                <c:pt idx="1">
                  <c:v>44.142857142857139</c:v>
                </c:pt>
                <c:pt idx="2">
                  <c:v>42.714285714285708</c:v>
                </c:pt>
                <c:pt idx="3">
                  <c:v>51.571428571428577</c:v>
                </c:pt>
                <c:pt idx="4">
                  <c:v>51.285714285714292</c:v>
                </c:pt>
                <c:pt idx="5">
                  <c:v>54.571428571428569</c:v>
                </c:pt>
                <c:pt idx="6">
                  <c:v>55.857142857142854</c:v>
                </c:pt>
                <c:pt idx="7">
                  <c:v>54.714285714285708</c:v>
                </c:pt>
                <c:pt idx="8">
                  <c:v>55.285714285714285</c:v>
                </c:pt>
                <c:pt idx="9">
                  <c:v>53.428571428571431</c:v>
                </c:pt>
                <c:pt idx="10">
                  <c:v>46.142857142857139</c:v>
                </c:pt>
                <c:pt idx="11">
                  <c:v>60.571428571428569</c:v>
                </c:pt>
                <c:pt idx="12">
                  <c:v>77</c:v>
                </c:pt>
                <c:pt idx="13">
                  <c:v>46</c:v>
                </c:pt>
                <c:pt idx="14">
                  <c:v>34.5</c:v>
                </c:pt>
                <c:pt idx="15">
                  <c:v>36.5</c:v>
                </c:pt>
                <c:pt idx="16">
                  <c:v>11.5</c:v>
                </c:pt>
                <c:pt idx="17">
                  <c:v>12.5</c:v>
                </c:pt>
                <c:pt idx="18">
                  <c:v>11.5</c:v>
                </c:pt>
                <c:pt idx="19">
                  <c:v>7.5</c:v>
                </c:pt>
                <c:pt idx="20">
                  <c:v>9</c:v>
                </c:pt>
                <c:pt idx="21">
                  <c:v>9</c:v>
                </c:pt>
                <c:pt idx="22">
                  <c:v>18.5</c:v>
                </c:pt>
                <c:pt idx="23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Musita-Lumino'!$AF$9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Musita-Lumino'!$R$10:$R$33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Musita-Lumino'!$AF$10:$AF$33</c:f>
              <c:numCache>
                <c:formatCode>0</c:formatCode>
                <c:ptCount val="24"/>
                <c:pt idx="0">
                  <c:v>176.71428571428572</c:v>
                </c:pt>
                <c:pt idx="1">
                  <c:v>190.57142857142858</c:v>
                </c:pt>
                <c:pt idx="2">
                  <c:v>193</c:v>
                </c:pt>
                <c:pt idx="3">
                  <c:v>207.28571428571428</c:v>
                </c:pt>
                <c:pt idx="4">
                  <c:v>252</c:v>
                </c:pt>
                <c:pt idx="5">
                  <c:v>236.57142857142858</c:v>
                </c:pt>
                <c:pt idx="6">
                  <c:v>213.71428571428572</c:v>
                </c:pt>
                <c:pt idx="7">
                  <c:v>194.42857142857144</c:v>
                </c:pt>
                <c:pt idx="8">
                  <c:v>206.14285714285717</c:v>
                </c:pt>
                <c:pt idx="9">
                  <c:v>227.28571428571431</c:v>
                </c:pt>
                <c:pt idx="10">
                  <c:v>215</c:v>
                </c:pt>
                <c:pt idx="11">
                  <c:v>217.14285714285714</c:v>
                </c:pt>
                <c:pt idx="12">
                  <c:v>232.5</c:v>
                </c:pt>
                <c:pt idx="13">
                  <c:v>177.5</c:v>
                </c:pt>
                <c:pt idx="14">
                  <c:v>76.5</c:v>
                </c:pt>
                <c:pt idx="15">
                  <c:v>69</c:v>
                </c:pt>
                <c:pt idx="16">
                  <c:v>41</c:v>
                </c:pt>
                <c:pt idx="17">
                  <c:v>16.5</c:v>
                </c:pt>
                <c:pt idx="18">
                  <c:v>12.5</c:v>
                </c:pt>
                <c:pt idx="19">
                  <c:v>7.5</c:v>
                </c:pt>
                <c:pt idx="20">
                  <c:v>9</c:v>
                </c:pt>
                <c:pt idx="21">
                  <c:v>16</c:v>
                </c:pt>
                <c:pt idx="22">
                  <c:v>33.5</c:v>
                </c:pt>
                <c:pt idx="23">
                  <c:v>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5022640"/>
        <c:axId val="-955021008"/>
      </c:lineChart>
      <c:catAx>
        <c:axId val="-9550226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21008"/>
        <c:crosses val="autoZero"/>
        <c:auto val="1"/>
        <c:lblAlgn val="ctr"/>
        <c:lblOffset val="100"/>
        <c:noMultiLvlLbl val="0"/>
      </c:catAx>
      <c:valAx>
        <c:axId val="-9550210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502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Musita-Lumino'!$C$107:$N$107</c:f>
              <c:numCache>
                <c:formatCode>0.0%</c:formatCode>
                <c:ptCount val="12"/>
                <c:pt idx="0">
                  <c:v>7.8405587772436253E-2</c:v>
                </c:pt>
                <c:pt idx="1">
                  <c:v>2.5308814969711331E-2</c:v>
                </c:pt>
                <c:pt idx="2">
                  <c:v>1.606053420139263E-2</c:v>
                </c:pt>
                <c:pt idx="3">
                  <c:v>3.2422877099187272E-2</c:v>
                </c:pt>
                <c:pt idx="4">
                  <c:v>3.6648198848815397E-3</c:v>
                </c:pt>
                <c:pt idx="5">
                  <c:v>6.2517515683273316E-4</c:v>
                </c:pt>
                <c:pt idx="6">
                  <c:v>3.6152370276154956E-2</c:v>
                </c:pt>
                <c:pt idx="7">
                  <c:v>5.6136417530773704E-2</c:v>
                </c:pt>
                <c:pt idx="8">
                  <c:v>1.6340785133765925E-2</c:v>
                </c:pt>
                <c:pt idx="9">
                  <c:v>1.261129195679824E-2</c:v>
                </c:pt>
                <c:pt idx="10">
                  <c:v>0.71877896824541354</c:v>
                </c:pt>
                <c:pt idx="11">
                  <c:v>3.4923577726518207E-3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Musita-Lumino'!$C$9:$N$9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Musita-Lumino'!$C$108:$N$108</c:f>
              <c:numCache>
                <c:formatCode>0.00%</c:formatCode>
                <c:ptCount val="12"/>
                <c:pt idx="0">
                  <c:v>0.27880413951705646</c:v>
                </c:pt>
                <c:pt idx="1">
                  <c:v>8.9996167113836706E-2</c:v>
                </c:pt>
                <c:pt idx="2">
                  <c:v>5.7110003832886176E-2</c:v>
                </c:pt>
                <c:pt idx="3">
                  <c:v>0.11529321579149103</c:v>
                </c:pt>
                <c:pt idx="4">
                  <c:v>1.3031812955155235E-2</c:v>
                </c:pt>
                <c:pt idx="5">
                  <c:v>2.2230739747029515E-3</c:v>
                </c:pt>
                <c:pt idx="6">
                  <c:v>0.12855500191644312</c:v>
                </c:pt>
                <c:pt idx="7">
                  <c:v>0.19961671138367193</c:v>
                </c:pt>
                <c:pt idx="8">
                  <c:v>5.8106554235339225E-2</c:v>
                </c:pt>
                <c:pt idx="9">
                  <c:v>4.484476811038713E-2</c:v>
                </c:pt>
                <c:pt idx="11">
                  <c:v>1.2418551169030284E-2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Lumino-Musita'!$AE$9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Lumino-Musita'!$R$10:$R$33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Lumino-Musita'!$AE$10:$AE$33</c:f>
              <c:numCache>
                <c:formatCode>0</c:formatCode>
                <c:ptCount val="24"/>
                <c:pt idx="0">
                  <c:v>30.857142857142861</c:v>
                </c:pt>
                <c:pt idx="1">
                  <c:v>36</c:v>
                </c:pt>
                <c:pt idx="2">
                  <c:v>33.857142857142854</c:v>
                </c:pt>
                <c:pt idx="3">
                  <c:v>42.571428571428569</c:v>
                </c:pt>
                <c:pt idx="4">
                  <c:v>46.428571428571431</c:v>
                </c:pt>
                <c:pt idx="5">
                  <c:v>51.714285714285715</c:v>
                </c:pt>
                <c:pt idx="6">
                  <c:v>45.857142857142861</c:v>
                </c:pt>
                <c:pt idx="7">
                  <c:v>48</c:v>
                </c:pt>
                <c:pt idx="8">
                  <c:v>55</c:v>
                </c:pt>
                <c:pt idx="9">
                  <c:v>60.142857142857146</c:v>
                </c:pt>
                <c:pt idx="10">
                  <c:v>67</c:v>
                </c:pt>
                <c:pt idx="11">
                  <c:v>73.428571428571416</c:v>
                </c:pt>
                <c:pt idx="12">
                  <c:v>71.5</c:v>
                </c:pt>
                <c:pt idx="13">
                  <c:v>48</c:v>
                </c:pt>
                <c:pt idx="14">
                  <c:v>29.5</c:v>
                </c:pt>
                <c:pt idx="15">
                  <c:v>27</c:v>
                </c:pt>
                <c:pt idx="16">
                  <c:v>22</c:v>
                </c:pt>
                <c:pt idx="17">
                  <c:v>16.5</c:v>
                </c:pt>
                <c:pt idx="18">
                  <c:v>10.5</c:v>
                </c:pt>
                <c:pt idx="19">
                  <c:v>10</c:v>
                </c:pt>
                <c:pt idx="20">
                  <c:v>11.5</c:v>
                </c:pt>
                <c:pt idx="21">
                  <c:v>13.5</c:v>
                </c:pt>
                <c:pt idx="22">
                  <c:v>17.5</c:v>
                </c:pt>
                <c:pt idx="23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Lumino-Musita'!$AF$9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Lumino-Musita'!$R$10:$R$33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Lumino-Musita'!$AF$10:$AF$33</c:f>
              <c:numCache>
                <c:formatCode>0</c:formatCode>
                <c:ptCount val="24"/>
                <c:pt idx="0">
                  <c:v>170</c:v>
                </c:pt>
                <c:pt idx="1">
                  <c:v>186.28571428571428</c:v>
                </c:pt>
                <c:pt idx="2">
                  <c:v>179.28571428571431</c:v>
                </c:pt>
                <c:pt idx="3">
                  <c:v>198.71428571428572</c:v>
                </c:pt>
                <c:pt idx="4">
                  <c:v>229</c:v>
                </c:pt>
                <c:pt idx="5">
                  <c:v>223.14285714285714</c:v>
                </c:pt>
                <c:pt idx="6">
                  <c:v>205.42857142857142</c:v>
                </c:pt>
                <c:pt idx="7">
                  <c:v>183.42857142857144</c:v>
                </c:pt>
                <c:pt idx="8">
                  <c:v>217.57142857142858</c:v>
                </c:pt>
                <c:pt idx="9">
                  <c:v>250.57142857142858</c:v>
                </c:pt>
                <c:pt idx="10">
                  <c:v>266.28571428571428</c:v>
                </c:pt>
                <c:pt idx="11">
                  <c:v>246.28571428571428</c:v>
                </c:pt>
                <c:pt idx="12">
                  <c:v>235</c:v>
                </c:pt>
                <c:pt idx="13">
                  <c:v>184.5</c:v>
                </c:pt>
                <c:pt idx="14">
                  <c:v>70</c:v>
                </c:pt>
                <c:pt idx="15">
                  <c:v>53</c:v>
                </c:pt>
                <c:pt idx="16">
                  <c:v>44.5</c:v>
                </c:pt>
                <c:pt idx="17">
                  <c:v>20</c:v>
                </c:pt>
                <c:pt idx="18">
                  <c:v>10.5</c:v>
                </c:pt>
                <c:pt idx="19">
                  <c:v>11</c:v>
                </c:pt>
                <c:pt idx="20">
                  <c:v>11.5</c:v>
                </c:pt>
                <c:pt idx="21">
                  <c:v>20</c:v>
                </c:pt>
                <c:pt idx="22">
                  <c:v>37</c:v>
                </c:pt>
                <c:pt idx="23">
                  <c:v>94.5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51761456"/>
        <c:axId val="-951758192"/>
      </c:lineChart>
      <c:catAx>
        <c:axId val="-951761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1758192"/>
        <c:crosses val="autoZero"/>
        <c:auto val="1"/>
        <c:lblAlgn val="ctr"/>
        <c:lblOffset val="100"/>
        <c:noMultiLvlLbl val="0"/>
      </c:catAx>
      <c:valAx>
        <c:axId val="-951758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95176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Lumino-Musita'!$C$107:$N$107</c:f>
              <c:numCache>
                <c:formatCode>0.0%</c:formatCode>
                <c:ptCount val="12"/>
                <c:pt idx="0">
                  <c:v>8.6503787474661267E-2</c:v>
                </c:pt>
                <c:pt idx="1">
                  <c:v>2.1615277925957535E-2</c:v>
                </c:pt>
                <c:pt idx="2">
                  <c:v>1.854262242611757E-2</c:v>
                </c:pt>
                <c:pt idx="3">
                  <c:v>3.3628507414915181E-2</c:v>
                </c:pt>
                <c:pt idx="4">
                  <c:v>2.8592766456844131E-3</c:v>
                </c:pt>
                <c:pt idx="5">
                  <c:v>1.6216792915822043E-3</c:v>
                </c:pt>
                <c:pt idx="6">
                  <c:v>4.1416835591592878E-2</c:v>
                </c:pt>
                <c:pt idx="7">
                  <c:v>3.5740958071055158E-2</c:v>
                </c:pt>
                <c:pt idx="8">
                  <c:v>1.1245065613997653E-2</c:v>
                </c:pt>
                <c:pt idx="9">
                  <c:v>1.572602155126427E-2</c:v>
                </c:pt>
                <c:pt idx="10">
                  <c:v>0.72924357196201861</c:v>
                </c:pt>
                <c:pt idx="11">
                  <c:v>1.8563960311533125E-3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Lumino-Musita'!$C$9:$N$9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Lumino-Musita'!$C$108:$N$108</c:f>
              <c:numCache>
                <c:formatCode>0.00%</c:formatCode>
                <c:ptCount val="12"/>
                <c:pt idx="0">
                  <c:v>0.31948932145953191</c:v>
                </c:pt>
                <c:pt idx="1">
                  <c:v>7.9832926156513495E-2</c:v>
                </c:pt>
                <c:pt idx="2">
                  <c:v>6.84845141461108E-2</c:v>
                </c:pt>
                <c:pt idx="3">
                  <c:v>0.12420206478051855</c:v>
                </c:pt>
                <c:pt idx="4">
                  <c:v>1.0560327843013636E-2</c:v>
                </c:pt>
                <c:pt idx="5">
                  <c:v>5.9894396721569864E-3</c:v>
                </c:pt>
                <c:pt idx="6">
                  <c:v>0.1529671368902199</c:v>
                </c:pt>
                <c:pt idx="7">
                  <c:v>0.13200409803767041</c:v>
                </c:pt>
                <c:pt idx="8">
                  <c:v>4.1532035621404367E-2</c:v>
                </c:pt>
                <c:pt idx="9">
                  <c:v>5.8081803136574982E-2</c:v>
                </c:pt>
                <c:pt idx="11">
                  <c:v>6.8563322562849704E-3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947846374155137E-2"/>
          <c:y val="0.16624414955123618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Lumino-Musita-2Dir'!$C$9:$N$9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Lumino-Musita-2Dir'!$C$107:$N$107</c:f>
              <c:numCache>
                <c:formatCode>0.0%</c:formatCode>
                <c:ptCount val="12"/>
                <c:pt idx="0">
                  <c:v>8.2475442885943467E-2</c:v>
                </c:pt>
                <c:pt idx="1">
                  <c:v>2.345258010552052E-2</c:v>
                </c:pt>
                <c:pt idx="2">
                  <c:v>1.7307939776090596E-2</c:v>
                </c:pt>
                <c:pt idx="3">
                  <c:v>3.3028782224509924E-2</c:v>
                </c:pt>
                <c:pt idx="4">
                  <c:v>3.2599837000814994E-3</c:v>
                </c:pt>
                <c:pt idx="5">
                  <c:v>1.1259812121992021E-3</c:v>
                </c:pt>
                <c:pt idx="6">
                  <c:v>3.8798095483206799E-2</c:v>
                </c:pt>
                <c:pt idx="7">
                  <c:v>4.5886415304765581E-2</c:v>
                </c:pt>
                <c:pt idx="8">
                  <c:v>1.3779865311199763E-2</c:v>
                </c:pt>
                <c:pt idx="9">
                  <c:v>1.4176639643117576E-2</c:v>
                </c:pt>
                <c:pt idx="10">
                  <c:v>0.72403809033586397</c:v>
                </c:pt>
                <c:pt idx="11">
                  <c:v>2.6701840175009659E-3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912576380382857"/>
          <c:y val="0.21677512405969288"/>
          <c:w val="0.82101228366016787"/>
          <c:h val="0.77893982485160163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Lumino-Musita-2Dir'!$C$9:$N$9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Lumino-Musita-2Dir'!$C$108:$N$108</c:f>
              <c:numCache>
                <c:formatCode>0.00%</c:formatCode>
                <c:ptCount val="12"/>
                <c:pt idx="0">
                  <c:v>0.29886531437009406</c:v>
                </c:pt>
                <c:pt idx="1">
                  <c:v>8.4984844952203306E-2</c:v>
                </c:pt>
                <c:pt idx="2">
                  <c:v>6.2718582420144567E-2</c:v>
                </c:pt>
                <c:pt idx="3">
                  <c:v>0.11968601849693011</c:v>
                </c:pt>
                <c:pt idx="4">
                  <c:v>1.1813165462034663E-2</c:v>
                </c:pt>
                <c:pt idx="5">
                  <c:v>4.0802051760317083E-3</c:v>
                </c:pt>
                <c:pt idx="6">
                  <c:v>0.14059221263697833</c:v>
                </c:pt>
                <c:pt idx="7">
                  <c:v>0.16627807569752082</c:v>
                </c:pt>
                <c:pt idx="8">
                  <c:v>4.9933939535245213E-2</c:v>
                </c:pt>
                <c:pt idx="9">
                  <c:v>5.1371726121084954E-2</c:v>
                </c:pt>
                <c:pt idx="11">
                  <c:v>9.6759151317323423E-3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Lumino-Musita-2Dir'!$AE$9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Lumino-Musita-2Dir'!$R$10:$R$33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Lumino-Musita-2Dir'!$AE$10:$AE$33</c:f>
              <c:numCache>
                <c:formatCode>0</c:formatCode>
                <c:ptCount val="24"/>
                <c:pt idx="0">
                  <c:v>81.857142857142861</c:v>
                </c:pt>
                <c:pt idx="1">
                  <c:v>80.142857142857139</c:v>
                </c:pt>
                <c:pt idx="2">
                  <c:v>76.571428571428569</c:v>
                </c:pt>
                <c:pt idx="3">
                  <c:v>94.142857142857139</c:v>
                </c:pt>
                <c:pt idx="4">
                  <c:v>97.714285714285708</c:v>
                </c:pt>
                <c:pt idx="5">
                  <c:v>106.28571428571428</c:v>
                </c:pt>
                <c:pt idx="6">
                  <c:v>101.71428571428571</c:v>
                </c:pt>
                <c:pt idx="7">
                  <c:v>102.71428571428569</c:v>
                </c:pt>
                <c:pt idx="8">
                  <c:v>110.28571428571429</c:v>
                </c:pt>
                <c:pt idx="9">
                  <c:v>113.57142857142856</c:v>
                </c:pt>
                <c:pt idx="10">
                  <c:v>113.14285714285714</c:v>
                </c:pt>
                <c:pt idx="11">
                  <c:v>134</c:v>
                </c:pt>
                <c:pt idx="12">
                  <c:v>148.5</c:v>
                </c:pt>
                <c:pt idx="13">
                  <c:v>94</c:v>
                </c:pt>
                <c:pt idx="14">
                  <c:v>64</c:v>
                </c:pt>
                <c:pt idx="15">
                  <c:v>63.5</c:v>
                </c:pt>
                <c:pt idx="16">
                  <c:v>33.5</c:v>
                </c:pt>
                <c:pt idx="17">
                  <c:v>29</c:v>
                </c:pt>
                <c:pt idx="18">
                  <c:v>22</c:v>
                </c:pt>
                <c:pt idx="19">
                  <c:v>17.5</c:v>
                </c:pt>
                <c:pt idx="20">
                  <c:v>20.5</c:v>
                </c:pt>
                <c:pt idx="21">
                  <c:v>22.5</c:v>
                </c:pt>
                <c:pt idx="22">
                  <c:v>36</c:v>
                </c:pt>
                <c:pt idx="23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E1-4157-8910-D9EBCCDB6013}"/>
            </c:ext>
          </c:extLst>
        </c:ser>
        <c:ser>
          <c:idx val="1"/>
          <c:order val="1"/>
          <c:tx>
            <c:strRef>
              <c:f>'Avg Week Lumino-Musita-2Dir'!$AF$9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Lumino-Musita-2Dir'!$R$10:$R$33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Lumino-Musita-2Dir'!$AF$10:$AF$33</c:f>
              <c:numCache>
                <c:formatCode>0</c:formatCode>
                <c:ptCount val="24"/>
                <c:pt idx="0">
                  <c:v>346.71428571428578</c:v>
                </c:pt>
                <c:pt idx="1">
                  <c:v>376.85714285714289</c:v>
                </c:pt>
                <c:pt idx="2">
                  <c:v>372.28571428571433</c:v>
                </c:pt>
                <c:pt idx="3">
                  <c:v>405.99999999999994</c:v>
                </c:pt>
                <c:pt idx="4">
                  <c:v>481.00000000000006</c:v>
                </c:pt>
                <c:pt idx="5">
                  <c:v>459.71428571428578</c:v>
                </c:pt>
                <c:pt idx="6">
                  <c:v>419.14285714285711</c:v>
                </c:pt>
                <c:pt idx="7">
                  <c:v>377.85714285714289</c:v>
                </c:pt>
                <c:pt idx="8">
                  <c:v>423.71428571428567</c:v>
                </c:pt>
                <c:pt idx="9">
                  <c:v>477.85714285714289</c:v>
                </c:pt>
                <c:pt idx="10">
                  <c:v>481.28571428571433</c:v>
                </c:pt>
                <c:pt idx="11">
                  <c:v>463.42857142857144</c:v>
                </c:pt>
                <c:pt idx="12">
                  <c:v>467.5</c:v>
                </c:pt>
                <c:pt idx="13">
                  <c:v>362</c:v>
                </c:pt>
                <c:pt idx="14">
                  <c:v>146.5</c:v>
                </c:pt>
                <c:pt idx="15">
                  <c:v>122</c:v>
                </c:pt>
                <c:pt idx="16">
                  <c:v>85.5</c:v>
                </c:pt>
                <c:pt idx="17">
                  <c:v>36.5</c:v>
                </c:pt>
                <c:pt idx="18">
                  <c:v>23</c:v>
                </c:pt>
                <c:pt idx="19">
                  <c:v>18.5</c:v>
                </c:pt>
                <c:pt idx="20">
                  <c:v>20.5</c:v>
                </c:pt>
                <c:pt idx="21">
                  <c:v>36</c:v>
                </c:pt>
                <c:pt idx="22">
                  <c:v>70.5</c:v>
                </c:pt>
                <c:pt idx="23">
                  <c:v>186.5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E1-4157-8910-D9EBCCDB6013}"/>
            </c:ext>
          </c:extLst>
        </c:ser>
        <c:ser>
          <c:idx val="5"/>
          <c:order val="2"/>
          <c:tx>
            <c:strRef>
              <c:f>'Avg Week Lumino-Musita-2Dir'!$AC$9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Lumino-Musita-2Dir'!$R$10:$R$33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Lumino-Musita-2Dir'!$AC$10:$AC$33</c:f>
              <c:numCache>
                <c:formatCode>0</c:formatCode>
                <c:ptCount val="24"/>
                <c:pt idx="0">
                  <c:v>264.85714285714289</c:v>
                </c:pt>
                <c:pt idx="1">
                  <c:v>296.71428571428578</c:v>
                </c:pt>
                <c:pt idx="2">
                  <c:v>295.71428571428572</c:v>
                </c:pt>
                <c:pt idx="3">
                  <c:v>311.85714285714283</c:v>
                </c:pt>
                <c:pt idx="4">
                  <c:v>383.28571428571433</c:v>
                </c:pt>
                <c:pt idx="5">
                  <c:v>353.42857142857144</c:v>
                </c:pt>
                <c:pt idx="6">
                  <c:v>317.42857142857144</c:v>
                </c:pt>
                <c:pt idx="7">
                  <c:v>275.14285714285717</c:v>
                </c:pt>
                <c:pt idx="8">
                  <c:v>313.42857142857144</c:v>
                </c:pt>
                <c:pt idx="9">
                  <c:v>364.28571428571428</c:v>
                </c:pt>
                <c:pt idx="10">
                  <c:v>368.14285714285711</c:v>
                </c:pt>
                <c:pt idx="11">
                  <c:v>329.42857142857144</c:v>
                </c:pt>
                <c:pt idx="12">
                  <c:v>319</c:v>
                </c:pt>
                <c:pt idx="13">
                  <c:v>268</c:v>
                </c:pt>
                <c:pt idx="14">
                  <c:v>82.5</c:v>
                </c:pt>
                <c:pt idx="15">
                  <c:v>58.5</c:v>
                </c:pt>
                <c:pt idx="16">
                  <c:v>52</c:v>
                </c:pt>
                <c:pt idx="17">
                  <c:v>7.5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13.5</c:v>
                </c:pt>
                <c:pt idx="22">
                  <c:v>34.5</c:v>
                </c:pt>
                <c:pt idx="23">
                  <c:v>111.5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E1-4157-8910-D9EBCCDB6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Lumino-Musita-2Dir'!$S$9:$AF$9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Lumino-Musita-2Dir'!$S$41:$AF$41</c:f>
              <c:numCache>
                <c:formatCode>_(* #,##0_);_(* \(#,##0\);_(* "-"_);_(@_)</c:formatCode>
                <c:ptCount val="14"/>
                <c:pt idx="0">
                  <c:v>549.35714285714289</c:v>
                </c:pt>
                <c:pt idx="1">
                  <c:v>156.21428571428572</c:v>
                </c:pt>
                <c:pt idx="2">
                  <c:v>115.28571428571429</c:v>
                </c:pt>
                <c:pt idx="3">
                  <c:v>220.00000000000003</c:v>
                </c:pt>
                <c:pt idx="4">
                  <c:v>21.714285714285715</c:v>
                </c:pt>
                <c:pt idx="5">
                  <c:v>7.5</c:v>
                </c:pt>
                <c:pt idx="6">
                  <c:v>258.42857142857144</c:v>
                </c:pt>
                <c:pt idx="7">
                  <c:v>305.64285714285717</c:v>
                </c:pt>
                <c:pt idx="8">
                  <c:v>91.785714285714278</c:v>
                </c:pt>
                <c:pt idx="9">
                  <c:v>94.428571428571431</c:v>
                </c:pt>
                <c:pt idx="10">
                  <c:v>4822.7142857142862</c:v>
                </c:pt>
                <c:pt idx="11">
                  <c:v>17.785714285714285</c:v>
                </c:pt>
                <c:pt idx="12">
                  <c:v>1838.1428571428571</c:v>
                </c:pt>
                <c:pt idx="13">
                  <c:v>6660.857142857144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A-4C29-8D4D-ADBE4F9E25A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Lumino-Musita-2Dir'!$S$9:$AF$9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Lumino-Musita-2Dir'!$S$42:$AF$42</c:f>
              <c:numCache>
                <c:formatCode>0.000</c:formatCode>
                <c:ptCount val="14"/>
                <c:pt idx="0">
                  <c:v>1.4577331311599699</c:v>
                </c:pt>
                <c:pt idx="1">
                  <c:v>1.3384332925336595</c:v>
                </c:pt>
                <c:pt idx="2">
                  <c:v>1.4359430604982206</c:v>
                </c:pt>
                <c:pt idx="3">
                  <c:v>1.4473684210526314</c:v>
                </c:pt>
                <c:pt idx="4">
                  <c:v>1.707865168539326</c:v>
                </c:pt>
                <c:pt idx="5">
                  <c:v>2.5000000000000004</c:v>
                </c:pt>
                <c:pt idx="6">
                  <c:v>1.4244094488188976</c:v>
                </c:pt>
                <c:pt idx="7">
                  <c:v>1.5582665695557174</c:v>
                </c:pt>
                <c:pt idx="8">
                  <c:v>1.9410876132930512</c:v>
                </c:pt>
                <c:pt idx="9">
                  <c:v>2.665322580645161</c:v>
                </c:pt>
                <c:pt idx="10">
                  <c:v>1.2449845109898214</c:v>
                </c:pt>
                <c:pt idx="11">
                  <c:v>1.7291666666666667</c:v>
                </c:pt>
                <c:pt idx="12">
                  <c:v>1.5164407778432527</c:v>
                </c:pt>
                <c:pt idx="13">
                  <c:v>1.3096823122945984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83-4645-BBD5-50B7FB0F93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7.xml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21.xml"/><Relationship Id="rId1" Type="http://schemas.openxmlformats.org/officeDocument/2006/relationships/chart" Target="../charts/chart18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5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9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27</xdr:col>
      <xdr:colOff>698500</xdr:colOff>
      <xdr:row>59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60</xdr:row>
      <xdr:rowOff>0</xdr:rowOff>
    </xdr:from>
    <xdr:to>
      <xdr:col>23</xdr:col>
      <xdr:colOff>15875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60</xdr:row>
      <xdr:rowOff>15875</xdr:rowOff>
    </xdr:from>
    <xdr:to>
      <xdr:col>31</xdr:col>
      <xdr:colOff>0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0</xdr:rowOff>
    </xdr:from>
    <xdr:to>
      <xdr:col>28</xdr:col>
      <xdr:colOff>31750</xdr:colOff>
      <xdr:row>59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59</xdr:row>
      <xdr:rowOff>269876</xdr:rowOff>
    </xdr:from>
    <xdr:to>
      <xdr:col>23</xdr:col>
      <xdr:colOff>1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59</xdr:row>
      <xdr:rowOff>253999</xdr:rowOff>
    </xdr:from>
    <xdr:to>
      <xdr:col>31</xdr:col>
      <xdr:colOff>0</xdr:colOff>
      <xdr:row>74</xdr:row>
      <xdr:rowOff>15874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263525</xdr:rowOff>
    </xdr:from>
    <xdr:to>
      <xdr:col>23</xdr:col>
      <xdr:colOff>650874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75</xdr:row>
      <xdr:rowOff>0</xdr:rowOff>
    </xdr:from>
    <xdr:to>
      <xdr:col>23</xdr:col>
      <xdr:colOff>650874</xdr:colOff>
      <xdr:row>91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15875</xdr:colOff>
      <xdr:row>43</xdr:row>
      <xdr:rowOff>15875</xdr:rowOff>
    </xdr:from>
    <xdr:to>
      <xdr:col>28</xdr:col>
      <xdr:colOff>15876</xdr:colOff>
      <xdr:row>58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650875</xdr:colOff>
      <xdr:row>59</xdr:row>
      <xdr:rowOff>0</xdr:rowOff>
    </xdr:from>
    <xdr:to>
      <xdr:col>30</xdr:col>
      <xdr:colOff>635000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74</xdr:row>
      <xdr:rowOff>269875</xdr:rowOff>
    </xdr:from>
    <xdr:to>
      <xdr:col>30</xdr:col>
      <xdr:colOff>650875</xdr:colOff>
      <xdr:row>90</xdr:row>
      <xdr:rowOff>284163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165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4" t="s">
        <v>166</v>
      </c>
      <c r="H5" s="55"/>
      <c r="I5" s="14"/>
      <c r="J5" s="2" t="s">
        <v>5</v>
      </c>
      <c r="K5" s="54" t="s">
        <v>168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166</v>
      </c>
      <c r="E6" s="55"/>
      <c r="F6" s="2" t="s">
        <v>2</v>
      </c>
      <c r="G6" s="54" t="s">
        <v>167</v>
      </c>
      <c r="H6" s="55"/>
      <c r="J6" s="2" t="s">
        <v>21</v>
      </c>
      <c r="K6" s="54" t="s">
        <v>169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4</v>
      </c>
      <c r="J10" s="50">
        <v>0</v>
      </c>
      <c r="K10" s="50">
        <v>1</v>
      </c>
      <c r="L10" s="50">
        <v>0</v>
      </c>
      <c r="M10" s="50">
        <v>12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10</v>
      </c>
      <c r="T10" s="17">
        <f t="shared" si="2"/>
        <v>7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13</v>
      </c>
      <c r="Z10" s="17">
        <f t="shared" si="2"/>
        <v>7</v>
      </c>
      <c r="AA10" s="17">
        <f t="shared" si="2"/>
        <v>16</v>
      </c>
      <c r="AB10" s="17">
        <f t="shared" si="2"/>
        <v>3</v>
      </c>
      <c r="AC10" s="17">
        <f t="shared" si="2"/>
        <v>93</v>
      </c>
      <c r="AD10" s="17">
        <f t="shared" si="2"/>
        <v>1</v>
      </c>
      <c r="AE10" s="31">
        <f t="shared" si="2"/>
        <v>60</v>
      </c>
      <c r="AF10" s="31">
        <f t="shared" si="2"/>
        <v>153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5</v>
      </c>
      <c r="J11" s="50">
        <v>5</v>
      </c>
      <c r="K11" s="50">
        <v>8</v>
      </c>
      <c r="L11" s="50">
        <v>1</v>
      </c>
      <c r="M11" s="50">
        <v>15</v>
      </c>
      <c r="N11" s="50">
        <v>0</v>
      </c>
      <c r="O11" s="15">
        <f t="shared" si="0"/>
        <v>22</v>
      </c>
      <c r="P11" s="15">
        <f t="shared" si="1"/>
        <v>37</v>
      </c>
      <c r="R11" s="1" t="s">
        <v>7</v>
      </c>
      <c r="S11" s="17">
        <f t="shared" ref="S11:AF11" si="3">SUM(C14:C17)</f>
        <v>19</v>
      </c>
      <c r="T11" s="17">
        <f t="shared" si="3"/>
        <v>4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15</v>
      </c>
      <c r="Z11" s="17">
        <f t="shared" si="3"/>
        <v>15</v>
      </c>
      <c r="AA11" s="17">
        <f t="shared" si="3"/>
        <v>1</v>
      </c>
      <c r="AB11" s="17">
        <f t="shared" si="3"/>
        <v>0</v>
      </c>
      <c r="AC11" s="17">
        <f t="shared" si="3"/>
        <v>105</v>
      </c>
      <c r="AD11" s="17">
        <f t="shared" si="3"/>
        <v>0</v>
      </c>
      <c r="AE11" s="31">
        <f t="shared" si="3"/>
        <v>57</v>
      </c>
      <c r="AF11" s="31">
        <f t="shared" si="3"/>
        <v>162</v>
      </c>
    </row>
    <row r="12" spans="2:32" ht="23.1" customHeight="1" x14ac:dyDescent="0.25">
      <c r="B12" s="23" t="s">
        <v>39</v>
      </c>
      <c r="C12" s="50">
        <v>4</v>
      </c>
      <c r="D12" s="50">
        <v>6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3</v>
      </c>
      <c r="L12" s="50">
        <v>0</v>
      </c>
      <c r="M12" s="50">
        <v>32</v>
      </c>
      <c r="N12" s="50">
        <v>0</v>
      </c>
      <c r="O12" s="15">
        <f t="shared" si="0"/>
        <v>14</v>
      </c>
      <c r="P12" s="15">
        <f t="shared" si="1"/>
        <v>46</v>
      </c>
      <c r="R12" s="1" t="s">
        <v>8</v>
      </c>
      <c r="S12" s="17">
        <f t="shared" ref="S12:AF12" si="4">SUM(C18:C21)</f>
        <v>16</v>
      </c>
      <c r="T12" s="17">
        <f t="shared" si="4"/>
        <v>5</v>
      </c>
      <c r="U12" s="17">
        <f t="shared" si="4"/>
        <v>3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10</v>
      </c>
      <c r="AA12" s="17">
        <f t="shared" si="4"/>
        <v>0</v>
      </c>
      <c r="AB12" s="17">
        <f t="shared" si="4"/>
        <v>0</v>
      </c>
      <c r="AC12" s="17">
        <f t="shared" si="4"/>
        <v>168</v>
      </c>
      <c r="AD12" s="17">
        <f t="shared" si="4"/>
        <v>0</v>
      </c>
      <c r="AE12" s="31">
        <f t="shared" si="4"/>
        <v>47</v>
      </c>
      <c r="AF12" s="31">
        <f t="shared" si="4"/>
        <v>215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3</v>
      </c>
      <c r="J13" s="50">
        <v>2</v>
      </c>
      <c r="K13" s="50">
        <v>4</v>
      </c>
      <c r="L13" s="50">
        <v>2</v>
      </c>
      <c r="M13" s="50">
        <v>34</v>
      </c>
      <c r="N13" s="50">
        <v>1</v>
      </c>
      <c r="O13" s="15">
        <f t="shared" si="0"/>
        <v>17</v>
      </c>
      <c r="P13" s="15">
        <f t="shared" si="1"/>
        <v>51</v>
      </c>
      <c r="R13" s="1" t="s">
        <v>9</v>
      </c>
      <c r="S13" s="17">
        <f t="shared" ref="S13:AF13" si="5">SUM(C22:C25)</f>
        <v>26</v>
      </c>
      <c r="T13" s="17">
        <f t="shared" si="5"/>
        <v>7</v>
      </c>
      <c r="U13" s="17">
        <f t="shared" si="5"/>
        <v>9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10</v>
      </c>
      <c r="AA13" s="17">
        <f t="shared" si="5"/>
        <v>4</v>
      </c>
      <c r="AB13" s="17">
        <f t="shared" si="5"/>
        <v>0</v>
      </c>
      <c r="AC13" s="17">
        <f t="shared" si="5"/>
        <v>219</v>
      </c>
      <c r="AD13" s="17">
        <f t="shared" si="5"/>
        <v>1</v>
      </c>
      <c r="AE13" s="31">
        <f t="shared" si="5"/>
        <v>73</v>
      </c>
      <c r="AF13" s="31">
        <f t="shared" si="5"/>
        <v>292</v>
      </c>
    </row>
    <row r="14" spans="2:32" ht="23.1" customHeight="1" x14ac:dyDescent="0.25">
      <c r="B14" s="23" t="s">
        <v>41</v>
      </c>
      <c r="C14" s="50">
        <v>4</v>
      </c>
      <c r="D14" s="50">
        <v>2</v>
      </c>
      <c r="E14" s="50">
        <v>0</v>
      </c>
      <c r="F14" s="50">
        <v>0</v>
      </c>
      <c r="G14" s="50">
        <v>0</v>
      </c>
      <c r="H14" s="50">
        <v>0</v>
      </c>
      <c r="I14" s="50">
        <v>8</v>
      </c>
      <c r="J14" s="50">
        <v>4</v>
      </c>
      <c r="K14" s="50">
        <v>0</v>
      </c>
      <c r="L14" s="50">
        <v>0</v>
      </c>
      <c r="M14" s="50">
        <v>30</v>
      </c>
      <c r="N14" s="50">
        <v>0</v>
      </c>
      <c r="O14" s="15">
        <f t="shared" si="0"/>
        <v>18</v>
      </c>
      <c r="P14" s="15">
        <f t="shared" si="1"/>
        <v>48</v>
      </c>
      <c r="R14" s="1" t="s">
        <v>10</v>
      </c>
      <c r="S14" s="17">
        <f t="shared" ref="S14:AF14" si="6">SUM(C26:C29)</f>
        <v>23</v>
      </c>
      <c r="T14" s="17">
        <f t="shared" si="6"/>
        <v>1</v>
      </c>
      <c r="U14" s="17">
        <f t="shared" si="6"/>
        <v>2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10</v>
      </c>
      <c r="AA14" s="17">
        <f t="shared" si="6"/>
        <v>3</v>
      </c>
      <c r="AB14" s="17">
        <f t="shared" si="6"/>
        <v>1</v>
      </c>
      <c r="AC14" s="17">
        <f t="shared" si="6"/>
        <v>235</v>
      </c>
      <c r="AD14" s="17">
        <f t="shared" si="6"/>
        <v>0</v>
      </c>
      <c r="AE14" s="31">
        <f t="shared" si="6"/>
        <v>55</v>
      </c>
      <c r="AF14" s="31">
        <f t="shared" si="6"/>
        <v>290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3</v>
      </c>
      <c r="J15" s="50">
        <v>3</v>
      </c>
      <c r="K15" s="50">
        <v>1</v>
      </c>
      <c r="L15" s="50">
        <v>0</v>
      </c>
      <c r="M15" s="50">
        <v>10</v>
      </c>
      <c r="N15" s="50">
        <v>0</v>
      </c>
      <c r="O15" s="15">
        <f t="shared" si="0"/>
        <v>9</v>
      </c>
      <c r="P15" s="15">
        <f t="shared" si="1"/>
        <v>19</v>
      </c>
      <c r="R15" s="1" t="s">
        <v>11</v>
      </c>
      <c r="S15" s="17">
        <f t="shared" ref="S15:AF15" si="7">SUM(C30:C33)</f>
        <v>13</v>
      </c>
      <c r="T15" s="17">
        <f t="shared" si="7"/>
        <v>2</v>
      </c>
      <c r="U15" s="17">
        <f t="shared" si="7"/>
        <v>8</v>
      </c>
      <c r="V15" s="17">
        <f t="shared" si="7"/>
        <v>13</v>
      </c>
      <c r="W15" s="17">
        <f t="shared" si="7"/>
        <v>0</v>
      </c>
      <c r="X15" s="17">
        <f t="shared" si="7"/>
        <v>0</v>
      </c>
      <c r="Y15" s="17">
        <f t="shared" si="7"/>
        <v>14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182</v>
      </c>
      <c r="AD15" s="17">
        <f t="shared" si="7"/>
        <v>0</v>
      </c>
      <c r="AE15" s="31">
        <f t="shared" si="7"/>
        <v>54</v>
      </c>
      <c r="AF15" s="31">
        <f t="shared" si="7"/>
        <v>236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3</v>
      </c>
      <c r="J16" s="50">
        <v>3</v>
      </c>
      <c r="K16" s="50">
        <v>0</v>
      </c>
      <c r="L16" s="50">
        <v>0</v>
      </c>
      <c r="M16" s="50">
        <v>30</v>
      </c>
      <c r="N16" s="50">
        <v>0</v>
      </c>
      <c r="O16" s="15">
        <f t="shared" si="0"/>
        <v>12</v>
      </c>
      <c r="P16" s="15">
        <f t="shared" si="1"/>
        <v>42</v>
      </c>
      <c r="R16" s="1" t="s">
        <v>12</v>
      </c>
      <c r="S16" s="17">
        <f t="shared" ref="S16:AF16" si="8">SUM(C34:C37)</f>
        <v>17</v>
      </c>
      <c r="T16" s="17">
        <f t="shared" si="8"/>
        <v>4</v>
      </c>
      <c r="U16" s="17">
        <f t="shared" si="8"/>
        <v>1</v>
      </c>
      <c r="V16" s="17">
        <f t="shared" si="8"/>
        <v>1</v>
      </c>
      <c r="W16" s="17">
        <f t="shared" si="8"/>
        <v>1</v>
      </c>
      <c r="X16" s="17">
        <f t="shared" si="8"/>
        <v>0</v>
      </c>
      <c r="Y16" s="17">
        <f t="shared" si="8"/>
        <v>10</v>
      </c>
      <c r="Z16" s="17">
        <f t="shared" si="8"/>
        <v>10</v>
      </c>
      <c r="AA16" s="17">
        <f t="shared" si="8"/>
        <v>0</v>
      </c>
      <c r="AB16" s="17">
        <f t="shared" si="8"/>
        <v>0</v>
      </c>
      <c r="AC16" s="17">
        <f t="shared" si="8"/>
        <v>100</v>
      </c>
      <c r="AD16" s="17">
        <f t="shared" si="8"/>
        <v>0</v>
      </c>
      <c r="AE16" s="31">
        <f t="shared" si="8"/>
        <v>44</v>
      </c>
      <c r="AF16" s="31">
        <f t="shared" si="8"/>
        <v>144</v>
      </c>
    </row>
    <row r="17" spans="2:32" ht="23.1" customHeight="1" x14ac:dyDescent="0.25">
      <c r="B17" s="23" t="s">
        <v>44</v>
      </c>
      <c r="C17" s="50">
        <v>10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1</v>
      </c>
      <c r="J17" s="50">
        <v>5</v>
      </c>
      <c r="K17" s="50">
        <v>0</v>
      </c>
      <c r="L17" s="50">
        <v>0</v>
      </c>
      <c r="M17" s="50">
        <v>35</v>
      </c>
      <c r="N17" s="50">
        <v>0</v>
      </c>
      <c r="O17" s="15">
        <f t="shared" si="0"/>
        <v>18</v>
      </c>
      <c r="P17" s="15">
        <f t="shared" si="1"/>
        <v>53</v>
      </c>
      <c r="R17" s="1" t="s">
        <v>13</v>
      </c>
      <c r="S17" s="17">
        <f t="shared" ref="S17:AF17" si="9">SUM(C38:C41)</f>
        <v>13</v>
      </c>
      <c r="T17" s="17">
        <f t="shared" si="9"/>
        <v>4</v>
      </c>
      <c r="U17" s="17">
        <f t="shared" si="9"/>
        <v>1</v>
      </c>
      <c r="V17" s="17">
        <f t="shared" si="9"/>
        <v>13</v>
      </c>
      <c r="W17" s="17">
        <f t="shared" si="9"/>
        <v>1</v>
      </c>
      <c r="X17" s="17">
        <f t="shared" si="9"/>
        <v>0</v>
      </c>
      <c r="Y17" s="17">
        <f t="shared" si="9"/>
        <v>8</v>
      </c>
      <c r="Z17" s="17">
        <f t="shared" si="9"/>
        <v>10</v>
      </c>
      <c r="AA17" s="17">
        <f t="shared" si="9"/>
        <v>2</v>
      </c>
      <c r="AB17" s="17">
        <f t="shared" si="9"/>
        <v>0</v>
      </c>
      <c r="AC17" s="17">
        <f t="shared" si="9"/>
        <v>73</v>
      </c>
      <c r="AD17" s="17">
        <f t="shared" si="9"/>
        <v>3</v>
      </c>
      <c r="AE17" s="31">
        <f t="shared" si="9"/>
        <v>55</v>
      </c>
      <c r="AF17" s="31">
        <f t="shared" si="9"/>
        <v>128</v>
      </c>
    </row>
    <row r="18" spans="2:32" ht="23.1" customHeight="1" x14ac:dyDescent="0.25">
      <c r="B18" s="23" t="s">
        <v>45</v>
      </c>
      <c r="C18" s="50">
        <v>5</v>
      </c>
      <c r="D18" s="50">
        <v>1</v>
      </c>
      <c r="E18" s="50">
        <v>2</v>
      </c>
      <c r="F18" s="50">
        <v>2</v>
      </c>
      <c r="G18" s="50">
        <v>0</v>
      </c>
      <c r="H18" s="50">
        <v>0</v>
      </c>
      <c r="I18" s="50">
        <v>2</v>
      </c>
      <c r="J18" s="50">
        <v>4</v>
      </c>
      <c r="K18" s="50">
        <v>0</v>
      </c>
      <c r="L18" s="50">
        <v>0</v>
      </c>
      <c r="M18" s="50">
        <v>62</v>
      </c>
      <c r="N18" s="50">
        <v>0</v>
      </c>
      <c r="O18" s="15">
        <f t="shared" si="0"/>
        <v>16</v>
      </c>
      <c r="P18" s="15">
        <f t="shared" si="1"/>
        <v>78</v>
      </c>
      <c r="R18" s="1" t="s">
        <v>14</v>
      </c>
      <c r="S18" s="17">
        <f t="shared" ref="S18:AF18" si="10">SUM(C42:C45)</f>
        <v>4</v>
      </c>
      <c r="T18" s="17">
        <f t="shared" si="10"/>
        <v>2</v>
      </c>
      <c r="U18" s="17">
        <f t="shared" si="10"/>
        <v>2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16</v>
      </c>
      <c r="AA18" s="17">
        <f t="shared" si="10"/>
        <v>0</v>
      </c>
      <c r="AB18" s="17">
        <f t="shared" si="10"/>
        <v>0</v>
      </c>
      <c r="AC18" s="17">
        <f t="shared" si="10"/>
        <v>67</v>
      </c>
      <c r="AD18" s="17">
        <f t="shared" si="10"/>
        <v>1</v>
      </c>
      <c r="AE18" s="31">
        <f t="shared" si="10"/>
        <v>36</v>
      </c>
      <c r="AF18" s="31">
        <f t="shared" si="10"/>
        <v>103</v>
      </c>
    </row>
    <row r="19" spans="2:32" ht="23.1" customHeight="1" x14ac:dyDescent="0.25">
      <c r="B19" s="23" t="s">
        <v>46</v>
      </c>
      <c r="C19" s="50">
        <v>2</v>
      </c>
      <c r="D19" s="50">
        <v>1</v>
      </c>
      <c r="E19" s="50">
        <v>0</v>
      </c>
      <c r="F19" s="50">
        <v>2</v>
      </c>
      <c r="G19" s="50">
        <v>0</v>
      </c>
      <c r="H19" s="50">
        <v>0</v>
      </c>
      <c r="I19" s="50">
        <v>4</v>
      </c>
      <c r="J19" s="50">
        <v>3</v>
      </c>
      <c r="K19" s="50">
        <v>0</v>
      </c>
      <c r="L19" s="50">
        <v>0</v>
      </c>
      <c r="M19" s="50">
        <v>35</v>
      </c>
      <c r="N19" s="50">
        <v>0</v>
      </c>
      <c r="O19" s="15">
        <f t="shared" si="0"/>
        <v>12</v>
      </c>
      <c r="P19" s="15">
        <f t="shared" si="1"/>
        <v>47</v>
      </c>
      <c r="R19" s="1" t="s">
        <v>15</v>
      </c>
      <c r="S19" s="17">
        <f t="shared" ref="S19:AF19" si="11">SUM(C46:C49)</f>
        <v>16</v>
      </c>
      <c r="T19" s="17">
        <f t="shared" si="11"/>
        <v>3</v>
      </c>
      <c r="U19" s="17">
        <f t="shared" si="11"/>
        <v>6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16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185</v>
      </c>
      <c r="AD19" s="17">
        <f t="shared" si="11"/>
        <v>1</v>
      </c>
      <c r="AE19" s="31">
        <f t="shared" si="11"/>
        <v>47</v>
      </c>
      <c r="AF19" s="31">
        <f t="shared" si="11"/>
        <v>232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0</v>
      </c>
      <c r="M20" s="50">
        <v>47</v>
      </c>
      <c r="N20" s="50">
        <v>0</v>
      </c>
      <c r="O20" s="15">
        <f t="shared" si="0"/>
        <v>10</v>
      </c>
      <c r="P20" s="15">
        <f t="shared" si="1"/>
        <v>57</v>
      </c>
      <c r="R20" s="1" t="s">
        <v>16</v>
      </c>
      <c r="S20" s="17">
        <f t="shared" ref="S20:AF20" si="12">SUM(C50:C53)</f>
        <v>6</v>
      </c>
      <c r="T20" s="17">
        <f t="shared" si="12"/>
        <v>1</v>
      </c>
      <c r="U20" s="17">
        <f t="shared" si="12"/>
        <v>1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6</v>
      </c>
      <c r="AA20" s="17">
        <f t="shared" si="12"/>
        <v>1</v>
      </c>
      <c r="AB20" s="17">
        <f t="shared" si="12"/>
        <v>2</v>
      </c>
      <c r="AC20" s="17">
        <f t="shared" si="12"/>
        <v>110</v>
      </c>
      <c r="AD20" s="17">
        <f t="shared" si="12"/>
        <v>1</v>
      </c>
      <c r="AE20" s="31">
        <f t="shared" si="12"/>
        <v>27</v>
      </c>
      <c r="AF20" s="31">
        <f t="shared" si="12"/>
        <v>137</v>
      </c>
    </row>
    <row r="21" spans="2:32" ht="23.1" customHeight="1" x14ac:dyDescent="0.25">
      <c r="B21" s="23" t="s">
        <v>48</v>
      </c>
      <c r="C21" s="50">
        <v>4</v>
      </c>
      <c r="D21" s="50">
        <v>3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24</v>
      </c>
      <c r="N21" s="50">
        <v>0</v>
      </c>
      <c r="O21" s="15">
        <f t="shared" si="0"/>
        <v>9</v>
      </c>
      <c r="P21" s="15">
        <f t="shared" si="1"/>
        <v>33</v>
      </c>
      <c r="R21" s="36" t="s">
        <v>20</v>
      </c>
      <c r="S21" s="34">
        <f t="shared" ref="S21:AF21" si="13">SUM(C54:C57)</f>
        <v>9</v>
      </c>
      <c r="T21" s="17">
        <f t="shared" si="13"/>
        <v>3</v>
      </c>
      <c r="U21" s="17">
        <f t="shared" si="13"/>
        <v>5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10</v>
      </c>
      <c r="Z21" s="17">
        <f t="shared" si="13"/>
        <v>12</v>
      </c>
      <c r="AA21" s="17">
        <f t="shared" si="13"/>
        <v>0</v>
      </c>
      <c r="AB21" s="17">
        <f t="shared" si="13"/>
        <v>1</v>
      </c>
      <c r="AC21" s="17">
        <f t="shared" si="13"/>
        <v>188</v>
      </c>
      <c r="AD21" s="17">
        <f t="shared" si="13"/>
        <v>1</v>
      </c>
      <c r="AE21" s="31">
        <f t="shared" si="13"/>
        <v>48</v>
      </c>
      <c r="AF21" s="31">
        <f t="shared" si="13"/>
        <v>236</v>
      </c>
    </row>
    <row r="22" spans="2:32" ht="23.1" customHeight="1" x14ac:dyDescent="0.25">
      <c r="B22" s="23" t="s">
        <v>49</v>
      </c>
      <c r="C22" s="50">
        <v>4</v>
      </c>
      <c r="D22" s="50">
        <v>2</v>
      </c>
      <c r="E22" s="50">
        <v>1</v>
      </c>
      <c r="F22" s="50">
        <v>1</v>
      </c>
      <c r="G22" s="50">
        <v>0</v>
      </c>
      <c r="H22" s="50">
        <v>0</v>
      </c>
      <c r="I22" s="50">
        <v>2</v>
      </c>
      <c r="J22" s="50">
        <v>3</v>
      </c>
      <c r="K22" s="50">
        <v>2</v>
      </c>
      <c r="L22" s="50">
        <v>0</v>
      </c>
      <c r="M22" s="50">
        <v>38</v>
      </c>
      <c r="N22" s="50">
        <v>0</v>
      </c>
      <c r="O22" s="15">
        <f t="shared" si="0"/>
        <v>15</v>
      </c>
      <c r="P22" s="15">
        <f t="shared" si="1"/>
        <v>53</v>
      </c>
      <c r="R22" s="38" t="s">
        <v>90</v>
      </c>
      <c r="S22" s="39">
        <f>MAX(S10:S12)</f>
        <v>19</v>
      </c>
      <c r="T22" s="39">
        <f t="shared" ref="T22:AF22" si="14">MAX(T10:T12)</f>
        <v>7</v>
      </c>
      <c r="U22" s="39">
        <f t="shared" si="14"/>
        <v>3</v>
      </c>
      <c r="V22" s="39">
        <f t="shared" si="14"/>
        <v>4</v>
      </c>
      <c r="W22" s="39">
        <f t="shared" si="14"/>
        <v>0</v>
      </c>
      <c r="X22" s="39">
        <f t="shared" si="14"/>
        <v>0</v>
      </c>
      <c r="Y22" s="39">
        <f t="shared" si="14"/>
        <v>15</v>
      </c>
      <c r="Z22" s="39">
        <f t="shared" si="14"/>
        <v>15</v>
      </c>
      <c r="AA22" s="39">
        <f t="shared" si="14"/>
        <v>16</v>
      </c>
      <c r="AB22" s="39">
        <f t="shared" si="14"/>
        <v>3</v>
      </c>
      <c r="AC22" s="39">
        <f t="shared" si="14"/>
        <v>168</v>
      </c>
      <c r="AD22" s="39">
        <f t="shared" si="14"/>
        <v>1</v>
      </c>
      <c r="AE22" s="40">
        <f t="shared" si="14"/>
        <v>60</v>
      </c>
      <c r="AF22" s="40">
        <f t="shared" si="14"/>
        <v>215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1</v>
      </c>
      <c r="L23" s="50">
        <v>0</v>
      </c>
      <c r="M23" s="50">
        <v>60</v>
      </c>
      <c r="N23" s="50">
        <v>0</v>
      </c>
      <c r="O23" s="15">
        <f t="shared" si="0"/>
        <v>10</v>
      </c>
      <c r="P23" s="15">
        <f t="shared" si="1"/>
        <v>70</v>
      </c>
      <c r="R23" s="38" t="s">
        <v>91</v>
      </c>
      <c r="S23" s="39">
        <f>MAX(S13:S18)</f>
        <v>26</v>
      </c>
      <c r="T23" s="39">
        <f t="shared" ref="T23:AF23" si="15">MAX(T13:T18)</f>
        <v>7</v>
      </c>
      <c r="U23" s="39">
        <f t="shared" si="15"/>
        <v>9</v>
      </c>
      <c r="V23" s="39">
        <f t="shared" si="15"/>
        <v>13</v>
      </c>
      <c r="W23" s="39">
        <f t="shared" si="15"/>
        <v>1</v>
      </c>
      <c r="X23" s="39">
        <f t="shared" si="15"/>
        <v>0</v>
      </c>
      <c r="Y23" s="39">
        <f t="shared" si="15"/>
        <v>14</v>
      </c>
      <c r="Z23" s="39">
        <f t="shared" si="15"/>
        <v>16</v>
      </c>
      <c r="AA23" s="39">
        <f t="shared" si="15"/>
        <v>4</v>
      </c>
      <c r="AB23" s="39">
        <f t="shared" si="15"/>
        <v>1</v>
      </c>
      <c r="AC23" s="39">
        <f t="shared" si="15"/>
        <v>235</v>
      </c>
      <c r="AD23" s="39">
        <f t="shared" si="15"/>
        <v>3</v>
      </c>
      <c r="AE23" s="40">
        <f t="shared" si="15"/>
        <v>73</v>
      </c>
      <c r="AF23" s="40">
        <f t="shared" si="15"/>
        <v>292</v>
      </c>
    </row>
    <row r="24" spans="2:32" ht="23.1" customHeight="1" x14ac:dyDescent="0.25">
      <c r="B24" s="23" t="s">
        <v>51</v>
      </c>
      <c r="C24" s="50">
        <v>9</v>
      </c>
      <c r="D24" s="50">
        <v>0</v>
      </c>
      <c r="E24" s="50">
        <v>2</v>
      </c>
      <c r="F24" s="50">
        <v>2</v>
      </c>
      <c r="G24" s="50">
        <v>0</v>
      </c>
      <c r="H24" s="50">
        <v>0</v>
      </c>
      <c r="I24" s="50">
        <v>2</v>
      </c>
      <c r="J24" s="50">
        <v>5</v>
      </c>
      <c r="K24" s="50">
        <v>1</v>
      </c>
      <c r="L24" s="50">
        <v>0</v>
      </c>
      <c r="M24" s="50">
        <v>70</v>
      </c>
      <c r="N24" s="50">
        <v>0</v>
      </c>
      <c r="O24" s="15">
        <f t="shared" si="0"/>
        <v>21</v>
      </c>
      <c r="P24" s="15">
        <f t="shared" si="1"/>
        <v>91</v>
      </c>
      <c r="R24" s="38" t="s">
        <v>92</v>
      </c>
      <c r="S24" s="39">
        <f>MAX(S19:S21)</f>
        <v>16</v>
      </c>
      <c r="T24" s="39">
        <f t="shared" ref="T24:AF24" si="16">MAX(T19:T21)</f>
        <v>3</v>
      </c>
      <c r="U24" s="39">
        <f t="shared" si="16"/>
        <v>6</v>
      </c>
      <c r="V24" s="39">
        <f t="shared" si="16"/>
        <v>7</v>
      </c>
      <c r="W24" s="39">
        <f t="shared" si="16"/>
        <v>0</v>
      </c>
      <c r="X24" s="39">
        <f t="shared" si="16"/>
        <v>0</v>
      </c>
      <c r="Y24" s="39">
        <f t="shared" si="16"/>
        <v>16</v>
      </c>
      <c r="Z24" s="39">
        <f t="shared" si="16"/>
        <v>12</v>
      </c>
      <c r="AA24" s="39">
        <f t="shared" si="16"/>
        <v>1</v>
      </c>
      <c r="AB24" s="39">
        <f t="shared" si="16"/>
        <v>2</v>
      </c>
      <c r="AC24" s="39">
        <f t="shared" si="16"/>
        <v>188</v>
      </c>
      <c r="AD24" s="39">
        <f t="shared" si="16"/>
        <v>1</v>
      </c>
      <c r="AE24" s="40">
        <f t="shared" si="16"/>
        <v>48</v>
      </c>
      <c r="AF24" s="40">
        <f t="shared" si="16"/>
        <v>236</v>
      </c>
    </row>
    <row r="25" spans="2:32" ht="23.1" customHeight="1" x14ac:dyDescent="0.25">
      <c r="B25" s="23" t="s">
        <v>52</v>
      </c>
      <c r="C25" s="50">
        <v>8</v>
      </c>
      <c r="D25" s="50">
        <v>5</v>
      </c>
      <c r="E25" s="50">
        <v>4</v>
      </c>
      <c r="F25" s="50">
        <v>3</v>
      </c>
      <c r="G25" s="50">
        <v>0</v>
      </c>
      <c r="H25" s="50">
        <v>0</v>
      </c>
      <c r="I25" s="50">
        <v>4</v>
      </c>
      <c r="J25" s="50">
        <v>2</v>
      </c>
      <c r="K25" s="50">
        <v>0</v>
      </c>
      <c r="L25" s="50">
        <v>0</v>
      </c>
      <c r="M25" s="50">
        <v>51</v>
      </c>
      <c r="N25" s="50">
        <v>1</v>
      </c>
      <c r="O25" s="15">
        <f t="shared" si="0"/>
        <v>27</v>
      </c>
      <c r="P25" s="15">
        <f t="shared" si="1"/>
        <v>78</v>
      </c>
      <c r="R25" s="37" t="s">
        <v>85</v>
      </c>
      <c r="S25" s="35">
        <f t="shared" ref="S25:AF25" si="17">SUM(S10:S12)</f>
        <v>45</v>
      </c>
      <c r="T25" s="16">
        <f t="shared" si="17"/>
        <v>16</v>
      </c>
      <c r="U25" s="16">
        <f t="shared" si="17"/>
        <v>8</v>
      </c>
      <c r="V25" s="16">
        <f t="shared" si="17"/>
        <v>5</v>
      </c>
      <c r="W25" s="16">
        <f t="shared" si="17"/>
        <v>0</v>
      </c>
      <c r="X25" s="16">
        <f t="shared" si="17"/>
        <v>0</v>
      </c>
      <c r="Y25" s="16">
        <f t="shared" si="17"/>
        <v>37</v>
      </c>
      <c r="Z25" s="16">
        <f t="shared" si="17"/>
        <v>32</v>
      </c>
      <c r="AA25" s="16">
        <f t="shared" si="17"/>
        <v>17</v>
      </c>
      <c r="AB25" s="16">
        <f t="shared" si="17"/>
        <v>3</v>
      </c>
      <c r="AC25" s="16">
        <f t="shared" si="17"/>
        <v>366</v>
      </c>
      <c r="AD25" s="16">
        <f t="shared" si="17"/>
        <v>1</v>
      </c>
      <c r="AE25" s="32">
        <f t="shared" si="17"/>
        <v>164</v>
      </c>
      <c r="AF25" s="32">
        <f t="shared" si="17"/>
        <v>530</v>
      </c>
    </row>
    <row r="26" spans="2:32" ht="23.1" customHeight="1" x14ac:dyDescent="0.25">
      <c r="B26" s="23" t="s">
        <v>53</v>
      </c>
      <c r="C26" s="50">
        <v>5</v>
      </c>
      <c r="D26" s="50">
        <v>1</v>
      </c>
      <c r="E26" s="50">
        <v>0</v>
      </c>
      <c r="F26" s="50">
        <v>2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62</v>
      </c>
      <c r="N26" s="50">
        <v>0</v>
      </c>
      <c r="O26" s="15">
        <f t="shared" si="0"/>
        <v>10</v>
      </c>
      <c r="P26" s="15">
        <f t="shared" si="1"/>
        <v>72</v>
      </c>
      <c r="R26" s="28" t="s">
        <v>86</v>
      </c>
      <c r="S26" s="16">
        <f t="shared" ref="S26:AF26" si="18">SUM(S13:S18)</f>
        <v>96</v>
      </c>
      <c r="T26" s="16">
        <f t="shared" si="18"/>
        <v>20</v>
      </c>
      <c r="U26" s="16">
        <f t="shared" si="18"/>
        <v>23</v>
      </c>
      <c r="V26" s="16">
        <f t="shared" si="18"/>
        <v>50</v>
      </c>
      <c r="W26" s="16">
        <f t="shared" si="18"/>
        <v>2</v>
      </c>
      <c r="X26" s="16">
        <f t="shared" si="18"/>
        <v>0</v>
      </c>
      <c r="Y26" s="16">
        <f t="shared" si="18"/>
        <v>51</v>
      </c>
      <c r="Z26" s="16">
        <f t="shared" si="18"/>
        <v>60</v>
      </c>
      <c r="AA26" s="16">
        <f t="shared" si="18"/>
        <v>9</v>
      </c>
      <c r="AB26" s="16">
        <f t="shared" si="18"/>
        <v>1</v>
      </c>
      <c r="AC26" s="16">
        <f t="shared" si="18"/>
        <v>876</v>
      </c>
      <c r="AD26" s="16">
        <f t="shared" si="18"/>
        <v>5</v>
      </c>
      <c r="AE26" s="32">
        <f t="shared" si="18"/>
        <v>317</v>
      </c>
      <c r="AF26" s="32">
        <f t="shared" si="18"/>
        <v>1193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3</v>
      </c>
      <c r="J27" s="50">
        <v>4</v>
      </c>
      <c r="K27" s="50">
        <v>0</v>
      </c>
      <c r="L27" s="50">
        <v>1</v>
      </c>
      <c r="M27" s="50">
        <v>47</v>
      </c>
      <c r="N27" s="50">
        <v>0</v>
      </c>
      <c r="O27" s="15">
        <f t="shared" si="0"/>
        <v>16</v>
      </c>
      <c r="P27" s="15">
        <f t="shared" si="1"/>
        <v>63</v>
      </c>
      <c r="R27" s="29" t="s">
        <v>87</v>
      </c>
      <c r="S27" s="16">
        <f t="shared" ref="S27:AF27" si="19">SUM(S19:S21)</f>
        <v>31</v>
      </c>
      <c r="T27" s="16">
        <f t="shared" si="19"/>
        <v>7</v>
      </c>
      <c r="U27" s="16">
        <f t="shared" si="19"/>
        <v>12</v>
      </c>
      <c r="V27" s="16">
        <f t="shared" si="19"/>
        <v>14</v>
      </c>
      <c r="W27" s="16">
        <f t="shared" si="19"/>
        <v>0</v>
      </c>
      <c r="X27" s="16">
        <f t="shared" si="19"/>
        <v>0</v>
      </c>
      <c r="Y27" s="16">
        <f t="shared" si="19"/>
        <v>31</v>
      </c>
      <c r="Z27" s="16">
        <f t="shared" si="19"/>
        <v>19</v>
      </c>
      <c r="AA27" s="16">
        <f t="shared" si="19"/>
        <v>1</v>
      </c>
      <c r="AB27" s="16">
        <f t="shared" si="19"/>
        <v>4</v>
      </c>
      <c r="AC27" s="16">
        <f t="shared" si="19"/>
        <v>483</v>
      </c>
      <c r="AD27" s="16">
        <f t="shared" si="19"/>
        <v>3</v>
      </c>
      <c r="AE27" s="32">
        <f t="shared" si="19"/>
        <v>122</v>
      </c>
      <c r="AF27" s="32">
        <f t="shared" si="19"/>
        <v>605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2</v>
      </c>
      <c r="J28" s="50">
        <v>2</v>
      </c>
      <c r="K28" s="50">
        <v>1</v>
      </c>
      <c r="L28" s="50">
        <v>0</v>
      </c>
      <c r="M28" s="50">
        <v>59</v>
      </c>
      <c r="N28" s="50">
        <v>0</v>
      </c>
      <c r="O28" s="15">
        <f t="shared" si="0"/>
        <v>15</v>
      </c>
      <c r="P28" s="15">
        <f t="shared" si="1"/>
        <v>74</v>
      </c>
      <c r="R28" s="5" t="s">
        <v>17</v>
      </c>
      <c r="S28" s="16">
        <f t="shared" ref="S28:AF28" si="20">SUM(S10:S21)</f>
        <v>172</v>
      </c>
      <c r="T28" s="16">
        <f t="shared" si="20"/>
        <v>43</v>
      </c>
      <c r="U28" s="16">
        <f t="shared" si="20"/>
        <v>43</v>
      </c>
      <c r="V28" s="16">
        <f t="shared" si="20"/>
        <v>69</v>
      </c>
      <c r="W28" s="16">
        <f t="shared" si="20"/>
        <v>2</v>
      </c>
      <c r="X28" s="16">
        <f t="shared" si="20"/>
        <v>0</v>
      </c>
      <c r="Y28" s="16">
        <f t="shared" si="20"/>
        <v>119</v>
      </c>
      <c r="Z28" s="16">
        <f t="shared" si="20"/>
        <v>111</v>
      </c>
      <c r="AA28" s="16">
        <f t="shared" si="20"/>
        <v>27</v>
      </c>
      <c r="AB28" s="16">
        <f t="shared" si="20"/>
        <v>8</v>
      </c>
      <c r="AC28" s="16">
        <f t="shared" si="20"/>
        <v>1725</v>
      </c>
      <c r="AD28" s="16">
        <f t="shared" si="20"/>
        <v>9</v>
      </c>
      <c r="AE28" s="32">
        <f t="shared" si="20"/>
        <v>603</v>
      </c>
      <c r="AF28" s="32">
        <f t="shared" si="20"/>
        <v>2328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1</v>
      </c>
      <c r="F29" s="50">
        <v>3</v>
      </c>
      <c r="G29" s="50">
        <v>0</v>
      </c>
      <c r="H29" s="50">
        <v>0</v>
      </c>
      <c r="I29" s="50">
        <v>0</v>
      </c>
      <c r="J29" s="50">
        <v>3</v>
      </c>
      <c r="K29" s="50">
        <v>2</v>
      </c>
      <c r="L29" s="50">
        <v>0</v>
      </c>
      <c r="M29" s="50">
        <v>67</v>
      </c>
      <c r="N29" s="50">
        <v>0</v>
      </c>
      <c r="O29" s="15">
        <f t="shared" si="0"/>
        <v>14</v>
      </c>
      <c r="P29" s="15">
        <f t="shared" si="1"/>
        <v>81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3</v>
      </c>
      <c r="F30" s="50">
        <v>2</v>
      </c>
      <c r="G30" s="50">
        <v>0</v>
      </c>
      <c r="H30" s="50">
        <v>0</v>
      </c>
      <c r="I30" s="50">
        <v>1</v>
      </c>
      <c r="J30" s="50">
        <v>3</v>
      </c>
      <c r="K30" s="50">
        <v>0</v>
      </c>
      <c r="L30" s="50">
        <v>0</v>
      </c>
      <c r="M30" s="50">
        <v>46</v>
      </c>
      <c r="N30" s="50">
        <v>0</v>
      </c>
      <c r="O30" s="15">
        <f t="shared" si="0"/>
        <v>13</v>
      </c>
      <c r="P30" s="15">
        <f t="shared" si="1"/>
        <v>59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2</v>
      </c>
      <c r="F31" s="50">
        <v>3</v>
      </c>
      <c r="G31" s="50">
        <v>0</v>
      </c>
      <c r="H31" s="50">
        <v>0</v>
      </c>
      <c r="I31" s="50">
        <v>5</v>
      </c>
      <c r="J31" s="50">
        <v>1</v>
      </c>
      <c r="K31" s="50">
        <v>0</v>
      </c>
      <c r="L31" s="50">
        <v>0</v>
      </c>
      <c r="M31" s="50">
        <v>42</v>
      </c>
      <c r="N31" s="50">
        <v>0</v>
      </c>
      <c r="O31" s="15">
        <f t="shared" si="0"/>
        <v>16</v>
      </c>
      <c r="P31" s="15">
        <f t="shared" si="1"/>
        <v>58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2</v>
      </c>
      <c r="F32" s="50">
        <v>3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50</v>
      </c>
      <c r="N32" s="50">
        <v>0</v>
      </c>
      <c r="O32" s="15">
        <f t="shared" si="0"/>
        <v>12</v>
      </c>
      <c r="P32" s="15">
        <f t="shared" si="1"/>
        <v>62</v>
      </c>
    </row>
    <row r="33" spans="2:20" ht="23.1" customHeight="1" x14ac:dyDescent="0.25">
      <c r="B33" s="23" t="s">
        <v>60</v>
      </c>
      <c r="C33" s="50">
        <v>2</v>
      </c>
      <c r="D33" s="50">
        <v>2</v>
      </c>
      <c r="E33" s="50">
        <v>1</v>
      </c>
      <c r="F33" s="50">
        <v>5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44</v>
      </c>
      <c r="N33" s="50">
        <v>0</v>
      </c>
      <c r="O33" s="15">
        <f t="shared" si="0"/>
        <v>13</v>
      </c>
      <c r="P33" s="15">
        <f t="shared" si="1"/>
        <v>57</v>
      </c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3</v>
      </c>
      <c r="J34" s="50">
        <v>3</v>
      </c>
      <c r="K34" s="50">
        <v>0</v>
      </c>
      <c r="L34" s="50">
        <v>0</v>
      </c>
      <c r="M34" s="50">
        <v>25</v>
      </c>
      <c r="N34" s="50">
        <v>0</v>
      </c>
      <c r="O34" s="15">
        <f t="shared" si="0"/>
        <v>14</v>
      </c>
      <c r="P34" s="15">
        <f t="shared" si="1"/>
        <v>39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1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28</v>
      </c>
      <c r="N35" s="50">
        <v>0</v>
      </c>
      <c r="O35" s="15">
        <f t="shared" si="0"/>
        <v>3</v>
      </c>
      <c r="P35" s="15">
        <f t="shared" si="1"/>
        <v>31</v>
      </c>
    </row>
    <row r="36" spans="2:20" ht="23.1" customHeight="1" x14ac:dyDescent="0.25">
      <c r="B36" s="24" t="s">
        <v>63</v>
      </c>
      <c r="C36" s="50">
        <v>2</v>
      </c>
      <c r="D36" s="50">
        <v>3</v>
      </c>
      <c r="E36" s="50">
        <v>0</v>
      </c>
      <c r="F36" s="50">
        <v>0</v>
      </c>
      <c r="G36" s="50">
        <v>0</v>
      </c>
      <c r="H36" s="50">
        <v>0</v>
      </c>
      <c r="I36" s="50">
        <v>3</v>
      </c>
      <c r="J36" s="50">
        <v>3</v>
      </c>
      <c r="K36" s="50">
        <v>0</v>
      </c>
      <c r="L36" s="50">
        <v>0</v>
      </c>
      <c r="M36" s="50">
        <v>18</v>
      </c>
      <c r="N36" s="50">
        <v>0</v>
      </c>
      <c r="O36" s="15">
        <f t="shared" si="0"/>
        <v>11</v>
      </c>
      <c r="P36" s="15">
        <f t="shared" si="1"/>
        <v>29</v>
      </c>
    </row>
    <row r="37" spans="2:20" ht="23.1" customHeight="1" x14ac:dyDescent="0.25">
      <c r="B37" s="23" t="s">
        <v>64</v>
      </c>
      <c r="C37" s="50">
        <v>6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4</v>
      </c>
      <c r="J37" s="50">
        <v>4</v>
      </c>
      <c r="K37" s="50">
        <v>0</v>
      </c>
      <c r="L37" s="50">
        <v>0</v>
      </c>
      <c r="M37" s="50">
        <v>29</v>
      </c>
      <c r="N37" s="50">
        <v>0</v>
      </c>
      <c r="O37" s="15">
        <f t="shared" si="0"/>
        <v>16</v>
      </c>
      <c r="P37" s="15">
        <f t="shared" si="1"/>
        <v>45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3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24</v>
      </c>
      <c r="N38" s="50">
        <v>1</v>
      </c>
      <c r="O38" s="15">
        <f t="shared" si="0"/>
        <v>7</v>
      </c>
      <c r="P38" s="15">
        <f t="shared" si="1"/>
        <v>31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3</v>
      </c>
      <c r="G39" s="50">
        <v>0</v>
      </c>
      <c r="H39" s="50">
        <v>0</v>
      </c>
      <c r="I39" s="50">
        <v>0</v>
      </c>
      <c r="J39" s="50">
        <v>3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9</v>
      </c>
      <c r="P39" s="15">
        <f t="shared" si="1"/>
        <v>20</v>
      </c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0</v>
      </c>
      <c r="F40" s="50">
        <v>7</v>
      </c>
      <c r="G40" s="50">
        <v>0</v>
      </c>
      <c r="H40" s="50">
        <v>0</v>
      </c>
      <c r="I40" s="50">
        <v>4</v>
      </c>
      <c r="J40" s="50">
        <v>4</v>
      </c>
      <c r="K40" s="50">
        <v>2</v>
      </c>
      <c r="L40" s="50">
        <v>0</v>
      </c>
      <c r="M40" s="50">
        <v>20</v>
      </c>
      <c r="N40" s="50">
        <v>1</v>
      </c>
      <c r="O40" s="15">
        <f t="shared" si="0"/>
        <v>23</v>
      </c>
      <c r="P40" s="15">
        <f t="shared" si="1"/>
        <v>43</v>
      </c>
    </row>
    <row r="41" spans="2:20" ht="23.1" customHeight="1" x14ac:dyDescent="0.25">
      <c r="B41" s="23" t="s">
        <v>68</v>
      </c>
      <c r="C41" s="50">
        <v>5</v>
      </c>
      <c r="D41" s="50">
        <v>4</v>
      </c>
      <c r="E41" s="50">
        <v>1</v>
      </c>
      <c r="F41" s="50">
        <v>0</v>
      </c>
      <c r="G41" s="50">
        <v>1</v>
      </c>
      <c r="H41" s="50">
        <v>0</v>
      </c>
      <c r="I41" s="50">
        <v>3</v>
      </c>
      <c r="J41" s="50">
        <v>1</v>
      </c>
      <c r="K41" s="50">
        <v>0</v>
      </c>
      <c r="L41" s="50">
        <v>0</v>
      </c>
      <c r="M41" s="50">
        <v>18</v>
      </c>
      <c r="N41" s="50">
        <v>1</v>
      </c>
      <c r="O41" s="15">
        <f t="shared" si="0"/>
        <v>16</v>
      </c>
      <c r="P41" s="15">
        <f t="shared" si="1"/>
        <v>34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1</v>
      </c>
      <c r="G42" s="50">
        <v>0</v>
      </c>
      <c r="H42" s="50">
        <v>0</v>
      </c>
      <c r="I42" s="50">
        <v>0</v>
      </c>
      <c r="J42" s="50">
        <v>5</v>
      </c>
      <c r="K42" s="50">
        <v>0</v>
      </c>
      <c r="L42" s="50">
        <v>0</v>
      </c>
      <c r="M42" s="50">
        <v>25</v>
      </c>
      <c r="N42" s="50">
        <v>1</v>
      </c>
      <c r="O42" s="15">
        <f t="shared" si="0"/>
        <v>9</v>
      </c>
      <c r="P42" s="15">
        <f t="shared" si="1"/>
        <v>34</v>
      </c>
    </row>
    <row r="43" spans="2:20" ht="23.1" customHeight="1" x14ac:dyDescent="0.25">
      <c r="B43" s="23" t="s">
        <v>70</v>
      </c>
      <c r="C43" s="50">
        <v>1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5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0</v>
      </c>
      <c r="F44" s="50">
        <v>4</v>
      </c>
      <c r="G44" s="50">
        <v>0</v>
      </c>
      <c r="H44" s="50">
        <v>0</v>
      </c>
      <c r="I44" s="50">
        <v>1</v>
      </c>
      <c r="J44" s="50">
        <v>5</v>
      </c>
      <c r="K44" s="50">
        <v>0</v>
      </c>
      <c r="L44" s="50">
        <v>0</v>
      </c>
      <c r="M44" s="50">
        <v>21</v>
      </c>
      <c r="N44" s="50">
        <v>0</v>
      </c>
      <c r="O44" s="15">
        <f t="shared" si="0"/>
        <v>12</v>
      </c>
      <c r="P44" s="15">
        <f t="shared" si="1"/>
        <v>33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2</v>
      </c>
      <c r="G45" s="50">
        <v>0</v>
      </c>
      <c r="H45" s="50">
        <v>0</v>
      </c>
      <c r="I45" s="50">
        <v>2</v>
      </c>
      <c r="J45" s="50">
        <v>4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10</v>
      </c>
      <c r="P45" s="15">
        <f t="shared" si="1"/>
        <v>24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2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50</v>
      </c>
      <c r="N46" s="50">
        <v>0</v>
      </c>
      <c r="O46" s="15">
        <f t="shared" si="0"/>
        <v>9</v>
      </c>
      <c r="P46" s="15">
        <f t="shared" si="1"/>
        <v>59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2</v>
      </c>
      <c r="E47" s="50">
        <v>2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9</v>
      </c>
      <c r="P47" s="15">
        <f t="shared" si="1"/>
        <v>49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6</v>
      </c>
      <c r="J48" s="50">
        <v>0</v>
      </c>
      <c r="K48" s="50">
        <v>0</v>
      </c>
      <c r="L48" s="50">
        <v>0</v>
      </c>
      <c r="M48" s="50">
        <v>45</v>
      </c>
      <c r="N48" s="50">
        <v>1</v>
      </c>
      <c r="O48" s="15">
        <f t="shared" si="0"/>
        <v>10</v>
      </c>
      <c r="P48" s="15">
        <f t="shared" si="1"/>
        <v>55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1</v>
      </c>
      <c r="E49" s="50">
        <v>1</v>
      </c>
      <c r="F49" s="50">
        <v>1</v>
      </c>
      <c r="G49" s="50">
        <v>0</v>
      </c>
      <c r="H49" s="50">
        <v>0</v>
      </c>
      <c r="I49" s="50">
        <v>6</v>
      </c>
      <c r="J49" s="50">
        <v>1</v>
      </c>
      <c r="K49" s="50">
        <v>0</v>
      </c>
      <c r="L49" s="50">
        <v>1</v>
      </c>
      <c r="M49" s="50">
        <v>50</v>
      </c>
      <c r="N49" s="50">
        <v>0</v>
      </c>
      <c r="O49" s="15">
        <f t="shared" si="0"/>
        <v>19</v>
      </c>
      <c r="P49" s="15">
        <f t="shared" si="1"/>
        <v>69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2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32</v>
      </c>
      <c r="N50" s="50">
        <v>1</v>
      </c>
      <c r="O50" s="15">
        <f t="shared" si="0"/>
        <v>7</v>
      </c>
      <c r="P50" s="15">
        <f t="shared" si="1"/>
        <v>39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1</v>
      </c>
      <c r="J51" s="50">
        <v>4</v>
      </c>
      <c r="K51" s="50">
        <v>0</v>
      </c>
      <c r="L51" s="50">
        <v>1</v>
      </c>
      <c r="M51" s="50">
        <v>19</v>
      </c>
      <c r="N51" s="50">
        <v>0</v>
      </c>
      <c r="O51" s="15">
        <f t="shared" si="0"/>
        <v>9</v>
      </c>
      <c r="P51" s="15">
        <f t="shared" si="1"/>
        <v>28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30</v>
      </c>
      <c r="N52" s="50">
        <v>0</v>
      </c>
      <c r="O52" s="15">
        <f t="shared" si="0"/>
        <v>6</v>
      </c>
      <c r="P52" s="15">
        <f t="shared" si="1"/>
        <v>36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v>1</v>
      </c>
      <c r="M53" s="50">
        <v>29</v>
      </c>
      <c r="N53" s="50">
        <v>0</v>
      </c>
      <c r="O53" s="15">
        <f t="shared" si="0"/>
        <v>5</v>
      </c>
      <c r="P53" s="15">
        <f t="shared" si="1"/>
        <v>34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0</v>
      </c>
      <c r="F54" s="50">
        <v>3</v>
      </c>
      <c r="G54" s="50">
        <v>0</v>
      </c>
      <c r="H54" s="50">
        <v>0</v>
      </c>
      <c r="I54" s="50">
        <v>2</v>
      </c>
      <c r="J54" s="50">
        <v>3</v>
      </c>
      <c r="K54" s="50">
        <v>0</v>
      </c>
      <c r="L54" s="50">
        <v>0</v>
      </c>
      <c r="M54" s="50">
        <v>52</v>
      </c>
      <c r="N54" s="50">
        <v>0</v>
      </c>
      <c r="O54" s="15">
        <f t="shared" si="0"/>
        <v>10</v>
      </c>
      <c r="P54" s="15">
        <f t="shared" si="1"/>
        <v>62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43</v>
      </c>
      <c r="N55" s="50">
        <v>0</v>
      </c>
      <c r="O55" s="15">
        <f t="shared" si="0"/>
        <v>8</v>
      </c>
      <c r="P55" s="15">
        <f t="shared" si="1"/>
        <v>51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2</v>
      </c>
      <c r="F56" s="50">
        <v>3</v>
      </c>
      <c r="G56" s="50">
        <v>0</v>
      </c>
      <c r="H56" s="50">
        <v>0</v>
      </c>
      <c r="I56" s="50">
        <v>3</v>
      </c>
      <c r="J56" s="50">
        <v>4</v>
      </c>
      <c r="K56" s="50">
        <v>0</v>
      </c>
      <c r="L56" s="50">
        <v>1</v>
      </c>
      <c r="M56" s="50">
        <v>45</v>
      </c>
      <c r="N56" s="50">
        <v>1</v>
      </c>
      <c r="O56" s="15">
        <f t="shared" si="0"/>
        <v>17</v>
      </c>
      <c r="P56" s="15">
        <f t="shared" si="1"/>
        <v>62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2</v>
      </c>
      <c r="F57" s="50">
        <v>1</v>
      </c>
      <c r="G57" s="50">
        <v>0</v>
      </c>
      <c r="H57" s="50">
        <v>0</v>
      </c>
      <c r="I57" s="50">
        <v>2</v>
      </c>
      <c r="J57" s="50">
        <v>4</v>
      </c>
      <c r="K57" s="50">
        <v>0</v>
      </c>
      <c r="L57" s="50">
        <v>0</v>
      </c>
      <c r="M57" s="50">
        <v>48</v>
      </c>
      <c r="N57" s="50">
        <v>0</v>
      </c>
      <c r="O57" s="15">
        <f t="shared" si="0"/>
        <v>13</v>
      </c>
      <c r="P57" s="15">
        <f t="shared" si="1"/>
        <v>61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172</v>
      </c>
      <c r="D58" s="16">
        <f t="shared" si="21"/>
        <v>43</v>
      </c>
      <c r="E58" s="16">
        <f t="shared" si="21"/>
        <v>43</v>
      </c>
      <c r="F58" s="16">
        <f t="shared" si="21"/>
        <v>69</v>
      </c>
      <c r="G58" s="16">
        <f t="shared" si="21"/>
        <v>2</v>
      </c>
      <c r="H58" s="16">
        <f t="shared" si="21"/>
        <v>0</v>
      </c>
      <c r="I58" s="16">
        <f t="shared" si="21"/>
        <v>119</v>
      </c>
      <c r="J58" s="16">
        <f t="shared" si="21"/>
        <v>111</v>
      </c>
      <c r="K58" s="16">
        <f t="shared" si="21"/>
        <v>27</v>
      </c>
      <c r="L58" s="16">
        <f t="shared" si="21"/>
        <v>8</v>
      </c>
      <c r="M58" s="16">
        <f t="shared" si="21"/>
        <v>1725</v>
      </c>
      <c r="N58" s="16">
        <f t="shared" si="21"/>
        <v>9</v>
      </c>
      <c r="O58" s="16">
        <f t="shared" si="21"/>
        <v>603</v>
      </c>
      <c r="P58" s="16">
        <f t="shared" si="21"/>
        <v>2328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7.3883161512027493E-2</v>
      </c>
      <c r="D59" s="43">
        <f t="shared" si="22"/>
        <v>1.8470790378006873E-2</v>
      </c>
      <c r="E59" s="43">
        <f t="shared" si="22"/>
        <v>1.8470790378006873E-2</v>
      </c>
      <c r="F59" s="43">
        <f t="shared" si="22"/>
        <v>2.9639175257731958E-2</v>
      </c>
      <c r="G59" s="43">
        <f t="shared" si="22"/>
        <v>8.5910652920962198E-4</v>
      </c>
      <c r="H59" s="43">
        <f t="shared" si="22"/>
        <v>0</v>
      </c>
      <c r="I59" s="43">
        <f t="shared" si="22"/>
        <v>5.1116838487972507E-2</v>
      </c>
      <c r="J59" s="43">
        <f t="shared" si="22"/>
        <v>4.7680412371134018E-2</v>
      </c>
      <c r="K59" s="43">
        <f t="shared" si="22"/>
        <v>1.1597938144329897E-2</v>
      </c>
      <c r="L59" s="43">
        <f t="shared" si="22"/>
        <v>3.4364261168384879E-3</v>
      </c>
      <c r="M59" s="43">
        <f t="shared" si="22"/>
        <v>0.740979381443299</v>
      </c>
      <c r="N59" s="43">
        <f t="shared" si="22"/>
        <v>3.8659793814432991E-3</v>
      </c>
      <c r="R59" s="8"/>
      <c r="T59"/>
    </row>
    <row r="60" spans="2:20" ht="23.1" customHeight="1" x14ac:dyDescent="0.25">
      <c r="B60" s="42" t="s">
        <v>94</v>
      </c>
      <c r="C60" s="44">
        <f>C58/$O$58</f>
        <v>0.28524046434494194</v>
      </c>
      <c r="D60" s="44">
        <f t="shared" ref="D60:N60" si="23">D58/$O$58</f>
        <v>7.1310116086235484E-2</v>
      </c>
      <c r="E60" s="44">
        <f t="shared" si="23"/>
        <v>7.1310116086235484E-2</v>
      </c>
      <c r="F60" s="44">
        <f t="shared" si="23"/>
        <v>0.11442786069651742</v>
      </c>
      <c r="G60" s="44">
        <f t="shared" si="23"/>
        <v>3.3167495854063019E-3</v>
      </c>
      <c r="H60" s="44">
        <f t="shared" si="23"/>
        <v>0</v>
      </c>
      <c r="I60" s="44">
        <f t="shared" si="23"/>
        <v>0.19734660033167495</v>
      </c>
      <c r="J60" s="44">
        <f t="shared" si="23"/>
        <v>0.18407960199004975</v>
      </c>
      <c r="K60" s="44">
        <f t="shared" si="23"/>
        <v>4.4776119402985072E-2</v>
      </c>
      <c r="L60" s="44">
        <f t="shared" si="23"/>
        <v>1.3266998341625208E-2</v>
      </c>
      <c r="M60" s="44"/>
      <c r="N60" s="44">
        <f t="shared" si="23"/>
        <v>1.4925373134328358E-2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'22.08 Musita-Lumino'!D5</f>
        <v>22.08.19</v>
      </c>
      <c r="E5" s="3"/>
      <c r="F5" s="41" t="s">
        <v>1</v>
      </c>
      <c r="G5" s="60" t="str">
        <f>'22.08 Musita-Lumino'!G5:H5</f>
        <v>Musita</v>
      </c>
      <c r="H5" s="61"/>
      <c r="I5" s="14"/>
      <c r="J5" s="2" t="s">
        <v>5</v>
      </c>
      <c r="K5" s="60" t="s">
        <v>171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167</v>
      </c>
      <c r="E6" s="55"/>
      <c r="F6" s="2" t="s">
        <v>2</v>
      </c>
      <c r="G6" s="54" t="s">
        <v>166</v>
      </c>
      <c r="H6" s="55"/>
      <c r="J6" s="2" t="s">
        <v>21</v>
      </c>
      <c r="K6" s="60" t="str">
        <f>'22.08 Musita-Lumino'!K6:L6</f>
        <v>Ivan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6</v>
      </c>
      <c r="G10" s="50">
        <v>1</v>
      </c>
      <c r="H10" s="50">
        <v>0</v>
      </c>
      <c r="I10" s="50">
        <v>0</v>
      </c>
      <c r="J10" s="50">
        <v>1</v>
      </c>
      <c r="K10" s="50">
        <v>1</v>
      </c>
      <c r="L10" s="50">
        <v>0</v>
      </c>
      <c r="M10" s="50">
        <v>18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30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3</v>
      </c>
      <c r="V10" s="17">
        <f t="shared" si="2"/>
        <v>9</v>
      </c>
      <c r="W10" s="17">
        <f t="shared" si="2"/>
        <v>1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4</v>
      </c>
      <c r="AB10" s="17">
        <f t="shared" si="2"/>
        <v>0</v>
      </c>
      <c r="AC10" s="17">
        <f t="shared" si="2"/>
        <v>127</v>
      </c>
      <c r="AD10" s="17">
        <f t="shared" si="2"/>
        <v>1</v>
      </c>
      <c r="AE10" s="31">
        <f t="shared" si="2"/>
        <v>28</v>
      </c>
      <c r="AF10" s="31">
        <f t="shared" si="2"/>
        <v>155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2</v>
      </c>
      <c r="L11" s="50">
        <v>0</v>
      </c>
      <c r="M11" s="50">
        <v>25</v>
      </c>
      <c r="N11" s="50">
        <v>0</v>
      </c>
      <c r="O11" s="15">
        <f t="shared" si="0"/>
        <v>6</v>
      </c>
      <c r="P11" s="15">
        <f t="shared" si="1"/>
        <v>31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2</v>
      </c>
      <c r="V11" s="17">
        <f t="shared" si="3"/>
        <v>2</v>
      </c>
      <c r="W11" s="17">
        <f t="shared" si="3"/>
        <v>1</v>
      </c>
      <c r="X11" s="17">
        <f t="shared" si="3"/>
        <v>0</v>
      </c>
      <c r="Y11" s="17">
        <f t="shared" si="3"/>
        <v>5</v>
      </c>
      <c r="Z11" s="17">
        <f t="shared" si="3"/>
        <v>7</v>
      </c>
      <c r="AA11" s="17">
        <f t="shared" si="3"/>
        <v>0</v>
      </c>
      <c r="AB11" s="17">
        <f t="shared" si="3"/>
        <v>0</v>
      </c>
      <c r="AC11" s="17">
        <f t="shared" si="3"/>
        <v>106</v>
      </c>
      <c r="AD11" s="17">
        <f t="shared" si="3"/>
        <v>2</v>
      </c>
      <c r="AE11" s="31">
        <f t="shared" si="3"/>
        <v>22</v>
      </c>
      <c r="AF11" s="31">
        <f t="shared" si="3"/>
        <v>128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34</v>
      </c>
      <c r="N12" s="50">
        <v>1</v>
      </c>
      <c r="O12" s="15">
        <f t="shared" si="0"/>
        <v>5</v>
      </c>
      <c r="P12" s="15">
        <f t="shared" si="1"/>
        <v>39</v>
      </c>
      <c r="R12" s="1" t="s">
        <v>8</v>
      </c>
      <c r="S12" s="17">
        <f t="shared" ref="S12:AF12" si="4">SUM(C18:C21)</f>
        <v>7</v>
      </c>
      <c r="T12" s="17">
        <f t="shared" si="4"/>
        <v>3</v>
      </c>
      <c r="U12" s="17">
        <f t="shared" si="4"/>
        <v>1</v>
      </c>
      <c r="V12" s="17">
        <f t="shared" si="4"/>
        <v>6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5</v>
      </c>
      <c r="AA12" s="17">
        <f t="shared" si="4"/>
        <v>1</v>
      </c>
      <c r="AB12" s="17">
        <f t="shared" si="4"/>
        <v>0</v>
      </c>
      <c r="AC12" s="17">
        <f t="shared" si="4"/>
        <v>186</v>
      </c>
      <c r="AD12" s="17">
        <f t="shared" si="4"/>
        <v>1</v>
      </c>
      <c r="AE12" s="31">
        <f t="shared" si="4"/>
        <v>28</v>
      </c>
      <c r="AF12" s="31">
        <f t="shared" si="4"/>
        <v>214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50</v>
      </c>
      <c r="N13" s="50">
        <v>0</v>
      </c>
      <c r="O13" s="15">
        <f t="shared" si="0"/>
        <v>5</v>
      </c>
      <c r="P13" s="15">
        <f t="shared" si="1"/>
        <v>55</v>
      </c>
      <c r="R13" s="1" t="s">
        <v>9</v>
      </c>
      <c r="S13" s="17">
        <f t="shared" ref="S13:AF13" si="5">SUM(C22:C25)</f>
        <v>18</v>
      </c>
      <c r="T13" s="17">
        <f t="shared" si="5"/>
        <v>0</v>
      </c>
      <c r="U13" s="17">
        <f t="shared" si="5"/>
        <v>5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12</v>
      </c>
      <c r="Z13" s="17">
        <f t="shared" si="5"/>
        <v>6</v>
      </c>
      <c r="AA13" s="17">
        <f t="shared" si="5"/>
        <v>0</v>
      </c>
      <c r="AB13" s="17">
        <f t="shared" si="5"/>
        <v>1</v>
      </c>
      <c r="AC13" s="17">
        <f t="shared" si="5"/>
        <v>147</v>
      </c>
      <c r="AD13" s="17">
        <f t="shared" si="5"/>
        <v>2</v>
      </c>
      <c r="AE13" s="31">
        <f t="shared" si="5"/>
        <v>49</v>
      </c>
      <c r="AF13" s="31">
        <f t="shared" si="5"/>
        <v>196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3</v>
      </c>
      <c r="J14" s="50">
        <v>3</v>
      </c>
      <c r="K14" s="50">
        <v>0</v>
      </c>
      <c r="L14" s="50">
        <v>0</v>
      </c>
      <c r="M14" s="50">
        <v>25</v>
      </c>
      <c r="N14" s="50">
        <v>1</v>
      </c>
      <c r="O14" s="15">
        <f t="shared" si="0"/>
        <v>8</v>
      </c>
      <c r="P14" s="15">
        <f t="shared" si="1"/>
        <v>33</v>
      </c>
      <c r="R14" s="1" t="s">
        <v>10</v>
      </c>
      <c r="S14" s="17">
        <f t="shared" ref="S14:AF14" si="6">SUM(C26:C29)</f>
        <v>16</v>
      </c>
      <c r="T14" s="17">
        <f t="shared" si="6"/>
        <v>1</v>
      </c>
      <c r="U14" s="17">
        <f t="shared" si="6"/>
        <v>3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5</v>
      </c>
      <c r="AA14" s="17">
        <f t="shared" si="6"/>
        <v>7</v>
      </c>
      <c r="AB14" s="17">
        <f t="shared" si="6"/>
        <v>0</v>
      </c>
      <c r="AC14" s="17">
        <f t="shared" si="6"/>
        <v>187</v>
      </c>
      <c r="AD14" s="17">
        <f t="shared" si="6"/>
        <v>0</v>
      </c>
      <c r="AE14" s="31">
        <f t="shared" si="6"/>
        <v>49</v>
      </c>
      <c r="AF14" s="31">
        <f t="shared" si="6"/>
        <v>236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1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20</v>
      </c>
      <c r="N15" s="50">
        <v>0</v>
      </c>
      <c r="O15" s="15">
        <f t="shared" si="0"/>
        <v>2</v>
      </c>
      <c r="P15" s="15">
        <f t="shared" si="1"/>
        <v>22</v>
      </c>
      <c r="R15" s="1" t="s">
        <v>11</v>
      </c>
      <c r="S15" s="17">
        <f t="shared" ref="S15:AF15" si="7">SUM(C30:C33)</f>
        <v>18</v>
      </c>
      <c r="T15" s="17">
        <f t="shared" si="7"/>
        <v>6</v>
      </c>
      <c r="U15" s="17">
        <f t="shared" si="7"/>
        <v>6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7</v>
      </c>
      <c r="AA15" s="17">
        <f t="shared" si="7"/>
        <v>3</v>
      </c>
      <c r="AB15" s="17">
        <f t="shared" si="7"/>
        <v>0</v>
      </c>
      <c r="AC15" s="17">
        <f t="shared" si="7"/>
        <v>133</v>
      </c>
      <c r="AD15" s="17">
        <f t="shared" si="7"/>
        <v>0</v>
      </c>
      <c r="AE15" s="31">
        <f t="shared" si="7"/>
        <v>50</v>
      </c>
      <c r="AF15" s="31">
        <f t="shared" si="7"/>
        <v>183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26</v>
      </c>
      <c r="N16" s="50">
        <v>1</v>
      </c>
      <c r="O16" s="15">
        <f t="shared" si="0"/>
        <v>6</v>
      </c>
      <c r="P16" s="15">
        <f t="shared" si="1"/>
        <v>32</v>
      </c>
      <c r="R16" s="1" t="s">
        <v>12</v>
      </c>
      <c r="S16" s="17">
        <f t="shared" ref="S16:AF16" si="8">SUM(C34:C37)</f>
        <v>13</v>
      </c>
      <c r="T16" s="17">
        <f t="shared" si="8"/>
        <v>0</v>
      </c>
      <c r="U16" s="17">
        <f t="shared" si="8"/>
        <v>1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5</v>
      </c>
      <c r="AA16" s="17">
        <f t="shared" si="8"/>
        <v>1</v>
      </c>
      <c r="AB16" s="17">
        <f t="shared" si="8"/>
        <v>1</v>
      </c>
      <c r="AC16" s="17">
        <f t="shared" si="8"/>
        <v>112</v>
      </c>
      <c r="AD16" s="17">
        <f t="shared" si="8"/>
        <v>0</v>
      </c>
      <c r="AE16" s="31">
        <f t="shared" si="8"/>
        <v>40</v>
      </c>
      <c r="AF16" s="31">
        <f t="shared" si="8"/>
        <v>152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2</v>
      </c>
      <c r="K17" s="50">
        <v>0</v>
      </c>
      <c r="L17" s="50">
        <v>0</v>
      </c>
      <c r="M17" s="50">
        <v>35</v>
      </c>
      <c r="N17" s="50">
        <v>0</v>
      </c>
      <c r="O17" s="15">
        <f t="shared" si="0"/>
        <v>6</v>
      </c>
      <c r="P17" s="15">
        <f t="shared" si="1"/>
        <v>41</v>
      </c>
      <c r="R17" s="1" t="s">
        <v>13</v>
      </c>
      <c r="S17" s="17">
        <f t="shared" ref="S17:AF17" si="9">SUM(C38:C41)</f>
        <v>13</v>
      </c>
      <c r="T17" s="17">
        <f t="shared" si="9"/>
        <v>1</v>
      </c>
      <c r="U17" s="17">
        <f t="shared" si="9"/>
        <v>5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5</v>
      </c>
      <c r="AA17" s="17">
        <f t="shared" si="9"/>
        <v>2</v>
      </c>
      <c r="AB17" s="17">
        <f t="shared" si="9"/>
        <v>0</v>
      </c>
      <c r="AC17" s="17">
        <f t="shared" si="9"/>
        <v>97</v>
      </c>
      <c r="AD17" s="17">
        <f t="shared" si="9"/>
        <v>0</v>
      </c>
      <c r="AE17" s="31">
        <f t="shared" si="9"/>
        <v>42</v>
      </c>
      <c r="AF17" s="31">
        <f t="shared" si="9"/>
        <v>139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5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8</v>
      </c>
      <c r="P18" s="15">
        <f t="shared" si="1"/>
        <v>53</v>
      </c>
      <c r="R18" s="1" t="s">
        <v>14</v>
      </c>
      <c r="S18" s="17">
        <f t="shared" ref="S18:AF18" si="10">SUM(C42:C45)</f>
        <v>10</v>
      </c>
      <c r="T18" s="17">
        <f t="shared" si="10"/>
        <v>2</v>
      </c>
      <c r="U18" s="17">
        <f t="shared" si="10"/>
        <v>1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5</v>
      </c>
      <c r="AA18" s="17">
        <f t="shared" si="10"/>
        <v>3</v>
      </c>
      <c r="AB18" s="17">
        <f t="shared" si="10"/>
        <v>1</v>
      </c>
      <c r="AC18" s="17">
        <f t="shared" si="10"/>
        <v>124</v>
      </c>
      <c r="AD18" s="17">
        <f t="shared" si="10"/>
        <v>3</v>
      </c>
      <c r="AE18" s="31">
        <f t="shared" si="10"/>
        <v>37</v>
      </c>
      <c r="AF18" s="31">
        <f t="shared" si="10"/>
        <v>161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40</v>
      </c>
      <c r="N19" s="50">
        <v>0</v>
      </c>
      <c r="O19" s="15">
        <f t="shared" si="0"/>
        <v>5</v>
      </c>
      <c r="P19" s="15">
        <f t="shared" si="1"/>
        <v>45</v>
      </c>
      <c r="R19" s="1" t="s">
        <v>15</v>
      </c>
      <c r="S19" s="17">
        <f t="shared" ref="S19:AF19" si="11">SUM(C46:C49)</f>
        <v>24</v>
      </c>
      <c r="T19" s="17">
        <f t="shared" si="11"/>
        <v>4</v>
      </c>
      <c r="U19" s="17">
        <f t="shared" si="11"/>
        <v>5</v>
      </c>
      <c r="V19" s="17">
        <f t="shared" si="11"/>
        <v>7</v>
      </c>
      <c r="W19" s="17">
        <f t="shared" si="11"/>
        <v>3</v>
      </c>
      <c r="X19" s="17">
        <f t="shared" si="11"/>
        <v>0</v>
      </c>
      <c r="Y19" s="17">
        <f t="shared" si="11"/>
        <v>20</v>
      </c>
      <c r="Z19" s="17">
        <f t="shared" si="11"/>
        <v>2</v>
      </c>
      <c r="AA19" s="17">
        <f t="shared" si="11"/>
        <v>3</v>
      </c>
      <c r="AB19" s="17">
        <f t="shared" si="11"/>
        <v>0</v>
      </c>
      <c r="AC19" s="17">
        <f t="shared" si="11"/>
        <v>236</v>
      </c>
      <c r="AD19" s="17">
        <f t="shared" si="11"/>
        <v>0</v>
      </c>
      <c r="AE19" s="31">
        <f t="shared" si="11"/>
        <v>68</v>
      </c>
      <c r="AF19" s="31">
        <f t="shared" si="11"/>
        <v>304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54</v>
      </c>
      <c r="N20" s="50">
        <v>1</v>
      </c>
      <c r="O20" s="15">
        <f t="shared" si="0"/>
        <v>2</v>
      </c>
      <c r="P20" s="15">
        <f t="shared" si="1"/>
        <v>56</v>
      </c>
      <c r="R20" s="1" t="s">
        <v>16</v>
      </c>
      <c r="S20" s="17">
        <f t="shared" ref="S20:AF20" si="12">SUM(C50:C53)</f>
        <v>28</v>
      </c>
      <c r="T20" s="17">
        <f t="shared" si="12"/>
        <v>7</v>
      </c>
      <c r="U20" s="17">
        <f t="shared" si="12"/>
        <v>4</v>
      </c>
      <c r="V20" s="17">
        <f t="shared" si="12"/>
        <v>19</v>
      </c>
      <c r="W20" s="17">
        <f t="shared" si="12"/>
        <v>3</v>
      </c>
      <c r="X20" s="17">
        <f t="shared" si="12"/>
        <v>0</v>
      </c>
      <c r="Y20" s="17">
        <f t="shared" si="12"/>
        <v>18</v>
      </c>
      <c r="Z20" s="17">
        <f t="shared" si="12"/>
        <v>13</v>
      </c>
      <c r="AA20" s="17">
        <f t="shared" si="12"/>
        <v>4</v>
      </c>
      <c r="AB20" s="17">
        <f t="shared" si="12"/>
        <v>0</v>
      </c>
      <c r="AC20" s="17">
        <f t="shared" si="12"/>
        <v>245</v>
      </c>
      <c r="AD20" s="17">
        <f t="shared" si="12"/>
        <v>0</v>
      </c>
      <c r="AE20" s="31">
        <f t="shared" si="12"/>
        <v>96</v>
      </c>
      <c r="AF20" s="31">
        <f t="shared" si="12"/>
        <v>341</v>
      </c>
    </row>
    <row r="21" spans="2:32" ht="23.1" customHeight="1" x14ac:dyDescent="0.25">
      <c r="B21" s="23" t="s">
        <v>48</v>
      </c>
      <c r="C21" s="50">
        <v>5</v>
      </c>
      <c r="D21" s="50">
        <v>3</v>
      </c>
      <c r="E21" s="50">
        <v>0</v>
      </c>
      <c r="F21" s="50">
        <v>2</v>
      </c>
      <c r="G21" s="50">
        <v>0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47</v>
      </c>
      <c r="N21" s="50">
        <v>0</v>
      </c>
      <c r="O21" s="15">
        <f t="shared" si="0"/>
        <v>13</v>
      </c>
      <c r="P21" s="15">
        <f t="shared" si="1"/>
        <v>60</v>
      </c>
      <c r="R21" s="36" t="s">
        <v>20</v>
      </c>
      <c r="S21" s="34">
        <f t="shared" ref="S21:AF21" si="13">SUM(C54:C57)</f>
        <v>24</v>
      </c>
      <c r="T21" s="17">
        <f t="shared" si="13"/>
        <v>6</v>
      </c>
      <c r="U21" s="17">
        <f t="shared" si="13"/>
        <v>5</v>
      </c>
      <c r="V21" s="17">
        <f t="shared" si="13"/>
        <v>8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12</v>
      </c>
      <c r="AA21" s="17">
        <f t="shared" si="13"/>
        <v>0</v>
      </c>
      <c r="AB21" s="17">
        <f t="shared" si="13"/>
        <v>0</v>
      </c>
      <c r="AC21" s="17">
        <f t="shared" si="13"/>
        <v>148</v>
      </c>
      <c r="AD21" s="17">
        <f t="shared" si="13"/>
        <v>0</v>
      </c>
      <c r="AE21" s="31">
        <f t="shared" si="13"/>
        <v>62</v>
      </c>
      <c r="AF21" s="31">
        <f t="shared" si="13"/>
        <v>210</v>
      </c>
    </row>
    <row r="22" spans="2:32" ht="23.1" customHeight="1" x14ac:dyDescent="0.25">
      <c r="B22" s="23" t="s">
        <v>49</v>
      </c>
      <c r="C22" s="50">
        <v>6</v>
      </c>
      <c r="D22" s="50">
        <v>0</v>
      </c>
      <c r="E22" s="50">
        <v>2</v>
      </c>
      <c r="F22" s="50">
        <v>2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1</v>
      </c>
      <c r="M22" s="50">
        <v>31</v>
      </c>
      <c r="N22" s="50">
        <v>2</v>
      </c>
      <c r="O22" s="15">
        <f t="shared" si="0"/>
        <v>17</v>
      </c>
      <c r="P22" s="15">
        <f t="shared" si="1"/>
        <v>48</v>
      </c>
      <c r="R22" s="38" t="s">
        <v>90</v>
      </c>
      <c r="S22" s="39">
        <f>MAX(S10:S12)</f>
        <v>8</v>
      </c>
      <c r="T22" s="39">
        <f t="shared" ref="T22:AF22" si="14">MAX(T10:T12)</f>
        <v>3</v>
      </c>
      <c r="U22" s="39">
        <f t="shared" si="14"/>
        <v>3</v>
      </c>
      <c r="V22" s="39">
        <f t="shared" si="14"/>
        <v>9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7</v>
      </c>
      <c r="AA22" s="39">
        <f t="shared" si="14"/>
        <v>4</v>
      </c>
      <c r="AB22" s="39">
        <f t="shared" si="14"/>
        <v>0</v>
      </c>
      <c r="AC22" s="39">
        <f t="shared" si="14"/>
        <v>186</v>
      </c>
      <c r="AD22" s="39">
        <f t="shared" si="14"/>
        <v>2</v>
      </c>
      <c r="AE22" s="40">
        <f t="shared" si="14"/>
        <v>28</v>
      </c>
      <c r="AF22" s="40">
        <f t="shared" si="14"/>
        <v>214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43</v>
      </c>
      <c r="N23" s="50">
        <v>0</v>
      </c>
      <c r="O23" s="15">
        <f t="shared" si="0"/>
        <v>8</v>
      </c>
      <c r="P23" s="15">
        <f t="shared" si="1"/>
        <v>51</v>
      </c>
      <c r="R23" s="38" t="s">
        <v>91</v>
      </c>
      <c r="S23" s="39">
        <f>MAX(S13:S18)</f>
        <v>18</v>
      </c>
      <c r="T23" s="39">
        <f t="shared" ref="T23:AF23" si="15">MAX(T13:T18)</f>
        <v>6</v>
      </c>
      <c r="U23" s="39">
        <f t="shared" si="15"/>
        <v>6</v>
      </c>
      <c r="V23" s="39">
        <f t="shared" si="15"/>
        <v>8</v>
      </c>
      <c r="W23" s="39">
        <f t="shared" si="15"/>
        <v>0</v>
      </c>
      <c r="X23" s="39">
        <f t="shared" si="15"/>
        <v>0</v>
      </c>
      <c r="Y23" s="39">
        <f t="shared" si="15"/>
        <v>14</v>
      </c>
      <c r="Z23" s="39">
        <f t="shared" si="15"/>
        <v>7</v>
      </c>
      <c r="AA23" s="39">
        <f t="shared" si="15"/>
        <v>7</v>
      </c>
      <c r="AB23" s="39">
        <f t="shared" si="15"/>
        <v>1</v>
      </c>
      <c r="AC23" s="39">
        <f t="shared" si="15"/>
        <v>187</v>
      </c>
      <c r="AD23" s="39">
        <f t="shared" si="15"/>
        <v>3</v>
      </c>
      <c r="AE23" s="40">
        <f t="shared" si="15"/>
        <v>50</v>
      </c>
      <c r="AF23" s="40">
        <f t="shared" si="15"/>
        <v>236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4</v>
      </c>
      <c r="J24" s="50">
        <v>2</v>
      </c>
      <c r="K24" s="50">
        <v>0</v>
      </c>
      <c r="L24" s="50">
        <v>0</v>
      </c>
      <c r="M24" s="50">
        <v>33</v>
      </c>
      <c r="N24" s="50">
        <v>0</v>
      </c>
      <c r="O24" s="15">
        <f t="shared" si="0"/>
        <v>13</v>
      </c>
      <c r="P24" s="15">
        <f t="shared" si="1"/>
        <v>46</v>
      </c>
      <c r="R24" s="38" t="s">
        <v>92</v>
      </c>
      <c r="S24" s="39">
        <f>MAX(S19:S21)</f>
        <v>28</v>
      </c>
      <c r="T24" s="39">
        <f t="shared" ref="T24:AF24" si="16">MAX(T19:T21)</f>
        <v>7</v>
      </c>
      <c r="U24" s="39">
        <f t="shared" si="16"/>
        <v>5</v>
      </c>
      <c r="V24" s="39">
        <f t="shared" si="16"/>
        <v>19</v>
      </c>
      <c r="W24" s="39">
        <f t="shared" si="16"/>
        <v>3</v>
      </c>
      <c r="X24" s="39">
        <f t="shared" si="16"/>
        <v>0</v>
      </c>
      <c r="Y24" s="39">
        <f t="shared" si="16"/>
        <v>20</v>
      </c>
      <c r="Z24" s="39">
        <f t="shared" si="16"/>
        <v>13</v>
      </c>
      <c r="AA24" s="39">
        <f t="shared" si="16"/>
        <v>4</v>
      </c>
      <c r="AB24" s="39">
        <f t="shared" si="16"/>
        <v>0</v>
      </c>
      <c r="AC24" s="39">
        <f t="shared" si="16"/>
        <v>245</v>
      </c>
      <c r="AD24" s="39">
        <f t="shared" si="16"/>
        <v>0</v>
      </c>
      <c r="AE24" s="40">
        <f t="shared" si="16"/>
        <v>96</v>
      </c>
      <c r="AF24" s="40">
        <f t="shared" si="16"/>
        <v>341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4</v>
      </c>
      <c r="J25" s="50">
        <v>2</v>
      </c>
      <c r="K25" s="50">
        <v>0</v>
      </c>
      <c r="L25" s="50">
        <v>0</v>
      </c>
      <c r="M25" s="50">
        <v>40</v>
      </c>
      <c r="N25" s="50">
        <v>0</v>
      </c>
      <c r="O25" s="15">
        <f t="shared" si="0"/>
        <v>11</v>
      </c>
      <c r="P25" s="15">
        <f t="shared" si="1"/>
        <v>51</v>
      </c>
      <c r="R25" s="37" t="s">
        <v>85</v>
      </c>
      <c r="S25" s="35">
        <f t="shared" ref="S25:AF25" si="17">SUM(S10:S12)</f>
        <v>18</v>
      </c>
      <c r="T25" s="16">
        <f t="shared" si="17"/>
        <v>3</v>
      </c>
      <c r="U25" s="16">
        <f t="shared" si="17"/>
        <v>6</v>
      </c>
      <c r="V25" s="16">
        <f t="shared" si="17"/>
        <v>17</v>
      </c>
      <c r="W25" s="16">
        <f t="shared" si="17"/>
        <v>3</v>
      </c>
      <c r="X25" s="16">
        <f t="shared" si="17"/>
        <v>0</v>
      </c>
      <c r="Y25" s="16">
        <f t="shared" si="17"/>
        <v>9</v>
      </c>
      <c r="Z25" s="16">
        <f t="shared" si="17"/>
        <v>13</v>
      </c>
      <c r="AA25" s="16">
        <f t="shared" si="17"/>
        <v>5</v>
      </c>
      <c r="AB25" s="16">
        <f t="shared" si="17"/>
        <v>0</v>
      </c>
      <c r="AC25" s="16">
        <f t="shared" si="17"/>
        <v>419</v>
      </c>
      <c r="AD25" s="16">
        <f t="shared" si="17"/>
        <v>4</v>
      </c>
      <c r="AE25" s="32">
        <f t="shared" si="17"/>
        <v>78</v>
      </c>
      <c r="AF25" s="32">
        <f t="shared" si="17"/>
        <v>497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1</v>
      </c>
      <c r="L26" s="50">
        <v>0</v>
      </c>
      <c r="M26" s="50">
        <v>46</v>
      </c>
      <c r="N26" s="50">
        <v>0</v>
      </c>
      <c r="O26" s="15">
        <f t="shared" si="0"/>
        <v>8</v>
      </c>
      <c r="P26" s="15">
        <f t="shared" si="1"/>
        <v>54</v>
      </c>
      <c r="R26" s="28" t="s">
        <v>86</v>
      </c>
      <c r="S26" s="16">
        <f t="shared" ref="S26:AF26" si="18">SUM(S13:S18)</f>
        <v>88</v>
      </c>
      <c r="T26" s="16">
        <f t="shared" si="18"/>
        <v>10</v>
      </c>
      <c r="U26" s="16">
        <f t="shared" si="18"/>
        <v>21</v>
      </c>
      <c r="V26" s="16">
        <f t="shared" si="18"/>
        <v>31</v>
      </c>
      <c r="W26" s="16">
        <f t="shared" si="18"/>
        <v>0</v>
      </c>
      <c r="X26" s="16">
        <f t="shared" si="18"/>
        <v>0</v>
      </c>
      <c r="Y26" s="16">
        <f t="shared" si="18"/>
        <v>60</v>
      </c>
      <c r="Z26" s="16">
        <f t="shared" si="18"/>
        <v>33</v>
      </c>
      <c r="AA26" s="16">
        <f t="shared" si="18"/>
        <v>16</v>
      </c>
      <c r="AB26" s="16">
        <f t="shared" si="18"/>
        <v>3</v>
      </c>
      <c r="AC26" s="16">
        <f t="shared" si="18"/>
        <v>800</v>
      </c>
      <c r="AD26" s="16">
        <f t="shared" si="18"/>
        <v>5</v>
      </c>
      <c r="AE26" s="32">
        <f t="shared" si="18"/>
        <v>267</v>
      </c>
      <c r="AF26" s="32">
        <f t="shared" si="18"/>
        <v>1067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7</v>
      </c>
      <c r="J27" s="50">
        <v>0</v>
      </c>
      <c r="K27" s="50">
        <v>2</v>
      </c>
      <c r="L27" s="50">
        <v>0</v>
      </c>
      <c r="M27" s="50">
        <v>54</v>
      </c>
      <c r="N27" s="50">
        <v>0</v>
      </c>
      <c r="O27" s="15">
        <f t="shared" si="0"/>
        <v>18</v>
      </c>
      <c r="P27" s="15">
        <f t="shared" si="1"/>
        <v>72</v>
      </c>
      <c r="R27" s="29" t="s">
        <v>87</v>
      </c>
      <c r="S27" s="16">
        <f t="shared" ref="S27:AF27" si="19">SUM(S19:S21)</f>
        <v>76</v>
      </c>
      <c r="T27" s="16">
        <f t="shared" si="19"/>
        <v>17</v>
      </c>
      <c r="U27" s="16">
        <f t="shared" si="19"/>
        <v>14</v>
      </c>
      <c r="V27" s="16">
        <f t="shared" si="19"/>
        <v>34</v>
      </c>
      <c r="W27" s="16">
        <f t="shared" si="19"/>
        <v>7</v>
      </c>
      <c r="X27" s="16">
        <f t="shared" si="19"/>
        <v>0</v>
      </c>
      <c r="Y27" s="16">
        <f t="shared" si="19"/>
        <v>44</v>
      </c>
      <c r="Z27" s="16">
        <f t="shared" si="19"/>
        <v>27</v>
      </c>
      <c r="AA27" s="16">
        <f t="shared" si="19"/>
        <v>7</v>
      </c>
      <c r="AB27" s="16">
        <f t="shared" si="19"/>
        <v>0</v>
      </c>
      <c r="AC27" s="16">
        <f t="shared" si="19"/>
        <v>629</v>
      </c>
      <c r="AD27" s="16">
        <f t="shared" si="19"/>
        <v>0</v>
      </c>
      <c r="AE27" s="32">
        <f t="shared" si="19"/>
        <v>226</v>
      </c>
      <c r="AF27" s="32">
        <f t="shared" si="19"/>
        <v>855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3</v>
      </c>
      <c r="K28" s="50">
        <v>0</v>
      </c>
      <c r="L28" s="50">
        <v>0</v>
      </c>
      <c r="M28" s="50">
        <v>50</v>
      </c>
      <c r="N28" s="50">
        <v>0</v>
      </c>
      <c r="O28" s="15">
        <f t="shared" si="0"/>
        <v>7</v>
      </c>
      <c r="P28" s="15">
        <f t="shared" si="1"/>
        <v>57</v>
      </c>
      <c r="R28" s="5" t="s">
        <v>17</v>
      </c>
      <c r="S28" s="16">
        <f t="shared" ref="S28:AF28" si="20">SUM(S10:S21)</f>
        <v>182</v>
      </c>
      <c r="T28" s="16">
        <f t="shared" si="20"/>
        <v>30</v>
      </c>
      <c r="U28" s="16">
        <f t="shared" si="20"/>
        <v>41</v>
      </c>
      <c r="V28" s="16">
        <f t="shared" si="20"/>
        <v>82</v>
      </c>
      <c r="W28" s="16">
        <f t="shared" si="20"/>
        <v>10</v>
      </c>
      <c r="X28" s="16">
        <f t="shared" si="20"/>
        <v>0</v>
      </c>
      <c r="Y28" s="16">
        <f t="shared" si="20"/>
        <v>113</v>
      </c>
      <c r="Z28" s="16">
        <f t="shared" si="20"/>
        <v>73</v>
      </c>
      <c r="AA28" s="16">
        <f t="shared" si="20"/>
        <v>28</v>
      </c>
      <c r="AB28" s="16">
        <f t="shared" si="20"/>
        <v>3</v>
      </c>
      <c r="AC28" s="16">
        <f t="shared" si="20"/>
        <v>1848</v>
      </c>
      <c r="AD28" s="16">
        <f t="shared" si="20"/>
        <v>9</v>
      </c>
      <c r="AE28" s="32">
        <f t="shared" si="20"/>
        <v>571</v>
      </c>
      <c r="AF28" s="32">
        <f t="shared" si="20"/>
        <v>2419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1</v>
      </c>
      <c r="F29" s="50">
        <v>3</v>
      </c>
      <c r="G29" s="50">
        <v>0</v>
      </c>
      <c r="H29" s="50">
        <v>0</v>
      </c>
      <c r="I29" s="50">
        <v>0</v>
      </c>
      <c r="J29" s="50">
        <v>2</v>
      </c>
      <c r="K29" s="50">
        <v>4</v>
      </c>
      <c r="L29" s="50">
        <v>0</v>
      </c>
      <c r="M29" s="50">
        <v>37</v>
      </c>
      <c r="N29" s="50">
        <v>0</v>
      </c>
      <c r="O29" s="15">
        <f t="shared" si="0"/>
        <v>16</v>
      </c>
      <c r="P29" s="15">
        <f t="shared" si="1"/>
        <v>53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1</v>
      </c>
      <c r="E30" s="50">
        <v>1</v>
      </c>
      <c r="F30" s="50">
        <v>0</v>
      </c>
      <c r="G30" s="50">
        <v>0</v>
      </c>
      <c r="H30" s="50">
        <v>0</v>
      </c>
      <c r="I30" s="50">
        <v>2</v>
      </c>
      <c r="J30" s="50">
        <v>3</v>
      </c>
      <c r="K30" s="50">
        <v>2</v>
      </c>
      <c r="L30" s="50">
        <v>0</v>
      </c>
      <c r="M30" s="50">
        <v>38</v>
      </c>
      <c r="N30" s="50">
        <v>0</v>
      </c>
      <c r="O30" s="15">
        <f t="shared" si="0"/>
        <v>16</v>
      </c>
      <c r="P30" s="15">
        <f t="shared" si="1"/>
        <v>54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31</v>
      </c>
      <c r="N31" s="50">
        <v>0</v>
      </c>
      <c r="O31" s="15">
        <f t="shared" si="0"/>
        <v>9</v>
      </c>
      <c r="P31" s="15">
        <f t="shared" si="1"/>
        <v>40</v>
      </c>
    </row>
    <row r="32" spans="2:32" ht="23.1" customHeight="1" x14ac:dyDescent="0.25">
      <c r="B32" s="24" t="s">
        <v>59</v>
      </c>
      <c r="C32" s="50">
        <v>3</v>
      </c>
      <c r="D32" s="50">
        <v>5</v>
      </c>
      <c r="E32" s="50">
        <v>3</v>
      </c>
      <c r="F32" s="50">
        <v>2</v>
      </c>
      <c r="G32" s="50">
        <v>0</v>
      </c>
      <c r="H32" s="50">
        <v>0</v>
      </c>
      <c r="I32" s="50">
        <v>3</v>
      </c>
      <c r="J32" s="50">
        <v>1</v>
      </c>
      <c r="K32" s="50">
        <v>1</v>
      </c>
      <c r="L32" s="50">
        <v>0</v>
      </c>
      <c r="M32" s="50">
        <v>39</v>
      </c>
      <c r="N32" s="50">
        <v>0</v>
      </c>
      <c r="O32" s="15">
        <f t="shared" si="0"/>
        <v>18</v>
      </c>
      <c r="P32" s="15">
        <f t="shared" si="1"/>
        <v>57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25</v>
      </c>
      <c r="N33" s="50">
        <v>0</v>
      </c>
      <c r="O33" s="15">
        <f t="shared" si="0"/>
        <v>7</v>
      </c>
      <c r="P33" s="15">
        <f t="shared" si="1"/>
        <v>32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4</v>
      </c>
      <c r="G34" s="50">
        <v>0</v>
      </c>
      <c r="H34" s="50">
        <v>0</v>
      </c>
      <c r="I34" s="50">
        <v>4</v>
      </c>
      <c r="J34" s="50">
        <v>0</v>
      </c>
      <c r="K34" s="50">
        <v>0</v>
      </c>
      <c r="L34" s="50">
        <v>0</v>
      </c>
      <c r="M34" s="50">
        <v>32</v>
      </c>
      <c r="N34" s="50">
        <v>0</v>
      </c>
      <c r="O34" s="15">
        <f t="shared" si="0"/>
        <v>11</v>
      </c>
      <c r="P34" s="15">
        <f t="shared" si="1"/>
        <v>43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31</v>
      </c>
      <c r="N35" s="50">
        <v>0</v>
      </c>
      <c r="O35" s="15">
        <f t="shared" si="0"/>
        <v>9</v>
      </c>
      <c r="P35" s="15">
        <f t="shared" si="1"/>
        <v>40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1</v>
      </c>
      <c r="L36" s="50">
        <v>0</v>
      </c>
      <c r="M36" s="50">
        <v>23</v>
      </c>
      <c r="N36" s="50">
        <v>0</v>
      </c>
      <c r="O36" s="15">
        <f t="shared" si="0"/>
        <v>5</v>
      </c>
      <c r="P36" s="15">
        <f t="shared" si="1"/>
        <v>28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6</v>
      </c>
      <c r="J37" s="50">
        <v>3</v>
      </c>
      <c r="K37" s="50">
        <v>0</v>
      </c>
      <c r="L37" s="50">
        <v>1</v>
      </c>
      <c r="M37" s="50">
        <v>26</v>
      </c>
      <c r="N37" s="50">
        <v>0</v>
      </c>
      <c r="O37" s="15">
        <f t="shared" si="0"/>
        <v>15</v>
      </c>
      <c r="P37" s="15">
        <f t="shared" si="1"/>
        <v>41</v>
      </c>
    </row>
    <row r="38" spans="2:20" ht="23.1" customHeight="1" x14ac:dyDescent="0.25">
      <c r="B38" s="24" t="s">
        <v>65</v>
      </c>
      <c r="C38" s="50">
        <v>4</v>
      </c>
      <c r="D38" s="50">
        <v>0</v>
      </c>
      <c r="E38" s="50">
        <v>2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0"/>
        <v>10</v>
      </c>
      <c r="P38" s="15">
        <f t="shared" si="1"/>
        <v>30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5</v>
      </c>
      <c r="G39" s="50">
        <v>0</v>
      </c>
      <c r="H39" s="50">
        <v>0</v>
      </c>
      <c r="I39" s="50">
        <v>2</v>
      </c>
      <c r="J39" s="50">
        <v>1</v>
      </c>
      <c r="K39" s="50">
        <v>1</v>
      </c>
      <c r="L39" s="50">
        <v>0</v>
      </c>
      <c r="M39" s="50">
        <v>17</v>
      </c>
      <c r="N39" s="50">
        <v>0</v>
      </c>
      <c r="O39" s="15">
        <f t="shared" si="0"/>
        <v>10</v>
      </c>
      <c r="P39" s="15">
        <f t="shared" si="1"/>
        <v>27</v>
      </c>
    </row>
    <row r="40" spans="2:20" ht="23.1" customHeight="1" x14ac:dyDescent="0.25">
      <c r="B40" s="24" t="s">
        <v>67</v>
      </c>
      <c r="C40" s="50">
        <v>5</v>
      </c>
      <c r="D40" s="50">
        <v>1</v>
      </c>
      <c r="E40" s="50">
        <v>3</v>
      </c>
      <c r="F40" s="50">
        <v>0</v>
      </c>
      <c r="G40" s="50">
        <v>0</v>
      </c>
      <c r="H40" s="50">
        <v>0</v>
      </c>
      <c r="I40" s="50">
        <v>3</v>
      </c>
      <c r="J40" s="50">
        <v>3</v>
      </c>
      <c r="K40" s="50">
        <v>0</v>
      </c>
      <c r="L40" s="50">
        <v>0</v>
      </c>
      <c r="M40" s="50">
        <v>35</v>
      </c>
      <c r="N40" s="50">
        <v>0</v>
      </c>
      <c r="O40" s="15">
        <f t="shared" si="0"/>
        <v>15</v>
      </c>
      <c r="P40" s="15">
        <f t="shared" si="1"/>
        <v>50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1</v>
      </c>
      <c r="K41" s="50">
        <v>1</v>
      </c>
      <c r="L41" s="50">
        <v>0</v>
      </c>
      <c r="M41" s="50">
        <v>25</v>
      </c>
      <c r="N41" s="50">
        <v>0</v>
      </c>
      <c r="O41" s="15">
        <f t="shared" si="0"/>
        <v>7</v>
      </c>
      <c r="P41" s="15">
        <f t="shared" si="1"/>
        <v>32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1</v>
      </c>
      <c r="L42" s="50">
        <v>1</v>
      </c>
      <c r="M42" s="50">
        <v>35</v>
      </c>
      <c r="N42" s="50">
        <v>0</v>
      </c>
      <c r="O42" s="15">
        <f t="shared" si="0"/>
        <v>6</v>
      </c>
      <c r="P42" s="15">
        <f t="shared" si="1"/>
        <v>41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0</v>
      </c>
      <c r="F43" s="50">
        <v>0</v>
      </c>
      <c r="G43" s="50">
        <v>0</v>
      </c>
      <c r="H43" s="50">
        <v>0</v>
      </c>
      <c r="I43" s="50">
        <v>6</v>
      </c>
      <c r="J43" s="50">
        <v>1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10</v>
      </c>
      <c r="P43" s="15">
        <f t="shared" si="1"/>
        <v>24</v>
      </c>
    </row>
    <row r="44" spans="2:20" ht="23.1" customHeight="1" x14ac:dyDescent="0.25">
      <c r="B44" s="25" t="s">
        <v>71</v>
      </c>
      <c r="C44" s="50">
        <v>4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3</v>
      </c>
      <c r="K44" s="50">
        <v>0</v>
      </c>
      <c r="L44" s="50">
        <v>0</v>
      </c>
      <c r="M44" s="50">
        <v>40</v>
      </c>
      <c r="N44" s="50">
        <v>3</v>
      </c>
      <c r="O44" s="15">
        <f t="shared" si="0"/>
        <v>13</v>
      </c>
      <c r="P44" s="15">
        <f t="shared" si="1"/>
        <v>53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1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2</v>
      </c>
      <c r="L45" s="50">
        <v>0</v>
      </c>
      <c r="M45" s="50">
        <v>35</v>
      </c>
      <c r="N45" s="50">
        <v>0</v>
      </c>
      <c r="O45" s="15">
        <f t="shared" si="0"/>
        <v>8</v>
      </c>
      <c r="P45" s="15">
        <f t="shared" si="1"/>
        <v>43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2</v>
      </c>
      <c r="F46" s="50">
        <v>2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58</v>
      </c>
      <c r="N46" s="50">
        <v>0</v>
      </c>
      <c r="O46" s="15">
        <f t="shared" si="0"/>
        <v>11</v>
      </c>
      <c r="P46" s="15">
        <f t="shared" si="1"/>
        <v>69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1</v>
      </c>
      <c r="E47" s="50">
        <v>2</v>
      </c>
      <c r="F47" s="50">
        <v>3</v>
      </c>
      <c r="G47" s="50">
        <v>2</v>
      </c>
      <c r="H47" s="50">
        <v>0</v>
      </c>
      <c r="I47" s="50">
        <v>2</v>
      </c>
      <c r="J47" s="50">
        <v>1</v>
      </c>
      <c r="K47" s="50">
        <v>2</v>
      </c>
      <c r="L47" s="50">
        <v>0</v>
      </c>
      <c r="M47" s="50">
        <v>56</v>
      </c>
      <c r="N47" s="50">
        <v>0</v>
      </c>
      <c r="O47" s="15">
        <f t="shared" si="0"/>
        <v>24</v>
      </c>
      <c r="P47" s="15">
        <f t="shared" si="1"/>
        <v>80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1</v>
      </c>
      <c r="E48" s="50">
        <v>1</v>
      </c>
      <c r="F48" s="50">
        <v>2</v>
      </c>
      <c r="G48" s="50">
        <v>1</v>
      </c>
      <c r="H48" s="50">
        <v>0</v>
      </c>
      <c r="I48" s="50">
        <v>7</v>
      </c>
      <c r="J48" s="50">
        <v>0</v>
      </c>
      <c r="K48" s="50">
        <v>0</v>
      </c>
      <c r="L48" s="50">
        <v>0</v>
      </c>
      <c r="M48" s="50">
        <v>51</v>
      </c>
      <c r="N48" s="50">
        <v>0</v>
      </c>
      <c r="O48" s="15">
        <f t="shared" si="0"/>
        <v>17</v>
      </c>
      <c r="P48" s="15">
        <f t="shared" si="1"/>
        <v>68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8</v>
      </c>
      <c r="J49" s="50">
        <v>1</v>
      </c>
      <c r="K49" s="50">
        <v>1</v>
      </c>
      <c r="L49" s="50">
        <v>0</v>
      </c>
      <c r="M49" s="50">
        <v>71</v>
      </c>
      <c r="N49" s="50">
        <v>0</v>
      </c>
      <c r="O49" s="15">
        <f t="shared" si="0"/>
        <v>16</v>
      </c>
      <c r="P49" s="15">
        <f t="shared" si="1"/>
        <v>87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1</v>
      </c>
      <c r="E50" s="50">
        <v>1</v>
      </c>
      <c r="F50" s="50">
        <v>2</v>
      </c>
      <c r="G50" s="50">
        <v>0</v>
      </c>
      <c r="H50" s="50">
        <v>0</v>
      </c>
      <c r="I50" s="50">
        <v>5</v>
      </c>
      <c r="J50" s="50">
        <v>0</v>
      </c>
      <c r="K50" s="50">
        <v>1</v>
      </c>
      <c r="L50" s="50">
        <v>0</v>
      </c>
      <c r="M50" s="50">
        <v>61</v>
      </c>
      <c r="N50" s="50">
        <v>0</v>
      </c>
      <c r="O50" s="15">
        <f t="shared" si="0"/>
        <v>16</v>
      </c>
      <c r="P50" s="15">
        <f t="shared" si="1"/>
        <v>77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3</v>
      </c>
      <c r="E51" s="50">
        <v>2</v>
      </c>
      <c r="F51" s="50">
        <v>3</v>
      </c>
      <c r="G51" s="50">
        <v>3</v>
      </c>
      <c r="H51" s="50">
        <v>0</v>
      </c>
      <c r="I51" s="50">
        <v>7</v>
      </c>
      <c r="J51" s="50">
        <v>1</v>
      </c>
      <c r="K51" s="50">
        <v>0</v>
      </c>
      <c r="L51" s="50">
        <v>0</v>
      </c>
      <c r="M51" s="50">
        <v>64</v>
      </c>
      <c r="N51" s="50">
        <v>0</v>
      </c>
      <c r="O51" s="15">
        <f t="shared" si="0"/>
        <v>25</v>
      </c>
      <c r="P51" s="15">
        <f t="shared" si="1"/>
        <v>89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2</v>
      </c>
      <c r="E52" s="50">
        <v>1</v>
      </c>
      <c r="F52" s="50">
        <v>10</v>
      </c>
      <c r="G52" s="50">
        <v>0</v>
      </c>
      <c r="H52" s="50">
        <v>0</v>
      </c>
      <c r="I52" s="50">
        <v>2</v>
      </c>
      <c r="J52" s="50">
        <v>6</v>
      </c>
      <c r="K52" s="50">
        <v>3</v>
      </c>
      <c r="L52" s="50">
        <v>0</v>
      </c>
      <c r="M52" s="50">
        <v>63</v>
      </c>
      <c r="N52" s="50">
        <v>0</v>
      </c>
      <c r="O52" s="15">
        <f t="shared" si="0"/>
        <v>31</v>
      </c>
      <c r="P52" s="15">
        <f t="shared" si="1"/>
        <v>94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1</v>
      </c>
      <c r="E53" s="50">
        <v>0</v>
      </c>
      <c r="F53" s="50">
        <v>4</v>
      </c>
      <c r="G53" s="50">
        <v>0</v>
      </c>
      <c r="H53" s="50">
        <v>0</v>
      </c>
      <c r="I53" s="50">
        <v>4</v>
      </c>
      <c r="J53" s="50">
        <v>6</v>
      </c>
      <c r="K53" s="50">
        <v>0</v>
      </c>
      <c r="L53" s="50">
        <v>0</v>
      </c>
      <c r="M53" s="50">
        <v>57</v>
      </c>
      <c r="N53" s="50">
        <v>0</v>
      </c>
      <c r="O53" s="15">
        <f t="shared" si="0"/>
        <v>24</v>
      </c>
      <c r="P53" s="15">
        <f t="shared" si="1"/>
        <v>81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2</v>
      </c>
      <c r="E54" s="50">
        <v>1</v>
      </c>
      <c r="F54" s="50">
        <v>2</v>
      </c>
      <c r="G54" s="50">
        <v>1</v>
      </c>
      <c r="H54" s="50">
        <v>0</v>
      </c>
      <c r="I54" s="50">
        <v>2</v>
      </c>
      <c r="J54" s="50">
        <v>5</v>
      </c>
      <c r="K54" s="50">
        <v>0</v>
      </c>
      <c r="L54" s="50">
        <v>0</v>
      </c>
      <c r="M54" s="50">
        <v>54</v>
      </c>
      <c r="N54" s="50">
        <v>0</v>
      </c>
      <c r="O54" s="15">
        <f t="shared" si="0"/>
        <v>22</v>
      </c>
      <c r="P54" s="15">
        <f t="shared" si="1"/>
        <v>76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1</v>
      </c>
      <c r="E55" s="50">
        <v>2</v>
      </c>
      <c r="F55" s="50">
        <v>1</v>
      </c>
      <c r="G55" s="50">
        <v>0</v>
      </c>
      <c r="H55" s="50">
        <v>0</v>
      </c>
      <c r="I55" s="50">
        <v>2</v>
      </c>
      <c r="J55" s="50">
        <v>3</v>
      </c>
      <c r="K55" s="50">
        <v>0</v>
      </c>
      <c r="L55" s="50">
        <v>0</v>
      </c>
      <c r="M55" s="50">
        <v>34</v>
      </c>
      <c r="N55" s="50">
        <v>0</v>
      </c>
      <c r="O55" s="15">
        <f t="shared" si="0"/>
        <v>13</v>
      </c>
      <c r="P55" s="15">
        <f t="shared" si="1"/>
        <v>47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3</v>
      </c>
      <c r="E56" s="50">
        <v>2</v>
      </c>
      <c r="F56" s="50">
        <v>4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36</v>
      </c>
      <c r="N56" s="50">
        <v>0</v>
      </c>
      <c r="O56" s="15">
        <f t="shared" si="0"/>
        <v>17</v>
      </c>
      <c r="P56" s="15">
        <f t="shared" si="1"/>
        <v>53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2</v>
      </c>
      <c r="J57" s="50">
        <v>3</v>
      </c>
      <c r="K57" s="50">
        <v>0</v>
      </c>
      <c r="L57" s="50">
        <v>0</v>
      </c>
      <c r="M57" s="50">
        <v>24</v>
      </c>
      <c r="N57" s="50">
        <v>0</v>
      </c>
      <c r="O57" s="15">
        <f t="shared" si="0"/>
        <v>10</v>
      </c>
      <c r="P57" s="15">
        <f t="shared" si="1"/>
        <v>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182</v>
      </c>
      <c r="D58" s="16">
        <f t="shared" si="21"/>
        <v>30</v>
      </c>
      <c r="E58" s="16">
        <f t="shared" si="21"/>
        <v>41</v>
      </c>
      <c r="F58" s="16">
        <f t="shared" si="21"/>
        <v>82</v>
      </c>
      <c r="G58" s="16">
        <f t="shared" si="21"/>
        <v>10</v>
      </c>
      <c r="H58" s="16">
        <f t="shared" si="21"/>
        <v>0</v>
      </c>
      <c r="I58" s="16">
        <f t="shared" si="21"/>
        <v>113</v>
      </c>
      <c r="J58" s="16">
        <f t="shared" si="21"/>
        <v>73</v>
      </c>
      <c r="K58" s="16">
        <f t="shared" si="21"/>
        <v>28</v>
      </c>
      <c r="L58" s="16">
        <f t="shared" si="21"/>
        <v>3</v>
      </c>
      <c r="M58" s="16">
        <f t="shared" si="21"/>
        <v>1848</v>
      </c>
      <c r="N58" s="16">
        <f t="shared" si="21"/>
        <v>9</v>
      </c>
      <c r="O58" s="16">
        <f t="shared" si="21"/>
        <v>571</v>
      </c>
      <c r="P58" s="16">
        <f t="shared" si="21"/>
        <v>2419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7.5237701529557666E-2</v>
      </c>
      <c r="D59" s="43">
        <f t="shared" si="22"/>
        <v>1.2401818933443571E-2</v>
      </c>
      <c r="E59" s="43">
        <f t="shared" si="22"/>
        <v>1.6949152542372881E-2</v>
      </c>
      <c r="F59" s="43">
        <f t="shared" si="22"/>
        <v>3.3898305084745763E-2</v>
      </c>
      <c r="G59" s="43">
        <f t="shared" si="22"/>
        <v>4.1339396444811903E-3</v>
      </c>
      <c r="H59" s="43">
        <f t="shared" si="22"/>
        <v>0</v>
      </c>
      <c r="I59" s="43">
        <f t="shared" si="22"/>
        <v>4.6713517982637454E-2</v>
      </c>
      <c r="J59" s="43">
        <f t="shared" si="22"/>
        <v>3.0177759404712692E-2</v>
      </c>
      <c r="K59" s="43">
        <f t="shared" si="22"/>
        <v>1.1575031004547334E-2</v>
      </c>
      <c r="L59" s="43">
        <f t="shared" si="22"/>
        <v>1.2401818933443572E-3</v>
      </c>
      <c r="M59" s="43">
        <f t="shared" si="22"/>
        <v>0.76395204630012403</v>
      </c>
      <c r="N59" s="43">
        <f t="shared" si="22"/>
        <v>3.7205456800330715E-3</v>
      </c>
      <c r="R59" s="8"/>
      <c r="T59"/>
    </row>
    <row r="60" spans="2:20" ht="23.1" customHeight="1" x14ac:dyDescent="0.25">
      <c r="B60" s="42" t="s">
        <v>94</v>
      </c>
      <c r="C60" s="44">
        <f>C58/$O$58</f>
        <v>0.31873905429071803</v>
      </c>
      <c r="D60" s="44">
        <f t="shared" ref="D60:N60" si="23">D58/$O$58</f>
        <v>5.2539404553415062E-2</v>
      </c>
      <c r="E60" s="44">
        <f t="shared" si="23"/>
        <v>7.1803852889667244E-2</v>
      </c>
      <c r="F60" s="44">
        <f t="shared" si="23"/>
        <v>0.14360770577933449</v>
      </c>
      <c r="G60" s="44">
        <f t="shared" si="23"/>
        <v>1.7513134851138354E-2</v>
      </c>
      <c r="H60" s="44">
        <f t="shared" si="23"/>
        <v>0</v>
      </c>
      <c r="I60" s="44">
        <f t="shared" si="23"/>
        <v>0.19789842381786341</v>
      </c>
      <c r="J60" s="44">
        <f t="shared" si="23"/>
        <v>0.12784588441330999</v>
      </c>
      <c r="K60" s="44">
        <f t="shared" si="23"/>
        <v>4.9036777583187391E-2</v>
      </c>
      <c r="L60" s="44">
        <f t="shared" si="23"/>
        <v>5.2539404553415062E-3</v>
      </c>
      <c r="M60" s="44"/>
      <c r="N60" s="44">
        <f t="shared" si="23"/>
        <v>1.5761821366024518E-2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F174"/>
  <sheetViews>
    <sheetView view="pageBreakPreview" topLeftCell="A55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3" t="str">
        <f>'27.08 Lumino-Musita'!G5:H5</f>
        <v>Musita</v>
      </c>
      <c r="H5" s="64"/>
      <c r="I5" s="14"/>
      <c r="J5" s="2" t="s">
        <v>5</v>
      </c>
      <c r="K5" s="63" t="str">
        <f>'27.08 Lumino-Musita'!K5:L5</f>
        <v>Josephine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Musita-Lumino'!D6:E6</f>
        <v>Musita</v>
      </c>
      <c r="E6" s="64"/>
      <c r="F6" s="2" t="s">
        <v>2</v>
      </c>
      <c r="G6" s="63" t="str">
        <f>'22.08 Musita-Lumino'!G6:H6</f>
        <v>Lumino</v>
      </c>
      <c r="H6" s="64"/>
      <c r="J6" s="2" t="s">
        <v>21</v>
      </c>
      <c r="K6" s="63" t="str">
        <f>'27.08 Lumino-Musita'!K6:L6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1</v>
      </c>
      <c r="J10" s="50">
        <v>6</v>
      </c>
      <c r="K10" s="50">
        <v>0</v>
      </c>
      <c r="L10" s="50">
        <v>0</v>
      </c>
      <c r="M10" s="50">
        <v>27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40</v>
      </c>
      <c r="R10" s="1" t="s">
        <v>6</v>
      </c>
      <c r="S10" s="17">
        <f t="shared" ref="S10:AF10" si="2">SUM(C10:C13)</f>
        <v>11</v>
      </c>
      <c r="T10" s="17">
        <f t="shared" si="2"/>
        <v>2</v>
      </c>
      <c r="U10" s="17">
        <f t="shared" si="2"/>
        <v>3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13</v>
      </c>
      <c r="Z10" s="17">
        <f t="shared" si="2"/>
        <v>24</v>
      </c>
      <c r="AA10" s="17">
        <f t="shared" si="2"/>
        <v>12</v>
      </c>
      <c r="AB10" s="17">
        <f t="shared" si="2"/>
        <v>2</v>
      </c>
      <c r="AC10" s="17">
        <f t="shared" si="2"/>
        <v>88</v>
      </c>
      <c r="AD10" s="17">
        <f t="shared" si="2"/>
        <v>1</v>
      </c>
      <c r="AE10" s="31">
        <f t="shared" si="2"/>
        <v>70</v>
      </c>
      <c r="AF10" s="31">
        <f t="shared" si="2"/>
        <v>158</v>
      </c>
    </row>
    <row r="11" spans="2:32" s="6" customFormat="1" ht="23.1" customHeight="1" x14ac:dyDescent="0.25">
      <c r="B11" s="45" t="s">
        <v>38</v>
      </c>
      <c r="C11" s="50">
        <v>5</v>
      </c>
      <c r="D11" s="50">
        <v>1</v>
      </c>
      <c r="E11" s="50">
        <v>1</v>
      </c>
      <c r="F11" s="50">
        <v>2</v>
      </c>
      <c r="G11" s="50">
        <v>0</v>
      </c>
      <c r="H11" s="50">
        <v>0</v>
      </c>
      <c r="I11" s="50">
        <v>3</v>
      </c>
      <c r="J11" s="50">
        <v>8</v>
      </c>
      <c r="K11" s="50">
        <v>2</v>
      </c>
      <c r="L11" s="50">
        <v>1</v>
      </c>
      <c r="M11" s="50">
        <v>18</v>
      </c>
      <c r="N11" s="50">
        <v>1</v>
      </c>
      <c r="O11" s="15">
        <f t="shared" si="0"/>
        <v>24</v>
      </c>
      <c r="P11" s="15">
        <f t="shared" si="1"/>
        <v>42</v>
      </c>
      <c r="R11" s="1" t="s">
        <v>7</v>
      </c>
      <c r="S11" s="17">
        <f t="shared" ref="S11:AF11" si="3">SUM(C14:C17)</f>
        <v>12</v>
      </c>
      <c r="T11" s="17">
        <f t="shared" si="3"/>
        <v>2</v>
      </c>
      <c r="U11" s="17">
        <f t="shared" si="3"/>
        <v>2</v>
      </c>
      <c r="V11" s="17">
        <f t="shared" si="3"/>
        <v>3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11</v>
      </c>
      <c r="AA11" s="17">
        <f t="shared" si="3"/>
        <v>0</v>
      </c>
      <c r="AB11" s="17">
        <f t="shared" si="3"/>
        <v>1</v>
      </c>
      <c r="AC11" s="17">
        <f t="shared" si="3"/>
        <v>165</v>
      </c>
      <c r="AD11" s="17">
        <f t="shared" si="3"/>
        <v>1</v>
      </c>
      <c r="AE11" s="31">
        <f t="shared" si="3"/>
        <v>35</v>
      </c>
      <c r="AF11" s="31">
        <f t="shared" si="3"/>
        <v>200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5</v>
      </c>
      <c r="J12" s="50">
        <v>3</v>
      </c>
      <c r="K12" s="50">
        <v>3</v>
      </c>
      <c r="L12" s="50">
        <v>1</v>
      </c>
      <c r="M12" s="50">
        <v>25</v>
      </c>
      <c r="N12" s="50">
        <v>0</v>
      </c>
      <c r="O12" s="15">
        <f t="shared" si="0"/>
        <v>13</v>
      </c>
      <c r="P12" s="15">
        <f t="shared" si="1"/>
        <v>38</v>
      </c>
      <c r="R12" s="1" t="s">
        <v>8</v>
      </c>
      <c r="S12" s="17">
        <f t="shared" ref="S12:AF12" si="4">SUM(C18:C21)</f>
        <v>14</v>
      </c>
      <c r="T12" s="17">
        <f t="shared" si="4"/>
        <v>4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8</v>
      </c>
      <c r="AA12" s="17">
        <f t="shared" si="4"/>
        <v>5</v>
      </c>
      <c r="AB12" s="17">
        <f t="shared" si="4"/>
        <v>3</v>
      </c>
      <c r="AC12" s="17">
        <f t="shared" si="4"/>
        <v>80</v>
      </c>
      <c r="AD12" s="17">
        <f t="shared" si="4"/>
        <v>0</v>
      </c>
      <c r="AE12" s="31">
        <f t="shared" si="4"/>
        <v>38</v>
      </c>
      <c r="AF12" s="31">
        <f t="shared" si="4"/>
        <v>118</v>
      </c>
    </row>
    <row r="13" spans="2:32" ht="23.1" customHeight="1" x14ac:dyDescent="0.25">
      <c r="B13" s="45" t="s">
        <v>40</v>
      </c>
      <c r="C13" s="50">
        <v>1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  <c r="J13" s="50">
        <v>7</v>
      </c>
      <c r="K13" s="50">
        <v>7</v>
      </c>
      <c r="L13" s="50">
        <v>0</v>
      </c>
      <c r="M13" s="50">
        <v>18</v>
      </c>
      <c r="N13" s="50">
        <v>0</v>
      </c>
      <c r="O13" s="15">
        <f t="shared" si="0"/>
        <v>20</v>
      </c>
      <c r="P13" s="15">
        <f t="shared" si="1"/>
        <v>38</v>
      </c>
      <c r="R13" s="1" t="s">
        <v>9</v>
      </c>
      <c r="S13" s="17">
        <f t="shared" ref="S13:AF13" si="5">SUM(C22:C25)</f>
        <v>14</v>
      </c>
      <c r="T13" s="17">
        <f t="shared" si="5"/>
        <v>3</v>
      </c>
      <c r="U13" s="17">
        <f t="shared" si="5"/>
        <v>2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6</v>
      </c>
      <c r="AA13" s="17">
        <f t="shared" si="5"/>
        <v>5</v>
      </c>
      <c r="AB13" s="17">
        <f t="shared" si="5"/>
        <v>1</v>
      </c>
      <c r="AC13" s="17">
        <f t="shared" si="5"/>
        <v>136</v>
      </c>
      <c r="AD13" s="17">
        <f t="shared" si="5"/>
        <v>0</v>
      </c>
      <c r="AE13" s="31">
        <f t="shared" si="5"/>
        <v>46</v>
      </c>
      <c r="AF13" s="31">
        <f t="shared" si="5"/>
        <v>182</v>
      </c>
    </row>
    <row r="14" spans="2:32" ht="23.1" customHeight="1" x14ac:dyDescent="0.25">
      <c r="B14" s="45" t="s">
        <v>41</v>
      </c>
      <c r="C14" s="50">
        <v>5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7</v>
      </c>
      <c r="K14" s="50">
        <v>0</v>
      </c>
      <c r="L14" s="50">
        <v>0</v>
      </c>
      <c r="M14" s="50">
        <v>32</v>
      </c>
      <c r="N14" s="50">
        <v>1</v>
      </c>
      <c r="O14" s="15">
        <f t="shared" si="0"/>
        <v>13</v>
      </c>
      <c r="P14" s="15">
        <f t="shared" si="1"/>
        <v>45</v>
      </c>
      <c r="R14" s="1" t="s">
        <v>10</v>
      </c>
      <c r="S14" s="17">
        <f t="shared" ref="S14:AF14" si="6">SUM(C26:C29)</f>
        <v>21</v>
      </c>
      <c r="T14" s="17">
        <f t="shared" si="6"/>
        <v>15</v>
      </c>
      <c r="U14" s="17">
        <f t="shared" si="6"/>
        <v>1</v>
      </c>
      <c r="V14" s="17">
        <f t="shared" si="6"/>
        <v>8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6</v>
      </c>
      <c r="AA14" s="17">
        <f t="shared" si="6"/>
        <v>4</v>
      </c>
      <c r="AB14" s="17">
        <f t="shared" si="6"/>
        <v>2</v>
      </c>
      <c r="AC14" s="17">
        <f t="shared" si="6"/>
        <v>170</v>
      </c>
      <c r="AD14" s="17">
        <f t="shared" si="6"/>
        <v>0</v>
      </c>
      <c r="AE14" s="31">
        <f t="shared" si="6"/>
        <v>61</v>
      </c>
      <c r="AF14" s="31">
        <f t="shared" si="6"/>
        <v>231</v>
      </c>
    </row>
    <row r="15" spans="2:32" ht="23.1" customHeight="1" x14ac:dyDescent="0.25">
      <c r="B15" s="45" t="s">
        <v>42</v>
      </c>
      <c r="C15" s="50">
        <v>2</v>
      </c>
      <c r="D15" s="50">
        <v>1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3</v>
      </c>
      <c r="K15" s="50">
        <v>0</v>
      </c>
      <c r="L15" s="50">
        <v>0</v>
      </c>
      <c r="M15" s="50">
        <v>36</v>
      </c>
      <c r="N15" s="50">
        <v>0</v>
      </c>
      <c r="O15" s="15">
        <f t="shared" si="0"/>
        <v>7</v>
      </c>
      <c r="P15" s="15">
        <f t="shared" si="1"/>
        <v>43</v>
      </c>
      <c r="R15" s="1" t="s">
        <v>11</v>
      </c>
      <c r="S15" s="17">
        <f t="shared" ref="S15:AF15" si="7">SUM(C30:C33)</f>
        <v>20</v>
      </c>
      <c r="T15" s="17">
        <f t="shared" si="7"/>
        <v>4</v>
      </c>
      <c r="U15" s="17">
        <f t="shared" si="7"/>
        <v>4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12</v>
      </c>
      <c r="AA15" s="17">
        <f t="shared" si="7"/>
        <v>0</v>
      </c>
      <c r="AB15" s="17">
        <f t="shared" si="7"/>
        <v>2</v>
      </c>
      <c r="AC15" s="17">
        <f t="shared" si="7"/>
        <v>117</v>
      </c>
      <c r="AD15" s="17">
        <f t="shared" si="7"/>
        <v>0</v>
      </c>
      <c r="AE15" s="31">
        <f t="shared" si="7"/>
        <v>58</v>
      </c>
      <c r="AF15" s="31">
        <f t="shared" si="7"/>
        <v>175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44</v>
      </c>
      <c r="N16" s="50">
        <v>0</v>
      </c>
      <c r="O16" s="15">
        <f t="shared" si="0"/>
        <v>5</v>
      </c>
      <c r="P16" s="15">
        <f t="shared" si="1"/>
        <v>49</v>
      </c>
      <c r="R16" s="1" t="s">
        <v>12</v>
      </c>
      <c r="S16" s="17">
        <f t="shared" ref="S16:AF16" si="8">SUM(C34:C37)</f>
        <v>17</v>
      </c>
      <c r="T16" s="17">
        <f t="shared" si="8"/>
        <v>3</v>
      </c>
      <c r="U16" s="17">
        <f t="shared" si="8"/>
        <v>4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11</v>
      </c>
      <c r="AA16" s="17">
        <f t="shared" si="8"/>
        <v>1</v>
      </c>
      <c r="AB16" s="17">
        <f t="shared" si="8"/>
        <v>2</v>
      </c>
      <c r="AC16" s="17">
        <f t="shared" si="8"/>
        <v>105</v>
      </c>
      <c r="AD16" s="17">
        <f t="shared" si="8"/>
        <v>1</v>
      </c>
      <c r="AE16" s="31">
        <f t="shared" si="8"/>
        <v>50</v>
      </c>
      <c r="AF16" s="31">
        <f t="shared" si="8"/>
        <v>155</v>
      </c>
    </row>
    <row r="17" spans="2:32" ht="23.1" customHeight="1" x14ac:dyDescent="0.25">
      <c r="B17" s="45" t="s">
        <v>44</v>
      </c>
      <c r="C17" s="50">
        <v>3</v>
      </c>
      <c r="D17" s="50">
        <v>1</v>
      </c>
      <c r="E17" s="50">
        <v>2</v>
      </c>
      <c r="F17" s="50">
        <v>0</v>
      </c>
      <c r="G17" s="50">
        <v>1</v>
      </c>
      <c r="H17" s="50">
        <v>0</v>
      </c>
      <c r="I17" s="50">
        <v>1</v>
      </c>
      <c r="J17" s="50">
        <v>1</v>
      </c>
      <c r="K17" s="50">
        <v>0</v>
      </c>
      <c r="L17" s="50">
        <v>1</v>
      </c>
      <c r="M17" s="50">
        <v>53</v>
      </c>
      <c r="N17" s="50">
        <v>0</v>
      </c>
      <c r="O17" s="15">
        <f t="shared" si="0"/>
        <v>10</v>
      </c>
      <c r="P17" s="15">
        <f t="shared" si="1"/>
        <v>63</v>
      </c>
      <c r="R17" s="1" t="s">
        <v>13</v>
      </c>
      <c r="S17" s="17">
        <f t="shared" ref="S17:AF17" si="9">SUM(C38:C41)</f>
        <v>18</v>
      </c>
      <c r="T17" s="17">
        <f t="shared" si="9"/>
        <v>7</v>
      </c>
      <c r="U17" s="17">
        <f t="shared" si="9"/>
        <v>2</v>
      </c>
      <c r="V17" s="17">
        <f t="shared" si="9"/>
        <v>7</v>
      </c>
      <c r="W17" s="17">
        <f t="shared" si="9"/>
        <v>2</v>
      </c>
      <c r="X17" s="17">
        <f t="shared" si="9"/>
        <v>1</v>
      </c>
      <c r="Y17" s="17">
        <f t="shared" si="9"/>
        <v>1</v>
      </c>
      <c r="Z17" s="17">
        <f t="shared" si="9"/>
        <v>17</v>
      </c>
      <c r="AA17" s="17">
        <f t="shared" si="9"/>
        <v>6</v>
      </c>
      <c r="AB17" s="17">
        <f t="shared" si="9"/>
        <v>0</v>
      </c>
      <c r="AC17" s="17">
        <f t="shared" si="9"/>
        <v>111</v>
      </c>
      <c r="AD17" s="17">
        <f t="shared" si="9"/>
        <v>0</v>
      </c>
      <c r="AE17" s="31">
        <f t="shared" si="9"/>
        <v>61</v>
      </c>
      <c r="AF17" s="31">
        <f t="shared" si="9"/>
        <v>172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3</v>
      </c>
      <c r="K18" s="50">
        <v>0</v>
      </c>
      <c r="L18" s="50">
        <v>0</v>
      </c>
      <c r="M18" s="50">
        <v>20</v>
      </c>
      <c r="N18" s="50">
        <v>0</v>
      </c>
      <c r="O18" s="15">
        <f t="shared" si="0"/>
        <v>9</v>
      </c>
      <c r="P18" s="15">
        <f t="shared" si="1"/>
        <v>29</v>
      </c>
      <c r="R18" s="1" t="s">
        <v>14</v>
      </c>
      <c r="S18" s="17">
        <f t="shared" ref="S18:AF18" si="10">SUM(C42:C45)</f>
        <v>11</v>
      </c>
      <c r="T18" s="17">
        <f t="shared" si="10"/>
        <v>7</v>
      </c>
      <c r="U18" s="17">
        <f t="shared" si="10"/>
        <v>4</v>
      </c>
      <c r="V18" s="17">
        <f t="shared" si="10"/>
        <v>10</v>
      </c>
      <c r="W18" s="17">
        <f t="shared" si="10"/>
        <v>1</v>
      </c>
      <c r="X18" s="17">
        <f t="shared" si="10"/>
        <v>1</v>
      </c>
      <c r="Y18" s="17">
        <f t="shared" si="10"/>
        <v>3</v>
      </c>
      <c r="Z18" s="17">
        <f t="shared" si="10"/>
        <v>17</v>
      </c>
      <c r="AA18" s="17">
        <f t="shared" si="10"/>
        <v>2</v>
      </c>
      <c r="AB18" s="17">
        <f t="shared" si="10"/>
        <v>2</v>
      </c>
      <c r="AC18" s="17">
        <f t="shared" si="10"/>
        <v>160</v>
      </c>
      <c r="AD18" s="17">
        <f t="shared" si="10"/>
        <v>0</v>
      </c>
      <c r="AE18" s="31">
        <f t="shared" si="10"/>
        <v>58</v>
      </c>
      <c r="AF18" s="31">
        <f t="shared" si="10"/>
        <v>218</v>
      </c>
    </row>
    <row r="19" spans="2:32" ht="23.1" customHeight="1" x14ac:dyDescent="0.25">
      <c r="B19" s="45" t="s">
        <v>46</v>
      </c>
      <c r="C19" s="50">
        <v>3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12</v>
      </c>
      <c r="N19" s="50">
        <v>0</v>
      </c>
      <c r="O19" s="15">
        <f t="shared" si="0"/>
        <v>6</v>
      </c>
      <c r="P19" s="15">
        <f t="shared" si="1"/>
        <v>18</v>
      </c>
      <c r="R19" s="1" t="s">
        <v>15</v>
      </c>
      <c r="S19" s="17">
        <f t="shared" ref="S19:AF19" si="11">SUM(C46:C49)</f>
        <v>28</v>
      </c>
      <c r="T19" s="17">
        <f t="shared" si="11"/>
        <v>0</v>
      </c>
      <c r="U19" s="17">
        <f t="shared" si="11"/>
        <v>2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12</v>
      </c>
      <c r="AA19" s="17">
        <f t="shared" si="11"/>
        <v>0</v>
      </c>
      <c r="AB19" s="17">
        <f t="shared" si="11"/>
        <v>3</v>
      </c>
      <c r="AC19" s="17">
        <f t="shared" si="11"/>
        <v>164</v>
      </c>
      <c r="AD19" s="17">
        <f t="shared" si="11"/>
        <v>1</v>
      </c>
      <c r="AE19" s="31">
        <f t="shared" si="11"/>
        <v>61</v>
      </c>
      <c r="AF19" s="31">
        <f t="shared" si="11"/>
        <v>225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2</v>
      </c>
      <c r="K20" s="50">
        <v>3</v>
      </c>
      <c r="L20" s="50">
        <v>3</v>
      </c>
      <c r="M20" s="50">
        <v>17</v>
      </c>
      <c r="N20" s="50">
        <v>0</v>
      </c>
      <c r="O20" s="15">
        <f t="shared" si="0"/>
        <v>9</v>
      </c>
      <c r="P20" s="15">
        <f t="shared" si="1"/>
        <v>26</v>
      </c>
      <c r="R20" s="1" t="s">
        <v>16</v>
      </c>
      <c r="S20" s="17">
        <f t="shared" ref="S20:AF20" si="12">SUM(C50:C53)</f>
        <v>7</v>
      </c>
      <c r="T20" s="17">
        <f t="shared" si="12"/>
        <v>9</v>
      </c>
      <c r="U20" s="17">
        <f t="shared" si="12"/>
        <v>2</v>
      </c>
      <c r="V20" s="17">
        <f t="shared" si="12"/>
        <v>9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11</v>
      </c>
      <c r="AA20" s="17">
        <f t="shared" si="12"/>
        <v>3</v>
      </c>
      <c r="AB20" s="17">
        <f t="shared" si="12"/>
        <v>0</v>
      </c>
      <c r="AC20" s="17">
        <f t="shared" si="12"/>
        <v>130</v>
      </c>
      <c r="AD20" s="17">
        <f t="shared" si="12"/>
        <v>0</v>
      </c>
      <c r="AE20" s="31">
        <f t="shared" si="12"/>
        <v>52</v>
      </c>
      <c r="AF20" s="31">
        <f t="shared" si="12"/>
        <v>182</v>
      </c>
    </row>
    <row r="21" spans="2:32" ht="23.1" customHeight="1" x14ac:dyDescent="0.25">
      <c r="B21" s="45" t="s">
        <v>48</v>
      </c>
      <c r="C21" s="50">
        <v>4</v>
      </c>
      <c r="D21" s="50">
        <v>4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2</v>
      </c>
      <c r="K21" s="50">
        <v>2</v>
      </c>
      <c r="L21" s="50">
        <v>0</v>
      </c>
      <c r="M21" s="50">
        <v>31</v>
      </c>
      <c r="N21" s="50">
        <v>0</v>
      </c>
      <c r="O21" s="15">
        <f t="shared" si="0"/>
        <v>14</v>
      </c>
      <c r="P21" s="15">
        <f t="shared" si="1"/>
        <v>45</v>
      </c>
      <c r="R21" s="36" t="s">
        <v>20</v>
      </c>
      <c r="S21" s="34">
        <f t="shared" ref="S21:AF21" si="13">SUM(C54:C57)</f>
        <v>11</v>
      </c>
      <c r="T21" s="17">
        <f t="shared" si="13"/>
        <v>9</v>
      </c>
      <c r="U21" s="17">
        <f t="shared" si="13"/>
        <v>3</v>
      </c>
      <c r="V21" s="17">
        <f t="shared" si="13"/>
        <v>9</v>
      </c>
      <c r="W21" s="17">
        <f t="shared" si="13"/>
        <v>3</v>
      </c>
      <c r="X21" s="17">
        <f t="shared" si="13"/>
        <v>0</v>
      </c>
      <c r="Y21" s="17">
        <f t="shared" si="13"/>
        <v>1</v>
      </c>
      <c r="Z21" s="17">
        <f t="shared" si="13"/>
        <v>16</v>
      </c>
      <c r="AA21" s="17">
        <f t="shared" si="13"/>
        <v>4</v>
      </c>
      <c r="AB21" s="17">
        <f t="shared" si="13"/>
        <v>0</v>
      </c>
      <c r="AC21" s="17">
        <f t="shared" si="13"/>
        <v>103</v>
      </c>
      <c r="AD21" s="17">
        <f t="shared" si="13"/>
        <v>0</v>
      </c>
      <c r="AE21" s="31">
        <f t="shared" si="13"/>
        <v>56</v>
      </c>
      <c r="AF21" s="31">
        <f t="shared" si="13"/>
        <v>159</v>
      </c>
    </row>
    <row r="22" spans="2:32" ht="23.1" customHeight="1" x14ac:dyDescent="0.25">
      <c r="B22" s="45" t="s">
        <v>49</v>
      </c>
      <c r="C22" s="50">
        <v>6</v>
      </c>
      <c r="D22" s="50">
        <v>1</v>
      </c>
      <c r="E22" s="50">
        <v>0</v>
      </c>
      <c r="F22" s="50">
        <v>3</v>
      </c>
      <c r="G22" s="50">
        <v>0</v>
      </c>
      <c r="H22" s="50">
        <v>0</v>
      </c>
      <c r="I22" s="50">
        <v>8</v>
      </c>
      <c r="J22" s="50">
        <v>1</v>
      </c>
      <c r="K22" s="50">
        <v>0</v>
      </c>
      <c r="L22" s="50">
        <v>0</v>
      </c>
      <c r="M22" s="50">
        <v>28</v>
      </c>
      <c r="N22" s="50">
        <v>0</v>
      </c>
      <c r="O22" s="15">
        <f t="shared" si="0"/>
        <v>19</v>
      </c>
      <c r="P22" s="15">
        <f t="shared" si="1"/>
        <v>47</v>
      </c>
      <c r="R22" s="36" t="s">
        <v>146</v>
      </c>
      <c r="S22" s="34">
        <f>SUM(C58:C61)</f>
        <v>20</v>
      </c>
      <c r="T22" s="34">
        <f t="shared" ref="T22:AF22" si="14">SUM(D58:D61)</f>
        <v>1</v>
      </c>
      <c r="U22" s="34">
        <f t="shared" si="14"/>
        <v>1</v>
      </c>
      <c r="V22" s="34">
        <f t="shared" si="14"/>
        <v>5</v>
      </c>
      <c r="W22" s="34">
        <f t="shared" si="14"/>
        <v>2</v>
      </c>
      <c r="X22" s="34">
        <f t="shared" si="14"/>
        <v>0</v>
      </c>
      <c r="Y22" s="34">
        <f t="shared" si="14"/>
        <v>7</v>
      </c>
      <c r="Z22" s="34">
        <f t="shared" si="14"/>
        <v>16</v>
      </c>
      <c r="AA22" s="34">
        <f t="shared" si="14"/>
        <v>0</v>
      </c>
      <c r="AB22" s="34">
        <f t="shared" si="14"/>
        <v>2</v>
      </c>
      <c r="AC22" s="34">
        <f t="shared" si="14"/>
        <v>154</v>
      </c>
      <c r="AD22" s="34">
        <f t="shared" si="14"/>
        <v>4</v>
      </c>
      <c r="AE22" s="31">
        <f t="shared" si="14"/>
        <v>58</v>
      </c>
      <c r="AF22" s="31">
        <f t="shared" si="14"/>
        <v>212</v>
      </c>
    </row>
    <row r="23" spans="2:32" ht="23.1" customHeight="1" x14ac:dyDescent="0.25">
      <c r="B23" s="45" t="s">
        <v>50</v>
      </c>
      <c r="C23" s="50">
        <v>2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1</v>
      </c>
      <c r="K23" s="50">
        <v>0</v>
      </c>
      <c r="L23" s="50">
        <v>1</v>
      </c>
      <c r="M23" s="50">
        <v>55</v>
      </c>
      <c r="N23" s="50">
        <v>0</v>
      </c>
      <c r="O23" s="15">
        <f t="shared" si="0"/>
        <v>8</v>
      </c>
      <c r="P23" s="15">
        <f t="shared" si="1"/>
        <v>63</v>
      </c>
      <c r="R23" s="36" t="s">
        <v>147</v>
      </c>
      <c r="S23" s="34">
        <f>SUM(C62:C65)</f>
        <v>21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9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10</v>
      </c>
      <c r="AA23" s="34">
        <f t="shared" si="15"/>
        <v>1</v>
      </c>
      <c r="AB23" s="34">
        <f t="shared" si="15"/>
        <v>3</v>
      </c>
      <c r="AC23" s="34">
        <f t="shared" si="15"/>
        <v>170</v>
      </c>
      <c r="AD23" s="34">
        <f t="shared" si="15"/>
        <v>0</v>
      </c>
      <c r="AE23" s="31">
        <f t="shared" si="15"/>
        <v>49</v>
      </c>
      <c r="AF23" s="31">
        <f t="shared" si="15"/>
        <v>219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5</v>
      </c>
      <c r="L24" s="50">
        <v>0</v>
      </c>
      <c r="M24" s="50">
        <v>27</v>
      </c>
      <c r="N24" s="50">
        <v>0</v>
      </c>
      <c r="O24" s="15">
        <f t="shared" si="0"/>
        <v>10</v>
      </c>
      <c r="P24" s="15">
        <f t="shared" si="1"/>
        <v>37</v>
      </c>
      <c r="R24" s="36" t="s">
        <v>148</v>
      </c>
      <c r="S24" s="34">
        <f>SUM(C66:C69)</f>
        <v>4</v>
      </c>
      <c r="T24" s="34">
        <f t="shared" ref="T24:AF24" si="16">SUM(D66:D69)</f>
        <v>2</v>
      </c>
      <c r="U24" s="34">
        <f t="shared" si="16"/>
        <v>0</v>
      </c>
      <c r="V24" s="34">
        <f t="shared" si="16"/>
        <v>8</v>
      </c>
      <c r="W24" s="34">
        <f t="shared" si="16"/>
        <v>0</v>
      </c>
      <c r="X24" s="34">
        <f t="shared" si="16"/>
        <v>1</v>
      </c>
      <c r="Y24" s="34">
        <f t="shared" si="16"/>
        <v>1</v>
      </c>
      <c r="Z24" s="34">
        <f t="shared" si="16"/>
        <v>1</v>
      </c>
      <c r="AA24" s="34">
        <f t="shared" si="16"/>
        <v>0</v>
      </c>
      <c r="AB24" s="34">
        <f t="shared" si="16"/>
        <v>17</v>
      </c>
      <c r="AC24" s="34">
        <f t="shared" si="16"/>
        <v>28</v>
      </c>
      <c r="AD24" s="34">
        <f t="shared" si="16"/>
        <v>0</v>
      </c>
      <c r="AE24" s="31">
        <f t="shared" si="16"/>
        <v>34</v>
      </c>
      <c r="AF24" s="31">
        <f t="shared" si="16"/>
        <v>62</v>
      </c>
    </row>
    <row r="25" spans="2:32" ht="23.1" customHeight="1" x14ac:dyDescent="0.25">
      <c r="B25" s="45" t="s">
        <v>52</v>
      </c>
      <c r="C25" s="50">
        <v>3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4</v>
      </c>
      <c r="K25" s="50">
        <v>0</v>
      </c>
      <c r="L25" s="50">
        <v>0</v>
      </c>
      <c r="M25" s="50">
        <v>26</v>
      </c>
      <c r="N25" s="50">
        <v>0</v>
      </c>
      <c r="O25" s="15">
        <f t="shared" si="0"/>
        <v>9</v>
      </c>
      <c r="P25" s="15">
        <f t="shared" si="1"/>
        <v>35</v>
      </c>
      <c r="R25" s="36" t="s">
        <v>149</v>
      </c>
      <c r="S25" s="34">
        <f>SUM(C70:C73)</f>
        <v>13</v>
      </c>
      <c r="T25" s="34">
        <f t="shared" ref="T25:AF25" si="17">SUM(D70:D73)</f>
        <v>5</v>
      </c>
      <c r="U25" s="34">
        <f t="shared" si="17"/>
        <v>0</v>
      </c>
      <c r="V25" s="34">
        <f t="shared" si="17"/>
        <v>3</v>
      </c>
      <c r="W25" s="34">
        <f t="shared" si="17"/>
        <v>2</v>
      </c>
      <c r="X25" s="34">
        <f t="shared" si="17"/>
        <v>0</v>
      </c>
      <c r="Y25" s="34">
        <f t="shared" si="17"/>
        <v>1</v>
      </c>
      <c r="Z25" s="34">
        <f t="shared" si="17"/>
        <v>10</v>
      </c>
      <c r="AA25" s="34">
        <f t="shared" si="17"/>
        <v>1</v>
      </c>
      <c r="AB25" s="34">
        <f t="shared" si="17"/>
        <v>0</v>
      </c>
      <c r="AC25" s="34">
        <f t="shared" si="17"/>
        <v>29</v>
      </c>
      <c r="AD25" s="34">
        <f t="shared" si="17"/>
        <v>0</v>
      </c>
      <c r="AE25" s="31">
        <f t="shared" si="17"/>
        <v>35</v>
      </c>
      <c r="AF25" s="31">
        <f t="shared" si="17"/>
        <v>64</v>
      </c>
    </row>
    <row r="26" spans="2:32" ht="23.1" customHeight="1" x14ac:dyDescent="0.25">
      <c r="B26" s="45" t="s">
        <v>53</v>
      </c>
      <c r="C26" s="50">
        <v>3</v>
      </c>
      <c r="D26" s="50">
        <v>1</v>
      </c>
      <c r="E26" s="50">
        <v>0</v>
      </c>
      <c r="F26" s="50">
        <v>0</v>
      </c>
      <c r="G26" s="50">
        <v>1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22</v>
      </c>
      <c r="N26" s="50">
        <v>0</v>
      </c>
      <c r="O26" s="15">
        <f t="shared" si="0"/>
        <v>6</v>
      </c>
      <c r="P26" s="15">
        <f t="shared" si="1"/>
        <v>28</v>
      </c>
      <c r="R26" s="36" t="s">
        <v>150</v>
      </c>
      <c r="S26" s="34">
        <f>SUM(C74:C77)</f>
        <v>2</v>
      </c>
      <c r="T26" s="34">
        <f t="shared" ref="T26:AF26" si="18">SUM(D74:D77)</f>
        <v>4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31</v>
      </c>
      <c r="AD26" s="34">
        <f t="shared" si="18"/>
        <v>0</v>
      </c>
      <c r="AE26" s="31">
        <f t="shared" si="18"/>
        <v>9</v>
      </c>
      <c r="AF26" s="31">
        <f t="shared" si="18"/>
        <v>40</v>
      </c>
    </row>
    <row r="27" spans="2:32" ht="23.1" customHeight="1" x14ac:dyDescent="0.25">
      <c r="B27" s="45" t="s">
        <v>54</v>
      </c>
      <c r="C27" s="50">
        <v>8</v>
      </c>
      <c r="D27" s="50">
        <v>9</v>
      </c>
      <c r="E27" s="50">
        <v>0</v>
      </c>
      <c r="F27" s="50">
        <v>2</v>
      </c>
      <c r="G27" s="50">
        <v>0</v>
      </c>
      <c r="H27" s="50">
        <v>0</v>
      </c>
      <c r="I27" s="50">
        <v>0</v>
      </c>
      <c r="J27" s="50">
        <v>5</v>
      </c>
      <c r="K27" s="50">
        <v>1</v>
      </c>
      <c r="L27" s="50">
        <v>1</v>
      </c>
      <c r="M27" s="50">
        <v>55</v>
      </c>
      <c r="N27" s="50">
        <v>0</v>
      </c>
      <c r="O27" s="15">
        <f t="shared" si="0"/>
        <v>26</v>
      </c>
      <c r="P27" s="15">
        <f t="shared" si="1"/>
        <v>81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6</v>
      </c>
      <c r="AA27" s="34">
        <f t="shared" si="19"/>
        <v>1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13</v>
      </c>
      <c r="AF27" s="31">
        <f t="shared" si="19"/>
        <v>17</v>
      </c>
    </row>
    <row r="28" spans="2:32" ht="23.1" customHeight="1" x14ac:dyDescent="0.25">
      <c r="B28" s="45" t="s">
        <v>55</v>
      </c>
      <c r="C28" s="50">
        <v>3</v>
      </c>
      <c r="D28" s="50">
        <v>3</v>
      </c>
      <c r="E28" s="50">
        <v>1</v>
      </c>
      <c r="F28" s="50">
        <v>4</v>
      </c>
      <c r="G28" s="50">
        <v>0</v>
      </c>
      <c r="H28" s="50">
        <v>0</v>
      </c>
      <c r="I28" s="50">
        <v>2</v>
      </c>
      <c r="J28" s="50">
        <v>0</v>
      </c>
      <c r="K28" s="50">
        <v>1</v>
      </c>
      <c r="L28" s="50">
        <v>1</v>
      </c>
      <c r="M28" s="50">
        <v>42</v>
      </c>
      <c r="N28" s="50">
        <v>0</v>
      </c>
      <c r="O28" s="15">
        <f t="shared" si="0"/>
        <v>15</v>
      </c>
      <c r="P28" s="15">
        <f t="shared" si="1"/>
        <v>57</v>
      </c>
      <c r="R28" s="36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2</v>
      </c>
      <c r="AB28" s="34">
        <f t="shared" si="20"/>
        <v>1</v>
      </c>
      <c r="AC28" s="34">
        <f t="shared" si="20"/>
        <v>1</v>
      </c>
      <c r="AD28" s="34">
        <f t="shared" si="20"/>
        <v>0</v>
      </c>
      <c r="AE28" s="31">
        <f t="shared" si="20"/>
        <v>11</v>
      </c>
      <c r="AF28" s="31">
        <f t="shared" si="20"/>
        <v>12</v>
      </c>
    </row>
    <row r="29" spans="2:32" ht="23.1" customHeight="1" x14ac:dyDescent="0.25">
      <c r="B29" s="45" t="s">
        <v>56</v>
      </c>
      <c r="C29" s="50">
        <v>7</v>
      </c>
      <c r="D29" s="50">
        <v>2</v>
      </c>
      <c r="E29" s="50">
        <v>0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2</v>
      </c>
      <c r="L29" s="50">
        <v>0</v>
      </c>
      <c r="M29" s="50">
        <v>51</v>
      </c>
      <c r="N29" s="50">
        <v>0</v>
      </c>
      <c r="O29" s="15">
        <f t="shared" si="0"/>
        <v>14</v>
      </c>
      <c r="P29" s="15">
        <f t="shared" si="1"/>
        <v>65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2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7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9</v>
      </c>
      <c r="D30" s="50">
        <v>1</v>
      </c>
      <c r="E30" s="50">
        <v>0</v>
      </c>
      <c r="F30" s="50">
        <v>2</v>
      </c>
      <c r="G30" s="50">
        <v>0</v>
      </c>
      <c r="H30" s="50">
        <v>0</v>
      </c>
      <c r="I30" s="50">
        <v>1</v>
      </c>
      <c r="J30" s="50">
        <v>3</v>
      </c>
      <c r="K30" s="50">
        <v>0</v>
      </c>
      <c r="L30" s="50">
        <v>0</v>
      </c>
      <c r="M30" s="50">
        <v>32</v>
      </c>
      <c r="N30" s="50">
        <v>0</v>
      </c>
      <c r="O30" s="15">
        <f t="shared" si="0"/>
        <v>16</v>
      </c>
      <c r="P30" s="15">
        <f t="shared" si="1"/>
        <v>48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4</v>
      </c>
      <c r="AA30" s="34">
        <f t="shared" si="22"/>
        <v>1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5</v>
      </c>
      <c r="D31" s="50">
        <v>2</v>
      </c>
      <c r="E31" s="50">
        <v>2</v>
      </c>
      <c r="F31" s="50">
        <v>2</v>
      </c>
      <c r="G31" s="50">
        <v>0</v>
      </c>
      <c r="H31" s="50">
        <v>0</v>
      </c>
      <c r="I31" s="50">
        <v>1</v>
      </c>
      <c r="J31" s="50">
        <v>6</v>
      </c>
      <c r="K31" s="50">
        <v>0</v>
      </c>
      <c r="L31" s="50">
        <v>0</v>
      </c>
      <c r="M31" s="50">
        <v>43</v>
      </c>
      <c r="N31" s="50">
        <v>0</v>
      </c>
      <c r="O31" s="15">
        <f t="shared" si="0"/>
        <v>18</v>
      </c>
      <c r="P31" s="15">
        <f t="shared" si="1"/>
        <v>61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1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4</v>
      </c>
      <c r="AF31" s="31">
        <f t="shared" si="23"/>
        <v>10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1</v>
      </c>
      <c r="F32" s="50">
        <v>4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11</v>
      </c>
      <c r="P32" s="15">
        <f t="shared" si="1"/>
        <v>28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8</v>
      </c>
      <c r="AA32" s="34">
        <f t="shared" si="24"/>
        <v>3</v>
      </c>
      <c r="AB32" s="34">
        <f t="shared" si="24"/>
        <v>0</v>
      </c>
      <c r="AC32" s="34">
        <f t="shared" si="24"/>
        <v>12</v>
      </c>
      <c r="AD32" s="34">
        <f t="shared" si="24"/>
        <v>0</v>
      </c>
      <c r="AE32" s="31">
        <f t="shared" si="24"/>
        <v>14</v>
      </c>
      <c r="AF32" s="31">
        <f t="shared" si="24"/>
        <v>26</v>
      </c>
    </row>
    <row r="33" spans="2:32" ht="23.1" customHeight="1" x14ac:dyDescent="0.25">
      <c r="B33" s="45" t="s">
        <v>60</v>
      </c>
      <c r="C33" s="50">
        <v>4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2</v>
      </c>
      <c r="M33" s="50">
        <v>25</v>
      </c>
      <c r="N33" s="50">
        <v>0</v>
      </c>
      <c r="O33" s="15">
        <f t="shared" si="0"/>
        <v>13</v>
      </c>
      <c r="P33" s="15">
        <f t="shared" si="1"/>
        <v>38</v>
      </c>
      <c r="R33" s="33" t="s">
        <v>157</v>
      </c>
      <c r="S33" s="34">
        <f>SUM(C102:C105)</f>
        <v>3</v>
      </c>
      <c r="T33" s="34">
        <f t="shared" ref="T33:AF33" si="25">SUM(D102:D105)</f>
        <v>2</v>
      </c>
      <c r="U33" s="34">
        <f t="shared" si="25"/>
        <v>0</v>
      </c>
      <c r="V33" s="34">
        <f t="shared" si="25"/>
        <v>4</v>
      </c>
      <c r="W33" s="34">
        <f t="shared" si="25"/>
        <v>2</v>
      </c>
      <c r="X33" s="34">
        <f t="shared" si="25"/>
        <v>0</v>
      </c>
      <c r="Y33" s="34">
        <f t="shared" si="25"/>
        <v>4</v>
      </c>
      <c r="Z33" s="34">
        <f t="shared" si="25"/>
        <v>8</v>
      </c>
      <c r="AA33" s="34">
        <f t="shared" si="25"/>
        <v>3</v>
      </c>
      <c r="AB33" s="34">
        <f t="shared" si="25"/>
        <v>2</v>
      </c>
      <c r="AC33" s="34">
        <f t="shared" si="25"/>
        <v>53</v>
      </c>
      <c r="AD33" s="34">
        <f t="shared" si="25"/>
        <v>0</v>
      </c>
      <c r="AE33" s="31">
        <f t="shared" si="25"/>
        <v>28</v>
      </c>
      <c r="AF33" s="31">
        <f t="shared" si="25"/>
        <v>81</v>
      </c>
    </row>
    <row r="34" spans="2:32" ht="23.1" customHeight="1" x14ac:dyDescent="0.25">
      <c r="B34" s="46" t="s">
        <v>61</v>
      </c>
      <c r="C34" s="50">
        <v>8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1</v>
      </c>
      <c r="J34" s="50">
        <v>5</v>
      </c>
      <c r="K34" s="50">
        <v>0</v>
      </c>
      <c r="L34" s="50">
        <v>0</v>
      </c>
      <c r="M34" s="50">
        <v>22</v>
      </c>
      <c r="N34" s="50">
        <v>1</v>
      </c>
      <c r="O34" s="15">
        <f t="shared" si="0"/>
        <v>17</v>
      </c>
      <c r="P34" s="15">
        <f t="shared" si="1"/>
        <v>39</v>
      </c>
      <c r="R34" s="38" t="s">
        <v>90</v>
      </c>
      <c r="S34" s="39">
        <f t="shared" ref="S34:AF34" si="26">MAX(S10:S12)</f>
        <v>14</v>
      </c>
      <c r="T34" s="39">
        <f t="shared" si="26"/>
        <v>4</v>
      </c>
      <c r="U34" s="39">
        <f t="shared" si="26"/>
        <v>3</v>
      </c>
      <c r="V34" s="39">
        <f t="shared" si="26"/>
        <v>3</v>
      </c>
      <c r="W34" s="39">
        <f t="shared" si="26"/>
        <v>1</v>
      </c>
      <c r="X34" s="39">
        <f t="shared" si="26"/>
        <v>0</v>
      </c>
      <c r="Y34" s="39">
        <f t="shared" si="26"/>
        <v>13</v>
      </c>
      <c r="Z34" s="39">
        <f t="shared" si="26"/>
        <v>24</v>
      </c>
      <c r="AA34" s="39">
        <f t="shared" si="26"/>
        <v>12</v>
      </c>
      <c r="AB34" s="39">
        <f t="shared" si="26"/>
        <v>3</v>
      </c>
      <c r="AC34" s="39">
        <f t="shared" si="26"/>
        <v>165</v>
      </c>
      <c r="AD34" s="39">
        <f t="shared" si="26"/>
        <v>1</v>
      </c>
      <c r="AE34" s="40">
        <f t="shared" si="26"/>
        <v>70</v>
      </c>
      <c r="AF34" s="40">
        <f t="shared" si="26"/>
        <v>200</v>
      </c>
    </row>
    <row r="35" spans="2:32" ht="23.1" customHeight="1" x14ac:dyDescent="0.25">
      <c r="B35" s="46" t="s">
        <v>62</v>
      </c>
      <c r="C35" s="50">
        <v>3</v>
      </c>
      <c r="D35" s="50">
        <v>3</v>
      </c>
      <c r="E35" s="50">
        <v>2</v>
      </c>
      <c r="F35" s="50">
        <v>4</v>
      </c>
      <c r="G35" s="50">
        <v>0</v>
      </c>
      <c r="H35" s="50">
        <v>0</v>
      </c>
      <c r="I35" s="50">
        <v>0</v>
      </c>
      <c r="J35" s="50">
        <v>2</v>
      </c>
      <c r="K35" s="50">
        <v>1</v>
      </c>
      <c r="L35" s="50">
        <v>0</v>
      </c>
      <c r="M35" s="50">
        <v>28</v>
      </c>
      <c r="N35" s="50">
        <v>0</v>
      </c>
      <c r="O35" s="15">
        <f t="shared" si="0"/>
        <v>15</v>
      </c>
      <c r="P35" s="15">
        <f t="shared" si="1"/>
        <v>43</v>
      </c>
      <c r="R35" s="38" t="s">
        <v>91</v>
      </c>
      <c r="S35" s="39">
        <f t="shared" ref="S35:AF35" si="27">MAX(S13:S18)</f>
        <v>21</v>
      </c>
      <c r="T35" s="39">
        <f t="shared" si="27"/>
        <v>15</v>
      </c>
      <c r="U35" s="39">
        <f t="shared" si="27"/>
        <v>4</v>
      </c>
      <c r="V35" s="39">
        <f t="shared" si="27"/>
        <v>10</v>
      </c>
      <c r="W35" s="39">
        <f t="shared" si="27"/>
        <v>2</v>
      </c>
      <c r="X35" s="39">
        <f t="shared" si="27"/>
        <v>1</v>
      </c>
      <c r="Y35" s="39">
        <f t="shared" si="27"/>
        <v>11</v>
      </c>
      <c r="Z35" s="39">
        <f t="shared" si="27"/>
        <v>17</v>
      </c>
      <c r="AA35" s="39">
        <f t="shared" si="27"/>
        <v>6</v>
      </c>
      <c r="AB35" s="39">
        <f t="shared" si="27"/>
        <v>2</v>
      </c>
      <c r="AC35" s="39">
        <f t="shared" si="27"/>
        <v>170</v>
      </c>
      <c r="AD35" s="39">
        <f t="shared" si="27"/>
        <v>1</v>
      </c>
      <c r="AE35" s="40">
        <f t="shared" si="27"/>
        <v>61</v>
      </c>
      <c r="AF35" s="40">
        <f t="shared" si="27"/>
        <v>231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2</v>
      </c>
      <c r="F36" s="50">
        <v>2</v>
      </c>
      <c r="G36" s="50">
        <v>0</v>
      </c>
      <c r="H36" s="50">
        <v>0</v>
      </c>
      <c r="I36" s="50">
        <v>2</v>
      </c>
      <c r="J36" s="50">
        <v>3</v>
      </c>
      <c r="K36" s="50">
        <v>0</v>
      </c>
      <c r="L36" s="50">
        <v>2</v>
      </c>
      <c r="M36" s="50">
        <v>33</v>
      </c>
      <c r="N36" s="50">
        <v>0</v>
      </c>
      <c r="O36" s="15">
        <f t="shared" si="0"/>
        <v>15</v>
      </c>
      <c r="P36" s="15">
        <f t="shared" si="1"/>
        <v>48</v>
      </c>
      <c r="R36" s="38" t="s">
        <v>92</v>
      </c>
      <c r="S36" s="39">
        <f t="shared" ref="S36:AF36" si="28">MAX(S19:S21)</f>
        <v>28</v>
      </c>
      <c r="T36" s="39">
        <f t="shared" si="28"/>
        <v>9</v>
      </c>
      <c r="U36" s="39">
        <f t="shared" si="28"/>
        <v>3</v>
      </c>
      <c r="V36" s="39">
        <f t="shared" si="28"/>
        <v>9</v>
      </c>
      <c r="W36" s="39">
        <f t="shared" si="28"/>
        <v>3</v>
      </c>
      <c r="X36" s="39">
        <f t="shared" si="28"/>
        <v>1</v>
      </c>
      <c r="Y36" s="39">
        <f t="shared" si="28"/>
        <v>10</v>
      </c>
      <c r="Z36" s="39">
        <f t="shared" si="28"/>
        <v>16</v>
      </c>
      <c r="AA36" s="39">
        <f t="shared" si="28"/>
        <v>4</v>
      </c>
      <c r="AB36" s="39">
        <f t="shared" si="28"/>
        <v>3</v>
      </c>
      <c r="AC36" s="39">
        <f t="shared" si="28"/>
        <v>164</v>
      </c>
      <c r="AD36" s="39">
        <f t="shared" si="28"/>
        <v>1</v>
      </c>
      <c r="AE36" s="40">
        <f t="shared" si="28"/>
        <v>61</v>
      </c>
      <c r="AF36" s="40">
        <f t="shared" si="28"/>
        <v>225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22</v>
      </c>
      <c r="N37" s="50">
        <v>0</v>
      </c>
      <c r="O37" s="15">
        <f t="shared" si="0"/>
        <v>3</v>
      </c>
      <c r="P37" s="15">
        <f t="shared" si="1"/>
        <v>25</v>
      </c>
      <c r="R37" s="37" t="s">
        <v>85</v>
      </c>
      <c r="S37" s="35">
        <f t="shared" ref="S37:AF37" si="29">SUM(S10:S12)</f>
        <v>37</v>
      </c>
      <c r="T37" s="16">
        <f t="shared" si="29"/>
        <v>8</v>
      </c>
      <c r="U37" s="16">
        <f t="shared" si="29"/>
        <v>5</v>
      </c>
      <c r="V37" s="16">
        <f t="shared" si="29"/>
        <v>7</v>
      </c>
      <c r="W37" s="16">
        <f t="shared" si="29"/>
        <v>1</v>
      </c>
      <c r="X37" s="16">
        <f t="shared" si="29"/>
        <v>0</v>
      </c>
      <c r="Y37" s="16">
        <f t="shared" si="29"/>
        <v>17</v>
      </c>
      <c r="Z37" s="16">
        <f t="shared" si="29"/>
        <v>43</v>
      </c>
      <c r="AA37" s="16">
        <f t="shared" si="29"/>
        <v>17</v>
      </c>
      <c r="AB37" s="16">
        <f t="shared" si="29"/>
        <v>6</v>
      </c>
      <c r="AC37" s="16">
        <f t="shared" si="29"/>
        <v>333</v>
      </c>
      <c r="AD37" s="16">
        <f t="shared" si="29"/>
        <v>2</v>
      </c>
      <c r="AE37" s="32">
        <f t="shared" si="29"/>
        <v>143</v>
      </c>
      <c r="AF37" s="32">
        <f t="shared" si="29"/>
        <v>476</v>
      </c>
    </row>
    <row r="38" spans="2:32" ht="23.1" customHeight="1" x14ac:dyDescent="0.25">
      <c r="B38" s="46" t="s">
        <v>65</v>
      </c>
      <c r="C38" s="50">
        <v>4</v>
      </c>
      <c r="D38" s="50">
        <v>4</v>
      </c>
      <c r="E38" s="50">
        <v>1</v>
      </c>
      <c r="F38" s="50">
        <v>0</v>
      </c>
      <c r="G38" s="50">
        <v>0</v>
      </c>
      <c r="H38" s="50">
        <v>1</v>
      </c>
      <c r="I38" s="50">
        <v>1</v>
      </c>
      <c r="J38" s="50">
        <v>5</v>
      </c>
      <c r="K38" s="50">
        <v>0</v>
      </c>
      <c r="L38" s="50">
        <v>0</v>
      </c>
      <c r="M38" s="50">
        <v>21</v>
      </c>
      <c r="N38" s="50">
        <v>0</v>
      </c>
      <c r="O38" s="15">
        <f t="shared" si="0"/>
        <v>16</v>
      </c>
      <c r="P38" s="15">
        <f t="shared" si="1"/>
        <v>37</v>
      </c>
      <c r="R38" s="28" t="s">
        <v>86</v>
      </c>
      <c r="S38" s="16">
        <f t="shared" ref="S38:AF38" si="30">SUM(S13:S18)</f>
        <v>101</v>
      </c>
      <c r="T38" s="16">
        <f t="shared" si="30"/>
        <v>39</v>
      </c>
      <c r="U38" s="16">
        <f t="shared" si="30"/>
        <v>17</v>
      </c>
      <c r="V38" s="16">
        <f t="shared" si="30"/>
        <v>46</v>
      </c>
      <c r="W38" s="16">
        <f t="shared" si="30"/>
        <v>4</v>
      </c>
      <c r="X38" s="16">
        <f t="shared" si="30"/>
        <v>2</v>
      </c>
      <c r="Y38" s="16">
        <f t="shared" si="30"/>
        <v>28</v>
      </c>
      <c r="Z38" s="16">
        <f t="shared" si="30"/>
        <v>69</v>
      </c>
      <c r="AA38" s="16">
        <f t="shared" si="30"/>
        <v>18</v>
      </c>
      <c r="AB38" s="16">
        <f t="shared" si="30"/>
        <v>9</v>
      </c>
      <c r="AC38" s="16">
        <f t="shared" si="30"/>
        <v>799</v>
      </c>
      <c r="AD38" s="16">
        <f t="shared" si="30"/>
        <v>1</v>
      </c>
      <c r="AE38" s="32">
        <f t="shared" si="30"/>
        <v>334</v>
      </c>
      <c r="AF38" s="32">
        <f t="shared" si="30"/>
        <v>1133</v>
      </c>
    </row>
    <row r="39" spans="2:32" ht="23.1" customHeight="1" x14ac:dyDescent="0.25">
      <c r="B39" s="46" t="s">
        <v>66</v>
      </c>
      <c r="C39" s="50">
        <v>5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3</v>
      </c>
      <c r="K39" s="50">
        <v>1</v>
      </c>
      <c r="L39" s="50">
        <v>0</v>
      </c>
      <c r="M39" s="50">
        <v>26</v>
      </c>
      <c r="N39" s="50">
        <v>0</v>
      </c>
      <c r="O39" s="15">
        <f t="shared" si="0"/>
        <v>11</v>
      </c>
      <c r="P39" s="15">
        <f t="shared" si="1"/>
        <v>37</v>
      </c>
      <c r="R39" s="29" t="s">
        <v>87</v>
      </c>
      <c r="S39" s="16">
        <f t="shared" ref="S39:AF39" si="31">SUM(S19:S21)</f>
        <v>46</v>
      </c>
      <c r="T39" s="16">
        <f t="shared" si="31"/>
        <v>18</v>
      </c>
      <c r="U39" s="16">
        <f t="shared" si="31"/>
        <v>7</v>
      </c>
      <c r="V39" s="16">
        <f t="shared" si="31"/>
        <v>26</v>
      </c>
      <c r="W39" s="16">
        <f t="shared" si="31"/>
        <v>3</v>
      </c>
      <c r="X39" s="16">
        <f t="shared" si="31"/>
        <v>1</v>
      </c>
      <c r="Y39" s="16">
        <f t="shared" si="31"/>
        <v>18</v>
      </c>
      <c r="Z39" s="16">
        <f t="shared" si="31"/>
        <v>39</v>
      </c>
      <c r="AA39" s="16">
        <f t="shared" si="31"/>
        <v>7</v>
      </c>
      <c r="AB39" s="16">
        <f t="shared" si="31"/>
        <v>3</v>
      </c>
      <c r="AC39" s="16">
        <f t="shared" si="31"/>
        <v>397</v>
      </c>
      <c r="AD39" s="16">
        <f t="shared" si="31"/>
        <v>1</v>
      </c>
      <c r="AE39" s="32">
        <f t="shared" si="31"/>
        <v>169</v>
      </c>
      <c r="AF39" s="32">
        <f t="shared" si="31"/>
        <v>566</v>
      </c>
    </row>
    <row r="40" spans="2:32" ht="23.1" customHeight="1" x14ac:dyDescent="0.25">
      <c r="B40" s="46" t="s">
        <v>67</v>
      </c>
      <c r="C40" s="50">
        <v>5</v>
      </c>
      <c r="D40" s="50">
        <v>1</v>
      </c>
      <c r="E40" s="50">
        <v>0</v>
      </c>
      <c r="F40" s="50">
        <v>3</v>
      </c>
      <c r="G40" s="50">
        <v>0</v>
      </c>
      <c r="H40" s="50">
        <v>0</v>
      </c>
      <c r="I40" s="50">
        <v>0</v>
      </c>
      <c r="J40" s="50">
        <v>3</v>
      </c>
      <c r="K40" s="50">
        <v>2</v>
      </c>
      <c r="L40" s="50">
        <v>0</v>
      </c>
      <c r="M40" s="50">
        <v>30</v>
      </c>
      <c r="N40" s="50">
        <v>0</v>
      </c>
      <c r="O40" s="15">
        <f t="shared" si="0"/>
        <v>14</v>
      </c>
      <c r="P40" s="15">
        <f t="shared" si="1"/>
        <v>44</v>
      </c>
      <c r="R40" s="5" t="s">
        <v>17</v>
      </c>
      <c r="S40" s="16">
        <f t="shared" ref="S40:AF40" si="32">SUM(S10:S21)</f>
        <v>184</v>
      </c>
      <c r="T40" s="16">
        <f t="shared" si="32"/>
        <v>65</v>
      </c>
      <c r="U40" s="16">
        <f t="shared" si="32"/>
        <v>29</v>
      </c>
      <c r="V40" s="16">
        <f t="shared" si="32"/>
        <v>79</v>
      </c>
      <c r="W40" s="16">
        <f t="shared" si="32"/>
        <v>8</v>
      </c>
      <c r="X40" s="16">
        <f t="shared" si="32"/>
        <v>3</v>
      </c>
      <c r="Y40" s="16">
        <f t="shared" si="32"/>
        <v>63</v>
      </c>
      <c r="Z40" s="16">
        <f t="shared" si="32"/>
        <v>151</v>
      </c>
      <c r="AA40" s="16">
        <f t="shared" si="32"/>
        <v>42</v>
      </c>
      <c r="AB40" s="16">
        <f t="shared" si="32"/>
        <v>18</v>
      </c>
      <c r="AC40" s="16">
        <f t="shared" si="32"/>
        <v>1529</v>
      </c>
      <c r="AD40" s="16">
        <f t="shared" si="32"/>
        <v>4</v>
      </c>
      <c r="AE40" s="32">
        <f t="shared" si="32"/>
        <v>646</v>
      </c>
      <c r="AF40" s="32">
        <f t="shared" si="32"/>
        <v>2175</v>
      </c>
    </row>
    <row r="41" spans="2:32" ht="23.1" customHeight="1" x14ac:dyDescent="0.25">
      <c r="B41" s="45" t="s">
        <v>68</v>
      </c>
      <c r="C41" s="50">
        <v>4</v>
      </c>
      <c r="D41" s="50">
        <v>2</v>
      </c>
      <c r="E41" s="50">
        <v>0</v>
      </c>
      <c r="F41" s="50">
        <v>3</v>
      </c>
      <c r="G41" s="50">
        <v>2</v>
      </c>
      <c r="H41" s="50">
        <v>0</v>
      </c>
      <c r="I41" s="50">
        <v>0</v>
      </c>
      <c r="J41" s="50">
        <v>6</v>
      </c>
      <c r="K41" s="50">
        <v>3</v>
      </c>
      <c r="L41" s="50">
        <v>0</v>
      </c>
      <c r="M41" s="50">
        <v>34</v>
      </c>
      <c r="N41" s="50">
        <v>0</v>
      </c>
      <c r="O41" s="15">
        <f t="shared" si="0"/>
        <v>20</v>
      </c>
      <c r="P41" s="15">
        <f t="shared" si="1"/>
        <v>54</v>
      </c>
      <c r="R41" s="5" t="s">
        <v>159</v>
      </c>
      <c r="S41" s="16">
        <f>SUM(S10:S33)</f>
        <v>256</v>
      </c>
      <c r="T41" s="16">
        <f t="shared" ref="T41:AF41" si="33">SUM(T10:T33)</f>
        <v>81</v>
      </c>
      <c r="U41" s="16">
        <f t="shared" si="33"/>
        <v>34</v>
      </c>
      <c r="V41" s="16">
        <f t="shared" si="33"/>
        <v>109</v>
      </c>
      <c r="W41" s="16">
        <f t="shared" si="33"/>
        <v>14</v>
      </c>
      <c r="X41" s="16">
        <f t="shared" si="33"/>
        <v>4</v>
      </c>
      <c r="Y41" s="16">
        <f t="shared" si="33"/>
        <v>89</v>
      </c>
      <c r="Z41" s="16">
        <f t="shared" si="33"/>
        <v>219</v>
      </c>
      <c r="AA41" s="16">
        <f t="shared" si="33"/>
        <v>57</v>
      </c>
      <c r="AB41" s="16">
        <f t="shared" si="33"/>
        <v>46</v>
      </c>
      <c r="AC41" s="16">
        <f t="shared" si="33"/>
        <v>2017</v>
      </c>
      <c r="AD41" s="16">
        <f t="shared" si="33"/>
        <v>8</v>
      </c>
      <c r="AE41" s="32">
        <f t="shared" si="33"/>
        <v>917</v>
      </c>
      <c r="AF41" s="32">
        <f t="shared" si="33"/>
        <v>2934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3</v>
      </c>
      <c r="K42" s="50">
        <v>0</v>
      </c>
      <c r="L42" s="50">
        <v>0</v>
      </c>
      <c r="M42" s="50">
        <v>34</v>
      </c>
      <c r="N42" s="50">
        <v>0</v>
      </c>
      <c r="O42" s="15">
        <f t="shared" si="0"/>
        <v>5</v>
      </c>
      <c r="P42" s="15">
        <f t="shared" si="1"/>
        <v>39</v>
      </c>
      <c r="R42" s="5" t="s">
        <v>160</v>
      </c>
      <c r="S42" s="48">
        <f>S41/S40</f>
        <v>1.3913043478260869</v>
      </c>
      <c r="T42" s="48">
        <f t="shared" ref="T42:AF42" si="34">T41/T40</f>
        <v>1.2461538461538462</v>
      </c>
      <c r="U42" s="48">
        <f t="shared" si="34"/>
        <v>1.1724137931034482</v>
      </c>
      <c r="V42" s="48">
        <f t="shared" si="34"/>
        <v>1.379746835443038</v>
      </c>
      <c r="W42" s="48">
        <f t="shared" si="34"/>
        <v>1.75</v>
      </c>
      <c r="X42" s="48">
        <f t="shared" si="34"/>
        <v>1.3333333333333333</v>
      </c>
      <c r="Y42" s="48">
        <f t="shared" si="34"/>
        <v>1.4126984126984128</v>
      </c>
      <c r="Z42" s="48">
        <f t="shared" si="34"/>
        <v>1.4503311258278146</v>
      </c>
      <c r="AA42" s="48">
        <f t="shared" si="34"/>
        <v>1.3571428571428572</v>
      </c>
      <c r="AB42" s="48">
        <f t="shared" si="34"/>
        <v>2.5555555555555554</v>
      </c>
      <c r="AC42" s="48">
        <f t="shared" si="34"/>
        <v>1.3191628515369522</v>
      </c>
      <c r="AD42" s="48">
        <f t="shared" si="34"/>
        <v>2</v>
      </c>
      <c r="AE42" s="48">
        <f t="shared" si="34"/>
        <v>1.4195046439628483</v>
      </c>
      <c r="AF42" s="48">
        <f t="shared" si="34"/>
        <v>1.3489655172413793</v>
      </c>
    </row>
    <row r="43" spans="2:32" ht="23.1" customHeight="1" x14ac:dyDescent="0.25">
      <c r="B43" s="45" t="s">
        <v>70</v>
      </c>
      <c r="C43" s="50">
        <v>4</v>
      </c>
      <c r="D43" s="50">
        <v>3</v>
      </c>
      <c r="E43" s="50">
        <v>0</v>
      </c>
      <c r="F43" s="50">
        <v>3</v>
      </c>
      <c r="G43" s="50">
        <v>0</v>
      </c>
      <c r="H43" s="50">
        <v>1</v>
      </c>
      <c r="I43" s="50">
        <v>1</v>
      </c>
      <c r="J43" s="50">
        <v>8</v>
      </c>
      <c r="K43" s="50">
        <v>0</v>
      </c>
      <c r="L43" s="50">
        <v>0</v>
      </c>
      <c r="M43" s="50">
        <v>40</v>
      </c>
      <c r="N43" s="50">
        <v>0</v>
      </c>
      <c r="O43" s="15">
        <f t="shared" si="0"/>
        <v>20</v>
      </c>
      <c r="P43" s="15">
        <f t="shared" si="1"/>
        <v>60</v>
      </c>
    </row>
    <row r="44" spans="2:32" ht="23.1" customHeight="1" x14ac:dyDescent="0.25">
      <c r="B44" s="47" t="s">
        <v>71</v>
      </c>
      <c r="C44" s="50">
        <v>4</v>
      </c>
      <c r="D44" s="50">
        <v>3</v>
      </c>
      <c r="E44" s="50">
        <v>2</v>
      </c>
      <c r="F44" s="50">
        <v>5</v>
      </c>
      <c r="G44" s="50">
        <v>0</v>
      </c>
      <c r="H44" s="50">
        <v>0</v>
      </c>
      <c r="I44" s="50">
        <v>0</v>
      </c>
      <c r="J44" s="50">
        <v>3</v>
      </c>
      <c r="K44" s="50">
        <v>2</v>
      </c>
      <c r="L44" s="50">
        <v>1</v>
      </c>
      <c r="M44" s="50">
        <v>39</v>
      </c>
      <c r="N44" s="50">
        <v>0</v>
      </c>
      <c r="O44" s="15">
        <f t="shared" si="0"/>
        <v>20</v>
      </c>
      <c r="P44" s="15">
        <f t="shared" si="1"/>
        <v>59</v>
      </c>
    </row>
    <row r="45" spans="2:32" ht="23.1" customHeight="1" x14ac:dyDescent="0.25">
      <c r="B45" s="45" t="s">
        <v>72</v>
      </c>
      <c r="C45" s="50">
        <v>3</v>
      </c>
      <c r="D45" s="50">
        <v>0</v>
      </c>
      <c r="E45" s="50">
        <v>2</v>
      </c>
      <c r="F45" s="50">
        <v>1</v>
      </c>
      <c r="G45" s="50">
        <v>1</v>
      </c>
      <c r="H45" s="50">
        <v>0</v>
      </c>
      <c r="I45" s="50">
        <v>2</v>
      </c>
      <c r="J45" s="50">
        <v>3</v>
      </c>
      <c r="K45" s="50">
        <v>0</v>
      </c>
      <c r="L45" s="50">
        <v>1</v>
      </c>
      <c r="M45" s="50">
        <v>47</v>
      </c>
      <c r="N45" s="50">
        <v>0</v>
      </c>
      <c r="O45" s="15">
        <f t="shared" si="0"/>
        <v>13</v>
      </c>
      <c r="P45" s="15">
        <f t="shared" si="1"/>
        <v>60</v>
      </c>
    </row>
    <row r="46" spans="2:32" ht="23.1" customHeight="1" x14ac:dyDescent="0.25">
      <c r="B46" s="46" t="s">
        <v>73</v>
      </c>
      <c r="C46" s="50">
        <v>6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2</v>
      </c>
      <c r="J46" s="50">
        <v>6</v>
      </c>
      <c r="K46" s="50">
        <v>0</v>
      </c>
      <c r="L46" s="50">
        <v>0</v>
      </c>
      <c r="M46" s="50">
        <v>24</v>
      </c>
      <c r="N46" s="50">
        <v>0</v>
      </c>
      <c r="O46" s="15">
        <f t="shared" si="0"/>
        <v>16</v>
      </c>
      <c r="P46" s="15">
        <f t="shared" si="1"/>
        <v>40</v>
      </c>
      <c r="R46" s="8"/>
      <c r="T46"/>
    </row>
    <row r="47" spans="2:32" ht="23.1" customHeight="1" x14ac:dyDescent="0.25">
      <c r="B47" s="46" t="s">
        <v>74</v>
      </c>
      <c r="C47" s="50">
        <v>9</v>
      </c>
      <c r="D47" s="50">
        <v>0</v>
      </c>
      <c r="E47" s="50">
        <v>2</v>
      </c>
      <c r="F47" s="50">
        <v>5</v>
      </c>
      <c r="G47" s="50">
        <v>0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39</v>
      </c>
      <c r="N47" s="50">
        <v>1</v>
      </c>
      <c r="O47" s="15">
        <f t="shared" si="0"/>
        <v>22</v>
      </c>
      <c r="P47" s="15">
        <f t="shared" si="1"/>
        <v>61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3</v>
      </c>
      <c r="K48" s="50">
        <v>0</v>
      </c>
      <c r="L48" s="50">
        <v>3</v>
      </c>
      <c r="M48" s="50">
        <v>52</v>
      </c>
      <c r="N48" s="50">
        <v>0</v>
      </c>
      <c r="O48" s="15">
        <f t="shared" si="0"/>
        <v>13</v>
      </c>
      <c r="P48" s="15">
        <f t="shared" si="1"/>
        <v>65</v>
      </c>
      <c r="R48" s="8"/>
      <c r="T48"/>
    </row>
    <row r="49" spans="2:20" ht="23.1" customHeight="1" x14ac:dyDescent="0.25">
      <c r="B49" s="45" t="s">
        <v>76</v>
      </c>
      <c r="C49" s="50">
        <v>6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49</v>
      </c>
      <c r="N49" s="50">
        <v>0</v>
      </c>
      <c r="O49" s="15">
        <f t="shared" si="0"/>
        <v>10</v>
      </c>
      <c r="P49" s="15">
        <f t="shared" si="1"/>
        <v>59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1</v>
      </c>
      <c r="E50" s="50">
        <v>2</v>
      </c>
      <c r="F50" s="50">
        <v>2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10</v>
      </c>
      <c r="P50" s="15">
        <f t="shared" si="1"/>
        <v>40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2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4</v>
      </c>
      <c r="K51" s="50">
        <v>0</v>
      </c>
      <c r="L51" s="50">
        <v>0</v>
      </c>
      <c r="M51" s="50">
        <v>31</v>
      </c>
      <c r="N51" s="50">
        <v>0</v>
      </c>
      <c r="O51" s="15">
        <f t="shared" si="0"/>
        <v>11</v>
      </c>
      <c r="P51" s="15">
        <f t="shared" si="1"/>
        <v>42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5</v>
      </c>
      <c r="E52" s="50">
        <v>0</v>
      </c>
      <c r="F52" s="50">
        <v>4</v>
      </c>
      <c r="G52" s="50">
        <v>0</v>
      </c>
      <c r="H52" s="50">
        <v>0</v>
      </c>
      <c r="I52" s="50">
        <v>2</v>
      </c>
      <c r="J52" s="50">
        <v>6</v>
      </c>
      <c r="K52" s="50">
        <v>1</v>
      </c>
      <c r="L52" s="50">
        <v>0</v>
      </c>
      <c r="M52" s="50">
        <v>45</v>
      </c>
      <c r="N52" s="50">
        <v>0</v>
      </c>
      <c r="O52" s="15">
        <f t="shared" si="0"/>
        <v>21</v>
      </c>
      <c r="P52" s="15">
        <f t="shared" si="1"/>
        <v>66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1</v>
      </c>
      <c r="E53" s="50">
        <v>0</v>
      </c>
      <c r="F53" s="50">
        <v>2</v>
      </c>
      <c r="G53" s="50">
        <v>0</v>
      </c>
      <c r="H53" s="50">
        <v>1</v>
      </c>
      <c r="I53" s="50">
        <v>2</v>
      </c>
      <c r="J53" s="50">
        <v>1</v>
      </c>
      <c r="K53" s="50">
        <v>2</v>
      </c>
      <c r="L53" s="50">
        <v>0</v>
      </c>
      <c r="M53" s="50">
        <v>24</v>
      </c>
      <c r="N53" s="50">
        <v>0</v>
      </c>
      <c r="O53" s="15">
        <f t="shared" si="0"/>
        <v>10</v>
      </c>
      <c r="P53" s="15">
        <f t="shared" si="1"/>
        <v>34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6</v>
      </c>
      <c r="E54" s="50">
        <v>1</v>
      </c>
      <c r="F54" s="50">
        <v>5</v>
      </c>
      <c r="G54" s="50">
        <v>0</v>
      </c>
      <c r="H54" s="50">
        <v>0</v>
      </c>
      <c r="I54" s="50">
        <v>0</v>
      </c>
      <c r="J54" s="50">
        <v>3</v>
      </c>
      <c r="K54" s="50">
        <v>3</v>
      </c>
      <c r="L54" s="50">
        <v>0</v>
      </c>
      <c r="M54" s="50">
        <v>37</v>
      </c>
      <c r="N54" s="50">
        <v>0</v>
      </c>
      <c r="O54" s="15">
        <f t="shared" si="0"/>
        <v>24</v>
      </c>
      <c r="P54" s="15">
        <f t="shared" si="1"/>
        <v>61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2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3</v>
      </c>
      <c r="K55" s="50">
        <v>0</v>
      </c>
      <c r="L55" s="50">
        <v>0</v>
      </c>
      <c r="M55" s="50">
        <v>36</v>
      </c>
      <c r="N55" s="50">
        <v>0</v>
      </c>
      <c r="O55" s="15">
        <f t="shared" si="0"/>
        <v>10</v>
      </c>
      <c r="P55" s="15">
        <f t="shared" si="1"/>
        <v>46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0</v>
      </c>
      <c r="E56" s="50">
        <v>1</v>
      </c>
      <c r="F56" s="50">
        <v>3</v>
      </c>
      <c r="G56" s="50">
        <v>0</v>
      </c>
      <c r="H56" s="50">
        <v>0</v>
      </c>
      <c r="I56" s="50">
        <v>1</v>
      </c>
      <c r="J56" s="50">
        <v>7</v>
      </c>
      <c r="K56" s="50">
        <v>1</v>
      </c>
      <c r="L56" s="50">
        <v>0</v>
      </c>
      <c r="M56" s="50">
        <v>19</v>
      </c>
      <c r="N56" s="50">
        <v>0</v>
      </c>
      <c r="O56" s="15">
        <f t="shared" si="0"/>
        <v>15</v>
      </c>
      <c r="P56" s="15">
        <f t="shared" si="1"/>
        <v>34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3</v>
      </c>
      <c r="H57" s="50">
        <v>0</v>
      </c>
      <c r="I57" s="50">
        <v>0</v>
      </c>
      <c r="J57" s="50">
        <v>3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7</v>
      </c>
      <c r="P57" s="15">
        <f t="shared" si="1"/>
        <v>18</v>
      </c>
      <c r="R57" s="8"/>
      <c r="T57"/>
    </row>
    <row r="58" spans="2:20" ht="23.1" customHeight="1" x14ac:dyDescent="0.25">
      <c r="B58" s="45" t="s">
        <v>99</v>
      </c>
      <c r="C58" s="50">
        <v>5</v>
      </c>
      <c r="D58" s="50">
        <v>1</v>
      </c>
      <c r="E58" s="50">
        <v>0</v>
      </c>
      <c r="F58" s="50">
        <v>4</v>
      </c>
      <c r="G58" s="50">
        <v>1</v>
      </c>
      <c r="H58" s="50">
        <v>0</v>
      </c>
      <c r="I58" s="50">
        <v>1</v>
      </c>
      <c r="J58" s="50">
        <v>6</v>
      </c>
      <c r="K58" s="50">
        <v>0</v>
      </c>
      <c r="L58" s="50">
        <v>0</v>
      </c>
      <c r="M58" s="50">
        <v>34</v>
      </c>
      <c r="N58" s="50">
        <v>1</v>
      </c>
      <c r="O58" s="15">
        <f t="shared" ref="O58:O105" si="35">SUM(C58:L58,N58)</f>
        <v>19</v>
      </c>
      <c r="P58" s="15">
        <f t="shared" ref="P58:P105" si="36">SUM(C58:N58)</f>
        <v>53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0</v>
      </c>
      <c r="E59" s="50">
        <v>0</v>
      </c>
      <c r="F59" s="50">
        <v>1</v>
      </c>
      <c r="G59" s="50">
        <v>1</v>
      </c>
      <c r="H59" s="50">
        <v>0</v>
      </c>
      <c r="I59" s="50">
        <v>3</v>
      </c>
      <c r="J59" s="50">
        <v>3</v>
      </c>
      <c r="K59" s="50">
        <v>0</v>
      </c>
      <c r="L59" s="50">
        <v>1</v>
      </c>
      <c r="M59" s="50">
        <v>36</v>
      </c>
      <c r="N59" s="50">
        <v>2</v>
      </c>
      <c r="O59" s="15">
        <f t="shared" si="35"/>
        <v>19</v>
      </c>
      <c r="P59" s="15">
        <f t="shared" si="36"/>
        <v>55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1</v>
      </c>
      <c r="J60" s="50">
        <v>4</v>
      </c>
      <c r="K60" s="50">
        <v>0</v>
      </c>
      <c r="L60" s="50">
        <v>1</v>
      </c>
      <c r="M60" s="50">
        <v>40</v>
      </c>
      <c r="N60" s="50">
        <v>1</v>
      </c>
      <c r="O60" s="15">
        <f t="shared" si="35"/>
        <v>13</v>
      </c>
      <c r="P60" s="15">
        <f t="shared" si="36"/>
        <v>53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2</v>
      </c>
      <c r="J61" s="50">
        <v>3</v>
      </c>
      <c r="K61" s="50">
        <v>0</v>
      </c>
      <c r="L61" s="50">
        <v>0</v>
      </c>
      <c r="M61" s="50">
        <v>44</v>
      </c>
      <c r="N61" s="50">
        <v>0</v>
      </c>
      <c r="O61" s="15">
        <f t="shared" si="35"/>
        <v>7</v>
      </c>
      <c r="P61" s="15">
        <f t="shared" si="36"/>
        <v>51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0</v>
      </c>
      <c r="E62" s="50">
        <v>0</v>
      </c>
      <c r="F62" s="50">
        <v>5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59</v>
      </c>
      <c r="N62" s="50">
        <v>0</v>
      </c>
      <c r="O62" s="15">
        <f t="shared" si="35"/>
        <v>11</v>
      </c>
      <c r="P62" s="15">
        <f t="shared" si="36"/>
        <v>70</v>
      </c>
      <c r="R62" s="8"/>
      <c r="T62"/>
    </row>
    <row r="63" spans="2:20" ht="23.1" customHeight="1" x14ac:dyDescent="0.25">
      <c r="B63" s="45" t="s">
        <v>108</v>
      </c>
      <c r="C63" s="50">
        <v>9</v>
      </c>
      <c r="D63" s="50">
        <v>0</v>
      </c>
      <c r="E63" s="50">
        <v>0</v>
      </c>
      <c r="F63" s="50">
        <v>3</v>
      </c>
      <c r="G63" s="50">
        <v>0</v>
      </c>
      <c r="H63" s="50">
        <v>0</v>
      </c>
      <c r="I63" s="50">
        <v>2</v>
      </c>
      <c r="J63" s="50">
        <v>5</v>
      </c>
      <c r="K63" s="50">
        <v>1</v>
      </c>
      <c r="L63" s="50">
        <v>2</v>
      </c>
      <c r="M63" s="50">
        <v>46</v>
      </c>
      <c r="N63" s="50">
        <v>0</v>
      </c>
      <c r="O63" s="15">
        <f t="shared" si="35"/>
        <v>22</v>
      </c>
      <c r="P63" s="15">
        <f t="shared" si="36"/>
        <v>68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5</v>
      </c>
      <c r="K64" s="50">
        <v>0</v>
      </c>
      <c r="L64" s="50">
        <v>1</v>
      </c>
      <c r="M64" s="50">
        <v>33</v>
      </c>
      <c r="N64" s="50">
        <v>0</v>
      </c>
      <c r="O64" s="15">
        <f t="shared" si="35"/>
        <v>7</v>
      </c>
      <c r="P64" s="15">
        <f t="shared" si="36"/>
        <v>40</v>
      </c>
      <c r="R64" s="8"/>
      <c r="T64"/>
    </row>
    <row r="65" spans="2:20" ht="23.1" customHeight="1" x14ac:dyDescent="0.25">
      <c r="B65" s="45" t="s">
        <v>158</v>
      </c>
      <c r="C65" s="50">
        <v>6</v>
      </c>
      <c r="D65" s="50">
        <v>0</v>
      </c>
      <c r="E65" s="50">
        <v>0</v>
      </c>
      <c r="F65" s="50">
        <v>1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32</v>
      </c>
      <c r="N65" s="50">
        <v>0</v>
      </c>
      <c r="O65" s="15">
        <f t="shared" si="35"/>
        <v>9</v>
      </c>
      <c r="P65" s="15">
        <f t="shared" si="36"/>
        <v>41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3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1</v>
      </c>
      <c r="M66" s="50">
        <v>8</v>
      </c>
      <c r="N66" s="50">
        <v>0</v>
      </c>
      <c r="O66" s="15">
        <f t="shared" si="35"/>
        <v>5</v>
      </c>
      <c r="P66" s="15">
        <f t="shared" si="36"/>
        <v>13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2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2</v>
      </c>
      <c r="M67" s="50">
        <v>6</v>
      </c>
      <c r="N67" s="50">
        <v>0</v>
      </c>
      <c r="O67" s="15">
        <f t="shared" si="35"/>
        <v>9</v>
      </c>
      <c r="P67" s="15">
        <f t="shared" si="36"/>
        <v>15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1</v>
      </c>
      <c r="G68" s="50">
        <v>0</v>
      </c>
      <c r="H68" s="50">
        <v>1</v>
      </c>
      <c r="I68" s="50">
        <v>1</v>
      </c>
      <c r="J68" s="50">
        <v>1</v>
      </c>
      <c r="K68" s="50">
        <v>0</v>
      </c>
      <c r="L68" s="50">
        <v>4</v>
      </c>
      <c r="M68" s="50">
        <v>4</v>
      </c>
      <c r="N68" s="50">
        <v>0</v>
      </c>
      <c r="O68" s="15">
        <f t="shared" si="35"/>
        <v>9</v>
      </c>
      <c r="P68" s="15">
        <f t="shared" si="36"/>
        <v>13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1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10</v>
      </c>
      <c r="M69" s="50">
        <v>10</v>
      </c>
      <c r="N69" s="50">
        <v>0</v>
      </c>
      <c r="O69" s="15">
        <f t="shared" si="35"/>
        <v>11</v>
      </c>
      <c r="P69" s="15">
        <f t="shared" si="36"/>
        <v>21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1</v>
      </c>
      <c r="G70" s="50">
        <v>2</v>
      </c>
      <c r="H70" s="50">
        <v>0</v>
      </c>
      <c r="I70" s="50">
        <v>1</v>
      </c>
      <c r="J70" s="50">
        <v>2</v>
      </c>
      <c r="K70" s="50">
        <v>0</v>
      </c>
      <c r="L70" s="50">
        <v>0</v>
      </c>
      <c r="M70" s="50">
        <v>6</v>
      </c>
      <c r="N70" s="50">
        <v>0</v>
      </c>
      <c r="O70" s="15">
        <f t="shared" si="35"/>
        <v>6</v>
      </c>
      <c r="P70" s="15">
        <f t="shared" si="36"/>
        <v>12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2</v>
      </c>
      <c r="K71" s="50">
        <v>0</v>
      </c>
      <c r="L71" s="50">
        <v>0</v>
      </c>
      <c r="M71" s="50">
        <v>8</v>
      </c>
      <c r="N71" s="50">
        <v>0</v>
      </c>
      <c r="O71" s="15">
        <f t="shared" si="35"/>
        <v>4</v>
      </c>
      <c r="P71" s="15">
        <f t="shared" si="36"/>
        <v>12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5</v>
      </c>
      <c r="K72" s="50">
        <v>1</v>
      </c>
      <c r="L72" s="50">
        <v>0</v>
      </c>
      <c r="M72" s="50">
        <v>6</v>
      </c>
      <c r="N72" s="50">
        <v>0</v>
      </c>
      <c r="O72" s="15">
        <f t="shared" si="35"/>
        <v>9</v>
      </c>
      <c r="P72" s="15">
        <f t="shared" si="36"/>
        <v>15</v>
      </c>
      <c r="R72" s="8"/>
      <c r="T72"/>
    </row>
    <row r="73" spans="2:20" ht="23.1" customHeight="1" x14ac:dyDescent="0.25">
      <c r="B73" s="45" t="s">
        <v>113</v>
      </c>
      <c r="C73" s="50">
        <v>8</v>
      </c>
      <c r="D73" s="50">
        <v>5</v>
      </c>
      <c r="E73" s="50">
        <v>0</v>
      </c>
      <c r="F73" s="50">
        <v>2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9</v>
      </c>
      <c r="N73" s="50">
        <v>0</v>
      </c>
      <c r="O73" s="15">
        <f t="shared" si="35"/>
        <v>16</v>
      </c>
      <c r="P73" s="15">
        <f t="shared" si="36"/>
        <v>25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15</v>
      </c>
      <c r="N74" s="50">
        <v>0</v>
      </c>
      <c r="O74" s="15">
        <f t="shared" si="35"/>
        <v>1</v>
      </c>
      <c r="P74" s="15">
        <f t="shared" si="36"/>
        <v>16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3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2</v>
      </c>
      <c r="K75" s="50">
        <v>0</v>
      </c>
      <c r="L75" s="50">
        <v>0</v>
      </c>
      <c r="M75" s="50">
        <v>5</v>
      </c>
      <c r="N75" s="50">
        <v>0</v>
      </c>
      <c r="O75" s="15">
        <f t="shared" si="35"/>
        <v>6</v>
      </c>
      <c r="P75" s="15">
        <f t="shared" si="36"/>
        <v>11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10</v>
      </c>
      <c r="N76" s="50">
        <v>0</v>
      </c>
      <c r="O76" s="15">
        <f t="shared" si="35"/>
        <v>0</v>
      </c>
      <c r="P76" s="15">
        <f t="shared" si="36"/>
        <v>10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2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3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2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2</v>
      </c>
      <c r="K80" s="50">
        <v>1</v>
      </c>
      <c r="L80" s="50">
        <v>0</v>
      </c>
      <c r="M80" s="50">
        <v>2</v>
      </c>
      <c r="N80" s="50">
        <v>0</v>
      </c>
      <c r="O80" s="15">
        <f t="shared" si="35"/>
        <v>4</v>
      </c>
      <c r="P80" s="15">
        <f t="shared" si="36"/>
        <v>6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2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2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2</v>
      </c>
      <c r="J83" s="50">
        <v>1</v>
      </c>
      <c r="K83" s="50">
        <v>1</v>
      </c>
      <c r="L83" s="50">
        <v>0</v>
      </c>
      <c r="M83" s="50">
        <v>0</v>
      </c>
      <c r="N83" s="50"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1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1</v>
      </c>
      <c r="L87" s="50">
        <v>2</v>
      </c>
      <c r="M87" s="50">
        <v>0</v>
      </c>
      <c r="N87" s="50"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1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2</v>
      </c>
      <c r="J91" s="50">
        <v>1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2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1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1</v>
      </c>
      <c r="L96" s="50">
        <v>0</v>
      </c>
      <c r="M96" s="50">
        <v>2</v>
      </c>
      <c r="N96" s="50">
        <v>0</v>
      </c>
      <c r="O96" s="15">
        <f t="shared" si="35"/>
        <v>1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2</v>
      </c>
      <c r="K99" s="50">
        <v>1</v>
      </c>
      <c r="L99" s="50">
        <v>0</v>
      </c>
      <c r="M99" s="50">
        <v>3</v>
      </c>
      <c r="N99" s="50">
        <v>0</v>
      </c>
      <c r="O99" s="15">
        <f t="shared" si="35"/>
        <v>3</v>
      </c>
      <c r="P99" s="15">
        <f t="shared" si="36"/>
        <v>6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2</v>
      </c>
      <c r="K100" s="50">
        <v>1</v>
      </c>
      <c r="L100" s="50">
        <v>0</v>
      </c>
      <c r="M100" s="50">
        <v>3</v>
      </c>
      <c r="N100" s="50">
        <v>0</v>
      </c>
      <c r="O100" s="15">
        <f t="shared" si="35"/>
        <v>4</v>
      </c>
      <c r="P100" s="15">
        <f t="shared" si="36"/>
        <v>7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3</v>
      </c>
      <c r="K101" s="50">
        <v>1</v>
      </c>
      <c r="L101" s="50">
        <v>0</v>
      </c>
      <c r="M101" s="50">
        <v>6</v>
      </c>
      <c r="N101" s="50">
        <v>0</v>
      </c>
      <c r="O101" s="15">
        <f t="shared" si="35"/>
        <v>6</v>
      </c>
      <c r="P101" s="15">
        <f t="shared" si="36"/>
        <v>12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1</v>
      </c>
      <c r="E102" s="50">
        <v>0</v>
      </c>
      <c r="F102" s="50">
        <v>1</v>
      </c>
      <c r="G102" s="50">
        <v>1</v>
      </c>
      <c r="H102" s="50">
        <v>0</v>
      </c>
      <c r="I102" s="50">
        <v>0</v>
      </c>
      <c r="J102" s="50">
        <v>1</v>
      </c>
      <c r="K102" s="50">
        <v>3</v>
      </c>
      <c r="L102" s="50">
        <v>1</v>
      </c>
      <c r="M102" s="50">
        <v>16</v>
      </c>
      <c r="N102" s="50">
        <v>0</v>
      </c>
      <c r="O102" s="15">
        <f t="shared" si="35"/>
        <v>9</v>
      </c>
      <c r="P102" s="15">
        <f t="shared" si="36"/>
        <v>25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0</v>
      </c>
      <c r="F103" s="50">
        <v>1</v>
      </c>
      <c r="G103" s="50">
        <v>1</v>
      </c>
      <c r="H103" s="50">
        <v>0</v>
      </c>
      <c r="I103" s="50">
        <v>0</v>
      </c>
      <c r="J103" s="50">
        <v>4</v>
      </c>
      <c r="K103" s="50">
        <v>0</v>
      </c>
      <c r="L103" s="50">
        <v>0</v>
      </c>
      <c r="M103" s="50">
        <v>13</v>
      </c>
      <c r="N103" s="50">
        <v>0</v>
      </c>
      <c r="O103" s="15">
        <f t="shared" si="35"/>
        <v>7</v>
      </c>
      <c r="P103" s="15">
        <f t="shared" si="36"/>
        <v>20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1</v>
      </c>
      <c r="J104" s="50">
        <v>2</v>
      </c>
      <c r="K104" s="50">
        <v>0</v>
      </c>
      <c r="L104" s="50">
        <v>0</v>
      </c>
      <c r="M104" s="50">
        <v>12</v>
      </c>
      <c r="N104" s="50">
        <v>0</v>
      </c>
      <c r="O104" s="15">
        <f t="shared" si="35"/>
        <v>3</v>
      </c>
      <c r="P104" s="15">
        <f t="shared" si="36"/>
        <v>15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2</v>
      </c>
      <c r="G105" s="50">
        <v>0</v>
      </c>
      <c r="H105" s="50">
        <v>0</v>
      </c>
      <c r="I105" s="50">
        <v>3</v>
      </c>
      <c r="J105" s="50">
        <v>1</v>
      </c>
      <c r="K105" s="50">
        <v>0</v>
      </c>
      <c r="L105" s="50">
        <v>1</v>
      </c>
      <c r="M105" s="50">
        <v>12</v>
      </c>
      <c r="N105" s="50">
        <v>0</v>
      </c>
      <c r="O105" s="15">
        <f t="shared" si="35"/>
        <v>9</v>
      </c>
      <c r="P105" s="15">
        <f t="shared" si="36"/>
        <v>21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256</v>
      </c>
      <c r="D106" s="16">
        <f t="shared" ref="D106:P106" si="37">SUM(D10:D105)</f>
        <v>81</v>
      </c>
      <c r="E106" s="16">
        <f t="shared" si="37"/>
        <v>34</v>
      </c>
      <c r="F106" s="16">
        <f t="shared" si="37"/>
        <v>109</v>
      </c>
      <c r="G106" s="16">
        <f t="shared" si="37"/>
        <v>14</v>
      </c>
      <c r="H106" s="16">
        <f t="shared" si="37"/>
        <v>4</v>
      </c>
      <c r="I106" s="16">
        <f t="shared" si="37"/>
        <v>89</v>
      </c>
      <c r="J106" s="16">
        <f t="shared" si="37"/>
        <v>219</v>
      </c>
      <c r="K106" s="16">
        <f t="shared" si="37"/>
        <v>57</v>
      </c>
      <c r="L106" s="16">
        <f t="shared" si="37"/>
        <v>46</v>
      </c>
      <c r="M106" s="16">
        <f t="shared" si="37"/>
        <v>2017</v>
      </c>
      <c r="N106" s="16">
        <f t="shared" si="37"/>
        <v>8</v>
      </c>
      <c r="O106" s="16">
        <f t="shared" si="37"/>
        <v>917</v>
      </c>
      <c r="P106" s="16">
        <f t="shared" si="37"/>
        <v>2934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8.7252897068847993E-2</v>
      </c>
      <c r="D107" s="43">
        <f t="shared" si="38"/>
        <v>2.7607361963190184E-2</v>
      </c>
      <c r="E107" s="43">
        <f t="shared" si="38"/>
        <v>1.1588275391956374E-2</v>
      </c>
      <c r="F107" s="43">
        <f t="shared" si="38"/>
        <v>3.7150647580095432E-2</v>
      </c>
      <c r="G107" s="43">
        <f t="shared" si="38"/>
        <v>4.7716428084526247E-3</v>
      </c>
      <c r="H107" s="43">
        <f t="shared" si="38"/>
        <v>1.3633265167007499E-3</v>
      </c>
      <c r="I107" s="43">
        <f t="shared" si="38"/>
        <v>3.0334014996591684E-2</v>
      </c>
      <c r="J107" s="43">
        <f t="shared" si="38"/>
        <v>7.4642126789366048E-2</v>
      </c>
      <c r="K107" s="43">
        <f t="shared" si="38"/>
        <v>1.9427402862985686E-2</v>
      </c>
      <c r="L107" s="43">
        <f t="shared" si="38"/>
        <v>1.5678254942058625E-2</v>
      </c>
      <c r="M107" s="43">
        <f t="shared" si="38"/>
        <v>0.68745739604635314</v>
      </c>
      <c r="N107" s="43">
        <f t="shared" si="38"/>
        <v>2.7266530334014998E-3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0.27917121046892041</v>
      </c>
      <c r="D108" s="44">
        <f t="shared" ref="D108:N108" si="39">D106/$O$106</f>
        <v>8.8331515812431843E-2</v>
      </c>
      <c r="E108" s="44">
        <f t="shared" si="39"/>
        <v>3.7077426390403491E-2</v>
      </c>
      <c r="F108" s="44">
        <f t="shared" si="39"/>
        <v>0.11886586695747001</v>
      </c>
      <c r="G108" s="44">
        <f t="shared" si="39"/>
        <v>1.5267175572519083E-2</v>
      </c>
      <c r="H108" s="44">
        <f t="shared" si="39"/>
        <v>4.3620501635768813E-3</v>
      </c>
      <c r="I108" s="44">
        <f t="shared" si="39"/>
        <v>9.7055616139585604E-2</v>
      </c>
      <c r="J108" s="44">
        <f t="shared" si="39"/>
        <v>0.23882224645583425</v>
      </c>
      <c r="K108" s="44">
        <f t="shared" si="39"/>
        <v>6.2159214830970554E-2</v>
      </c>
      <c r="L108" s="44">
        <f t="shared" si="39"/>
        <v>5.0163576881134132E-2</v>
      </c>
      <c r="M108" s="44"/>
      <c r="N108" s="44">
        <f t="shared" si="39"/>
        <v>8.7241003271537627E-3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B1:AF174"/>
  <sheetViews>
    <sheetView view="pageBreakPreview" topLeftCell="A43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'23.08 Musita-Lumino-24h'!D5</f>
        <v>23.08.19</v>
      </c>
      <c r="E5" s="3"/>
      <c r="F5" s="41" t="s">
        <v>1</v>
      </c>
      <c r="G5" s="63" t="str">
        <f>'23.08 Musita-Lumino-24h'!G5:H5</f>
        <v>Musita</v>
      </c>
      <c r="H5" s="64"/>
      <c r="I5" s="14"/>
      <c r="J5" s="2" t="s">
        <v>5</v>
      </c>
      <c r="K5" s="63" t="s">
        <v>171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Lumino-Musita'!D6:E6</f>
        <v>Lumino</v>
      </c>
      <c r="E6" s="64"/>
      <c r="F6" s="2" t="s">
        <v>2</v>
      </c>
      <c r="G6" s="63" t="str">
        <f>'24.08 Lumino-Musita'!G6:H6</f>
        <v>Musita</v>
      </c>
      <c r="H6" s="64"/>
      <c r="J6" s="2" t="s">
        <v>21</v>
      </c>
      <c r="K6" s="63" t="str">
        <f>'23.08 Musita-Lumino-24h'!K6:L6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v>0</v>
      </c>
      <c r="J10" s="50">
        <v>3</v>
      </c>
      <c r="K10" s="50">
        <v>0</v>
      </c>
      <c r="L10" s="50">
        <v>0</v>
      </c>
      <c r="M10" s="50">
        <v>36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41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2</v>
      </c>
      <c r="V10" s="17">
        <f t="shared" si="2"/>
        <v>5</v>
      </c>
      <c r="W10" s="17">
        <f t="shared" si="2"/>
        <v>1</v>
      </c>
      <c r="X10" s="17">
        <f t="shared" si="2"/>
        <v>2</v>
      </c>
      <c r="Y10" s="17">
        <f t="shared" si="2"/>
        <v>0</v>
      </c>
      <c r="Z10" s="17">
        <f t="shared" si="2"/>
        <v>5</v>
      </c>
      <c r="AA10" s="17">
        <f t="shared" si="2"/>
        <v>1</v>
      </c>
      <c r="AB10" s="17">
        <f t="shared" si="2"/>
        <v>0</v>
      </c>
      <c r="AC10" s="17">
        <f t="shared" si="2"/>
        <v>86</v>
      </c>
      <c r="AD10" s="17">
        <f t="shared" si="2"/>
        <v>1</v>
      </c>
      <c r="AE10" s="31">
        <f t="shared" si="2"/>
        <v>22</v>
      </c>
      <c r="AF10" s="31">
        <f t="shared" si="2"/>
        <v>108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2</v>
      </c>
      <c r="P11" s="15">
        <f t="shared" si="1"/>
        <v>7</v>
      </c>
      <c r="R11" s="1" t="s">
        <v>7</v>
      </c>
      <c r="S11" s="17">
        <f t="shared" ref="S11:AF11" si="3">SUM(C14:C17)</f>
        <v>17</v>
      </c>
      <c r="T11" s="17">
        <f t="shared" si="3"/>
        <v>1</v>
      </c>
      <c r="U11" s="17">
        <f t="shared" si="3"/>
        <v>2</v>
      </c>
      <c r="V11" s="17">
        <f t="shared" si="3"/>
        <v>5</v>
      </c>
      <c r="W11" s="17">
        <f t="shared" si="3"/>
        <v>1</v>
      </c>
      <c r="X11" s="17">
        <f t="shared" si="3"/>
        <v>1</v>
      </c>
      <c r="Y11" s="17">
        <f t="shared" si="3"/>
        <v>4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101</v>
      </c>
      <c r="AD11" s="17">
        <f t="shared" si="3"/>
        <v>0</v>
      </c>
      <c r="AE11" s="31">
        <f t="shared" si="3"/>
        <v>35</v>
      </c>
      <c r="AF11" s="31">
        <f t="shared" si="3"/>
        <v>136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15</v>
      </c>
      <c r="N12" s="50">
        <v>0</v>
      </c>
      <c r="O12" s="15">
        <f t="shared" si="0"/>
        <v>7</v>
      </c>
      <c r="P12" s="15">
        <f t="shared" si="1"/>
        <v>22</v>
      </c>
      <c r="R12" s="1" t="s">
        <v>8</v>
      </c>
      <c r="S12" s="17">
        <f t="shared" ref="S12:AF12" si="4">SUM(C18:C21)</f>
        <v>18</v>
      </c>
      <c r="T12" s="17">
        <f t="shared" si="4"/>
        <v>0</v>
      </c>
      <c r="U12" s="17">
        <f t="shared" si="4"/>
        <v>0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2</v>
      </c>
      <c r="AA12" s="17">
        <f t="shared" si="4"/>
        <v>4</v>
      </c>
      <c r="AB12" s="17">
        <f t="shared" si="4"/>
        <v>0</v>
      </c>
      <c r="AC12" s="17">
        <f t="shared" si="4"/>
        <v>72</v>
      </c>
      <c r="AD12" s="17">
        <f t="shared" si="4"/>
        <v>0</v>
      </c>
      <c r="AE12" s="31">
        <f t="shared" si="4"/>
        <v>30</v>
      </c>
      <c r="AF12" s="31">
        <f t="shared" si="4"/>
        <v>102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0</v>
      </c>
      <c r="F13" s="50">
        <v>1</v>
      </c>
      <c r="G13" s="50">
        <v>1</v>
      </c>
      <c r="H13" s="50">
        <v>1</v>
      </c>
      <c r="I13" s="50">
        <v>0</v>
      </c>
      <c r="J13" s="50">
        <v>2</v>
      </c>
      <c r="K13" s="50">
        <v>0</v>
      </c>
      <c r="L13" s="50">
        <v>0</v>
      </c>
      <c r="M13" s="50">
        <v>30</v>
      </c>
      <c r="N13" s="50">
        <v>1</v>
      </c>
      <c r="O13" s="15">
        <f t="shared" si="0"/>
        <v>8</v>
      </c>
      <c r="P13" s="15">
        <f t="shared" si="1"/>
        <v>38</v>
      </c>
      <c r="R13" s="1" t="s">
        <v>9</v>
      </c>
      <c r="S13" s="17">
        <f t="shared" ref="S13:AF13" si="5">SUM(C22:C25)</f>
        <v>27</v>
      </c>
      <c r="T13" s="17">
        <f t="shared" si="5"/>
        <v>0</v>
      </c>
      <c r="U13" s="17">
        <f t="shared" si="5"/>
        <v>3</v>
      </c>
      <c r="V13" s="17">
        <f t="shared" si="5"/>
        <v>7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6</v>
      </c>
      <c r="AA13" s="17">
        <f t="shared" si="5"/>
        <v>0</v>
      </c>
      <c r="AB13" s="17">
        <f t="shared" si="5"/>
        <v>1</v>
      </c>
      <c r="AC13" s="17">
        <f t="shared" si="5"/>
        <v>203</v>
      </c>
      <c r="AD13" s="17">
        <f t="shared" si="5"/>
        <v>1</v>
      </c>
      <c r="AE13" s="31">
        <f t="shared" si="5"/>
        <v>55</v>
      </c>
      <c r="AF13" s="31">
        <f t="shared" si="5"/>
        <v>258</v>
      </c>
    </row>
    <row r="14" spans="2:32" ht="23.1" customHeight="1" x14ac:dyDescent="0.25">
      <c r="B14" s="45" t="s">
        <v>41</v>
      </c>
      <c r="C14" s="50">
        <v>4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21</v>
      </c>
      <c r="N14" s="50">
        <v>0</v>
      </c>
      <c r="O14" s="15">
        <f t="shared" si="0"/>
        <v>9</v>
      </c>
      <c r="P14" s="15">
        <f t="shared" si="1"/>
        <v>30</v>
      </c>
      <c r="R14" s="1" t="s">
        <v>10</v>
      </c>
      <c r="S14" s="17">
        <f t="shared" ref="S14:AF14" si="6">SUM(C26:C29)</f>
        <v>15</v>
      </c>
      <c r="T14" s="17">
        <f t="shared" si="6"/>
        <v>5</v>
      </c>
      <c r="U14" s="17">
        <f t="shared" si="6"/>
        <v>2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162</v>
      </c>
      <c r="AD14" s="17">
        <f t="shared" si="6"/>
        <v>0</v>
      </c>
      <c r="AE14" s="31">
        <f t="shared" si="6"/>
        <v>42</v>
      </c>
      <c r="AF14" s="31">
        <f t="shared" si="6"/>
        <v>204</v>
      </c>
    </row>
    <row r="15" spans="2:32" ht="23.1" customHeight="1" x14ac:dyDescent="0.25">
      <c r="B15" s="45" t="s">
        <v>42</v>
      </c>
      <c r="C15" s="50">
        <v>5</v>
      </c>
      <c r="D15" s="50">
        <v>1</v>
      </c>
      <c r="E15" s="50">
        <v>0</v>
      </c>
      <c r="F15" s="50">
        <v>3</v>
      </c>
      <c r="G15" s="50">
        <v>1</v>
      </c>
      <c r="H15" s="50">
        <v>1</v>
      </c>
      <c r="I15" s="50">
        <v>0</v>
      </c>
      <c r="J15" s="50">
        <v>2</v>
      </c>
      <c r="K15" s="50">
        <v>0</v>
      </c>
      <c r="L15" s="50">
        <v>0</v>
      </c>
      <c r="M15" s="50">
        <v>35</v>
      </c>
      <c r="N15" s="50">
        <v>0</v>
      </c>
      <c r="O15" s="15">
        <f t="shared" si="0"/>
        <v>13</v>
      </c>
      <c r="P15" s="15">
        <f t="shared" si="1"/>
        <v>48</v>
      </c>
      <c r="R15" s="1" t="s">
        <v>11</v>
      </c>
      <c r="S15" s="17">
        <f t="shared" ref="S15:AF15" si="7">SUM(C30:C33)</f>
        <v>21</v>
      </c>
      <c r="T15" s="17">
        <f t="shared" si="7"/>
        <v>3</v>
      </c>
      <c r="U15" s="17">
        <f t="shared" si="7"/>
        <v>5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7</v>
      </c>
      <c r="AA15" s="17">
        <f t="shared" si="7"/>
        <v>0</v>
      </c>
      <c r="AB15" s="17">
        <f t="shared" si="7"/>
        <v>3</v>
      </c>
      <c r="AC15" s="17">
        <f t="shared" si="7"/>
        <v>145</v>
      </c>
      <c r="AD15" s="17">
        <f t="shared" si="7"/>
        <v>1</v>
      </c>
      <c r="AE15" s="31">
        <f t="shared" si="7"/>
        <v>59</v>
      </c>
      <c r="AF15" s="31">
        <f t="shared" si="7"/>
        <v>204</v>
      </c>
    </row>
    <row r="16" spans="2:32" ht="23.1" customHeight="1" x14ac:dyDescent="0.25">
      <c r="B16" s="45" t="s">
        <v>43</v>
      </c>
      <c r="C16" s="50">
        <v>3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30</v>
      </c>
      <c r="N16" s="50">
        <v>0</v>
      </c>
      <c r="O16" s="15">
        <f t="shared" si="0"/>
        <v>4</v>
      </c>
      <c r="P16" s="15">
        <f t="shared" si="1"/>
        <v>34</v>
      </c>
      <c r="R16" s="1" t="s">
        <v>12</v>
      </c>
      <c r="S16" s="17">
        <f t="shared" ref="S16:AF16" si="8">SUM(C34:C37)</f>
        <v>19</v>
      </c>
      <c r="T16" s="17">
        <f t="shared" si="8"/>
        <v>2</v>
      </c>
      <c r="U16" s="17">
        <f t="shared" si="8"/>
        <v>2</v>
      </c>
      <c r="V16" s="17">
        <f t="shared" si="8"/>
        <v>4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4</v>
      </c>
      <c r="AA16" s="17">
        <f t="shared" si="8"/>
        <v>0</v>
      </c>
      <c r="AB16" s="17">
        <f t="shared" si="8"/>
        <v>3</v>
      </c>
      <c r="AC16" s="17">
        <f t="shared" si="8"/>
        <v>124</v>
      </c>
      <c r="AD16" s="17">
        <f t="shared" si="8"/>
        <v>0</v>
      </c>
      <c r="AE16" s="31">
        <f t="shared" si="8"/>
        <v>42</v>
      </c>
      <c r="AF16" s="31">
        <f t="shared" si="8"/>
        <v>166</v>
      </c>
    </row>
    <row r="17" spans="2:32" ht="23.1" customHeight="1" x14ac:dyDescent="0.25">
      <c r="B17" s="45" t="s">
        <v>44</v>
      </c>
      <c r="C17" s="50">
        <v>5</v>
      </c>
      <c r="D17" s="50">
        <v>0</v>
      </c>
      <c r="E17" s="50">
        <v>2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15</v>
      </c>
      <c r="N17" s="50">
        <v>0</v>
      </c>
      <c r="O17" s="15">
        <f t="shared" si="0"/>
        <v>9</v>
      </c>
      <c r="P17" s="15">
        <f t="shared" si="1"/>
        <v>24</v>
      </c>
      <c r="R17" s="1" t="s">
        <v>13</v>
      </c>
      <c r="S17" s="17">
        <f t="shared" ref="S17:AF17" si="9">SUM(C38:C41)</f>
        <v>9</v>
      </c>
      <c r="T17" s="17">
        <f t="shared" si="9"/>
        <v>1</v>
      </c>
      <c r="U17" s="17">
        <f t="shared" si="9"/>
        <v>3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6</v>
      </c>
      <c r="AA17" s="17">
        <f t="shared" si="9"/>
        <v>0</v>
      </c>
      <c r="AB17" s="17">
        <f t="shared" si="9"/>
        <v>3</v>
      </c>
      <c r="AC17" s="17">
        <f t="shared" si="9"/>
        <v>101</v>
      </c>
      <c r="AD17" s="17">
        <f t="shared" si="9"/>
        <v>0</v>
      </c>
      <c r="AE17" s="31">
        <f t="shared" si="9"/>
        <v>34</v>
      </c>
      <c r="AF17" s="31">
        <f t="shared" si="9"/>
        <v>135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2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5</v>
      </c>
      <c r="P18" s="15">
        <f t="shared" si="1"/>
        <v>19</v>
      </c>
      <c r="R18" s="1" t="s">
        <v>14</v>
      </c>
      <c r="S18" s="17">
        <f t="shared" ref="S18:AF18" si="10">SUM(C42:C45)</f>
        <v>19</v>
      </c>
      <c r="T18" s="17">
        <f t="shared" si="10"/>
        <v>7</v>
      </c>
      <c r="U18" s="17">
        <f t="shared" si="10"/>
        <v>6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6</v>
      </c>
      <c r="AA18" s="17">
        <f t="shared" si="10"/>
        <v>1</v>
      </c>
      <c r="AB18" s="17">
        <f t="shared" si="10"/>
        <v>6</v>
      </c>
      <c r="AC18" s="17">
        <f t="shared" si="10"/>
        <v>170</v>
      </c>
      <c r="AD18" s="17">
        <f t="shared" si="10"/>
        <v>0</v>
      </c>
      <c r="AE18" s="31">
        <f t="shared" si="10"/>
        <v>55</v>
      </c>
      <c r="AF18" s="31">
        <f t="shared" si="10"/>
        <v>225</v>
      </c>
    </row>
    <row r="19" spans="2:32" ht="23.1" customHeight="1" x14ac:dyDescent="0.25">
      <c r="B19" s="45" t="s">
        <v>46</v>
      </c>
      <c r="C19" s="50">
        <v>4</v>
      </c>
      <c r="D19" s="50">
        <v>0</v>
      </c>
      <c r="E19" s="50">
        <v>0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6</v>
      </c>
      <c r="P19" s="15">
        <f t="shared" si="1"/>
        <v>22</v>
      </c>
      <c r="R19" s="1" t="s">
        <v>15</v>
      </c>
      <c r="S19" s="17">
        <f t="shared" ref="S19:AF19" si="11">SUM(C46:C49)</f>
        <v>27</v>
      </c>
      <c r="T19" s="17">
        <f t="shared" si="11"/>
        <v>1</v>
      </c>
      <c r="U19" s="17">
        <f t="shared" si="11"/>
        <v>4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173</v>
      </c>
      <c r="AD19" s="17">
        <f t="shared" si="11"/>
        <v>0</v>
      </c>
      <c r="AE19" s="31">
        <f t="shared" si="11"/>
        <v>50</v>
      </c>
      <c r="AF19" s="31">
        <f t="shared" si="11"/>
        <v>223</v>
      </c>
    </row>
    <row r="20" spans="2:32" ht="23.1" customHeight="1" x14ac:dyDescent="0.25">
      <c r="B20" s="45" t="s">
        <v>47</v>
      </c>
      <c r="C20" s="50">
        <v>5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1</v>
      </c>
      <c r="L20" s="50">
        <v>0</v>
      </c>
      <c r="M20" s="50">
        <v>15</v>
      </c>
      <c r="N20" s="50">
        <v>0</v>
      </c>
      <c r="O20" s="15">
        <f t="shared" si="0"/>
        <v>8</v>
      </c>
      <c r="P20" s="15">
        <f t="shared" si="1"/>
        <v>23</v>
      </c>
      <c r="R20" s="1" t="s">
        <v>16</v>
      </c>
      <c r="S20" s="17">
        <f t="shared" ref="S20:AF20" si="12">SUM(C50:C53)</f>
        <v>17</v>
      </c>
      <c r="T20" s="17">
        <f t="shared" si="12"/>
        <v>5</v>
      </c>
      <c r="U20" s="17">
        <f t="shared" si="12"/>
        <v>4</v>
      </c>
      <c r="V20" s="17">
        <f t="shared" si="12"/>
        <v>6</v>
      </c>
      <c r="W20" s="17">
        <f t="shared" si="12"/>
        <v>1</v>
      </c>
      <c r="X20" s="17">
        <f t="shared" si="12"/>
        <v>0</v>
      </c>
      <c r="Y20" s="17">
        <f t="shared" si="12"/>
        <v>21</v>
      </c>
      <c r="Z20" s="17">
        <f t="shared" si="12"/>
        <v>6</v>
      </c>
      <c r="AA20" s="17">
        <f t="shared" si="12"/>
        <v>2</v>
      </c>
      <c r="AB20" s="17">
        <f t="shared" si="12"/>
        <v>2</v>
      </c>
      <c r="AC20" s="17">
        <f t="shared" si="12"/>
        <v>130</v>
      </c>
      <c r="AD20" s="17">
        <f t="shared" si="12"/>
        <v>1</v>
      </c>
      <c r="AE20" s="31">
        <f t="shared" si="12"/>
        <v>65</v>
      </c>
      <c r="AF20" s="31">
        <f t="shared" si="12"/>
        <v>195</v>
      </c>
    </row>
    <row r="21" spans="2:32" ht="23.1" customHeight="1" x14ac:dyDescent="0.25">
      <c r="B21" s="45" t="s">
        <v>48</v>
      </c>
      <c r="C21" s="50">
        <v>7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3</v>
      </c>
      <c r="L21" s="50">
        <v>0</v>
      </c>
      <c r="M21" s="50">
        <v>27</v>
      </c>
      <c r="N21" s="50">
        <v>0</v>
      </c>
      <c r="O21" s="15">
        <f t="shared" si="0"/>
        <v>11</v>
      </c>
      <c r="P21" s="15">
        <f t="shared" si="1"/>
        <v>38</v>
      </c>
      <c r="R21" s="36" t="s">
        <v>20</v>
      </c>
      <c r="S21" s="34">
        <f t="shared" ref="S21:AF21" si="13">SUM(C54:C57)</f>
        <v>20</v>
      </c>
      <c r="T21" s="17">
        <f t="shared" si="13"/>
        <v>8</v>
      </c>
      <c r="U21" s="17">
        <f t="shared" si="13"/>
        <v>2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4</v>
      </c>
      <c r="AA21" s="17">
        <f t="shared" si="13"/>
        <v>0</v>
      </c>
      <c r="AB21" s="17">
        <f t="shared" si="13"/>
        <v>1</v>
      </c>
      <c r="AC21" s="17">
        <f t="shared" si="13"/>
        <v>127</v>
      </c>
      <c r="AD21" s="17">
        <f t="shared" si="13"/>
        <v>0</v>
      </c>
      <c r="AE21" s="31">
        <f t="shared" si="13"/>
        <v>48</v>
      </c>
      <c r="AF21" s="31">
        <f t="shared" si="13"/>
        <v>175</v>
      </c>
    </row>
    <row r="22" spans="2:32" ht="23.1" customHeight="1" x14ac:dyDescent="0.25">
      <c r="B22" s="45" t="s">
        <v>49</v>
      </c>
      <c r="C22" s="50">
        <v>12</v>
      </c>
      <c r="D22" s="50">
        <v>0</v>
      </c>
      <c r="E22" s="50">
        <v>0</v>
      </c>
      <c r="F22" s="50">
        <v>2</v>
      </c>
      <c r="G22" s="50">
        <v>1</v>
      </c>
      <c r="H22" s="50">
        <v>0</v>
      </c>
      <c r="I22" s="50">
        <v>3</v>
      </c>
      <c r="J22" s="50">
        <v>3</v>
      </c>
      <c r="K22" s="50">
        <v>0</v>
      </c>
      <c r="L22" s="50">
        <v>0</v>
      </c>
      <c r="M22" s="50">
        <v>35</v>
      </c>
      <c r="N22" s="50">
        <v>0</v>
      </c>
      <c r="O22" s="15">
        <f t="shared" si="0"/>
        <v>21</v>
      </c>
      <c r="P22" s="15">
        <f t="shared" si="1"/>
        <v>56</v>
      </c>
      <c r="R22" s="36" t="s">
        <v>146</v>
      </c>
      <c r="S22" s="34">
        <f>SUM(C58:C61)</f>
        <v>25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4</v>
      </c>
      <c r="W22" s="34">
        <f t="shared" si="14"/>
        <v>0</v>
      </c>
      <c r="X22" s="34">
        <f t="shared" si="14"/>
        <v>3</v>
      </c>
      <c r="Y22" s="34">
        <f t="shared" si="14"/>
        <v>11</v>
      </c>
      <c r="Z22" s="34">
        <f t="shared" si="14"/>
        <v>8</v>
      </c>
      <c r="AA22" s="34">
        <f t="shared" si="14"/>
        <v>0</v>
      </c>
      <c r="AB22" s="34">
        <f t="shared" si="14"/>
        <v>3</v>
      </c>
      <c r="AC22" s="34">
        <f t="shared" si="14"/>
        <v>140</v>
      </c>
      <c r="AD22" s="34">
        <f t="shared" si="14"/>
        <v>1</v>
      </c>
      <c r="AE22" s="31">
        <f t="shared" si="14"/>
        <v>58</v>
      </c>
      <c r="AF22" s="31">
        <f t="shared" si="14"/>
        <v>198</v>
      </c>
    </row>
    <row r="23" spans="2:32" ht="23.1" customHeight="1" x14ac:dyDescent="0.25">
      <c r="B23" s="45" t="s">
        <v>50</v>
      </c>
      <c r="C23" s="50">
        <v>2</v>
      </c>
      <c r="D23" s="50">
        <v>0</v>
      </c>
      <c r="E23" s="50">
        <v>1</v>
      </c>
      <c r="F23" s="50">
        <v>3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48</v>
      </c>
      <c r="N23" s="50">
        <v>1</v>
      </c>
      <c r="O23" s="15">
        <f t="shared" si="0"/>
        <v>9</v>
      </c>
      <c r="P23" s="15">
        <f t="shared" si="1"/>
        <v>57</v>
      </c>
      <c r="R23" s="36" t="s">
        <v>147</v>
      </c>
      <c r="S23" s="34">
        <f>SUM(C62:C65)</f>
        <v>25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9</v>
      </c>
      <c r="Z23" s="34">
        <f t="shared" si="15"/>
        <v>3</v>
      </c>
      <c r="AA23" s="34">
        <f t="shared" si="15"/>
        <v>1</v>
      </c>
      <c r="AB23" s="34">
        <f t="shared" si="15"/>
        <v>11</v>
      </c>
      <c r="AC23" s="34">
        <f t="shared" si="15"/>
        <v>146</v>
      </c>
      <c r="AD23" s="34">
        <f t="shared" si="15"/>
        <v>0</v>
      </c>
      <c r="AE23" s="31">
        <f t="shared" si="15"/>
        <v>53</v>
      </c>
      <c r="AF23" s="31">
        <f t="shared" si="15"/>
        <v>199</v>
      </c>
    </row>
    <row r="24" spans="2:32" ht="23.1" customHeight="1" x14ac:dyDescent="0.25">
      <c r="B24" s="45" t="s">
        <v>51</v>
      </c>
      <c r="C24" s="50">
        <v>5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70</v>
      </c>
      <c r="N24" s="50">
        <v>0</v>
      </c>
      <c r="O24" s="15">
        <f t="shared" si="0"/>
        <v>9</v>
      </c>
      <c r="P24" s="15">
        <f t="shared" si="1"/>
        <v>79</v>
      </c>
      <c r="R24" s="36" t="s">
        <v>148</v>
      </c>
      <c r="S24" s="34">
        <f>SUM(C66:C69)</f>
        <v>10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1</v>
      </c>
      <c r="X24" s="34">
        <f t="shared" si="16"/>
        <v>0</v>
      </c>
      <c r="Y24" s="34">
        <f t="shared" si="16"/>
        <v>1</v>
      </c>
      <c r="Z24" s="34">
        <f t="shared" si="16"/>
        <v>6</v>
      </c>
      <c r="AA24" s="34">
        <f t="shared" si="16"/>
        <v>1</v>
      </c>
      <c r="AB24" s="34">
        <f t="shared" si="16"/>
        <v>1</v>
      </c>
      <c r="AC24" s="34">
        <f t="shared" si="16"/>
        <v>37</v>
      </c>
      <c r="AD24" s="34">
        <f t="shared" si="16"/>
        <v>0</v>
      </c>
      <c r="AE24" s="31">
        <f t="shared" si="16"/>
        <v>20</v>
      </c>
      <c r="AF24" s="31">
        <f t="shared" si="16"/>
        <v>57</v>
      </c>
    </row>
    <row r="25" spans="2:32" ht="23.1" customHeight="1" x14ac:dyDescent="0.25">
      <c r="B25" s="45" t="s">
        <v>52</v>
      </c>
      <c r="C25" s="50">
        <v>8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1</v>
      </c>
      <c r="M25" s="50">
        <v>50</v>
      </c>
      <c r="N25" s="50">
        <v>0</v>
      </c>
      <c r="O25" s="15">
        <f t="shared" si="0"/>
        <v>16</v>
      </c>
      <c r="P25" s="15">
        <f t="shared" si="1"/>
        <v>66</v>
      </c>
      <c r="R25" s="36" t="s">
        <v>149</v>
      </c>
      <c r="S25" s="34">
        <f>SUM(C70:C73)</f>
        <v>7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4</v>
      </c>
      <c r="AA25" s="34">
        <f t="shared" si="17"/>
        <v>0</v>
      </c>
      <c r="AB25" s="34">
        <f t="shared" si="17"/>
        <v>2</v>
      </c>
      <c r="AC25" s="34">
        <f t="shared" si="17"/>
        <v>23</v>
      </c>
      <c r="AD25" s="34">
        <f t="shared" si="17"/>
        <v>0</v>
      </c>
      <c r="AE25" s="31">
        <f t="shared" si="17"/>
        <v>20</v>
      </c>
      <c r="AF25" s="31">
        <f t="shared" si="17"/>
        <v>43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2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0</v>
      </c>
      <c r="M26" s="50">
        <v>56</v>
      </c>
      <c r="N26" s="50">
        <v>0</v>
      </c>
      <c r="O26" s="15">
        <f t="shared" si="0"/>
        <v>9</v>
      </c>
      <c r="P26" s="15">
        <f t="shared" si="1"/>
        <v>65</v>
      </c>
      <c r="R26" s="36" t="s">
        <v>150</v>
      </c>
      <c r="S26" s="34">
        <f>SUM(C74:C77)</f>
        <v>7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3</v>
      </c>
      <c r="AA26" s="34">
        <f t="shared" si="18"/>
        <v>0</v>
      </c>
      <c r="AB26" s="34">
        <f t="shared" si="18"/>
        <v>6</v>
      </c>
      <c r="AC26" s="34">
        <f t="shared" si="18"/>
        <v>20</v>
      </c>
      <c r="AD26" s="34">
        <f t="shared" si="18"/>
        <v>0</v>
      </c>
      <c r="AE26" s="31">
        <f t="shared" si="18"/>
        <v>20</v>
      </c>
      <c r="AF26" s="31">
        <f t="shared" si="18"/>
        <v>40</v>
      </c>
    </row>
    <row r="27" spans="2:32" ht="23.1" customHeight="1" x14ac:dyDescent="0.25">
      <c r="B27" s="45" t="s">
        <v>54</v>
      </c>
      <c r="C27" s="50">
        <v>2</v>
      </c>
      <c r="D27" s="50">
        <v>4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33</v>
      </c>
      <c r="N27" s="50">
        <v>0</v>
      </c>
      <c r="O27" s="15">
        <f t="shared" si="0"/>
        <v>8</v>
      </c>
      <c r="P27" s="15">
        <f t="shared" si="1"/>
        <v>41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3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2</v>
      </c>
      <c r="AA27" s="34">
        <f t="shared" si="19"/>
        <v>2</v>
      </c>
      <c r="AB27" s="34">
        <f t="shared" si="19"/>
        <v>8</v>
      </c>
      <c r="AC27" s="34">
        <f t="shared" si="19"/>
        <v>4</v>
      </c>
      <c r="AD27" s="34">
        <f t="shared" si="19"/>
        <v>0</v>
      </c>
      <c r="AE27" s="31">
        <f t="shared" si="19"/>
        <v>19</v>
      </c>
      <c r="AF27" s="31">
        <f t="shared" si="19"/>
        <v>23</v>
      </c>
    </row>
    <row r="28" spans="2:32" ht="23.1" customHeight="1" x14ac:dyDescent="0.25">
      <c r="B28" s="45" t="s">
        <v>55</v>
      </c>
      <c r="C28" s="50">
        <v>7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1</v>
      </c>
      <c r="J28" s="50">
        <v>2</v>
      </c>
      <c r="K28" s="50">
        <v>0</v>
      </c>
      <c r="L28" s="50">
        <v>1</v>
      </c>
      <c r="M28" s="50">
        <v>36</v>
      </c>
      <c r="N28" s="50">
        <v>0</v>
      </c>
      <c r="O28" s="15">
        <f t="shared" si="0"/>
        <v>14</v>
      </c>
      <c r="P28" s="15">
        <f t="shared" si="1"/>
        <v>50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3</v>
      </c>
      <c r="AA28" s="34">
        <f t="shared" si="20"/>
        <v>1</v>
      </c>
      <c r="AB28" s="34">
        <f t="shared" si="20"/>
        <v>3</v>
      </c>
      <c r="AC28" s="34">
        <f t="shared" si="20"/>
        <v>0</v>
      </c>
      <c r="AD28" s="34">
        <f t="shared" si="20"/>
        <v>0</v>
      </c>
      <c r="AE28" s="31">
        <f t="shared" si="20"/>
        <v>11</v>
      </c>
      <c r="AF28" s="31">
        <f t="shared" si="20"/>
        <v>11</v>
      </c>
    </row>
    <row r="29" spans="2:32" ht="23.1" customHeight="1" x14ac:dyDescent="0.25">
      <c r="B29" s="45" t="s">
        <v>56</v>
      </c>
      <c r="C29" s="50">
        <v>3</v>
      </c>
      <c r="D29" s="50">
        <v>1</v>
      </c>
      <c r="E29" s="50">
        <v>1</v>
      </c>
      <c r="F29" s="50">
        <v>1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1</v>
      </c>
      <c r="M29" s="50">
        <v>37</v>
      </c>
      <c r="N29" s="50">
        <v>0</v>
      </c>
      <c r="O29" s="15">
        <f t="shared" si="0"/>
        <v>11</v>
      </c>
      <c r="P29" s="15">
        <f t="shared" si="1"/>
        <v>48</v>
      </c>
      <c r="R29" s="36" t="s">
        <v>153</v>
      </c>
      <c r="S29" s="34">
        <f>SUM(C86:C89)</f>
        <v>1</v>
      </c>
      <c r="T29" s="34">
        <f t="shared" ref="T29:AF29" si="21">SUM(D86:D89)</f>
        <v>2</v>
      </c>
      <c r="U29" s="34">
        <f t="shared" si="21"/>
        <v>0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2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9</v>
      </c>
      <c r="AF29" s="31">
        <f t="shared" si="21"/>
        <v>11</v>
      </c>
    </row>
    <row r="30" spans="2:32" ht="23.1" customHeight="1" x14ac:dyDescent="0.25">
      <c r="B30" s="45" t="s">
        <v>57</v>
      </c>
      <c r="C30" s="50">
        <v>7</v>
      </c>
      <c r="D30" s="50">
        <v>2</v>
      </c>
      <c r="E30" s="50">
        <v>4</v>
      </c>
      <c r="F30" s="50">
        <v>5</v>
      </c>
      <c r="G30" s="50">
        <v>0</v>
      </c>
      <c r="H30" s="50">
        <v>0</v>
      </c>
      <c r="I30" s="50">
        <v>5</v>
      </c>
      <c r="J30" s="50">
        <v>6</v>
      </c>
      <c r="K30" s="50">
        <v>0</v>
      </c>
      <c r="L30" s="50">
        <v>0</v>
      </c>
      <c r="M30" s="50">
        <v>46</v>
      </c>
      <c r="N30" s="50">
        <v>0</v>
      </c>
      <c r="O30" s="15">
        <f t="shared" si="0"/>
        <v>29</v>
      </c>
      <c r="P30" s="15">
        <f t="shared" si="1"/>
        <v>75</v>
      </c>
      <c r="R30" s="36" t="s">
        <v>154</v>
      </c>
      <c r="S30" s="34">
        <f>SUM(C90:C93)</f>
        <v>1</v>
      </c>
      <c r="T30" s="34">
        <f t="shared" ref="T30:AF30" si="22">SUM(D90:D93)</f>
        <v>3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2</v>
      </c>
      <c r="AA30" s="34">
        <f t="shared" si="22"/>
        <v>1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4</v>
      </c>
      <c r="D31" s="50">
        <v>1</v>
      </c>
      <c r="E31" s="50">
        <v>0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2</v>
      </c>
      <c r="M31" s="50">
        <v>31</v>
      </c>
      <c r="N31" s="50">
        <v>0</v>
      </c>
      <c r="O31" s="15">
        <f t="shared" si="0"/>
        <v>10</v>
      </c>
      <c r="P31" s="15">
        <f t="shared" si="1"/>
        <v>41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1</v>
      </c>
      <c r="AB31" s="34">
        <f t="shared" si="23"/>
        <v>1</v>
      </c>
      <c r="AC31" s="34">
        <f t="shared" si="23"/>
        <v>5</v>
      </c>
      <c r="AD31" s="34">
        <f t="shared" si="23"/>
        <v>0</v>
      </c>
      <c r="AE31" s="31">
        <f t="shared" si="23"/>
        <v>5</v>
      </c>
      <c r="AF31" s="31">
        <f t="shared" si="23"/>
        <v>10</v>
      </c>
    </row>
    <row r="32" spans="2:32" ht="23.1" customHeight="1" x14ac:dyDescent="0.25">
      <c r="B32" s="46" t="s">
        <v>59</v>
      </c>
      <c r="C32" s="50">
        <v>4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1</v>
      </c>
      <c r="M32" s="50">
        <v>36</v>
      </c>
      <c r="N32" s="50">
        <v>0</v>
      </c>
      <c r="O32" s="15">
        <f t="shared" si="0"/>
        <v>9</v>
      </c>
      <c r="P32" s="15">
        <f t="shared" si="1"/>
        <v>45</v>
      </c>
      <c r="R32" s="33" t="s">
        <v>156</v>
      </c>
      <c r="S32" s="34">
        <f>SUM(C98:C101)</f>
        <v>1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5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11</v>
      </c>
      <c r="AD32" s="34">
        <f t="shared" si="24"/>
        <v>0</v>
      </c>
      <c r="AE32" s="31">
        <f t="shared" si="24"/>
        <v>10</v>
      </c>
      <c r="AF32" s="31">
        <f t="shared" si="24"/>
        <v>21</v>
      </c>
    </row>
    <row r="33" spans="2:32" ht="23.1" customHeight="1" x14ac:dyDescent="0.25">
      <c r="B33" s="45" t="s">
        <v>60</v>
      </c>
      <c r="C33" s="50">
        <v>6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32</v>
      </c>
      <c r="N33" s="50">
        <v>1</v>
      </c>
      <c r="O33" s="15">
        <f t="shared" si="0"/>
        <v>11</v>
      </c>
      <c r="P33" s="15">
        <f t="shared" si="1"/>
        <v>43</v>
      </c>
      <c r="R33" s="33" t="s">
        <v>157</v>
      </c>
      <c r="S33" s="34">
        <f>SUM(C102:C105)</f>
        <v>3</v>
      </c>
      <c r="T33" s="34">
        <f t="shared" ref="T33:AF33" si="25">SUM(D102:D105)</f>
        <v>3</v>
      </c>
      <c r="U33" s="34">
        <f t="shared" si="25"/>
        <v>1</v>
      </c>
      <c r="V33" s="34">
        <f t="shared" si="25"/>
        <v>7</v>
      </c>
      <c r="W33" s="34">
        <f t="shared" si="25"/>
        <v>0</v>
      </c>
      <c r="X33" s="34">
        <f t="shared" si="25"/>
        <v>1</v>
      </c>
      <c r="Y33" s="34">
        <f t="shared" si="25"/>
        <v>2</v>
      </c>
      <c r="Z33" s="34">
        <f t="shared" si="25"/>
        <v>4</v>
      </c>
      <c r="AA33" s="34">
        <f t="shared" si="25"/>
        <v>0</v>
      </c>
      <c r="AB33" s="34">
        <f t="shared" si="25"/>
        <v>0</v>
      </c>
      <c r="AC33" s="34">
        <f t="shared" si="25"/>
        <v>56</v>
      </c>
      <c r="AD33" s="34">
        <f t="shared" si="25"/>
        <v>0</v>
      </c>
      <c r="AE33" s="31">
        <f t="shared" si="25"/>
        <v>21</v>
      </c>
      <c r="AF33" s="31">
        <f t="shared" si="25"/>
        <v>77</v>
      </c>
    </row>
    <row r="34" spans="2:32" ht="23.1" customHeight="1" x14ac:dyDescent="0.25">
      <c r="B34" s="46" t="s">
        <v>61</v>
      </c>
      <c r="C34" s="50">
        <v>10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20</v>
      </c>
      <c r="N34" s="50">
        <v>0</v>
      </c>
      <c r="O34" s="15">
        <f t="shared" si="0"/>
        <v>11</v>
      </c>
      <c r="P34" s="15">
        <f t="shared" si="1"/>
        <v>31</v>
      </c>
      <c r="R34" s="38" t="s">
        <v>90</v>
      </c>
      <c r="S34" s="39">
        <f t="shared" ref="S34:AF34" si="26">MAX(S10:S12)</f>
        <v>18</v>
      </c>
      <c r="T34" s="39">
        <f t="shared" si="26"/>
        <v>1</v>
      </c>
      <c r="U34" s="39">
        <f t="shared" si="26"/>
        <v>2</v>
      </c>
      <c r="V34" s="39">
        <f t="shared" si="26"/>
        <v>5</v>
      </c>
      <c r="W34" s="39">
        <f t="shared" si="26"/>
        <v>1</v>
      </c>
      <c r="X34" s="39">
        <f t="shared" si="26"/>
        <v>2</v>
      </c>
      <c r="Y34" s="39">
        <f t="shared" si="26"/>
        <v>4</v>
      </c>
      <c r="Z34" s="39">
        <f t="shared" si="26"/>
        <v>5</v>
      </c>
      <c r="AA34" s="39">
        <f t="shared" si="26"/>
        <v>4</v>
      </c>
      <c r="AB34" s="39">
        <f t="shared" si="26"/>
        <v>0</v>
      </c>
      <c r="AC34" s="39">
        <f t="shared" si="26"/>
        <v>101</v>
      </c>
      <c r="AD34" s="39">
        <f t="shared" si="26"/>
        <v>1</v>
      </c>
      <c r="AE34" s="40">
        <f t="shared" si="26"/>
        <v>35</v>
      </c>
      <c r="AF34" s="40">
        <f t="shared" si="26"/>
        <v>136</v>
      </c>
    </row>
    <row r="35" spans="2:32" ht="23.1" customHeight="1" x14ac:dyDescent="0.25">
      <c r="B35" s="46" t="s">
        <v>62</v>
      </c>
      <c r="C35" s="50">
        <v>5</v>
      </c>
      <c r="D35" s="50">
        <v>1</v>
      </c>
      <c r="E35" s="50">
        <v>1</v>
      </c>
      <c r="F35" s="50">
        <v>2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31</v>
      </c>
      <c r="N35" s="50">
        <v>0</v>
      </c>
      <c r="O35" s="15">
        <f t="shared" si="0"/>
        <v>11</v>
      </c>
      <c r="P35" s="15">
        <f t="shared" si="1"/>
        <v>42</v>
      </c>
      <c r="R35" s="38" t="s">
        <v>91</v>
      </c>
      <c r="S35" s="39">
        <f t="shared" ref="S35:AF35" si="27">MAX(S13:S18)</f>
        <v>27</v>
      </c>
      <c r="T35" s="39">
        <f t="shared" si="27"/>
        <v>7</v>
      </c>
      <c r="U35" s="39">
        <f t="shared" si="27"/>
        <v>6</v>
      </c>
      <c r="V35" s="39">
        <f t="shared" si="27"/>
        <v>10</v>
      </c>
      <c r="W35" s="39">
        <f t="shared" si="27"/>
        <v>1</v>
      </c>
      <c r="X35" s="39">
        <f t="shared" si="27"/>
        <v>0</v>
      </c>
      <c r="Y35" s="39">
        <f t="shared" si="27"/>
        <v>9</v>
      </c>
      <c r="Z35" s="39">
        <f t="shared" si="27"/>
        <v>7</v>
      </c>
      <c r="AA35" s="39">
        <f t="shared" si="27"/>
        <v>1</v>
      </c>
      <c r="AB35" s="39">
        <f t="shared" si="27"/>
        <v>6</v>
      </c>
      <c r="AC35" s="39">
        <f t="shared" si="27"/>
        <v>203</v>
      </c>
      <c r="AD35" s="39">
        <f t="shared" si="27"/>
        <v>1</v>
      </c>
      <c r="AE35" s="40">
        <f t="shared" si="27"/>
        <v>59</v>
      </c>
      <c r="AF35" s="40">
        <f t="shared" si="27"/>
        <v>258</v>
      </c>
    </row>
    <row r="36" spans="2:32" ht="23.1" customHeight="1" x14ac:dyDescent="0.25">
      <c r="B36" s="46" t="s">
        <v>63</v>
      </c>
      <c r="C36" s="50">
        <v>2</v>
      </c>
      <c r="D36" s="50">
        <v>1</v>
      </c>
      <c r="E36" s="50">
        <v>1</v>
      </c>
      <c r="F36" s="50">
        <v>2</v>
      </c>
      <c r="G36" s="50">
        <v>1</v>
      </c>
      <c r="H36" s="50">
        <v>0</v>
      </c>
      <c r="I36" s="50">
        <v>3</v>
      </c>
      <c r="J36" s="50">
        <v>1</v>
      </c>
      <c r="K36" s="50">
        <v>0</v>
      </c>
      <c r="L36" s="50">
        <v>1</v>
      </c>
      <c r="M36" s="50">
        <v>33</v>
      </c>
      <c r="N36" s="50">
        <v>0</v>
      </c>
      <c r="O36" s="15">
        <f t="shared" si="0"/>
        <v>12</v>
      </c>
      <c r="P36" s="15">
        <f t="shared" si="1"/>
        <v>45</v>
      </c>
      <c r="R36" s="38" t="s">
        <v>92</v>
      </c>
      <c r="S36" s="39">
        <f t="shared" ref="S36:AF36" si="28">MAX(S19:S21)</f>
        <v>27</v>
      </c>
      <c r="T36" s="39">
        <f t="shared" si="28"/>
        <v>8</v>
      </c>
      <c r="U36" s="39">
        <f t="shared" si="28"/>
        <v>4</v>
      </c>
      <c r="V36" s="39">
        <f t="shared" si="28"/>
        <v>9</v>
      </c>
      <c r="W36" s="39">
        <f t="shared" si="28"/>
        <v>1</v>
      </c>
      <c r="X36" s="39">
        <f t="shared" si="28"/>
        <v>0</v>
      </c>
      <c r="Y36" s="39">
        <f t="shared" si="28"/>
        <v>21</v>
      </c>
      <c r="Z36" s="39">
        <f t="shared" si="28"/>
        <v>6</v>
      </c>
      <c r="AA36" s="39">
        <f t="shared" si="28"/>
        <v>2</v>
      </c>
      <c r="AB36" s="39">
        <f t="shared" si="28"/>
        <v>2</v>
      </c>
      <c r="AC36" s="39">
        <f t="shared" si="28"/>
        <v>173</v>
      </c>
      <c r="AD36" s="39">
        <f t="shared" si="28"/>
        <v>1</v>
      </c>
      <c r="AE36" s="40">
        <f t="shared" si="28"/>
        <v>65</v>
      </c>
      <c r="AF36" s="40">
        <f t="shared" si="28"/>
        <v>223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2</v>
      </c>
      <c r="M37" s="50">
        <v>40</v>
      </c>
      <c r="N37" s="50">
        <v>0</v>
      </c>
      <c r="O37" s="15">
        <f t="shared" si="0"/>
        <v>8</v>
      </c>
      <c r="P37" s="15">
        <f t="shared" si="1"/>
        <v>48</v>
      </c>
      <c r="R37" s="37" t="s">
        <v>85</v>
      </c>
      <c r="S37" s="35">
        <f t="shared" ref="S37:AF37" si="29">SUM(S10:S12)</f>
        <v>40</v>
      </c>
      <c r="T37" s="16">
        <f t="shared" si="29"/>
        <v>1</v>
      </c>
      <c r="U37" s="16">
        <f t="shared" si="29"/>
        <v>4</v>
      </c>
      <c r="V37" s="16">
        <f t="shared" si="29"/>
        <v>14</v>
      </c>
      <c r="W37" s="16">
        <f t="shared" si="29"/>
        <v>2</v>
      </c>
      <c r="X37" s="16">
        <f t="shared" si="29"/>
        <v>3</v>
      </c>
      <c r="Y37" s="16">
        <f t="shared" si="29"/>
        <v>6</v>
      </c>
      <c r="Z37" s="16">
        <f t="shared" si="29"/>
        <v>11</v>
      </c>
      <c r="AA37" s="16">
        <f t="shared" si="29"/>
        <v>5</v>
      </c>
      <c r="AB37" s="16">
        <f t="shared" si="29"/>
        <v>0</v>
      </c>
      <c r="AC37" s="16">
        <f t="shared" si="29"/>
        <v>259</v>
      </c>
      <c r="AD37" s="16">
        <f t="shared" si="29"/>
        <v>1</v>
      </c>
      <c r="AE37" s="32">
        <f t="shared" si="29"/>
        <v>87</v>
      </c>
      <c r="AF37" s="32">
        <f t="shared" si="29"/>
        <v>346</v>
      </c>
    </row>
    <row r="38" spans="2:32" ht="23.1" customHeight="1" x14ac:dyDescent="0.25">
      <c r="B38" s="46" t="s">
        <v>65</v>
      </c>
      <c r="C38" s="50">
        <v>2</v>
      </c>
      <c r="D38" s="50">
        <v>1</v>
      </c>
      <c r="E38" s="50">
        <v>1</v>
      </c>
      <c r="F38" s="50">
        <v>4</v>
      </c>
      <c r="G38" s="50">
        <v>0</v>
      </c>
      <c r="H38" s="50">
        <v>0</v>
      </c>
      <c r="I38" s="50">
        <v>3</v>
      </c>
      <c r="J38" s="50">
        <v>4</v>
      </c>
      <c r="K38" s="50">
        <v>0</v>
      </c>
      <c r="L38" s="50">
        <v>0</v>
      </c>
      <c r="M38" s="50">
        <v>25</v>
      </c>
      <c r="N38" s="50">
        <v>0</v>
      </c>
      <c r="O38" s="15">
        <f t="shared" si="0"/>
        <v>15</v>
      </c>
      <c r="P38" s="15">
        <f t="shared" si="1"/>
        <v>40</v>
      </c>
      <c r="R38" s="28" t="s">
        <v>86</v>
      </c>
      <c r="S38" s="16">
        <f t="shared" ref="S38:AF38" si="30">SUM(S13:S18)</f>
        <v>110</v>
      </c>
      <c r="T38" s="16">
        <f t="shared" si="30"/>
        <v>18</v>
      </c>
      <c r="U38" s="16">
        <f t="shared" si="30"/>
        <v>21</v>
      </c>
      <c r="V38" s="16">
        <f t="shared" si="30"/>
        <v>37</v>
      </c>
      <c r="W38" s="16">
        <f t="shared" si="30"/>
        <v>2</v>
      </c>
      <c r="X38" s="16">
        <f t="shared" si="30"/>
        <v>0</v>
      </c>
      <c r="Y38" s="16">
        <f t="shared" si="30"/>
        <v>46</v>
      </c>
      <c r="Z38" s="16">
        <f t="shared" si="30"/>
        <v>32</v>
      </c>
      <c r="AA38" s="16">
        <f t="shared" si="30"/>
        <v>1</v>
      </c>
      <c r="AB38" s="16">
        <f t="shared" si="30"/>
        <v>18</v>
      </c>
      <c r="AC38" s="16">
        <f t="shared" si="30"/>
        <v>905</v>
      </c>
      <c r="AD38" s="16">
        <f t="shared" si="30"/>
        <v>2</v>
      </c>
      <c r="AE38" s="32">
        <f t="shared" si="30"/>
        <v>287</v>
      </c>
      <c r="AF38" s="32">
        <f t="shared" si="30"/>
        <v>1192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4</v>
      </c>
      <c r="P39" s="15">
        <f t="shared" si="1"/>
        <v>25</v>
      </c>
      <c r="R39" s="29" t="s">
        <v>87</v>
      </c>
      <c r="S39" s="16">
        <f t="shared" ref="S39:AF39" si="31">SUM(S19:S21)</f>
        <v>64</v>
      </c>
      <c r="T39" s="16">
        <f t="shared" si="31"/>
        <v>14</v>
      </c>
      <c r="U39" s="16">
        <f t="shared" si="31"/>
        <v>10</v>
      </c>
      <c r="V39" s="16">
        <f t="shared" si="31"/>
        <v>19</v>
      </c>
      <c r="W39" s="16">
        <f t="shared" si="31"/>
        <v>1</v>
      </c>
      <c r="X39" s="16">
        <f t="shared" si="31"/>
        <v>0</v>
      </c>
      <c r="Y39" s="16">
        <f t="shared" si="31"/>
        <v>37</v>
      </c>
      <c r="Z39" s="16">
        <f t="shared" si="31"/>
        <v>11</v>
      </c>
      <c r="AA39" s="16">
        <f t="shared" si="31"/>
        <v>2</v>
      </c>
      <c r="AB39" s="16">
        <f t="shared" si="31"/>
        <v>4</v>
      </c>
      <c r="AC39" s="16">
        <f t="shared" si="31"/>
        <v>430</v>
      </c>
      <c r="AD39" s="16">
        <f t="shared" si="31"/>
        <v>1</v>
      </c>
      <c r="AE39" s="32">
        <f t="shared" si="31"/>
        <v>163</v>
      </c>
      <c r="AF39" s="32">
        <f t="shared" si="31"/>
        <v>593</v>
      </c>
    </row>
    <row r="40" spans="2:32" ht="23.1" customHeight="1" x14ac:dyDescent="0.25">
      <c r="B40" s="46" t="s">
        <v>67</v>
      </c>
      <c r="C40" s="50">
        <v>4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3</v>
      </c>
      <c r="M40" s="50">
        <v>30</v>
      </c>
      <c r="N40" s="50">
        <v>0</v>
      </c>
      <c r="O40" s="15">
        <f t="shared" si="0"/>
        <v>11</v>
      </c>
      <c r="P40" s="15">
        <f t="shared" si="1"/>
        <v>41</v>
      </c>
      <c r="R40" s="5" t="s">
        <v>17</v>
      </c>
      <c r="S40" s="16">
        <f t="shared" ref="S40:AF40" si="32">SUM(S10:S21)</f>
        <v>214</v>
      </c>
      <c r="T40" s="16">
        <f t="shared" si="32"/>
        <v>33</v>
      </c>
      <c r="U40" s="16">
        <f t="shared" si="32"/>
        <v>35</v>
      </c>
      <c r="V40" s="16">
        <f t="shared" si="32"/>
        <v>70</v>
      </c>
      <c r="W40" s="16">
        <f t="shared" si="32"/>
        <v>5</v>
      </c>
      <c r="X40" s="16">
        <f t="shared" si="32"/>
        <v>3</v>
      </c>
      <c r="Y40" s="16">
        <f t="shared" si="32"/>
        <v>89</v>
      </c>
      <c r="Z40" s="16">
        <f t="shared" si="32"/>
        <v>54</v>
      </c>
      <c r="AA40" s="16">
        <f t="shared" si="32"/>
        <v>8</v>
      </c>
      <c r="AB40" s="16">
        <f t="shared" si="32"/>
        <v>22</v>
      </c>
      <c r="AC40" s="16">
        <f t="shared" si="32"/>
        <v>1594</v>
      </c>
      <c r="AD40" s="16">
        <f t="shared" si="32"/>
        <v>4</v>
      </c>
      <c r="AE40" s="32">
        <f t="shared" si="32"/>
        <v>537</v>
      </c>
      <c r="AF40" s="32">
        <f t="shared" si="32"/>
        <v>2131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25</v>
      </c>
      <c r="N41" s="50">
        <v>0</v>
      </c>
      <c r="O41" s="15">
        <f t="shared" si="0"/>
        <v>4</v>
      </c>
      <c r="P41" s="15">
        <f t="shared" si="1"/>
        <v>29</v>
      </c>
      <c r="R41" s="5" t="s">
        <v>159</v>
      </c>
      <c r="S41" s="16">
        <f>SUM(S10:S33)</f>
        <v>299</v>
      </c>
      <c r="T41" s="16">
        <f t="shared" ref="T41:AF41" si="33">SUM(T10:T33)</f>
        <v>43</v>
      </c>
      <c r="U41" s="16">
        <f t="shared" si="33"/>
        <v>44</v>
      </c>
      <c r="V41" s="16">
        <f t="shared" si="33"/>
        <v>92</v>
      </c>
      <c r="W41" s="16">
        <f t="shared" si="33"/>
        <v>6</v>
      </c>
      <c r="X41" s="16">
        <f t="shared" si="33"/>
        <v>7</v>
      </c>
      <c r="Y41" s="16">
        <f t="shared" si="33"/>
        <v>131</v>
      </c>
      <c r="Z41" s="16">
        <f t="shared" si="33"/>
        <v>91</v>
      </c>
      <c r="AA41" s="16">
        <f t="shared" si="33"/>
        <v>17</v>
      </c>
      <c r="AB41" s="16">
        <f t="shared" si="33"/>
        <v>57</v>
      </c>
      <c r="AC41" s="16">
        <f t="shared" si="33"/>
        <v>2038</v>
      </c>
      <c r="AD41" s="16">
        <f t="shared" si="33"/>
        <v>5</v>
      </c>
      <c r="AE41" s="32">
        <f t="shared" si="33"/>
        <v>792</v>
      </c>
      <c r="AF41" s="32">
        <f t="shared" si="33"/>
        <v>2830</v>
      </c>
    </row>
    <row r="42" spans="2:32" ht="23.1" customHeight="1" x14ac:dyDescent="0.25">
      <c r="B42" s="46" t="s">
        <v>69</v>
      </c>
      <c r="C42" s="50">
        <v>4</v>
      </c>
      <c r="D42" s="50">
        <v>1</v>
      </c>
      <c r="E42" s="50">
        <v>3</v>
      </c>
      <c r="F42" s="50">
        <v>2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1</v>
      </c>
      <c r="M42" s="50">
        <v>51</v>
      </c>
      <c r="N42" s="50">
        <v>0</v>
      </c>
      <c r="O42" s="15">
        <f t="shared" si="0"/>
        <v>13</v>
      </c>
      <c r="P42" s="15">
        <f t="shared" si="1"/>
        <v>64</v>
      </c>
      <c r="R42" s="5" t="s">
        <v>160</v>
      </c>
      <c r="S42" s="48">
        <f>S41/S40</f>
        <v>1.3971962616822431</v>
      </c>
      <c r="T42" s="48">
        <f t="shared" ref="T42:AF42" si="34">T41/T40</f>
        <v>1.303030303030303</v>
      </c>
      <c r="U42" s="48">
        <f t="shared" si="34"/>
        <v>1.2571428571428571</v>
      </c>
      <c r="V42" s="48">
        <f t="shared" si="34"/>
        <v>1.3142857142857143</v>
      </c>
      <c r="W42" s="48">
        <f t="shared" si="34"/>
        <v>1.2</v>
      </c>
      <c r="X42" s="48">
        <f t="shared" si="34"/>
        <v>2.3333333333333335</v>
      </c>
      <c r="Y42" s="48">
        <f t="shared" si="34"/>
        <v>1.4719101123595506</v>
      </c>
      <c r="Z42" s="48">
        <f t="shared" si="34"/>
        <v>1.6851851851851851</v>
      </c>
      <c r="AA42" s="48">
        <f t="shared" si="34"/>
        <v>2.125</v>
      </c>
      <c r="AB42" s="48">
        <f t="shared" si="34"/>
        <v>2.5909090909090908</v>
      </c>
      <c r="AC42" s="48">
        <f t="shared" si="34"/>
        <v>1.2785445420326222</v>
      </c>
      <c r="AD42" s="48">
        <f t="shared" si="34"/>
        <v>1.25</v>
      </c>
      <c r="AE42" s="48">
        <f t="shared" si="34"/>
        <v>1.4748603351955307</v>
      </c>
      <c r="AF42" s="48">
        <f t="shared" si="34"/>
        <v>1.3280150164242139</v>
      </c>
    </row>
    <row r="43" spans="2:32" ht="23.1" customHeight="1" x14ac:dyDescent="0.25">
      <c r="B43" s="45" t="s">
        <v>70</v>
      </c>
      <c r="C43" s="50">
        <v>5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3</v>
      </c>
      <c r="J43" s="50">
        <v>1</v>
      </c>
      <c r="K43" s="50">
        <v>0</v>
      </c>
      <c r="L43" s="50">
        <v>1</v>
      </c>
      <c r="M43" s="50">
        <v>43</v>
      </c>
      <c r="N43" s="50">
        <v>0</v>
      </c>
      <c r="O43" s="15">
        <f t="shared" si="0"/>
        <v>11</v>
      </c>
      <c r="P43" s="15">
        <f t="shared" si="1"/>
        <v>54</v>
      </c>
    </row>
    <row r="44" spans="2:32" ht="23.1" customHeight="1" x14ac:dyDescent="0.25">
      <c r="B44" s="47" t="s">
        <v>71</v>
      </c>
      <c r="C44" s="50">
        <v>6</v>
      </c>
      <c r="D44" s="50">
        <v>3</v>
      </c>
      <c r="E44" s="50">
        <v>2</v>
      </c>
      <c r="F44" s="50">
        <v>1</v>
      </c>
      <c r="G44" s="50">
        <v>0</v>
      </c>
      <c r="H44" s="50">
        <v>0</v>
      </c>
      <c r="I44" s="50">
        <v>0</v>
      </c>
      <c r="J44" s="50">
        <v>3</v>
      </c>
      <c r="K44" s="50">
        <v>1</v>
      </c>
      <c r="L44" s="50">
        <v>0</v>
      </c>
      <c r="M44" s="50">
        <v>45</v>
      </c>
      <c r="N44" s="50">
        <v>0</v>
      </c>
      <c r="O44" s="15">
        <f t="shared" si="0"/>
        <v>16</v>
      </c>
      <c r="P44" s="15">
        <f t="shared" si="1"/>
        <v>61</v>
      </c>
    </row>
    <row r="45" spans="2:32" ht="23.1" customHeight="1" x14ac:dyDescent="0.25">
      <c r="B45" s="45" t="s">
        <v>72</v>
      </c>
      <c r="C45" s="50">
        <v>4</v>
      </c>
      <c r="D45" s="50">
        <v>3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4</v>
      </c>
      <c r="M45" s="50">
        <v>31</v>
      </c>
      <c r="N45" s="50">
        <v>0</v>
      </c>
      <c r="O45" s="15">
        <f t="shared" si="0"/>
        <v>15</v>
      </c>
      <c r="P45" s="15">
        <f t="shared" si="1"/>
        <v>46</v>
      </c>
    </row>
    <row r="46" spans="2:32" ht="23.1" customHeight="1" x14ac:dyDescent="0.25">
      <c r="B46" s="46" t="s">
        <v>73</v>
      </c>
      <c r="C46" s="50">
        <v>5</v>
      </c>
      <c r="D46" s="50">
        <v>0</v>
      </c>
      <c r="E46" s="50">
        <v>0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1</v>
      </c>
      <c r="M46" s="50">
        <v>16</v>
      </c>
      <c r="N46" s="50">
        <v>0</v>
      </c>
      <c r="O46" s="15">
        <f t="shared" si="0"/>
        <v>10</v>
      </c>
      <c r="P46" s="15">
        <f t="shared" si="1"/>
        <v>26</v>
      </c>
      <c r="R46" s="8"/>
      <c r="T46"/>
    </row>
    <row r="47" spans="2:32" ht="23.1" customHeight="1" x14ac:dyDescent="0.25">
      <c r="B47" s="46" t="s">
        <v>74</v>
      </c>
      <c r="C47" s="50">
        <v>8</v>
      </c>
      <c r="D47" s="50">
        <v>1</v>
      </c>
      <c r="E47" s="50">
        <v>2</v>
      </c>
      <c r="F47" s="50">
        <v>3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50</v>
      </c>
      <c r="N47" s="50">
        <v>0</v>
      </c>
      <c r="O47" s="15">
        <f t="shared" si="0"/>
        <v>20</v>
      </c>
      <c r="P47" s="15">
        <f t="shared" si="1"/>
        <v>70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62</v>
      </c>
      <c r="N48" s="50">
        <v>0</v>
      </c>
      <c r="O48" s="15">
        <f t="shared" si="0"/>
        <v>10</v>
      </c>
      <c r="P48" s="15">
        <f t="shared" si="1"/>
        <v>72</v>
      </c>
      <c r="R48" s="8"/>
      <c r="T48"/>
    </row>
    <row r="49" spans="2:20" ht="23.1" customHeight="1" x14ac:dyDescent="0.25">
      <c r="B49" s="45" t="s">
        <v>76</v>
      </c>
      <c r="C49" s="50">
        <v>7</v>
      </c>
      <c r="D49" s="50">
        <v>0</v>
      </c>
      <c r="E49" s="50">
        <v>1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45</v>
      </c>
      <c r="N49" s="50">
        <v>0</v>
      </c>
      <c r="O49" s="15">
        <f t="shared" si="0"/>
        <v>10</v>
      </c>
      <c r="P49" s="15">
        <f t="shared" si="1"/>
        <v>55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1</v>
      </c>
      <c r="E50" s="50">
        <v>1</v>
      </c>
      <c r="F50" s="50">
        <v>2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35</v>
      </c>
      <c r="N50" s="50">
        <v>0</v>
      </c>
      <c r="O50" s="15">
        <f t="shared" si="0"/>
        <v>13</v>
      </c>
      <c r="P50" s="15">
        <f t="shared" si="1"/>
        <v>48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2</v>
      </c>
      <c r="E51" s="50">
        <v>2</v>
      </c>
      <c r="F51" s="50">
        <v>1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28</v>
      </c>
      <c r="N51" s="50">
        <v>0</v>
      </c>
      <c r="O51" s="15">
        <f t="shared" si="0"/>
        <v>13</v>
      </c>
      <c r="P51" s="15">
        <f t="shared" si="1"/>
        <v>41</v>
      </c>
      <c r="R51" s="8"/>
      <c r="T51"/>
    </row>
    <row r="52" spans="2:20" ht="23.1" customHeight="1" x14ac:dyDescent="0.25">
      <c r="B52" s="46" t="s">
        <v>79</v>
      </c>
      <c r="C52" s="50">
        <v>4</v>
      </c>
      <c r="D52" s="50">
        <v>1</v>
      </c>
      <c r="E52" s="50">
        <v>1</v>
      </c>
      <c r="F52" s="50">
        <v>0</v>
      </c>
      <c r="G52" s="50">
        <v>0</v>
      </c>
      <c r="H52" s="50">
        <v>0</v>
      </c>
      <c r="I52" s="50">
        <v>10</v>
      </c>
      <c r="J52" s="50">
        <v>3</v>
      </c>
      <c r="K52" s="50">
        <v>0</v>
      </c>
      <c r="L52" s="50">
        <v>0</v>
      </c>
      <c r="M52" s="50">
        <v>26</v>
      </c>
      <c r="N52" s="50">
        <v>0</v>
      </c>
      <c r="O52" s="15">
        <f t="shared" si="0"/>
        <v>19</v>
      </c>
      <c r="P52" s="15">
        <f t="shared" si="1"/>
        <v>45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1</v>
      </c>
      <c r="E53" s="50">
        <v>0</v>
      </c>
      <c r="F53" s="50">
        <v>3</v>
      </c>
      <c r="G53" s="50">
        <v>1</v>
      </c>
      <c r="H53" s="50">
        <v>0</v>
      </c>
      <c r="I53" s="50">
        <v>2</v>
      </c>
      <c r="J53" s="50">
        <v>3</v>
      </c>
      <c r="K53" s="50">
        <v>2</v>
      </c>
      <c r="L53" s="50">
        <v>2</v>
      </c>
      <c r="M53" s="50">
        <v>41</v>
      </c>
      <c r="N53" s="50">
        <v>1</v>
      </c>
      <c r="O53" s="15">
        <f t="shared" si="0"/>
        <v>20</v>
      </c>
      <c r="P53" s="15">
        <f t="shared" si="1"/>
        <v>61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4</v>
      </c>
      <c r="E54" s="50">
        <v>0</v>
      </c>
      <c r="F54" s="50">
        <v>2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35</v>
      </c>
      <c r="N54" s="50">
        <v>0</v>
      </c>
      <c r="O54" s="15">
        <f t="shared" si="0"/>
        <v>16</v>
      </c>
      <c r="P54" s="15">
        <f t="shared" si="1"/>
        <v>51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30</v>
      </c>
      <c r="N55" s="50">
        <v>0</v>
      </c>
      <c r="O55" s="15">
        <f t="shared" si="0"/>
        <v>8</v>
      </c>
      <c r="P55" s="15">
        <f t="shared" si="1"/>
        <v>38</v>
      </c>
      <c r="R55" s="8"/>
      <c r="T55"/>
    </row>
    <row r="56" spans="2:20" ht="23.1" customHeight="1" x14ac:dyDescent="0.25">
      <c r="B56" s="45" t="s">
        <v>83</v>
      </c>
      <c r="C56" s="50">
        <v>5</v>
      </c>
      <c r="D56" s="50">
        <v>1</v>
      </c>
      <c r="E56" s="50">
        <v>0</v>
      </c>
      <c r="F56" s="50">
        <v>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33</v>
      </c>
      <c r="N56" s="50">
        <v>0</v>
      </c>
      <c r="O56" s="15">
        <f t="shared" si="0"/>
        <v>10</v>
      </c>
      <c r="P56" s="15">
        <f t="shared" si="1"/>
        <v>43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2</v>
      </c>
      <c r="E57" s="50">
        <v>2</v>
      </c>
      <c r="F57" s="50">
        <v>0</v>
      </c>
      <c r="G57" s="50">
        <v>0</v>
      </c>
      <c r="H57" s="50">
        <v>0</v>
      </c>
      <c r="I57" s="50">
        <v>3</v>
      </c>
      <c r="J57" s="50">
        <v>3</v>
      </c>
      <c r="K57" s="50">
        <v>0</v>
      </c>
      <c r="L57" s="50">
        <v>1</v>
      </c>
      <c r="M57" s="50">
        <v>29</v>
      </c>
      <c r="N57" s="50">
        <v>0</v>
      </c>
      <c r="O57" s="15">
        <f t="shared" si="0"/>
        <v>14</v>
      </c>
      <c r="P57" s="15">
        <f t="shared" si="1"/>
        <v>43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0</v>
      </c>
      <c r="F58" s="50">
        <v>1</v>
      </c>
      <c r="G58" s="50">
        <v>0</v>
      </c>
      <c r="H58" s="50">
        <v>1</v>
      </c>
      <c r="I58" s="50">
        <v>2</v>
      </c>
      <c r="J58" s="50">
        <v>2</v>
      </c>
      <c r="K58" s="50">
        <v>0</v>
      </c>
      <c r="L58" s="50">
        <v>0</v>
      </c>
      <c r="M58" s="50">
        <v>32</v>
      </c>
      <c r="N58" s="50">
        <v>1</v>
      </c>
      <c r="O58" s="15">
        <f t="shared" si="0"/>
        <v>11</v>
      </c>
      <c r="P58" s="15">
        <f t="shared" si="1"/>
        <v>43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0</v>
      </c>
      <c r="E59" s="50">
        <v>0</v>
      </c>
      <c r="F59" s="50">
        <v>2</v>
      </c>
      <c r="G59" s="50">
        <v>0</v>
      </c>
      <c r="H59" s="50">
        <v>0</v>
      </c>
      <c r="I59" s="50">
        <v>2</v>
      </c>
      <c r="J59" s="50">
        <v>2</v>
      </c>
      <c r="K59" s="50">
        <v>0</v>
      </c>
      <c r="L59" s="50">
        <v>1</v>
      </c>
      <c r="M59" s="50">
        <v>35</v>
      </c>
      <c r="N59" s="50">
        <v>0</v>
      </c>
      <c r="O59" s="15">
        <f t="shared" si="0"/>
        <v>14</v>
      </c>
      <c r="P59" s="15">
        <f t="shared" si="1"/>
        <v>49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4</v>
      </c>
      <c r="J60" s="50">
        <v>3</v>
      </c>
      <c r="K60" s="50">
        <v>0</v>
      </c>
      <c r="L60" s="50">
        <v>1</v>
      </c>
      <c r="M60" s="50">
        <v>42</v>
      </c>
      <c r="N60" s="50">
        <v>0</v>
      </c>
      <c r="O60" s="15">
        <f t="shared" si="0"/>
        <v>14</v>
      </c>
      <c r="P60" s="15">
        <f t="shared" si="1"/>
        <v>56</v>
      </c>
      <c r="R60" s="8"/>
      <c r="T60"/>
    </row>
    <row r="61" spans="2:20" ht="23.1" customHeight="1" x14ac:dyDescent="0.25">
      <c r="B61" s="45" t="s">
        <v>102</v>
      </c>
      <c r="C61" s="50">
        <v>9</v>
      </c>
      <c r="D61" s="50">
        <v>0</v>
      </c>
      <c r="E61" s="50">
        <v>3</v>
      </c>
      <c r="F61" s="50">
        <v>0</v>
      </c>
      <c r="G61" s="50">
        <v>0</v>
      </c>
      <c r="H61" s="50">
        <v>2</v>
      </c>
      <c r="I61" s="50">
        <v>3</v>
      </c>
      <c r="J61" s="50">
        <v>1</v>
      </c>
      <c r="K61" s="50">
        <v>0</v>
      </c>
      <c r="L61" s="50">
        <v>1</v>
      </c>
      <c r="M61" s="50">
        <v>31</v>
      </c>
      <c r="N61" s="50">
        <v>0</v>
      </c>
      <c r="O61" s="15">
        <f t="shared" si="0"/>
        <v>19</v>
      </c>
      <c r="P61" s="15">
        <f t="shared" si="1"/>
        <v>50</v>
      </c>
      <c r="R61" s="8"/>
      <c r="T61"/>
    </row>
    <row r="62" spans="2:20" ht="23.1" customHeight="1" x14ac:dyDescent="0.25">
      <c r="B62" s="45" t="s">
        <v>107</v>
      </c>
      <c r="C62" s="50">
        <v>6</v>
      </c>
      <c r="D62" s="50">
        <v>0</v>
      </c>
      <c r="E62" s="50">
        <v>1</v>
      </c>
      <c r="F62" s="50">
        <v>2</v>
      </c>
      <c r="G62" s="50">
        <v>0</v>
      </c>
      <c r="H62" s="50">
        <v>0</v>
      </c>
      <c r="I62" s="50">
        <v>2</v>
      </c>
      <c r="J62" s="50">
        <v>1</v>
      </c>
      <c r="K62" s="50">
        <v>0</v>
      </c>
      <c r="L62" s="50">
        <v>2</v>
      </c>
      <c r="M62" s="50">
        <v>49</v>
      </c>
      <c r="N62" s="50">
        <v>0</v>
      </c>
      <c r="O62" s="15">
        <f t="shared" si="0"/>
        <v>14</v>
      </c>
      <c r="P62" s="15">
        <f t="shared" si="1"/>
        <v>63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1</v>
      </c>
      <c r="K63" s="50">
        <v>1</v>
      </c>
      <c r="L63" s="50">
        <v>0</v>
      </c>
      <c r="M63" s="50">
        <v>29</v>
      </c>
      <c r="N63" s="50">
        <v>0</v>
      </c>
      <c r="O63" s="15">
        <f t="shared" si="0"/>
        <v>3</v>
      </c>
      <c r="P63" s="15">
        <f t="shared" si="1"/>
        <v>32</v>
      </c>
      <c r="R63" s="8"/>
      <c r="T63"/>
    </row>
    <row r="64" spans="2:20" ht="23.1" customHeight="1" x14ac:dyDescent="0.25">
      <c r="B64" s="45" t="s">
        <v>109</v>
      </c>
      <c r="C64" s="50">
        <v>7</v>
      </c>
      <c r="D64" s="50">
        <v>0</v>
      </c>
      <c r="E64" s="50">
        <v>0</v>
      </c>
      <c r="F64" s="50">
        <v>1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28</v>
      </c>
      <c r="N64" s="50">
        <v>0</v>
      </c>
      <c r="O64" s="15">
        <f t="shared" si="0"/>
        <v>9</v>
      </c>
      <c r="P64" s="15">
        <f t="shared" si="1"/>
        <v>37</v>
      </c>
      <c r="R64" s="8"/>
      <c r="T64"/>
    </row>
    <row r="65" spans="2:20" ht="23.1" customHeight="1" x14ac:dyDescent="0.25">
      <c r="B65" s="45" t="s">
        <v>158</v>
      </c>
      <c r="C65" s="50">
        <v>12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5</v>
      </c>
      <c r="J65" s="50">
        <v>1</v>
      </c>
      <c r="K65" s="50">
        <v>0</v>
      </c>
      <c r="L65" s="50">
        <v>9</v>
      </c>
      <c r="M65" s="50">
        <v>40</v>
      </c>
      <c r="N65" s="50">
        <v>0</v>
      </c>
      <c r="O65" s="15">
        <f t="shared" si="0"/>
        <v>27</v>
      </c>
      <c r="P65" s="15">
        <f t="shared" si="1"/>
        <v>67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2</v>
      </c>
      <c r="K66" s="50">
        <v>0</v>
      </c>
      <c r="L66" s="50">
        <v>0</v>
      </c>
      <c r="M66" s="50">
        <v>10</v>
      </c>
      <c r="N66" s="50">
        <v>0</v>
      </c>
      <c r="O66" s="15">
        <f t="shared" si="0"/>
        <v>5</v>
      </c>
      <c r="P66" s="15">
        <f t="shared" si="1"/>
        <v>15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8</v>
      </c>
      <c r="N67" s="50">
        <v>0</v>
      </c>
      <c r="O67" s="15">
        <f t="shared" si="0"/>
        <v>3</v>
      </c>
      <c r="P67" s="15">
        <f t="shared" si="1"/>
        <v>11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0</v>
      </c>
      <c r="F68" s="50">
        <v>0</v>
      </c>
      <c r="G68" s="50">
        <v>1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11</v>
      </c>
      <c r="N68" s="50">
        <v>0</v>
      </c>
      <c r="O68" s="15">
        <f t="shared" si="0"/>
        <v>5</v>
      </c>
      <c r="P68" s="15">
        <f t="shared" si="1"/>
        <v>16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3</v>
      </c>
      <c r="K69" s="50">
        <v>1</v>
      </c>
      <c r="L69" s="50">
        <v>0</v>
      </c>
      <c r="M69" s="50">
        <v>8</v>
      </c>
      <c r="N69" s="50">
        <v>0</v>
      </c>
      <c r="O69" s="15">
        <f t="shared" si="0"/>
        <v>7</v>
      </c>
      <c r="P69" s="15">
        <f t="shared" si="1"/>
        <v>15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5</v>
      </c>
      <c r="J70" s="50">
        <v>2</v>
      </c>
      <c r="K70" s="50">
        <v>0</v>
      </c>
      <c r="L70" s="50">
        <v>0</v>
      </c>
      <c r="M70" s="50">
        <v>9</v>
      </c>
      <c r="N70" s="50">
        <v>0</v>
      </c>
      <c r="O70" s="15">
        <f t="shared" si="0"/>
        <v>12</v>
      </c>
      <c r="P70" s="15">
        <f t="shared" si="1"/>
        <v>21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1</v>
      </c>
      <c r="M71" s="50">
        <v>5</v>
      </c>
      <c r="N71" s="50">
        <v>0</v>
      </c>
      <c r="O71" s="15">
        <f t="shared" si="0"/>
        <v>2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3</v>
      </c>
      <c r="N72" s="50">
        <v>0</v>
      </c>
      <c r="O72" s="15">
        <f t="shared" si="0"/>
        <v>1</v>
      </c>
      <c r="P72" s="15">
        <f t="shared" si="1"/>
        <v>4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1</v>
      </c>
      <c r="M73" s="50">
        <v>6</v>
      </c>
      <c r="N73" s="50">
        <v>0</v>
      </c>
      <c r="O73" s="15">
        <f t="shared" si="0"/>
        <v>5</v>
      </c>
      <c r="P73" s="15">
        <f t="shared" si="1"/>
        <v>11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2</v>
      </c>
      <c r="M74" s="50">
        <v>6</v>
      </c>
      <c r="N74" s="50">
        <v>0</v>
      </c>
      <c r="O74" s="15">
        <f t="shared" ref="O74:O105" si="35">SUM(C74:L74,N74)</f>
        <v>5</v>
      </c>
      <c r="P74" s="15">
        <f t="shared" ref="P74:P105" si="36">SUM(C74:N74)</f>
        <v>11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1</v>
      </c>
      <c r="M75" s="50">
        <v>3</v>
      </c>
      <c r="N75" s="50">
        <v>0</v>
      </c>
      <c r="O75" s="15">
        <f t="shared" si="35"/>
        <v>3</v>
      </c>
      <c r="P75" s="15">
        <f t="shared" si="36"/>
        <v>6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2</v>
      </c>
      <c r="J76" s="50">
        <v>1</v>
      </c>
      <c r="K76" s="50">
        <v>0</v>
      </c>
      <c r="L76" s="50">
        <v>0</v>
      </c>
      <c r="M76" s="50">
        <v>6</v>
      </c>
      <c r="N76" s="50">
        <v>0</v>
      </c>
      <c r="O76" s="15">
        <f t="shared" si="35"/>
        <v>6</v>
      </c>
      <c r="P76" s="15">
        <f t="shared" si="36"/>
        <v>12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2</v>
      </c>
      <c r="K77" s="50">
        <v>0</v>
      </c>
      <c r="L77" s="50">
        <v>3</v>
      </c>
      <c r="M77" s="50">
        <v>5</v>
      </c>
      <c r="N77" s="50">
        <v>0</v>
      </c>
      <c r="O77" s="15">
        <f t="shared" si="35"/>
        <v>6</v>
      </c>
      <c r="P77" s="15">
        <f t="shared" si="36"/>
        <v>11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2</v>
      </c>
      <c r="K78" s="50">
        <v>0</v>
      </c>
      <c r="L78" s="50">
        <v>1</v>
      </c>
      <c r="M78" s="50">
        <v>3</v>
      </c>
      <c r="N78" s="50">
        <v>0</v>
      </c>
      <c r="O78" s="15">
        <f t="shared" si="35"/>
        <v>3</v>
      </c>
      <c r="P78" s="15">
        <f t="shared" si="36"/>
        <v>6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2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2</v>
      </c>
      <c r="L79" s="50">
        <v>3</v>
      </c>
      <c r="M79" s="50">
        <v>1</v>
      </c>
      <c r="N79" s="50">
        <v>0</v>
      </c>
      <c r="O79" s="15">
        <f t="shared" si="35"/>
        <v>8</v>
      </c>
      <c r="P79" s="15">
        <f t="shared" si="36"/>
        <v>9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2</v>
      </c>
      <c r="M80" s="50">
        <v>0</v>
      </c>
      <c r="N80" s="50"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2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2</v>
      </c>
      <c r="K82" s="50">
        <v>0</v>
      </c>
      <c r="L82" s="50">
        <v>1</v>
      </c>
      <c r="M82" s="50">
        <v>0</v>
      </c>
      <c r="N82" s="50">
        <v>0</v>
      </c>
      <c r="O82" s="15">
        <f t="shared" si="35"/>
        <v>5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1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2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1</v>
      </c>
      <c r="L88" s="50">
        <v>0</v>
      </c>
      <c r="M88" s="50">
        <v>2</v>
      </c>
      <c r="N88" s="50">
        <v>0</v>
      </c>
      <c r="O88" s="15">
        <f t="shared" si="35"/>
        <v>1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2</v>
      </c>
      <c r="G89" s="50">
        <v>0</v>
      </c>
      <c r="H89" s="50">
        <v>0</v>
      </c>
      <c r="I89" s="50">
        <v>2</v>
      </c>
      <c r="J89" s="50">
        <v>0</v>
      </c>
      <c r="K89" s="50">
        <v>1</v>
      </c>
      <c r="L89" s="50">
        <v>0</v>
      </c>
      <c r="M89" s="50">
        <v>0</v>
      </c>
      <c r="N89" s="50">
        <v>0</v>
      </c>
      <c r="O89" s="15">
        <f t="shared" si="35"/>
        <v>5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2</v>
      </c>
      <c r="J92" s="50">
        <v>0</v>
      </c>
      <c r="K92" s="50">
        <v>1</v>
      </c>
      <c r="L92" s="50">
        <v>0</v>
      </c>
      <c r="M92" s="50">
        <v>0</v>
      </c>
      <c r="N92" s="50">
        <v>0</v>
      </c>
      <c r="O92" s="15">
        <f t="shared" si="35"/>
        <v>4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2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2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4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1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1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1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5">
        <f t="shared" si="35"/>
        <v>3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1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0</v>
      </c>
      <c r="F100" s="50">
        <v>3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5</v>
      </c>
      <c r="P100" s="15">
        <f t="shared" si="36"/>
        <v>8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1</v>
      </c>
      <c r="P101" s="15">
        <f t="shared" si="36"/>
        <v>3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9</v>
      </c>
      <c r="N102" s="50">
        <v>0</v>
      </c>
      <c r="O102" s="15">
        <f t="shared" si="35"/>
        <v>4</v>
      </c>
      <c r="P102" s="15">
        <f t="shared" si="36"/>
        <v>13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0</v>
      </c>
      <c r="F103" s="50">
        <v>2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11</v>
      </c>
      <c r="N103" s="50">
        <v>0</v>
      </c>
      <c r="O103" s="15">
        <f t="shared" si="35"/>
        <v>4</v>
      </c>
      <c r="P103" s="15">
        <f t="shared" si="36"/>
        <v>15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1</v>
      </c>
      <c r="E104" s="50">
        <v>0</v>
      </c>
      <c r="F104" s="50">
        <v>0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12</v>
      </c>
      <c r="N104" s="50">
        <v>0</v>
      </c>
      <c r="O104" s="15">
        <f t="shared" si="35"/>
        <v>2</v>
      </c>
      <c r="P104" s="15">
        <f t="shared" si="36"/>
        <v>14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0</v>
      </c>
      <c r="F105" s="50">
        <v>3</v>
      </c>
      <c r="G105" s="50">
        <v>0</v>
      </c>
      <c r="H105" s="50">
        <v>1</v>
      </c>
      <c r="I105" s="50">
        <v>1</v>
      </c>
      <c r="J105" s="50">
        <v>3</v>
      </c>
      <c r="K105" s="50">
        <v>0</v>
      </c>
      <c r="L105" s="50">
        <v>0</v>
      </c>
      <c r="M105" s="50">
        <v>24</v>
      </c>
      <c r="N105" s="50">
        <v>0</v>
      </c>
      <c r="O105" s="15">
        <f t="shared" si="35"/>
        <v>11</v>
      </c>
      <c r="P105" s="15">
        <f t="shared" si="36"/>
        <v>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299</v>
      </c>
      <c r="D106" s="16">
        <f t="shared" ref="D106:P106" si="37">SUM(D10:D105)</f>
        <v>43</v>
      </c>
      <c r="E106" s="16">
        <f t="shared" si="37"/>
        <v>44</v>
      </c>
      <c r="F106" s="16">
        <f t="shared" si="37"/>
        <v>92</v>
      </c>
      <c r="G106" s="16">
        <f t="shared" si="37"/>
        <v>6</v>
      </c>
      <c r="H106" s="16">
        <f t="shared" si="37"/>
        <v>7</v>
      </c>
      <c r="I106" s="16">
        <f t="shared" si="37"/>
        <v>131</v>
      </c>
      <c r="J106" s="16">
        <f t="shared" si="37"/>
        <v>91</v>
      </c>
      <c r="K106" s="16">
        <f t="shared" si="37"/>
        <v>17</v>
      </c>
      <c r="L106" s="16">
        <f t="shared" si="37"/>
        <v>57</v>
      </c>
      <c r="M106" s="16">
        <f t="shared" si="37"/>
        <v>2038</v>
      </c>
      <c r="N106" s="16">
        <f t="shared" si="37"/>
        <v>5</v>
      </c>
      <c r="O106" s="16">
        <f t="shared" si="37"/>
        <v>792</v>
      </c>
      <c r="P106" s="16">
        <f t="shared" si="37"/>
        <v>2830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0.10565371024734982</v>
      </c>
      <c r="D107" s="43">
        <f t="shared" si="38"/>
        <v>1.519434628975265E-2</v>
      </c>
      <c r="E107" s="43">
        <f t="shared" si="38"/>
        <v>1.5547703180212015E-2</v>
      </c>
      <c r="F107" s="43">
        <f t="shared" si="38"/>
        <v>3.2508833922261483E-2</v>
      </c>
      <c r="G107" s="43">
        <f t="shared" si="38"/>
        <v>2.1201413427561835E-3</v>
      </c>
      <c r="H107" s="43">
        <f t="shared" si="38"/>
        <v>2.4734982332155478E-3</v>
      </c>
      <c r="I107" s="43">
        <f t="shared" si="38"/>
        <v>4.628975265017668E-2</v>
      </c>
      <c r="J107" s="43">
        <f t="shared" si="38"/>
        <v>3.2155477031802118E-2</v>
      </c>
      <c r="K107" s="43">
        <f t="shared" si="38"/>
        <v>6.0070671378091873E-3</v>
      </c>
      <c r="L107" s="43">
        <f t="shared" si="38"/>
        <v>2.0141342756183747E-2</v>
      </c>
      <c r="M107" s="43">
        <f t="shared" si="38"/>
        <v>0.7201413427561838</v>
      </c>
      <c r="N107" s="43">
        <f t="shared" si="38"/>
        <v>1.7667844522968198E-3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0.37752525252525254</v>
      </c>
      <c r="D108" s="44">
        <f t="shared" ref="D108:N108" si="39">D106/$O$106</f>
        <v>5.4292929292929296E-2</v>
      </c>
      <c r="E108" s="44">
        <f t="shared" si="39"/>
        <v>5.5555555555555552E-2</v>
      </c>
      <c r="F108" s="44">
        <f t="shared" si="39"/>
        <v>0.11616161616161616</v>
      </c>
      <c r="G108" s="44">
        <f t="shared" si="39"/>
        <v>7.575757575757576E-3</v>
      </c>
      <c r="H108" s="44">
        <f t="shared" si="39"/>
        <v>8.8383838383838381E-3</v>
      </c>
      <c r="I108" s="44">
        <f t="shared" si="39"/>
        <v>0.16540404040404041</v>
      </c>
      <c r="J108" s="44">
        <f t="shared" si="39"/>
        <v>0.1148989898989899</v>
      </c>
      <c r="K108" s="44">
        <f t="shared" si="39"/>
        <v>2.1464646464646464E-2</v>
      </c>
      <c r="L108" s="44">
        <f t="shared" si="39"/>
        <v>7.1969696969696975E-2</v>
      </c>
      <c r="M108" s="44"/>
      <c r="N108" s="44">
        <f t="shared" si="39"/>
        <v>6.313131313131313E-3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3" t="str">
        <f>'22.08 Musita-Lumino'!G5:H5</f>
        <v>Musita</v>
      </c>
      <c r="H5" s="64"/>
      <c r="I5" s="14"/>
      <c r="J5" s="2" t="s">
        <v>5</v>
      </c>
      <c r="K5" s="63" t="str">
        <f>'22.08 Musita-Lumino'!K5:L5</f>
        <v>Nusulah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Musita-Lumino'!D6:E6</f>
        <v>Musita</v>
      </c>
      <c r="E6" s="64"/>
      <c r="F6" s="2" t="s">
        <v>2</v>
      </c>
      <c r="G6" s="63" t="str">
        <f>'22.08 Musita-Lumino'!G6:H6</f>
        <v>Lumino</v>
      </c>
      <c r="H6" s="64"/>
      <c r="J6" s="2" t="s">
        <v>21</v>
      </c>
      <c r="K6" s="63" t="str">
        <f>'22.08 Musita-Lumino'!K6:L6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2</v>
      </c>
      <c r="G10" s="50">
        <v>2</v>
      </c>
      <c r="H10" s="50">
        <v>0</v>
      </c>
      <c r="I10" s="50">
        <v>1</v>
      </c>
      <c r="J10" s="50">
        <v>6</v>
      </c>
      <c r="K10" s="50">
        <v>1</v>
      </c>
      <c r="L10" s="50">
        <v>0</v>
      </c>
      <c r="M10" s="50">
        <v>22</v>
      </c>
      <c r="N10" s="50">
        <v>1</v>
      </c>
      <c r="O10" s="15">
        <f t="shared" ref="O10:O57" si="0">SUM(C10:L10,N10)</f>
        <v>16</v>
      </c>
      <c r="P10" s="15">
        <f t="shared" ref="P10:P57" si="1">SUM(C10:N10)</f>
        <v>38</v>
      </c>
      <c r="R10" s="1" t="s">
        <v>6</v>
      </c>
      <c r="S10" s="17">
        <f t="shared" ref="S10:AF10" si="2">SUM(C10:C13)</f>
        <v>11</v>
      </c>
      <c r="T10" s="17">
        <f t="shared" si="2"/>
        <v>2</v>
      </c>
      <c r="U10" s="17">
        <f t="shared" si="2"/>
        <v>2</v>
      </c>
      <c r="V10" s="17">
        <f t="shared" si="2"/>
        <v>4</v>
      </c>
      <c r="W10" s="17">
        <f t="shared" si="2"/>
        <v>2</v>
      </c>
      <c r="X10" s="17">
        <f t="shared" si="2"/>
        <v>0</v>
      </c>
      <c r="Y10" s="17">
        <f t="shared" si="2"/>
        <v>7</v>
      </c>
      <c r="Z10" s="17">
        <f t="shared" si="2"/>
        <v>10</v>
      </c>
      <c r="AA10" s="17">
        <f t="shared" si="2"/>
        <v>1</v>
      </c>
      <c r="AB10" s="17">
        <f t="shared" si="2"/>
        <v>2</v>
      </c>
      <c r="AC10" s="17">
        <f t="shared" si="2"/>
        <v>153</v>
      </c>
      <c r="AD10" s="17">
        <f t="shared" si="2"/>
        <v>2</v>
      </c>
      <c r="AE10" s="31">
        <f t="shared" si="2"/>
        <v>43</v>
      </c>
      <c r="AF10" s="31">
        <f t="shared" si="2"/>
        <v>196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30</v>
      </c>
      <c r="N11" s="50">
        <v>0</v>
      </c>
      <c r="O11" s="15">
        <f t="shared" si="0"/>
        <v>8</v>
      </c>
      <c r="P11" s="15">
        <f t="shared" si="1"/>
        <v>38</v>
      </c>
      <c r="R11" s="1" t="s">
        <v>7</v>
      </c>
      <c r="S11" s="17">
        <f t="shared" ref="S11:AF11" si="3">SUM(C14:C17)</f>
        <v>9</v>
      </c>
      <c r="T11" s="17">
        <f t="shared" si="3"/>
        <v>2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2</v>
      </c>
      <c r="AA11" s="17">
        <f t="shared" si="3"/>
        <v>0</v>
      </c>
      <c r="AB11" s="17">
        <f t="shared" si="3"/>
        <v>3</v>
      </c>
      <c r="AC11" s="17">
        <f t="shared" si="3"/>
        <v>107</v>
      </c>
      <c r="AD11" s="17">
        <f t="shared" si="3"/>
        <v>0</v>
      </c>
      <c r="AE11" s="31">
        <f t="shared" si="3"/>
        <v>30</v>
      </c>
      <c r="AF11" s="31">
        <f t="shared" si="3"/>
        <v>137</v>
      </c>
    </row>
    <row r="12" spans="2:32" ht="23.1" customHeight="1" x14ac:dyDescent="0.25">
      <c r="B12" s="23" t="s">
        <v>39</v>
      </c>
      <c r="C12" s="50">
        <v>1</v>
      </c>
      <c r="D12" s="50">
        <v>1</v>
      </c>
      <c r="E12" s="50">
        <v>0</v>
      </c>
      <c r="F12" s="50">
        <v>1</v>
      </c>
      <c r="G12" s="50">
        <v>0</v>
      </c>
      <c r="H12" s="50">
        <v>0</v>
      </c>
      <c r="I12" s="50">
        <v>2</v>
      </c>
      <c r="J12" s="50">
        <v>2</v>
      </c>
      <c r="K12" s="50">
        <v>0</v>
      </c>
      <c r="L12" s="50">
        <v>1</v>
      </c>
      <c r="M12" s="50">
        <v>30</v>
      </c>
      <c r="N12" s="50">
        <v>1</v>
      </c>
      <c r="O12" s="15">
        <f t="shared" si="0"/>
        <v>9</v>
      </c>
      <c r="P12" s="15">
        <f t="shared" si="1"/>
        <v>39</v>
      </c>
      <c r="R12" s="1" t="s">
        <v>8</v>
      </c>
      <c r="S12" s="17">
        <f t="shared" ref="S12:AF12" si="4">SUM(C18:C21)</f>
        <v>17</v>
      </c>
      <c r="T12" s="17">
        <f t="shared" si="4"/>
        <v>3</v>
      </c>
      <c r="U12" s="17">
        <f t="shared" si="4"/>
        <v>4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4</v>
      </c>
      <c r="AA12" s="17">
        <f t="shared" si="4"/>
        <v>0</v>
      </c>
      <c r="AB12" s="17">
        <f t="shared" si="4"/>
        <v>2</v>
      </c>
      <c r="AC12" s="17">
        <f t="shared" si="4"/>
        <v>179</v>
      </c>
      <c r="AD12" s="17">
        <f t="shared" si="4"/>
        <v>0</v>
      </c>
      <c r="AE12" s="31">
        <f t="shared" si="4"/>
        <v>40</v>
      </c>
      <c r="AF12" s="31">
        <f t="shared" si="4"/>
        <v>219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2</v>
      </c>
      <c r="F13" s="50">
        <v>0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1</v>
      </c>
      <c r="M13" s="50">
        <v>71</v>
      </c>
      <c r="N13" s="50">
        <v>0</v>
      </c>
      <c r="O13" s="15">
        <f t="shared" si="0"/>
        <v>10</v>
      </c>
      <c r="P13" s="15">
        <f t="shared" si="1"/>
        <v>81</v>
      </c>
      <c r="R13" s="1" t="s">
        <v>9</v>
      </c>
      <c r="S13" s="17">
        <f t="shared" ref="S13:AF13" si="5">SUM(C22:C25)</f>
        <v>13</v>
      </c>
      <c r="T13" s="17">
        <f t="shared" si="5"/>
        <v>9</v>
      </c>
      <c r="U13" s="17">
        <f t="shared" si="5"/>
        <v>4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8</v>
      </c>
      <c r="AA13" s="17">
        <f t="shared" si="5"/>
        <v>0</v>
      </c>
      <c r="AB13" s="17">
        <f t="shared" si="5"/>
        <v>2</v>
      </c>
      <c r="AC13" s="17">
        <f t="shared" si="5"/>
        <v>146</v>
      </c>
      <c r="AD13" s="17">
        <f t="shared" si="5"/>
        <v>0</v>
      </c>
      <c r="AE13" s="31">
        <f t="shared" si="5"/>
        <v>45</v>
      </c>
      <c r="AF13" s="31">
        <f t="shared" si="5"/>
        <v>191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12</v>
      </c>
      <c r="N14" s="50">
        <v>0</v>
      </c>
      <c r="O14" s="15">
        <f t="shared" si="0"/>
        <v>6</v>
      </c>
      <c r="P14" s="15">
        <f t="shared" si="1"/>
        <v>18</v>
      </c>
      <c r="R14" s="1" t="s">
        <v>10</v>
      </c>
      <c r="S14" s="17">
        <f t="shared" ref="S14:AF14" si="6">SUM(C26:C29)</f>
        <v>21</v>
      </c>
      <c r="T14" s="17">
        <f t="shared" si="6"/>
        <v>4</v>
      </c>
      <c r="U14" s="17">
        <f t="shared" si="6"/>
        <v>0</v>
      </c>
      <c r="V14" s="17">
        <f t="shared" si="6"/>
        <v>6</v>
      </c>
      <c r="W14" s="17">
        <f t="shared" si="6"/>
        <v>1</v>
      </c>
      <c r="X14" s="17">
        <f t="shared" si="6"/>
        <v>0</v>
      </c>
      <c r="Y14" s="17">
        <f t="shared" si="6"/>
        <v>4</v>
      </c>
      <c r="Z14" s="17">
        <f t="shared" si="6"/>
        <v>7</v>
      </c>
      <c r="AA14" s="17">
        <f t="shared" si="6"/>
        <v>0</v>
      </c>
      <c r="AB14" s="17">
        <f t="shared" si="6"/>
        <v>1</v>
      </c>
      <c r="AC14" s="17">
        <f t="shared" si="6"/>
        <v>153</v>
      </c>
      <c r="AD14" s="17">
        <f t="shared" si="6"/>
        <v>2</v>
      </c>
      <c r="AE14" s="31">
        <f t="shared" si="6"/>
        <v>46</v>
      </c>
      <c r="AF14" s="31">
        <f t="shared" si="6"/>
        <v>199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1</v>
      </c>
      <c r="F15" s="50">
        <v>0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25</v>
      </c>
      <c r="N15" s="50">
        <v>0</v>
      </c>
      <c r="O15" s="15">
        <f t="shared" si="0"/>
        <v>6</v>
      </c>
      <c r="P15" s="15">
        <f t="shared" si="1"/>
        <v>31</v>
      </c>
      <c r="R15" s="1" t="s">
        <v>11</v>
      </c>
      <c r="S15" s="17">
        <f t="shared" ref="S15:AF15" si="7">SUM(C30:C33)</f>
        <v>22</v>
      </c>
      <c r="T15" s="17">
        <f t="shared" si="7"/>
        <v>0</v>
      </c>
      <c r="U15" s="17">
        <f t="shared" si="7"/>
        <v>5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3</v>
      </c>
      <c r="AA15" s="17">
        <f t="shared" si="7"/>
        <v>3</v>
      </c>
      <c r="AB15" s="17">
        <f t="shared" si="7"/>
        <v>2</v>
      </c>
      <c r="AC15" s="17">
        <f t="shared" si="7"/>
        <v>157</v>
      </c>
      <c r="AD15" s="17">
        <f t="shared" si="7"/>
        <v>1</v>
      </c>
      <c r="AE15" s="31">
        <f t="shared" si="7"/>
        <v>47</v>
      </c>
      <c r="AF15" s="31">
        <f t="shared" si="7"/>
        <v>204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1</v>
      </c>
      <c r="M16" s="50">
        <v>45</v>
      </c>
      <c r="N16" s="50">
        <v>0</v>
      </c>
      <c r="O16" s="15">
        <f t="shared" si="0"/>
        <v>8</v>
      </c>
      <c r="P16" s="15">
        <f t="shared" si="1"/>
        <v>53</v>
      </c>
      <c r="R16" s="1" t="s">
        <v>12</v>
      </c>
      <c r="S16" s="17">
        <f t="shared" ref="S16:AF16" si="8">SUM(C34:C37)</f>
        <v>25</v>
      </c>
      <c r="T16" s="17">
        <f t="shared" si="8"/>
        <v>2</v>
      </c>
      <c r="U16" s="17">
        <f t="shared" si="8"/>
        <v>1</v>
      </c>
      <c r="V16" s="17">
        <f t="shared" si="8"/>
        <v>7</v>
      </c>
      <c r="W16" s="17">
        <f t="shared" si="8"/>
        <v>1</v>
      </c>
      <c r="X16" s="17">
        <f t="shared" si="8"/>
        <v>0</v>
      </c>
      <c r="Y16" s="17">
        <f t="shared" si="8"/>
        <v>9</v>
      </c>
      <c r="Z16" s="17">
        <f t="shared" si="8"/>
        <v>3</v>
      </c>
      <c r="AA16" s="17">
        <f t="shared" si="8"/>
        <v>0</v>
      </c>
      <c r="AB16" s="17">
        <f t="shared" si="8"/>
        <v>2</v>
      </c>
      <c r="AC16" s="17">
        <f t="shared" si="8"/>
        <v>119</v>
      </c>
      <c r="AD16" s="17">
        <f t="shared" si="8"/>
        <v>0</v>
      </c>
      <c r="AE16" s="31">
        <f t="shared" si="8"/>
        <v>50</v>
      </c>
      <c r="AF16" s="31">
        <f t="shared" si="8"/>
        <v>169</v>
      </c>
    </row>
    <row r="17" spans="2:32" ht="23.1" customHeight="1" x14ac:dyDescent="0.25">
      <c r="B17" s="23" t="s">
        <v>44</v>
      </c>
      <c r="C17" s="50">
        <v>2</v>
      </c>
      <c r="D17" s="50">
        <v>1</v>
      </c>
      <c r="E17" s="50">
        <v>1</v>
      </c>
      <c r="F17" s="50">
        <v>0</v>
      </c>
      <c r="G17" s="50">
        <v>0</v>
      </c>
      <c r="H17" s="50">
        <v>0</v>
      </c>
      <c r="I17" s="50">
        <v>6</v>
      </c>
      <c r="J17" s="50">
        <v>0</v>
      </c>
      <c r="K17" s="50">
        <v>0</v>
      </c>
      <c r="L17" s="50">
        <v>0</v>
      </c>
      <c r="M17" s="50">
        <v>25</v>
      </c>
      <c r="N17" s="50">
        <v>0</v>
      </c>
      <c r="O17" s="15">
        <f t="shared" si="0"/>
        <v>10</v>
      </c>
      <c r="P17" s="15">
        <f t="shared" si="1"/>
        <v>35</v>
      </c>
      <c r="R17" s="1" t="s">
        <v>13</v>
      </c>
      <c r="S17" s="17">
        <f t="shared" ref="S17:AF17" si="9">SUM(C38:C41)</f>
        <v>19</v>
      </c>
      <c r="T17" s="17">
        <f t="shared" si="9"/>
        <v>7</v>
      </c>
      <c r="U17" s="17">
        <f t="shared" si="9"/>
        <v>4</v>
      </c>
      <c r="V17" s="17">
        <f t="shared" si="9"/>
        <v>16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10</v>
      </c>
      <c r="AA17" s="17">
        <f t="shared" si="9"/>
        <v>0</v>
      </c>
      <c r="AB17" s="17">
        <f t="shared" si="9"/>
        <v>0</v>
      </c>
      <c r="AC17" s="17">
        <f t="shared" si="9"/>
        <v>96</v>
      </c>
      <c r="AD17" s="17">
        <f t="shared" si="9"/>
        <v>0</v>
      </c>
      <c r="AE17" s="31">
        <f t="shared" si="9"/>
        <v>66</v>
      </c>
      <c r="AF17" s="31">
        <f t="shared" si="9"/>
        <v>162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29</v>
      </c>
      <c r="N18" s="50">
        <v>0</v>
      </c>
      <c r="O18" s="15">
        <f t="shared" si="0"/>
        <v>3</v>
      </c>
      <c r="P18" s="15">
        <f t="shared" si="1"/>
        <v>32</v>
      </c>
      <c r="R18" s="1" t="s">
        <v>14</v>
      </c>
      <c r="S18" s="17">
        <f t="shared" ref="S18:AF18" si="10">SUM(C42:C45)</f>
        <v>20</v>
      </c>
      <c r="T18" s="17">
        <f t="shared" si="10"/>
        <v>8</v>
      </c>
      <c r="U18" s="17">
        <f t="shared" si="10"/>
        <v>3</v>
      </c>
      <c r="V18" s="17">
        <f t="shared" si="10"/>
        <v>6</v>
      </c>
      <c r="W18" s="17">
        <f t="shared" si="10"/>
        <v>0</v>
      </c>
      <c r="X18" s="17">
        <f t="shared" si="10"/>
        <v>1</v>
      </c>
      <c r="Y18" s="17">
        <f t="shared" si="10"/>
        <v>2</v>
      </c>
      <c r="Z18" s="17">
        <f t="shared" si="10"/>
        <v>26</v>
      </c>
      <c r="AA18" s="17">
        <f t="shared" si="10"/>
        <v>1</v>
      </c>
      <c r="AB18" s="17">
        <f t="shared" si="10"/>
        <v>1</v>
      </c>
      <c r="AC18" s="17">
        <f t="shared" si="10"/>
        <v>81</v>
      </c>
      <c r="AD18" s="17">
        <f t="shared" si="10"/>
        <v>0</v>
      </c>
      <c r="AE18" s="31">
        <f t="shared" si="10"/>
        <v>68</v>
      </c>
      <c r="AF18" s="31">
        <f t="shared" si="10"/>
        <v>149</v>
      </c>
    </row>
    <row r="19" spans="2:32" ht="23.1" customHeight="1" x14ac:dyDescent="0.25">
      <c r="B19" s="23" t="s">
        <v>46</v>
      </c>
      <c r="C19" s="50">
        <v>3</v>
      </c>
      <c r="D19" s="50">
        <v>2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44</v>
      </c>
      <c r="N19" s="50">
        <v>0</v>
      </c>
      <c r="O19" s="15">
        <f t="shared" si="0"/>
        <v>10</v>
      </c>
      <c r="P19" s="15">
        <f t="shared" si="1"/>
        <v>54</v>
      </c>
      <c r="R19" s="1" t="s">
        <v>15</v>
      </c>
      <c r="S19" s="17">
        <f t="shared" ref="S19:AF19" si="11">SUM(C46:C49)</f>
        <v>24</v>
      </c>
      <c r="T19" s="17">
        <f t="shared" si="11"/>
        <v>2</v>
      </c>
      <c r="U19" s="17">
        <f t="shared" si="11"/>
        <v>1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7</v>
      </c>
      <c r="AA19" s="17">
        <f t="shared" si="11"/>
        <v>1</v>
      </c>
      <c r="AB19" s="17">
        <f t="shared" si="11"/>
        <v>0</v>
      </c>
      <c r="AC19" s="17">
        <f t="shared" si="11"/>
        <v>173</v>
      </c>
      <c r="AD19" s="17">
        <f t="shared" si="11"/>
        <v>0</v>
      </c>
      <c r="AE19" s="31">
        <f t="shared" si="11"/>
        <v>57</v>
      </c>
      <c r="AF19" s="31">
        <f t="shared" si="11"/>
        <v>230</v>
      </c>
    </row>
    <row r="20" spans="2:32" ht="23.1" customHeight="1" x14ac:dyDescent="0.25">
      <c r="B20" s="23" t="s">
        <v>47</v>
      </c>
      <c r="C20" s="50">
        <v>6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47</v>
      </c>
      <c r="N20" s="50">
        <v>0</v>
      </c>
      <c r="O20" s="15">
        <f t="shared" si="0"/>
        <v>10</v>
      </c>
      <c r="P20" s="15">
        <f t="shared" si="1"/>
        <v>57</v>
      </c>
      <c r="R20" s="1" t="s">
        <v>16</v>
      </c>
      <c r="S20" s="17">
        <f t="shared" ref="S20:AF20" si="12">SUM(C50:C53)</f>
        <v>13</v>
      </c>
      <c r="T20" s="17">
        <f t="shared" si="12"/>
        <v>2</v>
      </c>
      <c r="U20" s="17">
        <f t="shared" si="12"/>
        <v>5</v>
      </c>
      <c r="V20" s="17">
        <f t="shared" si="12"/>
        <v>5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10</v>
      </c>
      <c r="AA20" s="17">
        <f t="shared" si="12"/>
        <v>3</v>
      </c>
      <c r="AB20" s="17">
        <f t="shared" si="12"/>
        <v>1</v>
      </c>
      <c r="AC20" s="17">
        <f t="shared" si="12"/>
        <v>201</v>
      </c>
      <c r="AD20" s="17">
        <f t="shared" si="12"/>
        <v>1</v>
      </c>
      <c r="AE20" s="31">
        <f t="shared" si="12"/>
        <v>46</v>
      </c>
      <c r="AF20" s="31">
        <f t="shared" si="12"/>
        <v>247</v>
      </c>
    </row>
    <row r="21" spans="2:32" ht="23.1" customHeight="1" x14ac:dyDescent="0.25">
      <c r="B21" s="23" t="s">
        <v>48</v>
      </c>
      <c r="C21" s="50">
        <v>7</v>
      </c>
      <c r="D21" s="50">
        <v>1</v>
      </c>
      <c r="E21" s="50">
        <v>0</v>
      </c>
      <c r="F21" s="50">
        <v>3</v>
      </c>
      <c r="G21" s="50">
        <v>0</v>
      </c>
      <c r="H21" s="50">
        <v>0</v>
      </c>
      <c r="I21" s="50">
        <v>2</v>
      </c>
      <c r="J21" s="50">
        <v>3</v>
      </c>
      <c r="K21" s="50">
        <v>0</v>
      </c>
      <c r="L21" s="50">
        <v>1</v>
      </c>
      <c r="M21" s="50">
        <v>59</v>
      </c>
      <c r="N21" s="50">
        <v>0</v>
      </c>
      <c r="O21" s="15">
        <f t="shared" si="0"/>
        <v>17</v>
      </c>
      <c r="P21" s="15">
        <f t="shared" si="1"/>
        <v>76</v>
      </c>
      <c r="R21" s="36" t="s">
        <v>20</v>
      </c>
      <c r="S21" s="34">
        <f t="shared" ref="S21:AF21" si="13">SUM(C54:C57)</f>
        <v>17</v>
      </c>
      <c r="T21" s="17">
        <f t="shared" si="13"/>
        <v>10</v>
      </c>
      <c r="U21" s="17">
        <f t="shared" si="13"/>
        <v>3</v>
      </c>
      <c r="V21" s="17">
        <f t="shared" si="13"/>
        <v>11</v>
      </c>
      <c r="W21" s="17">
        <f t="shared" si="13"/>
        <v>2</v>
      </c>
      <c r="X21" s="17">
        <f t="shared" si="13"/>
        <v>0</v>
      </c>
      <c r="Y21" s="17">
        <f t="shared" si="13"/>
        <v>1</v>
      </c>
      <c r="Z21" s="17">
        <f t="shared" si="13"/>
        <v>21</v>
      </c>
      <c r="AA21" s="17">
        <f t="shared" si="13"/>
        <v>1</v>
      </c>
      <c r="AB21" s="17">
        <f t="shared" si="13"/>
        <v>0</v>
      </c>
      <c r="AC21" s="17">
        <f t="shared" si="13"/>
        <v>116</v>
      </c>
      <c r="AD21" s="17">
        <f t="shared" si="13"/>
        <v>0</v>
      </c>
      <c r="AE21" s="31">
        <f t="shared" si="13"/>
        <v>66</v>
      </c>
      <c r="AF21" s="31">
        <f t="shared" si="13"/>
        <v>182</v>
      </c>
    </row>
    <row r="22" spans="2:32" ht="23.1" customHeight="1" x14ac:dyDescent="0.25">
      <c r="B22" s="23" t="s">
        <v>49</v>
      </c>
      <c r="C22" s="50">
        <v>2</v>
      </c>
      <c r="D22" s="50">
        <v>2</v>
      </c>
      <c r="E22" s="50">
        <v>0</v>
      </c>
      <c r="F22" s="50">
        <v>1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58</v>
      </c>
      <c r="N22" s="50">
        <v>0</v>
      </c>
      <c r="O22" s="15">
        <f t="shared" si="0"/>
        <v>8</v>
      </c>
      <c r="P22" s="15">
        <f t="shared" si="1"/>
        <v>66</v>
      </c>
      <c r="R22" s="38" t="s">
        <v>90</v>
      </c>
      <c r="S22" s="39">
        <f>MAX(S10:S12)</f>
        <v>17</v>
      </c>
      <c r="T22" s="39">
        <f t="shared" ref="T22:AF22" si="14">MAX(T10:T12)</f>
        <v>3</v>
      </c>
      <c r="U22" s="39">
        <f t="shared" si="14"/>
        <v>4</v>
      </c>
      <c r="V22" s="39">
        <f t="shared" si="14"/>
        <v>6</v>
      </c>
      <c r="W22" s="39">
        <f t="shared" si="14"/>
        <v>2</v>
      </c>
      <c r="X22" s="39">
        <f t="shared" si="14"/>
        <v>0</v>
      </c>
      <c r="Y22" s="39">
        <f t="shared" si="14"/>
        <v>11</v>
      </c>
      <c r="Z22" s="39">
        <f t="shared" si="14"/>
        <v>10</v>
      </c>
      <c r="AA22" s="39">
        <f t="shared" si="14"/>
        <v>1</v>
      </c>
      <c r="AB22" s="39">
        <f t="shared" si="14"/>
        <v>3</v>
      </c>
      <c r="AC22" s="39">
        <f t="shared" si="14"/>
        <v>179</v>
      </c>
      <c r="AD22" s="39">
        <f t="shared" si="14"/>
        <v>2</v>
      </c>
      <c r="AE22" s="40">
        <f t="shared" si="14"/>
        <v>43</v>
      </c>
      <c r="AF22" s="40">
        <f t="shared" si="14"/>
        <v>219</v>
      </c>
    </row>
    <row r="23" spans="2:32" ht="23.1" customHeight="1" x14ac:dyDescent="0.25">
      <c r="B23" s="23" t="s">
        <v>50</v>
      </c>
      <c r="C23" s="50">
        <v>7</v>
      </c>
      <c r="D23" s="50">
        <v>5</v>
      </c>
      <c r="E23" s="50">
        <v>2</v>
      </c>
      <c r="F23" s="50">
        <v>1</v>
      </c>
      <c r="G23" s="50">
        <v>0</v>
      </c>
      <c r="H23" s="50">
        <v>0</v>
      </c>
      <c r="I23" s="50">
        <v>2</v>
      </c>
      <c r="J23" s="50">
        <v>2</v>
      </c>
      <c r="K23" s="50">
        <v>0</v>
      </c>
      <c r="L23" s="50">
        <v>2</v>
      </c>
      <c r="M23" s="50">
        <v>35</v>
      </c>
      <c r="N23" s="50">
        <v>0</v>
      </c>
      <c r="O23" s="15">
        <f t="shared" si="0"/>
        <v>21</v>
      </c>
      <c r="P23" s="15">
        <f t="shared" si="1"/>
        <v>56</v>
      </c>
      <c r="R23" s="38" t="s">
        <v>91</v>
      </c>
      <c r="S23" s="39">
        <f>MAX(S13:S18)</f>
        <v>25</v>
      </c>
      <c r="T23" s="39">
        <f t="shared" ref="T23:AF23" si="15">MAX(T13:T18)</f>
        <v>9</v>
      </c>
      <c r="U23" s="39">
        <f t="shared" si="15"/>
        <v>5</v>
      </c>
      <c r="V23" s="39">
        <f t="shared" si="15"/>
        <v>16</v>
      </c>
      <c r="W23" s="39">
        <f t="shared" si="15"/>
        <v>1</v>
      </c>
      <c r="X23" s="39">
        <f t="shared" si="15"/>
        <v>1</v>
      </c>
      <c r="Y23" s="39">
        <f t="shared" si="15"/>
        <v>10</v>
      </c>
      <c r="Z23" s="39">
        <f t="shared" si="15"/>
        <v>26</v>
      </c>
      <c r="AA23" s="39">
        <f t="shared" si="15"/>
        <v>3</v>
      </c>
      <c r="AB23" s="39">
        <f t="shared" si="15"/>
        <v>2</v>
      </c>
      <c r="AC23" s="39">
        <f t="shared" si="15"/>
        <v>157</v>
      </c>
      <c r="AD23" s="39">
        <f t="shared" si="15"/>
        <v>2</v>
      </c>
      <c r="AE23" s="40">
        <f t="shared" si="15"/>
        <v>68</v>
      </c>
      <c r="AF23" s="40">
        <f t="shared" si="15"/>
        <v>204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3</v>
      </c>
      <c r="K24" s="50">
        <v>0</v>
      </c>
      <c r="L24" s="50">
        <v>0</v>
      </c>
      <c r="M24" s="50">
        <v>17</v>
      </c>
      <c r="N24" s="50">
        <v>0</v>
      </c>
      <c r="O24" s="15">
        <f t="shared" si="0"/>
        <v>8</v>
      </c>
      <c r="P24" s="15">
        <f t="shared" si="1"/>
        <v>25</v>
      </c>
      <c r="R24" s="38" t="s">
        <v>92</v>
      </c>
      <c r="S24" s="39">
        <f>MAX(S19:S21)</f>
        <v>24</v>
      </c>
      <c r="T24" s="39">
        <f t="shared" ref="T24:AF24" si="16">MAX(T19:T21)</f>
        <v>10</v>
      </c>
      <c r="U24" s="39">
        <f t="shared" si="16"/>
        <v>5</v>
      </c>
      <c r="V24" s="39">
        <f t="shared" si="16"/>
        <v>11</v>
      </c>
      <c r="W24" s="39">
        <f t="shared" si="16"/>
        <v>2</v>
      </c>
      <c r="X24" s="39">
        <f t="shared" si="16"/>
        <v>0</v>
      </c>
      <c r="Y24" s="39">
        <f t="shared" si="16"/>
        <v>14</v>
      </c>
      <c r="Z24" s="39">
        <f t="shared" si="16"/>
        <v>21</v>
      </c>
      <c r="AA24" s="39">
        <f t="shared" si="16"/>
        <v>3</v>
      </c>
      <c r="AB24" s="39">
        <f t="shared" si="16"/>
        <v>1</v>
      </c>
      <c r="AC24" s="39">
        <f t="shared" si="16"/>
        <v>201</v>
      </c>
      <c r="AD24" s="39">
        <f t="shared" si="16"/>
        <v>1</v>
      </c>
      <c r="AE24" s="40">
        <f t="shared" si="16"/>
        <v>66</v>
      </c>
      <c r="AF24" s="40">
        <f t="shared" si="16"/>
        <v>247</v>
      </c>
    </row>
    <row r="25" spans="2:32" ht="23.1" customHeight="1" x14ac:dyDescent="0.25">
      <c r="B25" s="23" t="s">
        <v>52</v>
      </c>
      <c r="C25" s="50">
        <v>1</v>
      </c>
      <c r="D25" s="50">
        <v>1</v>
      </c>
      <c r="E25" s="50">
        <v>1</v>
      </c>
      <c r="F25" s="50">
        <v>1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36</v>
      </c>
      <c r="N25" s="50">
        <v>0</v>
      </c>
      <c r="O25" s="15">
        <f t="shared" si="0"/>
        <v>8</v>
      </c>
      <c r="P25" s="15">
        <f t="shared" si="1"/>
        <v>44</v>
      </c>
      <c r="R25" s="37" t="s">
        <v>85</v>
      </c>
      <c r="S25" s="35">
        <f t="shared" ref="S25:AF25" si="17">SUM(S10:S12)</f>
        <v>37</v>
      </c>
      <c r="T25" s="16">
        <f t="shared" si="17"/>
        <v>7</v>
      </c>
      <c r="U25" s="16">
        <f t="shared" si="17"/>
        <v>9</v>
      </c>
      <c r="V25" s="16">
        <f t="shared" si="17"/>
        <v>10</v>
      </c>
      <c r="W25" s="16">
        <f t="shared" si="17"/>
        <v>2</v>
      </c>
      <c r="X25" s="16">
        <f t="shared" si="17"/>
        <v>0</v>
      </c>
      <c r="Y25" s="16">
        <f t="shared" si="17"/>
        <v>22</v>
      </c>
      <c r="Z25" s="16">
        <f t="shared" si="17"/>
        <v>16</v>
      </c>
      <c r="AA25" s="16">
        <f t="shared" si="17"/>
        <v>1</v>
      </c>
      <c r="AB25" s="16">
        <f t="shared" si="17"/>
        <v>7</v>
      </c>
      <c r="AC25" s="16">
        <f t="shared" si="17"/>
        <v>439</v>
      </c>
      <c r="AD25" s="16">
        <f t="shared" si="17"/>
        <v>2</v>
      </c>
      <c r="AE25" s="32">
        <f t="shared" si="17"/>
        <v>113</v>
      </c>
      <c r="AF25" s="32">
        <f t="shared" si="17"/>
        <v>552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0</v>
      </c>
      <c r="F26" s="50">
        <v>0</v>
      </c>
      <c r="G26" s="50">
        <v>1</v>
      </c>
      <c r="H26" s="50">
        <v>0</v>
      </c>
      <c r="I26" s="50">
        <v>1</v>
      </c>
      <c r="J26" s="50">
        <v>3</v>
      </c>
      <c r="K26" s="50">
        <v>0</v>
      </c>
      <c r="L26" s="50">
        <v>0</v>
      </c>
      <c r="M26" s="50">
        <v>53</v>
      </c>
      <c r="N26" s="50">
        <v>2</v>
      </c>
      <c r="O26" s="15">
        <f t="shared" si="0"/>
        <v>10</v>
      </c>
      <c r="P26" s="15">
        <f t="shared" si="1"/>
        <v>63</v>
      </c>
      <c r="R26" s="28" t="s">
        <v>86</v>
      </c>
      <c r="S26" s="16">
        <f t="shared" ref="S26:AF26" si="18">SUM(S13:S18)</f>
        <v>120</v>
      </c>
      <c r="T26" s="16">
        <f t="shared" si="18"/>
        <v>30</v>
      </c>
      <c r="U26" s="16">
        <f t="shared" si="18"/>
        <v>17</v>
      </c>
      <c r="V26" s="16">
        <f t="shared" si="18"/>
        <v>43</v>
      </c>
      <c r="W26" s="16">
        <f t="shared" si="18"/>
        <v>2</v>
      </c>
      <c r="X26" s="16">
        <f t="shared" si="18"/>
        <v>1</v>
      </c>
      <c r="Y26" s="16">
        <f t="shared" si="18"/>
        <v>37</v>
      </c>
      <c r="Z26" s="16">
        <f t="shared" si="18"/>
        <v>57</v>
      </c>
      <c r="AA26" s="16">
        <f t="shared" si="18"/>
        <v>4</v>
      </c>
      <c r="AB26" s="16">
        <f t="shared" si="18"/>
        <v>8</v>
      </c>
      <c r="AC26" s="16">
        <f t="shared" si="18"/>
        <v>752</v>
      </c>
      <c r="AD26" s="16">
        <f t="shared" si="18"/>
        <v>3</v>
      </c>
      <c r="AE26" s="32">
        <f t="shared" si="18"/>
        <v>322</v>
      </c>
      <c r="AF26" s="32">
        <f t="shared" si="18"/>
        <v>1074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0</v>
      </c>
      <c r="F27" s="50">
        <v>3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42</v>
      </c>
      <c r="N27" s="50">
        <v>0</v>
      </c>
      <c r="O27" s="15">
        <f t="shared" si="0"/>
        <v>8</v>
      </c>
      <c r="P27" s="15">
        <f t="shared" si="1"/>
        <v>50</v>
      </c>
      <c r="R27" s="29" t="s">
        <v>87</v>
      </c>
      <c r="S27" s="16">
        <f t="shared" ref="S27:AF27" si="19">SUM(S19:S21)</f>
        <v>54</v>
      </c>
      <c r="T27" s="16">
        <f t="shared" si="19"/>
        <v>14</v>
      </c>
      <c r="U27" s="16">
        <f t="shared" si="19"/>
        <v>9</v>
      </c>
      <c r="V27" s="16">
        <f t="shared" si="19"/>
        <v>24</v>
      </c>
      <c r="W27" s="16">
        <f t="shared" si="19"/>
        <v>2</v>
      </c>
      <c r="X27" s="16">
        <f t="shared" si="19"/>
        <v>0</v>
      </c>
      <c r="Y27" s="16">
        <f t="shared" si="19"/>
        <v>21</v>
      </c>
      <c r="Z27" s="16">
        <f t="shared" si="19"/>
        <v>38</v>
      </c>
      <c r="AA27" s="16">
        <f t="shared" si="19"/>
        <v>5</v>
      </c>
      <c r="AB27" s="16">
        <f t="shared" si="19"/>
        <v>1</v>
      </c>
      <c r="AC27" s="16">
        <f t="shared" si="19"/>
        <v>490</v>
      </c>
      <c r="AD27" s="16">
        <f t="shared" si="19"/>
        <v>1</v>
      </c>
      <c r="AE27" s="32">
        <f t="shared" si="19"/>
        <v>169</v>
      </c>
      <c r="AF27" s="32">
        <f t="shared" si="19"/>
        <v>659</v>
      </c>
    </row>
    <row r="28" spans="2:32" ht="23.1" customHeight="1" x14ac:dyDescent="0.25">
      <c r="B28" s="23" t="s">
        <v>55</v>
      </c>
      <c r="C28" s="50">
        <v>8</v>
      </c>
      <c r="D28" s="50">
        <v>1</v>
      </c>
      <c r="E28" s="50">
        <v>0</v>
      </c>
      <c r="F28" s="50">
        <v>2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1</v>
      </c>
      <c r="M28" s="50">
        <v>28</v>
      </c>
      <c r="N28" s="50">
        <v>0</v>
      </c>
      <c r="O28" s="15">
        <f t="shared" si="0"/>
        <v>14</v>
      </c>
      <c r="P28" s="15">
        <f t="shared" si="1"/>
        <v>42</v>
      </c>
      <c r="R28" s="5" t="s">
        <v>17</v>
      </c>
      <c r="S28" s="16">
        <f t="shared" ref="S28:AF28" si="20">SUM(S10:S21)</f>
        <v>211</v>
      </c>
      <c r="T28" s="16">
        <f t="shared" si="20"/>
        <v>51</v>
      </c>
      <c r="U28" s="16">
        <f t="shared" si="20"/>
        <v>35</v>
      </c>
      <c r="V28" s="16">
        <f t="shared" si="20"/>
        <v>77</v>
      </c>
      <c r="W28" s="16">
        <f t="shared" si="20"/>
        <v>6</v>
      </c>
      <c r="X28" s="16">
        <f t="shared" si="20"/>
        <v>1</v>
      </c>
      <c r="Y28" s="16">
        <f t="shared" si="20"/>
        <v>80</v>
      </c>
      <c r="Z28" s="16">
        <f t="shared" si="20"/>
        <v>111</v>
      </c>
      <c r="AA28" s="16">
        <f t="shared" si="20"/>
        <v>10</v>
      </c>
      <c r="AB28" s="16">
        <f t="shared" si="20"/>
        <v>16</v>
      </c>
      <c r="AC28" s="16">
        <f t="shared" si="20"/>
        <v>1681</v>
      </c>
      <c r="AD28" s="16">
        <f t="shared" si="20"/>
        <v>6</v>
      </c>
      <c r="AE28" s="32">
        <f t="shared" si="20"/>
        <v>604</v>
      </c>
      <c r="AF28" s="32">
        <f t="shared" si="20"/>
        <v>2285</v>
      </c>
    </row>
    <row r="29" spans="2:32" ht="23.1" customHeight="1" x14ac:dyDescent="0.25">
      <c r="B29" s="23" t="s">
        <v>56</v>
      </c>
      <c r="C29" s="50">
        <v>8</v>
      </c>
      <c r="D29" s="50">
        <v>2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2</v>
      </c>
      <c r="K29" s="50">
        <v>0</v>
      </c>
      <c r="L29" s="50">
        <v>0</v>
      </c>
      <c r="M29" s="50">
        <v>30</v>
      </c>
      <c r="N29" s="50">
        <v>0</v>
      </c>
      <c r="O29" s="15">
        <f t="shared" si="0"/>
        <v>14</v>
      </c>
      <c r="P29" s="15">
        <f t="shared" si="1"/>
        <v>44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2</v>
      </c>
      <c r="L30" s="50">
        <v>0</v>
      </c>
      <c r="M30" s="50">
        <v>39</v>
      </c>
      <c r="N30" s="50">
        <v>0</v>
      </c>
      <c r="O30" s="15">
        <f t="shared" si="0"/>
        <v>13</v>
      </c>
      <c r="P30" s="15">
        <f t="shared" si="1"/>
        <v>52</v>
      </c>
    </row>
    <row r="31" spans="2:32" ht="23.1" customHeight="1" x14ac:dyDescent="0.25">
      <c r="B31" s="24" t="s">
        <v>58</v>
      </c>
      <c r="C31" s="50">
        <v>8</v>
      </c>
      <c r="D31" s="50">
        <v>0</v>
      </c>
      <c r="E31" s="50">
        <v>3</v>
      </c>
      <c r="F31" s="50">
        <v>2</v>
      </c>
      <c r="G31" s="50">
        <v>0</v>
      </c>
      <c r="H31" s="50">
        <v>0</v>
      </c>
      <c r="I31" s="50">
        <v>3</v>
      </c>
      <c r="J31" s="50">
        <v>2</v>
      </c>
      <c r="K31" s="50">
        <v>0</v>
      </c>
      <c r="L31" s="50">
        <v>0</v>
      </c>
      <c r="M31" s="50">
        <v>55</v>
      </c>
      <c r="N31" s="50">
        <v>0</v>
      </c>
      <c r="O31" s="15">
        <f t="shared" si="0"/>
        <v>18</v>
      </c>
      <c r="P31" s="15">
        <f t="shared" si="1"/>
        <v>73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1</v>
      </c>
      <c r="M32" s="50">
        <v>30</v>
      </c>
      <c r="N32" s="50">
        <v>0</v>
      </c>
      <c r="O32" s="15">
        <f t="shared" si="0"/>
        <v>11</v>
      </c>
      <c r="P32" s="15">
        <f t="shared" si="1"/>
        <v>41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1</v>
      </c>
      <c r="M33" s="50">
        <v>33</v>
      </c>
      <c r="N33" s="50">
        <v>1</v>
      </c>
      <c r="O33" s="15">
        <f t="shared" si="0"/>
        <v>5</v>
      </c>
      <c r="P33" s="15">
        <f t="shared" si="1"/>
        <v>38</v>
      </c>
    </row>
    <row r="34" spans="2:20" ht="23.1" customHeight="1" x14ac:dyDescent="0.25">
      <c r="B34" s="24" t="s">
        <v>61</v>
      </c>
      <c r="C34" s="50">
        <v>9</v>
      </c>
      <c r="D34" s="50">
        <v>0</v>
      </c>
      <c r="E34" s="50">
        <v>0</v>
      </c>
      <c r="F34" s="50">
        <v>3</v>
      </c>
      <c r="G34" s="50">
        <v>1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38</v>
      </c>
      <c r="N34" s="50">
        <v>0</v>
      </c>
      <c r="O34" s="15">
        <f t="shared" si="0"/>
        <v>16</v>
      </c>
      <c r="P34" s="15">
        <f t="shared" si="1"/>
        <v>54</v>
      </c>
    </row>
    <row r="35" spans="2:20" ht="23.1" customHeight="1" x14ac:dyDescent="0.25">
      <c r="B35" s="24" t="s">
        <v>62</v>
      </c>
      <c r="C35" s="50">
        <v>3</v>
      </c>
      <c r="D35" s="50">
        <v>2</v>
      </c>
      <c r="E35" s="50">
        <v>0</v>
      </c>
      <c r="F35" s="50">
        <v>2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22</v>
      </c>
      <c r="N35" s="50">
        <v>0</v>
      </c>
      <c r="O35" s="15">
        <f t="shared" si="0"/>
        <v>8</v>
      </c>
      <c r="P35" s="15">
        <f t="shared" si="1"/>
        <v>30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25</v>
      </c>
      <c r="N36" s="50">
        <v>0</v>
      </c>
      <c r="O36" s="15">
        <f t="shared" si="0"/>
        <v>11</v>
      </c>
      <c r="P36" s="15">
        <f t="shared" si="1"/>
        <v>36</v>
      </c>
    </row>
    <row r="37" spans="2:20" ht="23.1" customHeight="1" x14ac:dyDescent="0.25">
      <c r="B37" s="23" t="s">
        <v>64</v>
      </c>
      <c r="C37" s="50">
        <v>9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2</v>
      </c>
      <c r="M37" s="50">
        <v>34</v>
      </c>
      <c r="N37" s="50">
        <v>0</v>
      </c>
      <c r="O37" s="15">
        <f t="shared" si="0"/>
        <v>15</v>
      </c>
      <c r="P37" s="15">
        <f t="shared" si="1"/>
        <v>49</v>
      </c>
    </row>
    <row r="38" spans="2:20" ht="23.1" customHeight="1" x14ac:dyDescent="0.25">
      <c r="B38" s="24" t="s">
        <v>65</v>
      </c>
      <c r="C38" s="50">
        <v>0</v>
      </c>
      <c r="D38" s="50">
        <v>2</v>
      </c>
      <c r="E38" s="50">
        <v>1</v>
      </c>
      <c r="F38" s="50">
        <v>1</v>
      </c>
      <c r="G38" s="50">
        <v>0</v>
      </c>
      <c r="H38" s="50">
        <v>0</v>
      </c>
      <c r="I38" s="50">
        <v>4</v>
      </c>
      <c r="J38" s="50">
        <v>3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11</v>
      </c>
      <c r="P38" s="15">
        <f t="shared" si="1"/>
        <v>29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2</v>
      </c>
      <c r="F39" s="50">
        <v>3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36</v>
      </c>
      <c r="N39" s="50">
        <v>0</v>
      </c>
      <c r="O39" s="15">
        <f t="shared" si="0"/>
        <v>12</v>
      </c>
      <c r="P39" s="15">
        <f t="shared" si="1"/>
        <v>48</v>
      </c>
    </row>
    <row r="40" spans="2:20" ht="23.1" customHeight="1" x14ac:dyDescent="0.25">
      <c r="B40" s="24" t="s">
        <v>67</v>
      </c>
      <c r="C40" s="50">
        <v>8</v>
      </c>
      <c r="D40" s="50">
        <v>4</v>
      </c>
      <c r="E40" s="50">
        <v>0</v>
      </c>
      <c r="F40" s="50">
        <v>7</v>
      </c>
      <c r="G40" s="50">
        <v>0</v>
      </c>
      <c r="H40" s="50">
        <v>0</v>
      </c>
      <c r="I40" s="50">
        <v>2</v>
      </c>
      <c r="J40" s="50">
        <v>3</v>
      </c>
      <c r="K40" s="50">
        <v>0</v>
      </c>
      <c r="L40" s="50">
        <v>0</v>
      </c>
      <c r="M40" s="50">
        <v>18</v>
      </c>
      <c r="N40" s="50">
        <v>0</v>
      </c>
      <c r="O40" s="15">
        <f t="shared" si="0"/>
        <v>24</v>
      </c>
      <c r="P40" s="15">
        <f t="shared" si="1"/>
        <v>42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1</v>
      </c>
      <c r="F41" s="50">
        <v>5</v>
      </c>
      <c r="G41" s="50">
        <v>0</v>
      </c>
      <c r="H41" s="50">
        <v>0</v>
      </c>
      <c r="I41" s="50">
        <v>0</v>
      </c>
      <c r="J41" s="50">
        <v>4</v>
      </c>
      <c r="K41" s="50">
        <v>0</v>
      </c>
      <c r="L41" s="50">
        <v>0</v>
      </c>
      <c r="M41" s="50">
        <v>24</v>
      </c>
      <c r="N41" s="50">
        <v>0</v>
      </c>
      <c r="O41" s="15">
        <f t="shared" si="0"/>
        <v>19</v>
      </c>
      <c r="P41" s="15">
        <f t="shared" si="1"/>
        <v>43</v>
      </c>
    </row>
    <row r="42" spans="2:20" ht="23.1" customHeight="1" x14ac:dyDescent="0.25">
      <c r="B42" s="24" t="s">
        <v>69</v>
      </c>
      <c r="C42" s="50">
        <v>7</v>
      </c>
      <c r="D42" s="50">
        <v>2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3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13</v>
      </c>
      <c r="P42" s="15">
        <f t="shared" si="1"/>
        <v>26</v>
      </c>
    </row>
    <row r="43" spans="2:20" ht="23.1" customHeight="1" x14ac:dyDescent="0.25">
      <c r="B43" s="23" t="s">
        <v>70</v>
      </c>
      <c r="C43" s="50">
        <v>3</v>
      </c>
      <c r="D43" s="50">
        <v>5</v>
      </c>
      <c r="E43" s="50">
        <v>1</v>
      </c>
      <c r="F43" s="50">
        <v>2</v>
      </c>
      <c r="G43" s="50">
        <v>0</v>
      </c>
      <c r="H43" s="50">
        <v>0</v>
      </c>
      <c r="I43" s="50">
        <v>0</v>
      </c>
      <c r="J43" s="50">
        <v>10</v>
      </c>
      <c r="K43" s="50">
        <v>1</v>
      </c>
      <c r="L43" s="50">
        <v>0</v>
      </c>
      <c r="M43" s="50">
        <v>22</v>
      </c>
      <c r="N43" s="50">
        <v>0</v>
      </c>
      <c r="O43" s="15">
        <f t="shared" si="0"/>
        <v>22</v>
      </c>
      <c r="P43" s="15">
        <f t="shared" si="1"/>
        <v>44</v>
      </c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1</v>
      </c>
      <c r="F44" s="50">
        <v>2</v>
      </c>
      <c r="G44" s="50">
        <v>0</v>
      </c>
      <c r="H44" s="50">
        <v>0</v>
      </c>
      <c r="I44" s="50">
        <v>1</v>
      </c>
      <c r="J44" s="50">
        <v>11</v>
      </c>
      <c r="K44" s="50">
        <v>0</v>
      </c>
      <c r="L44" s="50">
        <v>1</v>
      </c>
      <c r="M44" s="50">
        <v>18</v>
      </c>
      <c r="N44" s="50">
        <v>0</v>
      </c>
      <c r="O44" s="15">
        <f t="shared" si="0"/>
        <v>20</v>
      </c>
      <c r="P44" s="15">
        <f t="shared" si="1"/>
        <v>38</v>
      </c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1</v>
      </c>
      <c r="F45" s="50">
        <v>1</v>
      </c>
      <c r="G45" s="50">
        <v>0</v>
      </c>
      <c r="H45" s="50">
        <v>1</v>
      </c>
      <c r="I45" s="50">
        <v>1</v>
      </c>
      <c r="J45" s="50">
        <v>2</v>
      </c>
      <c r="K45" s="50">
        <v>0</v>
      </c>
      <c r="L45" s="50">
        <v>0</v>
      </c>
      <c r="M45" s="50">
        <v>28</v>
      </c>
      <c r="N45" s="50">
        <v>0</v>
      </c>
      <c r="O45" s="15">
        <f t="shared" si="0"/>
        <v>13</v>
      </c>
      <c r="P45" s="15">
        <f t="shared" si="1"/>
        <v>41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5</v>
      </c>
      <c r="J46" s="50">
        <v>1</v>
      </c>
      <c r="K46" s="50">
        <v>0</v>
      </c>
      <c r="L46" s="50">
        <v>0</v>
      </c>
      <c r="M46" s="50">
        <v>25</v>
      </c>
      <c r="N46" s="50">
        <v>0</v>
      </c>
      <c r="O46" s="15">
        <f t="shared" si="0"/>
        <v>11</v>
      </c>
      <c r="P46" s="15">
        <f t="shared" si="1"/>
        <v>36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52</v>
      </c>
      <c r="N47" s="50">
        <v>0</v>
      </c>
      <c r="O47" s="15">
        <f t="shared" si="0"/>
        <v>15</v>
      </c>
      <c r="P47" s="15">
        <f t="shared" si="1"/>
        <v>67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0</v>
      </c>
      <c r="E48" s="50">
        <v>0</v>
      </c>
      <c r="F48" s="50">
        <v>6</v>
      </c>
      <c r="G48" s="50">
        <v>0</v>
      </c>
      <c r="H48" s="50">
        <v>0</v>
      </c>
      <c r="I48" s="50">
        <v>4</v>
      </c>
      <c r="J48" s="50">
        <v>0</v>
      </c>
      <c r="K48" s="50">
        <v>1</v>
      </c>
      <c r="L48" s="50">
        <v>0</v>
      </c>
      <c r="M48" s="50">
        <v>47</v>
      </c>
      <c r="N48" s="50">
        <v>0</v>
      </c>
      <c r="O48" s="15">
        <f t="shared" si="0"/>
        <v>18</v>
      </c>
      <c r="P48" s="15">
        <f t="shared" si="1"/>
        <v>65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3</v>
      </c>
      <c r="J49" s="50">
        <v>4</v>
      </c>
      <c r="K49" s="50">
        <v>0</v>
      </c>
      <c r="L49" s="50">
        <v>0</v>
      </c>
      <c r="M49" s="50">
        <v>49</v>
      </c>
      <c r="N49" s="50">
        <v>0</v>
      </c>
      <c r="O49" s="15">
        <f t="shared" si="0"/>
        <v>13</v>
      </c>
      <c r="P49" s="15">
        <f t="shared" si="1"/>
        <v>62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3</v>
      </c>
      <c r="F50" s="50">
        <v>0</v>
      </c>
      <c r="G50" s="50">
        <v>0</v>
      </c>
      <c r="H50" s="50">
        <v>0</v>
      </c>
      <c r="I50" s="50">
        <v>2</v>
      </c>
      <c r="J50" s="50">
        <v>6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14</v>
      </c>
      <c r="P50" s="15">
        <f t="shared" si="1"/>
        <v>64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1</v>
      </c>
      <c r="E51" s="50">
        <v>1</v>
      </c>
      <c r="F51" s="50">
        <v>2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53</v>
      </c>
      <c r="N51" s="50">
        <v>0</v>
      </c>
      <c r="O51" s="15">
        <f t="shared" si="0"/>
        <v>9</v>
      </c>
      <c r="P51" s="15">
        <f t="shared" si="1"/>
        <v>62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2</v>
      </c>
      <c r="K52" s="50">
        <v>2</v>
      </c>
      <c r="L52" s="50">
        <v>0</v>
      </c>
      <c r="M52" s="50">
        <v>50</v>
      </c>
      <c r="N52" s="50">
        <v>0</v>
      </c>
      <c r="O52" s="15">
        <f t="shared" si="0"/>
        <v>12</v>
      </c>
      <c r="P52" s="15">
        <f t="shared" si="1"/>
        <v>62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1</v>
      </c>
      <c r="J53" s="50">
        <v>2</v>
      </c>
      <c r="K53" s="50">
        <v>1</v>
      </c>
      <c r="L53" s="50">
        <v>1</v>
      </c>
      <c r="M53" s="50">
        <v>48</v>
      </c>
      <c r="N53" s="50">
        <v>1</v>
      </c>
      <c r="O53" s="15">
        <f t="shared" si="0"/>
        <v>11</v>
      </c>
      <c r="P53" s="15">
        <f t="shared" si="1"/>
        <v>59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3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8</v>
      </c>
      <c r="K54" s="50">
        <v>0</v>
      </c>
      <c r="L54" s="50">
        <v>0</v>
      </c>
      <c r="M54" s="50">
        <v>35</v>
      </c>
      <c r="N54" s="50">
        <v>0</v>
      </c>
      <c r="O54" s="15">
        <f t="shared" si="0"/>
        <v>15</v>
      </c>
      <c r="P54" s="15">
        <f t="shared" si="1"/>
        <v>50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4</v>
      </c>
      <c r="E55" s="50">
        <v>1</v>
      </c>
      <c r="F55" s="50">
        <v>2</v>
      </c>
      <c r="G55" s="50">
        <v>0</v>
      </c>
      <c r="H55" s="50">
        <v>0</v>
      </c>
      <c r="I55" s="50">
        <v>0</v>
      </c>
      <c r="J55" s="50">
        <v>5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21</v>
      </c>
      <c r="P55" s="15">
        <f t="shared" si="1"/>
        <v>61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2</v>
      </c>
      <c r="F56" s="50">
        <v>8</v>
      </c>
      <c r="G56" s="50">
        <v>0</v>
      </c>
      <c r="H56" s="50">
        <v>0</v>
      </c>
      <c r="I56" s="50">
        <v>1</v>
      </c>
      <c r="J56" s="50">
        <v>5</v>
      </c>
      <c r="K56" s="50">
        <v>1</v>
      </c>
      <c r="L56" s="50">
        <v>0</v>
      </c>
      <c r="M56" s="50">
        <v>25</v>
      </c>
      <c r="N56" s="50">
        <v>0</v>
      </c>
      <c r="O56" s="15">
        <f t="shared" si="0"/>
        <v>20</v>
      </c>
      <c r="P56" s="15">
        <f t="shared" si="1"/>
        <v>45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3</v>
      </c>
      <c r="E57" s="50">
        <v>0</v>
      </c>
      <c r="F57" s="50">
        <v>0</v>
      </c>
      <c r="G57" s="50">
        <v>2</v>
      </c>
      <c r="H57" s="50">
        <v>0</v>
      </c>
      <c r="I57" s="50">
        <v>0</v>
      </c>
      <c r="J57" s="50">
        <v>3</v>
      </c>
      <c r="K57" s="50">
        <v>0</v>
      </c>
      <c r="L57" s="50">
        <v>0</v>
      </c>
      <c r="M57" s="50">
        <v>16</v>
      </c>
      <c r="N57" s="50">
        <v>0</v>
      </c>
      <c r="O57" s="15">
        <f t="shared" si="0"/>
        <v>10</v>
      </c>
      <c r="P57" s="15">
        <f t="shared" si="1"/>
        <v>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211</v>
      </c>
      <c r="D58" s="16">
        <f t="shared" si="21"/>
        <v>51</v>
      </c>
      <c r="E58" s="16">
        <f t="shared" si="21"/>
        <v>35</v>
      </c>
      <c r="F58" s="16">
        <f t="shared" si="21"/>
        <v>77</v>
      </c>
      <c r="G58" s="16">
        <f t="shared" si="21"/>
        <v>6</v>
      </c>
      <c r="H58" s="16">
        <f t="shared" si="21"/>
        <v>1</v>
      </c>
      <c r="I58" s="16">
        <f t="shared" si="21"/>
        <v>80</v>
      </c>
      <c r="J58" s="16">
        <f t="shared" si="21"/>
        <v>111</v>
      </c>
      <c r="K58" s="16">
        <f t="shared" si="21"/>
        <v>10</v>
      </c>
      <c r="L58" s="16">
        <f t="shared" si="21"/>
        <v>16</v>
      </c>
      <c r="M58" s="16">
        <f t="shared" si="21"/>
        <v>1681</v>
      </c>
      <c r="N58" s="16">
        <f t="shared" si="21"/>
        <v>6</v>
      </c>
      <c r="O58" s="16">
        <f t="shared" si="21"/>
        <v>604</v>
      </c>
      <c r="P58" s="16">
        <f t="shared" si="21"/>
        <v>2285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9.2341356673960609E-2</v>
      </c>
      <c r="D59" s="43">
        <f t="shared" si="22"/>
        <v>2.2319474835886213E-2</v>
      </c>
      <c r="E59" s="43">
        <f t="shared" si="22"/>
        <v>1.5317286652078774E-2</v>
      </c>
      <c r="F59" s="43">
        <f t="shared" si="22"/>
        <v>3.3698030634573307E-2</v>
      </c>
      <c r="G59" s="43">
        <f t="shared" si="22"/>
        <v>2.6258205689277899E-3</v>
      </c>
      <c r="H59" s="43">
        <f t="shared" si="22"/>
        <v>4.3763676148796501E-4</v>
      </c>
      <c r="I59" s="43">
        <f t="shared" si="22"/>
        <v>3.5010940919037198E-2</v>
      </c>
      <c r="J59" s="43">
        <f t="shared" si="22"/>
        <v>4.8577680525164112E-2</v>
      </c>
      <c r="K59" s="43">
        <f t="shared" si="22"/>
        <v>4.3763676148796497E-3</v>
      </c>
      <c r="L59" s="43">
        <f t="shared" si="22"/>
        <v>7.0021881838074401E-3</v>
      </c>
      <c r="M59" s="43">
        <f t="shared" si="22"/>
        <v>0.73566739606126919</v>
      </c>
      <c r="N59" s="43">
        <f t="shared" si="22"/>
        <v>2.6258205689277899E-3</v>
      </c>
      <c r="R59" s="8"/>
      <c r="T59"/>
    </row>
    <row r="60" spans="2:20" ht="23.1" customHeight="1" x14ac:dyDescent="0.25">
      <c r="B60" s="42" t="s">
        <v>94</v>
      </c>
      <c r="C60" s="44">
        <f>C58/$O$58</f>
        <v>0.34933774834437087</v>
      </c>
      <c r="D60" s="44">
        <f t="shared" ref="D60:N60" si="23">D58/$O$58</f>
        <v>8.4437086092715233E-2</v>
      </c>
      <c r="E60" s="44">
        <f t="shared" si="23"/>
        <v>5.7947019867549666E-2</v>
      </c>
      <c r="F60" s="44">
        <f t="shared" si="23"/>
        <v>0.12748344370860928</v>
      </c>
      <c r="G60" s="44">
        <f t="shared" si="23"/>
        <v>9.9337748344370865E-3</v>
      </c>
      <c r="H60" s="44">
        <f t="shared" si="23"/>
        <v>1.6556291390728477E-3</v>
      </c>
      <c r="I60" s="44">
        <f t="shared" si="23"/>
        <v>0.13245033112582782</v>
      </c>
      <c r="J60" s="44">
        <f t="shared" si="23"/>
        <v>0.18377483443708609</v>
      </c>
      <c r="K60" s="44">
        <f t="shared" si="23"/>
        <v>1.6556291390728478E-2</v>
      </c>
      <c r="L60" s="44">
        <f t="shared" si="23"/>
        <v>2.6490066225165563E-2</v>
      </c>
      <c r="M60" s="44"/>
      <c r="N60" s="44">
        <f t="shared" si="23"/>
        <v>9.9337748344370865E-3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Lumino-Musita'!C3:G3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'24.08 Musita-Lumino'!D5</f>
        <v>24.08.19</v>
      </c>
      <c r="E5" s="3"/>
      <c r="F5" s="41" t="s">
        <v>1</v>
      </c>
      <c r="G5" s="63" t="str">
        <f>'22.08 Musita-Lumino'!G5:H5</f>
        <v>Musita</v>
      </c>
      <c r="H5" s="64"/>
      <c r="I5" s="14"/>
      <c r="J5" s="2" t="s">
        <v>5</v>
      </c>
      <c r="K5" s="60" t="s">
        <v>171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Lumino-Musita'!D6:E6</f>
        <v>Lumino</v>
      </c>
      <c r="E6" s="64"/>
      <c r="F6" s="2" t="s">
        <v>2</v>
      </c>
      <c r="G6" s="63" t="str">
        <f>'22.08 Lumino-Musita'!G6:H6</f>
        <v>Musita</v>
      </c>
      <c r="H6" s="64"/>
      <c r="J6" s="2" t="s">
        <v>21</v>
      </c>
      <c r="K6" s="63" t="str">
        <f>'22.08 Musita-Lumino'!K6:L6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2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28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33</v>
      </c>
      <c r="R10" s="1" t="s">
        <v>6</v>
      </c>
      <c r="S10" s="17">
        <f t="shared" ref="S10:AF10" si="2">SUM(C10:C13)</f>
        <v>7</v>
      </c>
      <c r="T10" s="17">
        <f t="shared" si="2"/>
        <v>2</v>
      </c>
      <c r="U10" s="17">
        <f t="shared" si="2"/>
        <v>2</v>
      </c>
      <c r="V10" s="17">
        <f t="shared" si="2"/>
        <v>6</v>
      </c>
      <c r="W10" s="17">
        <f t="shared" si="2"/>
        <v>3</v>
      </c>
      <c r="X10" s="17">
        <f t="shared" si="2"/>
        <v>1</v>
      </c>
      <c r="Y10" s="17">
        <f t="shared" si="2"/>
        <v>3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150</v>
      </c>
      <c r="AD10" s="17">
        <f t="shared" si="2"/>
        <v>0</v>
      </c>
      <c r="AE10" s="31">
        <f t="shared" si="2"/>
        <v>26</v>
      </c>
      <c r="AF10" s="31">
        <f t="shared" si="2"/>
        <v>176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29</v>
      </c>
      <c r="N11" s="50">
        <v>0</v>
      </c>
      <c r="O11" s="15">
        <f t="shared" si="0"/>
        <v>3</v>
      </c>
      <c r="P11" s="15">
        <f t="shared" si="1"/>
        <v>32</v>
      </c>
      <c r="R11" s="1" t="s">
        <v>7</v>
      </c>
      <c r="S11" s="17">
        <f t="shared" ref="S11:AF11" si="3">SUM(C14:C17)</f>
        <v>17</v>
      </c>
      <c r="T11" s="17">
        <f t="shared" si="3"/>
        <v>1</v>
      </c>
      <c r="U11" s="17">
        <f t="shared" si="3"/>
        <v>1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8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112</v>
      </c>
      <c r="AD11" s="17">
        <f t="shared" si="3"/>
        <v>0</v>
      </c>
      <c r="AE11" s="31">
        <f t="shared" si="3"/>
        <v>39</v>
      </c>
      <c r="AF11" s="31">
        <f t="shared" si="3"/>
        <v>151</v>
      </c>
    </row>
    <row r="12" spans="2:32" ht="23.1" customHeight="1" x14ac:dyDescent="0.25">
      <c r="B12" s="23" t="s">
        <v>39</v>
      </c>
      <c r="C12" s="50">
        <v>2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33</v>
      </c>
      <c r="N12" s="50">
        <v>0</v>
      </c>
      <c r="O12" s="15">
        <f t="shared" si="0"/>
        <v>6</v>
      </c>
      <c r="P12" s="15">
        <f t="shared" si="1"/>
        <v>39</v>
      </c>
      <c r="R12" s="1" t="s">
        <v>8</v>
      </c>
      <c r="S12" s="17">
        <f t="shared" ref="S12:AF12" si="4">SUM(C18:C21)</f>
        <v>17</v>
      </c>
      <c r="T12" s="17">
        <f t="shared" si="4"/>
        <v>2</v>
      </c>
      <c r="U12" s="17">
        <f t="shared" si="4"/>
        <v>4</v>
      </c>
      <c r="V12" s="17">
        <f t="shared" si="4"/>
        <v>4</v>
      </c>
      <c r="W12" s="17">
        <f t="shared" si="4"/>
        <v>1</v>
      </c>
      <c r="X12" s="17">
        <f t="shared" si="4"/>
        <v>0</v>
      </c>
      <c r="Y12" s="17">
        <f t="shared" si="4"/>
        <v>8</v>
      </c>
      <c r="Z12" s="17">
        <f t="shared" si="4"/>
        <v>3</v>
      </c>
      <c r="AA12" s="17">
        <f t="shared" si="4"/>
        <v>1</v>
      </c>
      <c r="AB12" s="17">
        <f t="shared" si="4"/>
        <v>2</v>
      </c>
      <c r="AC12" s="17">
        <f t="shared" si="4"/>
        <v>152</v>
      </c>
      <c r="AD12" s="17">
        <f t="shared" si="4"/>
        <v>1</v>
      </c>
      <c r="AE12" s="31">
        <f t="shared" si="4"/>
        <v>43</v>
      </c>
      <c r="AF12" s="31">
        <f t="shared" si="4"/>
        <v>195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1</v>
      </c>
      <c r="F13" s="50">
        <v>4</v>
      </c>
      <c r="G13" s="50">
        <v>1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60</v>
      </c>
      <c r="N13" s="50">
        <v>0</v>
      </c>
      <c r="O13" s="15">
        <f t="shared" si="0"/>
        <v>12</v>
      </c>
      <c r="P13" s="15">
        <f t="shared" si="1"/>
        <v>72</v>
      </c>
      <c r="R13" s="1" t="s">
        <v>9</v>
      </c>
      <c r="S13" s="17">
        <f t="shared" ref="S13:AF13" si="5">SUM(C22:C25)</f>
        <v>9</v>
      </c>
      <c r="T13" s="17">
        <f t="shared" si="5"/>
        <v>7</v>
      </c>
      <c r="U13" s="17">
        <f t="shared" si="5"/>
        <v>3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10</v>
      </c>
      <c r="AA13" s="17">
        <f t="shared" si="5"/>
        <v>2</v>
      </c>
      <c r="AB13" s="17">
        <f t="shared" si="5"/>
        <v>0</v>
      </c>
      <c r="AC13" s="17">
        <f t="shared" si="5"/>
        <v>115</v>
      </c>
      <c r="AD13" s="17">
        <f t="shared" si="5"/>
        <v>0</v>
      </c>
      <c r="AE13" s="31">
        <f t="shared" si="5"/>
        <v>45</v>
      </c>
      <c r="AF13" s="31">
        <f t="shared" si="5"/>
        <v>160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0</v>
      </c>
      <c r="F14" s="50">
        <v>2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9</v>
      </c>
      <c r="P14" s="15">
        <f t="shared" si="1"/>
        <v>19</v>
      </c>
      <c r="R14" s="1" t="s">
        <v>10</v>
      </c>
      <c r="S14" s="17">
        <f t="shared" ref="S14:AF14" si="6">SUM(C26:C29)</f>
        <v>17</v>
      </c>
      <c r="T14" s="17">
        <f t="shared" si="6"/>
        <v>3</v>
      </c>
      <c r="U14" s="17">
        <f t="shared" si="6"/>
        <v>0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13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145</v>
      </c>
      <c r="AD14" s="17">
        <f t="shared" si="6"/>
        <v>0</v>
      </c>
      <c r="AE14" s="31">
        <f t="shared" si="6"/>
        <v>46</v>
      </c>
      <c r="AF14" s="31">
        <f t="shared" si="6"/>
        <v>191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23</v>
      </c>
      <c r="N15" s="50">
        <v>0</v>
      </c>
      <c r="O15" s="15">
        <f t="shared" si="0"/>
        <v>6</v>
      </c>
      <c r="P15" s="15">
        <f t="shared" si="1"/>
        <v>29</v>
      </c>
      <c r="R15" s="1" t="s">
        <v>11</v>
      </c>
      <c r="S15" s="17">
        <f t="shared" ref="S15:AF15" si="7">SUM(C30:C33)</f>
        <v>20</v>
      </c>
      <c r="T15" s="17">
        <f t="shared" si="7"/>
        <v>3</v>
      </c>
      <c r="U15" s="17">
        <f t="shared" si="7"/>
        <v>0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7</v>
      </c>
      <c r="Z15" s="17">
        <f t="shared" si="7"/>
        <v>2</v>
      </c>
      <c r="AA15" s="17">
        <f t="shared" si="7"/>
        <v>0</v>
      </c>
      <c r="AB15" s="17">
        <f t="shared" si="7"/>
        <v>3</v>
      </c>
      <c r="AC15" s="17">
        <f t="shared" si="7"/>
        <v>116</v>
      </c>
      <c r="AD15" s="17">
        <f t="shared" si="7"/>
        <v>0</v>
      </c>
      <c r="AE15" s="31">
        <f t="shared" si="7"/>
        <v>41</v>
      </c>
      <c r="AF15" s="31">
        <f t="shared" si="7"/>
        <v>157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1</v>
      </c>
      <c r="F16" s="50">
        <v>4</v>
      </c>
      <c r="G16" s="50">
        <v>1</v>
      </c>
      <c r="H16" s="50">
        <v>0</v>
      </c>
      <c r="I16" s="50">
        <v>3</v>
      </c>
      <c r="J16" s="50">
        <v>3</v>
      </c>
      <c r="K16" s="50">
        <v>0</v>
      </c>
      <c r="L16" s="50">
        <v>0</v>
      </c>
      <c r="M16" s="50">
        <v>45</v>
      </c>
      <c r="N16" s="50">
        <v>0</v>
      </c>
      <c r="O16" s="15">
        <f t="shared" si="0"/>
        <v>17</v>
      </c>
      <c r="P16" s="15">
        <f t="shared" si="1"/>
        <v>62</v>
      </c>
      <c r="R16" s="1" t="s">
        <v>12</v>
      </c>
      <c r="S16" s="17">
        <f t="shared" ref="S16:AF16" si="8">SUM(C34:C37)</f>
        <v>21</v>
      </c>
      <c r="T16" s="17">
        <f t="shared" si="8"/>
        <v>2</v>
      </c>
      <c r="U16" s="17">
        <f t="shared" si="8"/>
        <v>3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7</v>
      </c>
      <c r="AA16" s="17">
        <f t="shared" si="8"/>
        <v>0</v>
      </c>
      <c r="AB16" s="17">
        <f t="shared" si="8"/>
        <v>2</v>
      </c>
      <c r="AC16" s="17">
        <f t="shared" si="8"/>
        <v>123</v>
      </c>
      <c r="AD16" s="17">
        <f t="shared" si="8"/>
        <v>0</v>
      </c>
      <c r="AE16" s="31">
        <f t="shared" si="8"/>
        <v>45</v>
      </c>
      <c r="AF16" s="31">
        <f t="shared" si="8"/>
        <v>168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34</v>
      </c>
      <c r="N17" s="50">
        <v>0</v>
      </c>
      <c r="O17" s="15">
        <f t="shared" si="0"/>
        <v>7</v>
      </c>
      <c r="P17" s="15">
        <f t="shared" si="1"/>
        <v>41</v>
      </c>
      <c r="R17" s="1" t="s">
        <v>13</v>
      </c>
      <c r="S17" s="17">
        <f t="shared" ref="S17:AF17" si="9">SUM(C38:C41)</f>
        <v>17</v>
      </c>
      <c r="T17" s="17">
        <f t="shared" si="9"/>
        <v>6</v>
      </c>
      <c r="U17" s="17">
        <f t="shared" si="9"/>
        <v>1</v>
      </c>
      <c r="V17" s="17">
        <f t="shared" si="9"/>
        <v>5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14</v>
      </c>
      <c r="AA17" s="17">
        <f t="shared" si="9"/>
        <v>1</v>
      </c>
      <c r="AB17" s="17">
        <f t="shared" si="9"/>
        <v>0</v>
      </c>
      <c r="AC17" s="17">
        <f t="shared" si="9"/>
        <v>85</v>
      </c>
      <c r="AD17" s="17">
        <f t="shared" si="9"/>
        <v>0</v>
      </c>
      <c r="AE17" s="31">
        <f t="shared" si="9"/>
        <v>46</v>
      </c>
      <c r="AF17" s="31">
        <f t="shared" si="9"/>
        <v>131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1</v>
      </c>
      <c r="G18" s="50">
        <v>1</v>
      </c>
      <c r="H18" s="50">
        <v>0</v>
      </c>
      <c r="I18" s="50">
        <v>3</v>
      </c>
      <c r="J18" s="50">
        <v>1</v>
      </c>
      <c r="K18" s="50">
        <v>0</v>
      </c>
      <c r="L18" s="50">
        <v>1</v>
      </c>
      <c r="M18" s="50">
        <v>36</v>
      </c>
      <c r="N18" s="50">
        <v>1</v>
      </c>
      <c r="O18" s="15">
        <f t="shared" si="0"/>
        <v>10</v>
      </c>
      <c r="P18" s="15">
        <f t="shared" si="1"/>
        <v>46</v>
      </c>
      <c r="R18" s="1" t="s">
        <v>14</v>
      </c>
      <c r="S18" s="17">
        <f t="shared" ref="S18:AF18" si="10">SUM(C42:C45)</f>
        <v>21</v>
      </c>
      <c r="T18" s="17">
        <f t="shared" si="10"/>
        <v>16</v>
      </c>
      <c r="U18" s="17">
        <f t="shared" si="10"/>
        <v>0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15</v>
      </c>
      <c r="AA18" s="17">
        <f t="shared" si="10"/>
        <v>0</v>
      </c>
      <c r="AB18" s="17">
        <f t="shared" si="10"/>
        <v>2</v>
      </c>
      <c r="AC18" s="17">
        <f t="shared" si="10"/>
        <v>79</v>
      </c>
      <c r="AD18" s="17">
        <f t="shared" si="10"/>
        <v>0</v>
      </c>
      <c r="AE18" s="31">
        <f t="shared" si="10"/>
        <v>61</v>
      </c>
      <c r="AF18" s="31">
        <f t="shared" si="10"/>
        <v>140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45</v>
      </c>
      <c r="N19" s="50">
        <v>0</v>
      </c>
      <c r="O19" s="15">
        <f t="shared" si="0"/>
        <v>8</v>
      </c>
      <c r="P19" s="15">
        <f t="shared" si="1"/>
        <v>53</v>
      </c>
      <c r="R19" s="1" t="s">
        <v>15</v>
      </c>
      <c r="S19" s="17">
        <f t="shared" ref="S19:AF19" si="11">SUM(C46:C49)</f>
        <v>17</v>
      </c>
      <c r="T19" s="17">
        <f t="shared" si="11"/>
        <v>6</v>
      </c>
      <c r="U19" s="17">
        <f t="shared" si="11"/>
        <v>5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9</v>
      </c>
      <c r="AA19" s="17">
        <f t="shared" si="11"/>
        <v>1</v>
      </c>
      <c r="AB19" s="17">
        <f t="shared" si="11"/>
        <v>1</v>
      </c>
      <c r="AC19" s="17">
        <f t="shared" si="11"/>
        <v>166</v>
      </c>
      <c r="AD19" s="17">
        <f t="shared" si="11"/>
        <v>0</v>
      </c>
      <c r="AE19" s="31">
        <f t="shared" si="11"/>
        <v>58</v>
      </c>
      <c r="AF19" s="31">
        <f t="shared" si="11"/>
        <v>224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1</v>
      </c>
      <c r="M20" s="50">
        <v>33</v>
      </c>
      <c r="N20" s="50">
        <v>0</v>
      </c>
      <c r="O20" s="15">
        <f t="shared" si="0"/>
        <v>11</v>
      </c>
      <c r="P20" s="15">
        <f t="shared" si="1"/>
        <v>44</v>
      </c>
      <c r="R20" s="1" t="s">
        <v>16</v>
      </c>
      <c r="S20" s="17">
        <f t="shared" ref="S20:AF20" si="12">SUM(C50:C53)</f>
        <v>8</v>
      </c>
      <c r="T20" s="17">
        <f t="shared" si="12"/>
        <v>2</v>
      </c>
      <c r="U20" s="17">
        <f t="shared" si="12"/>
        <v>9</v>
      </c>
      <c r="V20" s="17">
        <f t="shared" si="12"/>
        <v>3</v>
      </c>
      <c r="W20" s="17">
        <f t="shared" si="12"/>
        <v>1</v>
      </c>
      <c r="X20" s="17">
        <f t="shared" si="12"/>
        <v>1</v>
      </c>
      <c r="Y20" s="17">
        <f t="shared" si="12"/>
        <v>16</v>
      </c>
      <c r="Z20" s="17">
        <f t="shared" si="12"/>
        <v>5</v>
      </c>
      <c r="AA20" s="17">
        <f t="shared" si="12"/>
        <v>0</v>
      </c>
      <c r="AB20" s="17">
        <f t="shared" si="12"/>
        <v>2</v>
      </c>
      <c r="AC20" s="17">
        <f t="shared" si="12"/>
        <v>219</v>
      </c>
      <c r="AD20" s="17">
        <f t="shared" si="12"/>
        <v>0</v>
      </c>
      <c r="AE20" s="31">
        <f t="shared" si="12"/>
        <v>47</v>
      </c>
      <c r="AF20" s="31">
        <f t="shared" si="12"/>
        <v>266</v>
      </c>
    </row>
    <row r="21" spans="2:32" ht="23.1" customHeight="1" x14ac:dyDescent="0.25">
      <c r="B21" s="23" t="s">
        <v>48</v>
      </c>
      <c r="C21" s="50">
        <v>9</v>
      </c>
      <c r="D21" s="50">
        <v>2</v>
      </c>
      <c r="E21" s="50">
        <v>1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38</v>
      </c>
      <c r="N21" s="50">
        <v>0</v>
      </c>
      <c r="O21" s="15">
        <f t="shared" si="0"/>
        <v>14</v>
      </c>
      <c r="P21" s="15">
        <f t="shared" si="1"/>
        <v>52</v>
      </c>
      <c r="R21" s="36" t="s">
        <v>20</v>
      </c>
      <c r="S21" s="34">
        <f t="shared" ref="S21:AF21" si="13">SUM(C54:C57)</f>
        <v>26</v>
      </c>
      <c r="T21" s="17">
        <f t="shared" si="13"/>
        <v>4</v>
      </c>
      <c r="U21" s="17">
        <f t="shared" si="13"/>
        <v>3</v>
      </c>
      <c r="V21" s="17">
        <f t="shared" si="13"/>
        <v>9</v>
      </c>
      <c r="W21" s="17">
        <f t="shared" si="13"/>
        <v>0</v>
      </c>
      <c r="X21" s="17">
        <f t="shared" si="13"/>
        <v>1</v>
      </c>
      <c r="Y21" s="17">
        <f t="shared" si="13"/>
        <v>14</v>
      </c>
      <c r="Z21" s="17">
        <f t="shared" si="13"/>
        <v>10</v>
      </c>
      <c r="AA21" s="17">
        <f t="shared" si="13"/>
        <v>2</v>
      </c>
      <c r="AB21" s="17">
        <f t="shared" si="13"/>
        <v>2</v>
      </c>
      <c r="AC21" s="17">
        <f t="shared" si="13"/>
        <v>148</v>
      </c>
      <c r="AD21" s="17">
        <f t="shared" si="13"/>
        <v>1</v>
      </c>
      <c r="AE21" s="31">
        <f t="shared" si="13"/>
        <v>72</v>
      </c>
      <c r="AF21" s="31">
        <f t="shared" si="13"/>
        <v>220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0</v>
      </c>
      <c r="F22" s="50">
        <v>2</v>
      </c>
      <c r="G22" s="50">
        <v>0</v>
      </c>
      <c r="H22" s="50">
        <v>0</v>
      </c>
      <c r="I22" s="50">
        <v>1</v>
      </c>
      <c r="J22" s="50">
        <v>4</v>
      </c>
      <c r="K22" s="50">
        <v>1</v>
      </c>
      <c r="L22" s="50">
        <v>0</v>
      </c>
      <c r="M22" s="50">
        <v>30</v>
      </c>
      <c r="N22" s="50">
        <v>0</v>
      </c>
      <c r="O22" s="15">
        <f t="shared" si="0"/>
        <v>10</v>
      </c>
      <c r="P22" s="15">
        <f t="shared" si="1"/>
        <v>40</v>
      </c>
      <c r="R22" s="38" t="s">
        <v>90</v>
      </c>
      <c r="S22" s="39">
        <f>MAX(S10:S12)</f>
        <v>17</v>
      </c>
      <c r="T22" s="39">
        <f t="shared" ref="T22:AF22" si="14">MAX(T10:T12)</f>
        <v>2</v>
      </c>
      <c r="U22" s="39">
        <f t="shared" si="14"/>
        <v>4</v>
      </c>
      <c r="V22" s="39">
        <f t="shared" si="14"/>
        <v>7</v>
      </c>
      <c r="W22" s="39">
        <f t="shared" si="14"/>
        <v>3</v>
      </c>
      <c r="X22" s="39">
        <f t="shared" si="14"/>
        <v>1</v>
      </c>
      <c r="Y22" s="39">
        <f t="shared" si="14"/>
        <v>8</v>
      </c>
      <c r="Z22" s="39">
        <f t="shared" si="14"/>
        <v>4</v>
      </c>
      <c r="AA22" s="39">
        <f t="shared" si="14"/>
        <v>1</v>
      </c>
      <c r="AB22" s="39">
        <f t="shared" si="14"/>
        <v>2</v>
      </c>
      <c r="AC22" s="39">
        <f t="shared" si="14"/>
        <v>152</v>
      </c>
      <c r="AD22" s="39">
        <f t="shared" si="14"/>
        <v>1</v>
      </c>
      <c r="AE22" s="40">
        <f t="shared" si="14"/>
        <v>43</v>
      </c>
      <c r="AF22" s="40">
        <f t="shared" si="14"/>
        <v>195</v>
      </c>
    </row>
    <row r="23" spans="2:32" ht="23.1" customHeight="1" x14ac:dyDescent="0.25">
      <c r="B23" s="23" t="s">
        <v>50</v>
      </c>
      <c r="C23" s="50">
        <v>2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1</v>
      </c>
      <c r="K23" s="50">
        <v>1</v>
      </c>
      <c r="L23" s="50">
        <v>0</v>
      </c>
      <c r="M23" s="50">
        <v>18</v>
      </c>
      <c r="N23" s="50">
        <v>0</v>
      </c>
      <c r="O23" s="15">
        <f t="shared" si="0"/>
        <v>6</v>
      </c>
      <c r="P23" s="15">
        <f t="shared" si="1"/>
        <v>24</v>
      </c>
      <c r="R23" s="38" t="s">
        <v>91</v>
      </c>
      <c r="S23" s="39">
        <f>MAX(S13:S18)</f>
        <v>21</v>
      </c>
      <c r="T23" s="39">
        <f t="shared" ref="T23:AF23" si="15">MAX(T13:T18)</f>
        <v>16</v>
      </c>
      <c r="U23" s="39">
        <f t="shared" si="15"/>
        <v>3</v>
      </c>
      <c r="V23" s="39">
        <f t="shared" si="15"/>
        <v>10</v>
      </c>
      <c r="W23" s="39">
        <f t="shared" si="15"/>
        <v>1</v>
      </c>
      <c r="X23" s="39">
        <f t="shared" si="15"/>
        <v>1</v>
      </c>
      <c r="Y23" s="39">
        <f t="shared" si="15"/>
        <v>13</v>
      </c>
      <c r="Z23" s="39">
        <f t="shared" si="15"/>
        <v>15</v>
      </c>
      <c r="AA23" s="39">
        <f t="shared" si="15"/>
        <v>2</v>
      </c>
      <c r="AB23" s="39">
        <f t="shared" si="15"/>
        <v>3</v>
      </c>
      <c r="AC23" s="39">
        <f t="shared" si="15"/>
        <v>145</v>
      </c>
      <c r="AD23" s="39">
        <f t="shared" si="15"/>
        <v>0</v>
      </c>
      <c r="AE23" s="40">
        <f t="shared" si="15"/>
        <v>61</v>
      </c>
      <c r="AF23" s="40">
        <f t="shared" si="15"/>
        <v>191</v>
      </c>
    </row>
    <row r="24" spans="2:32" ht="23.1" customHeight="1" x14ac:dyDescent="0.25">
      <c r="B24" s="23" t="s">
        <v>51</v>
      </c>
      <c r="C24" s="50">
        <v>2</v>
      </c>
      <c r="D24" s="50">
        <v>3</v>
      </c>
      <c r="E24" s="50">
        <v>2</v>
      </c>
      <c r="F24" s="50">
        <v>4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25</v>
      </c>
      <c r="N24" s="50">
        <v>0</v>
      </c>
      <c r="O24" s="15">
        <f t="shared" si="0"/>
        <v>13</v>
      </c>
      <c r="P24" s="15">
        <f t="shared" si="1"/>
        <v>38</v>
      </c>
      <c r="R24" s="38" t="s">
        <v>92</v>
      </c>
      <c r="S24" s="39">
        <f>MAX(S19:S21)</f>
        <v>26</v>
      </c>
      <c r="T24" s="39">
        <f t="shared" ref="T24:AF24" si="16">MAX(T19:T21)</f>
        <v>6</v>
      </c>
      <c r="U24" s="39">
        <f t="shared" si="16"/>
        <v>9</v>
      </c>
      <c r="V24" s="39">
        <f t="shared" si="16"/>
        <v>9</v>
      </c>
      <c r="W24" s="39">
        <f t="shared" si="16"/>
        <v>1</v>
      </c>
      <c r="X24" s="39">
        <f t="shared" si="16"/>
        <v>1</v>
      </c>
      <c r="Y24" s="39">
        <f t="shared" si="16"/>
        <v>16</v>
      </c>
      <c r="Z24" s="39">
        <f t="shared" si="16"/>
        <v>10</v>
      </c>
      <c r="AA24" s="39">
        <f t="shared" si="16"/>
        <v>2</v>
      </c>
      <c r="AB24" s="39">
        <f t="shared" si="16"/>
        <v>2</v>
      </c>
      <c r="AC24" s="39">
        <f t="shared" si="16"/>
        <v>219</v>
      </c>
      <c r="AD24" s="39">
        <f t="shared" si="16"/>
        <v>1</v>
      </c>
      <c r="AE24" s="40">
        <f t="shared" si="16"/>
        <v>72</v>
      </c>
      <c r="AF24" s="40">
        <f t="shared" si="16"/>
        <v>266</v>
      </c>
    </row>
    <row r="25" spans="2:32" ht="23.1" customHeight="1" x14ac:dyDescent="0.25">
      <c r="B25" s="23" t="s">
        <v>52</v>
      </c>
      <c r="C25" s="50">
        <v>4</v>
      </c>
      <c r="D25" s="50">
        <v>2</v>
      </c>
      <c r="E25" s="50">
        <v>1</v>
      </c>
      <c r="F25" s="50">
        <v>4</v>
      </c>
      <c r="G25" s="50">
        <v>0</v>
      </c>
      <c r="H25" s="50">
        <v>0</v>
      </c>
      <c r="I25" s="50">
        <v>2</v>
      </c>
      <c r="J25" s="50">
        <v>3</v>
      </c>
      <c r="K25" s="50">
        <v>0</v>
      </c>
      <c r="L25" s="50">
        <v>0</v>
      </c>
      <c r="M25" s="50">
        <v>42</v>
      </c>
      <c r="N25" s="50">
        <v>0</v>
      </c>
      <c r="O25" s="15">
        <f t="shared" si="0"/>
        <v>16</v>
      </c>
      <c r="P25" s="15">
        <f t="shared" si="1"/>
        <v>58</v>
      </c>
      <c r="R25" s="37" t="s">
        <v>85</v>
      </c>
      <c r="S25" s="35">
        <f t="shared" ref="S25:AF25" si="17">SUM(S10:S12)</f>
        <v>41</v>
      </c>
      <c r="T25" s="16">
        <f t="shared" si="17"/>
        <v>5</v>
      </c>
      <c r="U25" s="16">
        <f t="shared" si="17"/>
        <v>7</v>
      </c>
      <c r="V25" s="16">
        <f t="shared" si="17"/>
        <v>17</v>
      </c>
      <c r="W25" s="16">
        <f t="shared" si="17"/>
        <v>5</v>
      </c>
      <c r="X25" s="16">
        <f t="shared" si="17"/>
        <v>1</v>
      </c>
      <c r="Y25" s="16">
        <f t="shared" si="17"/>
        <v>19</v>
      </c>
      <c r="Z25" s="16">
        <f t="shared" si="17"/>
        <v>9</v>
      </c>
      <c r="AA25" s="16">
        <f t="shared" si="17"/>
        <v>1</v>
      </c>
      <c r="AB25" s="16">
        <f t="shared" si="17"/>
        <v>2</v>
      </c>
      <c r="AC25" s="16">
        <f t="shared" si="17"/>
        <v>414</v>
      </c>
      <c r="AD25" s="16">
        <f t="shared" si="17"/>
        <v>1</v>
      </c>
      <c r="AE25" s="32">
        <f t="shared" si="17"/>
        <v>108</v>
      </c>
      <c r="AF25" s="32">
        <f t="shared" si="17"/>
        <v>522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0</v>
      </c>
      <c r="F26" s="50">
        <v>4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0</v>
      </c>
      <c r="M26" s="50">
        <v>43</v>
      </c>
      <c r="N26" s="50">
        <v>0</v>
      </c>
      <c r="O26" s="15">
        <f t="shared" si="0"/>
        <v>11</v>
      </c>
      <c r="P26" s="15">
        <f t="shared" si="1"/>
        <v>54</v>
      </c>
      <c r="R26" s="28" t="s">
        <v>86</v>
      </c>
      <c r="S26" s="16">
        <f t="shared" ref="S26:AF26" si="18">SUM(S13:S18)</f>
        <v>105</v>
      </c>
      <c r="T26" s="16">
        <f t="shared" si="18"/>
        <v>37</v>
      </c>
      <c r="U26" s="16">
        <f t="shared" si="18"/>
        <v>7</v>
      </c>
      <c r="V26" s="16">
        <f t="shared" si="18"/>
        <v>36</v>
      </c>
      <c r="W26" s="16">
        <f t="shared" si="18"/>
        <v>1</v>
      </c>
      <c r="X26" s="16">
        <f t="shared" si="18"/>
        <v>1</v>
      </c>
      <c r="Y26" s="16">
        <f t="shared" si="18"/>
        <v>34</v>
      </c>
      <c r="Z26" s="16">
        <f t="shared" si="18"/>
        <v>51</v>
      </c>
      <c r="AA26" s="16">
        <f t="shared" si="18"/>
        <v>3</v>
      </c>
      <c r="AB26" s="16">
        <f t="shared" si="18"/>
        <v>9</v>
      </c>
      <c r="AC26" s="16">
        <f t="shared" si="18"/>
        <v>663</v>
      </c>
      <c r="AD26" s="16">
        <f t="shared" si="18"/>
        <v>0</v>
      </c>
      <c r="AE26" s="32">
        <f t="shared" si="18"/>
        <v>284</v>
      </c>
      <c r="AF26" s="32">
        <f t="shared" si="18"/>
        <v>947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42</v>
      </c>
      <c r="N27" s="50">
        <v>0</v>
      </c>
      <c r="O27" s="15">
        <f t="shared" si="0"/>
        <v>10</v>
      </c>
      <c r="P27" s="15">
        <f t="shared" si="1"/>
        <v>52</v>
      </c>
      <c r="R27" s="29" t="s">
        <v>87</v>
      </c>
      <c r="S27" s="16">
        <f t="shared" ref="S27:AF27" si="19">SUM(S19:S21)</f>
        <v>51</v>
      </c>
      <c r="T27" s="16">
        <f t="shared" si="19"/>
        <v>12</v>
      </c>
      <c r="U27" s="16">
        <f t="shared" si="19"/>
        <v>17</v>
      </c>
      <c r="V27" s="16">
        <f t="shared" si="19"/>
        <v>17</v>
      </c>
      <c r="W27" s="16">
        <f t="shared" si="19"/>
        <v>1</v>
      </c>
      <c r="X27" s="16">
        <f t="shared" si="19"/>
        <v>2</v>
      </c>
      <c r="Y27" s="16">
        <f t="shared" si="19"/>
        <v>44</v>
      </c>
      <c r="Z27" s="16">
        <f t="shared" si="19"/>
        <v>24</v>
      </c>
      <c r="AA27" s="16">
        <f t="shared" si="19"/>
        <v>3</v>
      </c>
      <c r="AB27" s="16">
        <f t="shared" si="19"/>
        <v>5</v>
      </c>
      <c r="AC27" s="16">
        <f t="shared" si="19"/>
        <v>533</v>
      </c>
      <c r="AD27" s="16">
        <f t="shared" si="19"/>
        <v>1</v>
      </c>
      <c r="AE27" s="32">
        <f t="shared" si="19"/>
        <v>177</v>
      </c>
      <c r="AF27" s="32">
        <f t="shared" si="19"/>
        <v>710</v>
      </c>
    </row>
    <row r="28" spans="2:32" ht="23.1" customHeight="1" x14ac:dyDescent="0.25">
      <c r="B28" s="23" t="s">
        <v>55</v>
      </c>
      <c r="C28" s="50">
        <v>5</v>
      </c>
      <c r="D28" s="50">
        <v>2</v>
      </c>
      <c r="E28" s="50">
        <v>0</v>
      </c>
      <c r="F28" s="50">
        <v>1</v>
      </c>
      <c r="G28" s="50">
        <v>0</v>
      </c>
      <c r="H28" s="50">
        <v>0</v>
      </c>
      <c r="I28" s="50">
        <v>6</v>
      </c>
      <c r="J28" s="50">
        <v>1</v>
      </c>
      <c r="K28" s="50">
        <v>0</v>
      </c>
      <c r="L28" s="50">
        <v>1</v>
      </c>
      <c r="M28" s="50">
        <v>26</v>
      </c>
      <c r="N28" s="50">
        <v>0</v>
      </c>
      <c r="O28" s="15">
        <f t="shared" si="0"/>
        <v>16</v>
      </c>
      <c r="P28" s="15">
        <f t="shared" si="1"/>
        <v>42</v>
      </c>
      <c r="R28" s="5" t="s">
        <v>17</v>
      </c>
      <c r="S28" s="16">
        <f t="shared" ref="S28:AF28" si="20">SUM(S10:S21)</f>
        <v>197</v>
      </c>
      <c r="T28" s="16">
        <f t="shared" si="20"/>
        <v>54</v>
      </c>
      <c r="U28" s="16">
        <f t="shared" si="20"/>
        <v>31</v>
      </c>
      <c r="V28" s="16">
        <f t="shared" si="20"/>
        <v>70</v>
      </c>
      <c r="W28" s="16">
        <f t="shared" si="20"/>
        <v>7</v>
      </c>
      <c r="X28" s="16">
        <f t="shared" si="20"/>
        <v>4</v>
      </c>
      <c r="Y28" s="16">
        <f t="shared" si="20"/>
        <v>97</v>
      </c>
      <c r="Z28" s="16">
        <f t="shared" si="20"/>
        <v>84</v>
      </c>
      <c r="AA28" s="16">
        <f t="shared" si="20"/>
        <v>7</v>
      </c>
      <c r="AB28" s="16">
        <f t="shared" si="20"/>
        <v>16</v>
      </c>
      <c r="AC28" s="16">
        <f t="shared" si="20"/>
        <v>1610</v>
      </c>
      <c r="AD28" s="16">
        <f t="shared" si="20"/>
        <v>2</v>
      </c>
      <c r="AE28" s="32">
        <f t="shared" si="20"/>
        <v>569</v>
      </c>
      <c r="AF28" s="32">
        <f t="shared" si="20"/>
        <v>2179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34</v>
      </c>
      <c r="N29" s="50">
        <v>0</v>
      </c>
      <c r="O29" s="15">
        <f t="shared" si="0"/>
        <v>9</v>
      </c>
      <c r="P29" s="15">
        <f t="shared" si="1"/>
        <v>43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1</v>
      </c>
      <c r="E30" s="50">
        <v>0</v>
      </c>
      <c r="F30" s="50">
        <v>2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33</v>
      </c>
      <c r="N30" s="50">
        <v>0</v>
      </c>
      <c r="O30" s="15">
        <f t="shared" si="0"/>
        <v>11</v>
      </c>
      <c r="P30" s="15">
        <f t="shared" si="1"/>
        <v>44</v>
      </c>
    </row>
    <row r="31" spans="2:32" ht="23.1" customHeight="1" x14ac:dyDescent="0.25">
      <c r="B31" s="24" t="s">
        <v>58</v>
      </c>
      <c r="C31" s="50">
        <v>10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38</v>
      </c>
      <c r="N31" s="50">
        <v>0</v>
      </c>
      <c r="O31" s="15">
        <f t="shared" si="0"/>
        <v>13</v>
      </c>
      <c r="P31" s="15">
        <f t="shared" si="1"/>
        <v>51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1</v>
      </c>
      <c r="G32" s="50">
        <v>1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20</v>
      </c>
      <c r="N32" s="50">
        <v>0</v>
      </c>
      <c r="O32" s="15">
        <f t="shared" si="0"/>
        <v>6</v>
      </c>
      <c r="P32" s="15">
        <f t="shared" si="1"/>
        <v>26</v>
      </c>
    </row>
    <row r="33" spans="2:20" ht="23.1" customHeight="1" x14ac:dyDescent="0.25">
      <c r="B33" s="23" t="s">
        <v>60</v>
      </c>
      <c r="C33" s="50">
        <v>4</v>
      </c>
      <c r="D33" s="50">
        <v>2</v>
      </c>
      <c r="E33" s="50">
        <v>0</v>
      </c>
      <c r="F33" s="50">
        <v>1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1</v>
      </c>
      <c r="M33" s="50">
        <v>25</v>
      </c>
      <c r="N33" s="50">
        <v>0</v>
      </c>
      <c r="O33" s="15">
        <f t="shared" si="0"/>
        <v>11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10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17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1</v>
      </c>
      <c r="M35" s="50">
        <v>31</v>
      </c>
      <c r="N35" s="50">
        <v>0</v>
      </c>
      <c r="O35" s="15">
        <f t="shared" si="0"/>
        <v>6</v>
      </c>
      <c r="P35" s="15">
        <f t="shared" si="1"/>
        <v>37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1</v>
      </c>
      <c r="M36" s="50">
        <v>35</v>
      </c>
      <c r="N36" s="50">
        <v>0</v>
      </c>
      <c r="O36" s="15">
        <f t="shared" si="0"/>
        <v>11</v>
      </c>
      <c r="P36" s="15">
        <f t="shared" si="1"/>
        <v>46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3</v>
      </c>
      <c r="K37" s="50">
        <v>0</v>
      </c>
      <c r="L37" s="50">
        <v>0</v>
      </c>
      <c r="M37" s="50">
        <v>27</v>
      </c>
      <c r="N37" s="50">
        <v>0</v>
      </c>
      <c r="O37" s="15">
        <f t="shared" si="0"/>
        <v>11</v>
      </c>
      <c r="P37" s="15">
        <f t="shared" si="1"/>
        <v>38</v>
      </c>
    </row>
    <row r="38" spans="2:20" ht="23.1" customHeight="1" x14ac:dyDescent="0.25">
      <c r="B38" s="24" t="s">
        <v>65</v>
      </c>
      <c r="C38" s="50">
        <v>7</v>
      </c>
      <c r="D38" s="50">
        <v>1</v>
      </c>
      <c r="E38" s="50">
        <v>1</v>
      </c>
      <c r="F38" s="50">
        <v>1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0"/>
        <v>12</v>
      </c>
      <c r="P38" s="15">
        <f t="shared" si="1"/>
        <v>32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28</v>
      </c>
      <c r="N39" s="50">
        <v>0</v>
      </c>
      <c r="O39" s="15">
        <f t="shared" si="0"/>
        <v>4</v>
      </c>
      <c r="P39" s="15">
        <f t="shared" si="1"/>
        <v>32</v>
      </c>
    </row>
    <row r="40" spans="2:20" ht="23.1" customHeight="1" x14ac:dyDescent="0.25">
      <c r="B40" s="24" t="s">
        <v>67</v>
      </c>
      <c r="C40" s="50">
        <v>3</v>
      </c>
      <c r="D40" s="50">
        <v>5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3</v>
      </c>
      <c r="K40" s="50">
        <v>0</v>
      </c>
      <c r="L40" s="50">
        <v>0</v>
      </c>
      <c r="M40" s="50">
        <v>22</v>
      </c>
      <c r="N40" s="50">
        <v>0</v>
      </c>
      <c r="O40" s="15">
        <f t="shared" si="0"/>
        <v>12</v>
      </c>
      <c r="P40" s="15">
        <f t="shared" si="1"/>
        <v>34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0</v>
      </c>
      <c r="F41" s="50">
        <v>3</v>
      </c>
      <c r="G41" s="50">
        <v>0</v>
      </c>
      <c r="H41" s="50">
        <v>1</v>
      </c>
      <c r="I41" s="50">
        <v>0</v>
      </c>
      <c r="J41" s="50">
        <v>8</v>
      </c>
      <c r="K41" s="50">
        <v>1</v>
      </c>
      <c r="L41" s="50">
        <v>0</v>
      </c>
      <c r="M41" s="50">
        <v>15</v>
      </c>
      <c r="N41" s="50">
        <v>0</v>
      </c>
      <c r="O41" s="15">
        <f t="shared" si="0"/>
        <v>18</v>
      </c>
      <c r="P41" s="15">
        <f t="shared" si="1"/>
        <v>33</v>
      </c>
    </row>
    <row r="42" spans="2:20" ht="23.1" customHeight="1" x14ac:dyDescent="0.25">
      <c r="B42" s="24" t="s">
        <v>69</v>
      </c>
      <c r="C42" s="50">
        <v>3</v>
      </c>
      <c r="D42" s="50">
        <v>3</v>
      </c>
      <c r="E42" s="50">
        <v>0</v>
      </c>
      <c r="F42" s="50">
        <v>2</v>
      </c>
      <c r="G42" s="50">
        <v>0</v>
      </c>
      <c r="H42" s="50">
        <v>0</v>
      </c>
      <c r="I42" s="50">
        <v>0</v>
      </c>
      <c r="J42" s="50">
        <v>3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11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4</v>
      </c>
      <c r="D43" s="50">
        <v>5</v>
      </c>
      <c r="E43" s="50">
        <v>0</v>
      </c>
      <c r="F43" s="50">
        <v>0</v>
      </c>
      <c r="G43" s="50">
        <v>0</v>
      </c>
      <c r="H43" s="50">
        <v>0</v>
      </c>
      <c r="I43" s="50">
        <v>3</v>
      </c>
      <c r="J43" s="50">
        <v>2</v>
      </c>
      <c r="K43" s="50">
        <v>0</v>
      </c>
      <c r="L43" s="50">
        <v>0</v>
      </c>
      <c r="M43" s="50">
        <v>20</v>
      </c>
      <c r="N43" s="50">
        <v>0</v>
      </c>
      <c r="O43" s="15">
        <f t="shared" si="0"/>
        <v>14</v>
      </c>
      <c r="P43" s="15">
        <f t="shared" si="1"/>
        <v>34</v>
      </c>
    </row>
    <row r="44" spans="2:20" ht="23.1" customHeight="1" x14ac:dyDescent="0.25">
      <c r="B44" s="25" t="s">
        <v>71</v>
      </c>
      <c r="C44" s="50">
        <v>5</v>
      </c>
      <c r="D44" s="50">
        <v>5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6</v>
      </c>
      <c r="K44" s="50">
        <v>0</v>
      </c>
      <c r="L44" s="50">
        <v>1</v>
      </c>
      <c r="M44" s="50">
        <v>20</v>
      </c>
      <c r="N44" s="50">
        <v>0</v>
      </c>
      <c r="O44" s="15">
        <f t="shared" si="0"/>
        <v>19</v>
      </c>
      <c r="P44" s="15">
        <f t="shared" si="1"/>
        <v>39</v>
      </c>
    </row>
    <row r="45" spans="2:20" ht="23.1" customHeight="1" x14ac:dyDescent="0.25">
      <c r="B45" s="23" t="s">
        <v>72</v>
      </c>
      <c r="C45" s="50">
        <v>9</v>
      </c>
      <c r="D45" s="50">
        <v>3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4</v>
      </c>
      <c r="K45" s="50">
        <v>0</v>
      </c>
      <c r="L45" s="50">
        <v>1</v>
      </c>
      <c r="M45" s="50">
        <v>26</v>
      </c>
      <c r="N45" s="50">
        <v>0</v>
      </c>
      <c r="O45" s="15">
        <f t="shared" si="0"/>
        <v>17</v>
      </c>
      <c r="P45" s="15">
        <f t="shared" si="1"/>
        <v>43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1</v>
      </c>
      <c r="J46" s="50">
        <v>5</v>
      </c>
      <c r="K46" s="50">
        <v>0</v>
      </c>
      <c r="L46" s="50">
        <v>0</v>
      </c>
      <c r="M46" s="50">
        <v>17</v>
      </c>
      <c r="N46" s="50">
        <v>0</v>
      </c>
      <c r="O46" s="15">
        <f t="shared" si="0"/>
        <v>10</v>
      </c>
      <c r="P46" s="15">
        <f t="shared" si="1"/>
        <v>27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2</v>
      </c>
      <c r="E47" s="50">
        <v>2</v>
      </c>
      <c r="F47" s="50">
        <v>2</v>
      </c>
      <c r="G47" s="50">
        <v>0</v>
      </c>
      <c r="H47" s="50">
        <v>0</v>
      </c>
      <c r="I47" s="50">
        <v>5</v>
      </c>
      <c r="J47" s="50">
        <v>0</v>
      </c>
      <c r="K47" s="50">
        <v>0</v>
      </c>
      <c r="L47" s="50">
        <v>0</v>
      </c>
      <c r="M47" s="50">
        <v>47</v>
      </c>
      <c r="N47" s="50">
        <v>0</v>
      </c>
      <c r="O47" s="15">
        <f t="shared" si="0"/>
        <v>15</v>
      </c>
      <c r="P47" s="15">
        <f t="shared" si="1"/>
        <v>62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3</v>
      </c>
      <c r="E48" s="50">
        <v>2</v>
      </c>
      <c r="F48" s="50">
        <v>1</v>
      </c>
      <c r="G48" s="50">
        <v>0</v>
      </c>
      <c r="H48" s="50">
        <v>0</v>
      </c>
      <c r="I48" s="50">
        <v>2</v>
      </c>
      <c r="J48" s="50">
        <v>2</v>
      </c>
      <c r="K48" s="50">
        <v>0</v>
      </c>
      <c r="L48" s="50">
        <v>1</v>
      </c>
      <c r="M48" s="50">
        <v>47</v>
      </c>
      <c r="N48" s="50">
        <v>0</v>
      </c>
      <c r="O48" s="15">
        <f t="shared" si="0"/>
        <v>17</v>
      </c>
      <c r="P48" s="15">
        <f t="shared" si="1"/>
        <v>64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6</v>
      </c>
      <c r="J49" s="50">
        <v>2</v>
      </c>
      <c r="K49" s="50">
        <v>1</v>
      </c>
      <c r="L49" s="50">
        <v>0</v>
      </c>
      <c r="M49" s="50">
        <v>55</v>
      </c>
      <c r="N49" s="50">
        <v>0</v>
      </c>
      <c r="O49" s="15">
        <f t="shared" si="0"/>
        <v>16</v>
      </c>
      <c r="P49" s="15">
        <f t="shared" si="1"/>
        <v>71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6</v>
      </c>
      <c r="J50" s="50">
        <v>1</v>
      </c>
      <c r="K50" s="50">
        <v>0</v>
      </c>
      <c r="L50" s="50">
        <v>0</v>
      </c>
      <c r="M50" s="50">
        <v>60</v>
      </c>
      <c r="N50" s="50">
        <v>0</v>
      </c>
      <c r="O50" s="15">
        <f t="shared" si="0"/>
        <v>13</v>
      </c>
      <c r="P50" s="15">
        <f t="shared" si="1"/>
        <v>73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2</v>
      </c>
      <c r="E51" s="50">
        <v>4</v>
      </c>
      <c r="F51" s="50">
        <v>1</v>
      </c>
      <c r="G51" s="50">
        <v>1</v>
      </c>
      <c r="H51" s="50">
        <v>0</v>
      </c>
      <c r="I51" s="50">
        <v>2</v>
      </c>
      <c r="J51" s="50">
        <v>0</v>
      </c>
      <c r="K51" s="50">
        <v>0</v>
      </c>
      <c r="L51" s="50">
        <v>2</v>
      </c>
      <c r="M51" s="50">
        <v>50</v>
      </c>
      <c r="N51" s="50">
        <v>0</v>
      </c>
      <c r="O51" s="15">
        <f t="shared" si="0"/>
        <v>14</v>
      </c>
      <c r="P51" s="15">
        <f t="shared" si="1"/>
        <v>64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2</v>
      </c>
      <c r="F52" s="50">
        <v>0</v>
      </c>
      <c r="G52" s="50">
        <v>0</v>
      </c>
      <c r="H52" s="50">
        <v>1</v>
      </c>
      <c r="I52" s="50">
        <v>5</v>
      </c>
      <c r="J52" s="50">
        <v>2</v>
      </c>
      <c r="K52" s="50">
        <v>0</v>
      </c>
      <c r="L52" s="50">
        <v>0</v>
      </c>
      <c r="M52" s="50">
        <v>55</v>
      </c>
      <c r="N52" s="50">
        <v>0</v>
      </c>
      <c r="O52" s="15">
        <f t="shared" si="0"/>
        <v>11</v>
      </c>
      <c r="P52" s="15">
        <f t="shared" si="1"/>
        <v>66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3</v>
      </c>
      <c r="J53" s="50">
        <v>2</v>
      </c>
      <c r="K53" s="50">
        <v>0</v>
      </c>
      <c r="L53" s="50">
        <v>0</v>
      </c>
      <c r="M53" s="50">
        <v>54</v>
      </c>
      <c r="N53" s="50">
        <v>0</v>
      </c>
      <c r="O53" s="15">
        <f t="shared" si="0"/>
        <v>9</v>
      </c>
      <c r="P53" s="15">
        <f t="shared" si="1"/>
        <v>63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2</v>
      </c>
      <c r="E54" s="50">
        <v>0</v>
      </c>
      <c r="F54" s="50">
        <v>3</v>
      </c>
      <c r="G54" s="50">
        <v>0</v>
      </c>
      <c r="H54" s="50">
        <v>0</v>
      </c>
      <c r="I54" s="50">
        <v>2</v>
      </c>
      <c r="J54" s="50">
        <v>2</v>
      </c>
      <c r="K54" s="50">
        <v>0</v>
      </c>
      <c r="L54" s="50">
        <v>0</v>
      </c>
      <c r="M54" s="50">
        <v>40</v>
      </c>
      <c r="N54" s="50">
        <v>0</v>
      </c>
      <c r="O54" s="15">
        <f t="shared" si="0"/>
        <v>14</v>
      </c>
      <c r="P54" s="15">
        <f t="shared" si="1"/>
        <v>54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2</v>
      </c>
      <c r="F55" s="50">
        <v>2</v>
      </c>
      <c r="G55" s="50">
        <v>0</v>
      </c>
      <c r="H55" s="50">
        <v>0</v>
      </c>
      <c r="I55" s="50">
        <v>3</v>
      </c>
      <c r="J55" s="50">
        <v>3</v>
      </c>
      <c r="K55" s="50">
        <v>0</v>
      </c>
      <c r="L55" s="50">
        <v>0</v>
      </c>
      <c r="M55" s="50">
        <v>38</v>
      </c>
      <c r="N55" s="50">
        <v>1</v>
      </c>
      <c r="O55" s="15">
        <f t="shared" si="0"/>
        <v>14</v>
      </c>
      <c r="P55" s="15">
        <f t="shared" si="1"/>
        <v>52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2</v>
      </c>
      <c r="E56" s="50">
        <v>0</v>
      </c>
      <c r="F56" s="50">
        <v>1</v>
      </c>
      <c r="G56" s="50">
        <v>0</v>
      </c>
      <c r="H56" s="50">
        <v>0</v>
      </c>
      <c r="I56" s="50">
        <v>4</v>
      </c>
      <c r="J56" s="50">
        <v>3</v>
      </c>
      <c r="K56" s="50">
        <v>2</v>
      </c>
      <c r="L56" s="50">
        <v>2</v>
      </c>
      <c r="M56" s="50">
        <v>36</v>
      </c>
      <c r="N56" s="50">
        <v>0</v>
      </c>
      <c r="O56" s="15">
        <f t="shared" si="0"/>
        <v>22</v>
      </c>
      <c r="P56" s="15">
        <f t="shared" si="1"/>
        <v>58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0</v>
      </c>
      <c r="E57" s="50">
        <v>1</v>
      </c>
      <c r="F57" s="50">
        <v>3</v>
      </c>
      <c r="G57" s="50">
        <v>0</v>
      </c>
      <c r="H57" s="50">
        <v>1</v>
      </c>
      <c r="I57" s="50">
        <v>5</v>
      </c>
      <c r="J57" s="50">
        <v>2</v>
      </c>
      <c r="K57" s="50">
        <v>0</v>
      </c>
      <c r="L57" s="50">
        <v>0</v>
      </c>
      <c r="M57" s="50">
        <v>34</v>
      </c>
      <c r="N57" s="50">
        <v>0</v>
      </c>
      <c r="O57" s="15">
        <f t="shared" si="0"/>
        <v>22</v>
      </c>
      <c r="P57" s="15">
        <f t="shared" si="1"/>
        <v>56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197</v>
      </c>
      <c r="D58" s="16">
        <f t="shared" si="21"/>
        <v>54</v>
      </c>
      <c r="E58" s="16">
        <f t="shared" si="21"/>
        <v>31</v>
      </c>
      <c r="F58" s="16">
        <f t="shared" si="21"/>
        <v>70</v>
      </c>
      <c r="G58" s="16">
        <f t="shared" si="21"/>
        <v>7</v>
      </c>
      <c r="H58" s="16">
        <f t="shared" si="21"/>
        <v>4</v>
      </c>
      <c r="I58" s="16">
        <f t="shared" si="21"/>
        <v>97</v>
      </c>
      <c r="J58" s="16">
        <f t="shared" si="21"/>
        <v>84</v>
      </c>
      <c r="K58" s="16">
        <f t="shared" si="21"/>
        <v>7</v>
      </c>
      <c r="L58" s="16">
        <f t="shared" si="21"/>
        <v>16</v>
      </c>
      <c r="M58" s="16">
        <f t="shared" si="21"/>
        <v>1610</v>
      </c>
      <c r="N58" s="16">
        <f t="shared" si="21"/>
        <v>2</v>
      </c>
      <c r="O58" s="16">
        <f t="shared" si="21"/>
        <v>569</v>
      </c>
      <c r="P58" s="16">
        <f t="shared" si="21"/>
        <v>2179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9.0408444240477281E-2</v>
      </c>
      <c r="D59" s="43">
        <f t="shared" si="22"/>
        <v>2.4782010096374485E-2</v>
      </c>
      <c r="E59" s="43">
        <f t="shared" si="22"/>
        <v>1.4226709499770536E-2</v>
      </c>
      <c r="F59" s="43">
        <f t="shared" si="22"/>
        <v>3.2124827902707667E-2</v>
      </c>
      <c r="G59" s="43">
        <f t="shared" si="22"/>
        <v>3.2124827902707664E-3</v>
      </c>
      <c r="H59" s="43">
        <f t="shared" si="22"/>
        <v>1.8357044515832951E-3</v>
      </c>
      <c r="I59" s="43">
        <f t="shared" si="22"/>
        <v>4.4515832950894903E-2</v>
      </c>
      <c r="J59" s="43">
        <f t="shared" si="22"/>
        <v>3.8549793483249196E-2</v>
      </c>
      <c r="K59" s="43">
        <f t="shared" si="22"/>
        <v>3.2124827902707664E-3</v>
      </c>
      <c r="L59" s="43">
        <f t="shared" si="22"/>
        <v>7.3428178063331805E-3</v>
      </c>
      <c r="M59" s="43">
        <f t="shared" si="22"/>
        <v>0.73887104176227625</v>
      </c>
      <c r="N59" s="43">
        <f t="shared" si="22"/>
        <v>9.1785222579164757E-4</v>
      </c>
      <c r="R59" s="8"/>
      <c r="T59"/>
    </row>
    <row r="60" spans="2:20" ht="23.1" customHeight="1" x14ac:dyDescent="0.25">
      <c r="B60" s="42" t="s">
        <v>94</v>
      </c>
      <c r="C60" s="44">
        <f>C58/$O$58</f>
        <v>0.34622144112478032</v>
      </c>
      <c r="D60" s="44">
        <f t="shared" ref="D60:N60" si="23">D58/$O$58</f>
        <v>9.4903339191564143E-2</v>
      </c>
      <c r="E60" s="44">
        <f t="shared" si="23"/>
        <v>5.4481546572934976E-2</v>
      </c>
      <c r="F60" s="44">
        <f t="shared" si="23"/>
        <v>0.12302284710017575</v>
      </c>
      <c r="G60" s="44">
        <f t="shared" si="23"/>
        <v>1.2302284710017574E-2</v>
      </c>
      <c r="H60" s="44">
        <f t="shared" si="23"/>
        <v>7.0298769771528994E-3</v>
      </c>
      <c r="I60" s="44">
        <f t="shared" si="23"/>
        <v>0.17047451669595781</v>
      </c>
      <c r="J60" s="44">
        <f t="shared" si="23"/>
        <v>0.14762741652021089</v>
      </c>
      <c r="K60" s="44">
        <f t="shared" si="23"/>
        <v>1.2302284710017574E-2</v>
      </c>
      <c r="L60" s="44">
        <f t="shared" si="23"/>
        <v>2.8119507908611598E-2</v>
      </c>
      <c r="M60" s="44"/>
      <c r="N60" s="44">
        <f t="shared" si="23"/>
        <v>3.5149384885764497E-3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3" t="str">
        <f>'22.08 Musita-Lumino'!G5:H5</f>
        <v>Musita</v>
      </c>
      <c r="H5" s="64"/>
      <c r="I5" s="14"/>
      <c r="J5" s="2" t="s">
        <v>5</v>
      </c>
      <c r="K5" s="63" t="str">
        <f>'22.08 Musita-Lumino'!K5:L5</f>
        <v>Nusulah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Musita-Lumino'!D6:E6</f>
        <v>Musita</v>
      </c>
      <c r="E6" s="64"/>
      <c r="F6" s="2" t="s">
        <v>2</v>
      </c>
      <c r="G6" s="63" t="str">
        <f>'22.08 Musita-Lumino'!G6:H6</f>
        <v>Lumino</v>
      </c>
      <c r="H6" s="64"/>
      <c r="J6" s="2" t="s">
        <v>21</v>
      </c>
      <c r="K6" s="63" t="str">
        <f>'22.08 Musita-Lumino'!K6:L6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1</v>
      </c>
      <c r="F10" s="50">
        <v>3</v>
      </c>
      <c r="G10" s="50">
        <v>1</v>
      </c>
      <c r="H10" s="50">
        <v>0</v>
      </c>
      <c r="I10" s="50">
        <v>2</v>
      </c>
      <c r="J10" s="50">
        <v>4</v>
      </c>
      <c r="K10" s="50">
        <v>0</v>
      </c>
      <c r="L10" s="50">
        <v>0</v>
      </c>
      <c r="M10" s="50">
        <v>14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28</v>
      </c>
      <c r="R10" s="1" t="s">
        <v>6</v>
      </c>
      <c r="S10" s="17">
        <f t="shared" ref="S10:AF10" si="2">SUM(C10:C13)</f>
        <v>5</v>
      </c>
      <c r="T10" s="17">
        <f t="shared" si="2"/>
        <v>4</v>
      </c>
      <c r="U10" s="17">
        <f t="shared" si="2"/>
        <v>1</v>
      </c>
      <c r="V10" s="17">
        <f t="shared" si="2"/>
        <v>7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11</v>
      </c>
      <c r="AA10" s="17">
        <f t="shared" si="2"/>
        <v>8</v>
      </c>
      <c r="AB10" s="17">
        <f t="shared" si="2"/>
        <v>0</v>
      </c>
      <c r="AC10" s="17">
        <f t="shared" si="2"/>
        <v>111</v>
      </c>
      <c r="AD10" s="17">
        <f t="shared" si="2"/>
        <v>0</v>
      </c>
      <c r="AE10" s="31">
        <f t="shared" si="2"/>
        <v>40</v>
      </c>
      <c r="AF10" s="31">
        <f t="shared" si="2"/>
        <v>151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3</v>
      </c>
      <c r="K11" s="50">
        <v>5</v>
      </c>
      <c r="L11" s="50">
        <v>0</v>
      </c>
      <c r="M11" s="50">
        <v>28</v>
      </c>
      <c r="N11" s="50">
        <v>0</v>
      </c>
      <c r="O11" s="15">
        <f t="shared" si="0"/>
        <v>11</v>
      </c>
      <c r="P11" s="15">
        <f t="shared" si="1"/>
        <v>39</v>
      </c>
      <c r="R11" s="1" t="s">
        <v>7</v>
      </c>
      <c r="S11" s="17">
        <f t="shared" ref="S11:AF11" si="3">SUM(C14:C17)</f>
        <v>3</v>
      </c>
      <c r="T11" s="17">
        <f t="shared" si="3"/>
        <v>2</v>
      </c>
      <c r="U11" s="17">
        <f t="shared" si="3"/>
        <v>3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8</v>
      </c>
      <c r="AA11" s="17">
        <f t="shared" si="3"/>
        <v>6</v>
      </c>
      <c r="AB11" s="17">
        <f t="shared" si="3"/>
        <v>0</v>
      </c>
      <c r="AC11" s="17">
        <f t="shared" si="3"/>
        <v>140</v>
      </c>
      <c r="AD11" s="17">
        <f t="shared" si="3"/>
        <v>0</v>
      </c>
      <c r="AE11" s="31">
        <f t="shared" si="3"/>
        <v>27</v>
      </c>
      <c r="AF11" s="31">
        <f t="shared" si="3"/>
        <v>167</v>
      </c>
    </row>
    <row r="12" spans="2:32" ht="23.1" customHeight="1" x14ac:dyDescent="0.25">
      <c r="B12" s="23" t="s">
        <v>39</v>
      </c>
      <c r="C12" s="50">
        <v>2</v>
      </c>
      <c r="D12" s="50">
        <v>2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3</v>
      </c>
      <c r="K12" s="50">
        <v>3</v>
      </c>
      <c r="L12" s="50">
        <v>0</v>
      </c>
      <c r="M12" s="50">
        <v>30</v>
      </c>
      <c r="N12" s="50">
        <v>0</v>
      </c>
      <c r="O12" s="15">
        <f t="shared" si="0"/>
        <v>10</v>
      </c>
      <c r="P12" s="15">
        <f t="shared" si="1"/>
        <v>40</v>
      </c>
      <c r="R12" s="1" t="s">
        <v>8</v>
      </c>
      <c r="S12" s="17">
        <f t="shared" ref="S12:AF12" si="4">SUM(C18:C21)</f>
        <v>10</v>
      </c>
      <c r="T12" s="17">
        <f t="shared" si="4"/>
        <v>5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4</v>
      </c>
      <c r="AA12" s="17">
        <f t="shared" si="4"/>
        <v>10</v>
      </c>
      <c r="AB12" s="17">
        <f t="shared" si="4"/>
        <v>0</v>
      </c>
      <c r="AC12" s="17">
        <f t="shared" si="4"/>
        <v>156</v>
      </c>
      <c r="AD12" s="17">
        <f t="shared" si="4"/>
        <v>1</v>
      </c>
      <c r="AE12" s="31">
        <f t="shared" si="4"/>
        <v>34</v>
      </c>
      <c r="AF12" s="31">
        <f t="shared" si="4"/>
        <v>190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3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39</v>
      </c>
      <c r="N13" s="50">
        <v>0</v>
      </c>
      <c r="O13" s="15">
        <f t="shared" si="0"/>
        <v>5</v>
      </c>
      <c r="P13" s="15">
        <f t="shared" si="1"/>
        <v>44</v>
      </c>
      <c r="R13" s="1" t="s">
        <v>9</v>
      </c>
      <c r="S13" s="17">
        <f t="shared" ref="S13:AF13" si="5">SUM(C22:C25)</f>
        <v>17</v>
      </c>
      <c r="T13" s="17">
        <f t="shared" si="5"/>
        <v>5</v>
      </c>
      <c r="U13" s="17">
        <f t="shared" si="5"/>
        <v>5</v>
      </c>
      <c r="V13" s="17">
        <f t="shared" si="5"/>
        <v>6</v>
      </c>
      <c r="W13" s="17">
        <f t="shared" si="5"/>
        <v>1</v>
      </c>
      <c r="X13" s="17">
        <f t="shared" si="5"/>
        <v>0</v>
      </c>
      <c r="Y13" s="17">
        <f t="shared" si="5"/>
        <v>7</v>
      </c>
      <c r="Z13" s="17">
        <f t="shared" si="5"/>
        <v>4</v>
      </c>
      <c r="AA13" s="17">
        <f t="shared" si="5"/>
        <v>9</v>
      </c>
      <c r="AB13" s="17">
        <f t="shared" si="5"/>
        <v>1</v>
      </c>
      <c r="AC13" s="17">
        <f t="shared" si="5"/>
        <v>132</v>
      </c>
      <c r="AD13" s="17">
        <f t="shared" si="5"/>
        <v>0</v>
      </c>
      <c r="AE13" s="31">
        <f t="shared" si="5"/>
        <v>55</v>
      </c>
      <c r="AF13" s="31">
        <f t="shared" si="5"/>
        <v>187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2</v>
      </c>
      <c r="K14" s="50">
        <v>3</v>
      </c>
      <c r="L14" s="50">
        <v>0</v>
      </c>
      <c r="M14" s="50">
        <v>37</v>
      </c>
      <c r="N14" s="50">
        <v>0</v>
      </c>
      <c r="O14" s="15">
        <f t="shared" si="0"/>
        <v>7</v>
      </c>
      <c r="P14" s="15">
        <f t="shared" si="1"/>
        <v>44</v>
      </c>
      <c r="R14" s="1" t="s">
        <v>10</v>
      </c>
      <c r="S14" s="17">
        <f t="shared" ref="S14:AF14" si="6">SUM(C26:C29)</f>
        <v>17</v>
      </c>
      <c r="T14" s="17">
        <f t="shared" si="6"/>
        <v>6</v>
      </c>
      <c r="U14" s="17">
        <f t="shared" si="6"/>
        <v>0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11</v>
      </c>
      <c r="AA14" s="17">
        <f t="shared" si="6"/>
        <v>1</v>
      </c>
      <c r="AB14" s="17">
        <f t="shared" si="6"/>
        <v>0</v>
      </c>
      <c r="AC14" s="17">
        <f t="shared" si="6"/>
        <v>184</v>
      </c>
      <c r="AD14" s="17">
        <f t="shared" si="6"/>
        <v>0</v>
      </c>
      <c r="AE14" s="31">
        <f t="shared" si="6"/>
        <v>48</v>
      </c>
      <c r="AF14" s="31">
        <f t="shared" si="6"/>
        <v>232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2</v>
      </c>
      <c r="G15" s="50">
        <v>0</v>
      </c>
      <c r="H15" s="50">
        <v>0</v>
      </c>
      <c r="I15" s="50">
        <v>2</v>
      </c>
      <c r="J15" s="50">
        <v>3</v>
      </c>
      <c r="K15" s="50">
        <v>0</v>
      </c>
      <c r="L15" s="50">
        <v>0</v>
      </c>
      <c r="M15" s="50">
        <v>34</v>
      </c>
      <c r="N15" s="50">
        <v>0</v>
      </c>
      <c r="O15" s="15">
        <f t="shared" si="0"/>
        <v>8</v>
      </c>
      <c r="P15" s="15">
        <f t="shared" si="1"/>
        <v>42</v>
      </c>
      <c r="R15" s="1" t="s">
        <v>11</v>
      </c>
      <c r="S15" s="17">
        <f t="shared" ref="S15:AF15" si="7">SUM(C30:C33)</f>
        <v>14</v>
      </c>
      <c r="T15" s="17">
        <f t="shared" si="7"/>
        <v>4</v>
      </c>
      <c r="U15" s="17">
        <f t="shared" si="7"/>
        <v>8</v>
      </c>
      <c r="V15" s="17">
        <f t="shared" si="7"/>
        <v>6</v>
      </c>
      <c r="W15" s="17">
        <f t="shared" si="7"/>
        <v>1</v>
      </c>
      <c r="X15" s="17">
        <f t="shared" si="7"/>
        <v>1</v>
      </c>
      <c r="Y15" s="17">
        <f t="shared" si="7"/>
        <v>13</v>
      </c>
      <c r="Z15" s="17">
        <f t="shared" si="7"/>
        <v>13</v>
      </c>
      <c r="AA15" s="17">
        <f t="shared" si="7"/>
        <v>0</v>
      </c>
      <c r="AB15" s="17">
        <f t="shared" si="7"/>
        <v>1</v>
      </c>
      <c r="AC15" s="17">
        <f t="shared" si="7"/>
        <v>183</v>
      </c>
      <c r="AD15" s="17">
        <f t="shared" si="7"/>
        <v>0</v>
      </c>
      <c r="AE15" s="31">
        <f t="shared" si="7"/>
        <v>61</v>
      </c>
      <c r="AF15" s="31">
        <f t="shared" si="7"/>
        <v>244</v>
      </c>
    </row>
    <row r="16" spans="2:32" ht="23.1" customHeight="1" x14ac:dyDescent="0.25">
      <c r="B16" s="23" t="s">
        <v>43</v>
      </c>
      <c r="C16" s="50">
        <v>2</v>
      </c>
      <c r="D16" s="50">
        <v>2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1</v>
      </c>
      <c r="L16" s="50">
        <v>0</v>
      </c>
      <c r="M16" s="50">
        <v>33</v>
      </c>
      <c r="N16" s="50">
        <v>0</v>
      </c>
      <c r="O16" s="15">
        <f t="shared" si="0"/>
        <v>6</v>
      </c>
      <c r="P16" s="15">
        <f t="shared" si="1"/>
        <v>39</v>
      </c>
      <c r="R16" s="1" t="s">
        <v>12</v>
      </c>
      <c r="S16" s="17">
        <f t="shared" ref="S16:AF16" si="8">SUM(C34:C37)</f>
        <v>25</v>
      </c>
      <c r="T16" s="17">
        <f t="shared" si="8"/>
        <v>3</v>
      </c>
      <c r="U16" s="17">
        <f t="shared" si="8"/>
        <v>6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8</v>
      </c>
      <c r="AA16" s="17">
        <f t="shared" si="8"/>
        <v>2</v>
      </c>
      <c r="AB16" s="17">
        <f t="shared" si="8"/>
        <v>0</v>
      </c>
      <c r="AC16" s="17">
        <f t="shared" si="8"/>
        <v>201</v>
      </c>
      <c r="AD16" s="17">
        <f t="shared" si="8"/>
        <v>3</v>
      </c>
      <c r="AE16" s="31">
        <f t="shared" si="8"/>
        <v>60</v>
      </c>
      <c r="AF16" s="31">
        <f t="shared" si="8"/>
        <v>261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0</v>
      </c>
      <c r="J17" s="50">
        <v>2</v>
      </c>
      <c r="K17" s="50">
        <v>2</v>
      </c>
      <c r="L17" s="50">
        <v>0</v>
      </c>
      <c r="M17" s="50">
        <v>36</v>
      </c>
      <c r="N17" s="50">
        <v>0</v>
      </c>
      <c r="O17" s="15">
        <f t="shared" si="0"/>
        <v>6</v>
      </c>
      <c r="P17" s="15">
        <f t="shared" si="1"/>
        <v>42</v>
      </c>
      <c r="R17" s="1" t="s">
        <v>13</v>
      </c>
      <c r="S17" s="17">
        <f t="shared" ref="S17:AF17" si="9">SUM(C38:C41)</f>
        <v>14</v>
      </c>
      <c r="T17" s="17">
        <f t="shared" si="9"/>
        <v>0</v>
      </c>
      <c r="U17" s="17">
        <f t="shared" si="9"/>
        <v>0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6</v>
      </c>
      <c r="AA17" s="17">
        <f t="shared" si="9"/>
        <v>7</v>
      </c>
      <c r="AB17" s="17">
        <f t="shared" si="9"/>
        <v>2</v>
      </c>
      <c r="AC17" s="17">
        <f t="shared" si="9"/>
        <v>166</v>
      </c>
      <c r="AD17" s="17">
        <f t="shared" si="9"/>
        <v>0</v>
      </c>
      <c r="AE17" s="31">
        <f t="shared" si="9"/>
        <v>42</v>
      </c>
      <c r="AF17" s="31">
        <f t="shared" si="9"/>
        <v>208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2</v>
      </c>
      <c r="L18" s="50">
        <v>0</v>
      </c>
      <c r="M18" s="50">
        <v>45</v>
      </c>
      <c r="N18" s="50">
        <v>1</v>
      </c>
      <c r="O18" s="15">
        <f t="shared" si="0"/>
        <v>7</v>
      </c>
      <c r="P18" s="15">
        <f t="shared" si="1"/>
        <v>52</v>
      </c>
      <c r="R18" s="1" t="s">
        <v>14</v>
      </c>
      <c r="S18" s="17">
        <f t="shared" ref="S18:AF18" si="10">SUM(C42:C45)</f>
        <v>10</v>
      </c>
      <c r="T18" s="17">
        <f t="shared" si="10"/>
        <v>3</v>
      </c>
      <c r="U18" s="17">
        <f t="shared" si="10"/>
        <v>3</v>
      </c>
      <c r="V18" s="17">
        <f t="shared" si="10"/>
        <v>7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6</v>
      </c>
      <c r="AA18" s="17">
        <f t="shared" si="10"/>
        <v>2</v>
      </c>
      <c r="AB18" s="17">
        <f t="shared" si="10"/>
        <v>1</v>
      </c>
      <c r="AC18" s="17">
        <f t="shared" si="10"/>
        <v>190</v>
      </c>
      <c r="AD18" s="17">
        <f t="shared" si="10"/>
        <v>0</v>
      </c>
      <c r="AE18" s="31">
        <f t="shared" si="10"/>
        <v>43</v>
      </c>
      <c r="AF18" s="31">
        <f t="shared" si="10"/>
        <v>233</v>
      </c>
    </row>
    <row r="19" spans="2:32" ht="23.1" customHeight="1" x14ac:dyDescent="0.25">
      <c r="B19" s="23" t="s">
        <v>46</v>
      </c>
      <c r="C19" s="50">
        <v>4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2</v>
      </c>
      <c r="K19" s="50">
        <v>1</v>
      </c>
      <c r="L19" s="50">
        <v>0</v>
      </c>
      <c r="M19" s="50">
        <v>30</v>
      </c>
      <c r="N19" s="50">
        <v>0</v>
      </c>
      <c r="O19" s="15">
        <f t="shared" si="0"/>
        <v>8</v>
      </c>
      <c r="P19" s="15">
        <f t="shared" si="1"/>
        <v>38</v>
      </c>
      <c r="R19" s="1" t="s">
        <v>15</v>
      </c>
      <c r="S19" s="17">
        <f t="shared" ref="S19:AF19" si="11">SUM(C46:C49)</f>
        <v>15</v>
      </c>
      <c r="T19" s="17">
        <f t="shared" si="11"/>
        <v>3</v>
      </c>
      <c r="U19" s="17">
        <f t="shared" si="11"/>
        <v>2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10</v>
      </c>
      <c r="AA19" s="17">
        <f t="shared" si="11"/>
        <v>1</v>
      </c>
      <c r="AB19" s="17">
        <f t="shared" si="11"/>
        <v>0</v>
      </c>
      <c r="AC19" s="17">
        <f t="shared" si="11"/>
        <v>213</v>
      </c>
      <c r="AD19" s="17">
        <f t="shared" si="11"/>
        <v>1</v>
      </c>
      <c r="AE19" s="31">
        <f t="shared" si="11"/>
        <v>46</v>
      </c>
      <c r="AF19" s="31">
        <f t="shared" si="11"/>
        <v>259</v>
      </c>
    </row>
    <row r="20" spans="2:32" ht="23.1" customHeight="1" x14ac:dyDescent="0.25">
      <c r="B20" s="23" t="s">
        <v>47</v>
      </c>
      <c r="C20" s="50">
        <v>1</v>
      </c>
      <c r="D20" s="50">
        <v>2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2</v>
      </c>
      <c r="L20" s="50">
        <v>0</v>
      </c>
      <c r="M20" s="50">
        <v>33</v>
      </c>
      <c r="N20" s="50">
        <v>0</v>
      </c>
      <c r="O20" s="15">
        <f t="shared" si="0"/>
        <v>6</v>
      </c>
      <c r="P20" s="15">
        <f t="shared" si="1"/>
        <v>39</v>
      </c>
      <c r="R20" s="1" t="s">
        <v>16</v>
      </c>
      <c r="S20" s="17">
        <f t="shared" ref="S20:AF20" si="12">SUM(C50:C53)</f>
        <v>14</v>
      </c>
      <c r="T20" s="17">
        <f t="shared" si="12"/>
        <v>10</v>
      </c>
      <c r="U20" s="17">
        <f t="shared" si="12"/>
        <v>1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13</v>
      </c>
      <c r="AA20" s="17">
        <f t="shared" si="12"/>
        <v>0</v>
      </c>
      <c r="AB20" s="17">
        <f t="shared" si="12"/>
        <v>0</v>
      </c>
      <c r="AC20" s="17">
        <f t="shared" si="12"/>
        <v>159</v>
      </c>
      <c r="AD20" s="17">
        <f t="shared" si="12"/>
        <v>1</v>
      </c>
      <c r="AE20" s="31">
        <f t="shared" si="12"/>
        <v>47</v>
      </c>
      <c r="AF20" s="31">
        <f t="shared" si="12"/>
        <v>206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2</v>
      </c>
      <c r="K21" s="50">
        <v>5</v>
      </c>
      <c r="L21" s="50">
        <v>0</v>
      </c>
      <c r="M21" s="50">
        <v>48</v>
      </c>
      <c r="N21" s="50">
        <v>0</v>
      </c>
      <c r="O21" s="15">
        <f t="shared" si="0"/>
        <v>13</v>
      </c>
      <c r="P21" s="15">
        <f t="shared" si="1"/>
        <v>61</v>
      </c>
      <c r="R21" s="36" t="s">
        <v>20</v>
      </c>
      <c r="S21" s="34">
        <f t="shared" ref="S21:AF21" si="13">SUM(C54:C57)</f>
        <v>17</v>
      </c>
      <c r="T21" s="17">
        <f t="shared" si="13"/>
        <v>7</v>
      </c>
      <c r="U21" s="17">
        <f t="shared" si="13"/>
        <v>5</v>
      </c>
      <c r="V21" s="17">
        <f t="shared" si="13"/>
        <v>8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10</v>
      </c>
      <c r="AA21" s="17">
        <f t="shared" si="13"/>
        <v>3</v>
      </c>
      <c r="AB21" s="17">
        <f t="shared" si="13"/>
        <v>1</v>
      </c>
      <c r="AC21" s="17">
        <f t="shared" si="13"/>
        <v>146</v>
      </c>
      <c r="AD21" s="17">
        <f t="shared" si="13"/>
        <v>0</v>
      </c>
      <c r="AE21" s="31">
        <f t="shared" si="13"/>
        <v>59</v>
      </c>
      <c r="AF21" s="31">
        <f t="shared" si="13"/>
        <v>205</v>
      </c>
    </row>
    <row r="22" spans="2:32" ht="23.1" customHeight="1" x14ac:dyDescent="0.25">
      <c r="B22" s="23" t="s">
        <v>49</v>
      </c>
      <c r="C22" s="50">
        <v>9</v>
      </c>
      <c r="D22" s="50">
        <v>2</v>
      </c>
      <c r="E22" s="50">
        <v>1</v>
      </c>
      <c r="F22" s="50">
        <v>1</v>
      </c>
      <c r="G22" s="50">
        <v>1</v>
      </c>
      <c r="H22" s="50">
        <v>0</v>
      </c>
      <c r="I22" s="50">
        <v>3</v>
      </c>
      <c r="J22" s="50">
        <v>1</v>
      </c>
      <c r="K22" s="50">
        <v>3</v>
      </c>
      <c r="L22" s="50">
        <v>0</v>
      </c>
      <c r="M22" s="50">
        <v>27</v>
      </c>
      <c r="N22" s="50">
        <v>0</v>
      </c>
      <c r="O22" s="15">
        <f t="shared" si="0"/>
        <v>21</v>
      </c>
      <c r="P22" s="15">
        <f t="shared" si="1"/>
        <v>48</v>
      </c>
      <c r="R22" s="38" t="s">
        <v>90</v>
      </c>
      <c r="S22" s="39">
        <f>MAX(S10:S12)</f>
        <v>10</v>
      </c>
      <c r="T22" s="39">
        <f t="shared" ref="T22:AF22" si="14">MAX(T10:T12)</f>
        <v>5</v>
      </c>
      <c r="U22" s="39">
        <f t="shared" si="14"/>
        <v>3</v>
      </c>
      <c r="V22" s="39">
        <f t="shared" si="14"/>
        <v>7</v>
      </c>
      <c r="W22" s="39">
        <f t="shared" si="14"/>
        <v>1</v>
      </c>
      <c r="X22" s="39">
        <f t="shared" si="14"/>
        <v>0</v>
      </c>
      <c r="Y22" s="39">
        <f t="shared" si="14"/>
        <v>3</v>
      </c>
      <c r="Z22" s="39">
        <f t="shared" si="14"/>
        <v>11</v>
      </c>
      <c r="AA22" s="39">
        <f t="shared" si="14"/>
        <v>10</v>
      </c>
      <c r="AB22" s="39">
        <f t="shared" si="14"/>
        <v>0</v>
      </c>
      <c r="AC22" s="39">
        <f t="shared" si="14"/>
        <v>156</v>
      </c>
      <c r="AD22" s="39">
        <f t="shared" si="14"/>
        <v>1</v>
      </c>
      <c r="AE22" s="40">
        <f t="shared" si="14"/>
        <v>40</v>
      </c>
      <c r="AF22" s="40">
        <f t="shared" si="14"/>
        <v>190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1</v>
      </c>
      <c r="K23" s="50">
        <v>1</v>
      </c>
      <c r="L23" s="50">
        <v>1</v>
      </c>
      <c r="M23" s="50">
        <v>43</v>
      </c>
      <c r="N23" s="50">
        <v>0</v>
      </c>
      <c r="O23" s="15">
        <f t="shared" si="0"/>
        <v>10</v>
      </c>
      <c r="P23" s="15">
        <f t="shared" si="1"/>
        <v>53</v>
      </c>
      <c r="R23" s="38" t="s">
        <v>91</v>
      </c>
      <c r="S23" s="39">
        <f>MAX(S13:S18)</f>
        <v>25</v>
      </c>
      <c r="T23" s="39">
        <f t="shared" ref="T23:AF23" si="15">MAX(T13:T18)</f>
        <v>6</v>
      </c>
      <c r="U23" s="39">
        <f t="shared" si="15"/>
        <v>8</v>
      </c>
      <c r="V23" s="39">
        <f t="shared" si="15"/>
        <v>7</v>
      </c>
      <c r="W23" s="39">
        <f t="shared" si="15"/>
        <v>1</v>
      </c>
      <c r="X23" s="39">
        <f t="shared" si="15"/>
        <v>1</v>
      </c>
      <c r="Y23" s="39">
        <f t="shared" si="15"/>
        <v>13</v>
      </c>
      <c r="Z23" s="39">
        <f t="shared" si="15"/>
        <v>13</v>
      </c>
      <c r="AA23" s="39">
        <f t="shared" si="15"/>
        <v>9</v>
      </c>
      <c r="AB23" s="39">
        <f t="shared" si="15"/>
        <v>2</v>
      </c>
      <c r="AC23" s="39">
        <f t="shared" si="15"/>
        <v>201</v>
      </c>
      <c r="AD23" s="39">
        <f t="shared" si="15"/>
        <v>3</v>
      </c>
      <c r="AE23" s="40">
        <f t="shared" si="15"/>
        <v>61</v>
      </c>
      <c r="AF23" s="40">
        <f t="shared" si="15"/>
        <v>261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2</v>
      </c>
      <c r="F24" s="50">
        <v>2</v>
      </c>
      <c r="G24" s="50">
        <v>0</v>
      </c>
      <c r="H24" s="50">
        <v>0</v>
      </c>
      <c r="I24" s="50">
        <v>2</v>
      </c>
      <c r="J24" s="50">
        <v>2</v>
      </c>
      <c r="K24" s="50">
        <v>3</v>
      </c>
      <c r="L24" s="50">
        <v>0</v>
      </c>
      <c r="M24" s="50">
        <v>30</v>
      </c>
      <c r="N24" s="50">
        <v>0</v>
      </c>
      <c r="O24" s="15">
        <f t="shared" si="0"/>
        <v>13</v>
      </c>
      <c r="P24" s="15">
        <f t="shared" si="1"/>
        <v>43</v>
      </c>
      <c r="R24" s="38" t="s">
        <v>92</v>
      </c>
      <c r="S24" s="39">
        <f>MAX(S19:S21)</f>
        <v>17</v>
      </c>
      <c r="T24" s="39">
        <f t="shared" ref="T24:AF24" si="16">MAX(T19:T21)</f>
        <v>10</v>
      </c>
      <c r="U24" s="39">
        <f t="shared" si="16"/>
        <v>5</v>
      </c>
      <c r="V24" s="39">
        <f t="shared" si="16"/>
        <v>8</v>
      </c>
      <c r="W24" s="39">
        <f t="shared" si="16"/>
        <v>1</v>
      </c>
      <c r="X24" s="39">
        <f t="shared" si="16"/>
        <v>0</v>
      </c>
      <c r="Y24" s="39">
        <f t="shared" si="16"/>
        <v>9</v>
      </c>
      <c r="Z24" s="39">
        <f t="shared" si="16"/>
        <v>13</v>
      </c>
      <c r="AA24" s="39">
        <f t="shared" si="16"/>
        <v>3</v>
      </c>
      <c r="AB24" s="39">
        <f t="shared" si="16"/>
        <v>1</v>
      </c>
      <c r="AC24" s="39">
        <f t="shared" si="16"/>
        <v>213</v>
      </c>
      <c r="AD24" s="39">
        <f t="shared" si="16"/>
        <v>1</v>
      </c>
      <c r="AE24" s="40">
        <f t="shared" si="16"/>
        <v>59</v>
      </c>
      <c r="AF24" s="40">
        <f t="shared" si="16"/>
        <v>259</v>
      </c>
    </row>
    <row r="25" spans="2:32" ht="23.1" customHeight="1" x14ac:dyDescent="0.25">
      <c r="B25" s="23" t="s">
        <v>52</v>
      </c>
      <c r="C25" s="50">
        <v>3</v>
      </c>
      <c r="D25" s="50">
        <v>2</v>
      </c>
      <c r="E25" s="50">
        <v>1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2</v>
      </c>
      <c r="L25" s="50">
        <v>0</v>
      </c>
      <c r="M25" s="50">
        <v>32</v>
      </c>
      <c r="N25" s="50">
        <v>0</v>
      </c>
      <c r="O25" s="15">
        <f t="shared" si="0"/>
        <v>11</v>
      </c>
      <c r="P25" s="15">
        <f t="shared" si="1"/>
        <v>43</v>
      </c>
      <c r="R25" s="37" t="s">
        <v>85</v>
      </c>
      <c r="S25" s="35">
        <f t="shared" ref="S25:AF25" si="17">SUM(S10:S12)</f>
        <v>18</v>
      </c>
      <c r="T25" s="16">
        <f t="shared" si="17"/>
        <v>11</v>
      </c>
      <c r="U25" s="16">
        <f t="shared" si="17"/>
        <v>5</v>
      </c>
      <c r="V25" s="16">
        <f t="shared" si="17"/>
        <v>12</v>
      </c>
      <c r="W25" s="16">
        <f t="shared" si="17"/>
        <v>1</v>
      </c>
      <c r="X25" s="16">
        <f t="shared" si="17"/>
        <v>0</v>
      </c>
      <c r="Y25" s="16">
        <f t="shared" si="17"/>
        <v>6</v>
      </c>
      <c r="Z25" s="16">
        <f t="shared" si="17"/>
        <v>23</v>
      </c>
      <c r="AA25" s="16">
        <f t="shared" si="17"/>
        <v>24</v>
      </c>
      <c r="AB25" s="16">
        <f t="shared" si="17"/>
        <v>0</v>
      </c>
      <c r="AC25" s="16">
        <f t="shared" si="17"/>
        <v>407</v>
      </c>
      <c r="AD25" s="16">
        <f t="shared" si="17"/>
        <v>1</v>
      </c>
      <c r="AE25" s="32">
        <f t="shared" si="17"/>
        <v>101</v>
      </c>
      <c r="AF25" s="32">
        <f t="shared" si="17"/>
        <v>508</v>
      </c>
    </row>
    <row r="26" spans="2:32" ht="23.1" customHeight="1" x14ac:dyDescent="0.25">
      <c r="B26" s="23" t="s">
        <v>53</v>
      </c>
      <c r="C26" s="50">
        <v>4</v>
      </c>
      <c r="D26" s="50">
        <v>2</v>
      </c>
      <c r="E26" s="50">
        <v>0</v>
      </c>
      <c r="F26" s="50">
        <v>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45</v>
      </c>
      <c r="N26" s="50">
        <v>0</v>
      </c>
      <c r="O26" s="15">
        <f t="shared" si="0"/>
        <v>10</v>
      </c>
      <c r="P26" s="15">
        <f t="shared" si="1"/>
        <v>55</v>
      </c>
      <c r="R26" s="28" t="s">
        <v>86</v>
      </c>
      <c r="S26" s="16">
        <f t="shared" ref="S26:AF26" si="18">SUM(S13:S18)</f>
        <v>97</v>
      </c>
      <c r="T26" s="16">
        <f t="shared" si="18"/>
        <v>21</v>
      </c>
      <c r="U26" s="16">
        <f t="shared" si="18"/>
        <v>22</v>
      </c>
      <c r="V26" s="16">
        <f t="shared" si="18"/>
        <v>37</v>
      </c>
      <c r="W26" s="16">
        <f t="shared" si="18"/>
        <v>3</v>
      </c>
      <c r="X26" s="16">
        <f t="shared" si="18"/>
        <v>1</v>
      </c>
      <c r="Y26" s="16">
        <f t="shared" si="18"/>
        <v>51</v>
      </c>
      <c r="Z26" s="16">
        <f t="shared" si="18"/>
        <v>48</v>
      </c>
      <c r="AA26" s="16">
        <f t="shared" si="18"/>
        <v>21</v>
      </c>
      <c r="AB26" s="16">
        <f t="shared" si="18"/>
        <v>5</v>
      </c>
      <c r="AC26" s="16">
        <f t="shared" si="18"/>
        <v>1056</v>
      </c>
      <c r="AD26" s="16">
        <f t="shared" si="18"/>
        <v>3</v>
      </c>
      <c r="AE26" s="32">
        <f t="shared" si="18"/>
        <v>309</v>
      </c>
      <c r="AF26" s="32">
        <f t="shared" si="18"/>
        <v>1365</v>
      </c>
    </row>
    <row r="27" spans="2:32" ht="23.1" customHeight="1" x14ac:dyDescent="0.25">
      <c r="B27" s="23" t="s">
        <v>54</v>
      </c>
      <c r="C27" s="50">
        <v>7</v>
      </c>
      <c r="D27" s="50">
        <v>2</v>
      </c>
      <c r="E27" s="50">
        <v>0</v>
      </c>
      <c r="F27" s="50">
        <v>2</v>
      </c>
      <c r="G27" s="50">
        <v>0</v>
      </c>
      <c r="H27" s="50">
        <v>0</v>
      </c>
      <c r="I27" s="50">
        <v>0</v>
      </c>
      <c r="J27" s="50">
        <v>4</v>
      </c>
      <c r="K27" s="50">
        <v>0</v>
      </c>
      <c r="L27" s="50">
        <v>0</v>
      </c>
      <c r="M27" s="50">
        <v>43</v>
      </c>
      <c r="N27" s="50">
        <v>0</v>
      </c>
      <c r="O27" s="15">
        <f t="shared" si="0"/>
        <v>15</v>
      </c>
      <c r="P27" s="15">
        <f t="shared" si="1"/>
        <v>58</v>
      </c>
      <c r="R27" s="29" t="s">
        <v>87</v>
      </c>
      <c r="S27" s="16">
        <f t="shared" ref="S27:AF27" si="19">SUM(S19:S21)</f>
        <v>46</v>
      </c>
      <c r="T27" s="16">
        <f t="shared" si="19"/>
        <v>20</v>
      </c>
      <c r="U27" s="16">
        <f t="shared" si="19"/>
        <v>8</v>
      </c>
      <c r="V27" s="16">
        <f t="shared" si="19"/>
        <v>20</v>
      </c>
      <c r="W27" s="16">
        <f t="shared" si="19"/>
        <v>1</v>
      </c>
      <c r="X27" s="16">
        <f t="shared" si="19"/>
        <v>0</v>
      </c>
      <c r="Y27" s="16">
        <f t="shared" si="19"/>
        <v>17</v>
      </c>
      <c r="Z27" s="16">
        <f t="shared" si="19"/>
        <v>33</v>
      </c>
      <c r="AA27" s="16">
        <f t="shared" si="19"/>
        <v>4</v>
      </c>
      <c r="AB27" s="16">
        <f t="shared" si="19"/>
        <v>1</v>
      </c>
      <c r="AC27" s="16">
        <f t="shared" si="19"/>
        <v>518</v>
      </c>
      <c r="AD27" s="16">
        <f t="shared" si="19"/>
        <v>2</v>
      </c>
      <c r="AE27" s="32">
        <f t="shared" si="19"/>
        <v>152</v>
      </c>
      <c r="AF27" s="32">
        <f t="shared" si="19"/>
        <v>670</v>
      </c>
    </row>
    <row r="28" spans="2:32" ht="23.1" customHeight="1" x14ac:dyDescent="0.25">
      <c r="B28" s="23" t="s">
        <v>55</v>
      </c>
      <c r="C28" s="50">
        <v>4</v>
      </c>
      <c r="D28" s="50">
        <v>2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5</v>
      </c>
      <c r="K28" s="50">
        <v>1</v>
      </c>
      <c r="L28" s="50">
        <v>0</v>
      </c>
      <c r="M28" s="50">
        <v>45</v>
      </c>
      <c r="N28" s="50">
        <v>0</v>
      </c>
      <c r="O28" s="15">
        <f t="shared" si="0"/>
        <v>14</v>
      </c>
      <c r="P28" s="15">
        <f t="shared" si="1"/>
        <v>59</v>
      </c>
      <c r="R28" s="5" t="s">
        <v>17</v>
      </c>
      <c r="S28" s="16">
        <f t="shared" ref="S28:AF28" si="20">SUM(S10:S21)</f>
        <v>161</v>
      </c>
      <c r="T28" s="16">
        <f t="shared" si="20"/>
        <v>52</v>
      </c>
      <c r="U28" s="16">
        <f t="shared" si="20"/>
        <v>35</v>
      </c>
      <c r="V28" s="16">
        <f t="shared" si="20"/>
        <v>69</v>
      </c>
      <c r="W28" s="16">
        <f t="shared" si="20"/>
        <v>5</v>
      </c>
      <c r="X28" s="16">
        <f t="shared" si="20"/>
        <v>1</v>
      </c>
      <c r="Y28" s="16">
        <f t="shared" si="20"/>
        <v>74</v>
      </c>
      <c r="Z28" s="16">
        <f t="shared" si="20"/>
        <v>104</v>
      </c>
      <c r="AA28" s="16">
        <f t="shared" si="20"/>
        <v>49</v>
      </c>
      <c r="AB28" s="16">
        <f t="shared" si="20"/>
        <v>6</v>
      </c>
      <c r="AC28" s="16">
        <f t="shared" si="20"/>
        <v>1981</v>
      </c>
      <c r="AD28" s="16">
        <f t="shared" si="20"/>
        <v>6</v>
      </c>
      <c r="AE28" s="32">
        <f t="shared" si="20"/>
        <v>562</v>
      </c>
      <c r="AF28" s="32">
        <f t="shared" si="20"/>
        <v>2543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3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0</v>
      </c>
      <c r="M29" s="50">
        <v>51</v>
      </c>
      <c r="N29" s="50">
        <v>0</v>
      </c>
      <c r="O29" s="15">
        <f t="shared" si="0"/>
        <v>9</v>
      </c>
      <c r="P29" s="15">
        <f t="shared" si="1"/>
        <v>60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1</v>
      </c>
      <c r="F30" s="50">
        <v>2</v>
      </c>
      <c r="G30" s="50">
        <v>0</v>
      </c>
      <c r="H30" s="50">
        <v>0</v>
      </c>
      <c r="I30" s="50">
        <v>0</v>
      </c>
      <c r="J30" s="50">
        <v>5</v>
      </c>
      <c r="K30" s="50">
        <v>0</v>
      </c>
      <c r="L30" s="50">
        <v>1</v>
      </c>
      <c r="M30" s="50">
        <v>47</v>
      </c>
      <c r="N30" s="50">
        <v>0</v>
      </c>
      <c r="O30" s="15">
        <f t="shared" si="0"/>
        <v>13</v>
      </c>
      <c r="P30" s="15">
        <f t="shared" si="1"/>
        <v>60</v>
      </c>
    </row>
    <row r="31" spans="2:32" ht="23.1" customHeight="1" x14ac:dyDescent="0.25">
      <c r="B31" s="24" t="s">
        <v>58</v>
      </c>
      <c r="C31" s="50">
        <v>3</v>
      </c>
      <c r="D31" s="50">
        <v>2</v>
      </c>
      <c r="E31" s="50">
        <v>3</v>
      </c>
      <c r="F31" s="50">
        <v>1</v>
      </c>
      <c r="G31" s="50">
        <v>0</v>
      </c>
      <c r="H31" s="50">
        <v>0</v>
      </c>
      <c r="I31" s="50">
        <v>2</v>
      </c>
      <c r="J31" s="50">
        <v>3</v>
      </c>
      <c r="K31" s="50">
        <v>0</v>
      </c>
      <c r="L31" s="50">
        <v>0</v>
      </c>
      <c r="M31" s="50">
        <v>36</v>
      </c>
      <c r="N31" s="50">
        <v>0</v>
      </c>
      <c r="O31" s="15">
        <f t="shared" si="0"/>
        <v>14</v>
      </c>
      <c r="P31" s="15">
        <f t="shared" si="1"/>
        <v>50</v>
      </c>
    </row>
    <row r="32" spans="2:32" ht="23.1" customHeight="1" x14ac:dyDescent="0.25">
      <c r="B32" s="24" t="s">
        <v>59</v>
      </c>
      <c r="C32" s="50">
        <v>5</v>
      </c>
      <c r="D32" s="50">
        <v>1</v>
      </c>
      <c r="E32" s="50">
        <v>4</v>
      </c>
      <c r="F32" s="50">
        <v>3</v>
      </c>
      <c r="G32" s="50">
        <v>1</v>
      </c>
      <c r="H32" s="50">
        <v>1</v>
      </c>
      <c r="I32" s="50">
        <v>11</v>
      </c>
      <c r="J32" s="50">
        <v>3</v>
      </c>
      <c r="K32" s="50">
        <v>0</v>
      </c>
      <c r="L32" s="50">
        <v>0</v>
      </c>
      <c r="M32" s="50">
        <v>52</v>
      </c>
      <c r="N32" s="50">
        <v>0</v>
      </c>
      <c r="O32" s="15">
        <f t="shared" si="0"/>
        <v>29</v>
      </c>
      <c r="P32" s="15">
        <f t="shared" si="1"/>
        <v>81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2</v>
      </c>
      <c r="K33" s="50">
        <v>0</v>
      </c>
      <c r="L33" s="50">
        <v>0</v>
      </c>
      <c r="M33" s="50">
        <v>48</v>
      </c>
      <c r="N33" s="50">
        <v>0</v>
      </c>
      <c r="O33" s="15">
        <f t="shared" si="0"/>
        <v>5</v>
      </c>
      <c r="P33" s="15">
        <f t="shared" si="1"/>
        <v>53</v>
      </c>
    </row>
    <row r="34" spans="2:20" ht="23.1" customHeight="1" x14ac:dyDescent="0.25">
      <c r="B34" s="24" t="s">
        <v>61</v>
      </c>
      <c r="C34" s="50">
        <v>7</v>
      </c>
      <c r="D34" s="50">
        <v>1</v>
      </c>
      <c r="E34" s="50">
        <v>1</v>
      </c>
      <c r="F34" s="50">
        <v>2</v>
      </c>
      <c r="G34" s="50">
        <v>0</v>
      </c>
      <c r="H34" s="50">
        <v>0</v>
      </c>
      <c r="I34" s="50">
        <v>5</v>
      </c>
      <c r="J34" s="50">
        <v>3</v>
      </c>
      <c r="K34" s="50">
        <v>2</v>
      </c>
      <c r="L34" s="50">
        <v>0</v>
      </c>
      <c r="M34" s="50">
        <v>45</v>
      </c>
      <c r="N34" s="50">
        <v>1</v>
      </c>
      <c r="O34" s="15">
        <f t="shared" si="0"/>
        <v>22</v>
      </c>
      <c r="P34" s="15">
        <f t="shared" si="1"/>
        <v>67</v>
      </c>
    </row>
    <row r="35" spans="2:20" ht="23.1" customHeight="1" x14ac:dyDescent="0.25">
      <c r="B35" s="24" t="s">
        <v>62</v>
      </c>
      <c r="C35" s="50">
        <v>10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0</v>
      </c>
      <c r="J35" s="50">
        <v>2</v>
      </c>
      <c r="K35" s="50">
        <v>0</v>
      </c>
      <c r="L35" s="50">
        <v>0</v>
      </c>
      <c r="M35" s="50">
        <v>43</v>
      </c>
      <c r="N35" s="50">
        <v>0</v>
      </c>
      <c r="O35" s="15">
        <f t="shared" si="0"/>
        <v>15</v>
      </c>
      <c r="P35" s="15">
        <f t="shared" si="1"/>
        <v>58</v>
      </c>
    </row>
    <row r="36" spans="2:20" ht="23.1" customHeight="1" x14ac:dyDescent="0.25">
      <c r="B36" s="24" t="s">
        <v>63</v>
      </c>
      <c r="C36" s="50">
        <v>6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62</v>
      </c>
      <c r="N36" s="50">
        <v>2</v>
      </c>
      <c r="O36" s="15">
        <f t="shared" si="0"/>
        <v>14</v>
      </c>
      <c r="P36" s="15">
        <f t="shared" si="1"/>
        <v>76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51</v>
      </c>
      <c r="N37" s="50">
        <v>0</v>
      </c>
      <c r="O37" s="15">
        <f t="shared" si="0"/>
        <v>9</v>
      </c>
      <c r="P37" s="15">
        <f t="shared" si="1"/>
        <v>60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4</v>
      </c>
      <c r="J38" s="50">
        <v>2</v>
      </c>
      <c r="K38" s="50">
        <v>2</v>
      </c>
      <c r="L38" s="50">
        <v>0</v>
      </c>
      <c r="M38" s="50">
        <v>35</v>
      </c>
      <c r="N38" s="50">
        <v>0</v>
      </c>
      <c r="O38" s="15">
        <f t="shared" si="0"/>
        <v>11</v>
      </c>
      <c r="P38" s="15">
        <f t="shared" si="1"/>
        <v>46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0</v>
      </c>
      <c r="F39" s="50">
        <v>4</v>
      </c>
      <c r="G39" s="50">
        <v>0</v>
      </c>
      <c r="H39" s="50">
        <v>0</v>
      </c>
      <c r="I39" s="50">
        <v>0</v>
      </c>
      <c r="J39" s="50">
        <v>1</v>
      </c>
      <c r="K39" s="50">
        <v>3</v>
      </c>
      <c r="L39" s="50">
        <v>1</v>
      </c>
      <c r="M39" s="50">
        <v>38</v>
      </c>
      <c r="N39" s="50">
        <v>0</v>
      </c>
      <c r="O39" s="15">
        <f t="shared" si="0"/>
        <v>15</v>
      </c>
      <c r="P39" s="15">
        <f t="shared" si="1"/>
        <v>53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2</v>
      </c>
      <c r="K40" s="50">
        <v>2</v>
      </c>
      <c r="L40" s="50">
        <v>0</v>
      </c>
      <c r="M40" s="50">
        <v>48</v>
      </c>
      <c r="N40" s="50">
        <v>0</v>
      </c>
      <c r="O40" s="15">
        <f t="shared" si="0"/>
        <v>8</v>
      </c>
      <c r="P40" s="15">
        <f t="shared" si="1"/>
        <v>56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2</v>
      </c>
      <c r="J41" s="50">
        <v>1</v>
      </c>
      <c r="K41" s="50">
        <v>0</v>
      </c>
      <c r="L41" s="50">
        <v>1</v>
      </c>
      <c r="M41" s="50">
        <v>45</v>
      </c>
      <c r="N41" s="50">
        <v>0</v>
      </c>
      <c r="O41" s="15">
        <f t="shared" si="0"/>
        <v>8</v>
      </c>
      <c r="P41" s="15">
        <f t="shared" si="1"/>
        <v>53</v>
      </c>
    </row>
    <row r="42" spans="2:20" ht="23.1" customHeight="1" x14ac:dyDescent="0.25">
      <c r="B42" s="24" t="s">
        <v>69</v>
      </c>
      <c r="C42" s="50">
        <v>0</v>
      </c>
      <c r="D42" s="50">
        <v>2</v>
      </c>
      <c r="E42" s="50">
        <v>1</v>
      </c>
      <c r="F42" s="50">
        <v>2</v>
      </c>
      <c r="G42" s="50">
        <v>0</v>
      </c>
      <c r="H42" s="50">
        <v>0</v>
      </c>
      <c r="I42" s="50">
        <v>3</v>
      </c>
      <c r="J42" s="50">
        <v>0</v>
      </c>
      <c r="K42" s="50">
        <v>1</v>
      </c>
      <c r="L42" s="50">
        <v>0</v>
      </c>
      <c r="M42" s="50">
        <v>42</v>
      </c>
      <c r="N42" s="50">
        <v>0</v>
      </c>
      <c r="O42" s="15">
        <f t="shared" si="0"/>
        <v>9</v>
      </c>
      <c r="P42" s="15">
        <f t="shared" si="1"/>
        <v>51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1</v>
      </c>
      <c r="F43" s="50">
        <v>3</v>
      </c>
      <c r="G43" s="50">
        <v>1</v>
      </c>
      <c r="H43" s="50">
        <v>0</v>
      </c>
      <c r="I43" s="50">
        <v>2</v>
      </c>
      <c r="J43" s="50">
        <v>3</v>
      </c>
      <c r="K43" s="50">
        <v>0</v>
      </c>
      <c r="L43" s="50">
        <v>1</v>
      </c>
      <c r="M43" s="50">
        <v>48</v>
      </c>
      <c r="N43" s="50">
        <v>0</v>
      </c>
      <c r="O43" s="15">
        <f t="shared" si="0"/>
        <v>16</v>
      </c>
      <c r="P43" s="15">
        <f t="shared" si="1"/>
        <v>64</v>
      </c>
    </row>
    <row r="44" spans="2:20" ht="23.1" customHeight="1" x14ac:dyDescent="0.25">
      <c r="B44" s="25" t="s">
        <v>71</v>
      </c>
      <c r="C44" s="50">
        <v>2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6</v>
      </c>
      <c r="P44" s="15">
        <f t="shared" si="1"/>
        <v>56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1</v>
      </c>
      <c r="F45" s="50">
        <v>2</v>
      </c>
      <c r="G45" s="50">
        <v>0</v>
      </c>
      <c r="H45" s="50">
        <v>0</v>
      </c>
      <c r="I45" s="50">
        <v>3</v>
      </c>
      <c r="J45" s="50">
        <v>2</v>
      </c>
      <c r="K45" s="50">
        <v>1</v>
      </c>
      <c r="L45" s="50">
        <v>0</v>
      </c>
      <c r="M45" s="50">
        <v>50</v>
      </c>
      <c r="N45" s="50">
        <v>0</v>
      </c>
      <c r="O45" s="15">
        <f t="shared" si="0"/>
        <v>12</v>
      </c>
      <c r="P45" s="15">
        <f t="shared" si="1"/>
        <v>62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4</v>
      </c>
      <c r="J46" s="50">
        <v>5</v>
      </c>
      <c r="K46" s="50">
        <v>0</v>
      </c>
      <c r="L46" s="50">
        <v>0</v>
      </c>
      <c r="M46" s="50">
        <v>52</v>
      </c>
      <c r="N46" s="50">
        <v>0</v>
      </c>
      <c r="O46" s="15">
        <f t="shared" si="0"/>
        <v>12</v>
      </c>
      <c r="P46" s="15">
        <f t="shared" si="1"/>
        <v>64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1</v>
      </c>
      <c r="F47" s="50">
        <v>1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57</v>
      </c>
      <c r="N47" s="50">
        <v>0</v>
      </c>
      <c r="O47" s="15">
        <f t="shared" si="0"/>
        <v>9</v>
      </c>
      <c r="P47" s="15">
        <f t="shared" si="1"/>
        <v>66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3</v>
      </c>
      <c r="E48" s="50">
        <v>1</v>
      </c>
      <c r="F48" s="50">
        <v>0</v>
      </c>
      <c r="G48" s="50">
        <v>0</v>
      </c>
      <c r="H48" s="50">
        <v>0</v>
      </c>
      <c r="I48" s="50">
        <v>3</v>
      </c>
      <c r="J48" s="50">
        <v>3</v>
      </c>
      <c r="K48" s="50">
        <v>0</v>
      </c>
      <c r="L48" s="50">
        <v>0</v>
      </c>
      <c r="M48" s="50">
        <v>61</v>
      </c>
      <c r="N48" s="50">
        <v>1</v>
      </c>
      <c r="O48" s="15">
        <f t="shared" si="0"/>
        <v>15</v>
      </c>
      <c r="P48" s="15">
        <f t="shared" si="1"/>
        <v>76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3</v>
      </c>
      <c r="G49" s="50">
        <v>0</v>
      </c>
      <c r="H49" s="50">
        <v>0</v>
      </c>
      <c r="I49" s="50">
        <v>0</v>
      </c>
      <c r="J49" s="50">
        <v>2</v>
      </c>
      <c r="K49" s="50">
        <v>1</v>
      </c>
      <c r="L49" s="50">
        <v>0</v>
      </c>
      <c r="M49" s="50">
        <v>43</v>
      </c>
      <c r="N49" s="50">
        <v>0</v>
      </c>
      <c r="O49" s="15">
        <f t="shared" si="0"/>
        <v>10</v>
      </c>
      <c r="P49" s="15">
        <f t="shared" si="1"/>
        <v>53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2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4</v>
      </c>
      <c r="K50" s="50">
        <v>0</v>
      </c>
      <c r="L50" s="50">
        <v>0</v>
      </c>
      <c r="M50" s="50">
        <v>34</v>
      </c>
      <c r="N50" s="50">
        <v>1</v>
      </c>
      <c r="O50" s="15">
        <f t="shared" si="0"/>
        <v>9</v>
      </c>
      <c r="P50" s="15">
        <f t="shared" si="1"/>
        <v>43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2</v>
      </c>
      <c r="E51" s="50">
        <v>0</v>
      </c>
      <c r="F51" s="50">
        <v>2</v>
      </c>
      <c r="G51" s="50">
        <v>0</v>
      </c>
      <c r="H51" s="50">
        <v>0</v>
      </c>
      <c r="I51" s="50">
        <v>0</v>
      </c>
      <c r="J51" s="50">
        <v>3</v>
      </c>
      <c r="K51" s="50">
        <v>0</v>
      </c>
      <c r="L51" s="50">
        <v>0</v>
      </c>
      <c r="M51" s="50">
        <v>43</v>
      </c>
      <c r="N51" s="50">
        <v>0</v>
      </c>
      <c r="O51" s="15">
        <f t="shared" si="0"/>
        <v>10</v>
      </c>
      <c r="P51" s="15">
        <f t="shared" si="1"/>
        <v>53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3</v>
      </c>
      <c r="E52" s="50">
        <v>1</v>
      </c>
      <c r="F52" s="50">
        <v>2</v>
      </c>
      <c r="G52" s="50">
        <v>0</v>
      </c>
      <c r="H52" s="50">
        <v>0</v>
      </c>
      <c r="I52" s="50">
        <v>0</v>
      </c>
      <c r="J52" s="50">
        <v>4</v>
      </c>
      <c r="K52" s="50">
        <v>0</v>
      </c>
      <c r="L52" s="50">
        <v>0</v>
      </c>
      <c r="M52" s="50">
        <v>38</v>
      </c>
      <c r="N52" s="50">
        <v>0</v>
      </c>
      <c r="O52" s="15">
        <f t="shared" si="0"/>
        <v>14</v>
      </c>
      <c r="P52" s="15">
        <f t="shared" si="1"/>
        <v>52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3</v>
      </c>
      <c r="E53" s="50">
        <v>0</v>
      </c>
      <c r="F53" s="50">
        <v>3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44</v>
      </c>
      <c r="N53" s="50">
        <v>0</v>
      </c>
      <c r="O53" s="15">
        <f t="shared" si="0"/>
        <v>14</v>
      </c>
      <c r="P53" s="15">
        <f t="shared" si="1"/>
        <v>58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2</v>
      </c>
      <c r="J54" s="50">
        <v>3</v>
      </c>
      <c r="K54" s="50">
        <v>2</v>
      </c>
      <c r="L54" s="50">
        <v>0</v>
      </c>
      <c r="M54" s="50">
        <v>40</v>
      </c>
      <c r="N54" s="50">
        <v>0</v>
      </c>
      <c r="O54" s="15">
        <f t="shared" si="0"/>
        <v>14</v>
      </c>
      <c r="P54" s="15">
        <f t="shared" si="1"/>
        <v>54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2</v>
      </c>
      <c r="E55" s="50">
        <v>2</v>
      </c>
      <c r="F55" s="50">
        <v>0</v>
      </c>
      <c r="G55" s="50">
        <v>0</v>
      </c>
      <c r="H55" s="50">
        <v>0</v>
      </c>
      <c r="I55" s="50">
        <v>1</v>
      </c>
      <c r="J55" s="50">
        <v>5</v>
      </c>
      <c r="K55" s="50">
        <v>0</v>
      </c>
      <c r="L55" s="50">
        <v>0</v>
      </c>
      <c r="M55" s="50">
        <v>22</v>
      </c>
      <c r="N55" s="50">
        <v>0</v>
      </c>
      <c r="O55" s="15">
        <f t="shared" si="0"/>
        <v>14</v>
      </c>
      <c r="P55" s="15">
        <f t="shared" si="1"/>
        <v>36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3</v>
      </c>
      <c r="E56" s="50">
        <v>1</v>
      </c>
      <c r="F56" s="50">
        <v>5</v>
      </c>
      <c r="G56" s="50">
        <v>1</v>
      </c>
      <c r="H56" s="50">
        <v>0</v>
      </c>
      <c r="I56" s="50">
        <v>2</v>
      </c>
      <c r="J56" s="50">
        <v>0</v>
      </c>
      <c r="K56" s="50">
        <v>0</v>
      </c>
      <c r="L56" s="50">
        <v>1</v>
      </c>
      <c r="M56" s="50">
        <v>52</v>
      </c>
      <c r="N56" s="50">
        <v>0</v>
      </c>
      <c r="O56" s="15">
        <f t="shared" si="0"/>
        <v>17</v>
      </c>
      <c r="P56" s="15">
        <f t="shared" si="1"/>
        <v>69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2</v>
      </c>
      <c r="E57" s="50">
        <v>1</v>
      </c>
      <c r="F57" s="50">
        <v>2</v>
      </c>
      <c r="G57" s="50">
        <v>0</v>
      </c>
      <c r="H57" s="50">
        <v>0</v>
      </c>
      <c r="I57" s="50">
        <v>2</v>
      </c>
      <c r="J57" s="50">
        <v>2</v>
      </c>
      <c r="K57" s="50">
        <v>1</v>
      </c>
      <c r="L57" s="50">
        <v>0</v>
      </c>
      <c r="M57" s="50">
        <v>32</v>
      </c>
      <c r="N57" s="50">
        <v>0</v>
      </c>
      <c r="O57" s="15">
        <f t="shared" si="0"/>
        <v>14</v>
      </c>
      <c r="P57" s="15">
        <f t="shared" si="1"/>
        <v>46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161</v>
      </c>
      <c r="D58" s="16">
        <f t="shared" si="21"/>
        <v>52</v>
      </c>
      <c r="E58" s="16">
        <f t="shared" si="21"/>
        <v>35</v>
      </c>
      <c r="F58" s="16">
        <f t="shared" si="21"/>
        <v>69</v>
      </c>
      <c r="G58" s="16">
        <f t="shared" si="21"/>
        <v>5</v>
      </c>
      <c r="H58" s="16">
        <f t="shared" si="21"/>
        <v>1</v>
      </c>
      <c r="I58" s="16">
        <f t="shared" si="21"/>
        <v>74</v>
      </c>
      <c r="J58" s="16">
        <f t="shared" si="21"/>
        <v>104</v>
      </c>
      <c r="K58" s="16">
        <f t="shared" si="21"/>
        <v>49</v>
      </c>
      <c r="L58" s="16">
        <f t="shared" si="21"/>
        <v>6</v>
      </c>
      <c r="M58" s="16">
        <f t="shared" si="21"/>
        <v>1981</v>
      </c>
      <c r="N58" s="16">
        <f t="shared" si="21"/>
        <v>6</v>
      </c>
      <c r="O58" s="16">
        <f t="shared" si="21"/>
        <v>562</v>
      </c>
      <c r="P58" s="16">
        <f t="shared" si="21"/>
        <v>2543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6.3311049941014552E-2</v>
      </c>
      <c r="D59" s="43">
        <f t="shared" si="22"/>
        <v>2.0448289421942586E-2</v>
      </c>
      <c r="E59" s="43">
        <f t="shared" si="22"/>
        <v>1.3763271726307511E-2</v>
      </c>
      <c r="F59" s="43">
        <f t="shared" si="22"/>
        <v>2.7133307117577665E-2</v>
      </c>
      <c r="G59" s="43">
        <f t="shared" si="22"/>
        <v>1.9661816751867871E-3</v>
      </c>
      <c r="H59" s="43">
        <f t="shared" si="22"/>
        <v>3.9323633503735744E-4</v>
      </c>
      <c r="I59" s="43">
        <f t="shared" si="22"/>
        <v>2.9099488792764451E-2</v>
      </c>
      <c r="J59" s="43">
        <f t="shared" si="22"/>
        <v>4.0896578843885173E-2</v>
      </c>
      <c r="K59" s="43">
        <f t="shared" si="22"/>
        <v>1.9268580416830515E-2</v>
      </c>
      <c r="L59" s="43">
        <f t="shared" si="22"/>
        <v>2.3594180102241447E-3</v>
      </c>
      <c r="M59" s="43">
        <f t="shared" si="22"/>
        <v>0.77900117970900506</v>
      </c>
      <c r="N59" s="43">
        <f t="shared" si="22"/>
        <v>2.3594180102241447E-3</v>
      </c>
      <c r="R59" s="8"/>
      <c r="T59"/>
    </row>
    <row r="60" spans="2:20" ht="23.1" customHeight="1" x14ac:dyDescent="0.25">
      <c r="B60" s="42" t="s">
        <v>94</v>
      </c>
      <c r="C60" s="44">
        <f>C58/$O$58</f>
        <v>0.28647686832740216</v>
      </c>
      <c r="D60" s="44">
        <f t="shared" ref="D60:N60" si="23">D58/$O$58</f>
        <v>9.2526690391459068E-2</v>
      </c>
      <c r="E60" s="44">
        <f t="shared" si="23"/>
        <v>6.2277580071174378E-2</v>
      </c>
      <c r="F60" s="44">
        <f t="shared" si="23"/>
        <v>0.12277580071174377</v>
      </c>
      <c r="G60" s="44">
        <f t="shared" si="23"/>
        <v>8.8967971530249119E-3</v>
      </c>
      <c r="H60" s="44">
        <f t="shared" si="23"/>
        <v>1.7793594306049821E-3</v>
      </c>
      <c r="I60" s="44">
        <f t="shared" si="23"/>
        <v>0.13167259786476868</v>
      </c>
      <c r="J60" s="44">
        <f t="shared" si="23"/>
        <v>0.18505338078291814</v>
      </c>
      <c r="K60" s="44">
        <f t="shared" si="23"/>
        <v>8.7188612099644125E-2</v>
      </c>
      <c r="L60" s="44">
        <f t="shared" si="23"/>
        <v>1.0676156583629894E-2</v>
      </c>
      <c r="M60" s="44"/>
      <c r="N60" s="44">
        <f t="shared" si="23"/>
        <v>1.0676156583629894E-2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Lumino-Musita'!C3:G3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'25.08 Musita-Lumino'!D5</f>
        <v>25.08.19</v>
      </c>
      <c r="E5" s="3"/>
      <c r="F5" s="41" t="s">
        <v>1</v>
      </c>
      <c r="G5" s="63" t="str">
        <f>'22.08 Musita-Lumino'!G5:H5</f>
        <v>Musita</v>
      </c>
      <c r="H5" s="64"/>
      <c r="I5" s="14"/>
      <c r="J5" s="2" t="s">
        <v>5</v>
      </c>
      <c r="K5" s="60" t="s">
        <v>171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Lumino-Musita'!D6:E6</f>
        <v>Lumino</v>
      </c>
      <c r="E6" s="64"/>
      <c r="F6" s="2" t="s">
        <v>2</v>
      </c>
      <c r="G6" s="63" t="str">
        <f>'22.08 Lumino-Musita'!G6:H6</f>
        <v>Musita</v>
      </c>
      <c r="H6" s="64"/>
      <c r="J6" s="2" t="s">
        <v>21</v>
      </c>
      <c r="K6" s="63" t="str">
        <f>'22.08 Musita-Lumino'!K6:L6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2</v>
      </c>
      <c r="E10" s="50">
        <v>1</v>
      </c>
      <c r="F10" s="50">
        <v>3</v>
      </c>
      <c r="G10" s="50">
        <v>0</v>
      </c>
      <c r="H10" s="50">
        <v>0</v>
      </c>
      <c r="I10" s="50">
        <v>2</v>
      </c>
      <c r="J10" s="50">
        <v>2</v>
      </c>
      <c r="K10" s="50">
        <v>0</v>
      </c>
      <c r="L10" s="50">
        <v>1</v>
      </c>
      <c r="M10" s="50">
        <v>37</v>
      </c>
      <c r="N10" s="50">
        <v>0</v>
      </c>
      <c r="O10" s="15">
        <f t="shared" ref="O10:O57" si="0">SUM(C10:L10,N10)</f>
        <v>15</v>
      </c>
      <c r="P10" s="15">
        <f t="shared" ref="P10:P57" si="1">SUM(C10:N10)</f>
        <v>52</v>
      </c>
      <c r="R10" s="1" t="s">
        <v>6</v>
      </c>
      <c r="S10" s="17">
        <f t="shared" ref="S10:AF10" si="2">SUM(C10:C13)</f>
        <v>8</v>
      </c>
      <c r="T10" s="17">
        <f t="shared" si="2"/>
        <v>3</v>
      </c>
      <c r="U10" s="17">
        <f t="shared" si="2"/>
        <v>4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8</v>
      </c>
      <c r="AA10" s="17">
        <f t="shared" si="2"/>
        <v>0</v>
      </c>
      <c r="AB10" s="17">
        <f t="shared" si="2"/>
        <v>2</v>
      </c>
      <c r="AC10" s="17">
        <f t="shared" si="2"/>
        <v>160</v>
      </c>
      <c r="AD10" s="17">
        <f t="shared" si="2"/>
        <v>0</v>
      </c>
      <c r="AE10" s="31">
        <f t="shared" si="2"/>
        <v>38</v>
      </c>
      <c r="AF10" s="31">
        <f t="shared" si="2"/>
        <v>198</v>
      </c>
    </row>
    <row r="11" spans="2:32" s="6" customFormat="1" ht="23.1" customHeight="1" x14ac:dyDescent="0.25">
      <c r="B11" s="23" t="s">
        <v>38</v>
      </c>
      <c r="C11" s="50">
        <v>3</v>
      </c>
      <c r="D11" s="50">
        <v>1</v>
      </c>
      <c r="E11" s="50">
        <v>0</v>
      </c>
      <c r="F11" s="50">
        <v>2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34</v>
      </c>
      <c r="N11" s="50">
        <v>0</v>
      </c>
      <c r="O11" s="15">
        <f t="shared" si="0"/>
        <v>9</v>
      </c>
      <c r="P11" s="15">
        <f t="shared" si="1"/>
        <v>43</v>
      </c>
      <c r="R11" s="1" t="s">
        <v>7</v>
      </c>
      <c r="S11" s="17">
        <f t="shared" ref="S11:AF11" si="3">SUM(C14:C17)</f>
        <v>10</v>
      </c>
      <c r="T11" s="17">
        <f t="shared" si="3"/>
        <v>1</v>
      </c>
      <c r="U11" s="17">
        <f t="shared" si="3"/>
        <v>2</v>
      </c>
      <c r="V11" s="17">
        <f t="shared" si="3"/>
        <v>7</v>
      </c>
      <c r="W11" s="17">
        <f t="shared" si="3"/>
        <v>1</v>
      </c>
      <c r="X11" s="17">
        <f t="shared" si="3"/>
        <v>1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2</v>
      </c>
      <c r="AC11" s="17">
        <f t="shared" si="3"/>
        <v>170</v>
      </c>
      <c r="AD11" s="17">
        <f t="shared" si="3"/>
        <v>1</v>
      </c>
      <c r="AE11" s="31">
        <f t="shared" si="3"/>
        <v>28</v>
      </c>
      <c r="AF11" s="31">
        <f t="shared" si="3"/>
        <v>198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2</v>
      </c>
      <c r="G12" s="50">
        <v>0</v>
      </c>
      <c r="H12" s="50">
        <v>0</v>
      </c>
      <c r="I12" s="50">
        <v>2</v>
      </c>
      <c r="J12" s="50">
        <v>2</v>
      </c>
      <c r="K12" s="50">
        <v>0</v>
      </c>
      <c r="L12" s="50">
        <v>0</v>
      </c>
      <c r="M12" s="50">
        <v>52</v>
      </c>
      <c r="N12" s="50">
        <v>0</v>
      </c>
      <c r="O12" s="15">
        <f t="shared" si="0"/>
        <v>8</v>
      </c>
      <c r="P12" s="15">
        <f t="shared" si="1"/>
        <v>60</v>
      </c>
      <c r="R12" s="1" t="s">
        <v>8</v>
      </c>
      <c r="S12" s="17">
        <f t="shared" ref="S12:AF12" si="4">SUM(C18:C21)</f>
        <v>13</v>
      </c>
      <c r="T12" s="17">
        <f t="shared" si="4"/>
        <v>1</v>
      </c>
      <c r="U12" s="17">
        <f t="shared" si="4"/>
        <v>1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175</v>
      </c>
      <c r="AD12" s="17">
        <f t="shared" si="4"/>
        <v>0</v>
      </c>
      <c r="AE12" s="31">
        <f t="shared" si="4"/>
        <v>30</v>
      </c>
      <c r="AF12" s="31">
        <f t="shared" si="4"/>
        <v>205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2</v>
      </c>
      <c r="F13" s="50">
        <v>0</v>
      </c>
      <c r="G13" s="50">
        <v>0</v>
      </c>
      <c r="H13" s="50">
        <v>0</v>
      </c>
      <c r="I13" s="50">
        <v>0</v>
      </c>
      <c r="J13" s="50">
        <v>3</v>
      </c>
      <c r="K13" s="50">
        <v>0</v>
      </c>
      <c r="L13" s="50">
        <v>1</v>
      </c>
      <c r="M13" s="50">
        <v>37</v>
      </c>
      <c r="N13" s="50">
        <v>0</v>
      </c>
      <c r="O13" s="15">
        <f t="shared" si="0"/>
        <v>6</v>
      </c>
      <c r="P13" s="15">
        <f t="shared" si="1"/>
        <v>43</v>
      </c>
      <c r="R13" s="1" t="s">
        <v>9</v>
      </c>
      <c r="S13" s="17">
        <f t="shared" ref="S13:AF13" si="5">SUM(C22:C25)</f>
        <v>8</v>
      </c>
      <c r="T13" s="17">
        <f t="shared" si="5"/>
        <v>3</v>
      </c>
      <c r="U13" s="17">
        <f t="shared" si="5"/>
        <v>3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10</v>
      </c>
      <c r="AA13" s="17">
        <f t="shared" si="5"/>
        <v>1</v>
      </c>
      <c r="AB13" s="17">
        <f t="shared" si="5"/>
        <v>1</v>
      </c>
      <c r="AC13" s="17">
        <f t="shared" si="5"/>
        <v>160</v>
      </c>
      <c r="AD13" s="17">
        <f t="shared" si="5"/>
        <v>1</v>
      </c>
      <c r="AE13" s="31">
        <f t="shared" si="5"/>
        <v>42</v>
      </c>
      <c r="AF13" s="31">
        <f t="shared" si="5"/>
        <v>202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1</v>
      </c>
      <c r="F14" s="50">
        <v>3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38</v>
      </c>
      <c r="N14" s="50">
        <v>0</v>
      </c>
      <c r="O14" s="15">
        <f t="shared" si="0"/>
        <v>7</v>
      </c>
      <c r="P14" s="15">
        <f t="shared" si="1"/>
        <v>45</v>
      </c>
      <c r="R14" s="1" t="s">
        <v>10</v>
      </c>
      <c r="S14" s="17">
        <f t="shared" ref="S14:AF14" si="6">SUM(C26:C29)</f>
        <v>13</v>
      </c>
      <c r="T14" s="17">
        <f t="shared" si="6"/>
        <v>7</v>
      </c>
      <c r="U14" s="17">
        <f t="shared" si="6"/>
        <v>1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10</v>
      </c>
      <c r="AA14" s="17">
        <f t="shared" si="6"/>
        <v>3</v>
      </c>
      <c r="AB14" s="17">
        <f t="shared" si="6"/>
        <v>0</v>
      </c>
      <c r="AC14" s="17">
        <f t="shared" si="6"/>
        <v>163</v>
      </c>
      <c r="AD14" s="17">
        <f t="shared" si="6"/>
        <v>1</v>
      </c>
      <c r="AE14" s="31">
        <f t="shared" si="6"/>
        <v>50</v>
      </c>
      <c r="AF14" s="31">
        <f t="shared" si="6"/>
        <v>213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1</v>
      </c>
      <c r="G15" s="50">
        <v>1</v>
      </c>
      <c r="H15" s="50">
        <v>1</v>
      </c>
      <c r="I15" s="50">
        <v>0</v>
      </c>
      <c r="J15" s="50">
        <v>1</v>
      </c>
      <c r="K15" s="50">
        <v>0</v>
      </c>
      <c r="L15" s="50">
        <v>2</v>
      </c>
      <c r="M15" s="50">
        <v>35</v>
      </c>
      <c r="N15" s="50">
        <v>0</v>
      </c>
      <c r="O15" s="15">
        <f t="shared" si="0"/>
        <v>8</v>
      </c>
      <c r="P15" s="15">
        <f t="shared" si="1"/>
        <v>43</v>
      </c>
      <c r="R15" s="1" t="s">
        <v>11</v>
      </c>
      <c r="S15" s="17">
        <f t="shared" ref="S15:AF15" si="7">SUM(C30:C33)</f>
        <v>14</v>
      </c>
      <c r="T15" s="17">
        <f t="shared" si="7"/>
        <v>4</v>
      </c>
      <c r="U15" s="17">
        <f t="shared" si="7"/>
        <v>1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9</v>
      </c>
      <c r="Z15" s="17">
        <f t="shared" si="7"/>
        <v>6</v>
      </c>
      <c r="AA15" s="17">
        <f t="shared" si="7"/>
        <v>2</v>
      </c>
      <c r="AB15" s="17">
        <f t="shared" si="7"/>
        <v>0</v>
      </c>
      <c r="AC15" s="17">
        <f t="shared" si="7"/>
        <v>164</v>
      </c>
      <c r="AD15" s="17">
        <f t="shared" si="7"/>
        <v>0</v>
      </c>
      <c r="AE15" s="31">
        <f t="shared" si="7"/>
        <v>42</v>
      </c>
      <c r="AF15" s="31">
        <f t="shared" si="7"/>
        <v>206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36</v>
      </c>
      <c r="N16" s="50">
        <v>1</v>
      </c>
      <c r="O16" s="15">
        <f t="shared" si="0"/>
        <v>7</v>
      </c>
      <c r="P16" s="15">
        <f t="shared" si="1"/>
        <v>43</v>
      </c>
      <c r="R16" s="1" t="s">
        <v>12</v>
      </c>
      <c r="S16" s="17">
        <f t="shared" ref="S16:AF16" si="8">SUM(C34:C37)</f>
        <v>18</v>
      </c>
      <c r="T16" s="17">
        <f t="shared" si="8"/>
        <v>5</v>
      </c>
      <c r="U16" s="17">
        <f t="shared" si="8"/>
        <v>0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5</v>
      </c>
      <c r="AA16" s="17">
        <f t="shared" si="8"/>
        <v>0</v>
      </c>
      <c r="AB16" s="17">
        <f t="shared" si="8"/>
        <v>3</v>
      </c>
      <c r="AC16" s="17">
        <f t="shared" si="8"/>
        <v>179</v>
      </c>
      <c r="AD16" s="17">
        <f t="shared" si="8"/>
        <v>1</v>
      </c>
      <c r="AE16" s="31">
        <f t="shared" si="8"/>
        <v>40</v>
      </c>
      <c r="AF16" s="31">
        <f t="shared" si="8"/>
        <v>219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61</v>
      </c>
      <c r="N17" s="50">
        <v>0</v>
      </c>
      <c r="O17" s="15">
        <f t="shared" si="0"/>
        <v>6</v>
      </c>
      <c r="P17" s="15">
        <f t="shared" si="1"/>
        <v>67</v>
      </c>
      <c r="R17" s="1" t="s">
        <v>13</v>
      </c>
      <c r="S17" s="17">
        <f t="shared" ref="S17:AF17" si="9">SUM(C38:C41)</f>
        <v>18</v>
      </c>
      <c r="T17" s="17">
        <f t="shared" si="9"/>
        <v>7</v>
      </c>
      <c r="U17" s="17">
        <f t="shared" si="9"/>
        <v>1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4</v>
      </c>
      <c r="AA17" s="17">
        <f t="shared" si="9"/>
        <v>0</v>
      </c>
      <c r="AB17" s="17">
        <f t="shared" si="9"/>
        <v>4</v>
      </c>
      <c r="AC17" s="17">
        <f t="shared" si="9"/>
        <v>135</v>
      </c>
      <c r="AD17" s="17">
        <f t="shared" si="9"/>
        <v>0</v>
      </c>
      <c r="AE17" s="31">
        <f t="shared" si="9"/>
        <v>55</v>
      </c>
      <c r="AF17" s="31">
        <f t="shared" si="9"/>
        <v>190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3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8</v>
      </c>
      <c r="P18" s="15">
        <f t="shared" si="1"/>
        <v>53</v>
      </c>
      <c r="R18" s="1" t="s">
        <v>14</v>
      </c>
      <c r="S18" s="17">
        <f t="shared" ref="S18:AF18" si="10">SUM(C42:C45)</f>
        <v>21</v>
      </c>
      <c r="T18" s="17">
        <f t="shared" si="10"/>
        <v>5</v>
      </c>
      <c r="U18" s="17">
        <f t="shared" si="10"/>
        <v>9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187</v>
      </c>
      <c r="AD18" s="17">
        <f t="shared" si="10"/>
        <v>1</v>
      </c>
      <c r="AE18" s="31">
        <f t="shared" si="10"/>
        <v>55</v>
      </c>
      <c r="AF18" s="31">
        <f t="shared" si="10"/>
        <v>242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0</v>
      </c>
      <c r="F19" s="50">
        <v>3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46</v>
      </c>
      <c r="N19" s="50">
        <v>0</v>
      </c>
      <c r="O19" s="15">
        <f t="shared" si="0"/>
        <v>10</v>
      </c>
      <c r="P19" s="15">
        <f t="shared" si="1"/>
        <v>56</v>
      </c>
      <c r="R19" s="1" t="s">
        <v>15</v>
      </c>
      <c r="S19" s="17">
        <f t="shared" ref="S19:AF19" si="11">SUM(C46:C49)</f>
        <v>18</v>
      </c>
      <c r="T19" s="17">
        <f t="shared" si="11"/>
        <v>4</v>
      </c>
      <c r="U19" s="17">
        <f t="shared" si="11"/>
        <v>2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13</v>
      </c>
      <c r="Z19" s="17">
        <f t="shared" si="11"/>
        <v>10</v>
      </c>
      <c r="AA19" s="17">
        <f t="shared" si="11"/>
        <v>0</v>
      </c>
      <c r="AB19" s="17">
        <f t="shared" si="11"/>
        <v>0</v>
      </c>
      <c r="AC19" s="17">
        <f t="shared" si="11"/>
        <v>218</v>
      </c>
      <c r="AD19" s="17">
        <f t="shared" si="11"/>
        <v>1</v>
      </c>
      <c r="AE19" s="31">
        <f t="shared" si="11"/>
        <v>58</v>
      </c>
      <c r="AF19" s="31">
        <f t="shared" si="11"/>
        <v>276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37</v>
      </c>
      <c r="N20" s="50">
        <v>0</v>
      </c>
      <c r="O20" s="15">
        <f t="shared" si="0"/>
        <v>4</v>
      </c>
      <c r="P20" s="15">
        <f t="shared" si="1"/>
        <v>41</v>
      </c>
      <c r="R20" s="1" t="s">
        <v>16</v>
      </c>
      <c r="S20" s="17">
        <f t="shared" ref="S20:AF20" si="12">SUM(C50:C53)</f>
        <v>14</v>
      </c>
      <c r="T20" s="17">
        <f t="shared" si="12"/>
        <v>15</v>
      </c>
      <c r="U20" s="17">
        <f t="shared" si="12"/>
        <v>2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10</v>
      </c>
      <c r="AA20" s="17">
        <f t="shared" si="12"/>
        <v>1</v>
      </c>
      <c r="AB20" s="17">
        <f t="shared" si="12"/>
        <v>0</v>
      </c>
      <c r="AC20" s="17">
        <f t="shared" si="12"/>
        <v>128</v>
      </c>
      <c r="AD20" s="17">
        <f t="shared" si="12"/>
        <v>0</v>
      </c>
      <c r="AE20" s="31">
        <f t="shared" si="12"/>
        <v>52</v>
      </c>
      <c r="AF20" s="31">
        <f t="shared" si="12"/>
        <v>180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1</v>
      </c>
      <c r="G21" s="50">
        <v>0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47</v>
      </c>
      <c r="N21" s="50">
        <v>0</v>
      </c>
      <c r="O21" s="15">
        <f t="shared" si="0"/>
        <v>8</v>
      </c>
      <c r="P21" s="15">
        <f t="shared" si="1"/>
        <v>55</v>
      </c>
      <c r="R21" s="36" t="s">
        <v>20</v>
      </c>
      <c r="S21" s="34">
        <f t="shared" ref="S21:AF21" si="13">SUM(C54:C57)</f>
        <v>22</v>
      </c>
      <c r="T21" s="17">
        <f t="shared" si="13"/>
        <v>11</v>
      </c>
      <c r="U21" s="17">
        <f t="shared" si="13"/>
        <v>3</v>
      </c>
      <c r="V21" s="17">
        <f t="shared" si="13"/>
        <v>12</v>
      </c>
      <c r="W21" s="17">
        <f t="shared" si="13"/>
        <v>1</v>
      </c>
      <c r="X21" s="17">
        <f t="shared" si="13"/>
        <v>0</v>
      </c>
      <c r="Y21" s="17">
        <f t="shared" si="13"/>
        <v>10</v>
      </c>
      <c r="Z21" s="17">
        <f t="shared" si="13"/>
        <v>8</v>
      </c>
      <c r="AA21" s="17">
        <f t="shared" si="13"/>
        <v>1</v>
      </c>
      <c r="AB21" s="17">
        <f t="shared" si="13"/>
        <v>0</v>
      </c>
      <c r="AC21" s="17">
        <f t="shared" si="13"/>
        <v>124</v>
      </c>
      <c r="AD21" s="17">
        <f t="shared" si="13"/>
        <v>0</v>
      </c>
      <c r="AE21" s="31">
        <f t="shared" si="13"/>
        <v>68</v>
      </c>
      <c r="AF21" s="31">
        <f t="shared" si="13"/>
        <v>192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0</v>
      </c>
      <c r="F22" s="50">
        <v>1</v>
      </c>
      <c r="G22" s="50">
        <v>0</v>
      </c>
      <c r="H22" s="50">
        <v>0</v>
      </c>
      <c r="I22" s="50">
        <v>3</v>
      </c>
      <c r="J22" s="50">
        <v>4</v>
      </c>
      <c r="K22" s="50">
        <v>1</v>
      </c>
      <c r="L22" s="50">
        <v>0</v>
      </c>
      <c r="M22" s="50">
        <v>42</v>
      </c>
      <c r="N22" s="50">
        <v>1</v>
      </c>
      <c r="O22" s="15">
        <f t="shared" si="0"/>
        <v>12</v>
      </c>
      <c r="P22" s="15">
        <f t="shared" si="1"/>
        <v>54</v>
      </c>
      <c r="R22" s="38" t="s">
        <v>90</v>
      </c>
      <c r="S22" s="39">
        <f>MAX(S10:S12)</f>
        <v>13</v>
      </c>
      <c r="T22" s="39">
        <f t="shared" ref="T22:AF22" si="14">MAX(T10:T12)</f>
        <v>3</v>
      </c>
      <c r="U22" s="39">
        <f t="shared" si="14"/>
        <v>4</v>
      </c>
      <c r="V22" s="39">
        <f t="shared" si="14"/>
        <v>7</v>
      </c>
      <c r="W22" s="39">
        <f t="shared" si="14"/>
        <v>1</v>
      </c>
      <c r="X22" s="39">
        <f t="shared" si="14"/>
        <v>1</v>
      </c>
      <c r="Y22" s="39">
        <f t="shared" si="14"/>
        <v>6</v>
      </c>
      <c r="Z22" s="39">
        <f t="shared" si="14"/>
        <v>8</v>
      </c>
      <c r="AA22" s="39">
        <f t="shared" si="14"/>
        <v>0</v>
      </c>
      <c r="AB22" s="39">
        <f t="shared" si="14"/>
        <v>2</v>
      </c>
      <c r="AC22" s="39">
        <f t="shared" si="14"/>
        <v>175</v>
      </c>
      <c r="AD22" s="39">
        <f t="shared" si="14"/>
        <v>1</v>
      </c>
      <c r="AE22" s="40">
        <f t="shared" si="14"/>
        <v>38</v>
      </c>
      <c r="AF22" s="40">
        <f t="shared" si="14"/>
        <v>205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2</v>
      </c>
      <c r="G23" s="50">
        <v>0</v>
      </c>
      <c r="H23" s="50">
        <v>0</v>
      </c>
      <c r="I23" s="50">
        <v>0</v>
      </c>
      <c r="J23" s="50">
        <v>3</v>
      </c>
      <c r="K23" s="50">
        <v>0</v>
      </c>
      <c r="L23" s="50">
        <v>1</v>
      </c>
      <c r="M23" s="50">
        <v>50</v>
      </c>
      <c r="N23" s="50">
        <v>0</v>
      </c>
      <c r="O23" s="15">
        <f t="shared" si="0"/>
        <v>8</v>
      </c>
      <c r="P23" s="15">
        <f t="shared" si="1"/>
        <v>58</v>
      </c>
      <c r="R23" s="38" t="s">
        <v>91</v>
      </c>
      <c r="S23" s="39">
        <f>MAX(S13:S18)</f>
        <v>21</v>
      </c>
      <c r="T23" s="39">
        <f t="shared" ref="T23:AF23" si="15">MAX(T13:T18)</f>
        <v>7</v>
      </c>
      <c r="U23" s="39">
        <f t="shared" si="15"/>
        <v>9</v>
      </c>
      <c r="V23" s="39">
        <f t="shared" si="15"/>
        <v>12</v>
      </c>
      <c r="W23" s="39">
        <f t="shared" si="15"/>
        <v>1</v>
      </c>
      <c r="X23" s="39">
        <f t="shared" si="15"/>
        <v>0</v>
      </c>
      <c r="Y23" s="39">
        <f t="shared" si="15"/>
        <v>9</v>
      </c>
      <c r="Z23" s="39">
        <f t="shared" si="15"/>
        <v>10</v>
      </c>
      <c r="AA23" s="39">
        <f t="shared" si="15"/>
        <v>3</v>
      </c>
      <c r="AB23" s="39">
        <f t="shared" si="15"/>
        <v>4</v>
      </c>
      <c r="AC23" s="39">
        <f t="shared" si="15"/>
        <v>187</v>
      </c>
      <c r="AD23" s="39">
        <f t="shared" si="15"/>
        <v>1</v>
      </c>
      <c r="AE23" s="40">
        <f t="shared" si="15"/>
        <v>55</v>
      </c>
      <c r="AF23" s="40">
        <f t="shared" si="15"/>
        <v>242</v>
      </c>
    </row>
    <row r="24" spans="2:32" ht="23.1" customHeight="1" x14ac:dyDescent="0.25">
      <c r="B24" s="23" t="s">
        <v>51</v>
      </c>
      <c r="C24" s="50">
        <v>4</v>
      </c>
      <c r="D24" s="50">
        <v>2</v>
      </c>
      <c r="E24" s="50">
        <v>1</v>
      </c>
      <c r="F24" s="50">
        <v>4</v>
      </c>
      <c r="G24" s="50">
        <v>0</v>
      </c>
      <c r="H24" s="50">
        <v>0</v>
      </c>
      <c r="I24" s="50">
        <v>1</v>
      </c>
      <c r="J24" s="50">
        <v>3</v>
      </c>
      <c r="K24" s="50">
        <v>0</v>
      </c>
      <c r="L24" s="50">
        <v>0</v>
      </c>
      <c r="M24" s="50">
        <v>38</v>
      </c>
      <c r="N24" s="50">
        <v>0</v>
      </c>
      <c r="O24" s="15">
        <f t="shared" si="0"/>
        <v>15</v>
      </c>
      <c r="P24" s="15">
        <f t="shared" si="1"/>
        <v>53</v>
      </c>
      <c r="R24" s="38" t="s">
        <v>92</v>
      </c>
      <c r="S24" s="39">
        <f>MAX(S19:S21)</f>
        <v>22</v>
      </c>
      <c r="T24" s="39">
        <f t="shared" ref="T24:AF24" si="16">MAX(T19:T21)</f>
        <v>15</v>
      </c>
      <c r="U24" s="39">
        <f t="shared" si="16"/>
        <v>3</v>
      </c>
      <c r="V24" s="39">
        <f t="shared" si="16"/>
        <v>12</v>
      </c>
      <c r="W24" s="39">
        <f t="shared" si="16"/>
        <v>1</v>
      </c>
      <c r="X24" s="39">
        <f t="shared" si="16"/>
        <v>0</v>
      </c>
      <c r="Y24" s="39">
        <f t="shared" si="16"/>
        <v>13</v>
      </c>
      <c r="Z24" s="39">
        <f t="shared" si="16"/>
        <v>10</v>
      </c>
      <c r="AA24" s="39">
        <f t="shared" si="16"/>
        <v>1</v>
      </c>
      <c r="AB24" s="39">
        <f t="shared" si="16"/>
        <v>0</v>
      </c>
      <c r="AC24" s="39">
        <f t="shared" si="16"/>
        <v>218</v>
      </c>
      <c r="AD24" s="39">
        <f t="shared" si="16"/>
        <v>1</v>
      </c>
      <c r="AE24" s="40">
        <f t="shared" si="16"/>
        <v>68</v>
      </c>
      <c r="AF24" s="40">
        <f t="shared" si="16"/>
        <v>276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3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30</v>
      </c>
      <c r="N25" s="50">
        <v>0</v>
      </c>
      <c r="O25" s="15">
        <f t="shared" si="0"/>
        <v>7</v>
      </c>
      <c r="P25" s="15">
        <f t="shared" si="1"/>
        <v>37</v>
      </c>
      <c r="R25" s="37" t="s">
        <v>85</v>
      </c>
      <c r="S25" s="35">
        <f t="shared" ref="S25:AF25" si="17">SUM(S10:S12)</f>
        <v>31</v>
      </c>
      <c r="T25" s="16">
        <f t="shared" si="17"/>
        <v>5</v>
      </c>
      <c r="U25" s="16">
        <f t="shared" si="17"/>
        <v>7</v>
      </c>
      <c r="V25" s="16">
        <f t="shared" si="17"/>
        <v>18</v>
      </c>
      <c r="W25" s="16">
        <f t="shared" si="17"/>
        <v>1</v>
      </c>
      <c r="X25" s="16">
        <f t="shared" si="17"/>
        <v>1</v>
      </c>
      <c r="Y25" s="16">
        <f t="shared" si="17"/>
        <v>13</v>
      </c>
      <c r="Z25" s="16">
        <f t="shared" si="17"/>
        <v>15</v>
      </c>
      <c r="AA25" s="16">
        <f t="shared" si="17"/>
        <v>0</v>
      </c>
      <c r="AB25" s="16">
        <f t="shared" si="17"/>
        <v>4</v>
      </c>
      <c r="AC25" s="16">
        <f t="shared" si="17"/>
        <v>505</v>
      </c>
      <c r="AD25" s="16">
        <f t="shared" si="17"/>
        <v>1</v>
      </c>
      <c r="AE25" s="32">
        <f t="shared" si="17"/>
        <v>96</v>
      </c>
      <c r="AF25" s="32">
        <f t="shared" si="17"/>
        <v>601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0</v>
      </c>
      <c r="F26" s="50">
        <v>4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35</v>
      </c>
      <c r="N26" s="50">
        <v>0</v>
      </c>
      <c r="O26" s="15">
        <f t="shared" si="0"/>
        <v>12</v>
      </c>
      <c r="P26" s="15">
        <f t="shared" si="1"/>
        <v>47</v>
      </c>
      <c r="R26" s="28" t="s">
        <v>86</v>
      </c>
      <c r="S26" s="16">
        <f t="shared" ref="S26:AF26" si="18">SUM(S13:S18)</f>
        <v>92</v>
      </c>
      <c r="T26" s="16">
        <f t="shared" si="18"/>
        <v>31</v>
      </c>
      <c r="U26" s="16">
        <f t="shared" si="18"/>
        <v>15</v>
      </c>
      <c r="V26" s="16">
        <f t="shared" si="18"/>
        <v>48</v>
      </c>
      <c r="W26" s="16">
        <f t="shared" si="18"/>
        <v>1</v>
      </c>
      <c r="X26" s="16">
        <f t="shared" si="18"/>
        <v>0</v>
      </c>
      <c r="Y26" s="16">
        <f t="shared" si="18"/>
        <v>40</v>
      </c>
      <c r="Z26" s="16">
        <f t="shared" si="18"/>
        <v>39</v>
      </c>
      <c r="AA26" s="16">
        <f t="shared" si="18"/>
        <v>6</v>
      </c>
      <c r="AB26" s="16">
        <f t="shared" si="18"/>
        <v>8</v>
      </c>
      <c r="AC26" s="16">
        <f t="shared" si="18"/>
        <v>988</v>
      </c>
      <c r="AD26" s="16">
        <f t="shared" si="18"/>
        <v>4</v>
      </c>
      <c r="AE26" s="32">
        <f t="shared" si="18"/>
        <v>284</v>
      </c>
      <c r="AF26" s="32">
        <f t="shared" si="18"/>
        <v>1272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1</v>
      </c>
      <c r="J27" s="50">
        <v>6</v>
      </c>
      <c r="K27" s="50">
        <v>2</v>
      </c>
      <c r="L27" s="50">
        <v>0</v>
      </c>
      <c r="M27" s="50">
        <v>40</v>
      </c>
      <c r="N27" s="50">
        <v>0</v>
      </c>
      <c r="O27" s="15">
        <f t="shared" si="0"/>
        <v>12</v>
      </c>
      <c r="P27" s="15">
        <f t="shared" si="1"/>
        <v>52</v>
      </c>
      <c r="R27" s="29" t="s">
        <v>87</v>
      </c>
      <c r="S27" s="16">
        <f t="shared" ref="S27:AF27" si="19">SUM(S19:S21)</f>
        <v>54</v>
      </c>
      <c r="T27" s="16">
        <f t="shared" si="19"/>
        <v>30</v>
      </c>
      <c r="U27" s="16">
        <f t="shared" si="19"/>
        <v>7</v>
      </c>
      <c r="V27" s="16">
        <f t="shared" si="19"/>
        <v>29</v>
      </c>
      <c r="W27" s="16">
        <f t="shared" si="19"/>
        <v>1</v>
      </c>
      <c r="X27" s="16">
        <f t="shared" si="19"/>
        <v>0</v>
      </c>
      <c r="Y27" s="16">
        <f t="shared" si="19"/>
        <v>26</v>
      </c>
      <c r="Z27" s="16">
        <f t="shared" si="19"/>
        <v>28</v>
      </c>
      <c r="AA27" s="16">
        <f t="shared" si="19"/>
        <v>2</v>
      </c>
      <c r="AB27" s="16">
        <f t="shared" si="19"/>
        <v>0</v>
      </c>
      <c r="AC27" s="16">
        <f t="shared" si="19"/>
        <v>470</v>
      </c>
      <c r="AD27" s="16">
        <f t="shared" si="19"/>
        <v>1</v>
      </c>
      <c r="AE27" s="32">
        <f t="shared" si="19"/>
        <v>178</v>
      </c>
      <c r="AF27" s="32">
        <f t="shared" si="19"/>
        <v>648</v>
      </c>
    </row>
    <row r="28" spans="2:32" ht="23.1" customHeight="1" x14ac:dyDescent="0.25">
      <c r="B28" s="23" t="s">
        <v>55</v>
      </c>
      <c r="C28" s="50">
        <v>6</v>
      </c>
      <c r="D28" s="50">
        <v>6</v>
      </c>
      <c r="E28" s="50">
        <v>1</v>
      </c>
      <c r="F28" s="50">
        <v>2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45</v>
      </c>
      <c r="N28" s="50">
        <v>1</v>
      </c>
      <c r="O28" s="15">
        <f t="shared" si="0"/>
        <v>20</v>
      </c>
      <c r="P28" s="15">
        <f t="shared" si="1"/>
        <v>65</v>
      </c>
      <c r="R28" s="5" t="s">
        <v>17</v>
      </c>
      <c r="S28" s="16">
        <f t="shared" ref="S28:AF28" si="20">SUM(S10:S21)</f>
        <v>177</v>
      </c>
      <c r="T28" s="16">
        <f t="shared" si="20"/>
        <v>66</v>
      </c>
      <c r="U28" s="16">
        <f t="shared" si="20"/>
        <v>29</v>
      </c>
      <c r="V28" s="16">
        <f t="shared" si="20"/>
        <v>95</v>
      </c>
      <c r="W28" s="16">
        <f t="shared" si="20"/>
        <v>3</v>
      </c>
      <c r="X28" s="16">
        <f t="shared" si="20"/>
        <v>1</v>
      </c>
      <c r="Y28" s="16">
        <f t="shared" si="20"/>
        <v>79</v>
      </c>
      <c r="Z28" s="16">
        <f t="shared" si="20"/>
        <v>82</v>
      </c>
      <c r="AA28" s="16">
        <f t="shared" si="20"/>
        <v>8</v>
      </c>
      <c r="AB28" s="16">
        <f t="shared" si="20"/>
        <v>12</v>
      </c>
      <c r="AC28" s="16">
        <f t="shared" si="20"/>
        <v>1963</v>
      </c>
      <c r="AD28" s="16">
        <f t="shared" si="20"/>
        <v>6</v>
      </c>
      <c r="AE28" s="32">
        <f t="shared" si="20"/>
        <v>558</v>
      </c>
      <c r="AF28" s="32">
        <f t="shared" si="20"/>
        <v>2521</v>
      </c>
    </row>
    <row r="29" spans="2:32" ht="23.1" customHeight="1" x14ac:dyDescent="0.25">
      <c r="B29" s="23" t="s">
        <v>56</v>
      </c>
      <c r="C29" s="50">
        <v>1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1</v>
      </c>
      <c r="L29" s="50">
        <v>0</v>
      </c>
      <c r="M29" s="50">
        <v>43</v>
      </c>
      <c r="N29" s="50">
        <v>0</v>
      </c>
      <c r="O29" s="15">
        <f t="shared" si="0"/>
        <v>6</v>
      </c>
      <c r="P29" s="15">
        <f t="shared" si="1"/>
        <v>49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2</v>
      </c>
      <c r="L30" s="50">
        <v>0</v>
      </c>
      <c r="M30" s="50">
        <v>40</v>
      </c>
      <c r="N30" s="50">
        <v>0</v>
      </c>
      <c r="O30" s="15">
        <f t="shared" si="0"/>
        <v>5</v>
      </c>
      <c r="P30" s="15">
        <f t="shared" si="1"/>
        <v>45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32</v>
      </c>
      <c r="N31" s="50">
        <v>0</v>
      </c>
      <c r="O31" s="15">
        <f t="shared" si="0"/>
        <v>4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7</v>
      </c>
      <c r="D32" s="50">
        <v>3</v>
      </c>
      <c r="E32" s="50">
        <v>1</v>
      </c>
      <c r="F32" s="50">
        <v>1</v>
      </c>
      <c r="G32" s="50">
        <v>0</v>
      </c>
      <c r="H32" s="50">
        <v>0</v>
      </c>
      <c r="I32" s="50">
        <v>5</v>
      </c>
      <c r="J32" s="50">
        <v>3</v>
      </c>
      <c r="K32" s="50">
        <v>0</v>
      </c>
      <c r="L32" s="50">
        <v>0</v>
      </c>
      <c r="M32" s="50">
        <v>49</v>
      </c>
      <c r="N32" s="50">
        <v>0</v>
      </c>
      <c r="O32" s="15">
        <f t="shared" si="0"/>
        <v>20</v>
      </c>
      <c r="P32" s="15">
        <f t="shared" si="1"/>
        <v>69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0</v>
      </c>
      <c r="F33" s="50">
        <v>3</v>
      </c>
      <c r="G33" s="50">
        <v>1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43</v>
      </c>
      <c r="N33" s="50">
        <v>0</v>
      </c>
      <c r="O33" s="15">
        <f t="shared" si="0"/>
        <v>13</v>
      </c>
      <c r="P33" s="15">
        <f t="shared" si="1"/>
        <v>56</v>
      </c>
    </row>
    <row r="34" spans="2:20" ht="23.1" customHeight="1" x14ac:dyDescent="0.25">
      <c r="B34" s="24" t="s">
        <v>61</v>
      </c>
      <c r="C34" s="50">
        <v>4</v>
      </c>
      <c r="D34" s="50">
        <v>1</v>
      </c>
      <c r="E34" s="50">
        <v>0</v>
      </c>
      <c r="F34" s="50">
        <v>1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41</v>
      </c>
      <c r="N34" s="50">
        <v>0</v>
      </c>
      <c r="O34" s="15">
        <f t="shared" si="0"/>
        <v>9</v>
      </c>
      <c r="P34" s="15">
        <f t="shared" si="1"/>
        <v>50</v>
      </c>
    </row>
    <row r="35" spans="2:20" ht="23.1" customHeight="1" x14ac:dyDescent="0.25">
      <c r="B35" s="24" t="s">
        <v>62</v>
      </c>
      <c r="C35" s="50">
        <v>6</v>
      </c>
      <c r="D35" s="50">
        <v>3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32</v>
      </c>
      <c r="N35" s="50">
        <v>0</v>
      </c>
      <c r="O35" s="15">
        <f t="shared" si="0"/>
        <v>10</v>
      </c>
      <c r="P35" s="15">
        <f t="shared" si="1"/>
        <v>42</v>
      </c>
    </row>
    <row r="36" spans="2:20" ht="23.1" customHeight="1" x14ac:dyDescent="0.25">
      <c r="B36" s="24" t="s">
        <v>63</v>
      </c>
      <c r="C36" s="50">
        <v>5</v>
      </c>
      <c r="D36" s="50">
        <v>1</v>
      </c>
      <c r="E36" s="50">
        <v>0</v>
      </c>
      <c r="F36" s="50">
        <v>2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38</v>
      </c>
      <c r="N36" s="50">
        <v>1</v>
      </c>
      <c r="O36" s="15">
        <f t="shared" si="0"/>
        <v>12</v>
      </c>
      <c r="P36" s="15">
        <f t="shared" si="1"/>
        <v>50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3</v>
      </c>
      <c r="M37" s="50">
        <v>68</v>
      </c>
      <c r="N37" s="50">
        <v>0</v>
      </c>
      <c r="O37" s="15">
        <f t="shared" si="0"/>
        <v>9</v>
      </c>
      <c r="P37" s="15">
        <f t="shared" si="1"/>
        <v>77</v>
      </c>
    </row>
    <row r="38" spans="2:20" ht="23.1" customHeight="1" x14ac:dyDescent="0.25">
      <c r="B38" s="24" t="s">
        <v>65</v>
      </c>
      <c r="C38" s="50">
        <v>3</v>
      </c>
      <c r="D38" s="50">
        <v>3</v>
      </c>
      <c r="E38" s="50">
        <v>1</v>
      </c>
      <c r="F38" s="50">
        <v>4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0</v>
      </c>
      <c r="M38" s="50">
        <v>28</v>
      </c>
      <c r="N38" s="50">
        <v>0</v>
      </c>
      <c r="O38" s="15">
        <f t="shared" si="0"/>
        <v>14</v>
      </c>
      <c r="P38" s="15">
        <f t="shared" si="1"/>
        <v>42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0</v>
      </c>
      <c r="F39" s="50">
        <v>4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2</v>
      </c>
      <c r="M39" s="50">
        <v>33</v>
      </c>
      <c r="N39" s="50">
        <v>0</v>
      </c>
      <c r="O39" s="15">
        <f t="shared" si="0"/>
        <v>15</v>
      </c>
      <c r="P39" s="15">
        <f t="shared" si="1"/>
        <v>48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2</v>
      </c>
      <c r="M40" s="50">
        <v>40</v>
      </c>
      <c r="N40" s="50">
        <v>0</v>
      </c>
      <c r="O40" s="15">
        <f t="shared" si="0"/>
        <v>7</v>
      </c>
      <c r="P40" s="15">
        <f t="shared" si="1"/>
        <v>47</v>
      </c>
    </row>
    <row r="41" spans="2:20" ht="23.1" customHeight="1" x14ac:dyDescent="0.25">
      <c r="B41" s="23" t="s">
        <v>68</v>
      </c>
      <c r="C41" s="50">
        <v>6</v>
      </c>
      <c r="D41" s="50">
        <v>3</v>
      </c>
      <c r="E41" s="50">
        <v>0</v>
      </c>
      <c r="F41" s="50">
        <v>3</v>
      </c>
      <c r="G41" s="50">
        <v>0</v>
      </c>
      <c r="H41" s="50">
        <v>0</v>
      </c>
      <c r="I41" s="50">
        <v>4</v>
      </c>
      <c r="J41" s="50">
        <v>3</v>
      </c>
      <c r="K41" s="50">
        <v>0</v>
      </c>
      <c r="L41" s="50">
        <v>0</v>
      </c>
      <c r="M41" s="50">
        <v>34</v>
      </c>
      <c r="N41" s="50">
        <v>0</v>
      </c>
      <c r="O41" s="15">
        <f t="shared" si="0"/>
        <v>19</v>
      </c>
      <c r="P41" s="15">
        <f t="shared" si="1"/>
        <v>53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4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33</v>
      </c>
      <c r="N42" s="50">
        <v>0</v>
      </c>
      <c r="O42" s="15">
        <f t="shared" si="0"/>
        <v>12</v>
      </c>
      <c r="P42" s="15">
        <f t="shared" si="1"/>
        <v>45</v>
      </c>
    </row>
    <row r="43" spans="2:20" ht="23.1" customHeight="1" x14ac:dyDescent="0.25">
      <c r="B43" s="23" t="s">
        <v>70</v>
      </c>
      <c r="C43" s="50">
        <v>3</v>
      </c>
      <c r="D43" s="50">
        <v>2</v>
      </c>
      <c r="E43" s="50">
        <v>2</v>
      </c>
      <c r="F43" s="50">
        <v>0</v>
      </c>
      <c r="G43" s="50">
        <v>0</v>
      </c>
      <c r="H43" s="50">
        <v>0</v>
      </c>
      <c r="I43" s="50">
        <v>2</v>
      </c>
      <c r="J43" s="50">
        <v>3</v>
      </c>
      <c r="K43" s="50">
        <v>0</v>
      </c>
      <c r="L43" s="50">
        <v>0</v>
      </c>
      <c r="M43" s="50">
        <v>54</v>
      </c>
      <c r="N43" s="50">
        <v>0</v>
      </c>
      <c r="O43" s="15">
        <f t="shared" si="0"/>
        <v>12</v>
      </c>
      <c r="P43" s="15">
        <f t="shared" si="1"/>
        <v>66</v>
      </c>
    </row>
    <row r="44" spans="2:20" ht="23.1" customHeight="1" x14ac:dyDescent="0.25">
      <c r="B44" s="25" t="s">
        <v>71</v>
      </c>
      <c r="C44" s="50">
        <v>9</v>
      </c>
      <c r="D44" s="50">
        <v>0</v>
      </c>
      <c r="E44" s="50">
        <v>2</v>
      </c>
      <c r="F44" s="50">
        <v>4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38</v>
      </c>
      <c r="N44" s="50">
        <v>0</v>
      </c>
      <c r="O44" s="15">
        <f t="shared" si="0"/>
        <v>18</v>
      </c>
      <c r="P44" s="15">
        <f t="shared" si="1"/>
        <v>56</v>
      </c>
    </row>
    <row r="45" spans="2:20" ht="23.1" customHeight="1" x14ac:dyDescent="0.25">
      <c r="B45" s="23" t="s">
        <v>72</v>
      </c>
      <c r="C45" s="50">
        <v>4</v>
      </c>
      <c r="D45" s="50">
        <v>2</v>
      </c>
      <c r="E45" s="50">
        <v>1</v>
      </c>
      <c r="F45" s="50">
        <v>2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62</v>
      </c>
      <c r="N45" s="50">
        <v>1</v>
      </c>
      <c r="O45" s="15">
        <f t="shared" si="0"/>
        <v>13</v>
      </c>
      <c r="P45" s="15">
        <f t="shared" si="1"/>
        <v>75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51</v>
      </c>
      <c r="N46" s="50">
        <v>1</v>
      </c>
      <c r="O46" s="15">
        <f t="shared" si="0"/>
        <v>7</v>
      </c>
      <c r="P46" s="15">
        <f t="shared" si="1"/>
        <v>58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1</v>
      </c>
      <c r="E47" s="50">
        <v>1</v>
      </c>
      <c r="F47" s="50">
        <v>2</v>
      </c>
      <c r="G47" s="50">
        <v>0</v>
      </c>
      <c r="H47" s="50">
        <v>0</v>
      </c>
      <c r="I47" s="50">
        <v>1</v>
      </c>
      <c r="J47" s="50">
        <v>3</v>
      </c>
      <c r="K47" s="50">
        <v>0</v>
      </c>
      <c r="L47" s="50">
        <v>0</v>
      </c>
      <c r="M47" s="50">
        <v>65</v>
      </c>
      <c r="N47" s="50">
        <v>0</v>
      </c>
      <c r="O47" s="15">
        <f t="shared" si="0"/>
        <v>13</v>
      </c>
      <c r="P47" s="15">
        <f t="shared" si="1"/>
        <v>78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1</v>
      </c>
      <c r="E48" s="50">
        <v>1</v>
      </c>
      <c r="F48" s="50">
        <v>2</v>
      </c>
      <c r="G48" s="50">
        <v>0</v>
      </c>
      <c r="H48" s="50">
        <v>0</v>
      </c>
      <c r="I48" s="50">
        <v>5</v>
      </c>
      <c r="J48" s="50">
        <v>4</v>
      </c>
      <c r="K48" s="50">
        <v>0</v>
      </c>
      <c r="L48" s="50">
        <v>0</v>
      </c>
      <c r="M48" s="50">
        <v>72</v>
      </c>
      <c r="N48" s="50">
        <v>0</v>
      </c>
      <c r="O48" s="15">
        <f t="shared" si="0"/>
        <v>18</v>
      </c>
      <c r="P48" s="15">
        <f t="shared" si="1"/>
        <v>90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2</v>
      </c>
      <c r="E49" s="50">
        <v>0</v>
      </c>
      <c r="F49" s="50">
        <v>6</v>
      </c>
      <c r="G49" s="50">
        <v>0</v>
      </c>
      <c r="H49" s="50">
        <v>0</v>
      </c>
      <c r="I49" s="50">
        <v>4</v>
      </c>
      <c r="J49" s="50">
        <v>3</v>
      </c>
      <c r="K49" s="50">
        <v>0</v>
      </c>
      <c r="L49" s="50">
        <v>0</v>
      </c>
      <c r="M49" s="50">
        <v>30</v>
      </c>
      <c r="N49" s="50">
        <v>0</v>
      </c>
      <c r="O49" s="15">
        <f t="shared" si="0"/>
        <v>20</v>
      </c>
      <c r="P49" s="15">
        <f t="shared" si="1"/>
        <v>50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3</v>
      </c>
      <c r="E50" s="50">
        <v>0</v>
      </c>
      <c r="F50" s="50">
        <v>2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15</v>
      </c>
      <c r="P50" s="15">
        <f t="shared" si="1"/>
        <v>55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5</v>
      </c>
      <c r="E51" s="50">
        <v>1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29</v>
      </c>
      <c r="N51" s="50">
        <v>0</v>
      </c>
      <c r="O51" s="15">
        <f t="shared" si="0"/>
        <v>11</v>
      </c>
      <c r="P51" s="15">
        <f t="shared" si="1"/>
        <v>40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5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6</v>
      </c>
      <c r="K52" s="50">
        <v>1</v>
      </c>
      <c r="L52" s="50">
        <v>0</v>
      </c>
      <c r="M52" s="50">
        <v>40</v>
      </c>
      <c r="N52" s="50">
        <v>0</v>
      </c>
      <c r="O52" s="15">
        <f t="shared" si="0"/>
        <v>14</v>
      </c>
      <c r="P52" s="15">
        <f t="shared" si="1"/>
        <v>54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2</v>
      </c>
      <c r="E53" s="50">
        <v>1</v>
      </c>
      <c r="F53" s="50">
        <v>2</v>
      </c>
      <c r="G53" s="50">
        <v>0</v>
      </c>
      <c r="H53" s="50">
        <v>0</v>
      </c>
      <c r="I53" s="50">
        <v>2</v>
      </c>
      <c r="J53" s="50">
        <v>3</v>
      </c>
      <c r="K53" s="50">
        <v>0</v>
      </c>
      <c r="L53" s="50">
        <v>0</v>
      </c>
      <c r="M53" s="50">
        <v>19</v>
      </c>
      <c r="N53" s="50">
        <v>0</v>
      </c>
      <c r="O53" s="15">
        <f t="shared" si="0"/>
        <v>12</v>
      </c>
      <c r="P53" s="15">
        <f t="shared" si="1"/>
        <v>31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4</v>
      </c>
      <c r="E54" s="50">
        <v>0</v>
      </c>
      <c r="F54" s="50">
        <v>2</v>
      </c>
      <c r="G54" s="50">
        <v>0</v>
      </c>
      <c r="H54" s="50">
        <v>0</v>
      </c>
      <c r="I54" s="50">
        <v>4</v>
      </c>
      <c r="J54" s="50">
        <v>3</v>
      </c>
      <c r="K54" s="50">
        <v>0</v>
      </c>
      <c r="L54" s="50">
        <v>0</v>
      </c>
      <c r="M54" s="50">
        <v>27</v>
      </c>
      <c r="N54" s="50">
        <v>0</v>
      </c>
      <c r="O54" s="15">
        <f t="shared" si="0"/>
        <v>18</v>
      </c>
      <c r="P54" s="15">
        <f t="shared" si="1"/>
        <v>45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3</v>
      </c>
      <c r="E55" s="50">
        <v>0</v>
      </c>
      <c r="F55" s="50">
        <v>5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24</v>
      </c>
      <c r="N55" s="50">
        <v>0</v>
      </c>
      <c r="O55" s="15">
        <f t="shared" si="0"/>
        <v>17</v>
      </c>
      <c r="P55" s="15">
        <f t="shared" si="1"/>
        <v>41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2</v>
      </c>
      <c r="E56" s="50">
        <v>1</v>
      </c>
      <c r="F56" s="50">
        <v>2</v>
      </c>
      <c r="G56" s="50">
        <v>1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35</v>
      </c>
      <c r="N56" s="50">
        <v>0</v>
      </c>
      <c r="O56" s="15">
        <f t="shared" si="0"/>
        <v>12</v>
      </c>
      <c r="P56" s="15">
        <f t="shared" si="1"/>
        <v>47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2</v>
      </c>
      <c r="E57" s="50">
        <v>2</v>
      </c>
      <c r="F57" s="50">
        <v>3</v>
      </c>
      <c r="G57" s="50">
        <v>0</v>
      </c>
      <c r="H57" s="50">
        <v>0</v>
      </c>
      <c r="I57" s="50">
        <v>4</v>
      </c>
      <c r="J57" s="50">
        <v>3</v>
      </c>
      <c r="K57" s="50">
        <v>1</v>
      </c>
      <c r="L57" s="50">
        <v>0</v>
      </c>
      <c r="M57" s="50">
        <v>38</v>
      </c>
      <c r="N57" s="50">
        <v>0</v>
      </c>
      <c r="O57" s="15">
        <f t="shared" si="0"/>
        <v>21</v>
      </c>
      <c r="P57" s="15">
        <f t="shared" si="1"/>
        <v>59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177</v>
      </c>
      <c r="D58" s="16">
        <f t="shared" si="21"/>
        <v>66</v>
      </c>
      <c r="E58" s="16">
        <f t="shared" si="21"/>
        <v>29</v>
      </c>
      <c r="F58" s="16">
        <f t="shared" si="21"/>
        <v>95</v>
      </c>
      <c r="G58" s="16">
        <f t="shared" si="21"/>
        <v>3</v>
      </c>
      <c r="H58" s="16">
        <f t="shared" si="21"/>
        <v>1</v>
      </c>
      <c r="I58" s="16">
        <f t="shared" si="21"/>
        <v>79</v>
      </c>
      <c r="J58" s="16">
        <f t="shared" si="21"/>
        <v>82</v>
      </c>
      <c r="K58" s="16">
        <f t="shared" si="21"/>
        <v>8</v>
      </c>
      <c r="L58" s="16">
        <f t="shared" si="21"/>
        <v>12</v>
      </c>
      <c r="M58" s="16">
        <f t="shared" si="21"/>
        <v>1963</v>
      </c>
      <c r="N58" s="16">
        <f t="shared" si="21"/>
        <v>6</v>
      </c>
      <c r="O58" s="16">
        <f t="shared" si="21"/>
        <v>558</v>
      </c>
      <c r="P58" s="16">
        <f t="shared" si="21"/>
        <v>2521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7.0210234034113445E-2</v>
      </c>
      <c r="D59" s="43">
        <f t="shared" si="22"/>
        <v>2.6180087266957558E-2</v>
      </c>
      <c r="E59" s="43">
        <f t="shared" si="22"/>
        <v>1.1503371677905593E-2</v>
      </c>
      <c r="F59" s="43">
        <f t="shared" si="22"/>
        <v>3.7683458944863149E-2</v>
      </c>
      <c r="G59" s="43">
        <f t="shared" si="22"/>
        <v>1.1900039666798889E-3</v>
      </c>
      <c r="H59" s="43">
        <f t="shared" si="22"/>
        <v>3.9666798889329631E-4</v>
      </c>
      <c r="I59" s="43">
        <f t="shared" si="22"/>
        <v>3.1336771122570412E-2</v>
      </c>
      <c r="J59" s="43">
        <f t="shared" si="22"/>
        <v>3.2526775089250295E-2</v>
      </c>
      <c r="K59" s="43">
        <f t="shared" si="22"/>
        <v>3.1733439111463705E-3</v>
      </c>
      <c r="L59" s="43">
        <f t="shared" si="22"/>
        <v>4.7600158667195558E-3</v>
      </c>
      <c r="M59" s="43">
        <f t="shared" si="22"/>
        <v>0.77865926219754067</v>
      </c>
      <c r="N59" s="43">
        <f t="shared" si="22"/>
        <v>2.3800079333597779E-3</v>
      </c>
      <c r="R59" s="8"/>
      <c r="T59"/>
    </row>
    <row r="60" spans="2:20" ht="23.1" customHeight="1" x14ac:dyDescent="0.25">
      <c r="B60" s="42" t="s">
        <v>94</v>
      </c>
      <c r="C60" s="44">
        <f>C58/$O$58</f>
        <v>0.31720430107526881</v>
      </c>
      <c r="D60" s="44">
        <f t="shared" ref="D60:N60" si="23">D58/$O$58</f>
        <v>0.11827956989247312</v>
      </c>
      <c r="E60" s="44">
        <f t="shared" si="23"/>
        <v>5.197132616487455E-2</v>
      </c>
      <c r="F60" s="44">
        <f t="shared" si="23"/>
        <v>0.17025089605734767</v>
      </c>
      <c r="G60" s="44">
        <f t="shared" si="23"/>
        <v>5.3763440860215058E-3</v>
      </c>
      <c r="H60" s="44">
        <f t="shared" si="23"/>
        <v>1.7921146953405018E-3</v>
      </c>
      <c r="I60" s="44">
        <f t="shared" si="23"/>
        <v>0.14157706093189965</v>
      </c>
      <c r="J60" s="44">
        <f t="shared" si="23"/>
        <v>0.14695340501792115</v>
      </c>
      <c r="K60" s="44">
        <f t="shared" si="23"/>
        <v>1.4336917562724014E-2</v>
      </c>
      <c r="L60" s="44">
        <f t="shared" si="23"/>
        <v>2.1505376344086023E-2</v>
      </c>
      <c r="M60" s="44"/>
      <c r="N60" s="44">
        <f t="shared" si="23"/>
        <v>1.0752688172043012E-2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B44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3" t="str">
        <f>'23.08 Lumino-Musita-24h'!G5:H5</f>
        <v>Musita</v>
      </c>
      <c r="H5" s="64"/>
      <c r="I5" s="14"/>
      <c r="J5" s="2" t="s">
        <v>5</v>
      </c>
      <c r="K5" s="63" t="str">
        <f>'22.08 Musita-Lumino'!K5:L5</f>
        <v>Nusulah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Musita-Lumino'!D6:E6</f>
        <v>Musita</v>
      </c>
      <c r="E6" s="64"/>
      <c r="F6" s="2" t="s">
        <v>2</v>
      </c>
      <c r="G6" s="63" t="str">
        <f>'22.08 Musita-Lumino'!G6:H6</f>
        <v>Lumino</v>
      </c>
      <c r="H6" s="64"/>
      <c r="J6" s="2" t="s">
        <v>21</v>
      </c>
      <c r="K6" s="63" t="str">
        <f>'23.08 Lumino-Musita-24h'!K6:L6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4</v>
      </c>
      <c r="K10" s="50">
        <v>3</v>
      </c>
      <c r="L10" s="50">
        <v>0</v>
      </c>
      <c r="M10" s="50">
        <v>15</v>
      </c>
      <c r="N10" s="50">
        <v>0</v>
      </c>
      <c r="O10" s="15">
        <f t="shared" ref="O10:O73" si="0">SUM(C10:L10,N10)</f>
        <v>14</v>
      </c>
      <c r="P10" s="15">
        <f t="shared" ref="P10:P73" si="1">SUM(C10:N10)</f>
        <v>29</v>
      </c>
      <c r="R10" s="1" t="s">
        <v>6</v>
      </c>
      <c r="S10" s="17">
        <f t="shared" ref="S10:AF10" si="2">SUM(C10:C13)</f>
        <v>11</v>
      </c>
      <c r="T10" s="17">
        <f t="shared" si="2"/>
        <v>4</v>
      </c>
      <c r="U10" s="17">
        <f t="shared" si="2"/>
        <v>5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14</v>
      </c>
      <c r="AA10" s="17">
        <f t="shared" si="2"/>
        <v>7</v>
      </c>
      <c r="AB10" s="17">
        <f t="shared" si="2"/>
        <v>0</v>
      </c>
      <c r="AC10" s="17">
        <f t="shared" si="2"/>
        <v>127</v>
      </c>
      <c r="AD10" s="17">
        <f t="shared" si="2"/>
        <v>0</v>
      </c>
      <c r="AE10" s="31">
        <f t="shared" si="2"/>
        <v>51</v>
      </c>
      <c r="AF10" s="31">
        <f t="shared" si="2"/>
        <v>178</v>
      </c>
    </row>
    <row r="11" spans="2:32" s="6" customFormat="1" ht="23.1" customHeight="1" x14ac:dyDescent="0.25">
      <c r="B11" s="45" t="s">
        <v>38</v>
      </c>
      <c r="C11" s="50">
        <v>4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0</v>
      </c>
      <c r="J11" s="50">
        <v>5</v>
      </c>
      <c r="K11" s="50">
        <v>1</v>
      </c>
      <c r="L11" s="50">
        <v>0</v>
      </c>
      <c r="M11" s="50">
        <v>29</v>
      </c>
      <c r="N11" s="50">
        <v>0</v>
      </c>
      <c r="O11" s="15">
        <f t="shared" si="0"/>
        <v>13</v>
      </c>
      <c r="P11" s="15">
        <f t="shared" si="1"/>
        <v>42</v>
      </c>
      <c r="R11" s="1" t="s">
        <v>7</v>
      </c>
      <c r="S11" s="17">
        <f t="shared" ref="S11:AF11" si="3">SUM(C14:C17)</f>
        <v>15</v>
      </c>
      <c r="T11" s="17">
        <f t="shared" si="3"/>
        <v>13</v>
      </c>
      <c r="U11" s="17">
        <f t="shared" si="3"/>
        <v>2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15</v>
      </c>
      <c r="AA11" s="17">
        <f t="shared" si="3"/>
        <v>1</v>
      </c>
      <c r="AB11" s="17">
        <f t="shared" si="3"/>
        <v>1</v>
      </c>
      <c r="AC11" s="17">
        <f t="shared" si="3"/>
        <v>167</v>
      </c>
      <c r="AD11" s="17">
        <f t="shared" si="3"/>
        <v>1</v>
      </c>
      <c r="AE11" s="31">
        <f t="shared" si="3"/>
        <v>57</v>
      </c>
      <c r="AF11" s="31">
        <f t="shared" si="3"/>
        <v>224</v>
      </c>
    </row>
    <row r="12" spans="2:32" ht="23.1" customHeight="1" x14ac:dyDescent="0.25">
      <c r="B12" s="45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2</v>
      </c>
      <c r="J12" s="50">
        <v>4</v>
      </c>
      <c r="K12" s="50">
        <v>2</v>
      </c>
      <c r="L12" s="50">
        <v>0</v>
      </c>
      <c r="M12" s="50">
        <v>41</v>
      </c>
      <c r="N12" s="50">
        <v>0</v>
      </c>
      <c r="O12" s="15">
        <f t="shared" si="0"/>
        <v>9</v>
      </c>
      <c r="P12" s="15">
        <f t="shared" si="1"/>
        <v>50</v>
      </c>
      <c r="R12" s="1" t="s">
        <v>8</v>
      </c>
      <c r="S12" s="17">
        <f t="shared" ref="S12:AF12" si="4">SUM(C18:C21)</f>
        <v>16</v>
      </c>
      <c r="T12" s="17">
        <f t="shared" si="4"/>
        <v>8</v>
      </c>
      <c r="U12" s="17">
        <f t="shared" si="4"/>
        <v>4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10</v>
      </c>
      <c r="AA12" s="17">
        <f t="shared" si="4"/>
        <v>5</v>
      </c>
      <c r="AB12" s="17">
        <f t="shared" si="4"/>
        <v>0</v>
      </c>
      <c r="AC12" s="17">
        <f t="shared" si="4"/>
        <v>117</v>
      </c>
      <c r="AD12" s="17">
        <f t="shared" si="4"/>
        <v>0</v>
      </c>
      <c r="AE12" s="31">
        <f t="shared" si="4"/>
        <v>49</v>
      </c>
      <c r="AF12" s="31">
        <f t="shared" si="4"/>
        <v>166</v>
      </c>
    </row>
    <row r="13" spans="2:32" ht="23.1" customHeight="1" x14ac:dyDescent="0.25">
      <c r="B13" s="45" t="s">
        <v>40</v>
      </c>
      <c r="C13" s="50">
        <v>3</v>
      </c>
      <c r="D13" s="50">
        <v>1</v>
      </c>
      <c r="E13" s="50">
        <v>3</v>
      </c>
      <c r="F13" s="50">
        <v>1</v>
      </c>
      <c r="G13" s="50">
        <v>0</v>
      </c>
      <c r="H13" s="50">
        <v>0</v>
      </c>
      <c r="I13" s="50">
        <v>5</v>
      </c>
      <c r="J13" s="50">
        <v>1</v>
      </c>
      <c r="K13" s="50">
        <v>1</v>
      </c>
      <c r="L13" s="50">
        <v>0</v>
      </c>
      <c r="M13" s="50">
        <v>42</v>
      </c>
      <c r="N13" s="50">
        <v>0</v>
      </c>
      <c r="O13" s="15">
        <f t="shared" si="0"/>
        <v>15</v>
      </c>
      <c r="P13" s="15">
        <f t="shared" si="1"/>
        <v>57</v>
      </c>
      <c r="R13" s="1" t="s">
        <v>9</v>
      </c>
      <c r="S13" s="17">
        <f t="shared" ref="S13:AF13" si="5">SUM(C22:C25)</f>
        <v>17</v>
      </c>
      <c r="T13" s="17">
        <f t="shared" si="5"/>
        <v>6</v>
      </c>
      <c r="U13" s="17">
        <f t="shared" si="5"/>
        <v>3</v>
      </c>
      <c r="V13" s="17">
        <f t="shared" si="5"/>
        <v>5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11</v>
      </c>
      <c r="AA13" s="17">
        <f t="shared" si="5"/>
        <v>1</v>
      </c>
      <c r="AB13" s="17">
        <f t="shared" si="5"/>
        <v>0</v>
      </c>
      <c r="AC13" s="17">
        <f t="shared" si="5"/>
        <v>116</v>
      </c>
      <c r="AD13" s="17">
        <f t="shared" si="5"/>
        <v>0</v>
      </c>
      <c r="AE13" s="31">
        <f t="shared" si="5"/>
        <v>53</v>
      </c>
      <c r="AF13" s="31">
        <f t="shared" si="5"/>
        <v>169</v>
      </c>
    </row>
    <row r="14" spans="2:32" ht="23.1" customHeight="1" x14ac:dyDescent="0.25">
      <c r="B14" s="45" t="s">
        <v>41</v>
      </c>
      <c r="C14" s="50">
        <v>2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4</v>
      </c>
      <c r="K14" s="50">
        <v>0</v>
      </c>
      <c r="L14" s="50">
        <v>0</v>
      </c>
      <c r="M14" s="50">
        <v>42</v>
      </c>
      <c r="N14" s="50">
        <v>0</v>
      </c>
      <c r="O14" s="15">
        <f t="shared" si="0"/>
        <v>8</v>
      </c>
      <c r="P14" s="15">
        <f t="shared" si="1"/>
        <v>50</v>
      </c>
      <c r="R14" s="1" t="s">
        <v>10</v>
      </c>
      <c r="S14" s="17">
        <f t="shared" ref="S14:AF14" si="6">SUM(C26:C29)</f>
        <v>26</v>
      </c>
      <c r="T14" s="17">
        <f t="shared" si="6"/>
        <v>2</v>
      </c>
      <c r="U14" s="17">
        <f t="shared" si="6"/>
        <v>7</v>
      </c>
      <c r="V14" s="17">
        <f t="shared" si="6"/>
        <v>8</v>
      </c>
      <c r="W14" s="17">
        <f t="shared" si="6"/>
        <v>1</v>
      </c>
      <c r="X14" s="17">
        <f t="shared" si="6"/>
        <v>0</v>
      </c>
      <c r="Y14" s="17">
        <f t="shared" si="6"/>
        <v>8</v>
      </c>
      <c r="Z14" s="17">
        <f t="shared" si="6"/>
        <v>6</v>
      </c>
      <c r="AA14" s="17">
        <f t="shared" si="6"/>
        <v>1</v>
      </c>
      <c r="AB14" s="17">
        <f t="shared" si="6"/>
        <v>4</v>
      </c>
      <c r="AC14" s="17">
        <f t="shared" si="6"/>
        <v>289</v>
      </c>
      <c r="AD14" s="17">
        <f t="shared" si="6"/>
        <v>1</v>
      </c>
      <c r="AE14" s="31">
        <f t="shared" si="6"/>
        <v>64</v>
      </c>
      <c r="AF14" s="31">
        <f t="shared" si="6"/>
        <v>353</v>
      </c>
    </row>
    <row r="15" spans="2:32" ht="23.1" customHeight="1" x14ac:dyDescent="0.25">
      <c r="B15" s="45" t="s">
        <v>42</v>
      </c>
      <c r="C15" s="50">
        <v>3</v>
      </c>
      <c r="D15" s="50">
        <v>1</v>
      </c>
      <c r="E15" s="50">
        <v>1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1</v>
      </c>
      <c r="M15" s="50">
        <v>37</v>
      </c>
      <c r="N15" s="50">
        <v>1</v>
      </c>
      <c r="O15" s="15">
        <f t="shared" si="0"/>
        <v>9</v>
      </c>
      <c r="P15" s="15">
        <f t="shared" si="1"/>
        <v>46</v>
      </c>
      <c r="R15" s="1" t="s">
        <v>11</v>
      </c>
      <c r="S15" s="17">
        <f t="shared" ref="S15:AF15" si="7">SUM(C30:C33)</f>
        <v>28</v>
      </c>
      <c r="T15" s="17">
        <f t="shared" si="7"/>
        <v>4</v>
      </c>
      <c r="U15" s="17">
        <f t="shared" si="7"/>
        <v>3</v>
      </c>
      <c r="V15" s="17">
        <f t="shared" si="7"/>
        <v>10</v>
      </c>
      <c r="W15" s="17">
        <f t="shared" si="7"/>
        <v>1</v>
      </c>
      <c r="X15" s="17">
        <f t="shared" si="7"/>
        <v>0</v>
      </c>
      <c r="Y15" s="17">
        <f t="shared" si="7"/>
        <v>6</v>
      </c>
      <c r="Z15" s="17">
        <f t="shared" si="7"/>
        <v>3</v>
      </c>
      <c r="AA15" s="17">
        <f t="shared" si="7"/>
        <v>1</v>
      </c>
      <c r="AB15" s="17">
        <f t="shared" si="7"/>
        <v>2</v>
      </c>
      <c r="AC15" s="17">
        <f t="shared" si="7"/>
        <v>233</v>
      </c>
      <c r="AD15" s="17">
        <f t="shared" si="7"/>
        <v>1</v>
      </c>
      <c r="AE15" s="31">
        <f t="shared" si="7"/>
        <v>59</v>
      </c>
      <c r="AF15" s="31">
        <f t="shared" si="7"/>
        <v>292</v>
      </c>
    </row>
    <row r="16" spans="2:32" ht="23.1" customHeight="1" x14ac:dyDescent="0.25">
      <c r="B16" s="45" t="s">
        <v>43</v>
      </c>
      <c r="C16" s="50">
        <v>8</v>
      </c>
      <c r="D16" s="50">
        <v>7</v>
      </c>
      <c r="E16" s="50">
        <v>0</v>
      </c>
      <c r="F16" s="50">
        <v>0</v>
      </c>
      <c r="G16" s="50">
        <v>0</v>
      </c>
      <c r="H16" s="50">
        <v>0</v>
      </c>
      <c r="I16" s="50">
        <v>3</v>
      </c>
      <c r="J16" s="50">
        <v>7</v>
      </c>
      <c r="K16" s="50">
        <v>0</v>
      </c>
      <c r="L16" s="50">
        <v>0</v>
      </c>
      <c r="M16" s="50">
        <v>55</v>
      </c>
      <c r="N16" s="50">
        <v>0</v>
      </c>
      <c r="O16" s="15">
        <f t="shared" si="0"/>
        <v>25</v>
      </c>
      <c r="P16" s="15">
        <f t="shared" si="1"/>
        <v>80</v>
      </c>
      <c r="R16" s="1" t="s">
        <v>12</v>
      </c>
      <c r="S16" s="17">
        <f t="shared" ref="S16:AF16" si="8">SUM(C34:C37)</f>
        <v>19</v>
      </c>
      <c r="T16" s="17">
        <f t="shared" si="8"/>
        <v>5</v>
      </c>
      <c r="U16" s="17">
        <f t="shared" si="8"/>
        <v>3</v>
      </c>
      <c r="V16" s="17">
        <f t="shared" si="8"/>
        <v>6</v>
      </c>
      <c r="W16" s="17">
        <f t="shared" si="8"/>
        <v>2</v>
      </c>
      <c r="X16" s="17">
        <f t="shared" si="8"/>
        <v>2</v>
      </c>
      <c r="Y16" s="17">
        <f t="shared" si="8"/>
        <v>11</v>
      </c>
      <c r="Z16" s="17">
        <f t="shared" si="8"/>
        <v>6</v>
      </c>
      <c r="AA16" s="17">
        <f t="shared" si="8"/>
        <v>3</v>
      </c>
      <c r="AB16" s="17">
        <f t="shared" si="8"/>
        <v>8</v>
      </c>
      <c r="AC16" s="17">
        <f t="shared" si="8"/>
        <v>216</v>
      </c>
      <c r="AD16" s="17">
        <f t="shared" si="8"/>
        <v>2</v>
      </c>
      <c r="AE16" s="31">
        <f t="shared" si="8"/>
        <v>67</v>
      </c>
      <c r="AF16" s="31">
        <f t="shared" si="8"/>
        <v>283</v>
      </c>
    </row>
    <row r="17" spans="2:32" ht="23.1" customHeight="1" x14ac:dyDescent="0.25">
      <c r="B17" s="45" t="s">
        <v>44</v>
      </c>
      <c r="C17" s="50">
        <v>2</v>
      </c>
      <c r="D17" s="50">
        <v>4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4</v>
      </c>
      <c r="K17" s="50">
        <v>1</v>
      </c>
      <c r="L17" s="50">
        <v>0</v>
      </c>
      <c r="M17" s="50">
        <v>33</v>
      </c>
      <c r="N17" s="50">
        <v>0</v>
      </c>
      <c r="O17" s="15">
        <f t="shared" si="0"/>
        <v>15</v>
      </c>
      <c r="P17" s="15">
        <f t="shared" si="1"/>
        <v>48</v>
      </c>
      <c r="R17" s="1" t="s">
        <v>13</v>
      </c>
      <c r="S17" s="17">
        <f t="shared" ref="S17:AF17" si="9">SUM(C38:C41)</f>
        <v>12</v>
      </c>
      <c r="T17" s="17">
        <f t="shared" si="9"/>
        <v>5</v>
      </c>
      <c r="U17" s="17">
        <f t="shared" si="9"/>
        <v>2</v>
      </c>
      <c r="V17" s="17">
        <f t="shared" si="9"/>
        <v>6</v>
      </c>
      <c r="W17" s="17">
        <f t="shared" si="9"/>
        <v>1</v>
      </c>
      <c r="X17" s="17">
        <f t="shared" si="9"/>
        <v>0</v>
      </c>
      <c r="Y17" s="17">
        <f t="shared" si="9"/>
        <v>5</v>
      </c>
      <c r="Z17" s="17">
        <f t="shared" si="9"/>
        <v>8</v>
      </c>
      <c r="AA17" s="17">
        <f t="shared" si="9"/>
        <v>1</v>
      </c>
      <c r="AB17" s="17">
        <f t="shared" si="9"/>
        <v>0</v>
      </c>
      <c r="AC17" s="17">
        <f t="shared" si="9"/>
        <v>153</v>
      </c>
      <c r="AD17" s="17">
        <f t="shared" si="9"/>
        <v>0</v>
      </c>
      <c r="AE17" s="31">
        <f t="shared" si="9"/>
        <v>40</v>
      </c>
      <c r="AF17" s="31">
        <f t="shared" si="9"/>
        <v>193</v>
      </c>
    </row>
    <row r="18" spans="2:32" ht="23.1" customHeight="1" x14ac:dyDescent="0.25">
      <c r="B18" s="45" t="s">
        <v>45</v>
      </c>
      <c r="C18" s="50">
        <v>4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2</v>
      </c>
      <c r="K18" s="50">
        <v>0</v>
      </c>
      <c r="L18" s="50">
        <v>0</v>
      </c>
      <c r="M18" s="50">
        <v>19</v>
      </c>
      <c r="N18" s="50">
        <v>0</v>
      </c>
      <c r="O18" s="15">
        <f t="shared" si="0"/>
        <v>8</v>
      </c>
      <c r="P18" s="15">
        <f t="shared" si="1"/>
        <v>27</v>
      </c>
      <c r="R18" s="1" t="s">
        <v>14</v>
      </c>
      <c r="S18" s="17">
        <f t="shared" ref="S18:AF18" si="10">SUM(C42:C45)</f>
        <v>16</v>
      </c>
      <c r="T18" s="17">
        <f t="shared" si="10"/>
        <v>4</v>
      </c>
      <c r="U18" s="17">
        <f t="shared" si="10"/>
        <v>2</v>
      </c>
      <c r="V18" s="17">
        <f t="shared" si="10"/>
        <v>7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19</v>
      </c>
      <c r="AA18" s="17">
        <f t="shared" si="10"/>
        <v>0</v>
      </c>
      <c r="AB18" s="17">
        <f t="shared" si="10"/>
        <v>1</v>
      </c>
      <c r="AC18" s="17">
        <f t="shared" si="10"/>
        <v>156</v>
      </c>
      <c r="AD18" s="17">
        <f t="shared" si="10"/>
        <v>0</v>
      </c>
      <c r="AE18" s="31">
        <f t="shared" si="10"/>
        <v>60</v>
      </c>
      <c r="AF18" s="31">
        <f t="shared" si="10"/>
        <v>216</v>
      </c>
    </row>
    <row r="19" spans="2:32" ht="23.1" customHeight="1" x14ac:dyDescent="0.25">
      <c r="B19" s="45" t="s">
        <v>46</v>
      </c>
      <c r="C19" s="50">
        <v>3</v>
      </c>
      <c r="D19" s="50">
        <v>1</v>
      </c>
      <c r="E19" s="50">
        <v>0</v>
      </c>
      <c r="F19" s="50">
        <v>2</v>
      </c>
      <c r="G19" s="50">
        <v>0</v>
      </c>
      <c r="H19" s="50">
        <v>0</v>
      </c>
      <c r="I19" s="50">
        <v>1</v>
      </c>
      <c r="J19" s="50">
        <v>2</v>
      </c>
      <c r="K19" s="50">
        <v>1</v>
      </c>
      <c r="L19" s="50">
        <v>0</v>
      </c>
      <c r="M19" s="50">
        <v>32</v>
      </c>
      <c r="N19" s="50">
        <v>0</v>
      </c>
      <c r="O19" s="15">
        <f t="shared" si="0"/>
        <v>10</v>
      </c>
      <c r="P19" s="15">
        <f t="shared" si="1"/>
        <v>42</v>
      </c>
      <c r="R19" s="1" t="s">
        <v>15</v>
      </c>
      <c r="S19" s="17">
        <f t="shared" ref="S19:AF19" si="11">SUM(C46:C49)</f>
        <v>8</v>
      </c>
      <c r="T19" s="17">
        <f t="shared" si="11"/>
        <v>5</v>
      </c>
      <c r="U19" s="17">
        <f t="shared" si="11"/>
        <v>2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16</v>
      </c>
      <c r="Z19" s="17">
        <f t="shared" si="11"/>
        <v>8</v>
      </c>
      <c r="AA19" s="17">
        <f t="shared" si="11"/>
        <v>5</v>
      </c>
      <c r="AB19" s="17">
        <f t="shared" si="11"/>
        <v>0</v>
      </c>
      <c r="AC19" s="17">
        <f t="shared" si="11"/>
        <v>153</v>
      </c>
      <c r="AD19" s="17">
        <f t="shared" si="11"/>
        <v>1</v>
      </c>
      <c r="AE19" s="31">
        <f t="shared" si="11"/>
        <v>53</v>
      </c>
      <c r="AF19" s="31">
        <f t="shared" si="11"/>
        <v>206</v>
      </c>
    </row>
    <row r="20" spans="2:32" ht="23.1" customHeight="1" x14ac:dyDescent="0.25">
      <c r="B20" s="45" t="s">
        <v>47</v>
      </c>
      <c r="C20" s="50">
        <v>5</v>
      </c>
      <c r="D20" s="50">
        <v>2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3</v>
      </c>
      <c r="K20" s="50">
        <v>2</v>
      </c>
      <c r="L20" s="50">
        <v>0</v>
      </c>
      <c r="M20" s="50">
        <v>36</v>
      </c>
      <c r="N20" s="50">
        <v>0</v>
      </c>
      <c r="O20" s="15">
        <f t="shared" si="0"/>
        <v>14</v>
      </c>
      <c r="P20" s="15">
        <f t="shared" si="1"/>
        <v>50</v>
      </c>
      <c r="R20" s="1" t="s">
        <v>16</v>
      </c>
      <c r="S20" s="17">
        <f t="shared" ref="S20:AF20" si="12">SUM(C50:C53)</f>
        <v>9</v>
      </c>
      <c r="T20" s="17">
        <f t="shared" si="12"/>
        <v>4</v>
      </c>
      <c r="U20" s="17">
        <f t="shared" si="12"/>
        <v>2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9</v>
      </c>
      <c r="AA20" s="17">
        <f t="shared" si="12"/>
        <v>2</v>
      </c>
      <c r="AB20" s="17">
        <f t="shared" si="12"/>
        <v>1</v>
      </c>
      <c r="AC20" s="17">
        <f t="shared" si="12"/>
        <v>185</v>
      </c>
      <c r="AD20" s="17">
        <f t="shared" si="12"/>
        <v>1</v>
      </c>
      <c r="AE20" s="31">
        <f t="shared" si="12"/>
        <v>37</v>
      </c>
      <c r="AF20" s="31">
        <f t="shared" si="12"/>
        <v>222</v>
      </c>
    </row>
    <row r="21" spans="2:32" ht="23.1" customHeight="1" x14ac:dyDescent="0.25">
      <c r="B21" s="45" t="s">
        <v>48</v>
      </c>
      <c r="C21" s="50">
        <v>4</v>
      </c>
      <c r="D21" s="50">
        <v>4</v>
      </c>
      <c r="E21" s="50">
        <v>1</v>
      </c>
      <c r="F21" s="50">
        <v>0</v>
      </c>
      <c r="G21" s="50">
        <v>0</v>
      </c>
      <c r="H21" s="50">
        <v>0</v>
      </c>
      <c r="I21" s="50">
        <v>3</v>
      </c>
      <c r="J21" s="50">
        <v>3</v>
      </c>
      <c r="K21" s="50">
        <v>2</v>
      </c>
      <c r="L21" s="50">
        <v>0</v>
      </c>
      <c r="M21" s="50">
        <v>30</v>
      </c>
      <c r="N21" s="50">
        <v>0</v>
      </c>
      <c r="O21" s="15">
        <f t="shared" si="0"/>
        <v>17</v>
      </c>
      <c r="P21" s="15">
        <f t="shared" si="1"/>
        <v>47</v>
      </c>
      <c r="R21" s="36" t="s">
        <v>20</v>
      </c>
      <c r="S21" s="34">
        <f t="shared" ref="S21:AF21" si="13">SUM(C54:C57)</f>
        <v>19</v>
      </c>
      <c r="T21" s="17">
        <f t="shared" si="13"/>
        <v>5</v>
      </c>
      <c r="U21" s="17">
        <f t="shared" si="13"/>
        <v>2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10</v>
      </c>
      <c r="AA21" s="17">
        <f t="shared" si="13"/>
        <v>10</v>
      </c>
      <c r="AB21" s="17">
        <f t="shared" si="13"/>
        <v>0</v>
      </c>
      <c r="AC21" s="17">
        <f t="shared" si="13"/>
        <v>187</v>
      </c>
      <c r="AD21" s="17">
        <f t="shared" si="13"/>
        <v>2</v>
      </c>
      <c r="AE21" s="31">
        <f t="shared" si="13"/>
        <v>60</v>
      </c>
      <c r="AF21" s="31">
        <f t="shared" si="13"/>
        <v>247</v>
      </c>
    </row>
    <row r="22" spans="2:32" ht="23.1" customHeight="1" x14ac:dyDescent="0.25">
      <c r="B22" s="45" t="s">
        <v>49</v>
      </c>
      <c r="C22" s="50">
        <v>5</v>
      </c>
      <c r="D22" s="50">
        <v>3</v>
      </c>
      <c r="E22" s="50">
        <v>0</v>
      </c>
      <c r="F22" s="50">
        <v>3</v>
      </c>
      <c r="G22" s="50">
        <v>0</v>
      </c>
      <c r="H22" s="50">
        <v>0</v>
      </c>
      <c r="I22" s="50">
        <v>6</v>
      </c>
      <c r="J22" s="50">
        <v>4</v>
      </c>
      <c r="K22" s="50">
        <v>1</v>
      </c>
      <c r="L22" s="50">
        <v>0</v>
      </c>
      <c r="M22" s="50">
        <v>40</v>
      </c>
      <c r="N22" s="50">
        <v>0</v>
      </c>
      <c r="O22" s="15">
        <f t="shared" si="0"/>
        <v>22</v>
      </c>
      <c r="P22" s="15">
        <f t="shared" si="1"/>
        <v>62</v>
      </c>
      <c r="R22" s="36" t="s">
        <v>146</v>
      </c>
      <c r="S22" s="34">
        <f>SUM(C58:C61)</f>
        <v>24</v>
      </c>
      <c r="T22" s="34">
        <f t="shared" ref="T22:AF22" si="14">SUM(D58:D61)</f>
        <v>7</v>
      </c>
      <c r="U22" s="34">
        <f t="shared" si="14"/>
        <v>6</v>
      </c>
      <c r="V22" s="34">
        <f t="shared" si="14"/>
        <v>12</v>
      </c>
      <c r="W22" s="34">
        <f t="shared" si="14"/>
        <v>1</v>
      </c>
      <c r="X22" s="34">
        <f t="shared" si="14"/>
        <v>0</v>
      </c>
      <c r="Y22" s="34">
        <f t="shared" si="14"/>
        <v>7</v>
      </c>
      <c r="Z22" s="34">
        <f t="shared" si="14"/>
        <v>23</v>
      </c>
      <c r="AA22" s="34">
        <f t="shared" si="14"/>
        <v>8</v>
      </c>
      <c r="AB22" s="34">
        <f t="shared" si="14"/>
        <v>5</v>
      </c>
      <c r="AC22" s="34">
        <f t="shared" si="14"/>
        <v>157</v>
      </c>
      <c r="AD22" s="34">
        <f t="shared" si="14"/>
        <v>3</v>
      </c>
      <c r="AE22" s="31">
        <f t="shared" si="14"/>
        <v>96</v>
      </c>
      <c r="AF22" s="31">
        <f t="shared" si="14"/>
        <v>253</v>
      </c>
    </row>
    <row r="23" spans="2:32" ht="23.1" customHeight="1" x14ac:dyDescent="0.25">
      <c r="B23" s="45" t="s">
        <v>50</v>
      </c>
      <c r="C23" s="50">
        <v>4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5</v>
      </c>
      <c r="K23" s="50">
        <v>0</v>
      </c>
      <c r="L23" s="50">
        <v>0</v>
      </c>
      <c r="M23" s="50">
        <v>28</v>
      </c>
      <c r="N23" s="50">
        <v>0</v>
      </c>
      <c r="O23" s="15">
        <f t="shared" si="0"/>
        <v>10</v>
      </c>
      <c r="P23" s="15">
        <f t="shared" si="1"/>
        <v>38</v>
      </c>
      <c r="R23" s="36" t="s">
        <v>147</v>
      </c>
      <c r="S23" s="34">
        <f>SUM(C62:C65)</f>
        <v>11</v>
      </c>
      <c r="T23" s="34">
        <f t="shared" ref="T23:AF23" si="15">SUM(D62:D65)</f>
        <v>4</v>
      </c>
      <c r="U23" s="34">
        <f t="shared" si="15"/>
        <v>3</v>
      </c>
      <c r="V23" s="34">
        <f t="shared" si="15"/>
        <v>9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3</v>
      </c>
      <c r="AA23" s="34">
        <f t="shared" si="15"/>
        <v>1</v>
      </c>
      <c r="AB23" s="34">
        <f t="shared" si="15"/>
        <v>5</v>
      </c>
      <c r="AC23" s="34">
        <f t="shared" si="15"/>
        <v>93</v>
      </c>
      <c r="AD23" s="34">
        <f t="shared" si="15"/>
        <v>0</v>
      </c>
      <c r="AE23" s="31">
        <f t="shared" si="15"/>
        <v>43</v>
      </c>
      <c r="AF23" s="31">
        <f t="shared" si="15"/>
        <v>136</v>
      </c>
    </row>
    <row r="24" spans="2:32" ht="23.1" customHeight="1" x14ac:dyDescent="0.25">
      <c r="B24" s="45" t="s">
        <v>51</v>
      </c>
      <c r="C24" s="50">
        <v>5</v>
      </c>
      <c r="D24" s="50">
        <v>2</v>
      </c>
      <c r="E24" s="50">
        <v>1</v>
      </c>
      <c r="F24" s="50">
        <v>1</v>
      </c>
      <c r="G24" s="50">
        <v>1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26</v>
      </c>
      <c r="N24" s="50">
        <v>0</v>
      </c>
      <c r="O24" s="15">
        <f t="shared" si="0"/>
        <v>12</v>
      </c>
      <c r="P24" s="15">
        <f t="shared" si="1"/>
        <v>38</v>
      </c>
      <c r="R24" s="36" t="s">
        <v>148</v>
      </c>
      <c r="S24" s="34">
        <f>SUM(C66:C69)</f>
        <v>7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9</v>
      </c>
      <c r="W24" s="34">
        <f t="shared" si="16"/>
        <v>3</v>
      </c>
      <c r="X24" s="34">
        <f t="shared" si="16"/>
        <v>0</v>
      </c>
      <c r="Y24" s="34">
        <f t="shared" si="16"/>
        <v>1</v>
      </c>
      <c r="Z24" s="34">
        <f t="shared" si="16"/>
        <v>3</v>
      </c>
      <c r="AA24" s="34">
        <f t="shared" si="16"/>
        <v>2</v>
      </c>
      <c r="AB24" s="34">
        <f t="shared" si="16"/>
        <v>9</v>
      </c>
      <c r="AC24" s="34">
        <f t="shared" si="16"/>
        <v>56</v>
      </c>
      <c r="AD24" s="34">
        <f t="shared" si="16"/>
        <v>0</v>
      </c>
      <c r="AE24" s="31">
        <f t="shared" si="16"/>
        <v>35</v>
      </c>
      <c r="AF24" s="31">
        <f t="shared" si="16"/>
        <v>91</v>
      </c>
    </row>
    <row r="25" spans="2:32" ht="23.1" customHeight="1" x14ac:dyDescent="0.25">
      <c r="B25" s="45" t="s">
        <v>52</v>
      </c>
      <c r="C25" s="50">
        <v>3</v>
      </c>
      <c r="D25" s="50">
        <v>1</v>
      </c>
      <c r="E25" s="50">
        <v>2</v>
      </c>
      <c r="F25" s="50">
        <v>1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22</v>
      </c>
      <c r="N25" s="50">
        <v>0</v>
      </c>
      <c r="O25" s="15">
        <f t="shared" si="0"/>
        <v>9</v>
      </c>
      <c r="P25" s="15">
        <f t="shared" si="1"/>
        <v>31</v>
      </c>
      <c r="R25" s="36" t="s">
        <v>149</v>
      </c>
      <c r="S25" s="34">
        <f>SUM(C70:C73)</f>
        <v>12</v>
      </c>
      <c r="T25" s="34">
        <f t="shared" ref="T25:AF25" si="17">SUM(D70:D73)</f>
        <v>5</v>
      </c>
      <c r="U25" s="34">
        <f t="shared" si="17"/>
        <v>0</v>
      </c>
      <c r="V25" s="34">
        <f t="shared" si="17"/>
        <v>4</v>
      </c>
      <c r="W25" s="34">
        <f t="shared" si="17"/>
        <v>1</v>
      </c>
      <c r="X25" s="34">
        <f t="shared" si="17"/>
        <v>0</v>
      </c>
      <c r="Y25" s="34">
        <f t="shared" si="17"/>
        <v>2</v>
      </c>
      <c r="Z25" s="34">
        <f t="shared" si="17"/>
        <v>11</v>
      </c>
      <c r="AA25" s="34">
        <f t="shared" si="17"/>
        <v>3</v>
      </c>
      <c r="AB25" s="34">
        <f t="shared" si="17"/>
        <v>0</v>
      </c>
      <c r="AC25" s="34">
        <f t="shared" si="17"/>
        <v>36</v>
      </c>
      <c r="AD25" s="34">
        <f t="shared" si="17"/>
        <v>0</v>
      </c>
      <c r="AE25" s="31">
        <f t="shared" si="17"/>
        <v>38</v>
      </c>
      <c r="AF25" s="31">
        <f t="shared" si="17"/>
        <v>74</v>
      </c>
    </row>
    <row r="26" spans="2:32" ht="23.1" customHeight="1" x14ac:dyDescent="0.25">
      <c r="B26" s="45" t="s">
        <v>53</v>
      </c>
      <c r="C26" s="50">
        <v>12</v>
      </c>
      <c r="D26" s="50">
        <v>0</v>
      </c>
      <c r="E26" s="50">
        <v>1</v>
      </c>
      <c r="F26" s="50">
        <v>1</v>
      </c>
      <c r="G26" s="50">
        <v>1</v>
      </c>
      <c r="H26" s="50">
        <v>0</v>
      </c>
      <c r="I26" s="50">
        <v>3</v>
      </c>
      <c r="J26" s="50">
        <v>2</v>
      </c>
      <c r="K26" s="50">
        <v>0</v>
      </c>
      <c r="L26" s="50">
        <v>1</v>
      </c>
      <c r="M26" s="50">
        <v>87</v>
      </c>
      <c r="N26" s="50">
        <v>0</v>
      </c>
      <c r="O26" s="15">
        <f t="shared" si="0"/>
        <v>21</v>
      </c>
      <c r="P26" s="15">
        <f t="shared" si="1"/>
        <v>108</v>
      </c>
      <c r="R26" s="36" t="s">
        <v>150</v>
      </c>
      <c r="S26" s="34">
        <f>SUM(C74:C77)</f>
        <v>2</v>
      </c>
      <c r="T26" s="34">
        <f t="shared" ref="T26:AF26" si="18">SUM(D74:D77)</f>
        <v>7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4</v>
      </c>
      <c r="AA26" s="34">
        <f t="shared" si="18"/>
        <v>0</v>
      </c>
      <c r="AB26" s="34">
        <f t="shared" si="18"/>
        <v>0</v>
      </c>
      <c r="AC26" s="34">
        <f t="shared" si="18"/>
        <v>28</v>
      </c>
      <c r="AD26" s="34">
        <f t="shared" si="18"/>
        <v>0</v>
      </c>
      <c r="AE26" s="31">
        <f t="shared" si="18"/>
        <v>14</v>
      </c>
      <c r="AF26" s="31">
        <f t="shared" si="18"/>
        <v>42</v>
      </c>
    </row>
    <row r="27" spans="2:32" ht="23.1" customHeight="1" x14ac:dyDescent="0.25">
      <c r="B27" s="45" t="s">
        <v>54</v>
      </c>
      <c r="C27" s="50">
        <v>8</v>
      </c>
      <c r="D27" s="50">
        <v>1</v>
      </c>
      <c r="E27" s="50">
        <v>1</v>
      </c>
      <c r="F27" s="50">
        <v>3</v>
      </c>
      <c r="G27" s="50">
        <v>0</v>
      </c>
      <c r="H27" s="50">
        <v>0</v>
      </c>
      <c r="I27" s="50">
        <v>2</v>
      </c>
      <c r="J27" s="50">
        <v>4</v>
      </c>
      <c r="K27" s="50">
        <v>1</v>
      </c>
      <c r="L27" s="50">
        <v>0</v>
      </c>
      <c r="M27" s="50">
        <v>52</v>
      </c>
      <c r="N27" s="50">
        <v>1</v>
      </c>
      <c r="O27" s="15">
        <f t="shared" si="0"/>
        <v>21</v>
      </c>
      <c r="P27" s="15">
        <f t="shared" si="1"/>
        <v>73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4</v>
      </c>
      <c r="AA27" s="34">
        <f t="shared" si="19"/>
        <v>2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12</v>
      </c>
      <c r="AF27" s="31">
        <f t="shared" si="19"/>
        <v>16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1</v>
      </c>
      <c r="M28" s="50">
        <v>70</v>
      </c>
      <c r="N28" s="50">
        <v>0</v>
      </c>
      <c r="O28" s="15">
        <f t="shared" si="0"/>
        <v>6</v>
      </c>
      <c r="P28" s="15">
        <f t="shared" si="1"/>
        <v>76</v>
      </c>
      <c r="R28" s="36" t="s">
        <v>152</v>
      </c>
      <c r="S28" s="34">
        <f>SUM(C82:C85)</f>
        <v>1</v>
      </c>
      <c r="T28" s="34">
        <f t="shared" ref="T28:AF28" si="20">SUM(D82:D85)</f>
        <v>3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2</v>
      </c>
      <c r="AA28" s="34">
        <f t="shared" si="20"/>
        <v>1</v>
      </c>
      <c r="AB28" s="34">
        <f t="shared" si="20"/>
        <v>1</v>
      </c>
      <c r="AC28" s="34">
        <f t="shared" si="20"/>
        <v>1</v>
      </c>
      <c r="AD28" s="34">
        <f t="shared" si="20"/>
        <v>0</v>
      </c>
      <c r="AE28" s="31">
        <f t="shared" si="20"/>
        <v>12</v>
      </c>
      <c r="AF28" s="31">
        <f t="shared" si="20"/>
        <v>13</v>
      </c>
    </row>
    <row r="29" spans="2:32" ht="23.1" customHeight="1" x14ac:dyDescent="0.25">
      <c r="B29" s="45" t="s">
        <v>56</v>
      </c>
      <c r="C29" s="50">
        <v>3</v>
      </c>
      <c r="D29" s="50">
        <v>1</v>
      </c>
      <c r="E29" s="50">
        <v>4</v>
      </c>
      <c r="F29" s="50">
        <v>3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2</v>
      </c>
      <c r="M29" s="50">
        <v>80</v>
      </c>
      <c r="N29" s="50">
        <v>0</v>
      </c>
      <c r="O29" s="15">
        <f t="shared" si="0"/>
        <v>16</v>
      </c>
      <c r="P29" s="15">
        <f t="shared" si="1"/>
        <v>96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2</v>
      </c>
      <c r="AB29" s="34">
        <f t="shared" si="21"/>
        <v>4</v>
      </c>
      <c r="AC29" s="34">
        <f t="shared" si="21"/>
        <v>0</v>
      </c>
      <c r="AD29" s="34">
        <f t="shared" si="21"/>
        <v>0</v>
      </c>
      <c r="AE29" s="31">
        <f t="shared" si="21"/>
        <v>8</v>
      </c>
      <c r="AF29" s="31">
        <f t="shared" si="21"/>
        <v>8</v>
      </c>
    </row>
    <row r="30" spans="2:32" ht="23.1" customHeight="1" x14ac:dyDescent="0.25">
      <c r="B30" s="45" t="s">
        <v>57</v>
      </c>
      <c r="C30" s="50">
        <v>10</v>
      </c>
      <c r="D30" s="50">
        <v>1</v>
      </c>
      <c r="E30" s="50">
        <v>2</v>
      </c>
      <c r="F30" s="50">
        <v>3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60</v>
      </c>
      <c r="N30" s="50">
        <v>0</v>
      </c>
      <c r="O30" s="15">
        <f t="shared" si="0"/>
        <v>19</v>
      </c>
      <c r="P30" s="15">
        <f t="shared" si="1"/>
        <v>79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4</v>
      </c>
      <c r="AA30" s="34">
        <f t="shared" si="22"/>
        <v>2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7</v>
      </c>
      <c r="D31" s="50">
        <v>1</v>
      </c>
      <c r="E31" s="50">
        <v>1</v>
      </c>
      <c r="F31" s="50">
        <v>2</v>
      </c>
      <c r="G31" s="50">
        <v>1</v>
      </c>
      <c r="H31" s="50">
        <v>0</v>
      </c>
      <c r="I31" s="50">
        <v>1</v>
      </c>
      <c r="J31" s="50">
        <v>2</v>
      </c>
      <c r="K31" s="50">
        <v>0</v>
      </c>
      <c r="L31" s="50">
        <v>0</v>
      </c>
      <c r="M31" s="50">
        <v>50</v>
      </c>
      <c r="N31" s="50">
        <v>1</v>
      </c>
      <c r="O31" s="15">
        <f t="shared" si="0"/>
        <v>16</v>
      </c>
      <c r="P31" s="15">
        <f t="shared" si="1"/>
        <v>66</v>
      </c>
      <c r="R31" s="36" t="s">
        <v>155</v>
      </c>
      <c r="S31" s="34">
        <f>SUM(C94:C97)</f>
        <v>4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3</v>
      </c>
      <c r="AA31" s="34">
        <f t="shared" si="23"/>
        <v>1</v>
      </c>
      <c r="AB31" s="34">
        <f t="shared" si="23"/>
        <v>0</v>
      </c>
      <c r="AC31" s="34">
        <f t="shared" si="23"/>
        <v>8</v>
      </c>
      <c r="AD31" s="34">
        <f t="shared" si="23"/>
        <v>0</v>
      </c>
      <c r="AE31" s="31">
        <f t="shared" si="23"/>
        <v>14</v>
      </c>
      <c r="AF31" s="31">
        <f t="shared" si="23"/>
        <v>22</v>
      </c>
    </row>
    <row r="32" spans="2:32" ht="23.1" customHeight="1" x14ac:dyDescent="0.25">
      <c r="B32" s="46" t="s">
        <v>59</v>
      </c>
      <c r="C32" s="50">
        <v>4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1</v>
      </c>
      <c r="M32" s="50">
        <v>52</v>
      </c>
      <c r="N32" s="50">
        <v>0</v>
      </c>
      <c r="O32" s="15">
        <f t="shared" si="0"/>
        <v>8</v>
      </c>
      <c r="P32" s="15">
        <f t="shared" si="1"/>
        <v>60</v>
      </c>
      <c r="R32" s="33" t="s">
        <v>156</v>
      </c>
      <c r="S32" s="34">
        <f>SUM(C98:C101)</f>
        <v>5</v>
      </c>
      <c r="T32" s="34">
        <f t="shared" ref="T32:AF32" si="24">SUM(D98:D101)</f>
        <v>1</v>
      </c>
      <c r="U32" s="34">
        <f t="shared" si="24"/>
        <v>4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8</v>
      </c>
      <c r="AA32" s="34">
        <f t="shared" si="24"/>
        <v>4</v>
      </c>
      <c r="AB32" s="34">
        <f t="shared" si="24"/>
        <v>0</v>
      </c>
      <c r="AC32" s="34">
        <f t="shared" si="24"/>
        <v>18</v>
      </c>
      <c r="AD32" s="34">
        <f t="shared" si="24"/>
        <v>0</v>
      </c>
      <c r="AE32" s="31">
        <f t="shared" si="24"/>
        <v>23</v>
      </c>
      <c r="AF32" s="31">
        <f t="shared" si="24"/>
        <v>41</v>
      </c>
    </row>
    <row r="33" spans="2:32" ht="23.1" customHeight="1" x14ac:dyDescent="0.25">
      <c r="B33" s="45" t="s">
        <v>60</v>
      </c>
      <c r="C33" s="50">
        <v>7</v>
      </c>
      <c r="D33" s="50">
        <v>1</v>
      </c>
      <c r="E33" s="50">
        <v>0</v>
      </c>
      <c r="F33" s="50">
        <v>4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1</v>
      </c>
      <c r="M33" s="50">
        <v>71</v>
      </c>
      <c r="N33" s="50">
        <v>0</v>
      </c>
      <c r="O33" s="15">
        <f t="shared" si="0"/>
        <v>16</v>
      </c>
      <c r="P33" s="15">
        <f t="shared" si="1"/>
        <v>87</v>
      </c>
      <c r="R33" s="33" t="s">
        <v>157</v>
      </c>
      <c r="S33" s="34">
        <f>SUM(C102:C105)</f>
        <v>10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6</v>
      </c>
      <c r="W33" s="34">
        <f t="shared" si="25"/>
        <v>1</v>
      </c>
      <c r="X33" s="34">
        <f t="shared" si="25"/>
        <v>0</v>
      </c>
      <c r="Y33" s="34">
        <f t="shared" si="25"/>
        <v>7</v>
      </c>
      <c r="Z33" s="34">
        <f t="shared" si="25"/>
        <v>8</v>
      </c>
      <c r="AA33" s="34">
        <f t="shared" si="25"/>
        <v>1</v>
      </c>
      <c r="AB33" s="34">
        <f t="shared" si="25"/>
        <v>3</v>
      </c>
      <c r="AC33" s="34">
        <f t="shared" si="25"/>
        <v>57</v>
      </c>
      <c r="AD33" s="34">
        <f t="shared" si="25"/>
        <v>3</v>
      </c>
      <c r="AE33" s="31">
        <f t="shared" si="25"/>
        <v>46</v>
      </c>
      <c r="AF33" s="31">
        <f t="shared" si="25"/>
        <v>103</v>
      </c>
    </row>
    <row r="34" spans="2:32" ht="23.1" customHeight="1" x14ac:dyDescent="0.25">
      <c r="B34" s="46" t="s">
        <v>61</v>
      </c>
      <c r="C34" s="50">
        <v>6</v>
      </c>
      <c r="D34" s="50">
        <v>1</v>
      </c>
      <c r="E34" s="50">
        <v>2</v>
      </c>
      <c r="F34" s="50">
        <v>0</v>
      </c>
      <c r="G34" s="50">
        <v>1</v>
      </c>
      <c r="H34" s="50">
        <v>0</v>
      </c>
      <c r="I34" s="50">
        <v>6</v>
      </c>
      <c r="J34" s="50">
        <v>1</v>
      </c>
      <c r="K34" s="50">
        <v>0</v>
      </c>
      <c r="L34" s="50">
        <v>1</v>
      </c>
      <c r="M34" s="50">
        <v>63</v>
      </c>
      <c r="N34" s="50">
        <v>0</v>
      </c>
      <c r="O34" s="15">
        <f t="shared" si="0"/>
        <v>18</v>
      </c>
      <c r="P34" s="15">
        <f t="shared" si="1"/>
        <v>81</v>
      </c>
      <c r="R34" s="38" t="s">
        <v>90</v>
      </c>
      <c r="S34" s="39">
        <f t="shared" ref="S34:AF34" si="26">MAX(S10:S12)</f>
        <v>16</v>
      </c>
      <c r="T34" s="39">
        <f t="shared" si="26"/>
        <v>13</v>
      </c>
      <c r="U34" s="39">
        <f t="shared" si="26"/>
        <v>5</v>
      </c>
      <c r="V34" s="39">
        <f t="shared" si="26"/>
        <v>3</v>
      </c>
      <c r="W34" s="39">
        <f t="shared" si="26"/>
        <v>0</v>
      </c>
      <c r="X34" s="39">
        <f t="shared" si="26"/>
        <v>0</v>
      </c>
      <c r="Y34" s="39">
        <f t="shared" si="26"/>
        <v>8</v>
      </c>
      <c r="Z34" s="39">
        <f t="shared" si="26"/>
        <v>15</v>
      </c>
      <c r="AA34" s="39">
        <f t="shared" si="26"/>
        <v>7</v>
      </c>
      <c r="AB34" s="39">
        <f t="shared" si="26"/>
        <v>1</v>
      </c>
      <c r="AC34" s="39">
        <f t="shared" si="26"/>
        <v>167</v>
      </c>
      <c r="AD34" s="39">
        <f t="shared" si="26"/>
        <v>1</v>
      </c>
      <c r="AE34" s="40">
        <f t="shared" si="26"/>
        <v>57</v>
      </c>
      <c r="AF34" s="40">
        <f t="shared" si="26"/>
        <v>224</v>
      </c>
    </row>
    <row r="35" spans="2:32" ht="23.1" customHeight="1" x14ac:dyDescent="0.25">
      <c r="B35" s="46" t="s">
        <v>62</v>
      </c>
      <c r="C35" s="50">
        <v>6</v>
      </c>
      <c r="D35" s="50">
        <v>2</v>
      </c>
      <c r="E35" s="50">
        <v>1</v>
      </c>
      <c r="F35" s="50">
        <v>2</v>
      </c>
      <c r="G35" s="50">
        <v>0</v>
      </c>
      <c r="H35" s="50">
        <v>0</v>
      </c>
      <c r="I35" s="50">
        <v>2</v>
      </c>
      <c r="J35" s="50">
        <v>3</v>
      </c>
      <c r="K35" s="50">
        <v>3</v>
      </c>
      <c r="L35" s="50">
        <v>3</v>
      </c>
      <c r="M35" s="50">
        <v>75</v>
      </c>
      <c r="N35" s="50">
        <v>1</v>
      </c>
      <c r="O35" s="15">
        <f t="shared" si="0"/>
        <v>23</v>
      </c>
      <c r="P35" s="15">
        <f t="shared" si="1"/>
        <v>98</v>
      </c>
      <c r="R35" s="38" t="s">
        <v>91</v>
      </c>
      <c r="S35" s="39">
        <f t="shared" ref="S35:AF35" si="27">MAX(S13:S18)</f>
        <v>28</v>
      </c>
      <c r="T35" s="39">
        <f t="shared" si="27"/>
        <v>6</v>
      </c>
      <c r="U35" s="39">
        <f t="shared" si="27"/>
        <v>7</v>
      </c>
      <c r="V35" s="39">
        <f t="shared" si="27"/>
        <v>10</v>
      </c>
      <c r="W35" s="39">
        <f t="shared" si="27"/>
        <v>2</v>
      </c>
      <c r="X35" s="39">
        <f t="shared" si="27"/>
        <v>2</v>
      </c>
      <c r="Y35" s="39">
        <f t="shared" si="27"/>
        <v>11</v>
      </c>
      <c r="Z35" s="39">
        <f t="shared" si="27"/>
        <v>19</v>
      </c>
      <c r="AA35" s="39">
        <f t="shared" si="27"/>
        <v>3</v>
      </c>
      <c r="AB35" s="39">
        <f t="shared" si="27"/>
        <v>8</v>
      </c>
      <c r="AC35" s="39">
        <f t="shared" si="27"/>
        <v>289</v>
      </c>
      <c r="AD35" s="39">
        <f t="shared" si="27"/>
        <v>2</v>
      </c>
      <c r="AE35" s="40">
        <f t="shared" si="27"/>
        <v>67</v>
      </c>
      <c r="AF35" s="40">
        <f t="shared" si="27"/>
        <v>353</v>
      </c>
    </row>
    <row r="36" spans="2:32" ht="23.1" customHeight="1" x14ac:dyDescent="0.25">
      <c r="B36" s="46" t="s">
        <v>63</v>
      </c>
      <c r="C36" s="50">
        <v>7</v>
      </c>
      <c r="D36" s="50">
        <v>1</v>
      </c>
      <c r="E36" s="50">
        <v>0</v>
      </c>
      <c r="F36" s="50">
        <v>2</v>
      </c>
      <c r="G36" s="50">
        <v>1</v>
      </c>
      <c r="H36" s="50">
        <v>0</v>
      </c>
      <c r="I36" s="50">
        <v>0</v>
      </c>
      <c r="J36" s="50">
        <v>2</v>
      </c>
      <c r="K36" s="50">
        <v>0</v>
      </c>
      <c r="L36" s="50">
        <v>4</v>
      </c>
      <c r="M36" s="50">
        <v>45</v>
      </c>
      <c r="N36" s="50">
        <v>0</v>
      </c>
      <c r="O36" s="15">
        <f t="shared" si="0"/>
        <v>17</v>
      </c>
      <c r="P36" s="15">
        <f t="shared" si="1"/>
        <v>62</v>
      </c>
      <c r="R36" s="38" t="s">
        <v>92</v>
      </c>
      <c r="S36" s="39">
        <f t="shared" ref="S36:AF36" si="28">MAX(S19:S21)</f>
        <v>19</v>
      </c>
      <c r="T36" s="39">
        <f t="shared" si="28"/>
        <v>5</v>
      </c>
      <c r="U36" s="39">
        <f t="shared" si="28"/>
        <v>2</v>
      </c>
      <c r="V36" s="39">
        <f t="shared" si="28"/>
        <v>8</v>
      </c>
      <c r="W36" s="39">
        <f t="shared" si="28"/>
        <v>0</v>
      </c>
      <c r="X36" s="39">
        <f t="shared" si="28"/>
        <v>0</v>
      </c>
      <c r="Y36" s="39">
        <f t="shared" si="28"/>
        <v>16</v>
      </c>
      <c r="Z36" s="39">
        <f t="shared" si="28"/>
        <v>10</v>
      </c>
      <c r="AA36" s="39">
        <f t="shared" si="28"/>
        <v>10</v>
      </c>
      <c r="AB36" s="39">
        <f t="shared" si="28"/>
        <v>1</v>
      </c>
      <c r="AC36" s="39">
        <f t="shared" si="28"/>
        <v>187</v>
      </c>
      <c r="AD36" s="39">
        <f t="shared" si="28"/>
        <v>2</v>
      </c>
      <c r="AE36" s="40">
        <f t="shared" si="28"/>
        <v>60</v>
      </c>
      <c r="AF36" s="40">
        <f t="shared" si="28"/>
        <v>247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0</v>
      </c>
      <c r="F37" s="50">
        <v>2</v>
      </c>
      <c r="G37" s="50">
        <v>0</v>
      </c>
      <c r="H37" s="50">
        <v>2</v>
      </c>
      <c r="I37" s="50">
        <v>3</v>
      </c>
      <c r="J37" s="50">
        <v>0</v>
      </c>
      <c r="K37" s="50">
        <v>0</v>
      </c>
      <c r="L37" s="50">
        <v>0</v>
      </c>
      <c r="M37" s="50">
        <v>33</v>
      </c>
      <c r="N37" s="50">
        <v>1</v>
      </c>
      <c r="O37" s="15">
        <f t="shared" si="0"/>
        <v>9</v>
      </c>
      <c r="P37" s="15">
        <f t="shared" si="1"/>
        <v>42</v>
      </c>
      <c r="R37" s="37" t="s">
        <v>85</v>
      </c>
      <c r="S37" s="35">
        <f t="shared" ref="S37:AF37" si="29">SUM(S10:S12)</f>
        <v>42</v>
      </c>
      <c r="T37" s="16">
        <f t="shared" si="29"/>
        <v>25</v>
      </c>
      <c r="U37" s="16">
        <f t="shared" si="29"/>
        <v>11</v>
      </c>
      <c r="V37" s="16">
        <f t="shared" si="29"/>
        <v>7</v>
      </c>
      <c r="W37" s="16">
        <f t="shared" si="29"/>
        <v>0</v>
      </c>
      <c r="X37" s="16">
        <f t="shared" si="29"/>
        <v>0</v>
      </c>
      <c r="Y37" s="16">
        <f t="shared" si="29"/>
        <v>18</v>
      </c>
      <c r="Z37" s="16">
        <f t="shared" si="29"/>
        <v>39</v>
      </c>
      <c r="AA37" s="16">
        <f t="shared" si="29"/>
        <v>13</v>
      </c>
      <c r="AB37" s="16">
        <f t="shared" si="29"/>
        <v>1</v>
      </c>
      <c r="AC37" s="16">
        <f t="shared" si="29"/>
        <v>411</v>
      </c>
      <c r="AD37" s="16">
        <f t="shared" si="29"/>
        <v>1</v>
      </c>
      <c r="AE37" s="32">
        <f t="shared" si="29"/>
        <v>157</v>
      </c>
      <c r="AF37" s="32">
        <f t="shared" si="29"/>
        <v>568</v>
      </c>
    </row>
    <row r="38" spans="2:32" ht="23.1" customHeight="1" x14ac:dyDescent="0.25">
      <c r="B38" s="46" t="s">
        <v>65</v>
      </c>
      <c r="C38" s="50">
        <v>4</v>
      </c>
      <c r="D38" s="50">
        <v>2</v>
      </c>
      <c r="E38" s="50">
        <v>1</v>
      </c>
      <c r="F38" s="50">
        <v>3</v>
      </c>
      <c r="G38" s="50">
        <v>0</v>
      </c>
      <c r="H38" s="50">
        <v>0</v>
      </c>
      <c r="I38" s="50">
        <v>2</v>
      </c>
      <c r="J38" s="50">
        <v>2</v>
      </c>
      <c r="K38" s="50">
        <v>1</v>
      </c>
      <c r="L38" s="50">
        <v>0</v>
      </c>
      <c r="M38" s="50">
        <v>48</v>
      </c>
      <c r="N38" s="50">
        <v>0</v>
      </c>
      <c r="O38" s="15">
        <f t="shared" si="0"/>
        <v>15</v>
      </c>
      <c r="P38" s="15">
        <f t="shared" si="1"/>
        <v>63</v>
      </c>
      <c r="R38" s="28" t="s">
        <v>86</v>
      </c>
      <c r="S38" s="16">
        <f t="shared" ref="S38:AF38" si="30">SUM(S13:S18)</f>
        <v>118</v>
      </c>
      <c r="T38" s="16">
        <f t="shared" si="30"/>
        <v>26</v>
      </c>
      <c r="U38" s="16">
        <f t="shared" si="30"/>
        <v>20</v>
      </c>
      <c r="V38" s="16">
        <f t="shared" si="30"/>
        <v>42</v>
      </c>
      <c r="W38" s="16">
        <f t="shared" si="30"/>
        <v>7</v>
      </c>
      <c r="X38" s="16">
        <f t="shared" si="30"/>
        <v>2</v>
      </c>
      <c r="Y38" s="16">
        <f t="shared" si="30"/>
        <v>49</v>
      </c>
      <c r="Z38" s="16">
        <f t="shared" si="30"/>
        <v>53</v>
      </c>
      <c r="AA38" s="16">
        <f t="shared" si="30"/>
        <v>7</v>
      </c>
      <c r="AB38" s="16">
        <f t="shared" si="30"/>
        <v>15</v>
      </c>
      <c r="AC38" s="16">
        <f t="shared" si="30"/>
        <v>1163</v>
      </c>
      <c r="AD38" s="16">
        <f t="shared" si="30"/>
        <v>4</v>
      </c>
      <c r="AE38" s="32">
        <f t="shared" si="30"/>
        <v>343</v>
      </c>
      <c r="AF38" s="32">
        <f t="shared" si="30"/>
        <v>1506</v>
      </c>
    </row>
    <row r="39" spans="2:32" ht="23.1" customHeight="1" x14ac:dyDescent="0.25">
      <c r="B39" s="46" t="s">
        <v>66</v>
      </c>
      <c r="C39" s="50">
        <v>2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34</v>
      </c>
      <c r="N39" s="50">
        <v>0</v>
      </c>
      <c r="O39" s="15">
        <f t="shared" si="0"/>
        <v>5</v>
      </c>
      <c r="P39" s="15">
        <f t="shared" si="1"/>
        <v>39</v>
      </c>
      <c r="R39" s="29" t="s">
        <v>87</v>
      </c>
      <c r="S39" s="16">
        <f t="shared" ref="S39:AF39" si="31">SUM(S19:S21)</f>
        <v>36</v>
      </c>
      <c r="T39" s="16">
        <f t="shared" si="31"/>
        <v>14</v>
      </c>
      <c r="U39" s="16">
        <f t="shared" si="31"/>
        <v>6</v>
      </c>
      <c r="V39" s="16">
        <f t="shared" si="31"/>
        <v>19</v>
      </c>
      <c r="W39" s="16">
        <f t="shared" si="31"/>
        <v>0</v>
      </c>
      <c r="X39" s="16">
        <f t="shared" si="31"/>
        <v>0</v>
      </c>
      <c r="Y39" s="16">
        <f t="shared" si="31"/>
        <v>26</v>
      </c>
      <c r="Z39" s="16">
        <f t="shared" si="31"/>
        <v>27</v>
      </c>
      <c r="AA39" s="16">
        <f t="shared" si="31"/>
        <v>17</v>
      </c>
      <c r="AB39" s="16">
        <f t="shared" si="31"/>
        <v>1</v>
      </c>
      <c r="AC39" s="16">
        <f t="shared" si="31"/>
        <v>525</v>
      </c>
      <c r="AD39" s="16">
        <f t="shared" si="31"/>
        <v>4</v>
      </c>
      <c r="AE39" s="32">
        <f t="shared" si="31"/>
        <v>150</v>
      </c>
      <c r="AF39" s="32">
        <f t="shared" si="31"/>
        <v>675</v>
      </c>
    </row>
    <row r="40" spans="2:32" ht="23.1" customHeight="1" x14ac:dyDescent="0.25">
      <c r="B40" s="46" t="s">
        <v>67</v>
      </c>
      <c r="C40" s="50">
        <v>4</v>
      </c>
      <c r="D40" s="50">
        <v>1</v>
      </c>
      <c r="E40" s="50">
        <v>0</v>
      </c>
      <c r="F40" s="50">
        <v>2</v>
      </c>
      <c r="G40" s="50">
        <v>1</v>
      </c>
      <c r="H40" s="50">
        <v>0</v>
      </c>
      <c r="I40" s="50">
        <v>1</v>
      </c>
      <c r="J40" s="50">
        <v>2</v>
      </c>
      <c r="K40" s="50">
        <v>0</v>
      </c>
      <c r="L40" s="50">
        <v>0</v>
      </c>
      <c r="M40" s="50">
        <v>37</v>
      </c>
      <c r="N40" s="50">
        <v>0</v>
      </c>
      <c r="O40" s="15">
        <f t="shared" si="0"/>
        <v>11</v>
      </c>
      <c r="P40" s="15">
        <f t="shared" si="1"/>
        <v>48</v>
      </c>
      <c r="R40" s="5" t="s">
        <v>17</v>
      </c>
      <c r="S40" s="16">
        <f t="shared" ref="S40:AF40" si="32">SUM(S10:S21)</f>
        <v>196</v>
      </c>
      <c r="T40" s="16">
        <f t="shared" si="32"/>
        <v>65</v>
      </c>
      <c r="U40" s="16">
        <f t="shared" si="32"/>
        <v>37</v>
      </c>
      <c r="V40" s="16">
        <f t="shared" si="32"/>
        <v>68</v>
      </c>
      <c r="W40" s="16">
        <f t="shared" si="32"/>
        <v>7</v>
      </c>
      <c r="X40" s="16">
        <f t="shared" si="32"/>
        <v>2</v>
      </c>
      <c r="Y40" s="16">
        <f t="shared" si="32"/>
        <v>93</v>
      </c>
      <c r="Z40" s="16">
        <f t="shared" si="32"/>
        <v>119</v>
      </c>
      <c r="AA40" s="16">
        <f t="shared" si="32"/>
        <v>37</v>
      </c>
      <c r="AB40" s="16">
        <f t="shared" si="32"/>
        <v>17</v>
      </c>
      <c r="AC40" s="16">
        <f t="shared" si="32"/>
        <v>2099</v>
      </c>
      <c r="AD40" s="16">
        <f t="shared" si="32"/>
        <v>9</v>
      </c>
      <c r="AE40" s="32">
        <f t="shared" si="32"/>
        <v>650</v>
      </c>
      <c r="AF40" s="32">
        <f t="shared" si="32"/>
        <v>2749</v>
      </c>
    </row>
    <row r="41" spans="2:32" ht="23.1" customHeight="1" x14ac:dyDescent="0.25">
      <c r="B41" s="45" t="s">
        <v>68</v>
      </c>
      <c r="C41" s="50">
        <v>2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3</v>
      </c>
      <c r="K41" s="50">
        <v>0</v>
      </c>
      <c r="L41" s="50">
        <v>0</v>
      </c>
      <c r="M41" s="50">
        <v>34</v>
      </c>
      <c r="N41" s="50">
        <v>0</v>
      </c>
      <c r="O41" s="15">
        <f t="shared" si="0"/>
        <v>9</v>
      </c>
      <c r="P41" s="15">
        <f t="shared" si="1"/>
        <v>43</v>
      </c>
      <c r="R41" s="5" t="s">
        <v>159</v>
      </c>
      <c r="S41" s="16">
        <f>SUM(S10:S33)</f>
        <v>275</v>
      </c>
      <c r="T41" s="16">
        <f t="shared" ref="T41:AF41" si="33">SUM(T10:T33)</f>
        <v>97</v>
      </c>
      <c r="U41" s="16">
        <f t="shared" si="33"/>
        <v>59</v>
      </c>
      <c r="V41" s="16">
        <f t="shared" si="33"/>
        <v>110</v>
      </c>
      <c r="W41" s="16">
        <f t="shared" si="33"/>
        <v>13</v>
      </c>
      <c r="X41" s="16">
        <f t="shared" si="33"/>
        <v>2</v>
      </c>
      <c r="Y41" s="16">
        <f t="shared" si="33"/>
        <v>128</v>
      </c>
      <c r="Z41" s="16">
        <f t="shared" si="33"/>
        <v>193</v>
      </c>
      <c r="AA41" s="16">
        <f t="shared" si="33"/>
        <v>64</v>
      </c>
      <c r="AB41" s="16">
        <f t="shared" si="33"/>
        <v>44</v>
      </c>
      <c r="AC41" s="16">
        <f t="shared" si="33"/>
        <v>2557</v>
      </c>
      <c r="AD41" s="16">
        <f t="shared" si="33"/>
        <v>15</v>
      </c>
      <c r="AE41" s="32">
        <f t="shared" si="33"/>
        <v>1000</v>
      </c>
      <c r="AF41" s="32">
        <f t="shared" si="33"/>
        <v>3557</v>
      </c>
    </row>
    <row r="42" spans="2:32" ht="23.1" customHeight="1" x14ac:dyDescent="0.25">
      <c r="B42" s="46" t="s">
        <v>69</v>
      </c>
      <c r="C42" s="50">
        <v>6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3</v>
      </c>
      <c r="J42" s="50">
        <v>5</v>
      </c>
      <c r="K42" s="50">
        <v>0</v>
      </c>
      <c r="L42" s="50">
        <v>0</v>
      </c>
      <c r="M42" s="50">
        <v>22</v>
      </c>
      <c r="N42" s="50">
        <v>0</v>
      </c>
      <c r="O42" s="15">
        <f t="shared" si="0"/>
        <v>15</v>
      </c>
      <c r="P42" s="15">
        <f t="shared" si="1"/>
        <v>37</v>
      </c>
      <c r="R42" s="5" t="s">
        <v>160</v>
      </c>
      <c r="S42" s="48">
        <f>S41/S40</f>
        <v>1.403061224489796</v>
      </c>
      <c r="T42" s="48">
        <f t="shared" ref="T42:AF42" si="34">T41/T40</f>
        <v>1.4923076923076923</v>
      </c>
      <c r="U42" s="48">
        <f t="shared" si="34"/>
        <v>1.5945945945945945</v>
      </c>
      <c r="V42" s="48">
        <f t="shared" si="34"/>
        <v>1.6176470588235294</v>
      </c>
      <c r="W42" s="48">
        <f t="shared" si="34"/>
        <v>1.8571428571428572</v>
      </c>
      <c r="X42" s="48">
        <f t="shared" si="34"/>
        <v>1</v>
      </c>
      <c r="Y42" s="48">
        <f t="shared" si="34"/>
        <v>1.3763440860215055</v>
      </c>
      <c r="Z42" s="48">
        <f t="shared" si="34"/>
        <v>1.6218487394957983</v>
      </c>
      <c r="AA42" s="48">
        <f t="shared" si="34"/>
        <v>1.7297297297297298</v>
      </c>
      <c r="AB42" s="48">
        <f t="shared" si="34"/>
        <v>2.5882352941176472</v>
      </c>
      <c r="AC42" s="48">
        <f t="shared" si="34"/>
        <v>1.2181991424487852</v>
      </c>
      <c r="AD42" s="48">
        <f t="shared" si="34"/>
        <v>1.6666666666666667</v>
      </c>
      <c r="AE42" s="48">
        <f t="shared" si="34"/>
        <v>1.5384615384615385</v>
      </c>
      <c r="AF42" s="48">
        <f t="shared" si="34"/>
        <v>1.2939250636595125</v>
      </c>
    </row>
    <row r="43" spans="2:32" ht="23.1" customHeight="1" x14ac:dyDescent="0.25">
      <c r="B43" s="45" t="s">
        <v>70</v>
      </c>
      <c r="C43" s="50">
        <v>4</v>
      </c>
      <c r="D43" s="50">
        <v>1</v>
      </c>
      <c r="E43" s="50">
        <v>1</v>
      </c>
      <c r="F43" s="50">
        <v>2</v>
      </c>
      <c r="G43" s="50">
        <v>1</v>
      </c>
      <c r="H43" s="50">
        <v>0</v>
      </c>
      <c r="I43" s="50">
        <v>4</v>
      </c>
      <c r="J43" s="50">
        <v>5</v>
      </c>
      <c r="K43" s="50">
        <v>0</v>
      </c>
      <c r="L43" s="50">
        <v>1</v>
      </c>
      <c r="M43" s="50">
        <v>48</v>
      </c>
      <c r="N43" s="50">
        <v>0</v>
      </c>
      <c r="O43" s="15">
        <f t="shared" si="0"/>
        <v>19</v>
      </c>
      <c r="P43" s="15">
        <f t="shared" si="1"/>
        <v>67</v>
      </c>
    </row>
    <row r="44" spans="2:32" ht="23.1" customHeight="1" x14ac:dyDescent="0.25">
      <c r="B44" s="47" t="s">
        <v>71</v>
      </c>
      <c r="C44" s="50">
        <v>3</v>
      </c>
      <c r="D44" s="50">
        <v>1</v>
      </c>
      <c r="E44" s="50">
        <v>0</v>
      </c>
      <c r="F44" s="50">
        <v>3</v>
      </c>
      <c r="G44" s="50">
        <v>0</v>
      </c>
      <c r="H44" s="50">
        <v>0</v>
      </c>
      <c r="I44" s="50">
        <v>1</v>
      </c>
      <c r="J44" s="50">
        <v>6</v>
      </c>
      <c r="K44" s="50">
        <v>0</v>
      </c>
      <c r="L44" s="50">
        <v>0</v>
      </c>
      <c r="M44" s="50">
        <v>36</v>
      </c>
      <c r="N44" s="50">
        <v>0</v>
      </c>
      <c r="O44" s="15">
        <f t="shared" si="0"/>
        <v>14</v>
      </c>
      <c r="P44" s="15">
        <f t="shared" si="1"/>
        <v>50</v>
      </c>
    </row>
    <row r="45" spans="2:32" ht="23.1" customHeight="1" x14ac:dyDescent="0.25">
      <c r="B45" s="45" t="s">
        <v>72</v>
      </c>
      <c r="C45" s="50">
        <v>3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2</v>
      </c>
      <c r="J45" s="50">
        <v>3</v>
      </c>
      <c r="K45" s="50">
        <v>0</v>
      </c>
      <c r="L45" s="50">
        <v>0</v>
      </c>
      <c r="M45" s="50">
        <v>50</v>
      </c>
      <c r="N45" s="50">
        <v>0</v>
      </c>
      <c r="O45" s="15">
        <f t="shared" si="0"/>
        <v>12</v>
      </c>
      <c r="P45" s="15">
        <f t="shared" si="1"/>
        <v>62</v>
      </c>
    </row>
    <row r="46" spans="2:32" ht="23.1" customHeight="1" x14ac:dyDescent="0.25">
      <c r="B46" s="46" t="s">
        <v>73</v>
      </c>
      <c r="C46" s="50">
        <v>3</v>
      </c>
      <c r="D46" s="50">
        <v>3</v>
      </c>
      <c r="E46" s="50">
        <v>0</v>
      </c>
      <c r="F46" s="50">
        <v>2</v>
      </c>
      <c r="G46" s="50">
        <v>0</v>
      </c>
      <c r="H46" s="50">
        <v>0</v>
      </c>
      <c r="I46" s="50">
        <v>6</v>
      </c>
      <c r="J46" s="50">
        <v>1</v>
      </c>
      <c r="K46" s="50">
        <v>1</v>
      </c>
      <c r="L46" s="50">
        <v>0</v>
      </c>
      <c r="M46" s="50">
        <v>42</v>
      </c>
      <c r="N46" s="50">
        <v>0</v>
      </c>
      <c r="O46" s="15">
        <f t="shared" si="0"/>
        <v>16</v>
      </c>
      <c r="P46" s="15">
        <f t="shared" si="1"/>
        <v>58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2</v>
      </c>
      <c r="E47" s="50">
        <v>0</v>
      </c>
      <c r="F47" s="50">
        <v>4</v>
      </c>
      <c r="G47" s="50">
        <v>0</v>
      </c>
      <c r="H47" s="50">
        <v>0</v>
      </c>
      <c r="I47" s="50">
        <v>5</v>
      </c>
      <c r="J47" s="50">
        <v>5</v>
      </c>
      <c r="K47" s="50">
        <v>1</v>
      </c>
      <c r="L47" s="50">
        <v>0</v>
      </c>
      <c r="M47" s="50">
        <v>43</v>
      </c>
      <c r="N47" s="50">
        <v>0</v>
      </c>
      <c r="O47" s="15">
        <f t="shared" si="0"/>
        <v>19</v>
      </c>
      <c r="P47" s="15">
        <f t="shared" si="1"/>
        <v>62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0</v>
      </c>
      <c r="E48" s="50">
        <v>1</v>
      </c>
      <c r="F48" s="50">
        <v>2</v>
      </c>
      <c r="G48" s="50">
        <v>0</v>
      </c>
      <c r="H48" s="50">
        <v>0</v>
      </c>
      <c r="I48" s="50">
        <v>0</v>
      </c>
      <c r="J48" s="50">
        <v>2</v>
      </c>
      <c r="K48" s="50">
        <v>3</v>
      </c>
      <c r="L48" s="50">
        <v>0</v>
      </c>
      <c r="M48" s="50">
        <v>27</v>
      </c>
      <c r="N48" s="50">
        <v>1</v>
      </c>
      <c r="O48" s="15">
        <f t="shared" si="0"/>
        <v>11</v>
      </c>
      <c r="P48" s="15">
        <f t="shared" si="1"/>
        <v>38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41</v>
      </c>
      <c r="N49" s="50">
        <v>0</v>
      </c>
      <c r="O49" s="15">
        <f t="shared" si="0"/>
        <v>7</v>
      </c>
      <c r="P49" s="15">
        <f t="shared" si="1"/>
        <v>48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2</v>
      </c>
      <c r="J50" s="50">
        <v>5</v>
      </c>
      <c r="K50" s="50">
        <v>0</v>
      </c>
      <c r="L50" s="50">
        <v>0</v>
      </c>
      <c r="M50" s="50">
        <v>35</v>
      </c>
      <c r="N50" s="50">
        <v>0</v>
      </c>
      <c r="O50" s="15">
        <f t="shared" si="0"/>
        <v>10</v>
      </c>
      <c r="P50" s="15">
        <f t="shared" si="1"/>
        <v>45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1</v>
      </c>
      <c r="E51" s="50">
        <v>0</v>
      </c>
      <c r="F51" s="50">
        <v>2</v>
      </c>
      <c r="G51" s="50">
        <v>0</v>
      </c>
      <c r="H51" s="50">
        <v>0</v>
      </c>
      <c r="I51" s="50">
        <v>0</v>
      </c>
      <c r="J51" s="50">
        <v>4</v>
      </c>
      <c r="K51" s="50">
        <v>0</v>
      </c>
      <c r="L51" s="50">
        <v>0</v>
      </c>
      <c r="M51" s="50">
        <v>50</v>
      </c>
      <c r="N51" s="50">
        <v>0</v>
      </c>
      <c r="O51" s="15">
        <f t="shared" si="0"/>
        <v>10</v>
      </c>
      <c r="P51" s="15">
        <f t="shared" si="1"/>
        <v>60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1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47</v>
      </c>
      <c r="N52" s="50">
        <v>1</v>
      </c>
      <c r="O52" s="15">
        <f t="shared" si="0"/>
        <v>6</v>
      </c>
      <c r="P52" s="15">
        <f t="shared" si="1"/>
        <v>53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2</v>
      </c>
      <c r="E53" s="50">
        <v>1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2</v>
      </c>
      <c r="L53" s="50">
        <v>1</v>
      </c>
      <c r="M53" s="50">
        <v>53</v>
      </c>
      <c r="N53" s="50">
        <v>0</v>
      </c>
      <c r="O53" s="15">
        <f t="shared" si="0"/>
        <v>11</v>
      </c>
      <c r="P53" s="15">
        <f t="shared" si="1"/>
        <v>64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2</v>
      </c>
      <c r="E54" s="50">
        <v>1</v>
      </c>
      <c r="F54" s="50">
        <v>2</v>
      </c>
      <c r="G54" s="50">
        <v>0</v>
      </c>
      <c r="H54" s="50">
        <v>0</v>
      </c>
      <c r="I54" s="50">
        <v>3</v>
      </c>
      <c r="J54" s="50">
        <v>3</v>
      </c>
      <c r="K54" s="50">
        <v>3</v>
      </c>
      <c r="L54" s="50">
        <v>0</v>
      </c>
      <c r="M54" s="50">
        <v>49</v>
      </c>
      <c r="N54" s="50">
        <v>1</v>
      </c>
      <c r="O54" s="15">
        <f t="shared" si="0"/>
        <v>21</v>
      </c>
      <c r="P54" s="15">
        <f t="shared" si="1"/>
        <v>70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2</v>
      </c>
      <c r="E55" s="50">
        <v>0</v>
      </c>
      <c r="F55" s="50">
        <v>2</v>
      </c>
      <c r="G55" s="50">
        <v>0</v>
      </c>
      <c r="H55" s="50">
        <v>0</v>
      </c>
      <c r="I55" s="50">
        <v>2</v>
      </c>
      <c r="J55" s="50">
        <v>4</v>
      </c>
      <c r="K55" s="50">
        <v>0</v>
      </c>
      <c r="L55" s="50">
        <v>0</v>
      </c>
      <c r="M55" s="50">
        <v>41</v>
      </c>
      <c r="N55" s="50">
        <v>0</v>
      </c>
      <c r="O55" s="15">
        <f t="shared" si="0"/>
        <v>15</v>
      </c>
      <c r="P55" s="15">
        <f t="shared" si="1"/>
        <v>56</v>
      </c>
      <c r="R55" s="8"/>
      <c r="T55"/>
    </row>
    <row r="56" spans="2:20" ht="23.1" customHeight="1" x14ac:dyDescent="0.25">
      <c r="B56" s="45" t="s">
        <v>83</v>
      </c>
      <c r="C56" s="50">
        <v>5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2</v>
      </c>
      <c r="K56" s="50">
        <v>4</v>
      </c>
      <c r="L56" s="50">
        <v>0</v>
      </c>
      <c r="M56" s="50">
        <v>57</v>
      </c>
      <c r="N56" s="50">
        <v>1</v>
      </c>
      <c r="O56" s="15">
        <f t="shared" si="0"/>
        <v>12</v>
      </c>
      <c r="P56" s="15">
        <f t="shared" si="1"/>
        <v>69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1</v>
      </c>
      <c r="E57" s="50">
        <v>1</v>
      </c>
      <c r="F57" s="50">
        <v>3</v>
      </c>
      <c r="G57" s="50">
        <v>0</v>
      </c>
      <c r="H57" s="50">
        <v>0</v>
      </c>
      <c r="I57" s="50">
        <v>0</v>
      </c>
      <c r="J57" s="50">
        <v>1</v>
      </c>
      <c r="K57" s="50">
        <v>3</v>
      </c>
      <c r="L57" s="50">
        <v>0</v>
      </c>
      <c r="M57" s="50">
        <v>40</v>
      </c>
      <c r="N57" s="50">
        <v>0</v>
      </c>
      <c r="O57" s="15">
        <f t="shared" si="0"/>
        <v>12</v>
      </c>
      <c r="P57" s="15">
        <f t="shared" si="1"/>
        <v>52</v>
      </c>
      <c r="R57" s="8"/>
      <c r="T57"/>
    </row>
    <row r="58" spans="2:20" ht="23.1" customHeight="1" x14ac:dyDescent="0.25">
      <c r="B58" s="45" t="s">
        <v>99</v>
      </c>
      <c r="C58" s="50">
        <v>5</v>
      </c>
      <c r="D58" s="50">
        <v>4</v>
      </c>
      <c r="E58" s="50">
        <v>2</v>
      </c>
      <c r="F58" s="50">
        <v>5</v>
      </c>
      <c r="G58" s="50">
        <v>0</v>
      </c>
      <c r="H58" s="50">
        <v>0</v>
      </c>
      <c r="I58" s="50">
        <v>5</v>
      </c>
      <c r="J58" s="50">
        <v>1</v>
      </c>
      <c r="K58" s="50">
        <v>3</v>
      </c>
      <c r="L58" s="50">
        <v>2</v>
      </c>
      <c r="M58" s="50">
        <v>51</v>
      </c>
      <c r="N58" s="50">
        <v>0</v>
      </c>
      <c r="O58" s="15">
        <f t="shared" si="0"/>
        <v>27</v>
      </c>
      <c r="P58" s="15">
        <f t="shared" si="1"/>
        <v>78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2</v>
      </c>
      <c r="E59" s="50">
        <v>1</v>
      </c>
      <c r="F59" s="50">
        <v>5</v>
      </c>
      <c r="G59" s="50">
        <v>1</v>
      </c>
      <c r="H59" s="50">
        <v>0</v>
      </c>
      <c r="I59" s="50">
        <v>1</v>
      </c>
      <c r="J59" s="50">
        <v>5</v>
      </c>
      <c r="K59" s="50">
        <v>4</v>
      </c>
      <c r="L59" s="50">
        <v>1</v>
      </c>
      <c r="M59" s="50">
        <v>40</v>
      </c>
      <c r="N59" s="50">
        <v>1</v>
      </c>
      <c r="O59" s="15">
        <f t="shared" si="0"/>
        <v>30</v>
      </c>
      <c r="P59" s="15">
        <f t="shared" si="1"/>
        <v>70</v>
      </c>
      <c r="R59" s="8"/>
      <c r="T59"/>
    </row>
    <row r="60" spans="2:20" ht="23.1" customHeight="1" x14ac:dyDescent="0.25">
      <c r="B60" s="45" t="s">
        <v>101</v>
      </c>
      <c r="C60" s="50">
        <v>6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1</v>
      </c>
      <c r="J60" s="50">
        <v>9</v>
      </c>
      <c r="K60" s="50">
        <v>1</v>
      </c>
      <c r="L60" s="50">
        <v>2</v>
      </c>
      <c r="M60" s="50">
        <v>38</v>
      </c>
      <c r="N60" s="50">
        <v>1</v>
      </c>
      <c r="O60" s="15">
        <f t="shared" si="0"/>
        <v>22</v>
      </c>
      <c r="P60" s="15">
        <f t="shared" si="1"/>
        <v>60</v>
      </c>
      <c r="R60" s="8"/>
      <c r="T60"/>
    </row>
    <row r="61" spans="2:20" ht="23.1" customHeight="1" x14ac:dyDescent="0.25">
      <c r="B61" s="45" t="s">
        <v>102</v>
      </c>
      <c r="C61" s="50">
        <v>4</v>
      </c>
      <c r="D61" s="50">
        <v>1</v>
      </c>
      <c r="E61" s="50">
        <v>2</v>
      </c>
      <c r="F61" s="50">
        <v>1</v>
      </c>
      <c r="G61" s="50">
        <v>0</v>
      </c>
      <c r="H61" s="50">
        <v>0</v>
      </c>
      <c r="I61" s="50">
        <v>0</v>
      </c>
      <c r="J61" s="50">
        <v>8</v>
      </c>
      <c r="K61" s="50">
        <v>0</v>
      </c>
      <c r="L61" s="50">
        <v>0</v>
      </c>
      <c r="M61" s="50">
        <v>28</v>
      </c>
      <c r="N61" s="50">
        <v>1</v>
      </c>
      <c r="O61" s="15">
        <f t="shared" si="0"/>
        <v>17</v>
      </c>
      <c r="P61" s="15">
        <f t="shared" si="1"/>
        <v>45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2</v>
      </c>
      <c r="E62" s="50">
        <v>2</v>
      </c>
      <c r="F62" s="50">
        <v>4</v>
      </c>
      <c r="G62" s="50">
        <v>0</v>
      </c>
      <c r="H62" s="50">
        <v>0</v>
      </c>
      <c r="I62" s="50">
        <v>2</v>
      </c>
      <c r="J62" s="50">
        <v>1</v>
      </c>
      <c r="K62" s="50">
        <v>1</v>
      </c>
      <c r="L62" s="50">
        <v>0</v>
      </c>
      <c r="M62" s="50">
        <v>35</v>
      </c>
      <c r="N62" s="50">
        <v>0</v>
      </c>
      <c r="O62" s="15">
        <f t="shared" si="0"/>
        <v>15</v>
      </c>
      <c r="P62" s="15">
        <f t="shared" si="1"/>
        <v>50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0</v>
      </c>
      <c r="F63" s="50">
        <v>2</v>
      </c>
      <c r="G63" s="50">
        <v>0</v>
      </c>
      <c r="H63" s="50">
        <v>0</v>
      </c>
      <c r="I63" s="50">
        <v>0</v>
      </c>
      <c r="J63" s="50">
        <v>1</v>
      </c>
      <c r="K63" s="50">
        <v>0</v>
      </c>
      <c r="L63" s="50">
        <v>3</v>
      </c>
      <c r="M63" s="50">
        <v>17</v>
      </c>
      <c r="N63" s="50">
        <v>0</v>
      </c>
      <c r="O63" s="15">
        <f t="shared" si="0"/>
        <v>9</v>
      </c>
      <c r="P63" s="15">
        <f t="shared" si="1"/>
        <v>26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1</v>
      </c>
      <c r="F64" s="50">
        <v>2</v>
      </c>
      <c r="G64" s="50">
        <v>0</v>
      </c>
      <c r="H64" s="50">
        <v>0</v>
      </c>
      <c r="I64" s="50">
        <v>3</v>
      </c>
      <c r="J64" s="50">
        <v>1</v>
      </c>
      <c r="K64" s="50">
        <v>0</v>
      </c>
      <c r="L64" s="50">
        <v>2</v>
      </c>
      <c r="M64" s="50">
        <v>16</v>
      </c>
      <c r="N64" s="50">
        <v>0</v>
      </c>
      <c r="O64" s="15">
        <f t="shared" si="0"/>
        <v>10</v>
      </c>
      <c r="P64" s="15">
        <f t="shared" si="1"/>
        <v>26</v>
      </c>
      <c r="R64" s="8"/>
      <c r="T64"/>
    </row>
    <row r="65" spans="2:20" ht="23.1" customHeight="1" x14ac:dyDescent="0.25">
      <c r="B65" s="45" t="s">
        <v>158</v>
      </c>
      <c r="C65" s="50">
        <v>5</v>
      </c>
      <c r="D65" s="50">
        <v>1</v>
      </c>
      <c r="E65" s="50">
        <v>0</v>
      </c>
      <c r="F65" s="50">
        <v>1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25</v>
      </c>
      <c r="N65" s="50">
        <v>0</v>
      </c>
      <c r="O65" s="15">
        <f t="shared" si="0"/>
        <v>9</v>
      </c>
      <c r="P65" s="15">
        <f t="shared" si="1"/>
        <v>34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4</v>
      </c>
      <c r="G66" s="50">
        <v>2</v>
      </c>
      <c r="H66" s="50">
        <v>0</v>
      </c>
      <c r="I66" s="50">
        <v>0</v>
      </c>
      <c r="J66" s="50">
        <v>1</v>
      </c>
      <c r="K66" s="50">
        <v>1</v>
      </c>
      <c r="L66" s="50">
        <v>0</v>
      </c>
      <c r="M66" s="50">
        <v>20</v>
      </c>
      <c r="N66" s="50">
        <v>0</v>
      </c>
      <c r="O66" s="15">
        <f t="shared" si="0"/>
        <v>10</v>
      </c>
      <c r="P66" s="15">
        <f t="shared" si="1"/>
        <v>30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1</v>
      </c>
      <c r="E67" s="50">
        <v>0</v>
      </c>
      <c r="F67" s="50">
        <v>2</v>
      </c>
      <c r="G67" s="50">
        <v>1</v>
      </c>
      <c r="H67" s="50">
        <v>0</v>
      </c>
      <c r="I67" s="50">
        <v>0</v>
      </c>
      <c r="J67" s="50">
        <v>0</v>
      </c>
      <c r="K67" s="50">
        <v>1</v>
      </c>
      <c r="L67" s="50">
        <v>1</v>
      </c>
      <c r="M67" s="50">
        <v>11</v>
      </c>
      <c r="N67" s="50">
        <v>0</v>
      </c>
      <c r="O67" s="15">
        <f t="shared" si="0"/>
        <v>9</v>
      </c>
      <c r="P67" s="15">
        <f t="shared" si="1"/>
        <v>20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1</v>
      </c>
      <c r="J68" s="50">
        <v>2</v>
      </c>
      <c r="K68" s="50">
        <v>0</v>
      </c>
      <c r="L68" s="50">
        <v>3</v>
      </c>
      <c r="M68" s="50">
        <v>10</v>
      </c>
      <c r="N68" s="50">
        <v>0</v>
      </c>
      <c r="O68" s="15">
        <f t="shared" si="0"/>
        <v>9</v>
      </c>
      <c r="P68" s="15">
        <f t="shared" si="1"/>
        <v>19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2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5</v>
      </c>
      <c r="M69" s="50">
        <v>15</v>
      </c>
      <c r="N69" s="50">
        <v>0</v>
      </c>
      <c r="O69" s="15">
        <f t="shared" si="0"/>
        <v>7</v>
      </c>
      <c r="P69" s="15">
        <f t="shared" si="1"/>
        <v>22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1</v>
      </c>
      <c r="G70" s="50">
        <v>1</v>
      </c>
      <c r="H70" s="50">
        <v>0</v>
      </c>
      <c r="I70" s="50">
        <v>2</v>
      </c>
      <c r="J70" s="50">
        <v>3</v>
      </c>
      <c r="K70" s="50">
        <v>2</v>
      </c>
      <c r="L70" s="50">
        <v>0</v>
      </c>
      <c r="M70" s="50">
        <v>7</v>
      </c>
      <c r="N70" s="50">
        <v>0</v>
      </c>
      <c r="O70" s="15">
        <f t="shared" si="0"/>
        <v>9</v>
      </c>
      <c r="P70" s="15">
        <f t="shared" si="1"/>
        <v>16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2</v>
      </c>
      <c r="K71" s="50">
        <v>0</v>
      </c>
      <c r="L71" s="50">
        <v>0</v>
      </c>
      <c r="M71" s="50">
        <v>13</v>
      </c>
      <c r="N71" s="50">
        <v>0</v>
      </c>
      <c r="O71" s="15">
        <f t="shared" si="0"/>
        <v>5</v>
      </c>
      <c r="P71" s="15">
        <f t="shared" si="1"/>
        <v>18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5</v>
      </c>
      <c r="K72" s="50">
        <v>1</v>
      </c>
      <c r="L72" s="50">
        <v>0</v>
      </c>
      <c r="M72" s="50">
        <v>7</v>
      </c>
      <c r="N72" s="50">
        <v>0</v>
      </c>
      <c r="O72" s="15">
        <f t="shared" si="0"/>
        <v>9</v>
      </c>
      <c r="P72" s="15">
        <f t="shared" si="1"/>
        <v>16</v>
      </c>
      <c r="R72" s="8"/>
      <c r="T72"/>
    </row>
    <row r="73" spans="2:20" ht="23.1" customHeight="1" x14ac:dyDescent="0.25">
      <c r="B73" s="45" t="s">
        <v>113</v>
      </c>
      <c r="C73" s="50">
        <v>6</v>
      </c>
      <c r="D73" s="50">
        <v>5</v>
      </c>
      <c r="E73" s="50">
        <v>0</v>
      </c>
      <c r="F73" s="50">
        <v>3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9</v>
      </c>
      <c r="N73" s="50">
        <v>0</v>
      </c>
      <c r="O73" s="15">
        <f t="shared" si="0"/>
        <v>15</v>
      </c>
      <c r="P73" s="15">
        <f t="shared" si="1"/>
        <v>24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10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12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4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3</v>
      </c>
      <c r="K75" s="50">
        <v>0</v>
      </c>
      <c r="L75" s="50">
        <v>0</v>
      </c>
      <c r="M75" s="50">
        <v>7</v>
      </c>
      <c r="N75" s="50">
        <v>0</v>
      </c>
      <c r="O75" s="15">
        <f t="shared" si="35"/>
        <v>8</v>
      </c>
      <c r="P75" s="15">
        <f t="shared" si="36"/>
        <v>15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1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9</v>
      </c>
      <c r="N76" s="50">
        <v>0</v>
      </c>
      <c r="O76" s="15">
        <f t="shared" si="35"/>
        <v>1</v>
      </c>
      <c r="P76" s="15">
        <f t="shared" si="36"/>
        <v>10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2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3</v>
      </c>
      <c r="P77" s="15">
        <f t="shared" si="36"/>
        <v>5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3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3</v>
      </c>
      <c r="P79" s="15">
        <f t="shared" si="36"/>
        <v>5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1</v>
      </c>
      <c r="L80" s="50">
        <v>0</v>
      </c>
      <c r="M80" s="50">
        <v>2</v>
      </c>
      <c r="N80" s="50">
        <v>0</v>
      </c>
      <c r="O80" s="15">
        <f t="shared" si="35"/>
        <v>2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2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1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2</v>
      </c>
      <c r="J83" s="50">
        <v>1</v>
      </c>
      <c r="K83" s="50">
        <v>1</v>
      </c>
      <c r="L83" s="50">
        <v>0</v>
      </c>
      <c r="M83" s="50">
        <v>0</v>
      </c>
      <c r="N83" s="50"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2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1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1</v>
      </c>
      <c r="L87" s="50">
        <v>2</v>
      </c>
      <c r="M87" s="50">
        <v>0</v>
      </c>
      <c r="N87" s="50"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2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2</v>
      </c>
      <c r="K90" s="50">
        <v>1</v>
      </c>
      <c r="L90" s="50">
        <v>0</v>
      </c>
      <c r="M90" s="50">
        <v>0</v>
      </c>
      <c r="N90" s="50">
        <v>0</v>
      </c>
      <c r="O90" s="15">
        <f t="shared" si="35"/>
        <v>5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1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2</v>
      </c>
      <c r="J94" s="50">
        <v>0</v>
      </c>
      <c r="K94" s="50">
        <v>1</v>
      </c>
      <c r="L94" s="50">
        <v>0</v>
      </c>
      <c r="M94" s="50">
        <v>2</v>
      </c>
      <c r="N94" s="50">
        <v>0</v>
      </c>
      <c r="O94" s="15">
        <f t="shared" si="35"/>
        <v>4</v>
      </c>
      <c r="P94" s="15">
        <f t="shared" si="36"/>
        <v>6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2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5</v>
      </c>
      <c r="P95" s="15">
        <f t="shared" si="36"/>
        <v>8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2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3</v>
      </c>
      <c r="P96" s="15">
        <f t="shared" si="36"/>
        <v>6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2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6</v>
      </c>
      <c r="P98" s="15">
        <f t="shared" si="36"/>
        <v>8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1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2</v>
      </c>
      <c r="K99" s="50">
        <v>2</v>
      </c>
      <c r="L99" s="50">
        <v>0</v>
      </c>
      <c r="M99" s="50">
        <v>3</v>
      </c>
      <c r="N99" s="50">
        <v>0</v>
      </c>
      <c r="O99" s="15">
        <f t="shared" si="35"/>
        <v>5</v>
      </c>
      <c r="P99" s="15">
        <f t="shared" si="36"/>
        <v>8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2</v>
      </c>
      <c r="F100" s="50">
        <v>1</v>
      </c>
      <c r="G100" s="50">
        <v>0</v>
      </c>
      <c r="H100" s="50">
        <v>0</v>
      </c>
      <c r="I100" s="50">
        <v>0</v>
      </c>
      <c r="J100" s="50">
        <v>1</v>
      </c>
      <c r="K100" s="50">
        <v>1</v>
      </c>
      <c r="L100" s="50">
        <v>0</v>
      </c>
      <c r="M100" s="50">
        <v>5</v>
      </c>
      <c r="N100" s="50">
        <v>0</v>
      </c>
      <c r="O100" s="15">
        <f t="shared" si="35"/>
        <v>7</v>
      </c>
      <c r="P100" s="15">
        <f t="shared" si="36"/>
        <v>12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1</v>
      </c>
      <c r="F101" s="50">
        <v>0</v>
      </c>
      <c r="G101" s="50">
        <v>0</v>
      </c>
      <c r="H101" s="50">
        <v>0</v>
      </c>
      <c r="I101" s="50">
        <v>0</v>
      </c>
      <c r="J101" s="50">
        <v>3</v>
      </c>
      <c r="K101" s="50">
        <v>1</v>
      </c>
      <c r="L101" s="50">
        <v>0</v>
      </c>
      <c r="M101" s="50">
        <v>8</v>
      </c>
      <c r="N101" s="50">
        <v>0</v>
      </c>
      <c r="O101" s="15">
        <f t="shared" si="35"/>
        <v>5</v>
      </c>
      <c r="P101" s="15">
        <f t="shared" si="36"/>
        <v>13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1</v>
      </c>
      <c r="E102" s="50">
        <v>0</v>
      </c>
      <c r="F102" s="50">
        <v>2</v>
      </c>
      <c r="G102" s="50">
        <v>1</v>
      </c>
      <c r="H102" s="50">
        <v>0</v>
      </c>
      <c r="I102" s="50">
        <v>0</v>
      </c>
      <c r="J102" s="50">
        <v>1</v>
      </c>
      <c r="K102" s="50">
        <v>1</v>
      </c>
      <c r="L102" s="50">
        <v>1</v>
      </c>
      <c r="M102" s="50">
        <v>16</v>
      </c>
      <c r="N102" s="50">
        <v>0</v>
      </c>
      <c r="O102" s="15">
        <f t="shared" si="35"/>
        <v>10</v>
      </c>
      <c r="P102" s="15">
        <f t="shared" si="36"/>
        <v>26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2</v>
      </c>
      <c r="E103" s="50">
        <v>3</v>
      </c>
      <c r="F103" s="50">
        <v>2</v>
      </c>
      <c r="G103" s="50">
        <v>0</v>
      </c>
      <c r="H103" s="50">
        <v>0</v>
      </c>
      <c r="I103" s="50">
        <v>0</v>
      </c>
      <c r="J103" s="50">
        <v>4</v>
      </c>
      <c r="K103" s="50">
        <v>0</v>
      </c>
      <c r="L103" s="50">
        <v>0</v>
      </c>
      <c r="M103" s="50">
        <v>14</v>
      </c>
      <c r="N103" s="50">
        <v>0</v>
      </c>
      <c r="O103" s="15">
        <f t="shared" si="35"/>
        <v>12</v>
      </c>
      <c r="P103" s="15">
        <f t="shared" si="36"/>
        <v>26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2</v>
      </c>
      <c r="J104" s="50">
        <v>2</v>
      </c>
      <c r="K104" s="50">
        <v>0</v>
      </c>
      <c r="L104" s="50">
        <v>0</v>
      </c>
      <c r="M104" s="50">
        <v>12</v>
      </c>
      <c r="N104" s="50">
        <v>2</v>
      </c>
      <c r="O104" s="15">
        <f t="shared" si="35"/>
        <v>9</v>
      </c>
      <c r="P104" s="15">
        <f t="shared" si="36"/>
        <v>21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1</v>
      </c>
      <c r="F105" s="50">
        <v>2</v>
      </c>
      <c r="G105" s="50">
        <v>0</v>
      </c>
      <c r="H105" s="50">
        <v>0</v>
      </c>
      <c r="I105" s="50">
        <v>5</v>
      </c>
      <c r="J105" s="50">
        <v>1</v>
      </c>
      <c r="K105" s="50">
        <v>0</v>
      </c>
      <c r="L105" s="50">
        <v>2</v>
      </c>
      <c r="M105" s="50">
        <v>15</v>
      </c>
      <c r="N105" s="50">
        <v>1</v>
      </c>
      <c r="O105" s="15">
        <f t="shared" si="35"/>
        <v>15</v>
      </c>
      <c r="P105" s="15">
        <f t="shared" si="36"/>
        <v>30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275</v>
      </c>
      <c r="D106" s="16">
        <f t="shared" ref="D106:P106" si="37">SUM(D10:D105)</f>
        <v>97</v>
      </c>
      <c r="E106" s="16">
        <f t="shared" si="37"/>
        <v>59</v>
      </c>
      <c r="F106" s="16">
        <f t="shared" si="37"/>
        <v>110</v>
      </c>
      <c r="G106" s="16">
        <f t="shared" si="37"/>
        <v>13</v>
      </c>
      <c r="H106" s="16">
        <f t="shared" si="37"/>
        <v>2</v>
      </c>
      <c r="I106" s="16">
        <f t="shared" si="37"/>
        <v>128</v>
      </c>
      <c r="J106" s="16">
        <f t="shared" si="37"/>
        <v>193</v>
      </c>
      <c r="K106" s="16">
        <f t="shared" si="37"/>
        <v>64</v>
      </c>
      <c r="L106" s="16">
        <f t="shared" si="37"/>
        <v>44</v>
      </c>
      <c r="M106" s="16">
        <f t="shared" si="37"/>
        <v>2557</v>
      </c>
      <c r="N106" s="16">
        <f t="shared" si="37"/>
        <v>15</v>
      </c>
      <c r="O106" s="16">
        <f t="shared" si="37"/>
        <v>1000</v>
      </c>
      <c r="P106" s="16">
        <f t="shared" si="37"/>
        <v>3557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7.7312341861118919E-2</v>
      </c>
      <c r="D107" s="43">
        <f t="shared" si="38"/>
        <v>2.7270171492831036E-2</v>
      </c>
      <c r="E107" s="43">
        <f t="shared" si="38"/>
        <v>1.6587011526567334E-2</v>
      </c>
      <c r="F107" s="43">
        <f t="shared" si="38"/>
        <v>3.092493674444757E-2</v>
      </c>
      <c r="G107" s="43">
        <f t="shared" si="38"/>
        <v>3.6547652516165309E-3</v>
      </c>
      <c r="H107" s="43">
        <f t="shared" si="38"/>
        <v>5.6227157717177395E-4</v>
      </c>
      <c r="I107" s="43">
        <f t="shared" si="38"/>
        <v>3.5985380938993533E-2</v>
      </c>
      <c r="J107" s="43">
        <f t="shared" si="38"/>
        <v>5.4259207197076186E-2</v>
      </c>
      <c r="K107" s="43">
        <f t="shared" si="38"/>
        <v>1.7992690469496767E-2</v>
      </c>
      <c r="L107" s="43">
        <f t="shared" si="38"/>
        <v>1.2369974697779028E-2</v>
      </c>
      <c r="M107" s="43">
        <f t="shared" si="38"/>
        <v>0.71886421141411305</v>
      </c>
      <c r="N107" s="43">
        <f t="shared" si="38"/>
        <v>4.2170368287883049E-3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0.27500000000000002</v>
      </c>
      <c r="D108" s="44">
        <f t="shared" ref="D108:N108" si="39">D106/$O$106</f>
        <v>9.7000000000000003E-2</v>
      </c>
      <c r="E108" s="44">
        <f t="shared" si="39"/>
        <v>5.8999999999999997E-2</v>
      </c>
      <c r="F108" s="44">
        <f t="shared" si="39"/>
        <v>0.11</v>
      </c>
      <c r="G108" s="44">
        <f t="shared" si="39"/>
        <v>1.2999999999999999E-2</v>
      </c>
      <c r="H108" s="44">
        <f t="shared" si="39"/>
        <v>2E-3</v>
      </c>
      <c r="I108" s="44">
        <f t="shared" si="39"/>
        <v>0.128</v>
      </c>
      <c r="J108" s="44">
        <f t="shared" si="39"/>
        <v>0.193</v>
      </c>
      <c r="K108" s="44">
        <f t="shared" si="39"/>
        <v>6.4000000000000001E-2</v>
      </c>
      <c r="L108" s="44">
        <f t="shared" si="39"/>
        <v>4.3999999999999997E-2</v>
      </c>
      <c r="M108" s="44"/>
      <c r="N108" s="44">
        <f t="shared" si="39"/>
        <v>1.4999999999999999E-2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43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'26.08 Musita-Lumino-24h'!D5</f>
        <v>26.08.19</v>
      </c>
      <c r="E5" s="3"/>
      <c r="F5" s="41" t="s">
        <v>1</v>
      </c>
      <c r="G5" s="63" t="str">
        <f>'26.08 Musita-Lumino-24h'!G5:H5</f>
        <v>Musita</v>
      </c>
      <c r="H5" s="64"/>
      <c r="I5" s="14"/>
      <c r="J5" s="2" t="s">
        <v>5</v>
      </c>
      <c r="K5" s="60" t="s">
        <v>171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Lumino-Musita'!D6:E6</f>
        <v>Lumino</v>
      </c>
      <c r="E6" s="64"/>
      <c r="F6" s="2" t="s">
        <v>2</v>
      </c>
      <c r="G6" s="63" t="str">
        <f>'22.08 Lumino-Musita'!G6:H6</f>
        <v>Musita</v>
      </c>
      <c r="H6" s="64"/>
      <c r="J6" s="2" t="s">
        <v>21</v>
      </c>
      <c r="K6" s="63" t="str">
        <f>'26.08 Musita-Lumino-24h'!K6:L6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2</v>
      </c>
      <c r="E10" s="50">
        <v>1</v>
      </c>
      <c r="F10" s="50">
        <v>1</v>
      </c>
      <c r="G10" s="50">
        <v>1</v>
      </c>
      <c r="H10" s="50">
        <v>0</v>
      </c>
      <c r="I10" s="50">
        <v>1</v>
      </c>
      <c r="J10" s="50">
        <v>2</v>
      </c>
      <c r="K10" s="50">
        <v>1</v>
      </c>
      <c r="L10" s="50">
        <v>0</v>
      </c>
      <c r="M10" s="50">
        <v>12</v>
      </c>
      <c r="N10" s="50">
        <v>0</v>
      </c>
      <c r="O10" s="15">
        <f t="shared" ref="O10:O73" si="0">SUM(C10:L10,N10)</f>
        <v>13</v>
      </c>
      <c r="P10" s="15">
        <f t="shared" ref="P10:P73" si="1">SUM(C10:N10)</f>
        <v>25</v>
      </c>
      <c r="R10" s="1" t="s">
        <v>6</v>
      </c>
      <c r="S10" s="17">
        <f t="shared" ref="S10:AF10" si="2">SUM(C10:C13)</f>
        <v>10</v>
      </c>
      <c r="T10" s="17">
        <f t="shared" si="2"/>
        <v>5</v>
      </c>
      <c r="U10" s="17">
        <f t="shared" si="2"/>
        <v>3</v>
      </c>
      <c r="V10" s="17">
        <f t="shared" si="2"/>
        <v>6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6</v>
      </c>
      <c r="AA10" s="17">
        <f t="shared" si="2"/>
        <v>3</v>
      </c>
      <c r="AB10" s="17">
        <f t="shared" si="2"/>
        <v>0</v>
      </c>
      <c r="AC10" s="17">
        <f t="shared" si="2"/>
        <v>103</v>
      </c>
      <c r="AD10" s="17">
        <f t="shared" si="2"/>
        <v>0</v>
      </c>
      <c r="AE10" s="31">
        <f t="shared" si="2"/>
        <v>39</v>
      </c>
      <c r="AF10" s="31">
        <f t="shared" si="2"/>
        <v>142</v>
      </c>
    </row>
    <row r="11" spans="2:32" s="6" customFormat="1" ht="23.1" customHeight="1" x14ac:dyDescent="0.25">
      <c r="B11" s="45" t="s">
        <v>38</v>
      </c>
      <c r="C11" s="50">
        <v>4</v>
      </c>
      <c r="D11" s="50">
        <v>1</v>
      </c>
      <c r="E11" s="50">
        <v>2</v>
      </c>
      <c r="F11" s="50">
        <v>3</v>
      </c>
      <c r="G11" s="50">
        <v>0</v>
      </c>
      <c r="H11" s="50">
        <v>0</v>
      </c>
      <c r="I11" s="50">
        <v>2</v>
      </c>
      <c r="J11" s="50">
        <v>2</v>
      </c>
      <c r="K11" s="50">
        <v>1</v>
      </c>
      <c r="L11" s="50">
        <v>0</v>
      </c>
      <c r="M11" s="50">
        <v>26</v>
      </c>
      <c r="N11" s="50">
        <v>0</v>
      </c>
      <c r="O11" s="15">
        <f t="shared" si="0"/>
        <v>15</v>
      </c>
      <c r="P11" s="15">
        <f t="shared" si="1"/>
        <v>41</v>
      </c>
      <c r="R11" s="1" t="s">
        <v>7</v>
      </c>
      <c r="S11" s="17">
        <f t="shared" ref="S11:AF11" si="3">SUM(C14:C17)</f>
        <v>10</v>
      </c>
      <c r="T11" s="17">
        <f t="shared" si="3"/>
        <v>6</v>
      </c>
      <c r="U11" s="17">
        <f t="shared" si="3"/>
        <v>3</v>
      </c>
      <c r="V11" s="17">
        <f t="shared" si="3"/>
        <v>6</v>
      </c>
      <c r="W11" s="17">
        <f t="shared" si="3"/>
        <v>2</v>
      </c>
      <c r="X11" s="17">
        <f t="shared" si="3"/>
        <v>0</v>
      </c>
      <c r="Y11" s="17">
        <f t="shared" si="3"/>
        <v>1</v>
      </c>
      <c r="Z11" s="17">
        <f t="shared" si="3"/>
        <v>10</v>
      </c>
      <c r="AA11" s="17">
        <f t="shared" si="3"/>
        <v>0</v>
      </c>
      <c r="AB11" s="17">
        <f t="shared" si="3"/>
        <v>0</v>
      </c>
      <c r="AC11" s="17">
        <f t="shared" si="3"/>
        <v>177</v>
      </c>
      <c r="AD11" s="17">
        <f t="shared" si="3"/>
        <v>0</v>
      </c>
      <c r="AE11" s="31">
        <f t="shared" si="3"/>
        <v>38</v>
      </c>
      <c r="AF11" s="31">
        <f t="shared" si="3"/>
        <v>215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1</v>
      </c>
      <c r="H12" s="50">
        <v>0</v>
      </c>
      <c r="I12" s="50">
        <v>0</v>
      </c>
      <c r="J12" s="50">
        <v>2</v>
      </c>
      <c r="K12" s="50">
        <v>1</v>
      </c>
      <c r="L12" s="50">
        <v>0</v>
      </c>
      <c r="M12" s="50">
        <v>35</v>
      </c>
      <c r="N12" s="50">
        <v>0</v>
      </c>
      <c r="O12" s="15">
        <f t="shared" si="0"/>
        <v>6</v>
      </c>
      <c r="P12" s="15">
        <f t="shared" si="1"/>
        <v>41</v>
      </c>
      <c r="R12" s="1" t="s">
        <v>8</v>
      </c>
      <c r="S12" s="17">
        <f t="shared" ref="S12:AF12" si="4">SUM(C18:C21)</f>
        <v>7</v>
      </c>
      <c r="T12" s="17">
        <f t="shared" si="4"/>
        <v>6</v>
      </c>
      <c r="U12" s="17">
        <f t="shared" si="4"/>
        <v>1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9</v>
      </c>
      <c r="AA12" s="17">
        <f t="shared" si="4"/>
        <v>2</v>
      </c>
      <c r="AB12" s="17">
        <f t="shared" si="4"/>
        <v>0</v>
      </c>
      <c r="AC12" s="17">
        <f t="shared" si="4"/>
        <v>117</v>
      </c>
      <c r="AD12" s="17">
        <f t="shared" si="4"/>
        <v>2</v>
      </c>
      <c r="AE12" s="31">
        <f t="shared" si="4"/>
        <v>35</v>
      </c>
      <c r="AF12" s="31">
        <f t="shared" si="4"/>
        <v>152</v>
      </c>
    </row>
    <row r="13" spans="2:32" ht="23.1" customHeight="1" x14ac:dyDescent="0.25">
      <c r="B13" s="45" t="s">
        <v>40</v>
      </c>
      <c r="C13" s="50">
        <v>1</v>
      </c>
      <c r="D13" s="50">
        <v>2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30</v>
      </c>
      <c r="N13" s="50">
        <v>0</v>
      </c>
      <c r="O13" s="15">
        <f t="shared" si="0"/>
        <v>5</v>
      </c>
      <c r="P13" s="15">
        <f t="shared" si="1"/>
        <v>35</v>
      </c>
      <c r="R13" s="1" t="s">
        <v>9</v>
      </c>
      <c r="S13" s="17">
        <f t="shared" ref="S13:AF13" si="5">SUM(C22:C25)</f>
        <v>10</v>
      </c>
      <c r="T13" s="17">
        <f t="shared" si="5"/>
        <v>5</v>
      </c>
      <c r="U13" s="17">
        <f t="shared" si="5"/>
        <v>1</v>
      </c>
      <c r="V13" s="17">
        <f t="shared" si="5"/>
        <v>7</v>
      </c>
      <c r="W13" s="17">
        <f t="shared" si="5"/>
        <v>1</v>
      </c>
      <c r="X13" s="17">
        <f t="shared" si="5"/>
        <v>0</v>
      </c>
      <c r="Y13" s="17">
        <f t="shared" si="5"/>
        <v>5</v>
      </c>
      <c r="Z13" s="17">
        <f t="shared" si="5"/>
        <v>9</v>
      </c>
      <c r="AA13" s="17">
        <f t="shared" si="5"/>
        <v>1</v>
      </c>
      <c r="AB13" s="17">
        <f t="shared" si="5"/>
        <v>0</v>
      </c>
      <c r="AC13" s="17">
        <f t="shared" si="5"/>
        <v>136</v>
      </c>
      <c r="AD13" s="17">
        <f t="shared" si="5"/>
        <v>0</v>
      </c>
      <c r="AE13" s="31">
        <f t="shared" si="5"/>
        <v>39</v>
      </c>
      <c r="AF13" s="31">
        <f t="shared" si="5"/>
        <v>175</v>
      </c>
    </row>
    <row r="14" spans="2:32" ht="23.1" customHeight="1" x14ac:dyDescent="0.25">
      <c r="B14" s="45" t="s">
        <v>41</v>
      </c>
      <c r="C14" s="50">
        <v>2</v>
      </c>
      <c r="D14" s="50">
        <v>2</v>
      </c>
      <c r="E14" s="50">
        <v>1</v>
      </c>
      <c r="F14" s="50">
        <v>2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30</v>
      </c>
      <c r="N14" s="50">
        <v>0</v>
      </c>
      <c r="O14" s="15">
        <f t="shared" si="0"/>
        <v>8</v>
      </c>
      <c r="P14" s="15">
        <f t="shared" si="1"/>
        <v>38</v>
      </c>
      <c r="R14" s="1" t="s">
        <v>10</v>
      </c>
      <c r="S14" s="17">
        <f t="shared" ref="S14:AF14" si="6">SUM(C26:C29)</f>
        <v>11</v>
      </c>
      <c r="T14" s="17">
        <f t="shared" si="6"/>
        <v>2</v>
      </c>
      <c r="U14" s="17">
        <f t="shared" si="6"/>
        <v>3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6</v>
      </c>
      <c r="AA14" s="17">
        <f t="shared" si="6"/>
        <v>0</v>
      </c>
      <c r="AB14" s="17">
        <f t="shared" si="6"/>
        <v>1</v>
      </c>
      <c r="AC14" s="17">
        <f t="shared" si="6"/>
        <v>221</v>
      </c>
      <c r="AD14" s="17">
        <f t="shared" si="6"/>
        <v>0</v>
      </c>
      <c r="AE14" s="31">
        <f t="shared" si="6"/>
        <v>38</v>
      </c>
      <c r="AF14" s="31">
        <f t="shared" si="6"/>
        <v>259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0</v>
      </c>
      <c r="J15" s="50">
        <v>5</v>
      </c>
      <c r="K15" s="50">
        <v>0</v>
      </c>
      <c r="L15" s="50">
        <v>0</v>
      </c>
      <c r="M15" s="50">
        <v>55</v>
      </c>
      <c r="N15" s="50">
        <v>0</v>
      </c>
      <c r="O15" s="15">
        <f t="shared" si="0"/>
        <v>8</v>
      </c>
      <c r="P15" s="15">
        <f t="shared" si="1"/>
        <v>63</v>
      </c>
      <c r="R15" s="1" t="s">
        <v>11</v>
      </c>
      <c r="S15" s="17">
        <f t="shared" ref="S15:AF15" si="7">SUM(C30:C33)</f>
        <v>28</v>
      </c>
      <c r="T15" s="17">
        <f t="shared" si="7"/>
        <v>5</v>
      </c>
      <c r="U15" s="17">
        <f t="shared" si="7"/>
        <v>1</v>
      </c>
      <c r="V15" s="17">
        <f t="shared" si="7"/>
        <v>12</v>
      </c>
      <c r="W15" s="17">
        <f t="shared" si="7"/>
        <v>2</v>
      </c>
      <c r="X15" s="17">
        <f t="shared" si="7"/>
        <v>0</v>
      </c>
      <c r="Y15" s="17">
        <f t="shared" si="7"/>
        <v>7</v>
      </c>
      <c r="Z15" s="17">
        <f t="shared" si="7"/>
        <v>5</v>
      </c>
      <c r="AA15" s="17">
        <f t="shared" si="7"/>
        <v>4</v>
      </c>
      <c r="AB15" s="17">
        <f t="shared" si="7"/>
        <v>2</v>
      </c>
      <c r="AC15" s="17">
        <f t="shared" si="7"/>
        <v>239</v>
      </c>
      <c r="AD15" s="17">
        <f t="shared" si="7"/>
        <v>0</v>
      </c>
      <c r="AE15" s="31">
        <f t="shared" si="7"/>
        <v>66</v>
      </c>
      <c r="AF15" s="31">
        <f t="shared" si="7"/>
        <v>305</v>
      </c>
    </row>
    <row r="16" spans="2:32" ht="23.1" customHeight="1" x14ac:dyDescent="0.25">
      <c r="B16" s="45" t="s">
        <v>43</v>
      </c>
      <c r="C16" s="50">
        <v>4</v>
      </c>
      <c r="D16" s="50">
        <v>3</v>
      </c>
      <c r="E16" s="50">
        <v>2</v>
      </c>
      <c r="F16" s="50">
        <v>1</v>
      </c>
      <c r="G16" s="50">
        <v>1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54</v>
      </c>
      <c r="N16" s="50">
        <v>0</v>
      </c>
      <c r="O16" s="15">
        <f t="shared" si="0"/>
        <v>14</v>
      </c>
      <c r="P16" s="15">
        <f t="shared" si="1"/>
        <v>68</v>
      </c>
      <c r="R16" s="1" t="s">
        <v>12</v>
      </c>
      <c r="S16" s="17">
        <f t="shared" ref="S16:AF16" si="8">SUM(C34:C37)</f>
        <v>26</v>
      </c>
      <c r="T16" s="17">
        <f t="shared" si="8"/>
        <v>1</v>
      </c>
      <c r="U16" s="17">
        <f t="shared" si="8"/>
        <v>1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7</v>
      </c>
      <c r="AA16" s="17">
        <f t="shared" si="8"/>
        <v>2</v>
      </c>
      <c r="AB16" s="17">
        <f t="shared" si="8"/>
        <v>6</v>
      </c>
      <c r="AC16" s="17">
        <f t="shared" si="8"/>
        <v>227</v>
      </c>
      <c r="AD16" s="17">
        <f t="shared" si="8"/>
        <v>0</v>
      </c>
      <c r="AE16" s="31">
        <f t="shared" si="8"/>
        <v>59</v>
      </c>
      <c r="AF16" s="31">
        <f t="shared" si="8"/>
        <v>286</v>
      </c>
    </row>
    <row r="17" spans="2:32" ht="23.1" customHeight="1" x14ac:dyDescent="0.25">
      <c r="B17" s="45" t="s">
        <v>44</v>
      </c>
      <c r="C17" s="50">
        <v>3</v>
      </c>
      <c r="D17" s="50">
        <v>1</v>
      </c>
      <c r="E17" s="50">
        <v>0</v>
      </c>
      <c r="F17" s="50">
        <v>1</v>
      </c>
      <c r="G17" s="50">
        <v>1</v>
      </c>
      <c r="H17" s="50">
        <v>0</v>
      </c>
      <c r="I17" s="50">
        <v>0</v>
      </c>
      <c r="J17" s="50">
        <v>2</v>
      </c>
      <c r="K17" s="50">
        <v>0</v>
      </c>
      <c r="L17" s="50">
        <v>0</v>
      </c>
      <c r="M17" s="50">
        <v>38</v>
      </c>
      <c r="N17" s="50">
        <v>0</v>
      </c>
      <c r="O17" s="15">
        <f t="shared" si="0"/>
        <v>8</v>
      </c>
      <c r="P17" s="15">
        <f t="shared" si="1"/>
        <v>46</v>
      </c>
      <c r="R17" s="1" t="s">
        <v>13</v>
      </c>
      <c r="S17" s="17">
        <f t="shared" ref="S17:AF17" si="9">SUM(C38:C41)</f>
        <v>19</v>
      </c>
      <c r="T17" s="17">
        <f t="shared" si="9"/>
        <v>4</v>
      </c>
      <c r="U17" s="17">
        <f t="shared" si="9"/>
        <v>6</v>
      </c>
      <c r="V17" s="17">
        <f t="shared" si="9"/>
        <v>7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4</v>
      </c>
      <c r="AA17" s="17">
        <f t="shared" si="9"/>
        <v>1</v>
      </c>
      <c r="AB17" s="17">
        <f t="shared" si="9"/>
        <v>2</v>
      </c>
      <c r="AC17" s="17">
        <f t="shared" si="9"/>
        <v>169</v>
      </c>
      <c r="AD17" s="17">
        <f t="shared" si="9"/>
        <v>0</v>
      </c>
      <c r="AE17" s="31">
        <f t="shared" si="9"/>
        <v>53</v>
      </c>
      <c r="AF17" s="31">
        <f t="shared" si="9"/>
        <v>222</v>
      </c>
    </row>
    <row r="18" spans="2:32" ht="23.1" customHeight="1" x14ac:dyDescent="0.25">
      <c r="B18" s="45" t="s">
        <v>45</v>
      </c>
      <c r="C18" s="50">
        <v>2</v>
      </c>
      <c r="D18" s="50">
        <v>3</v>
      </c>
      <c r="E18" s="50">
        <v>1</v>
      </c>
      <c r="F18" s="50">
        <v>2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20</v>
      </c>
      <c r="N18" s="50">
        <v>0</v>
      </c>
      <c r="O18" s="15">
        <f t="shared" si="0"/>
        <v>9</v>
      </c>
      <c r="P18" s="15">
        <f t="shared" si="1"/>
        <v>29</v>
      </c>
      <c r="R18" s="1" t="s">
        <v>14</v>
      </c>
      <c r="S18" s="17">
        <f t="shared" ref="S18:AF18" si="10">SUM(C42:C45)</f>
        <v>24</v>
      </c>
      <c r="T18" s="17">
        <f t="shared" si="10"/>
        <v>6</v>
      </c>
      <c r="U18" s="17">
        <f t="shared" si="10"/>
        <v>2</v>
      </c>
      <c r="V18" s="17">
        <f t="shared" si="10"/>
        <v>10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3</v>
      </c>
      <c r="AA18" s="17">
        <f t="shared" si="10"/>
        <v>0</v>
      </c>
      <c r="AB18" s="17">
        <f t="shared" si="10"/>
        <v>5</v>
      </c>
      <c r="AC18" s="17">
        <f t="shared" si="10"/>
        <v>168</v>
      </c>
      <c r="AD18" s="17">
        <f t="shared" si="10"/>
        <v>0</v>
      </c>
      <c r="AE18" s="31">
        <f t="shared" si="10"/>
        <v>55</v>
      </c>
      <c r="AF18" s="31">
        <f t="shared" si="10"/>
        <v>223</v>
      </c>
    </row>
    <row r="19" spans="2:32" ht="23.1" customHeight="1" x14ac:dyDescent="0.25">
      <c r="B19" s="45" t="s">
        <v>46</v>
      </c>
      <c r="C19" s="50">
        <v>2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37</v>
      </c>
      <c r="N19" s="50">
        <v>0</v>
      </c>
      <c r="O19" s="15">
        <f t="shared" si="0"/>
        <v>7</v>
      </c>
      <c r="P19" s="15">
        <f t="shared" si="1"/>
        <v>44</v>
      </c>
      <c r="R19" s="1" t="s">
        <v>15</v>
      </c>
      <c r="S19" s="17">
        <f t="shared" ref="S19:AF19" si="11">SUM(C46:C49)</f>
        <v>10</v>
      </c>
      <c r="T19" s="17">
        <f t="shared" si="11"/>
        <v>8</v>
      </c>
      <c r="U19" s="17">
        <f t="shared" si="11"/>
        <v>10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5</v>
      </c>
      <c r="AA19" s="17">
        <f t="shared" si="11"/>
        <v>1</v>
      </c>
      <c r="AB19" s="17">
        <f t="shared" si="11"/>
        <v>10</v>
      </c>
      <c r="AC19" s="17">
        <f t="shared" si="11"/>
        <v>185</v>
      </c>
      <c r="AD19" s="17">
        <f t="shared" si="11"/>
        <v>0</v>
      </c>
      <c r="AE19" s="31">
        <f t="shared" si="11"/>
        <v>62</v>
      </c>
      <c r="AF19" s="31">
        <f t="shared" si="11"/>
        <v>247</v>
      </c>
    </row>
    <row r="20" spans="2:32" ht="23.1" customHeight="1" x14ac:dyDescent="0.25">
      <c r="B20" s="45" t="s">
        <v>47</v>
      </c>
      <c r="C20" s="50">
        <v>2</v>
      </c>
      <c r="D20" s="50">
        <v>1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3</v>
      </c>
      <c r="K20" s="50">
        <v>1</v>
      </c>
      <c r="L20" s="50">
        <v>0</v>
      </c>
      <c r="M20" s="50">
        <v>35</v>
      </c>
      <c r="N20" s="50">
        <v>2</v>
      </c>
      <c r="O20" s="15">
        <f t="shared" si="0"/>
        <v>11</v>
      </c>
      <c r="P20" s="15">
        <f t="shared" si="1"/>
        <v>46</v>
      </c>
      <c r="R20" s="1" t="s">
        <v>16</v>
      </c>
      <c r="S20" s="17">
        <f t="shared" ref="S20:AF20" si="12">SUM(C50:C53)</f>
        <v>19</v>
      </c>
      <c r="T20" s="17">
        <f t="shared" si="12"/>
        <v>11</v>
      </c>
      <c r="U20" s="17">
        <f t="shared" si="12"/>
        <v>1</v>
      </c>
      <c r="V20" s="17">
        <f t="shared" si="12"/>
        <v>8</v>
      </c>
      <c r="W20" s="17">
        <f t="shared" si="12"/>
        <v>0</v>
      </c>
      <c r="X20" s="17">
        <f t="shared" si="12"/>
        <v>0</v>
      </c>
      <c r="Y20" s="17">
        <f t="shared" si="12"/>
        <v>12</v>
      </c>
      <c r="Z20" s="17">
        <f t="shared" si="12"/>
        <v>9</v>
      </c>
      <c r="AA20" s="17">
        <f t="shared" si="12"/>
        <v>2</v>
      </c>
      <c r="AB20" s="17">
        <f t="shared" si="12"/>
        <v>5</v>
      </c>
      <c r="AC20" s="17">
        <f t="shared" si="12"/>
        <v>199</v>
      </c>
      <c r="AD20" s="17">
        <f t="shared" si="12"/>
        <v>0</v>
      </c>
      <c r="AE20" s="31">
        <f t="shared" si="12"/>
        <v>67</v>
      </c>
      <c r="AF20" s="31">
        <f t="shared" si="12"/>
        <v>266</v>
      </c>
    </row>
    <row r="21" spans="2:32" ht="23.1" customHeight="1" x14ac:dyDescent="0.25">
      <c r="B21" s="45" t="s">
        <v>48</v>
      </c>
      <c r="C21" s="50">
        <v>1</v>
      </c>
      <c r="D21" s="50">
        <v>1</v>
      </c>
      <c r="E21" s="50">
        <v>0</v>
      </c>
      <c r="F21" s="50">
        <v>1</v>
      </c>
      <c r="G21" s="50">
        <v>0</v>
      </c>
      <c r="H21" s="50">
        <v>0</v>
      </c>
      <c r="I21" s="50">
        <v>1</v>
      </c>
      <c r="J21" s="50">
        <v>3</v>
      </c>
      <c r="K21" s="50">
        <v>1</v>
      </c>
      <c r="L21" s="50">
        <v>0</v>
      </c>
      <c r="M21" s="50">
        <v>25</v>
      </c>
      <c r="N21" s="50">
        <v>0</v>
      </c>
      <c r="O21" s="15">
        <f t="shared" si="0"/>
        <v>8</v>
      </c>
      <c r="P21" s="15">
        <f t="shared" si="1"/>
        <v>33</v>
      </c>
      <c r="R21" s="36" t="s">
        <v>20</v>
      </c>
      <c r="S21" s="34">
        <f t="shared" ref="S21:AF21" si="13">SUM(C54:C57)</f>
        <v>25</v>
      </c>
      <c r="T21" s="17">
        <f t="shared" si="13"/>
        <v>9</v>
      </c>
      <c r="U21" s="17">
        <f t="shared" si="13"/>
        <v>7</v>
      </c>
      <c r="V21" s="17">
        <f t="shared" si="13"/>
        <v>13</v>
      </c>
      <c r="W21" s="17">
        <f t="shared" si="13"/>
        <v>4</v>
      </c>
      <c r="X21" s="17">
        <f t="shared" si="13"/>
        <v>0</v>
      </c>
      <c r="Y21" s="17">
        <f t="shared" si="13"/>
        <v>8</v>
      </c>
      <c r="Z21" s="17">
        <f t="shared" si="13"/>
        <v>15</v>
      </c>
      <c r="AA21" s="17">
        <f t="shared" si="13"/>
        <v>0</v>
      </c>
      <c r="AB21" s="17">
        <f t="shared" si="13"/>
        <v>3</v>
      </c>
      <c r="AC21" s="17">
        <f t="shared" si="13"/>
        <v>223</v>
      </c>
      <c r="AD21" s="17">
        <f t="shared" si="13"/>
        <v>1</v>
      </c>
      <c r="AE21" s="31">
        <f t="shared" si="13"/>
        <v>85</v>
      </c>
      <c r="AF21" s="31">
        <f t="shared" si="13"/>
        <v>308</v>
      </c>
    </row>
    <row r="22" spans="2:32" ht="23.1" customHeight="1" x14ac:dyDescent="0.25">
      <c r="B22" s="45" t="s">
        <v>49</v>
      </c>
      <c r="C22" s="50">
        <v>3</v>
      </c>
      <c r="D22" s="50">
        <v>1</v>
      </c>
      <c r="E22" s="50">
        <v>0</v>
      </c>
      <c r="F22" s="50">
        <v>3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37</v>
      </c>
      <c r="N22" s="50">
        <v>0</v>
      </c>
      <c r="O22" s="15">
        <f t="shared" si="0"/>
        <v>9</v>
      </c>
      <c r="P22" s="15">
        <f t="shared" si="1"/>
        <v>46</v>
      </c>
      <c r="R22" s="36" t="s">
        <v>146</v>
      </c>
      <c r="S22" s="34">
        <f>SUM(C58:C61)</f>
        <v>28</v>
      </c>
      <c r="T22" s="34">
        <f t="shared" ref="T22:AF22" si="14">SUM(D58:D61)</f>
        <v>7</v>
      </c>
      <c r="U22" s="34">
        <f t="shared" si="14"/>
        <v>6</v>
      </c>
      <c r="V22" s="34">
        <f t="shared" si="14"/>
        <v>14</v>
      </c>
      <c r="W22" s="34">
        <f t="shared" si="14"/>
        <v>2</v>
      </c>
      <c r="X22" s="34">
        <f t="shared" si="14"/>
        <v>0</v>
      </c>
      <c r="Y22" s="34">
        <f t="shared" si="14"/>
        <v>8</v>
      </c>
      <c r="Z22" s="34">
        <f t="shared" si="14"/>
        <v>7</v>
      </c>
      <c r="AA22" s="34">
        <f t="shared" si="14"/>
        <v>8</v>
      </c>
      <c r="AB22" s="34">
        <f t="shared" si="14"/>
        <v>3</v>
      </c>
      <c r="AC22" s="34">
        <f t="shared" si="14"/>
        <v>187</v>
      </c>
      <c r="AD22" s="34">
        <f t="shared" si="14"/>
        <v>2</v>
      </c>
      <c r="AE22" s="31">
        <f t="shared" si="14"/>
        <v>85</v>
      </c>
      <c r="AF22" s="31">
        <f t="shared" si="14"/>
        <v>272</v>
      </c>
    </row>
    <row r="23" spans="2:32" ht="23.1" customHeight="1" x14ac:dyDescent="0.25">
      <c r="B23" s="45" t="s">
        <v>50</v>
      </c>
      <c r="C23" s="50">
        <v>3</v>
      </c>
      <c r="D23" s="50">
        <v>0</v>
      </c>
      <c r="E23" s="50">
        <v>1</v>
      </c>
      <c r="F23" s="50">
        <v>2</v>
      </c>
      <c r="G23" s="50">
        <v>0</v>
      </c>
      <c r="H23" s="50">
        <v>0</v>
      </c>
      <c r="I23" s="50">
        <v>0</v>
      </c>
      <c r="J23" s="50">
        <v>4</v>
      </c>
      <c r="K23" s="50">
        <v>1</v>
      </c>
      <c r="L23" s="50">
        <v>0</v>
      </c>
      <c r="M23" s="50">
        <v>30</v>
      </c>
      <c r="N23" s="50">
        <v>0</v>
      </c>
      <c r="O23" s="15">
        <f t="shared" si="0"/>
        <v>11</v>
      </c>
      <c r="P23" s="15">
        <f t="shared" si="1"/>
        <v>41</v>
      </c>
      <c r="R23" s="36" t="s">
        <v>147</v>
      </c>
      <c r="S23" s="34">
        <f>SUM(C62:C65)</f>
        <v>21</v>
      </c>
      <c r="T23" s="34">
        <f t="shared" ref="T23:AF23" si="15">SUM(D62:D65)</f>
        <v>2</v>
      </c>
      <c r="U23" s="34">
        <f t="shared" si="15"/>
        <v>4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8</v>
      </c>
      <c r="Z23" s="34">
        <f t="shared" si="15"/>
        <v>3</v>
      </c>
      <c r="AA23" s="34">
        <f t="shared" si="15"/>
        <v>2</v>
      </c>
      <c r="AB23" s="34">
        <f t="shared" si="15"/>
        <v>3</v>
      </c>
      <c r="AC23" s="34">
        <f t="shared" si="15"/>
        <v>127</v>
      </c>
      <c r="AD23" s="34">
        <f t="shared" si="15"/>
        <v>0</v>
      </c>
      <c r="AE23" s="31">
        <f t="shared" si="15"/>
        <v>43</v>
      </c>
      <c r="AF23" s="31">
        <f t="shared" si="15"/>
        <v>170</v>
      </c>
    </row>
    <row r="24" spans="2:32" ht="23.1" customHeight="1" x14ac:dyDescent="0.25">
      <c r="B24" s="45" t="s">
        <v>51</v>
      </c>
      <c r="C24" s="50">
        <v>2</v>
      </c>
      <c r="D24" s="50">
        <v>2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3</v>
      </c>
      <c r="K24" s="50">
        <v>0</v>
      </c>
      <c r="L24" s="50">
        <v>0</v>
      </c>
      <c r="M24" s="50">
        <v>36</v>
      </c>
      <c r="N24" s="50">
        <v>0</v>
      </c>
      <c r="O24" s="15">
        <f t="shared" si="0"/>
        <v>9</v>
      </c>
      <c r="P24" s="15">
        <f t="shared" si="1"/>
        <v>45</v>
      </c>
      <c r="R24" s="36" t="s">
        <v>148</v>
      </c>
      <c r="S24" s="34">
        <f>SUM(C66:C69)</f>
        <v>11</v>
      </c>
      <c r="T24" s="34">
        <f t="shared" ref="T24:AF24" si="16">SUM(D66:D69)</f>
        <v>1</v>
      </c>
      <c r="U24" s="34">
        <f t="shared" si="16"/>
        <v>1</v>
      </c>
      <c r="V24" s="34">
        <f t="shared" si="16"/>
        <v>6</v>
      </c>
      <c r="W24" s="34">
        <f t="shared" si="16"/>
        <v>0</v>
      </c>
      <c r="X24" s="34">
        <f t="shared" si="16"/>
        <v>0</v>
      </c>
      <c r="Y24" s="34">
        <f t="shared" si="16"/>
        <v>5</v>
      </c>
      <c r="Z24" s="34">
        <f t="shared" si="16"/>
        <v>9</v>
      </c>
      <c r="AA24" s="34">
        <f t="shared" si="16"/>
        <v>2</v>
      </c>
      <c r="AB24" s="34">
        <f t="shared" si="16"/>
        <v>3</v>
      </c>
      <c r="AC24" s="34">
        <f t="shared" si="16"/>
        <v>44</v>
      </c>
      <c r="AD24" s="34">
        <f t="shared" si="16"/>
        <v>1</v>
      </c>
      <c r="AE24" s="31">
        <f t="shared" si="16"/>
        <v>39</v>
      </c>
      <c r="AF24" s="31">
        <f t="shared" si="16"/>
        <v>83</v>
      </c>
    </row>
    <row r="25" spans="2:32" ht="23.1" customHeight="1" x14ac:dyDescent="0.25">
      <c r="B25" s="45" t="s">
        <v>52</v>
      </c>
      <c r="C25" s="50">
        <v>2</v>
      </c>
      <c r="D25" s="50">
        <v>2</v>
      </c>
      <c r="E25" s="50">
        <v>0</v>
      </c>
      <c r="F25" s="50">
        <v>0</v>
      </c>
      <c r="G25" s="50">
        <v>0</v>
      </c>
      <c r="H25" s="50">
        <v>0</v>
      </c>
      <c r="I25" s="50">
        <v>4</v>
      </c>
      <c r="J25" s="50">
        <v>2</v>
      </c>
      <c r="K25" s="50">
        <v>0</v>
      </c>
      <c r="L25" s="50">
        <v>0</v>
      </c>
      <c r="M25" s="50">
        <v>33</v>
      </c>
      <c r="N25" s="50">
        <v>0</v>
      </c>
      <c r="O25" s="15">
        <f t="shared" si="0"/>
        <v>10</v>
      </c>
      <c r="P25" s="15">
        <f t="shared" si="1"/>
        <v>43</v>
      </c>
      <c r="R25" s="36" t="s">
        <v>149</v>
      </c>
      <c r="S25" s="34">
        <f>SUM(C70:C73)</f>
        <v>8</v>
      </c>
      <c r="T25" s="34">
        <f t="shared" ref="T25:AF25" si="17">SUM(D70:D73)</f>
        <v>3</v>
      </c>
      <c r="U25" s="34">
        <f t="shared" si="17"/>
        <v>2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10</v>
      </c>
      <c r="Z25" s="34">
        <f t="shared" si="17"/>
        <v>5</v>
      </c>
      <c r="AA25" s="34">
        <f t="shared" si="17"/>
        <v>3</v>
      </c>
      <c r="AB25" s="34">
        <f t="shared" si="17"/>
        <v>2</v>
      </c>
      <c r="AC25" s="34">
        <f t="shared" si="17"/>
        <v>29</v>
      </c>
      <c r="AD25" s="34">
        <f t="shared" si="17"/>
        <v>0</v>
      </c>
      <c r="AE25" s="31">
        <f t="shared" si="17"/>
        <v>34</v>
      </c>
      <c r="AF25" s="31">
        <f t="shared" si="17"/>
        <v>63</v>
      </c>
    </row>
    <row r="26" spans="2:32" ht="23.1" customHeight="1" x14ac:dyDescent="0.25">
      <c r="B26" s="45" t="s">
        <v>53</v>
      </c>
      <c r="C26" s="50">
        <v>3</v>
      </c>
      <c r="D26" s="50">
        <v>1</v>
      </c>
      <c r="E26" s="50">
        <v>1</v>
      </c>
      <c r="F26" s="50">
        <v>3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68</v>
      </c>
      <c r="N26" s="50">
        <v>0</v>
      </c>
      <c r="O26" s="15">
        <f t="shared" si="0"/>
        <v>12</v>
      </c>
      <c r="P26" s="15">
        <f t="shared" si="1"/>
        <v>80</v>
      </c>
      <c r="R26" s="36" t="s">
        <v>150</v>
      </c>
      <c r="S26" s="34">
        <f>SUM(C74:C77)</f>
        <v>8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2</v>
      </c>
      <c r="AB26" s="34">
        <f t="shared" si="18"/>
        <v>2</v>
      </c>
      <c r="AC26" s="34">
        <f t="shared" si="18"/>
        <v>25</v>
      </c>
      <c r="AD26" s="34">
        <f t="shared" si="18"/>
        <v>0</v>
      </c>
      <c r="AE26" s="31">
        <f t="shared" si="18"/>
        <v>24</v>
      </c>
      <c r="AF26" s="31">
        <f t="shared" si="18"/>
        <v>49</v>
      </c>
    </row>
    <row r="27" spans="2:32" ht="23.1" customHeight="1" x14ac:dyDescent="0.25">
      <c r="B27" s="45" t="s">
        <v>54</v>
      </c>
      <c r="C27" s="50">
        <v>4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60</v>
      </c>
      <c r="N27" s="50">
        <v>0</v>
      </c>
      <c r="O27" s="15">
        <f t="shared" si="0"/>
        <v>9</v>
      </c>
      <c r="P27" s="15">
        <f t="shared" si="1"/>
        <v>69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1</v>
      </c>
      <c r="X27" s="34">
        <f t="shared" si="19"/>
        <v>2</v>
      </c>
      <c r="Y27" s="34">
        <f t="shared" si="19"/>
        <v>2</v>
      </c>
      <c r="Z27" s="34">
        <f t="shared" si="19"/>
        <v>1</v>
      </c>
      <c r="AA27" s="34">
        <f t="shared" si="19"/>
        <v>3</v>
      </c>
      <c r="AB27" s="34">
        <f t="shared" si="19"/>
        <v>2</v>
      </c>
      <c r="AC27" s="34">
        <f t="shared" si="19"/>
        <v>3</v>
      </c>
      <c r="AD27" s="34">
        <f t="shared" si="19"/>
        <v>0</v>
      </c>
      <c r="AE27" s="31">
        <f t="shared" si="19"/>
        <v>14</v>
      </c>
      <c r="AF27" s="31">
        <f t="shared" si="19"/>
        <v>17</v>
      </c>
    </row>
    <row r="28" spans="2:32" ht="23.1" customHeight="1" x14ac:dyDescent="0.25">
      <c r="B28" s="45" t="s">
        <v>55</v>
      </c>
      <c r="C28" s="50">
        <v>1</v>
      </c>
      <c r="D28" s="50">
        <v>1</v>
      </c>
      <c r="E28" s="50">
        <v>1</v>
      </c>
      <c r="F28" s="50">
        <v>2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45</v>
      </c>
      <c r="N28" s="50">
        <v>0</v>
      </c>
      <c r="O28" s="15">
        <f t="shared" si="0"/>
        <v>6</v>
      </c>
      <c r="P28" s="15">
        <f t="shared" si="1"/>
        <v>51</v>
      </c>
      <c r="R28" s="36" t="s">
        <v>152</v>
      </c>
      <c r="S28" s="34">
        <f>SUM(C82:C85)</f>
        <v>2</v>
      </c>
      <c r="T28" s="34">
        <f t="shared" ref="T28:AF28" si="20">SUM(D82:D85)</f>
        <v>3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1</v>
      </c>
      <c r="AB28" s="34">
        <f t="shared" si="20"/>
        <v>1</v>
      </c>
      <c r="AC28" s="34">
        <f t="shared" si="20"/>
        <v>0</v>
      </c>
      <c r="AD28" s="34">
        <f t="shared" si="20"/>
        <v>0</v>
      </c>
      <c r="AE28" s="31">
        <f t="shared" si="20"/>
        <v>10</v>
      </c>
      <c r="AF28" s="31">
        <f t="shared" si="20"/>
        <v>10</v>
      </c>
    </row>
    <row r="29" spans="2:32" ht="23.1" customHeight="1" x14ac:dyDescent="0.25">
      <c r="B29" s="45" t="s">
        <v>56</v>
      </c>
      <c r="C29" s="50">
        <v>3</v>
      </c>
      <c r="D29" s="50">
        <v>0</v>
      </c>
      <c r="E29" s="50">
        <v>0</v>
      </c>
      <c r="F29" s="50">
        <v>3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1</v>
      </c>
      <c r="M29" s="50">
        <v>48</v>
      </c>
      <c r="N29" s="50">
        <v>0</v>
      </c>
      <c r="O29" s="15">
        <f t="shared" si="0"/>
        <v>11</v>
      </c>
      <c r="P29" s="15">
        <f t="shared" si="1"/>
        <v>59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5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11</v>
      </c>
      <c r="AF29" s="31">
        <f t="shared" si="21"/>
        <v>11</v>
      </c>
    </row>
    <row r="30" spans="2:32" ht="23.1" customHeight="1" x14ac:dyDescent="0.25">
      <c r="B30" s="45" t="s">
        <v>57</v>
      </c>
      <c r="C30" s="50">
        <v>3</v>
      </c>
      <c r="D30" s="50">
        <v>1</v>
      </c>
      <c r="E30" s="50">
        <v>1</v>
      </c>
      <c r="F30" s="50">
        <v>3</v>
      </c>
      <c r="G30" s="50">
        <v>0</v>
      </c>
      <c r="H30" s="50">
        <v>0</v>
      </c>
      <c r="I30" s="50">
        <v>4</v>
      </c>
      <c r="J30" s="50">
        <v>0</v>
      </c>
      <c r="K30" s="50">
        <v>1</v>
      </c>
      <c r="L30" s="50">
        <v>0</v>
      </c>
      <c r="M30" s="50">
        <v>80</v>
      </c>
      <c r="N30" s="50">
        <v>0</v>
      </c>
      <c r="O30" s="15">
        <f t="shared" si="0"/>
        <v>13</v>
      </c>
      <c r="P30" s="15">
        <f t="shared" si="1"/>
        <v>93</v>
      </c>
      <c r="R30" s="36" t="s">
        <v>154</v>
      </c>
      <c r="S30" s="34">
        <f>SUM(C90:C93)</f>
        <v>3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0</v>
      </c>
      <c r="AA30" s="34">
        <f t="shared" si="22"/>
        <v>2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14</v>
      </c>
      <c r="AF30" s="31">
        <f t="shared" si="22"/>
        <v>14</v>
      </c>
    </row>
    <row r="31" spans="2:32" ht="23.1" customHeight="1" x14ac:dyDescent="0.25">
      <c r="B31" s="46" t="s">
        <v>58</v>
      </c>
      <c r="C31" s="50">
        <v>12</v>
      </c>
      <c r="D31" s="50">
        <v>2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1</v>
      </c>
      <c r="M31" s="50">
        <v>51</v>
      </c>
      <c r="N31" s="50">
        <v>0</v>
      </c>
      <c r="O31" s="15">
        <f t="shared" si="0"/>
        <v>18</v>
      </c>
      <c r="P31" s="15">
        <f t="shared" si="1"/>
        <v>69</v>
      </c>
      <c r="R31" s="36" t="s">
        <v>155</v>
      </c>
      <c r="S31" s="34">
        <f>SUM(C94:C97)</f>
        <v>3</v>
      </c>
      <c r="T31" s="34">
        <f t="shared" ref="T31:AF31" si="23">SUM(D94:D97)</f>
        <v>0</v>
      </c>
      <c r="U31" s="34">
        <f t="shared" si="23"/>
        <v>3</v>
      </c>
      <c r="V31" s="34">
        <f t="shared" si="23"/>
        <v>5</v>
      </c>
      <c r="W31" s="34">
        <f t="shared" si="23"/>
        <v>0</v>
      </c>
      <c r="X31" s="34">
        <f t="shared" si="23"/>
        <v>0</v>
      </c>
      <c r="Y31" s="34">
        <f t="shared" si="23"/>
        <v>5</v>
      </c>
      <c r="Z31" s="34">
        <f t="shared" si="23"/>
        <v>3</v>
      </c>
      <c r="AA31" s="34">
        <f t="shared" si="23"/>
        <v>2</v>
      </c>
      <c r="AB31" s="34">
        <f t="shared" si="23"/>
        <v>1</v>
      </c>
      <c r="AC31" s="34">
        <f t="shared" si="23"/>
        <v>8</v>
      </c>
      <c r="AD31" s="34">
        <f t="shared" si="23"/>
        <v>0</v>
      </c>
      <c r="AE31" s="31">
        <f t="shared" si="23"/>
        <v>22</v>
      </c>
      <c r="AF31" s="31">
        <f t="shared" si="23"/>
        <v>30</v>
      </c>
    </row>
    <row r="32" spans="2:32" ht="23.1" customHeight="1" x14ac:dyDescent="0.25">
      <c r="B32" s="46" t="s">
        <v>59</v>
      </c>
      <c r="C32" s="50">
        <v>7</v>
      </c>
      <c r="D32" s="50">
        <v>1</v>
      </c>
      <c r="E32" s="50">
        <v>0</v>
      </c>
      <c r="F32" s="50">
        <v>5</v>
      </c>
      <c r="G32" s="50">
        <v>2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45</v>
      </c>
      <c r="N32" s="50">
        <v>0</v>
      </c>
      <c r="O32" s="15">
        <f t="shared" si="0"/>
        <v>17</v>
      </c>
      <c r="P32" s="15">
        <f t="shared" si="1"/>
        <v>62</v>
      </c>
      <c r="R32" s="33" t="s">
        <v>156</v>
      </c>
      <c r="S32" s="34">
        <f>SUM(C98:C101)</f>
        <v>5</v>
      </c>
      <c r="T32" s="34">
        <f t="shared" ref="T32:AF32" si="24">SUM(D98:D101)</f>
        <v>1</v>
      </c>
      <c r="U32" s="34">
        <f t="shared" si="24"/>
        <v>6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3</v>
      </c>
      <c r="AA32" s="34">
        <f t="shared" si="24"/>
        <v>3</v>
      </c>
      <c r="AB32" s="34">
        <f t="shared" si="24"/>
        <v>3</v>
      </c>
      <c r="AC32" s="34">
        <f t="shared" si="24"/>
        <v>28</v>
      </c>
      <c r="AD32" s="34">
        <f t="shared" si="24"/>
        <v>0</v>
      </c>
      <c r="AE32" s="31">
        <f t="shared" si="24"/>
        <v>25</v>
      </c>
      <c r="AF32" s="31">
        <f t="shared" si="24"/>
        <v>53</v>
      </c>
    </row>
    <row r="33" spans="2:32" ht="23.1" customHeight="1" x14ac:dyDescent="0.25">
      <c r="B33" s="45" t="s">
        <v>60</v>
      </c>
      <c r="C33" s="50">
        <v>6</v>
      </c>
      <c r="D33" s="50">
        <v>1</v>
      </c>
      <c r="E33" s="50">
        <v>0</v>
      </c>
      <c r="F33" s="50">
        <v>3</v>
      </c>
      <c r="G33" s="50">
        <v>0</v>
      </c>
      <c r="H33" s="50">
        <v>0</v>
      </c>
      <c r="I33" s="50">
        <v>2</v>
      </c>
      <c r="J33" s="50">
        <v>2</v>
      </c>
      <c r="K33" s="50">
        <v>3</v>
      </c>
      <c r="L33" s="50">
        <v>1</v>
      </c>
      <c r="M33" s="50">
        <v>63</v>
      </c>
      <c r="N33" s="50">
        <v>0</v>
      </c>
      <c r="O33" s="15">
        <f t="shared" si="0"/>
        <v>18</v>
      </c>
      <c r="P33" s="15">
        <f t="shared" si="1"/>
        <v>81</v>
      </c>
      <c r="R33" s="33" t="s">
        <v>157</v>
      </c>
      <c r="S33" s="34">
        <f>SUM(C102:C105)</f>
        <v>17</v>
      </c>
      <c r="T33" s="34">
        <f t="shared" ref="T33:AF33" si="25">SUM(D102:D105)</f>
        <v>1</v>
      </c>
      <c r="U33" s="34">
        <f t="shared" si="25"/>
        <v>5</v>
      </c>
      <c r="V33" s="34">
        <f t="shared" si="25"/>
        <v>8</v>
      </c>
      <c r="W33" s="34">
        <f t="shared" si="25"/>
        <v>2</v>
      </c>
      <c r="X33" s="34">
        <f t="shared" si="25"/>
        <v>1</v>
      </c>
      <c r="Y33" s="34">
        <f t="shared" si="25"/>
        <v>6</v>
      </c>
      <c r="Z33" s="34">
        <f t="shared" si="25"/>
        <v>6</v>
      </c>
      <c r="AA33" s="34">
        <f t="shared" si="25"/>
        <v>5</v>
      </c>
      <c r="AB33" s="34">
        <f t="shared" si="25"/>
        <v>3</v>
      </c>
      <c r="AC33" s="34">
        <f t="shared" si="25"/>
        <v>57</v>
      </c>
      <c r="AD33" s="34">
        <f t="shared" si="25"/>
        <v>1</v>
      </c>
      <c r="AE33" s="31">
        <f t="shared" si="25"/>
        <v>55</v>
      </c>
      <c r="AF33" s="31">
        <f t="shared" si="25"/>
        <v>112</v>
      </c>
    </row>
    <row r="34" spans="2:32" ht="23.1" customHeight="1" x14ac:dyDescent="0.25">
      <c r="B34" s="46" t="s">
        <v>61</v>
      </c>
      <c r="C34" s="50">
        <v>6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1</v>
      </c>
      <c r="M34" s="50">
        <v>50</v>
      </c>
      <c r="N34" s="50">
        <v>0</v>
      </c>
      <c r="O34" s="15">
        <f t="shared" si="0"/>
        <v>13</v>
      </c>
      <c r="P34" s="15">
        <f t="shared" si="1"/>
        <v>63</v>
      </c>
      <c r="R34" s="38" t="s">
        <v>90</v>
      </c>
      <c r="S34" s="39">
        <f t="shared" ref="S34:AF34" si="26">MAX(S10:S12)</f>
        <v>10</v>
      </c>
      <c r="T34" s="39">
        <f t="shared" si="26"/>
        <v>6</v>
      </c>
      <c r="U34" s="39">
        <f t="shared" si="26"/>
        <v>3</v>
      </c>
      <c r="V34" s="39">
        <f t="shared" si="26"/>
        <v>6</v>
      </c>
      <c r="W34" s="39">
        <f t="shared" si="26"/>
        <v>2</v>
      </c>
      <c r="X34" s="39">
        <f t="shared" si="26"/>
        <v>0</v>
      </c>
      <c r="Y34" s="39">
        <f t="shared" si="26"/>
        <v>4</v>
      </c>
      <c r="Z34" s="39">
        <f t="shared" si="26"/>
        <v>10</v>
      </c>
      <c r="AA34" s="39">
        <f t="shared" si="26"/>
        <v>3</v>
      </c>
      <c r="AB34" s="39">
        <f t="shared" si="26"/>
        <v>0</v>
      </c>
      <c r="AC34" s="39">
        <f t="shared" si="26"/>
        <v>177</v>
      </c>
      <c r="AD34" s="39">
        <f t="shared" si="26"/>
        <v>2</v>
      </c>
      <c r="AE34" s="40">
        <f t="shared" si="26"/>
        <v>39</v>
      </c>
      <c r="AF34" s="40">
        <f t="shared" si="26"/>
        <v>215</v>
      </c>
    </row>
    <row r="35" spans="2:32" ht="23.1" customHeight="1" x14ac:dyDescent="0.25">
      <c r="B35" s="46" t="s">
        <v>62</v>
      </c>
      <c r="C35" s="50">
        <v>4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3</v>
      </c>
      <c r="M35" s="50">
        <v>70</v>
      </c>
      <c r="N35" s="50">
        <v>0</v>
      </c>
      <c r="O35" s="15">
        <f t="shared" si="0"/>
        <v>12</v>
      </c>
      <c r="P35" s="15">
        <f t="shared" si="1"/>
        <v>82</v>
      </c>
      <c r="R35" s="38" t="s">
        <v>91</v>
      </c>
      <c r="S35" s="39">
        <f t="shared" ref="S35:AF35" si="27">MAX(S13:S18)</f>
        <v>28</v>
      </c>
      <c r="T35" s="39">
        <f t="shared" si="27"/>
        <v>6</v>
      </c>
      <c r="U35" s="39">
        <f t="shared" si="27"/>
        <v>6</v>
      </c>
      <c r="V35" s="39">
        <f t="shared" si="27"/>
        <v>12</v>
      </c>
      <c r="W35" s="39">
        <f t="shared" si="27"/>
        <v>2</v>
      </c>
      <c r="X35" s="39">
        <f t="shared" si="27"/>
        <v>0</v>
      </c>
      <c r="Y35" s="39">
        <f t="shared" si="27"/>
        <v>12</v>
      </c>
      <c r="Z35" s="39">
        <f t="shared" si="27"/>
        <v>9</v>
      </c>
      <c r="AA35" s="39">
        <f t="shared" si="27"/>
        <v>4</v>
      </c>
      <c r="AB35" s="39">
        <f t="shared" si="27"/>
        <v>6</v>
      </c>
      <c r="AC35" s="39">
        <f t="shared" si="27"/>
        <v>239</v>
      </c>
      <c r="AD35" s="39">
        <f t="shared" si="27"/>
        <v>0</v>
      </c>
      <c r="AE35" s="40">
        <f t="shared" si="27"/>
        <v>66</v>
      </c>
      <c r="AF35" s="40">
        <f t="shared" si="27"/>
        <v>305</v>
      </c>
    </row>
    <row r="36" spans="2:32" ht="23.1" customHeight="1" x14ac:dyDescent="0.25">
      <c r="B36" s="46" t="s">
        <v>63</v>
      </c>
      <c r="C36" s="50">
        <v>9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5</v>
      </c>
      <c r="J36" s="50">
        <v>3</v>
      </c>
      <c r="K36" s="50">
        <v>0</v>
      </c>
      <c r="L36" s="50">
        <v>0</v>
      </c>
      <c r="M36" s="50">
        <v>48</v>
      </c>
      <c r="N36" s="50">
        <v>0</v>
      </c>
      <c r="O36" s="15">
        <f t="shared" si="0"/>
        <v>20</v>
      </c>
      <c r="P36" s="15">
        <f t="shared" si="1"/>
        <v>68</v>
      </c>
      <c r="R36" s="38" t="s">
        <v>92</v>
      </c>
      <c r="S36" s="39">
        <f t="shared" ref="S36:AF36" si="28">MAX(S19:S21)</f>
        <v>25</v>
      </c>
      <c r="T36" s="39">
        <f t="shared" si="28"/>
        <v>11</v>
      </c>
      <c r="U36" s="39">
        <f t="shared" si="28"/>
        <v>10</v>
      </c>
      <c r="V36" s="39">
        <f t="shared" si="28"/>
        <v>13</v>
      </c>
      <c r="W36" s="39">
        <f t="shared" si="28"/>
        <v>4</v>
      </c>
      <c r="X36" s="39">
        <f t="shared" si="28"/>
        <v>0</v>
      </c>
      <c r="Y36" s="39">
        <f t="shared" si="28"/>
        <v>12</v>
      </c>
      <c r="Z36" s="39">
        <f t="shared" si="28"/>
        <v>15</v>
      </c>
      <c r="AA36" s="39">
        <f t="shared" si="28"/>
        <v>2</v>
      </c>
      <c r="AB36" s="39">
        <f t="shared" si="28"/>
        <v>10</v>
      </c>
      <c r="AC36" s="39">
        <f t="shared" si="28"/>
        <v>223</v>
      </c>
      <c r="AD36" s="39">
        <f t="shared" si="28"/>
        <v>1</v>
      </c>
      <c r="AE36" s="40">
        <f t="shared" si="28"/>
        <v>85</v>
      </c>
      <c r="AF36" s="40">
        <f t="shared" si="28"/>
        <v>308</v>
      </c>
    </row>
    <row r="37" spans="2:32" ht="23.1" customHeight="1" x14ac:dyDescent="0.25">
      <c r="B37" s="45" t="s">
        <v>64</v>
      </c>
      <c r="C37" s="50">
        <v>7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2</v>
      </c>
      <c r="K37" s="50">
        <v>2</v>
      </c>
      <c r="L37" s="50">
        <v>2</v>
      </c>
      <c r="M37" s="50">
        <v>59</v>
      </c>
      <c r="N37" s="50">
        <v>0</v>
      </c>
      <c r="O37" s="15">
        <f t="shared" si="0"/>
        <v>14</v>
      </c>
      <c r="P37" s="15">
        <f t="shared" si="1"/>
        <v>73</v>
      </c>
      <c r="R37" s="37" t="s">
        <v>85</v>
      </c>
      <c r="S37" s="35">
        <f t="shared" ref="S37:AF37" si="29">SUM(S10:S12)</f>
        <v>27</v>
      </c>
      <c r="T37" s="16">
        <f t="shared" si="29"/>
        <v>17</v>
      </c>
      <c r="U37" s="16">
        <f t="shared" si="29"/>
        <v>7</v>
      </c>
      <c r="V37" s="16">
        <f t="shared" si="29"/>
        <v>18</v>
      </c>
      <c r="W37" s="16">
        <f t="shared" si="29"/>
        <v>4</v>
      </c>
      <c r="X37" s="16">
        <f t="shared" si="29"/>
        <v>0</v>
      </c>
      <c r="Y37" s="16">
        <f t="shared" si="29"/>
        <v>7</v>
      </c>
      <c r="Z37" s="16">
        <f t="shared" si="29"/>
        <v>25</v>
      </c>
      <c r="AA37" s="16">
        <f t="shared" si="29"/>
        <v>5</v>
      </c>
      <c r="AB37" s="16">
        <f t="shared" si="29"/>
        <v>0</v>
      </c>
      <c r="AC37" s="16">
        <f t="shared" si="29"/>
        <v>397</v>
      </c>
      <c r="AD37" s="16">
        <f t="shared" si="29"/>
        <v>2</v>
      </c>
      <c r="AE37" s="32">
        <f t="shared" si="29"/>
        <v>112</v>
      </c>
      <c r="AF37" s="32">
        <f t="shared" si="29"/>
        <v>509</v>
      </c>
    </row>
    <row r="38" spans="2:32" ht="23.1" customHeight="1" x14ac:dyDescent="0.25">
      <c r="B38" s="46" t="s">
        <v>65</v>
      </c>
      <c r="C38" s="50">
        <v>8</v>
      </c>
      <c r="D38" s="50">
        <v>1</v>
      </c>
      <c r="E38" s="50">
        <v>3</v>
      </c>
      <c r="F38" s="50">
        <v>3</v>
      </c>
      <c r="G38" s="50">
        <v>0</v>
      </c>
      <c r="H38" s="50">
        <v>0</v>
      </c>
      <c r="I38" s="50">
        <v>2</v>
      </c>
      <c r="J38" s="50">
        <v>3</v>
      </c>
      <c r="K38" s="50">
        <v>0</v>
      </c>
      <c r="L38" s="50">
        <v>2</v>
      </c>
      <c r="M38" s="50">
        <v>52</v>
      </c>
      <c r="N38" s="50">
        <v>0</v>
      </c>
      <c r="O38" s="15">
        <f t="shared" si="0"/>
        <v>22</v>
      </c>
      <c r="P38" s="15">
        <f t="shared" si="1"/>
        <v>74</v>
      </c>
      <c r="R38" s="28" t="s">
        <v>86</v>
      </c>
      <c r="S38" s="16">
        <f t="shared" ref="S38:AF38" si="30">SUM(S13:S18)</f>
        <v>118</v>
      </c>
      <c r="T38" s="16">
        <f t="shared" si="30"/>
        <v>23</v>
      </c>
      <c r="U38" s="16">
        <f t="shared" si="30"/>
        <v>14</v>
      </c>
      <c r="V38" s="16">
        <f t="shared" si="30"/>
        <v>49</v>
      </c>
      <c r="W38" s="16">
        <f t="shared" si="30"/>
        <v>4</v>
      </c>
      <c r="X38" s="16">
        <f t="shared" si="30"/>
        <v>0</v>
      </c>
      <c r="Y38" s="16">
        <f t="shared" si="30"/>
        <v>44</v>
      </c>
      <c r="Z38" s="16">
        <f t="shared" si="30"/>
        <v>34</v>
      </c>
      <c r="AA38" s="16">
        <f t="shared" si="30"/>
        <v>8</v>
      </c>
      <c r="AB38" s="16">
        <f t="shared" si="30"/>
        <v>16</v>
      </c>
      <c r="AC38" s="16">
        <f t="shared" si="30"/>
        <v>1160</v>
      </c>
      <c r="AD38" s="16">
        <f t="shared" si="30"/>
        <v>0</v>
      </c>
      <c r="AE38" s="32">
        <f t="shared" si="30"/>
        <v>310</v>
      </c>
      <c r="AF38" s="32">
        <f t="shared" si="30"/>
        <v>1470</v>
      </c>
    </row>
    <row r="39" spans="2:32" ht="23.1" customHeight="1" x14ac:dyDescent="0.25">
      <c r="B39" s="46" t="s">
        <v>66</v>
      </c>
      <c r="C39" s="50">
        <v>2</v>
      </c>
      <c r="D39" s="50">
        <v>2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48</v>
      </c>
      <c r="N39" s="50">
        <v>0</v>
      </c>
      <c r="O39" s="15">
        <f t="shared" si="0"/>
        <v>5</v>
      </c>
      <c r="P39" s="15">
        <f t="shared" si="1"/>
        <v>53</v>
      </c>
      <c r="R39" s="29" t="s">
        <v>87</v>
      </c>
      <c r="S39" s="16">
        <f t="shared" ref="S39:AF39" si="31">SUM(S19:S21)</f>
        <v>54</v>
      </c>
      <c r="T39" s="16">
        <f t="shared" si="31"/>
        <v>28</v>
      </c>
      <c r="U39" s="16">
        <f t="shared" si="31"/>
        <v>18</v>
      </c>
      <c r="V39" s="16">
        <f t="shared" si="31"/>
        <v>27</v>
      </c>
      <c r="W39" s="16">
        <f t="shared" si="31"/>
        <v>4</v>
      </c>
      <c r="X39" s="16">
        <f t="shared" si="31"/>
        <v>0</v>
      </c>
      <c r="Y39" s="16">
        <f t="shared" si="31"/>
        <v>32</v>
      </c>
      <c r="Z39" s="16">
        <f t="shared" si="31"/>
        <v>29</v>
      </c>
      <c r="AA39" s="16">
        <f t="shared" si="31"/>
        <v>3</v>
      </c>
      <c r="AB39" s="16">
        <f t="shared" si="31"/>
        <v>18</v>
      </c>
      <c r="AC39" s="16">
        <f t="shared" si="31"/>
        <v>607</v>
      </c>
      <c r="AD39" s="16">
        <f t="shared" si="31"/>
        <v>1</v>
      </c>
      <c r="AE39" s="32">
        <f t="shared" si="31"/>
        <v>214</v>
      </c>
      <c r="AF39" s="32">
        <f t="shared" si="31"/>
        <v>821</v>
      </c>
    </row>
    <row r="40" spans="2:32" ht="23.1" customHeight="1" x14ac:dyDescent="0.25">
      <c r="B40" s="46" t="s">
        <v>67</v>
      </c>
      <c r="C40" s="50">
        <v>5</v>
      </c>
      <c r="D40" s="50">
        <v>1</v>
      </c>
      <c r="E40" s="50">
        <v>3</v>
      </c>
      <c r="F40" s="50">
        <v>2</v>
      </c>
      <c r="G40" s="50">
        <v>0</v>
      </c>
      <c r="H40" s="50">
        <v>0</v>
      </c>
      <c r="I40" s="50">
        <v>3</v>
      </c>
      <c r="J40" s="50">
        <v>1</v>
      </c>
      <c r="K40" s="50">
        <v>1</v>
      </c>
      <c r="L40" s="50">
        <v>0</v>
      </c>
      <c r="M40" s="50">
        <v>36</v>
      </c>
      <c r="N40" s="50">
        <v>0</v>
      </c>
      <c r="O40" s="15">
        <f t="shared" si="0"/>
        <v>16</v>
      </c>
      <c r="P40" s="15">
        <f t="shared" si="1"/>
        <v>52</v>
      </c>
      <c r="R40" s="5" t="s">
        <v>17</v>
      </c>
      <c r="S40" s="16">
        <f t="shared" ref="S40:AF40" si="32">SUM(S10:S21)</f>
        <v>199</v>
      </c>
      <c r="T40" s="16">
        <f t="shared" si="32"/>
        <v>68</v>
      </c>
      <c r="U40" s="16">
        <f t="shared" si="32"/>
        <v>39</v>
      </c>
      <c r="V40" s="16">
        <f t="shared" si="32"/>
        <v>94</v>
      </c>
      <c r="W40" s="16">
        <f t="shared" si="32"/>
        <v>12</v>
      </c>
      <c r="X40" s="16">
        <f t="shared" si="32"/>
        <v>0</v>
      </c>
      <c r="Y40" s="16">
        <f t="shared" si="32"/>
        <v>83</v>
      </c>
      <c r="Z40" s="16">
        <f t="shared" si="32"/>
        <v>88</v>
      </c>
      <c r="AA40" s="16">
        <f t="shared" si="32"/>
        <v>16</v>
      </c>
      <c r="AB40" s="16">
        <f t="shared" si="32"/>
        <v>34</v>
      </c>
      <c r="AC40" s="16">
        <f t="shared" si="32"/>
        <v>2164</v>
      </c>
      <c r="AD40" s="16">
        <f t="shared" si="32"/>
        <v>3</v>
      </c>
      <c r="AE40" s="32">
        <f t="shared" si="32"/>
        <v>636</v>
      </c>
      <c r="AF40" s="32">
        <f t="shared" si="32"/>
        <v>2800</v>
      </c>
    </row>
    <row r="41" spans="2:32" ht="23.1" customHeight="1" x14ac:dyDescent="0.25">
      <c r="B41" s="45" t="s">
        <v>68</v>
      </c>
      <c r="C41" s="50">
        <v>4</v>
      </c>
      <c r="D41" s="50">
        <v>0</v>
      </c>
      <c r="E41" s="50">
        <v>0</v>
      </c>
      <c r="F41" s="50">
        <v>2</v>
      </c>
      <c r="G41" s="50">
        <v>1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33</v>
      </c>
      <c r="N41" s="50">
        <v>0</v>
      </c>
      <c r="O41" s="15">
        <f t="shared" si="0"/>
        <v>10</v>
      </c>
      <c r="P41" s="15">
        <f t="shared" si="1"/>
        <v>43</v>
      </c>
      <c r="R41" s="5" t="s">
        <v>159</v>
      </c>
      <c r="S41" s="16">
        <f>SUM(S10:S33)</f>
        <v>308</v>
      </c>
      <c r="T41" s="16">
        <f t="shared" ref="T41:AF41" si="33">SUM(T10:T33)</f>
        <v>89</v>
      </c>
      <c r="U41" s="16">
        <f t="shared" si="33"/>
        <v>73</v>
      </c>
      <c r="V41" s="16">
        <f t="shared" si="33"/>
        <v>136</v>
      </c>
      <c r="W41" s="16">
        <f t="shared" si="33"/>
        <v>17</v>
      </c>
      <c r="X41" s="16">
        <f t="shared" si="33"/>
        <v>4</v>
      </c>
      <c r="Y41" s="16">
        <f t="shared" si="33"/>
        <v>134</v>
      </c>
      <c r="Z41" s="16">
        <f t="shared" si="33"/>
        <v>128</v>
      </c>
      <c r="AA41" s="16">
        <f t="shared" si="33"/>
        <v>54</v>
      </c>
      <c r="AB41" s="16">
        <f t="shared" si="33"/>
        <v>62</v>
      </c>
      <c r="AC41" s="16">
        <f t="shared" si="33"/>
        <v>2672</v>
      </c>
      <c r="AD41" s="16">
        <f t="shared" si="33"/>
        <v>7</v>
      </c>
      <c r="AE41" s="32">
        <f t="shared" si="33"/>
        <v>1012</v>
      </c>
      <c r="AF41" s="32">
        <f t="shared" si="33"/>
        <v>3684</v>
      </c>
    </row>
    <row r="42" spans="2:32" ht="23.1" customHeight="1" x14ac:dyDescent="0.25">
      <c r="B42" s="46" t="s">
        <v>69</v>
      </c>
      <c r="C42" s="50">
        <v>9</v>
      </c>
      <c r="D42" s="50">
        <v>1</v>
      </c>
      <c r="E42" s="50">
        <v>2</v>
      </c>
      <c r="F42" s="50">
        <v>4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1</v>
      </c>
      <c r="M42" s="50">
        <v>35</v>
      </c>
      <c r="N42" s="50">
        <v>0</v>
      </c>
      <c r="O42" s="15">
        <f t="shared" si="0"/>
        <v>18</v>
      </c>
      <c r="P42" s="15">
        <f t="shared" si="1"/>
        <v>53</v>
      </c>
      <c r="R42" s="5" t="s">
        <v>160</v>
      </c>
      <c r="S42" s="48">
        <f>S41/S40</f>
        <v>1.5477386934673367</v>
      </c>
      <c r="T42" s="48">
        <f t="shared" ref="T42:AF42" si="34">T41/T40</f>
        <v>1.3088235294117647</v>
      </c>
      <c r="U42" s="48">
        <f t="shared" si="34"/>
        <v>1.8717948717948718</v>
      </c>
      <c r="V42" s="48">
        <f t="shared" si="34"/>
        <v>1.446808510638298</v>
      </c>
      <c r="W42" s="48">
        <f t="shared" si="34"/>
        <v>1.4166666666666667</v>
      </c>
      <c r="X42" s="48" t="e">
        <f t="shared" si="34"/>
        <v>#DIV/0!</v>
      </c>
      <c r="Y42" s="48">
        <f t="shared" si="34"/>
        <v>1.6144578313253013</v>
      </c>
      <c r="Z42" s="48">
        <f t="shared" si="34"/>
        <v>1.4545454545454546</v>
      </c>
      <c r="AA42" s="48">
        <f t="shared" si="34"/>
        <v>3.375</v>
      </c>
      <c r="AB42" s="48">
        <f t="shared" si="34"/>
        <v>1.8235294117647058</v>
      </c>
      <c r="AC42" s="48">
        <f t="shared" si="34"/>
        <v>1.234750462107209</v>
      </c>
      <c r="AD42" s="48">
        <f t="shared" si="34"/>
        <v>2.3333333333333335</v>
      </c>
      <c r="AE42" s="48">
        <f t="shared" si="34"/>
        <v>1.5911949685534592</v>
      </c>
      <c r="AF42" s="48">
        <f t="shared" si="34"/>
        <v>1.3157142857142856</v>
      </c>
    </row>
    <row r="43" spans="2:32" ht="23.1" customHeight="1" x14ac:dyDescent="0.25">
      <c r="B43" s="45" t="s">
        <v>70</v>
      </c>
      <c r="C43" s="50">
        <v>5</v>
      </c>
      <c r="D43" s="50">
        <v>3</v>
      </c>
      <c r="E43" s="50">
        <v>0</v>
      </c>
      <c r="F43" s="50">
        <v>4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45</v>
      </c>
      <c r="N43" s="50">
        <v>0</v>
      </c>
      <c r="O43" s="15">
        <f t="shared" si="0"/>
        <v>13</v>
      </c>
      <c r="P43" s="15">
        <f t="shared" si="1"/>
        <v>58</v>
      </c>
    </row>
    <row r="44" spans="2:32" ht="23.1" customHeight="1" x14ac:dyDescent="0.25">
      <c r="B44" s="47" t="s">
        <v>71</v>
      </c>
      <c r="C44" s="50">
        <v>5</v>
      </c>
      <c r="D44" s="50">
        <v>2</v>
      </c>
      <c r="E44" s="50">
        <v>0</v>
      </c>
      <c r="F44" s="50">
        <v>2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3</v>
      </c>
      <c r="M44" s="50">
        <v>39</v>
      </c>
      <c r="N44" s="50">
        <v>0</v>
      </c>
      <c r="O44" s="15">
        <f t="shared" si="0"/>
        <v>14</v>
      </c>
      <c r="P44" s="15">
        <f t="shared" si="1"/>
        <v>53</v>
      </c>
    </row>
    <row r="45" spans="2:32" ht="23.1" customHeight="1" x14ac:dyDescent="0.25">
      <c r="B45" s="45" t="s">
        <v>72</v>
      </c>
      <c r="C45" s="50">
        <v>5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1</v>
      </c>
      <c r="M45" s="50">
        <v>49</v>
      </c>
      <c r="N45" s="50">
        <v>0</v>
      </c>
      <c r="O45" s="15">
        <f t="shared" si="0"/>
        <v>10</v>
      </c>
      <c r="P45" s="15">
        <f t="shared" si="1"/>
        <v>59</v>
      </c>
    </row>
    <row r="46" spans="2:32" ht="23.1" customHeight="1" x14ac:dyDescent="0.25">
      <c r="B46" s="46" t="s">
        <v>73</v>
      </c>
      <c r="C46" s="50">
        <v>3</v>
      </c>
      <c r="D46" s="50">
        <v>3</v>
      </c>
      <c r="E46" s="50">
        <v>2</v>
      </c>
      <c r="F46" s="50">
        <v>4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2</v>
      </c>
      <c r="M46" s="50">
        <v>45</v>
      </c>
      <c r="N46" s="50">
        <v>0</v>
      </c>
      <c r="O46" s="15">
        <f t="shared" si="0"/>
        <v>18</v>
      </c>
      <c r="P46" s="15">
        <f t="shared" si="1"/>
        <v>63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2</v>
      </c>
      <c r="E47" s="50">
        <v>3</v>
      </c>
      <c r="F47" s="50">
        <v>0</v>
      </c>
      <c r="G47" s="50">
        <v>0</v>
      </c>
      <c r="H47" s="50">
        <v>0</v>
      </c>
      <c r="I47" s="50">
        <v>3</v>
      </c>
      <c r="J47" s="50">
        <v>1</v>
      </c>
      <c r="K47" s="50">
        <v>0</v>
      </c>
      <c r="L47" s="50">
        <v>6</v>
      </c>
      <c r="M47" s="50">
        <v>50</v>
      </c>
      <c r="N47" s="50">
        <v>0</v>
      </c>
      <c r="O47" s="15">
        <f t="shared" si="0"/>
        <v>18</v>
      </c>
      <c r="P47" s="15">
        <f t="shared" si="1"/>
        <v>68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1</v>
      </c>
      <c r="E48" s="50">
        <v>3</v>
      </c>
      <c r="F48" s="50">
        <v>1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9</v>
      </c>
      <c r="P48" s="15">
        <f t="shared" si="1"/>
        <v>39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2</v>
      </c>
      <c r="E49" s="50">
        <v>2</v>
      </c>
      <c r="F49" s="50">
        <v>1</v>
      </c>
      <c r="G49" s="50">
        <v>0</v>
      </c>
      <c r="H49" s="50">
        <v>0</v>
      </c>
      <c r="I49" s="50">
        <v>4</v>
      </c>
      <c r="J49" s="50">
        <v>2</v>
      </c>
      <c r="K49" s="50">
        <v>1</v>
      </c>
      <c r="L49" s="50">
        <v>2</v>
      </c>
      <c r="M49" s="50">
        <v>60</v>
      </c>
      <c r="N49" s="50">
        <v>0</v>
      </c>
      <c r="O49" s="15">
        <f t="shared" si="0"/>
        <v>17</v>
      </c>
      <c r="P49" s="15">
        <f t="shared" si="1"/>
        <v>77</v>
      </c>
      <c r="R49" s="8"/>
      <c r="T49"/>
    </row>
    <row r="50" spans="2:20" ht="23.1" customHeight="1" x14ac:dyDescent="0.25">
      <c r="B50" s="46" t="s">
        <v>77</v>
      </c>
      <c r="C50" s="50">
        <v>6</v>
      </c>
      <c r="D50" s="50">
        <v>1</v>
      </c>
      <c r="E50" s="50">
        <v>0</v>
      </c>
      <c r="F50" s="50">
        <v>1</v>
      </c>
      <c r="G50" s="50">
        <v>0</v>
      </c>
      <c r="H50" s="50">
        <v>0</v>
      </c>
      <c r="I50" s="50">
        <v>3</v>
      </c>
      <c r="J50" s="50">
        <v>2</v>
      </c>
      <c r="K50" s="50">
        <v>1</v>
      </c>
      <c r="L50" s="50">
        <v>2</v>
      </c>
      <c r="M50" s="50">
        <v>45</v>
      </c>
      <c r="N50" s="50">
        <v>0</v>
      </c>
      <c r="O50" s="15">
        <f t="shared" si="0"/>
        <v>16</v>
      </c>
      <c r="P50" s="15">
        <f t="shared" si="1"/>
        <v>61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3</v>
      </c>
      <c r="E51" s="50">
        <v>0</v>
      </c>
      <c r="F51" s="50">
        <v>2</v>
      </c>
      <c r="G51" s="50">
        <v>0</v>
      </c>
      <c r="H51" s="50">
        <v>0</v>
      </c>
      <c r="I51" s="50">
        <v>2</v>
      </c>
      <c r="J51" s="50">
        <v>3</v>
      </c>
      <c r="K51" s="50">
        <v>0</v>
      </c>
      <c r="L51" s="50">
        <v>0</v>
      </c>
      <c r="M51" s="50">
        <v>30</v>
      </c>
      <c r="N51" s="50">
        <v>0</v>
      </c>
      <c r="O51" s="15">
        <f t="shared" si="0"/>
        <v>15</v>
      </c>
      <c r="P51" s="15">
        <f t="shared" si="1"/>
        <v>45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4</v>
      </c>
      <c r="E52" s="50">
        <v>0</v>
      </c>
      <c r="F52" s="50">
        <v>0</v>
      </c>
      <c r="G52" s="50">
        <v>0</v>
      </c>
      <c r="H52" s="50">
        <v>0</v>
      </c>
      <c r="I52" s="50">
        <v>2</v>
      </c>
      <c r="J52" s="50">
        <v>2</v>
      </c>
      <c r="K52" s="50">
        <v>1</v>
      </c>
      <c r="L52" s="50">
        <v>1</v>
      </c>
      <c r="M52" s="50">
        <v>50</v>
      </c>
      <c r="N52" s="50">
        <v>0</v>
      </c>
      <c r="O52" s="15">
        <f t="shared" si="0"/>
        <v>13</v>
      </c>
      <c r="P52" s="15">
        <f t="shared" si="1"/>
        <v>63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3</v>
      </c>
      <c r="E53" s="50">
        <v>1</v>
      </c>
      <c r="F53" s="50">
        <v>5</v>
      </c>
      <c r="G53" s="50">
        <v>0</v>
      </c>
      <c r="H53" s="50">
        <v>0</v>
      </c>
      <c r="I53" s="50">
        <v>5</v>
      </c>
      <c r="J53" s="50">
        <v>2</v>
      </c>
      <c r="K53" s="50">
        <v>0</v>
      </c>
      <c r="L53" s="50">
        <v>2</v>
      </c>
      <c r="M53" s="50">
        <v>74</v>
      </c>
      <c r="N53" s="50">
        <v>0</v>
      </c>
      <c r="O53" s="15">
        <f t="shared" si="0"/>
        <v>23</v>
      </c>
      <c r="P53" s="15">
        <f t="shared" si="1"/>
        <v>97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1</v>
      </c>
      <c r="E54" s="50">
        <v>3</v>
      </c>
      <c r="F54" s="50">
        <v>3</v>
      </c>
      <c r="G54" s="50">
        <v>2</v>
      </c>
      <c r="H54" s="50">
        <v>0</v>
      </c>
      <c r="I54" s="50">
        <v>4</v>
      </c>
      <c r="J54" s="50">
        <v>1</v>
      </c>
      <c r="K54" s="50">
        <v>0</v>
      </c>
      <c r="L54" s="50">
        <v>1</v>
      </c>
      <c r="M54" s="50">
        <v>52</v>
      </c>
      <c r="N54" s="50">
        <v>0</v>
      </c>
      <c r="O54" s="15">
        <f t="shared" si="0"/>
        <v>21</v>
      </c>
      <c r="P54" s="15">
        <f t="shared" si="1"/>
        <v>73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4</v>
      </c>
      <c r="E55" s="50">
        <v>0</v>
      </c>
      <c r="F55" s="50">
        <v>5</v>
      </c>
      <c r="G55" s="50">
        <v>2</v>
      </c>
      <c r="H55" s="50">
        <v>0</v>
      </c>
      <c r="I55" s="50">
        <v>1</v>
      </c>
      <c r="J55" s="50">
        <v>5</v>
      </c>
      <c r="K55" s="50">
        <v>0</v>
      </c>
      <c r="L55" s="50">
        <v>0</v>
      </c>
      <c r="M55" s="50">
        <v>49</v>
      </c>
      <c r="N55" s="50">
        <v>1</v>
      </c>
      <c r="O55" s="15">
        <f t="shared" si="0"/>
        <v>22</v>
      </c>
      <c r="P55" s="15">
        <f t="shared" si="1"/>
        <v>71</v>
      </c>
      <c r="R55" s="8"/>
      <c r="T55"/>
    </row>
    <row r="56" spans="2:20" ht="23.1" customHeight="1" x14ac:dyDescent="0.25">
      <c r="B56" s="45" t="s">
        <v>83</v>
      </c>
      <c r="C56" s="50">
        <v>8</v>
      </c>
      <c r="D56" s="50">
        <v>3</v>
      </c>
      <c r="E56" s="50">
        <v>2</v>
      </c>
      <c r="F56" s="50">
        <v>2</v>
      </c>
      <c r="G56" s="50">
        <v>0</v>
      </c>
      <c r="H56" s="50">
        <v>0</v>
      </c>
      <c r="I56" s="50">
        <v>1</v>
      </c>
      <c r="J56" s="50">
        <v>5</v>
      </c>
      <c r="K56" s="50">
        <v>0</v>
      </c>
      <c r="L56" s="50">
        <v>0</v>
      </c>
      <c r="M56" s="50">
        <v>63</v>
      </c>
      <c r="N56" s="50">
        <v>0</v>
      </c>
      <c r="O56" s="15">
        <f t="shared" si="0"/>
        <v>21</v>
      </c>
      <c r="P56" s="15">
        <f t="shared" si="1"/>
        <v>84</v>
      </c>
      <c r="R56" s="8"/>
      <c r="T56"/>
    </row>
    <row r="57" spans="2:20" ht="23.1" customHeight="1" x14ac:dyDescent="0.25">
      <c r="B57" s="45" t="s">
        <v>84</v>
      </c>
      <c r="C57" s="50">
        <v>7</v>
      </c>
      <c r="D57" s="50">
        <v>1</v>
      </c>
      <c r="E57" s="50">
        <v>2</v>
      </c>
      <c r="F57" s="50">
        <v>3</v>
      </c>
      <c r="G57" s="50">
        <v>0</v>
      </c>
      <c r="H57" s="50">
        <v>0</v>
      </c>
      <c r="I57" s="50">
        <v>2</v>
      </c>
      <c r="J57" s="50">
        <v>4</v>
      </c>
      <c r="K57" s="50">
        <v>0</v>
      </c>
      <c r="L57" s="50">
        <v>2</v>
      </c>
      <c r="M57" s="50">
        <v>59</v>
      </c>
      <c r="N57" s="50">
        <v>0</v>
      </c>
      <c r="O57" s="15">
        <f t="shared" si="0"/>
        <v>21</v>
      </c>
      <c r="P57" s="15">
        <f t="shared" si="1"/>
        <v>80</v>
      </c>
      <c r="R57" s="8"/>
      <c r="T57"/>
    </row>
    <row r="58" spans="2:20" ht="23.1" customHeight="1" x14ac:dyDescent="0.25">
      <c r="B58" s="45" t="s">
        <v>99</v>
      </c>
      <c r="C58" s="50">
        <v>11</v>
      </c>
      <c r="D58" s="50">
        <v>3</v>
      </c>
      <c r="E58" s="50">
        <v>2</v>
      </c>
      <c r="F58" s="50">
        <v>5</v>
      </c>
      <c r="G58" s="50">
        <v>2</v>
      </c>
      <c r="H58" s="50">
        <v>0</v>
      </c>
      <c r="I58" s="50">
        <v>3</v>
      </c>
      <c r="J58" s="50">
        <v>1</v>
      </c>
      <c r="K58" s="50">
        <v>3</v>
      </c>
      <c r="L58" s="50">
        <v>1</v>
      </c>
      <c r="M58" s="50">
        <v>54</v>
      </c>
      <c r="N58" s="50">
        <v>1</v>
      </c>
      <c r="O58" s="15">
        <f t="shared" si="0"/>
        <v>32</v>
      </c>
      <c r="P58" s="15">
        <f t="shared" si="1"/>
        <v>86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2</v>
      </c>
      <c r="E59" s="50">
        <v>3</v>
      </c>
      <c r="F59" s="50">
        <v>4</v>
      </c>
      <c r="G59" s="50">
        <v>0</v>
      </c>
      <c r="H59" s="50">
        <v>0</v>
      </c>
      <c r="I59" s="50">
        <v>3</v>
      </c>
      <c r="J59" s="50">
        <v>3</v>
      </c>
      <c r="K59" s="50">
        <v>4</v>
      </c>
      <c r="L59" s="50">
        <v>0</v>
      </c>
      <c r="M59" s="50">
        <v>53</v>
      </c>
      <c r="N59" s="50">
        <v>0</v>
      </c>
      <c r="O59" s="15">
        <f t="shared" si="0"/>
        <v>28</v>
      </c>
      <c r="P59" s="15">
        <f t="shared" si="1"/>
        <v>81</v>
      </c>
      <c r="R59" s="8"/>
      <c r="T59"/>
    </row>
    <row r="60" spans="2:20" ht="23.1" customHeight="1" x14ac:dyDescent="0.25">
      <c r="B60" s="45" t="s">
        <v>101</v>
      </c>
      <c r="C60" s="50">
        <v>6</v>
      </c>
      <c r="D60" s="50">
        <v>2</v>
      </c>
      <c r="E60" s="50">
        <v>0</v>
      </c>
      <c r="F60" s="50">
        <v>5</v>
      </c>
      <c r="G60" s="50">
        <v>0</v>
      </c>
      <c r="H60" s="50">
        <v>0</v>
      </c>
      <c r="I60" s="50">
        <v>1</v>
      </c>
      <c r="J60" s="50">
        <v>1</v>
      </c>
      <c r="K60" s="50">
        <v>1</v>
      </c>
      <c r="L60" s="50">
        <v>2</v>
      </c>
      <c r="M60" s="50">
        <v>44</v>
      </c>
      <c r="N60" s="50">
        <v>1</v>
      </c>
      <c r="O60" s="15">
        <f t="shared" si="0"/>
        <v>19</v>
      </c>
      <c r="P60" s="15">
        <f t="shared" si="1"/>
        <v>63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1</v>
      </c>
      <c r="F61" s="50">
        <v>0</v>
      </c>
      <c r="G61" s="50">
        <v>0</v>
      </c>
      <c r="H61" s="50">
        <v>0</v>
      </c>
      <c r="I61" s="50">
        <v>1</v>
      </c>
      <c r="J61" s="50">
        <v>2</v>
      </c>
      <c r="K61" s="50">
        <v>0</v>
      </c>
      <c r="L61" s="50">
        <v>0</v>
      </c>
      <c r="M61" s="50">
        <v>36</v>
      </c>
      <c r="N61" s="50">
        <v>0</v>
      </c>
      <c r="O61" s="15">
        <f t="shared" si="0"/>
        <v>6</v>
      </c>
      <c r="P61" s="15">
        <f t="shared" si="1"/>
        <v>42</v>
      </c>
      <c r="R61" s="8"/>
      <c r="T61"/>
    </row>
    <row r="62" spans="2:20" ht="23.1" customHeight="1" x14ac:dyDescent="0.25">
      <c r="B62" s="45" t="s">
        <v>107</v>
      </c>
      <c r="C62" s="50">
        <v>6</v>
      </c>
      <c r="D62" s="50">
        <v>1</v>
      </c>
      <c r="E62" s="50">
        <v>1</v>
      </c>
      <c r="F62" s="50">
        <v>0</v>
      </c>
      <c r="G62" s="50">
        <v>0</v>
      </c>
      <c r="H62" s="50">
        <v>0</v>
      </c>
      <c r="I62" s="50">
        <v>2</v>
      </c>
      <c r="J62" s="50">
        <v>1</v>
      </c>
      <c r="K62" s="50">
        <v>1</v>
      </c>
      <c r="L62" s="50">
        <v>3</v>
      </c>
      <c r="M62" s="50">
        <v>40</v>
      </c>
      <c r="N62" s="50">
        <v>0</v>
      </c>
      <c r="O62" s="15">
        <f t="shared" si="0"/>
        <v>15</v>
      </c>
      <c r="P62" s="15">
        <f t="shared" si="1"/>
        <v>55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3</v>
      </c>
      <c r="J63" s="50">
        <v>2</v>
      </c>
      <c r="K63" s="50">
        <v>1</v>
      </c>
      <c r="L63" s="50">
        <v>0</v>
      </c>
      <c r="M63" s="50">
        <v>25</v>
      </c>
      <c r="N63" s="50">
        <v>0</v>
      </c>
      <c r="O63" s="15">
        <f t="shared" si="0"/>
        <v>6</v>
      </c>
      <c r="P63" s="15">
        <f t="shared" si="1"/>
        <v>31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1</v>
      </c>
      <c r="E64" s="50">
        <v>1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32</v>
      </c>
      <c r="N64" s="50">
        <v>0</v>
      </c>
      <c r="O64" s="15">
        <f t="shared" si="0"/>
        <v>8</v>
      </c>
      <c r="P64" s="15">
        <f t="shared" si="1"/>
        <v>40</v>
      </c>
      <c r="R64" s="8"/>
      <c r="T64"/>
    </row>
    <row r="65" spans="2:20" ht="23.1" customHeight="1" x14ac:dyDescent="0.25">
      <c r="B65" s="45" t="s">
        <v>158</v>
      </c>
      <c r="C65" s="50">
        <v>10</v>
      </c>
      <c r="D65" s="50">
        <v>0</v>
      </c>
      <c r="E65" s="50">
        <v>2</v>
      </c>
      <c r="F65" s="50">
        <v>0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30</v>
      </c>
      <c r="N65" s="50">
        <v>0</v>
      </c>
      <c r="O65" s="15">
        <f t="shared" si="0"/>
        <v>14</v>
      </c>
      <c r="P65" s="15">
        <f t="shared" si="1"/>
        <v>44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1</v>
      </c>
      <c r="E66" s="50">
        <v>1</v>
      </c>
      <c r="F66" s="50">
        <v>2</v>
      </c>
      <c r="G66" s="50">
        <v>0</v>
      </c>
      <c r="H66" s="50">
        <v>0</v>
      </c>
      <c r="I66" s="50">
        <v>3</v>
      </c>
      <c r="J66" s="50">
        <v>4</v>
      </c>
      <c r="K66" s="50">
        <v>0</v>
      </c>
      <c r="L66" s="50">
        <v>2</v>
      </c>
      <c r="M66" s="50">
        <v>13</v>
      </c>
      <c r="N66" s="50">
        <v>1</v>
      </c>
      <c r="O66" s="15">
        <f t="shared" si="0"/>
        <v>17</v>
      </c>
      <c r="P66" s="15">
        <f t="shared" si="1"/>
        <v>30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2</v>
      </c>
      <c r="K67" s="50">
        <v>1</v>
      </c>
      <c r="L67" s="50">
        <v>0</v>
      </c>
      <c r="M67" s="50">
        <v>12</v>
      </c>
      <c r="N67" s="50">
        <v>0</v>
      </c>
      <c r="O67" s="15">
        <f t="shared" si="0"/>
        <v>10</v>
      </c>
      <c r="P67" s="15">
        <f t="shared" si="1"/>
        <v>22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1</v>
      </c>
      <c r="L68" s="50">
        <v>0</v>
      </c>
      <c r="M68" s="50">
        <v>10</v>
      </c>
      <c r="N68" s="50">
        <v>0</v>
      </c>
      <c r="O68" s="15">
        <f t="shared" si="0"/>
        <v>5</v>
      </c>
      <c r="P68" s="15">
        <f t="shared" si="1"/>
        <v>15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2</v>
      </c>
      <c r="J69" s="50">
        <v>3</v>
      </c>
      <c r="K69" s="50">
        <v>0</v>
      </c>
      <c r="L69" s="50">
        <v>1</v>
      </c>
      <c r="M69" s="50">
        <v>9</v>
      </c>
      <c r="N69" s="50">
        <v>0</v>
      </c>
      <c r="O69" s="15">
        <f t="shared" si="0"/>
        <v>7</v>
      </c>
      <c r="P69" s="15">
        <f t="shared" si="1"/>
        <v>16</v>
      </c>
      <c r="R69" s="8"/>
      <c r="T69"/>
    </row>
    <row r="70" spans="2:20" ht="23.1" customHeight="1" x14ac:dyDescent="0.25">
      <c r="B70" s="45" t="s">
        <v>110</v>
      </c>
      <c r="C70" s="50">
        <v>4</v>
      </c>
      <c r="D70" s="50">
        <v>1</v>
      </c>
      <c r="E70" s="50">
        <v>2</v>
      </c>
      <c r="F70" s="50">
        <v>0</v>
      </c>
      <c r="G70" s="50">
        <v>0</v>
      </c>
      <c r="H70" s="50">
        <v>0</v>
      </c>
      <c r="I70" s="50">
        <v>3</v>
      </c>
      <c r="J70" s="50">
        <v>1</v>
      </c>
      <c r="K70" s="50">
        <v>0</v>
      </c>
      <c r="L70" s="50">
        <v>1</v>
      </c>
      <c r="M70" s="50">
        <v>10</v>
      </c>
      <c r="N70" s="50">
        <v>0</v>
      </c>
      <c r="O70" s="15">
        <f t="shared" si="0"/>
        <v>12</v>
      </c>
      <c r="P70" s="15">
        <f t="shared" si="1"/>
        <v>22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5</v>
      </c>
      <c r="J71" s="50">
        <v>2</v>
      </c>
      <c r="K71" s="50">
        <v>1</v>
      </c>
      <c r="L71" s="50">
        <v>0</v>
      </c>
      <c r="M71" s="50">
        <v>7</v>
      </c>
      <c r="N71" s="50">
        <v>0</v>
      </c>
      <c r="O71" s="15">
        <f t="shared" si="0"/>
        <v>9</v>
      </c>
      <c r="P71" s="15">
        <f t="shared" si="1"/>
        <v>16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1</v>
      </c>
      <c r="J72" s="50">
        <v>1</v>
      </c>
      <c r="K72" s="50">
        <v>2</v>
      </c>
      <c r="L72" s="50">
        <v>0</v>
      </c>
      <c r="M72" s="50">
        <v>7</v>
      </c>
      <c r="N72" s="50">
        <v>0</v>
      </c>
      <c r="O72" s="15">
        <f t="shared" si="0"/>
        <v>7</v>
      </c>
      <c r="P72" s="15">
        <f t="shared" si="1"/>
        <v>14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2</v>
      </c>
      <c r="E73" s="50">
        <v>0</v>
      </c>
      <c r="F73" s="50">
        <v>0</v>
      </c>
      <c r="G73" s="50">
        <v>0</v>
      </c>
      <c r="H73" s="50">
        <v>0</v>
      </c>
      <c r="I73" s="50">
        <v>1</v>
      </c>
      <c r="J73" s="50">
        <v>1</v>
      </c>
      <c r="K73" s="50">
        <v>0</v>
      </c>
      <c r="L73" s="50">
        <v>1</v>
      </c>
      <c r="M73" s="50">
        <v>5</v>
      </c>
      <c r="N73" s="50">
        <v>0</v>
      </c>
      <c r="O73" s="15">
        <f t="shared" si="0"/>
        <v>6</v>
      </c>
      <c r="P73" s="15">
        <f t="shared" si="1"/>
        <v>11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1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7</v>
      </c>
      <c r="N74" s="50">
        <v>0</v>
      </c>
      <c r="O74" s="15">
        <f t="shared" ref="O74:O105" si="35">SUM(C74:L74,N74)</f>
        <v>5</v>
      </c>
      <c r="P74" s="15">
        <f t="shared" ref="P74:P105" si="36">SUM(C74:N74)</f>
        <v>12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1</v>
      </c>
      <c r="M75" s="50">
        <v>5</v>
      </c>
      <c r="N75" s="50">
        <v>0</v>
      </c>
      <c r="O75" s="15">
        <f t="shared" si="35"/>
        <v>3</v>
      </c>
      <c r="P75" s="15">
        <f t="shared" si="36"/>
        <v>8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2</v>
      </c>
      <c r="F76" s="50">
        <v>0</v>
      </c>
      <c r="G76" s="50">
        <v>0</v>
      </c>
      <c r="H76" s="50">
        <v>0</v>
      </c>
      <c r="I76" s="50">
        <v>0</v>
      </c>
      <c r="J76" s="50">
        <v>2</v>
      </c>
      <c r="K76" s="50">
        <v>0</v>
      </c>
      <c r="L76" s="50">
        <v>0</v>
      </c>
      <c r="M76" s="50">
        <v>6</v>
      </c>
      <c r="N76" s="50">
        <v>0</v>
      </c>
      <c r="O76" s="15">
        <f t="shared" si="35"/>
        <v>7</v>
      </c>
      <c r="P76" s="15">
        <f t="shared" si="36"/>
        <v>13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3</v>
      </c>
      <c r="J77" s="50">
        <v>0</v>
      </c>
      <c r="K77" s="50">
        <v>2</v>
      </c>
      <c r="L77" s="50">
        <v>1</v>
      </c>
      <c r="M77" s="50">
        <v>7</v>
      </c>
      <c r="N77" s="50">
        <v>0</v>
      </c>
      <c r="O77" s="15">
        <f t="shared" si="35"/>
        <v>9</v>
      </c>
      <c r="P77" s="15">
        <f t="shared" si="36"/>
        <v>16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1</v>
      </c>
      <c r="H78" s="50">
        <v>2</v>
      </c>
      <c r="I78" s="50">
        <v>1</v>
      </c>
      <c r="J78" s="50">
        <v>0</v>
      </c>
      <c r="K78" s="50">
        <v>1</v>
      </c>
      <c r="L78" s="50">
        <v>0</v>
      </c>
      <c r="M78" s="50">
        <v>2</v>
      </c>
      <c r="N78" s="50">
        <v>0</v>
      </c>
      <c r="O78" s="15">
        <f t="shared" si="35"/>
        <v>5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1</v>
      </c>
      <c r="M79" s="50">
        <v>1</v>
      </c>
      <c r="N79" s="50">
        <v>0</v>
      </c>
      <c r="O79" s="15">
        <f t="shared" si="35"/>
        <v>2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2</v>
      </c>
      <c r="L80" s="50">
        <v>1</v>
      </c>
      <c r="M80" s="50">
        <v>0</v>
      </c>
      <c r="N80" s="50">
        <v>0</v>
      </c>
      <c r="O80" s="15">
        <f t="shared" si="35"/>
        <v>4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1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2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1</v>
      </c>
      <c r="M83" s="50">
        <v>0</v>
      </c>
      <c r="N83" s="50"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2</v>
      </c>
      <c r="L86" s="50">
        <v>1</v>
      </c>
      <c r="M86" s="50">
        <v>0</v>
      </c>
      <c r="N86" s="50">
        <v>0</v>
      </c>
      <c r="O86" s="15">
        <f t="shared" si="35"/>
        <v>4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1</v>
      </c>
      <c r="L88" s="50">
        <v>2</v>
      </c>
      <c r="M88" s="50">
        <v>0</v>
      </c>
      <c r="N88" s="50"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2</v>
      </c>
      <c r="L89" s="50">
        <v>0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1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2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1</v>
      </c>
      <c r="I92" s="50">
        <v>0</v>
      </c>
      <c r="J92" s="50">
        <v>0</v>
      </c>
      <c r="K92" s="50">
        <v>2</v>
      </c>
      <c r="L92" s="50">
        <v>1</v>
      </c>
      <c r="M92" s="50">
        <v>0</v>
      </c>
      <c r="N92" s="50">
        <v>0</v>
      </c>
      <c r="O92" s="15">
        <f t="shared" si="35"/>
        <v>5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2</v>
      </c>
      <c r="F93" s="50">
        <v>2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6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3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2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5</v>
      </c>
      <c r="N95" s="50">
        <v>0</v>
      </c>
      <c r="O95" s="15">
        <f t="shared" si="35"/>
        <v>3</v>
      </c>
      <c r="P95" s="15">
        <f t="shared" si="36"/>
        <v>8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2</v>
      </c>
      <c r="K96" s="50">
        <v>0</v>
      </c>
      <c r="L96" s="50">
        <v>1</v>
      </c>
      <c r="M96" s="50">
        <v>1</v>
      </c>
      <c r="N96" s="50">
        <v>0</v>
      </c>
      <c r="O96" s="15">
        <f t="shared" si="35"/>
        <v>3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3</v>
      </c>
      <c r="F97" s="50">
        <v>3</v>
      </c>
      <c r="G97" s="50">
        <v>0</v>
      </c>
      <c r="H97" s="50">
        <v>0</v>
      </c>
      <c r="I97" s="50">
        <v>2</v>
      </c>
      <c r="J97" s="50">
        <v>1</v>
      </c>
      <c r="K97" s="50">
        <v>2</v>
      </c>
      <c r="L97" s="50">
        <v>0</v>
      </c>
      <c r="M97" s="50">
        <v>2</v>
      </c>
      <c r="N97" s="50">
        <v>0</v>
      </c>
      <c r="O97" s="15">
        <f t="shared" si="35"/>
        <v>13</v>
      </c>
      <c r="P97" s="15">
        <f t="shared" si="36"/>
        <v>15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2</v>
      </c>
      <c r="M98" s="50">
        <v>3</v>
      </c>
      <c r="N98" s="50">
        <v>0</v>
      </c>
      <c r="O98" s="15">
        <f t="shared" si="35"/>
        <v>4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3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5</v>
      </c>
      <c r="N99" s="50">
        <v>0</v>
      </c>
      <c r="O99" s="15">
        <f t="shared" si="35"/>
        <v>4</v>
      </c>
      <c r="P99" s="15">
        <f t="shared" si="36"/>
        <v>9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1</v>
      </c>
      <c r="G100" s="50">
        <v>0</v>
      </c>
      <c r="H100" s="50">
        <v>0</v>
      </c>
      <c r="I100" s="50">
        <v>0</v>
      </c>
      <c r="J100" s="50">
        <v>2</v>
      </c>
      <c r="K100" s="50">
        <v>0</v>
      </c>
      <c r="L100" s="50">
        <v>1</v>
      </c>
      <c r="M100" s="50">
        <v>6</v>
      </c>
      <c r="N100" s="50">
        <v>0</v>
      </c>
      <c r="O100" s="15">
        <f t="shared" si="35"/>
        <v>5</v>
      </c>
      <c r="P100" s="15">
        <f t="shared" si="36"/>
        <v>11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2</v>
      </c>
      <c r="F101" s="50">
        <v>2</v>
      </c>
      <c r="G101" s="50">
        <v>0</v>
      </c>
      <c r="H101" s="50">
        <v>0</v>
      </c>
      <c r="I101" s="50">
        <v>0</v>
      </c>
      <c r="J101" s="50">
        <v>1</v>
      </c>
      <c r="K101" s="50">
        <v>3</v>
      </c>
      <c r="L101" s="50">
        <v>0</v>
      </c>
      <c r="M101" s="50">
        <v>14</v>
      </c>
      <c r="N101" s="50">
        <v>0</v>
      </c>
      <c r="O101" s="15">
        <f t="shared" si="35"/>
        <v>12</v>
      </c>
      <c r="P101" s="15">
        <f t="shared" si="36"/>
        <v>26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2</v>
      </c>
      <c r="J102" s="50">
        <v>2</v>
      </c>
      <c r="K102" s="50">
        <v>0</v>
      </c>
      <c r="L102" s="50">
        <v>0</v>
      </c>
      <c r="M102" s="50">
        <v>11</v>
      </c>
      <c r="N102" s="50">
        <v>0</v>
      </c>
      <c r="O102" s="15">
        <f t="shared" si="35"/>
        <v>9</v>
      </c>
      <c r="P102" s="15">
        <f t="shared" si="36"/>
        <v>20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1</v>
      </c>
      <c r="E103" s="50">
        <v>0</v>
      </c>
      <c r="F103" s="50">
        <v>0</v>
      </c>
      <c r="G103" s="50">
        <v>2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13</v>
      </c>
      <c r="N103" s="50">
        <v>0</v>
      </c>
      <c r="O103" s="15">
        <f t="shared" si="35"/>
        <v>7</v>
      </c>
      <c r="P103" s="15">
        <f t="shared" si="36"/>
        <v>20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0</v>
      </c>
      <c r="E104" s="50">
        <v>2</v>
      </c>
      <c r="F104" s="50">
        <v>2</v>
      </c>
      <c r="G104" s="50">
        <v>0</v>
      </c>
      <c r="H104" s="50">
        <v>0</v>
      </c>
      <c r="I104" s="50">
        <v>0</v>
      </c>
      <c r="J104" s="50">
        <v>3</v>
      </c>
      <c r="K104" s="50">
        <v>3</v>
      </c>
      <c r="L104" s="50">
        <v>2</v>
      </c>
      <c r="M104" s="50">
        <v>15</v>
      </c>
      <c r="N104" s="50">
        <v>0</v>
      </c>
      <c r="O104" s="15">
        <f t="shared" si="35"/>
        <v>17</v>
      </c>
      <c r="P104" s="15">
        <f t="shared" si="36"/>
        <v>32</v>
      </c>
      <c r="R104" s="8"/>
      <c r="T104"/>
    </row>
    <row r="105" spans="2:20" ht="23.1" customHeight="1" x14ac:dyDescent="0.25">
      <c r="B105" s="45" t="s">
        <v>145</v>
      </c>
      <c r="C105" s="50">
        <v>6</v>
      </c>
      <c r="D105" s="50">
        <v>0</v>
      </c>
      <c r="E105" s="50">
        <v>3</v>
      </c>
      <c r="F105" s="50">
        <v>4</v>
      </c>
      <c r="G105" s="50">
        <v>0</v>
      </c>
      <c r="H105" s="50">
        <v>1</v>
      </c>
      <c r="I105" s="50">
        <v>3</v>
      </c>
      <c r="J105" s="50">
        <v>1</v>
      </c>
      <c r="K105" s="50">
        <v>2</v>
      </c>
      <c r="L105" s="50">
        <v>1</v>
      </c>
      <c r="M105" s="50">
        <v>18</v>
      </c>
      <c r="N105" s="50">
        <v>1</v>
      </c>
      <c r="O105" s="15">
        <f t="shared" si="35"/>
        <v>22</v>
      </c>
      <c r="P105" s="15">
        <f t="shared" si="36"/>
        <v>40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308</v>
      </c>
      <c r="D106" s="16">
        <f t="shared" ref="D106:P106" si="37">SUM(D10:D105)</f>
        <v>89</v>
      </c>
      <c r="E106" s="16">
        <f t="shared" si="37"/>
        <v>73</v>
      </c>
      <c r="F106" s="16">
        <f t="shared" si="37"/>
        <v>136</v>
      </c>
      <c r="G106" s="16">
        <f t="shared" si="37"/>
        <v>17</v>
      </c>
      <c r="H106" s="16">
        <f t="shared" si="37"/>
        <v>4</v>
      </c>
      <c r="I106" s="16">
        <f t="shared" si="37"/>
        <v>134</v>
      </c>
      <c r="J106" s="16">
        <f t="shared" si="37"/>
        <v>128</v>
      </c>
      <c r="K106" s="16">
        <f t="shared" si="37"/>
        <v>54</v>
      </c>
      <c r="L106" s="16">
        <f t="shared" si="37"/>
        <v>62</v>
      </c>
      <c r="M106" s="16">
        <f t="shared" si="37"/>
        <v>2672</v>
      </c>
      <c r="N106" s="16">
        <f t="shared" si="37"/>
        <v>7</v>
      </c>
      <c r="O106" s="16">
        <f t="shared" si="37"/>
        <v>1012</v>
      </c>
      <c r="P106" s="16">
        <f t="shared" si="37"/>
        <v>3684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8.360477741585233E-2</v>
      </c>
      <c r="D107" s="43">
        <f t="shared" si="38"/>
        <v>2.4158523344191097E-2</v>
      </c>
      <c r="E107" s="43">
        <f t="shared" si="38"/>
        <v>1.9815418023887078E-2</v>
      </c>
      <c r="F107" s="43">
        <f t="shared" si="38"/>
        <v>3.691639522258415E-2</v>
      </c>
      <c r="G107" s="43">
        <f t="shared" si="38"/>
        <v>4.6145494028230188E-3</v>
      </c>
      <c r="H107" s="43">
        <f t="shared" si="38"/>
        <v>1.0857763300760044E-3</v>
      </c>
      <c r="I107" s="43">
        <f t="shared" si="38"/>
        <v>3.6373507057546148E-2</v>
      </c>
      <c r="J107" s="43">
        <f t="shared" si="38"/>
        <v>3.4744842562432141E-2</v>
      </c>
      <c r="K107" s="43">
        <f t="shared" si="38"/>
        <v>1.4657980456026058E-2</v>
      </c>
      <c r="L107" s="43">
        <f t="shared" si="38"/>
        <v>1.6829533116178068E-2</v>
      </c>
      <c r="M107" s="43">
        <f t="shared" si="38"/>
        <v>0.72529858849077089</v>
      </c>
      <c r="N107" s="43">
        <f t="shared" si="38"/>
        <v>1.9001085776330076E-3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0.30434782608695654</v>
      </c>
      <c r="D108" s="44">
        <f t="shared" ref="D108:N108" si="39">D106/$O$106</f>
        <v>8.7944664031620559E-2</v>
      </c>
      <c r="E108" s="44">
        <f t="shared" si="39"/>
        <v>7.2134387351778656E-2</v>
      </c>
      <c r="F108" s="44">
        <f t="shared" si="39"/>
        <v>0.13438735177865613</v>
      </c>
      <c r="G108" s="44">
        <f t="shared" si="39"/>
        <v>1.6798418972332016E-2</v>
      </c>
      <c r="H108" s="44">
        <f t="shared" si="39"/>
        <v>3.952569169960474E-3</v>
      </c>
      <c r="I108" s="44">
        <f t="shared" si="39"/>
        <v>0.1324110671936759</v>
      </c>
      <c r="J108" s="44">
        <f t="shared" si="39"/>
        <v>0.12648221343873517</v>
      </c>
      <c r="K108" s="44">
        <f t="shared" si="39"/>
        <v>5.33596837944664E-2</v>
      </c>
      <c r="L108" s="44">
        <f t="shared" si="39"/>
        <v>6.1264822134387352E-2</v>
      </c>
      <c r="M108" s="44"/>
      <c r="N108" s="44">
        <f t="shared" si="39"/>
        <v>6.91699604743083E-3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topLeftCell="A6" zoomScale="60" workbookViewId="0">
      <selection activeCell="G23" sqref="G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3" t="str">
        <f>'25.08 Lumino-Musita'!G5:H5</f>
        <v>Musita</v>
      </c>
      <c r="H5" s="64"/>
      <c r="I5" s="14"/>
      <c r="J5" s="2" t="s">
        <v>5</v>
      </c>
      <c r="K5" s="63" t="str">
        <f>'22.08 Musita-Lumino'!K5:L5</f>
        <v>Nusulah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Musita-Lumino'!D6:E6</f>
        <v>Musita</v>
      </c>
      <c r="E6" s="64"/>
      <c r="F6" s="2" t="s">
        <v>2</v>
      </c>
      <c r="G6" s="63" t="str">
        <f>'22.08 Musita-Lumino'!G6:H6</f>
        <v>Lumino</v>
      </c>
      <c r="H6" s="64"/>
      <c r="J6" s="2" t="s">
        <v>21</v>
      </c>
      <c r="K6" s="63" t="str">
        <f>'25.08 Lumino-Musita'!K6:L6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2</v>
      </c>
      <c r="E10" s="50">
        <v>2</v>
      </c>
      <c r="F10" s="50">
        <v>3</v>
      </c>
      <c r="G10" s="50">
        <v>0</v>
      </c>
      <c r="H10" s="50">
        <v>0</v>
      </c>
      <c r="I10" s="50">
        <v>3</v>
      </c>
      <c r="J10" s="50">
        <v>2</v>
      </c>
      <c r="K10" s="50">
        <v>0</v>
      </c>
      <c r="L10" s="50">
        <v>0</v>
      </c>
      <c r="M10" s="50">
        <v>25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43</v>
      </c>
      <c r="R10" s="1" t="s">
        <v>6</v>
      </c>
      <c r="S10" s="17">
        <f t="shared" ref="S10:AF10" si="2">SUM(C10:C13)</f>
        <v>13</v>
      </c>
      <c r="T10" s="17">
        <f t="shared" si="2"/>
        <v>3</v>
      </c>
      <c r="U10" s="17">
        <f t="shared" si="2"/>
        <v>4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7</v>
      </c>
      <c r="AA10" s="17">
        <f t="shared" si="2"/>
        <v>1</v>
      </c>
      <c r="AB10" s="17">
        <f t="shared" si="2"/>
        <v>0</v>
      </c>
      <c r="AC10" s="17">
        <f t="shared" si="2"/>
        <v>148</v>
      </c>
      <c r="AD10" s="17">
        <f t="shared" si="2"/>
        <v>2</v>
      </c>
      <c r="AE10" s="31">
        <f t="shared" si="2"/>
        <v>41</v>
      </c>
      <c r="AF10" s="31">
        <f t="shared" si="2"/>
        <v>189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35</v>
      </c>
      <c r="N11" s="50">
        <v>2</v>
      </c>
      <c r="O11" s="15">
        <f t="shared" si="0"/>
        <v>10</v>
      </c>
      <c r="P11" s="15">
        <f t="shared" si="1"/>
        <v>45</v>
      </c>
      <c r="R11" s="1" t="s">
        <v>7</v>
      </c>
      <c r="S11" s="17">
        <f t="shared" ref="S11:AF11" si="3">SUM(C14:C17)</f>
        <v>4</v>
      </c>
      <c r="T11" s="17">
        <f t="shared" si="3"/>
        <v>12</v>
      </c>
      <c r="U11" s="17">
        <f t="shared" si="3"/>
        <v>5</v>
      </c>
      <c r="V11" s="17">
        <f t="shared" si="3"/>
        <v>2</v>
      </c>
      <c r="W11" s="17">
        <f t="shared" si="3"/>
        <v>3</v>
      </c>
      <c r="X11" s="17">
        <f t="shared" si="3"/>
        <v>0</v>
      </c>
      <c r="Y11" s="17">
        <f t="shared" si="3"/>
        <v>6</v>
      </c>
      <c r="Z11" s="17">
        <f t="shared" si="3"/>
        <v>13</v>
      </c>
      <c r="AA11" s="17">
        <f t="shared" si="3"/>
        <v>3</v>
      </c>
      <c r="AB11" s="17">
        <f t="shared" si="3"/>
        <v>0</v>
      </c>
      <c r="AC11" s="17">
        <f t="shared" si="3"/>
        <v>182</v>
      </c>
      <c r="AD11" s="17">
        <f t="shared" si="3"/>
        <v>0</v>
      </c>
      <c r="AE11" s="31">
        <f t="shared" si="3"/>
        <v>48</v>
      </c>
      <c r="AF11" s="31">
        <f t="shared" si="3"/>
        <v>230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40</v>
      </c>
      <c r="N12" s="50">
        <v>0</v>
      </c>
      <c r="O12" s="15">
        <f t="shared" si="0"/>
        <v>3</v>
      </c>
      <c r="P12" s="15">
        <f t="shared" si="1"/>
        <v>43</v>
      </c>
      <c r="R12" s="1" t="s">
        <v>8</v>
      </c>
      <c r="S12" s="17">
        <f t="shared" ref="S12:AF12" si="4">SUM(C18:C21)</f>
        <v>13</v>
      </c>
      <c r="T12" s="17">
        <f t="shared" si="4"/>
        <v>5</v>
      </c>
      <c r="U12" s="17">
        <f t="shared" si="4"/>
        <v>2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4</v>
      </c>
      <c r="AA12" s="17">
        <f t="shared" si="4"/>
        <v>2</v>
      </c>
      <c r="AB12" s="17">
        <f t="shared" si="4"/>
        <v>0</v>
      </c>
      <c r="AC12" s="17">
        <f t="shared" si="4"/>
        <v>166</v>
      </c>
      <c r="AD12" s="17">
        <f t="shared" si="4"/>
        <v>1</v>
      </c>
      <c r="AE12" s="31">
        <f t="shared" si="4"/>
        <v>43</v>
      </c>
      <c r="AF12" s="31">
        <f t="shared" si="4"/>
        <v>209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3</v>
      </c>
      <c r="K13" s="50">
        <v>1</v>
      </c>
      <c r="L13" s="50">
        <v>0</v>
      </c>
      <c r="M13" s="50">
        <v>48</v>
      </c>
      <c r="N13" s="50">
        <v>0</v>
      </c>
      <c r="O13" s="15">
        <f t="shared" si="0"/>
        <v>10</v>
      </c>
      <c r="P13" s="15">
        <f t="shared" si="1"/>
        <v>58</v>
      </c>
      <c r="R13" s="1" t="s">
        <v>9</v>
      </c>
      <c r="S13" s="17">
        <f t="shared" ref="S13:AF13" si="5">SUM(C22:C25)</f>
        <v>14</v>
      </c>
      <c r="T13" s="17">
        <f t="shared" si="5"/>
        <v>6</v>
      </c>
      <c r="U13" s="17">
        <f t="shared" si="5"/>
        <v>1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136</v>
      </c>
      <c r="AD13" s="17">
        <f t="shared" si="5"/>
        <v>0</v>
      </c>
      <c r="AE13" s="31">
        <f t="shared" si="5"/>
        <v>42</v>
      </c>
      <c r="AF13" s="31">
        <f t="shared" si="5"/>
        <v>178</v>
      </c>
    </row>
    <row r="14" spans="2:32" ht="23.1" customHeight="1" x14ac:dyDescent="0.25">
      <c r="B14" s="23" t="s">
        <v>41</v>
      </c>
      <c r="C14" s="50">
        <v>3</v>
      </c>
      <c r="D14" s="50">
        <v>3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0</v>
      </c>
      <c r="M14" s="50">
        <v>47</v>
      </c>
      <c r="N14" s="50">
        <v>0</v>
      </c>
      <c r="O14" s="15">
        <f t="shared" si="0"/>
        <v>9</v>
      </c>
      <c r="P14" s="15">
        <f t="shared" si="1"/>
        <v>56</v>
      </c>
      <c r="R14" s="1" t="s">
        <v>10</v>
      </c>
      <c r="S14" s="17">
        <f t="shared" ref="S14:AF14" si="6">SUM(C26:C29)</f>
        <v>13</v>
      </c>
      <c r="T14" s="17">
        <f t="shared" si="6"/>
        <v>5</v>
      </c>
      <c r="U14" s="17">
        <f t="shared" si="6"/>
        <v>1</v>
      </c>
      <c r="V14" s="17">
        <f t="shared" si="6"/>
        <v>5</v>
      </c>
      <c r="W14" s="17">
        <f t="shared" si="6"/>
        <v>1</v>
      </c>
      <c r="X14" s="17">
        <f t="shared" si="6"/>
        <v>0</v>
      </c>
      <c r="Y14" s="17">
        <f t="shared" si="6"/>
        <v>4</v>
      </c>
      <c r="Z14" s="17">
        <f t="shared" si="6"/>
        <v>5</v>
      </c>
      <c r="AA14" s="17">
        <f t="shared" si="6"/>
        <v>3</v>
      </c>
      <c r="AB14" s="17">
        <f t="shared" si="6"/>
        <v>3</v>
      </c>
      <c r="AC14" s="17">
        <f t="shared" si="6"/>
        <v>188</v>
      </c>
      <c r="AD14" s="17">
        <f t="shared" si="6"/>
        <v>0</v>
      </c>
      <c r="AE14" s="31">
        <f t="shared" si="6"/>
        <v>40</v>
      </c>
      <c r="AF14" s="31">
        <f t="shared" si="6"/>
        <v>228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1</v>
      </c>
      <c r="F15" s="50">
        <v>0</v>
      </c>
      <c r="G15" s="50">
        <v>0</v>
      </c>
      <c r="H15" s="50">
        <v>0</v>
      </c>
      <c r="I15" s="50">
        <v>2</v>
      </c>
      <c r="J15" s="50">
        <v>3</v>
      </c>
      <c r="K15" s="50">
        <v>1</v>
      </c>
      <c r="L15" s="50">
        <v>0</v>
      </c>
      <c r="M15" s="50">
        <v>30</v>
      </c>
      <c r="N15" s="50">
        <v>0</v>
      </c>
      <c r="O15" s="15">
        <f t="shared" si="0"/>
        <v>9</v>
      </c>
      <c r="P15" s="15">
        <f t="shared" si="1"/>
        <v>39</v>
      </c>
      <c r="R15" s="1" t="s">
        <v>11</v>
      </c>
      <c r="S15" s="17">
        <f t="shared" ref="S15:AF15" si="7">SUM(C30:C33)</f>
        <v>10</v>
      </c>
      <c r="T15" s="17">
        <f t="shared" si="7"/>
        <v>8</v>
      </c>
      <c r="U15" s="17">
        <f t="shared" si="7"/>
        <v>5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4</v>
      </c>
      <c r="AA15" s="17">
        <f t="shared" si="7"/>
        <v>1</v>
      </c>
      <c r="AB15" s="17">
        <f t="shared" si="7"/>
        <v>2</v>
      </c>
      <c r="AC15" s="17">
        <f t="shared" si="7"/>
        <v>200</v>
      </c>
      <c r="AD15" s="17">
        <f t="shared" si="7"/>
        <v>1</v>
      </c>
      <c r="AE15" s="31">
        <f t="shared" si="7"/>
        <v>43</v>
      </c>
      <c r="AF15" s="31">
        <f t="shared" si="7"/>
        <v>243</v>
      </c>
    </row>
    <row r="16" spans="2:32" ht="23.1" customHeight="1" x14ac:dyDescent="0.25">
      <c r="B16" s="23" t="s">
        <v>43</v>
      </c>
      <c r="C16" s="50">
        <v>0</v>
      </c>
      <c r="D16" s="50">
        <v>5</v>
      </c>
      <c r="E16" s="50">
        <v>2</v>
      </c>
      <c r="F16" s="50">
        <v>1</v>
      </c>
      <c r="G16" s="50">
        <v>2</v>
      </c>
      <c r="H16" s="50">
        <v>0</v>
      </c>
      <c r="I16" s="50">
        <v>1</v>
      </c>
      <c r="J16" s="50">
        <v>5</v>
      </c>
      <c r="K16" s="50">
        <v>1</v>
      </c>
      <c r="L16" s="50">
        <v>0</v>
      </c>
      <c r="M16" s="50">
        <v>50</v>
      </c>
      <c r="N16" s="50">
        <v>0</v>
      </c>
      <c r="O16" s="15">
        <f t="shared" si="0"/>
        <v>17</v>
      </c>
      <c r="P16" s="15">
        <f t="shared" si="1"/>
        <v>67</v>
      </c>
      <c r="R16" s="1" t="s">
        <v>12</v>
      </c>
      <c r="S16" s="17">
        <f t="shared" ref="S16:AF16" si="8">SUM(C34:C37)</f>
        <v>15</v>
      </c>
      <c r="T16" s="17">
        <f t="shared" si="8"/>
        <v>1</v>
      </c>
      <c r="U16" s="17">
        <f t="shared" si="8"/>
        <v>4</v>
      </c>
      <c r="V16" s="17">
        <f t="shared" si="8"/>
        <v>9</v>
      </c>
      <c r="W16" s="17">
        <f t="shared" si="8"/>
        <v>3</v>
      </c>
      <c r="X16" s="17">
        <f t="shared" si="8"/>
        <v>1</v>
      </c>
      <c r="Y16" s="17">
        <f t="shared" si="8"/>
        <v>10</v>
      </c>
      <c r="Z16" s="17">
        <f t="shared" si="8"/>
        <v>13</v>
      </c>
      <c r="AA16" s="17">
        <f t="shared" si="8"/>
        <v>3</v>
      </c>
      <c r="AB16" s="17">
        <f t="shared" si="8"/>
        <v>5</v>
      </c>
      <c r="AC16" s="17">
        <f t="shared" si="8"/>
        <v>176</v>
      </c>
      <c r="AD16" s="17">
        <f t="shared" si="8"/>
        <v>0</v>
      </c>
      <c r="AE16" s="31">
        <f t="shared" si="8"/>
        <v>64</v>
      </c>
      <c r="AF16" s="31">
        <f t="shared" si="8"/>
        <v>240</v>
      </c>
    </row>
    <row r="17" spans="2:32" ht="23.1" customHeight="1" x14ac:dyDescent="0.25">
      <c r="B17" s="23" t="s">
        <v>44</v>
      </c>
      <c r="C17" s="50">
        <v>0</v>
      </c>
      <c r="D17" s="50">
        <v>3</v>
      </c>
      <c r="E17" s="50">
        <v>2</v>
      </c>
      <c r="F17" s="50">
        <v>1</v>
      </c>
      <c r="G17" s="50">
        <v>1</v>
      </c>
      <c r="H17" s="50">
        <v>0</v>
      </c>
      <c r="I17" s="50">
        <v>1</v>
      </c>
      <c r="J17" s="50">
        <v>4</v>
      </c>
      <c r="K17" s="50">
        <v>1</v>
      </c>
      <c r="L17" s="50">
        <v>0</v>
      </c>
      <c r="M17" s="50">
        <v>55</v>
      </c>
      <c r="N17" s="50">
        <v>0</v>
      </c>
      <c r="O17" s="15">
        <f t="shared" si="0"/>
        <v>13</v>
      </c>
      <c r="P17" s="15">
        <f t="shared" si="1"/>
        <v>68</v>
      </c>
      <c r="R17" s="1" t="s">
        <v>13</v>
      </c>
      <c r="S17" s="17">
        <f t="shared" ref="S17:AF17" si="9">SUM(C38:C41)</f>
        <v>24</v>
      </c>
      <c r="T17" s="17">
        <f t="shared" si="9"/>
        <v>8</v>
      </c>
      <c r="U17" s="17">
        <f t="shared" si="9"/>
        <v>4</v>
      </c>
      <c r="V17" s="17">
        <f t="shared" si="9"/>
        <v>7</v>
      </c>
      <c r="W17" s="17">
        <f t="shared" si="9"/>
        <v>1</v>
      </c>
      <c r="X17" s="17">
        <f t="shared" si="9"/>
        <v>0</v>
      </c>
      <c r="Y17" s="17">
        <f t="shared" si="9"/>
        <v>11</v>
      </c>
      <c r="Z17" s="17">
        <f t="shared" si="9"/>
        <v>10</v>
      </c>
      <c r="AA17" s="17">
        <f t="shared" si="9"/>
        <v>3</v>
      </c>
      <c r="AB17" s="17">
        <f t="shared" si="9"/>
        <v>1</v>
      </c>
      <c r="AC17" s="17">
        <f t="shared" si="9"/>
        <v>217</v>
      </c>
      <c r="AD17" s="17">
        <f t="shared" si="9"/>
        <v>2</v>
      </c>
      <c r="AE17" s="31">
        <f t="shared" si="9"/>
        <v>71</v>
      </c>
      <c r="AF17" s="31">
        <f t="shared" si="9"/>
        <v>288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30</v>
      </c>
      <c r="N18" s="50">
        <v>0</v>
      </c>
      <c r="O18" s="15">
        <f t="shared" si="0"/>
        <v>7</v>
      </c>
      <c r="P18" s="15">
        <f t="shared" si="1"/>
        <v>37</v>
      </c>
      <c r="R18" s="1" t="s">
        <v>14</v>
      </c>
      <c r="S18" s="17">
        <f t="shared" ref="S18:AF18" si="10">SUM(C42:C45)</f>
        <v>17</v>
      </c>
      <c r="T18" s="17">
        <f t="shared" si="10"/>
        <v>5</v>
      </c>
      <c r="U18" s="17">
        <f t="shared" si="10"/>
        <v>6</v>
      </c>
      <c r="V18" s="17">
        <f t="shared" si="10"/>
        <v>6</v>
      </c>
      <c r="W18" s="17">
        <f t="shared" si="10"/>
        <v>0</v>
      </c>
      <c r="X18" s="17">
        <f t="shared" si="10"/>
        <v>1</v>
      </c>
      <c r="Y18" s="17">
        <f t="shared" si="10"/>
        <v>8</v>
      </c>
      <c r="Z18" s="17">
        <f t="shared" si="10"/>
        <v>15</v>
      </c>
      <c r="AA18" s="17">
        <f t="shared" si="10"/>
        <v>2</v>
      </c>
      <c r="AB18" s="17">
        <f t="shared" si="10"/>
        <v>1</v>
      </c>
      <c r="AC18" s="17">
        <f t="shared" si="10"/>
        <v>196</v>
      </c>
      <c r="AD18" s="17">
        <f t="shared" si="10"/>
        <v>0</v>
      </c>
      <c r="AE18" s="31">
        <f t="shared" si="10"/>
        <v>61</v>
      </c>
      <c r="AF18" s="31">
        <f t="shared" si="10"/>
        <v>257</v>
      </c>
    </row>
    <row r="19" spans="2:32" ht="23.1" customHeight="1" x14ac:dyDescent="0.25">
      <c r="B19" s="23" t="s">
        <v>46</v>
      </c>
      <c r="C19" s="50">
        <v>3</v>
      </c>
      <c r="D19" s="50">
        <v>3</v>
      </c>
      <c r="E19" s="50">
        <v>2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47</v>
      </c>
      <c r="N19" s="50">
        <v>1</v>
      </c>
      <c r="O19" s="15">
        <f t="shared" si="0"/>
        <v>11</v>
      </c>
      <c r="P19" s="15">
        <f t="shared" si="1"/>
        <v>58</v>
      </c>
      <c r="R19" s="1" t="s">
        <v>15</v>
      </c>
      <c r="S19" s="17">
        <f t="shared" ref="S19:AF19" si="11">SUM(C46:C49)</f>
        <v>21</v>
      </c>
      <c r="T19" s="17">
        <f t="shared" si="11"/>
        <v>6</v>
      </c>
      <c r="U19" s="17">
        <f t="shared" si="11"/>
        <v>0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5</v>
      </c>
      <c r="AA19" s="17">
        <f t="shared" si="11"/>
        <v>1</v>
      </c>
      <c r="AB19" s="17">
        <f t="shared" si="11"/>
        <v>0</v>
      </c>
      <c r="AC19" s="17">
        <f t="shared" si="11"/>
        <v>107</v>
      </c>
      <c r="AD19" s="17">
        <f t="shared" si="11"/>
        <v>0</v>
      </c>
      <c r="AE19" s="31">
        <f t="shared" si="11"/>
        <v>45</v>
      </c>
      <c r="AF19" s="31">
        <f t="shared" si="11"/>
        <v>152</v>
      </c>
    </row>
    <row r="20" spans="2:32" ht="23.1" customHeight="1" x14ac:dyDescent="0.25">
      <c r="B20" s="23" t="s">
        <v>47</v>
      </c>
      <c r="C20" s="50">
        <v>5</v>
      </c>
      <c r="D20" s="50">
        <v>2</v>
      </c>
      <c r="E20" s="50">
        <v>0</v>
      </c>
      <c r="F20" s="50">
        <v>3</v>
      </c>
      <c r="G20" s="50">
        <v>0</v>
      </c>
      <c r="H20" s="50">
        <v>0</v>
      </c>
      <c r="I20" s="50">
        <v>4</v>
      </c>
      <c r="J20" s="50">
        <v>1</v>
      </c>
      <c r="K20" s="50">
        <v>2</v>
      </c>
      <c r="L20" s="50">
        <v>0</v>
      </c>
      <c r="M20" s="50">
        <v>53</v>
      </c>
      <c r="N20" s="50">
        <v>0</v>
      </c>
      <c r="O20" s="15">
        <f t="shared" si="0"/>
        <v>17</v>
      </c>
      <c r="P20" s="15">
        <f t="shared" si="1"/>
        <v>70</v>
      </c>
      <c r="R20" s="1" t="s">
        <v>16</v>
      </c>
      <c r="S20" s="17">
        <f t="shared" ref="S20:AF20" si="12">SUM(C50:C53)</f>
        <v>15</v>
      </c>
      <c r="T20" s="17">
        <f t="shared" si="12"/>
        <v>2</v>
      </c>
      <c r="U20" s="17">
        <f t="shared" si="12"/>
        <v>2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13</v>
      </c>
      <c r="Z20" s="17">
        <f t="shared" si="12"/>
        <v>6</v>
      </c>
      <c r="AA20" s="17">
        <f t="shared" si="12"/>
        <v>6</v>
      </c>
      <c r="AB20" s="17">
        <f t="shared" si="12"/>
        <v>2</v>
      </c>
      <c r="AC20" s="17">
        <f t="shared" si="12"/>
        <v>156</v>
      </c>
      <c r="AD20" s="17">
        <f t="shared" si="12"/>
        <v>0</v>
      </c>
      <c r="AE20" s="31">
        <f t="shared" si="12"/>
        <v>52</v>
      </c>
      <c r="AF20" s="31">
        <f t="shared" si="12"/>
        <v>208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3</v>
      </c>
      <c r="J21" s="50">
        <v>2</v>
      </c>
      <c r="K21" s="50">
        <v>0</v>
      </c>
      <c r="L21" s="50">
        <v>0</v>
      </c>
      <c r="M21" s="50">
        <v>36</v>
      </c>
      <c r="N21" s="50">
        <v>0</v>
      </c>
      <c r="O21" s="15">
        <f t="shared" si="0"/>
        <v>8</v>
      </c>
      <c r="P21" s="15">
        <f t="shared" si="1"/>
        <v>44</v>
      </c>
      <c r="R21" s="36" t="s">
        <v>20</v>
      </c>
      <c r="S21" s="34">
        <f t="shared" ref="S21:AF21" si="13">SUM(C54:C57)</f>
        <v>24</v>
      </c>
      <c r="T21" s="17">
        <f t="shared" si="13"/>
        <v>6</v>
      </c>
      <c r="U21" s="17">
        <f t="shared" si="13"/>
        <v>8</v>
      </c>
      <c r="V21" s="17">
        <f t="shared" si="13"/>
        <v>10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15</v>
      </c>
      <c r="AA21" s="17">
        <f t="shared" si="13"/>
        <v>4</v>
      </c>
      <c r="AB21" s="17">
        <f t="shared" si="13"/>
        <v>4</v>
      </c>
      <c r="AC21" s="17">
        <f t="shared" si="13"/>
        <v>227</v>
      </c>
      <c r="AD21" s="17">
        <f t="shared" si="13"/>
        <v>3</v>
      </c>
      <c r="AE21" s="31">
        <f t="shared" si="13"/>
        <v>83</v>
      </c>
      <c r="AF21" s="31">
        <f t="shared" si="13"/>
        <v>310</v>
      </c>
    </row>
    <row r="22" spans="2:32" ht="23.1" customHeight="1" x14ac:dyDescent="0.25">
      <c r="B22" s="23" t="s">
        <v>49</v>
      </c>
      <c r="C22" s="50">
        <v>5</v>
      </c>
      <c r="D22" s="50">
        <v>4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3</v>
      </c>
      <c r="K22" s="50">
        <v>0</v>
      </c>
      <c r="L22" s="50">
        <v>0</v>
      </c>
      <c r="M22" s="50">
        <v>38</v>
      </c>
      <c r="N22" s="50">
        <v>0</v>
      </c>
      <c r="O22" s="15">
        <f t="shared" si="0"/>
        <v>14</v>
      </c>
      <c r="P22" s="15">
        <f t="shared" si="1"/>
        <v>52</v>
      </c>
      <c r="R22" s="38" t="s">
        <v>90</v>
      </c>
      <c r="S22" s="39">
        <f>MAX(S10:S12)</f>
        <v>13</v>
      </c>
      <c r="T22" s="39">
        <f t="shared" ref="T22:AF22" si="14">MAX(T10:T12)</f>
        <v>12</v>
      </c>
      <c r="U22" s="39">
        <f t="shared" si="14"/>
        <v>5</v>
      </c>
      <c r="V22" s="39">
        <f t="shared" si="14"/>
        <v>5</v>
      </c>
      <c r="W22" s="39">
        <f t="shared" si="14"/>
        <v>3</v>
      </c>
      <c r="X22" s="39">
        <f t="shared" si="14"/>
        <v>0</v>
      </c>
      <c r="Y22" s="39">
        <f t="shared" si="14"/>
        <v>11</v>
      </c>
      <c r="Z22" s="39">
        <f t="shared" si="14"/>
        <v>13</v>
      </c>
      <c r="AA22" s="39">
        <f t="shared" si="14"/>
        <v>3</v>
      </c>
      <c r="AB22" s="39">
        <f t="shared" si="14"/>
        <v>0</v>
      </c>
      <c r="AC22" s="39">
        <f t="shared" si="14"/>
        <v>182</v>
      </c>
      <c r="AD22" s="39">
        <f t="shared" si="14"/>
        <v>2</v>
      </c>
      <c r="AE22" s="40">
        <f t="shared" si="14"/>
        <v>48</v>
      </c>
      <c r="AF22" s="40">
        <f t="shared" si="14"/>
        <v>230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1</v>
      </c>
      <c r="F23" s="50">
        <v>3</v>
      </c>
      <c r="G23" s="50">
        <v>0</v>
      </c>
      <c r="H23" s="50">
        <v>0</v>
      </c>
      <c r="I23" s="50">
        <v>0</v>
      </c>
      <c r="J23" s="50">
        <v>1</v>
      </c>
      <c r="K23" s="50">
        <v>1</v>
      </c>
      <c r="L23" s="50">
        <v>0</v>
      </c>
      <c r="M23" s="50">
        <v>23</v>
      </c>
      <c r="N23" s="50">
        <v>0</v>
      </c>
      <c r="O23" s="15">
        <f t="shared" si="0"/>
        <v>9</v>
      </c>
      <c r="P23" s="15">
        <f t="shared" si="1"/>
        <v>32</v>
      </c>
      <c r="R23" s="38" t="s">
        <v>91</v>
      </c>
      <c r="S23" s="39">
        <f>MAX(S13:S18)</f>
        <v>24</v>
      </c>
      <c r="T23" s="39">
        <f t="shared" ref="T23:AF23" si="15">MAX(T13:T18)</f>
        <v>8</v>
      </c>
      <c r="U23" s="39">
        <f t="shared" si="15"/>
        <v>6</v>
      </c>
      <c r="V23" s="39">
        <f t="shared" si="15"/>
        <v>9</v>
      </c>
      <c r="W23" s="39">
        <f t="shared" si="15"/>
        <v>3</v>
      </c>
      <c r="X23" s="39">
        <f t="shared" si="15"/>
        <v>1</v>
      </c>
      <c r="Y23" s="39">
        <f t="shared" si="15"/>
        <v>11</v>
      </c>
      <c r="Z23" s="39">
        <f t="shared" si="15"/>
        <v>15</v>
      </c>
      <c r="AA23" s="39">
        <f t="shared" si="15"/>
        <v>3</v>
      </c>
      <c r="AB23" s="39">
        <f t="shared" si="15"/>
        <v>5</v>
      </c>
      <c r="AC23" s="39">
        <f t="shared" si="15"/>
        <v>217</v>
      </c>
      <c r="AD23" s="39">
        <f t="shared" si="15"/>
        <v>2</v>
      </c>
      <c r="AE23" s="40">
        <f t="shared" si="15"/>
        <v>71</v>
      </c>
      <c r="AF23" s="40">
        <f t="shared" si="15"/>
        <v>288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0</v>
      </c>
      <c r="F24" s="50">
        <v>2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38</v>
      </c>
      <c r="N24" s="50">
        <v>0</v>
      </c>
      <c r="O24" s="15">
        <f t="shared" si="0"/>
        <v>10</v>
      </c>
      <c r="P24" s="15">
        <f t="shared" si="1"/>
        <v>48</v>
      </c>
      <c r="R24" s="38" t="s">
        <v>92</v>
      </c>
      <c r="S24" s="39">
        <f>MAX(S19:S21)</f>
        <v>24</v>
      </c>
      <c r="T24" s="39">
        <f t="shared" ref="T24:AF24" si="16">MAX(T19:T21)</f>
        <v>6</v>
      </c>
      <c r="U24" s="39">
        <f t="shared" si="16"/>
        <v>8</v>
      </c>
      <c r="V24" s="39">
        <f t="shared" si="16"/>
        <v>10</v>
      </c>
      <c r="W24" s="39">
        <f t="shared" si="16"/>
        <v>0</v>
      </c>
      <c r="X24" s="39">
        <f t="shared" si="16"/>
        <v>0</v>
      </c>
      <c r="Y24" s="39">
        <f t="shared" si="16"/>
        <v>13</v>
      </c>
      <c r="Z24" s="39">
        <f t="shared" si="16"/>
        <v>15</v>
      </c>
      <c r="AA24" s="39">
        <f t="shared" si="16"/>
        <v>6</v>
      </c>
      <c r="AB24" s="39">
        <f t="shared" si="16"/>
        <v>4</v>
      </c>
      <c r="AC24" s="39">
        <f t="shared" si="16"/>
        <v>227</v>
      </c>
      <c r="AD24" s="39">
        <f t="shared" si="16"/>
        <v>3</v>
      </c>
      <c r="AE24" s="40">
        <f t="shared" si="16"/>
        <v>83</v>
      </c>
      <c r="AF24" s="40">
        <f t="shared" si="16"/>
        <v>310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0</v>
      </c>
      <c r="F25" s="50">
        <v>3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37</v>
      </c>
      <c r="N25" s="50">
        <v>0</v>
      </c>
      <c r="O25" s="15">
        <f t="shared" si="0"/>
        <v>9</v>
      </c>
      <c r="P25" s="15">
        <f t="shared" si="1"/>
        <v>46</v>
      </c>
      <c r="R25" s="37" t="s">
        <v>85</v>
      </c>
      <c r="S25" s="35">
        <f t="shared" ref="S25:AF25" si="17">SUM(S10:S12)</f>
        <v>30</v>
      </c>
      <c r="T25" s="16">
        <f t="shared" si="17"/>
        <v>20</v>
      </c>
      <c r="U25" s="16">
        <f t="shared" si="17"/>
        <v>11</v>
      </c>
      <c r="V25" s="16">
        <f t="shared" si="17"/>
        <v>10</v>
      </c>
      <c r="W25" s="16">
        <f t="shared" si="17"/>
        <v>3</v>
      </c>
      <c r="X25" s="16">
        <f t="shared" si="17"/>
        <v>0</v>
      </c>
      <c r="Y25" s="16">
        <f t="shared" si="17"/>
        <v>25</v>
      </c>
      <c r="Z25" s="16">
        <f t="shared" si="17"/>
        <v>24</v>
      </c>
      <c r="AA25" s="16">
        <f t="shared" si="17"/>
        <v>6</v>
      </c>
      <c r="AB25" s="16">
        <f t="shared" si="17"/>
        <v>0</v>
      </c>
      <c r="AC25" s="16">
        <f t="shared" si="17"/>
        <v>496</v>
      </c>
      <c r="AD25" s="16">
        <f t="shared" si="17"/>
        <v>3</v>
      </c>
      <c r="AE25" s="32">
        <f t="shared" si="17"/>
        <v>132</v>
      </c>
      <c r="AF25" s="32">
        <f t="shared" si="17"/>
        <v>628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0</v>
      </c>
      <c r="F26" s="50">
        <v>1</v>
      </c>
      <c r="G26" s="50">
        <v>1</v>
      </c>
      <c r="H26" s="50">
        <v>0</v>
      </c>
      <c r="I26" s="50">
        <v>0</v>
      </c>
      <c r="J26" s="50">
        <v>0</v>
      </c>
      <c r="K26" s="50">
        <v>1</v>
      </c>
      <c r="L26" s="50">
        <v>0</v>
      </c>
      <c r="M26" s="50">
        <v>39</v>
      </c>
      <c r="N26" s="50">
        <v>0</v>
      </c>
      <c r="O26" s="15">
        <f t="shared" si="0"/>
        <v>7</v>
      </c>
      <c r="P26" s="15">
        <f t="shared" si="1"/>
        <v>46</v>
      </c>
      <c r="R26" s="28" t="s">
        <v>86</v>
      </c>
      <c r="S26" s="16">
        <f t="shared" ref="S26:AF26" si="18">SUM(S13:S18)</f>
        <v>93</v>
      </c>
      <c r="T26" s="16">
        <f t="shared" si="18"/>
        <v>33</v>
      </c>
      <c r="U26" s="16">
        <f t="shared" si="18"/>
        <v>21</v>
      </c>
      <c r="V26" s="16">
        <f t="shared" si="18"/>
        <v>42</v>
      </c>
      <c r="W26" s="16">
        <f t="shared" si="18"/>
        <v>5</v>
      </c>
      <c r="X26" s="16">
        <f t="shared" si="18"/>
        <v>2</v>
      </c>
      <c r="Y26" s="16">
        <f t="shared" si="18"/>
        <v>45</v>
      </c>
      <c r="Z26" s="16">
        <f t="shared" si="18"/>
        <v>52</v>
      </c>
      <c r="AA26" s="16">
        <f t="shared" si="18"/>
        <v>13</v>
      </c>
      <c r="AB26" s="16">
        <f t="shared" si="18"/>
        <v>12</v>
      </c>
      <c r="AC26" s="16">
        <f t="shared" si="18"/>
        <v>1113</v>
      </c>
      <c r="AD26" s="16">
        <f t="shared" si="18"/>
        <v>3</v>
      </c>
      <c r="AE26" s="32">
        <f t="shared" si="18"/>
        <v>321</v>
      </c>
      <c r="AF26" s="32">
        <f t="shared" si="18"/>
        <v>1434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4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37</v>
      </c>
      <c r="N27" s="50">
        <v>0</v>
      </c>
      <c r="O27" s="15">
        <f t="shared" si="0"/>
        <v>10</v>
      </c>
      <c r="P27" s="15">
        <f t="shared" si="1"/>
        <v>47</v>
      </c>
      <c r="R27" s="29" t="s">
        <v>87</v>
      </c>
      <c r="S27" s="16">
        <f t="shared" ref="S27:AF27" si="19">SUM(S19:S21)</f>
        <v>60</v>
      </c>
      <c r="T27" s="16">
        <f t="shared" si="19"/>
        <v>14</v>
      </c>
      <c r="U27" s="16">
        <f t="shared" si="19"/>
        <v>10</v>
      </c>
      <c r="V27" s="16">
        <f t="shared" si="19"/>
        <v>22</v>
      </c>
      <c r="W27" s="16">
        <f t="shared" si="19"/>
        <v>0</v>
      </c>
      <c r="X27" s="16">
        <f t="shared" si="19"/>
        <v>0</v>
      </c>
      <c r="Y27" s="16">
        <f t="shared" si="19"/>
        <v>28</v>
      </c>
      <c r="Z27" s="16">
        <f t="shared" si="19"/>
        <v>26</v>
      </c>
      <c r="AA27" s="16">
        <f t="shared" si="19"/>
        <v>11</v>
      </c>
      <c r="AB27" s="16">
        <f t="shared" si="19"/>
        <v>6</v>
      </c>
      <c r="AC27" s="16">
        <f t="shared" si="19"/>
        <v>490</v>
      </c>
      <c r="AD27" s="16">
        <f t="shared" si="19"/>
        <v>3</v>
      </c>
      <c r="AE27" s="32">
        <f t="shared" si="19"/>
        <v>180</v>
      </c>
      <c r="AF27" s="32">
        <f t="shared" si="19"/>
        <v>670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2</v>
      </c>
      <c r="K28" s="50">
        <v>1</v>
      </c>
      <c r="L28" s="50">
        <v>1</v>
      </c>
      <c r="M28" s="50">
        <v>60</v>
      </c>
      <c r="N28" s="50">
        <v>0</v>
      </c>
      <c r="O28" s="15">
        <f t="shared" si="0"/>
        <v>11</v>
      </c>
      <c r="P28" s="15">
        <f t="shared" si="1"/>
        <v>71</v>
      </c>
      <c r="R28" s="5" t="s">
        <v>17</v>
      </c>
      <c r="S28" s="16">
        <f t="shared" ref="S28:AF28" si="20">SUM(S10:S21)</f>
        <v>183</v>
      </c>
      <c r="T28" s="16">
        <f t="shared" si="20"/>
        <v>67</v>
      </c>
      <c r="U28" s="16">
        <f t="shared" si="20"/>
        <v>42</v>
      </c>
      <c r="V28" s="16">
        <f t="shared" si="20"/>
        <v>74</v>
      </c>
      <c r="W28" s="16">
        <f t="shared" si="20"/>
        <v>8</v>
      </c>
      <c r="X28" s="16">
        <f t="shared" si="20"/>
        <v>2</v>
      </c>
      <c r="Y28" s="16">
        <f t="shared" si="20"/>
        <v>98</v>
      </c>
      <c r="Z28" s="16">
        <f t="shared" si="20"/>
        <v>102</v>
      </c>
      <c r="AA28" s="16">
        <f t="shared" si="20"/>
        <v>30</v>
      </c>
      <c r="AB28" s="16">
        <f t="shared" si="20"/>
        <v>18</v>
      </c>
      <c r="AC28" s="16">
        <f t="shared" si="20"/>
        <v>2099</v>
      </c>
      <c r="AD28" s="16">
        <f t="shared" si="20"/>
        <v>9</v>
      </c>
      <c r="AE28" s="32">
        <f t="shared" si="20"/>
        <v>633</v>
      </c>
      <c r="AF28" s="32">
        <f t="shared" si="20"/>
        <v>2732</v>
      </c>
    </row>
    <row r="29" spans="2:32" ht="23.1" customHeight="1" x14ac:dyDescent="0.25">
      <c r="B29" s="23" t="s">
        <v>56</v>
      </c>
      <c r="C29" s="50">
        <v>5</v>
      </c>
      <c r="D29" s="50">
        <v>3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1</v>
      </c>
      <c r="L29" s="50">
        <v>2</v>
      </c>
      <c r="M29" s="50">
        <v>52</v>
      </c>
      <c r="N29" s="50">
        <v>0</v>
      </c>
      <c r="O29" s="15">
        <f t="shared" si="0"/>
        <v>12</v>
      </c>
      <c r="P29" s="15">
        <f t="shared" si="1"/>
        <v>64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6</v>
      </c>
      <c r="E30" s="50">
        <v>1</v>
      </c>
      <c r="F30" s="50">
        <v>2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1</v>
      </c>
      <c r="M30" s="50">
        <v>58</v>
      </c>
      <c r="N30" s="50">
        <v>0</v>
      </c>
      <c r="O30" s="15">
        <f t="shared" si="0"/>
        <v>14</v>
      </c>
      <c r="P30" s="15">
        <f t="shared" si="1"/>
        <v>72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3</v>
      </c>
      <c r="F31" s="50">
        <v>1</v>
      </c>
      <c r="G31" s="50">
        <v>0</v>
      </c>
      <c r="H31" s="50">
        <v>0</v>
      </c>
      <c r="I31" s="50">
        <v>2</v>
      </c>
      <c r="J31" s="50">
        <v>3</v>
      </c>
      <c r="K31" s="50">
        <v>0</v>
      </c>
      <c r="L31" s="50">
        <v>0</v>
      </c>
      <c r="M31" s="50">
        <v>54</v>
      </c>
      <c r="N31" s="50">
        <v>0</v>
      </c>
      <c r="O31" s="15">
        <f t="shared" si="0"/>
        <v>14</v>
      </c>
      <c r="P31" s="15">
        <f t="shared" si="1"/>
        <v>68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40</v>
      </c>
      <c r="N32" s="50">
        <v>0</v>
      </c>
      <c r="O32" s="15">
        <f t="shared" si="0"/>
        <v>6</v>
      </c>
      <c r="P32" s="15">
        <f t="shared" si="1"/>
        <v>46</v>
      </c>
    </row>
    <row r="33" spans="2:20" ht="23.1" customHeight="1" x14ac:dyDescent="0.25">
      <c r="B33" s="23" t="s">
        <v>60</v>
      </c>
      <c r="C33" s="50">
        <v>3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1</v>
      </c>
      <c r="M33" s="50">
        <v>48</v>
      </c>
      <c r="N33" s="50">
        <v>1</v>
      </c>
      <c r="O33" s="15">
        <f t="shared" si="0"/>
        <v>9</v>
      </c>
      <c r="P33" s="15">
        <f t="shared" si="1"/>
        <v>57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2</v>
      </c>
      <c r="G34" s="50">
        <v>2</v>
      </c>
      <c r="H34" s="50">
        <v>0</v>
      </c>
      <c r="I34" s="50">
        <v>2</v>
      </c>
      <c r="J34" s="50">
        <v>6</v>
      </c>
      <c r="K34" s="50">
        <v>1</v>
      </c>
      <c r="L34" s="50">
        <v>3</v>
      </c>
      <c r="M34" s="50">
        <v>44</v>
      </c>
      <c r="N34" s="50">
        <v>0</v>
      </c>
      <c r="O34" s="15">
        <f t="shared" si="0"/>
        <v>18</v>
      </c>
      <c r="P34" s="15">
        <f t="shared" si="1"/>
        <v>62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2</v>
      </c>
      <c r="F35" s="50">
        <v>3</v>
      </c>
      <c r="G35" s="50">
        <v>0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13</v>
      </c>
      <c r="P35" s="15">
        <f t="shared" si="1"/>
        <v>38</v>
      </c>
    </row>
    <row r="36" spans="2:20" ht="23.1" customHeight="1" x14ac:dyDescent="0.25">
      <c r="B36" s="24" t="s">
        <v>63</v>
      </c>
      <c r="C36" s="50">
        <v>4</v>
      </c>
      <c r="D36" s="50">
        <v>1</v>
      </c>
      <c r="E36" s="50">
        <v>1</v>
      </c>
      <c r="F36" s="50">
        <v>1</v>
      </c>
      <c r="G36" s="50">
        <v>1</v>
      </c>
      <c r="H36" s="50">
        <v>1</v>
      </c>
      <c r="I36" s="50">
        <v>3</v>
      </c>
      <c r="J36" s="50">
        <v>3</v>
      </c>
      <c r="K36" s="50">
        <v>2</v>
      </c>
      <c r="L36" s="50">
        <v>0</v>
      </c>
      <c r="M36" s="50">
        <v>57</v>
      </c>
      <c r="N36" s="50">
        <v>0</v>
      </c>
      <c r="O36" s="15">
        <f t="shared" si="0"/>
        <v>17</v>
      </c>
      <c r="P36" s="15">
        <f t="shared" si="1"/>
        <v>74</v>
      </c>
    </row>
    <row r="37" spans="2:20" ht="23.1" customHeight="1" x14ac:dyDescent="0.25">
      <c r="B37" s="23" t="s">
        <v>64</v>
      </c>
      <c r="C37" s="50">
        <v>7</v>
      </c>
      <c r="D37" s="50">
        <v>0</v>
      </c>
      <c r="E37" s="50">
        <v>0</v>
      </c>
      <c r="F37" s="50">
        <v>3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2</v>
      </c>
      <c r="M37" s="50">
        <v>50</v>
      </c>
      <c r="N37" s="50">
        <v>0</v>
      </c>
      <c r="O37" s="15">
        <f t="shared" si="0"/>
        <v>16</v>
      </c>
      <c r="P37" s="15">
        <f t="shared" si="1"/>
        <v>66</v>
      </c>
    </row>
    <row r="38" spans="2:20" ht="23.1" customHeight="1" x14ac:dyDescent="0.25">
      <c r="B38" s="24" t="s">
        <v>65</v>
      </c>
      <c r="C38" s="50">
        <v>5</v>
      </c>
      <c r="D38" s="50">
        <v>2</v>
      </c>
      <c r="E38" s="50">
        <v>1</v>
      </c>
      <c r="F38" s="50">
        <v>3</v>
      </c>
      <c r="G38" s="50">
        <v>1</v>
      </c>
      <c r="H38" s="50">
        <v>0</v>
      </c>
      <c r="I38" s="50">
        <v>3</v>
      </c>
      <c r="J38" s="50">
        <v>4</v>
      </c>
      <c r="K38" s="50">
        <v>1</v>
      </c>
      <c r="L38" s="50">
        <v>1</v>
      </c>
      <c r="M38" s="50">
        <v>65</v>
      </c>
      <c r="N38" s="50">
        <v>0</v>
      </c>
      <c r="O38" s="15">
        <f t="shared" si="0"/>
        <v>21</v>
      </c>
      <c r="P38" s="15">
        <f t="shared" si="1"/>
        <v>86</v>
      </c>
    </row>
    <row r="39" spans="2:20" ht="23.1" customHeight="1" x14ac:dyDescent="0.25">
      <c r="B39" s="24" t="s">
        <v>66</v>
      </c>
      <c r="C39" s="50">
        <v>12</v>
      </c>
      <c r="D39" s="50">
        <v>3</v>
      </c>
      <c r="E39" s="50">
        <v>1</v>
      </c>
      <c r="F39" s="50">
        <v>1</v>
      </c>
      <c r="G39" s="50">
        <v>0</v>
      </c>
      <c r="H39" s="50">
        <v>0</v>
      </c>
      <c r="I39" s="50">
        <v>3</v>
      </c>
      <c r="J39" s="50">
        <v>3</v>
      </c>
      <c r="K39" s="50">
        <v>0</v>
      </c>
      <c r="L39" s="50">
        <v>0</v>
      </c>
      <c r="M39" s="50">
        <v>58</v>
      </c>
      <c r="N39" s="50">
        <v>0</v>
      </c>
      <c r="O39" s="15">
        <f t="shared" si="0"/>
        <v>23</v>
      </c>
      <c r="P39" s="15">
        <f t="shared" si="1"/>
        <v>81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1</v>
      </c>
      <c r="F40" s="50">
        <v>0</v>
      </c>
      <c r="G40" s="50">
        <v>0</v>
      </c>
      <c r="H40" s="50">
        <v>0</v>
      </c>
      <c r="I40" s="50">
        <v>3</v>
      </c>
      <c r="J40" s="50">
        <v>2</v>
      </c>
      <c r="K40" s="50">
        <v>0</v>
      </c>
      <c r="L40" s="50">
        <v>0</v>
      </c>
      <c r="M40" s="50">
        <v>59</v>
      </c>
      <c r="N40" s="50">
        <v>2</v>
      </c>
      <c r="O40" s="15">
        <f t="shared" si="0"/>
        <v>13</v>
      </c>
      <c r="P40" s="15">
        <f t="shared" si="1"/>
        <v>72</v>
      </c>
    </row>
    <row r="41" spans="2:20" ht="23.1" customHeight="1" x14ac:dyDescent="0.25">
      <c r="B41" s="23" t="s">
        <v>68</v>
      </c>
      <c r="C41" s="50">
        <v>4</v>
      </c>
      <c r="D41" s="50">
        <v>1</v>
      </c>
      <c r="E41" s="50">
        <v>1</v>
      </c>
      <c r="F41" s="50">
        <v>3</v>
      </c>
      <c r="G41" s="50">
        <v>0</v>
      </c>
      <c r="H41" s="50">
        <v>0</v>
      </c>
      <c r="I41" s="50">
        <v>2</v>
      </c>
      <c r="J41" s="50">
        <v>1</v>
      </c>
      <c r="K41" s="50">
        <v>2</v>
      </c>
      <c r="L41" s="50">
        <v>0</v>
      </c>
      <c r="M41" s="50">
        <v>35</v>
      </c>
      <c r="N41" s="50">
        <v>0</v>
      </c>
      <c r="O41" s="15">
        <f t="shared" si="0"/>
        <v>14</v>
      </c>
      <c r="P41" s="15">
        <f t="shared" si="1"/>
        <v>49</v>
      </c>
    </row>
    <row r="42" spans="2:20" ht="23.1" customHeight="1" x14ac:dyDescent="0.25">
      <c r="B42" s="24" t="s">
        <v>69</v>
      </c>
      <c r="C42" s="50">
        <v>4</v>
      </c>
      <c r="D42" s="50">
        <v>1</v>
      </c>
      <c r="E42" s="50">
        <v>2</v>
      </c>
      <c r="F42" s="50">
        <v>3</v>
      </c>
      <c r="G42" s="50">
        <v>0</v>
      </c>
      <c r="H42" s="50">
        <v>0</v>
      </c>
      <c r="I42" s="50">
        <v>1</v>
      </c>
      <c r="J42" s="50">
        <v>3</v>
      </c>
      <c r="K42" s="50">
        <v>2</v>
      </c>
      <c r="L42" s="50">
        <v>0</v>
      </c>
      <c r="M42" s="50">
        <v>38</v>
      </c>
      <c r="N42" s="50">
        <v>0</v>
      </c>
      <c r="O42" s="15">
        <f t="shared" si="0"/>
        <v>16</v>
      </c>
      <c r="P42" s="15">
        <f t="shared" si="1"/>
        <v>54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2</v>
      </c>
      <c r="F43" s="50">
        <v>0</v>
      </c>
      <c r="G43" s="50">
        <v>0</v>
      </c>
      <c r="H43" s="50">
        <v>1</v>
      </c>
      <c r="I43" s="50">
        <v>1</v>
      </c>
      <c r="J43" s="50">
        <v>5</v>
      </c>
      <c r="K43" s="50">
        <v>0</v>
      </c>
      <c r="L43" s="50">
        <v>1</v>
      </c>
      <c r="M43" s="50">
        <v>49</v>
      </c>
      <c r="N43" s="50">
        <v>0</v>
      </c>
      <c r="O43" s="15">
        <f t="shared" si="0"/>
        <v>15</v>
      </c>
      <c r="P43" s="15">
        <f t="shared" si="1"/>
        <v>64</v>
      </c>
    </row>
    <row r="44" spans="2:20" ht="23.1" customHeight="1" x14ac:dyDescent="0.25">
      <c r="B44" s="25" t="s">
        <v>71</v>
      </c>
      <c r="C44" s="50">
        <v>6</v>
      </c>
      <c r="D44" s="50">
        <v>4</v>
      </c>
      <c r="E44" s="50">
        <v>2</v>
      </c>
      <c r="F44" s="50">
        <v>0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51</v>
      </c>
      <c r="N44" s="50">
        <v>0</v>
      </c>
      <c r="O44" s="15">
        <f t="shared" si="0"/>
        <v>15</v>
      </c>
      <c r="P44" s="15">
        <f t="shared" si="1"/>
        <v>66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3</v>
      </c>
      <c r="G45" s="50">
        <v>0</v>
      </c>
      <c r="H45" s="50">
        <v>0</v>
      </c>
      <c r="I45" s="50">
        <v>5</v>
      </c>
      <c r="J45" s="50">
        <v>5</v>
      </c>
      <c r="K45" s="50">
        <v>0</v>
      </c>
      <c r="L45" s="50">
        <v>0</v>
      </c>
      <c r="M45" s="50">
        <v>58</v>
      </c>
      <c r="N45" s="50">
        <v>0</v>
      </c>
      <c r="O45" s="15">
        <f t="shared" si="0"/>
        <v>15</v>
      </c>
      <c r="P45" s="15">
        <f t="shared" si="1"/>
        <v>73</v>
      </c>
    </row>
    <row r="46" spans="2:20" ht="23.1" customHeight="1" x14ac:dyDescent="0.25">
      <c r="B46" s="24" t="s">
        <v>73</v>
      </c>
      <c r="C46" s="50">
        <v>9</v>
      </c>
      <c r="D46" s="50">
        <v>3</v>
      </c>
      <c r="E46" s="50">
        <v>0</v>
      </c>
      <c r="F46" s="50">
        <v>0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16</v>
      </c>
      <c r="P46" s="15">
        <f t="shared" si="1"/>
        <v>71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1</v>
      </c>
      <c r="E47" s="50">
        <v>0</v>
      </c>
      <c r="F47" s="50">
        <v>2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7</v>
      </c>
      <c r="P47" s="15">
        <f t="shared" si="1"/>
        <v>32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0</v>
      </c>
      <c r="F48" s="50">
        <v>3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0</v>
      </c>
      <c r="M48" s="50">
        <v>22</v>
      </c>
      <c r="N48" s="50">
        <v>0</v>
      </c>
      <c r="O48" s="15">
        <f t="shared" si="0"/>
        <v>10</v>
      </c>
      <c r="P48" s="15">
        <f t="shared" si="1"/>
        <v>32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1</v>
      </c>
      <c r="E49" s="50">
        <v>0</v>
      </c>
      <c r="F49" s="50">
        <v>1</v>
      </c>
      <c r="G49" s="50">
        <v>0</v>
      </c>
      <c r="H49" s="50">
        <v>0</v>
      </c>
      <c r="I49" s="50">
        <v>2</v>
      </c>
      <c r="J49" s="50">
        <v>2</v>
      </c>
      <c r="K49" s="50">
        <v>1</v>
      </c>
      <c r="L49" s="50">
        <v>0</v>
      </c>
      <c r="M49" s="50">
        <v>5</v>
      </c>
      <c r="N49" s="50">
        <v>0</v>
      </c>
      <c r="O49" s="15">
        <f t="shared" si="0"/>
        <v>12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3</v>
      </c>
      <c r="K50" s="50">
        <v>0</v>
      </c>
      <c r="L50" s="50">
        <v>1</v>
      </c>
      <c r="M50" s="50">
        <v>2</v>
      </c>
      <c r="N50" s="50">
        <v>0</v>
      </c>
      <c r="O50" s="15">
        <f t="shared" si="0"/>
        <v>11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3</v>
      </c>
      <c r="G51" s="50">
        <v>0</v>
      </c>
      <c r="H51" s="50">
        <v>0</v>
      </c>
      <c r="I51" s="50">
        <v>5</v>
      </c>
      <c r="J51" s="50">
        <v>2</v>
      </c>
      <c r="K51" s="50">
        <v>0</v>
      </c>
      <c r="L51" s="50">
        <v>1</v>
      </c>
      <c r="M51" s="50">
        <v>52</v>
      </c>
      <c r="N51" s="50">
        <v>0</v>
      </c>
      <c r="O51" s="15">
        <f t="shared" si="0"/>
        <v>11</v>
      </c>
      <c r="P51" s="15">
        <f t="shared" si="1"/>
        <v>63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2</v>
      </c>
      <c r="F52" s="50">
        <v>2</v>
      </c>
      <c r="G52" s="50">
        <v>0</v>
      </c>
      <c r="H52" s="50">
        <v>0</v>
      </c>
      <c r="I52" s="50">
        <v>1</v>
      </c>
      <c r="J52" s="50">
        <v>1</v>
      </c>
      <c r="K52" s="50">
        <v>1</v>
      </c>
      <c r="L52" s="50">
        <v>0</v>
      </c>
      <c r="M52" s="50">
        <v>50</v>
      </c>
      <c r="N52" s="50">
        <v>0</v>
      </c>
      <c r="O52" s="15">
        <f t="shared" si="0"/>
        <v>11</v>
      </c>
      <c r="P52" s="15">
        <f t="shared" si="1"/>
        <v>61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1</v>
      </c>
      <c r="E53" s="50">
        <v>0</v>
      </c>
      <c r="F53" s="50">
        <v>1</v>
      </c>
      <c r="G53" s="50">
        <v>0</v>
      </c>
      <c r="H53" s="50">
        <v>0</v>
      </c>
      <c r="I53" s="50">
        <v>5</v>
      </c>
      <c r="J53" s="50">
        <v>0</v>
      </c>
      <c r="K53" s="50">
        <v>5</v>
      </c>
      <c r="L53" s="50">
        <v>0</v>
      </c>
      <c r="M53" s="50">
        <v>52</v>
      </c>
      <c r="N53" s="50">
        <v>0</v>
      </c>
      <c r="O53" s="15">
        <f t="shared" si="0"/>
        <v>19</v>
      </c>
      <c r="P53" s="15">
        <f t="shared" si="1"/>
        <v>71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2</v>
      </c>
      <c r="E54" s="50">
        <v>3</v>
      </c>
      <c r="F54" s="50">
        <v>3</v>
      </c>
      <c r="G54" s="50">
        <v>0</v>
      </c>
      <c r="H54" s="50">
        <v>0</v>
      </c>
      <c r="I54" s="50">
        <v>3</v>
      </c>
      <c r="J54" s="50">
        <v>3</v>
      </c>
      <c r="K54" s="50">
        <v>4</v>
      </c>
      <c r="L54" s="50">
        <v>1</v>
      </c>
      <c r="M54" s="50">
        <v>47</v>
      </c>
      <c r="N54" s="50">
        <v>0</v>
      </c>
      <c r="O54" s="15">
        <f t="shared" si="0"/>
        <v>27</v>
      </c>
      <c r="P54" s="15">
        <f t="shared" si="1"/>
        <v>74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2</v>
      </c>
      <c r="E55" s="50">
        <v>2</v>
      </c>
      <c r="F55" s="50">
        <v>4</v>
      </c>
      <c r="G55" s="50">
        <v>0</v>
      </c>
      <c r="H55" s="50">
        <v>0</v>
      </c>
      <c r="I55" s="50">
        <v>4</v>
      </c>
      <c r="J55" s="50">
        <v>4</v>
      </c>
      <c r="K55" s="50">
        <v>0</v>
      </c>
      <c r="L55" s="50">
        <v>0</v>
      </c>
      <c r="M55" s="50">
        <v>57</v>
      </c>
      <c r="N55" s="50">
        <v>2</v>
      </c>
      <c r="O55" s="15">
        <f t="shared" si="0"/>
        <v>23</v>
      </c>
      <c r="P55" s="15">
        <f t="shared" si="1"/>
        <v>80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0</v>
      </c>
      <c r="E56" s="50">
        <v>2</v>
      </c>
      <c r="F56" s="50">
        <v>1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1</v>
      </c>
      <c r="M56" s="50">
        <v>73</v>
      </c>
      <c r="N56" s="50">
        <v>1</v>
      </c>
      <c r="O56" s="15">
        <f t="shared" si="0"/>
        <v>16</v>
      </c>
      <c r="P56" s="15">
        <f t="shared" si="1"/>
        <v>89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2</v>
      </c>
      <c r="E57" s="50">
        <v>1</v>
      </c>
      <c r="F57" s="50">
        <v>2</v>
      </c>
      <c r="G57" s="50">
        <v>0</v>
      </c>
      <c r="H57" s="50">
        <v>0</v>
      </c>
      <c r="I57" s="50">
        <v>1</v>
      </c>
      <c r="J57" s="50">
        <v>6</v>
      </c>
      <c r="K57" s="50">
        <v>0</v>
      </c>
      <c r="L57" s="50">
        <v>2</v>
      </c>
      <c r="M57" s="50">
        <v>50</v>
      </c>
      <c r="N57" s="50">
        <v>0</v>
      </c>
      <c r="O57" s="15">
        <f t="shared" si="0"/>
        <v>17</v>
      </c>
      <c r="P57" s="15">
        <f t="shared" si="1"/>
        <v>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183</v>
      </c>
      <c r="D58" s="16">
        <f t="shared" si="21"/>
        <v>67</v>
      </c>
      <c r="E58" s="16">
        <f t="shared" si="21"/>
        <v>42</v>
      </c>
      <c r="F58" s="16">
        <f t="shared" si="21"/>
        <v>74</v>
      </c>
      <c r="G58" s="16">
        <f t="shared" si="21"/>
        <v>8</v>
      </c>
      <c r="H58" s="16">
        <f t="shared" si="21"/>
        <v>2</v>
      </c>
      <c r="I58" s="16">
        <f t="shared" si="21"/>
        <v>98</v>
      </c>
      <c r="J58" s="16">
        <f t="shared" si="21"/>
        <v>102</v>
      </c>
      <c r="K58" s="16">
        <f t="shared" si="21"/>
        <v>30</v>
      </c>
      <c r="L58" s="16">
        <f t="shared" si="21"/>
        <v>18</v>
      </c>
      <c r="M58" s="16">
        <f t="shared" si="21"/>
        <v>2099</v>
      </c>
      <c r="N58" s="16">
        <f t="shared" si="21"/>
        <v>9</v>
      </c>
      <c r="O58" s="16">
        <f t="shared" si="21"/>
        <v>633</v>
      </c>
      <c r="P58" s="16">
        <f t="shared" si="21"/>
        <v>2732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6.6983894582723275E-2</v>
      </c>
      <c r="D59" s="43">
        <f t="shared" si="22"/>
        <v>2.4524158125915081E-2</v>
      </c>
      <c r="E59" s="43">
        <f t="shared" si="22"/>
        <v>1.5373352855051245E-2</v>
      </c>
      <c r="F59" s="43">
        <f t="shared" si="22"/>
        <v>2.7086383601756955E-2</v>
      </c>
      <c r="G59" s="43">
        <f t="shared" si="22"/>
        <v>2.9282576866764276E-3</v>
      </c>
      <c r="H59" s="43">
        <f t="shared" si="22"/>
        <v>7.320644216691069E-4</v>
      </c>
      <c r="I59" s="43">
        <f t="shared" si="22"/>
        <v>3.5871156661786238E-2</v>
      </c>
      <c r="J59" s="43">
        <f t="shared" si="22"/>
        <v>3.7335285505124452E-2</v>
      </c>
      <c r="K59" s="43">
        <f t="shared" si="22"/>
        <v>1.0980966325036604E-2</v>
      </c>
      <c r="L59" s="43">
        <f t="shared" si="22"/>
        <v>6.5885797950219621E-3</v>
      </c>
      <c r="M59" s="43">
        <f t="shared" si="22"/>
        <v>0.76830161054172763</v>
      </c>
      <c r="N59" s="43">
        <f t="shared" si="22"/>
        <v>3.2942898975109811E-3</v>
      </c>
      <c r="R59" s="8"/>
      <c r="T59"/>
    </row>
    <row r="60" spans="2:20" ht="23.1" customHeight="1" x14ac:dyDescent="0.25">
      <c r="B60" s="42" t="s">
        <v>94</v>
      </c>
      <c r="C60" s="44">
        <f>C58/$O$58</f>
        <v>0.2890995260663507</v>
      </c>
      <c r="D60" s="44">
        <f t="shared" ref="D60:N60" si="23">D58/$O$58</f>
        <v>0.10584518167456557</v>
      </c>
      <c r="E60" s="44">
        <f t="shared" si="23"/>
        <v>6.6350710900473939E-2</v>
      </c>
      <c r="F60" s="44">
        <f t="shared" si="23"/>
        <v>0.11690363349131122</v>
      </c>
      <c r="G60" s="44">
        <f t="shared" si="23"/>
        <v>1.2638230647709321E-2</v>
      </c>
      <c r="H60" s="44">
        <f t="shared" si="23"/>
        <v>3.1595576619273301E-3</v>
      </c>
      <c r="I60" s="44">
        <f t="shared" si="23"/>
        <v>0.15481832543443919</v>
      </c>
      <c r="J60" s="44">
        <f t="shared" si="23"/>
        <v>0.16113744075829384</v>
      </c>
      <c r="K60" s="44">
        <f t="shared" si="23"/>
        <v>4.7393364928909949E-2</v>
      </c>
      <c r="L60" s="44">
        <f t="shared" si="23"/>
        <v>2.843601895734597E-2</v>
      </c>
      <c r="M60" s="44"/>
      <c r="N60" s="44">
        <f t="shared" si="23"/>
        <v>1.4218009478672985E-2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Lumino-Musita'!C3:G3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'27.08 Musita-Lumino'!D5</f>
        <v>27.08.19</v>
      </c>
      <c r="E5" s="3"/>
      <c r="F5" s="41" t="s">
        <v>1</v>
      </c>
      <c r="G5" s="63" t="str">
        <f>'27.08 Musita-Lumino'!G5:H5</f>
        <v>Musita</v>
      </c>
      <c r="H5" s="64"/>
      <c r="I5" s="14"/>
      <c r="J5" s="2" t="s">
        <v>5</v>
      </c>
      <c r="K5" s="60" t="s">
        <v>171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Lumino-Musita'!D6:E6</f>
        <v>Lumino</v>
      </c>
      <c r="E6" s="64"/>
      <c r="F6" s="2" t="s">
        <v>2</v>
      </c>
      <c r="G6" s="63" t="str">
        <f>'22.08 Lumino-Musita'!G6:H6</f>
        <v>Musita</v>
      </c>
      <c r="H6" s="64"/>
      <c r="J6" s="2" t="s">
        <v>21</v>
      </c>
      <c r="K6" s="63" t="str">
        <f>'27.08 Musita-Lumino'!K6:L6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3</v>
      </c>
      <c r="J10" s="50">
        <v>2</v>
      </c>
      <c r="K10" s="50">
        <v>0</v>
      </c>
      <c r="L10" s="50">
        <v>0</v>
      </c>
      <c r="M10" s="50">
        <v>30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43</v>
      </c>
      <c r="R10" s="1" t="s">
        <v>6</v>
      </c>
      <c r="S10" s="17">
        <f t="shared" ref="S10:AF10" si="2">SUM(C10:C13)</f>
        <v>10</v>
      </c>
      <c r="T10" s="17">
        <f t="shared" si="2"/>
        <v>2</v>
      </c>
      <c r="U10" s="17">
        <f t="shared" si="2"/>
        <v>3</v>
      </c>
      <c r="V10" s="17">
        <f t="shared" si="2"/>
        <v>6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166</v>
      </c>
      <c r="AD10" s="17">
        <f t="shared" si="2"/>
        <v>0</v>
      </c>
      <c r="AE10" s="31">
        <f t="shared" si="2"/>
        <v>28</v>
      </c>
      <c r="AF10" s="31">
        <f t="shared" si="2"/>
        <v>194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34</v>
      </c>
      <c r="N11" s="50">
        <v>0</v>
      </c>
      <c r="O11" s="15">
        <f t="shared" si="0"/>
        <v>3</v>
      </c>
      <c r="P11" s="15">
        <f t="shared" si="1"/>
        <v>37</v>
      </c>
      <c r="R11" s="1" t="s">
        <v>7</v>
      </c>
      <c r="S11" s="17">
        <f t="shared" ref="S11:AF11" si="3">SUM(C14:C17)</f>
        <v>13</v>
      </c>
      <c r="T11" s="17">
        <f t="shared" si="3"/>
        <v>12</v>
      </c>
      <c r="U11" s="17">
        <f t="shared" si="3"/>
        <v>3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9</v>
      </c>
      <c r="AA11" s="17">
        <f t="shared" si="3"/>
        <v>1</v>
      </c>
      <c r="AB11" s="17">
        <f t="shared" si="3"/>
        <v>1</v>
      </c>
      <c r="AC11" s="17">
        <f t="shared" si="3"/>
        <v>169</v>
      </c>
      <c r="AD11" s="17">
        <f t="shared" si="3"/>
        <v>0</v>
      </c>
      <c r="AE11" s="31">
        <f t="shared" si="3"/>
        <v>46</v>
      </c>
      <c r="AF11" s="31">
        <f t="shared" si="3"/>
        <v>215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0</v>
      </c>
      <c r="F12" s="50">
        <v>1</v>
      </c>
      <c r="G12" s="50">
        <v>0</v>
      </c>
      <c r="H12" s="50">
        <v>1</v>
      </c>
      <c r="I12" s="50">
        <v>0</v>
      </c>
      <c r="J12" s="50">
        <v>1</v>
      </c>
      <c r="K12" s="50">
        <v>0</v>
      </c>
      <c r="L12" s="50">
        <v>0</v>
      </c>
      <c r="M12" s="50">
        <v>47</v>
      </c>
      <c r="N12" s="50">
        <v>0</v>
      </c>
      <c r="O12" s="15">
        <f t="shared" si="0"/>
        <v>7</v>
      </c>
      <c r="P12" s="15">
        <f t="shared" si="1"/>
        <v>54</v>
      </c>
      <c r="R12" s="1" t="s">
        <v>8</v>
      </c>
      <c r="S12" s="17">
        <f t="shared" ref="S12:AF12" si="4">SUM(C18:C21)</f>
        <v>15</v>
      </c>
      <c r="T12" s="17">
        <f t="shared" si="4"/>
        <v>4</v>
      </c>
      <c r="U12" s="17">
        <f t="shared" si="4"/>
        <v>8</v>
      </c>
      <c r="V12" s="17">
        <f t="shared" si="4"/>
        <v>7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8</v>
      </c>
      <c r="AA12" s="17">
        <f t="shared" si="4"/>
        <v>1</v>
      </c>
      <c r="AB12" s="17">
        <f t="shared" si="4"/>
        <v>0</v>
      </c>
      <c r="AC12" s="17">
        <f t="shared" si="4"/>
        <v>137</v>
      </c>
      <c r="AD12" s="17">
        <f t="shared" si="4"/>
        <v>0</v>
      </c>
      <c r="AE12" s="31">
        <f t="shared" si="4"/>
        <v>47</v>
      </c>
      <c r="AF12" s="31">
        <f t="shared" si="4"/>
        <v>184</v>
      </c>
    </row>
    <row r="13" spans="2:32" ht="23.1" customHeight="1" x14ac:dyDescent="0.25">
      <c r="B13" s="23" t="s">
        <v>40</v>
      </c>
      <c r="C13" s="50">
        <v>1</v>
      </c>
      <c r="D13" s="50">
        <v>1</v>
      </c>
      <c r="E13" s="50">
        <v>1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55</v>
      </c>
      <c r="N13" s="50">
        <v>0</v>
      </c>
      <c r="O13" s="15">
        <f t="shared" si="0"/>
        <v>5</v>
      </c>
      <c r="P13" s="15">
        <f t="shared" si="1"/>
        <v>60</v>
      </c>
      <c r="R13" s="1" t="s">
        <v>9</v>
      </c>
      <c r="S13" s="17">
        <f t="shared" ref="S13:AF13" si="5">SUM(C22:C25)</f>
        <v>6</v>
      </c>
      <c r="T13" s="17">
        <f t="shared" si="5"/>
        <v>5</v>
      </c>
      <c r="U13" s="17">
        <f t="shared" si="5"/>
        <v>5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6</v>
      </c>
      <c r="AA13" s="17">
        <f t="shared" si="5"/>
        <v>1</v>
      </c>
      <c r="AB13" s="17">
        <f t="shared" si="5"/>
        <v>0</v>
      </c>
      <c r="AC13" s="17">
        <f t="shared" si="5"/>
        <v>130</v>
      </c>
      <c r="AD13" s="17">
        <f t="shared" si="5"/>
        <v>0</v>
      </c>
      <c r="AE13" s="31">
        <f t="shared" si="5"/>
        <v>34</v>
      </c>
      <c r="AF13" s="31">
        <f t="shared" si="5"/>
        <v>164</v>
      </c>
    </row>
    <row r="14" spans="2:32" ht="23.1" customHeight="1" x14ac:dyDescent="0.25">
      <c r="B14" s="23" t="s">
        <v>41</v>
      </c>
      <c r="C14" s="50">
        <v>5</v>
      </c>
      <c r="D14" s="50">
        <v>2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1</v>
      </c>
      <c r="M14" s="50">
        <v>47</v>
      </c>
      <c r="N14" s="50">
        <v>0</v>
      </c>
      <c r="O14" s="15">
        <f t="shared" si="0"/>
        <v>11</v>
      </c>
      <c r="P14" s="15">
        <f t="shared" si="1"/>
        <v>58</v>
      </c>
      <c r="R14" s="1" t="s">
        <v>10</v>
      </c>
      <c r="S14" s="17">
        <f t="shared" ref="S14:AF14" si="6">SUM(C26:C29)</f>
        <v>9</v>
      </c>
      <c r="T14" s="17">
        <f t="shared" si="6"/>
        <v>6</v>
      </c>
      <c r="U14" s="17">
        <f t="shared" si="6"/>
        <v>3</v>
      </c>
      <c r="V14" s="17">
        <f t="shared" si="6"/>
        <v>8</v>
      </c>
      <c r="W14" s="17">
        <f t="shared" si="6"/>
        <v>1</v>
      </c>
      <c r="X14" s="17">
        <f t="shared" si="6"/>
        <v>0</v>
      </c>
      <c r="Y14" s="17">
        <f t="shared" si="6"/>
        <v>7</v>
      </c>
      <c r="Z14" s="17">
        <f t="shared" si="6"/>
        <v>7</v>
      </c>
      <c r="AA14" s="17">
        <f t="shared" si="6"/>
        <v>3</v>
      </c>
      <c r="AB14" s="17">
        <f t="shared" si="6"/>
        <v>3</v>
      </c>
      <c r="AC14" s="17">
        <f t="shared" si="6"/>
        <v>195</v>
      </c>
      <c r="AD14" s="17">
        <f t="shared" si="6"/>
        <v>0</v>
      </c>
      <c r="AE14" s="31">
        <f t="shared" si="6"/>
        <v>47</v>
      </c>
      <c r="AF14" s="31">
        <f t="shared" si="6"/>
        <v>242</v>
      </c>
    </row>
    <row r="15" spans="2:32" ht="23.1" customHeight="1" x14ac:dyDescent="0.25">
      <c r="B15" s="23" t="s">
        <v>42</v>
      </c>
      <c r="C15" s="50">
        <v>1</v>
      </c>
      <c r="D15" s="50">
        <v>5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32</v>
      </c>
      <c r="N15" s="50">
        <v>0</v>
      </c>
      <c r="O15" s="15">
        <f t="shared" si="0"/>
        <v>8</v>
      </c>
      <c r="P15" s="15">
        <f t="shared" si="1"/>
        <v>40</v>
      </c>
      <c r="R15" s="1" t="s">
        <v>11</v>
      </c>
      <c r="S15" s="17">
        <f t="shared" ref="S15:AF15" si="7">SUM(C30:C33)</f>
        <v>14</v>
      </c>
      <c r="T15" s="17">
        <f t="shared" si="7"/>
        <v>4</v>
      </c>
      <c r="U15" s="17">
        <f t="shared" si="7"/>
        <v>4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10</v>
      </c>
      <c r="Z15" s="17">
        <f t="shared" si="7"/>
        <v>6</v>
      </c>
      <c r="AA15" s="17">
        <f t="shared" si="7"/>
        <v>2</v>
      </c>
      <c r="AB15" s="17">
        <f t="shared" si="7"/>
        <v>1</v>
      </c>
      <c r="AC15" s="17">
        <f t="shared" si="7"/>
        <v>235</v>
      </c>
      <c r="AD15" s="17">
        <f t="shared" si="7"/>
        <v>0</v>
      </c>
      <c r="AE15" s="31">
        <f t="shared" si="7"/>
        <v>47</v>
      </c>
      <c r="AF15" s="31">
        <f t="shared" si="7"/>
        <v>282</v>
      </c>
    </row>
    <row r="16" spans="2:32" ht="23.1" customHeight="1" x14ac:dyDescent="0.25">
      <c r="B16" s="23" t="s">
        <v>43</v>
      </c>
      <c r="C16" s="50">
        <v>3</v>
      </c>
      <c r="D16" s="50">
        <v>1</v>
      </c>
      <c r="E16" s="50">
        <v>0</v>
      </c>
      <c r="F16" s="50">
        <v>3</v>
      </c>
      <c r="G16" s="50">
        <v>0</v>
      </c>
      <c r="H16" s="50">
        <v>0</v>
      </c>
      <c r="I16" s="50">
        <v>1</v>
      </c>
      <c r="J16" s="50">
        <v>3</v>
      </c>
      <c r="K16" s="50">
        <v>0</v>
      </c>
      <c r="L16" s="50">
        <v>0</v>
      </c>
      <c r="M16" s="50">
        <v>35</v>
      </c>
      <c r="N16" s="50">
        <v>0</v>
      </c>
      <c r="O16" s="15">
        <f t="shared" si="0"/>
        <v>11</v>
      </c>
      <c r="P16" s="15">
        <f t="shared" si="1"/>
        <v>46</v>
      </c>
      <c r="R16" s="1" t="s">
        <v>12</v>
      </c>
      <c r="S16" s="17">
        <f t="shared" ref="S16:AF16" si="8">SUM(C34:C37)</f>
        <v>13</v>
      </c>
      <c r="T16" s="17">
        <f t="shared" si="8"/>
        <v>3</v>
      </c>
      <c r="U16" s="17">
        <f t="shared" si="8"/>
        <v>5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11</v>
      </c>
      <c r="AA16" s="17">
        <f t="shared" si="8"/>
        <v>1</v>
      </c>
      <c r="AB16" s="17">
        <f t="shared" si="8"/>
        <v>2</v>
      </c>
      <c r="AC16" s="17">
        <f t="shared" si="8"/>
        <v>170</v>
      </c>
      <c r="AD16" s="17">
        <f t="shared" si="8"/>
        <v>0</v>
      </c>
      <c r="AE16" s="31">
        <f t="shared" si="8"/>
        <v>45</v>
      </c>
      <c r="AF16" s="31">
        <f t="shared" si="8"/>
        <v>215</v>
      </c>
    </row>
    <row r="17" spans="2:32" ht="23.1" customHeight="1" x14ac:dyDescent="0.25">
      <c r="B17" s="23" t="s">
        <v>44</v>
      </c>
      <c r="C17" s="50">
        <v>4</v>
      </c>
      <c r="D17" s="50">
        <v>4</v>
      </c>
      <c r="E17" s="50">
        <v>2</v>
      </c>
      <c r="F17" s="50">
        <v>1</v>
      </c>
      <c r="G17" s="50">
        <v>0</v>
      </c>
      <c r="H17" s="50">
        <v>0</v>
      </c>
      <c r="I17" s="50">
        <v>0</v>
      </c>
      <c r="J17" s="50">
        <v>4</v>
      </c>
      <c r="K17" s="50">
        <v>1</v>
      </c>
      <c r="L17" s="50">
        <v>0</v>
      </c>
      <c r="M17" s="50">
        <v>55</v>
      </c>
      <c r="N17" s="50">
        <v>0</v>
      </c>
      <c r="O17" s="15">
        <f t="shared" si="0"/>
        <v>16</v>
      </c>
      <c r="P17" s="15">
        <f t="shared" si="1"/>
        <v>71</v>
      </c>
      <c r="R17" s="1" t="s">
        <v>13</v>
      </c>
      <c r="S17" s="17">
        <f t="shared" ref="S17:AF17" si="9">SUM(C38:C41)</f>
        <v>20</v>
      </c>
      <c r="T17" s="17">
        <f t="shared" si="9"/>
        <v>8</v>
      </c>
      <c r="U17" s="17">
        <f t="shared" si="9"/>
        <v>0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15</v>
      </c>
      <c r="AA17" s="17">
        <f t="shared" si="9"/>
        <v>2</v>
      </c>
      <c r="AB17" s="17">
        <f t="shared" si="9"/>
        <v>0</v>
      </c>
      <c r="AC17" s="17">
        <f t="shared" si="9"/>
        <v>194</v>
      </c>
      <c r="AD17" s="17">
        <f t="shared" si="9"/>
        <v>0</v>
      </c>
      <c r="AE17" s="31">
        <f t="shared" si="9"/>
        <v>62</v>
      </c>
      <c r="AF17" s="31">
        <f t="shared" si="9"/>
        <v>256</v>
      </c>
    </row>
    <row r="18" spans="2:32" ht="23.1" customHeight="1" x14ac:dyDescent="0.25">
      <c r="B18" s="23" t="s">
        <v>45</v>
      </c>
      <c r="C18" s="50">
        <v>5</v>
      </c>
      <c r="D18" s="50">
        <v>2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3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12</v>
      </c>
      <c r="P18" s="15">
        <f t="shared" si="1"/>
        <v>47</v>
      </c>
      <c r="R18" s="1" t="s">
        <v>14</v>
      </c>
      <c r="S18" s="17">
        <f t="shared" ref="S18:AF18" si="10">SUM(C42:C45)</f>
        <v>15</v>
      </c>
      <c r="T18" s="17">
        <f t="shared" si="10"/>
        <v>10</v>
      </c>
      <c r="U18" s="17">
        <f t="shared" si="10"/>
        <v>4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12</v>
      </c>
      <c r="AA18" s="17">
        <f t="shared" si="10"/>
        <v>7</v>
      </c>
      <c r="AB18" s="17">
        <f t="shared" si="10"/>
        <v>1</v>
      </c>
      <c r="AC18" s="17">
        <f t="shared" si="10"/>
        <v>176</v>
      </c>
      <c r="AD18" s="17">
        <f t="shared" si="10"/>
        <v>0</v>
      </c>
      <c r="AE18" s="31">
        <f t="shared" si="10"/>
        <v>64</v>
      </c>
      <c r="AF18" s="31">
        <f t="shared" si="10"/>
        <v>240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0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37</v>
      </c>
      <c r="N19" s="50">
        <v>0</v>
      </c>
      <c r="O19" s="15">
        <f t="shared" si="0"/>
        <v>7</v>
      </c>
      <c r="P19" s="15">
        <f t="shared" si="1"/>
        <v>44</v>
      </c>
      <c r="R19" s="1" t="s">
        <v>15</v>
      </c>
      <c r="S19" s="17">
        <f t="shared" ref="S19:AF19" si="11">SUM(C46:C49)</f>
        <v>19</v>
      </c>
      <c r="T19" s="17">
        <f t="shared" si="11"/>
        <v>10</v>
      </c>
      <c r="U19" s="17">
        <f t="shared" si="11"/>
        <v>5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11</v>
      </c>
      <c r="AA19" s="17">
        <f t="shared" si="11"/>
        <v>3</v>
      </c>
      <c r="AB19" s="17">
        <f t="shared" si="11"/>
        <v>2</v>
      </c>
      <c r="AC19" s="17">
        <f t="shared" si="11"/>
        <v>104</v>
      </c>
      <c r="AD19" s="17">
        <f t="shared" si="11"/>
        <v>0</v>
      </c>
      <c r="AE19" s="31">
        <f t="shared" si="11"/>
        <v>61</v>
      </c>
      <c r="AF19" s="31">
        <f t="shared" si="11"/>
        <v>165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3</v>
      </c>
      <c r="F20" s="50">
        <v>1</v>
      </c>
      <c r="G20" s="50">
        <v>0</v>
      </c>
      <c r="H20" s="50">
        <v>0</v>
      </c>
      <c r="I20" s="50">
        <v>1</v>
      </c>
      <c r="J20" s="50">
        <v>3</v>
      </c>
      <c r="K20" s="50">
        <v>1</v>
      </c>
      <c r="L20" s="50">
        <v>0</v>
      </c>
      <c r="M20" s="50">
        <v>38</v>
      </c>
      <c r="N20" s="50">
        <v>0</v>
      </c>
      <c r="O20" s="15">
        <f t="shared" si="0"/>
        <v>13</v>
      </c>
      <c r="P20" s="15">
        <f t="shared" si="1"/>
        <v>51</v>
      </c>
      <c r="R20" s="1" t="s">
        <v>16</v>
      </c>
      <c r="S20" s="17">
        <f t="shared" ref="S20:AF20" si="12">SUM(C50:C53)</f>
        <v>26</v>
      </c>
      <c r="T20" s="17">
        <f t="shared" si="12"/>
        <v>9</v>
      </c>
      <c r="U20" s="17">
        <f t="shared" si="12"/>
        <v>6</v>
      </c>
      <c r="V20" s="17">
        <f t="shared" si="12"/>
        <v>7</v>
      </c>
      <c r="W20" s="17">
        <f t="shared" si="12"/>
        <v>1</v>
      </c>
      <c r="X20" s="17">
        <f t="shared" si="12"/>
        <v>0</v>
      </c>
      <c r="Y20" s="17">
        <f t="shared" si="12"/>
        <v>8</v>
      </c>
      <c r="Z20" s="17">
        <f t="shared" si="12"/>
        <v>7</v>
      </c>
      <c r="AA20" s="17">
        <f t="shared" si="12"/>
        <v>1</v>
      </c>
      <c r="AB20" s="17">
        <f t="shared" si="12"/>
        <v>3</v>
      </c>
      <c r="AC20" s="17">
        <f t="shared" si="12"/>
        <v>278</v>
      </c>
      <c r="AD20" s="17">
        <f t="shared" si="12"/>
        <v>0</v>
      </c>
      <c r="AE20" s="31">
        <f t="shared" si="12"/>
        <v>68</v>
      </c>
      <c r="AF20" s="31">
        <f t="shared" si="12"/>
        <v>346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4</v>
      </c>
      <c r="F21" s="50">
        <v>3</v>
      </c>
      <c r="G21" s="50">
        <v>0</v>
      </c>
      <c r="H21" s="50">
        <v>0</v>
      </c>
      <c r="I21" s="50">
        <v>2</v>
      </c>
      <c r="J21" s="50">
        <v>2</v>
      </c>
      <c r="K21" s="50">
        <v>0</v>
      </c>
      <c r="L21" s="50">
        <v>0</v>
      </c>
      <c r="M21" s="50">
        <v>27</v>
      </c>
      <c r="N21" s="50">
        <v>0</v>
      </c>
      <c r="O21" s="15">
        <f t="shared" si="0"/>
        <v>15</v>
      </c>
      <c r="P21" s="15">
        <f t="shared" si="1"/>
        <v>42</v>
      </c>
      <c r="R21" s="36" t="s">
        <v>20</v>
      </c>
      <c r="S21" s="34">
        <f t="shared" ref="S21:AF21" si="13">SUM(C54:C57)</f>
        <v>42</v>
      </c>
      <c r="T21" s="17">
        <f t="shared" si="13"/>
        <v>5</v>
      </c>
      <c r="U21" s="17">
        <f t="shared" si="13"/>
        <v>9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12</v>
      </c>
      <c r="Z21" s="17">
        <f t="shared" si="13"/>
        <v>10</v>
      </c>
      <c r="AA21" s="17">
        <f t="shared" si="13"/>
        <v>3</v>
      </c>
      <c r="AB21" s="17">
        <f t="shared" si="13"/>
        <v>5</v>
      </c>
      <c r="AC21" s="17">
        <f t="shared" si="13"/>
        <v>259</v>
      </c>
      <c r="AD21" s="17">
        <f t="shared" si="13"/>
        <v>1</v>
      </c>
      <c r="AE21" s="31">
        <f t="shared" si="13"/>
        <v>95</v>
      </c>
      <c r="AF21" s="31">
        <f t="shared" si="13"/>
        <v>354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0</v>
      </c>
      <c r="M22" s="50">
        <v>40</v>
      </c>
      <c r="N22" s="50">
        <v>0</v>
      </c>
      <c r="O22" s="15">
        <f t="shared" si="0"/>
        <v>8</v>
      </c>
      <c r="P22" s="15">
        <f t="shared" si="1"/>
        <v>48</v>
      </c>
      <c r="R22" s="38" t="s">
        <v>90</v>
      </c>
      <c r="S22" s="39">
        <f>MAX(S10:S12)</f>
        <v>15</v>
      </c>
      <c r="T22" s="39">
        <f t="shared" ref="T22:AF22" si="14">MAX(T10:T12)</f>
        <v>12</v>
      </c>
      <c r="U22" s="39">
        <f t="shared" si="14"/>
        <v>8</v>
      </c>
      <c r="V22" s="39">
        <f t="shared" si="14"/>
        <v>7</v>
      </c>
      <c r="W22" s="39">
        <f t="shared" si="14"/>
        <v>0</v>
      </c>
      <c r="X22" s="39">
        <f t="shared" si="14"/>
        <v>1</v>
      </c>
      <c r="Y22" s="39">
        <f t="shared" si="14"/>
        <v>4</v>
      </c>
      <c r="Z22" s="39">
        <f t="shared" si="14"/>
        <v>9</v>
      </c>
      <c r="AA22" s="39">
        <f t="shared" si="14"/>
        <v>1</v>
      </c>
      <c r="AB22" s="39">
        <f t="shared" si="14"/>
        <v>1</v>
      </c>
      <c r="AC22" s="39">
        <f t="shared" si="14"/>
        <v>169</v>
      </c>
      <c r="AD22" s="39">
        <f t="shared" si="14"/>
        <v>0</v>
      </c>
      <c r="AE22" s="40">
        <f t="shared" si="14"/>
        <v>47</v>
      </c>
      <c r="AF22" s="40">
        <f t="shared" si="14"/>
        <v>215</v>
      </c>
    </row>
    <row r="23" spans="2:32" ht="23.1" customHeight="1" x14ac:dyDescent="0.25">
      <c r="B23" s="23" t="s">
        <v>50</v>
      </c>
      <c r="C23" s="50">
        <v>2</v>
      </c>
      <c r="D23" s="50">
        <v>3</v>
      </c>
      <c r="E23" s="50">
        <v>1</v>
      </c>
      <c r="F23" s="50">
        <v>0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11</v>
      </c>
      <c r="P23" s="15">
        <f t="shared" si="1"/>
        <v>31</v>
      </c>
      <c r="R23" s="38" t="s">
        <v>91</v>
      </c>
      <c r="S23" s="39">
        <f>MAX(S13:S18)</f>
        <v>20</v>
      </c>
      <c r="T23" s="39">
        <f t="shared" ref="T23:AF23" si="15">MAX(T13:T18)</f>
        <v>10</v>
      </c>
      <c r="U23" s="39">
        <f t="shared" si="15"/>
        <v>5</v>
      </c>
      <c r="V23" s="39">
        <f t="shared" si="15"/>
        <v>11</v>
      </c>
      <c r="W23" s="39">
        <f t="shared" si="15"/>
        <v>1</v>
      </c>
      <c r="X23" s="39">
        <f t="shared" si="15"/>
        <v>0</v>
      </c>
      <c r="Y23" s="39">
        <f t="shared" si="15"/>
        <v>10</v>
      </c>
      <c r="Z23" s="39">
        <f t="shared" si="15"/>
        <v>15</v>
      </c>
      <c r="AA23" s="39">
        <f t="shared" si="15"/>
        <v>7</v>
      </c>
      <c r="AB23" s="39">
        <f t="shared" si="15"/>
        <v>3</v>
      </c>
      <c r="AC23" s="39">
        <f t="shared" si="15"/>
        <v>235</v>
      </c>
      <c r="AD23" s="39">
        <f t="shared" si="15"/>
        <v>0</v>
      </c>
      <c r="AE23" s="40">
        <f t="shared" si="15"/>
        <v>64</v>
      </c>
      <c r="AF23" s="40">
        <f t="shared" si="15"/>
        <v>282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2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35</v>
      </c>
      <c r="N24" s="50">
        <v>0</v>
      </c>
      <c r="O24" s="15">
        <f t="shared" si="0"/>
        <v>5</v>
      </c>
      <c r="P24" s="15">
        <f t="shared" si="1"/>
        <v>40</v>
      </c>
      <c r="R24" s="38" t="s">
        <v>92</v>
      </c>
      <c r="S24" s="39">
        <f>MAX(S19:S21)</f>
        <v>42</v>
      </c>
      <c r="T24" s="39">
        <f t="shared" ref="T24:AF24" si="16">MAX(T19:T21)</f>
        <v>10</v>
      </c>
      <c r="U24" s="39">
        <f t="shared" si="16"/>
        <v>9</v>
      </c>
      <c r="V24" s="39">
        <f t="shared" si="16"/>
        <v>8</v>
      </c>
      <c r="W24" s="39">
        <f t="shared" si="16"/>
        <v>1</v>
      </c>
      <c r="X24" s="39">
        <f t="shared" si="16"/>
        <v>0</v>
      </c>
      <c r="Y24" s="39">
        <f t="shared" si="16"/>
        <v>12</v>
      </c>
      <c r="Z24" s="39">
        <f t="shared" si="16"/>
        <v>11</v>
      </c>
      <c r="AA24" s="39">
        <f t="shared" si="16"/>
        <v>3</v>
      </c>
      <c r="AB24" s="39">
        <f t="shared" si="16"/>
        <v>5</v>
      </c>
      <c r="AC24" s="39">
        <f t="shared" si="16"/>
        <v>278</v>
      </c>
      <c r="AD24" s="39">
        <f t="shared" si="16"/>
        <v>1</v>
      </c>
      <c r="AE24" s="40">
        <f t="shared" si="16"/>
        <v>95</v>
      </c>
      <c r="AF24" s="40">
        <f t="shared" si="16"/>
        <v>354</v>
      </c>
    </row>
    <row r="25" spans="2:32" ht="23.1" customHeight="1" x14ac:dyDescent="0.25">
      <c r="B25" s="23" t="s">
        <v>52</v>
      </c>
      <c r="C25" s="50">
        <v>1</v>
      </c>
      <c r="D25" s="50">
        <v>1</v>
      </c>
      <c r="E25" s="50">
        <v>3</v>
      </c>
      <c r="F25" s="50">
        <v>1</v>
      </c>
      <c r="G25" s="50">
        <v>0</v>
      </c>
      <c r="H25" s="50">
        <v>0</v>
      </c>
      <c r="I25" s="50">
        <v>1</v>
      </c>
      <c r="J25" s="50">
        <v>2</v>
      </c>
      <c r="K25" s="50">
        <v>1</v>
      </c>
      <c r="L25" s="50">
        <v>0</v>
      </c>
      <c r="M25" s="50">
        <v>35</v>
      </c>
      <c r="N25" s="50">
        <v>0</v>
      </c>
      <c r="O25" s="15">
        <f t="shared" si="0"/>
        <v>10</v>
      </c>
      <c r="P25" s="15">
        <f t="shared" si="1"/>
        <v>45</v>
      </c>
      <c r="R25" s="37" t="s">
        <v>85</v>
      </c>
      <c r="S25" s="35">
        <f t="shared" ref="S25:AF25" si="17">SUM(S10:S12)</f>
        <v>38</v>
      </c>
      <c r="T25" s="16">
        <f t="shared" si="17"/>
        <v>18</v>
      </c>
      <c r="U25" s="16">
        <f t="shared" si="17"/>
        <v>14</v>
      </c>
      <c r="V25" s="16">
        <f t="shared" si="17"/>
        <v>18</v>
      </c>
      <c r="W25" s="16">
        <f t="shared" si="17"/>
        <v>0</v>
      </c>
      <c r="X25" s="16">
        <f t="shared" si="17"/>
        <v>1</v>
      </c>
      <c r="Y25" s="16">
        <f t="shared" si="17"/>
        <v>9</v>
      </c>
      <c r="Z25" s="16">
        <f t="shared" si="17"/>
        <v>20</v>
      </c>
      <c r="AA25" s="16">
        <f t="shared" si="17"/>
        <v>2</v>
      </c>
      <c r="AB25" s="16">
        <f t="shared" si="17"/>
        <v>1</v>
      </c>
      <c r="AC25" s="16">
        <f t="shared" si="17"/>
        <v>472</v>
      </c>
      <c r="AD25" s="16">
        <f t="shared" si="17"/>
        <v>0</v>
      </c>
      <c r="AE25" s="32">
        <f t="shared" si="17"/>
        <v>121</v>
      </c>
      <c r="AF25" s="32">
        <f t="shared" si="17"/>
        <v>593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45</v>
      </c>
      <c r="N26" s="50">
        <v>0</v>
      </c>
      <c r="O26" s="15">
        <f t="shared" si="0"/>
        <v>6</v>
      </c>
      <c r="P26" s="15">
        <f t="shared" si="1"/>
        <v>51</v>
      </c>
      <c r="R26" s="28" t="s">
        <v>86</v>
      </c>
      <c r="S26" s="16">
        <f t="shared" ref="S26:AF26" si="18">SUM(S13:S18)</f>
        <v>77</v>
      </c>
      <c r="T26" s="16">
        <f t="shared" si="18"/>
        <v>36</v>
      </c>
      <c r="U26" s="16">
        <f t="shared" si="18"/>
        <v>21</v>
      </c>
      <c r="V26" s="16">
        <f t="shared" si="18"/>
        <v>40</v>
      </c>
      <c r="W26" s="16">
        <f t="shared" si="18"/>
        <v>2</v>
      </c>
      <c r="X26" s="16">
        <f t="shared" si="18"/>
        <v>0</v>
      </c>
      <c r="Y26" s="16">
        <f t="shared" si="18"/>
        <v>43</v>
      </c>
      <c r="Z26" s="16">
        <f t="shared" si="18"/>
        <v>57</v>
      </c>
      <c r="AA26" s="16">
        <f t="shared" si="18"/>
        <v>16</v>
      </c>
      <c r="AB26" s="16">
        <f t="shared" si="18"/>
        <v>7</v>
      </c>
      <c r="AC26" s="16">
        <f t="shared" si="18"/>
        <v>1100</v>
      </c>
      <c r="AD26" s="16">
        <f t="shared" si="18"/>
        <v>0</v>
      </c>
      <c r="AE26" s="32">
        <f t="shared" si="18"/>
        <v>299</v>
      </c>
      <c r="AF26" s="32">
        <f t="shared" si="18"/>
        <v>1399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0</v>
      </c>
      <c r="F27" s="50">
        <v>1</v>
      </c>
      <c r="G27" s="50">
        <v>1</v>
      </c>
      <c r="H27" s="50">
        <v>0</v>
      </c>
      <c r="I27" s="50">
        <v>1</v>
      </c>
      <c r="J27" s="50">
        <v>4</v>
      </c>
      <c r="K27" s="50">
        <v>1</v>
      </c>
      <c r="L27" s="50">
        <v>0</v>
      </c>
      <c r="M27" s="50">
        <v>47</v>
      </c>
      <c r="N27" s="50">
        <v>0</v>
      </c>
      <c r="O27" s="15">
        <f t="shared" si="0"/>
        <v>11</v>
      </c>
      <c r="P27" s="15">
        <f t="shared" si="1"/>
        <v>58</v>
      </c>
      <c r="R27" s="29" t="s">
        <v>87</v>
      </c>
      <c r="S27" s="16">
        <f t="shared" ref="S27:AF27" si="19">SUM(S19:S21)</f>
        <v>87</v>
      </c>
      <c r="T27" s="16">
        <f t="shared" si="19"/>
        <v>24</v>
      </c>
      <c r="U27" s="16">
        <f t="shared" si="19"/>
        <v>20</v>
      </c>
      <c r="V27" s="16">
        <f t="shared" si="19"/>
        <v>19</v>
      </c>
      <c r="W27" s="16">
        <f t="shared" si="19"/>
        <v>1</v>
      </c>
      <c r="X27" s="16">
        <f t="shared" si="19"/>
        <v>0</v>
      </c>
      <c r="Y27" s="16">
        <f t="shared" si="19"/>
        <v>27</v>
      </c>
      <c r="Z27" s="16">
        <f t="shared" si="19"/>
        <v>28</v>
      </c>
      <c r="AA27" s="16">
        <f t="shared" si="19"/>
        <v>7</v>
      </c>
      <c r="AB27" s="16">
        <f t="shared" si="19"/>
        <v>10</v>
      </c>
      <c r="AC27" s="16">
        <f t="shared" si="19"/>
        <v>641</v>
      </c>
      <c r="AD27" s="16">
        <f t="shared" si="19"/>
        <v>1</v>
      </c>
      <c r="AE27" s="32">
        <f t="shared" si="19"/>
        <v>224</v>
      </c>
      <c r="AF27" s="32">
        <f t="shared" si="19"/>
        <v>865</v>
      </c>
    </row>
    <row r="28" spans="2:32" ht="23.1" customHeight="1" x14ac:dyDescent="0.25">
      <c r="B28" s="23" t="s">
        <v>55</v>
      </c>
      <c r="C28" s="50">
        <v>4</v>
      </c>
      <c r="D28" s="50">
        <v>2</v>
      </c>
      <c r="E28" s="50">
        <v>0</v>
      </c>
      <c r="F28" s="50">
        <v>5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2</v>
      </c>
      <c r="M28" s="50">
        <v>48</v>
      </c>
      <c r="N28" s="50">
        <v>0</v>
      </c>
      <c r="O28" s="15">
        <f t="shared" si="0"/>
        <v>17</v>
      </c>
      <c r="P28" s="15">
        <f t="shared" si="1"/>
        <v>65</v>
      </c>
      <c r="R28" s="5" t="s">
        <v>17</v>
      </c>
      <c r="S28" s="16">
        <f t="shared" ref="S28:AF28" si="20">SUM(S10:S21)</f>
        <v>202</v>
      </c>
      <c r="T28" s="16">
        <f t="shared" si="20"/>
        <v>78</v>
      </c>
      <c r="U28" s="16">
        <f t="shared" si="20"/>
        <v>55</v>
      </c>
      <c r="V28" s="16">
        <f t="shared" si="20"/>
        <v>77</v>
      </c>
      <c r="W28" s="16">
        <f t="shared" si="20"/>
        <v>3</v>
      </c>
      <c r="X28" s="16">
        <f t="shared" si="20"/>
        <v>1</v>
      </c>
      <c r="Y28" s="16">
        <f t="shared" si="20"/>
        <v>79</v>
      </c>
      <c r="Z28" s="16">
        <f t="shared" si="20"/>
        <v>105</v>
      </c>
      <c r="AA28" s="16">
        <f t="shared" si="20"/>
        <v>25</v>
      </c>
      <c r="AB28" s="16">
        <f t="shared" si="20"/>
        <v>18</v>
      </c>
      <c r="AC28" s="16">
        <f t="shared" si="20"/>
        <v>2213</v>
      </c>
      <c r="AD28" s="16">
        <f t="shared" si="20"/>
        <v>1</v>
      </c>
      <c r="AE28" s="32">
        <f t="shared" si="20"/>
        <v>644</v>
      </c>
      <c r="AF28" s="32">
        <f t="shared" si="20"/>
        <v>2857</v>
      </c>
    </row>
    <row r="29" spans="2:32" ht="23.1" customHeight="1" x14ac:dyDescent="0.25">
      <c r="B29" s="23" t="s">
        <v>56</v>
      </c>
      <c r="C29" s="50">
        <v>2</v>
      </c>
      <c r="D29" s="50">
        <v>1</v>
      </c>
      <c r="E29" s="50">
        <v>2</v>
      </c>
      <c r="F29" s="50">
        <v>2</v>
      </c>
      <c r="G29" s="50">
        <v>0</v>
      </c>
      <c r="H29" s="50">
        <v>0</v>
      </c>
      <c r="I29" s="50">
        <v>3</v>
      </c>
      <c r="J29" s="50">
        <v>0</v>
      </c>
      <c r="K29" s="50">
        <v>2</v>
      </c>
      <c r="L29" s="50">
        <v>1</v>
      </c>
      <c r="M29" s="50">
        <v>55</v>
      </c>
      <c r="N29" s="50">
        <v>0</v>
      </c>
      <c r="O29" s="15">
        <f t="shared" si="0"/>
        <v>13</v>
      </c>
      <c r="P29" s="15">
        <f t="shared" si="1"/>
        <v>68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2</v>
      </c>
      <c r="E30" s="50">
        <v>0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0</v>
      </c>
      <c r="M30" s="50">
        <v>55</v>
      </c>
      <c r="N30" s="50">
        <v>0</v>
      </c>
      <c r="O30" s="15">
        <f t="shared" si="0"/>
        <v>13</v>
      </c>
      <c r="P30" s="15">
        <f t="shared" si="1"/>
        <v>68</v>
      </c>
    </row>
    <row r="31" spans="2:32" ht="23.1" customHeight="1" x14ac:dyDescent="0.25">
      <c r="B31" s="24" t="s">
        <v>58</v>
      </c>
      <c r="C31" s="50">
        <v>2</v>
      </c>
      <c r="D31" s="50">
        <v>1</v>
      </c>
      <c r="E31" s="50">
        <v>2</v>
      </c>
      <c r="F31" s="50">
        <v>3</v>
      </c>
      <c r="G31" s="50">
        <v>0</v>
      </c>
      <c r="H31" s="50">
        <v>0</v>
      </c>
      <c r="I31" s="50">
        <v>5</v>
      </c>
      <c r="J31" s="50">
        <v>1</v>
      </c>
      <c r="K31" s="50">
        <v>1</v>
      </c>
      <c r="L31" s="50">
        <v>0</v>
      </c>
      <c r="M31" s="50">
        <v>65</v>
      </c>
      <c r="N31" s="50">
        <v>0</v>
      </c>
      <c r="O31" s="15">
        <f t="shared" si="0"/>
        <v>15</v>
      </c>
      <c r="P31" s="15">
        <f t="shared" si="1"/>
        <v>80</v>
      </c>
    </row>
    <row r="32" spans="2:32" ht="23.1" customHeight="1" x14ac:dyDescent="0.25">
      <c r="B32" s="24" t="s">
        <v>59</v>
      </c>
      <c r="C32" s="50">
        <v>3</v>
      </c>
      <c r="D32" s="50">
        <v>1</v>
      </c>
      <c r="E32" s="50">
        <v>0</v>
      </c>
      <c r="F32" s="50">
        <v>1</v>
      </c>
      <c r="G32" s="50">
        <v>1</v>
      </c>
      <c r="H32" s="50">
        <v>0</v>
      </c>
      <c r="I32" s="50">
        <v>0</v>
      </c>
      <c r="J32" s="50">
        <v>5</v>
      </c>
      <c r="K32" s="50">
        <v>0</v>
      </c>
      <c r="L32" s="50">
        <v>0</v>
      </c>
      <c r="M32" s="50">
        <v>63</v>
      </c>
      <c r="N32" s="50">
        <v>0</v>
      </c>
      <c r="O32" s="15">
        <f t="shared" si="0"/>
        <v>11</v>
      </c>
      <c r="P32" s="15">
        <f t="shared" si="1"/>
        <v>74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1</v>
      </c>
      <c r="M33" s="50">
        <v>52</v>
      </c>
      <c r="N33" s="50">
        <v>0</v>
      </c>
      <c r="O33" s="15">
        <f t="shared" si="0"/>
        <v>8</v>
      </c>
      <c r="P33" s="15">
        <f t="shared" si="1"/>
        <v>60</v>
      </c>
    </row>
    <row r="34" spans="2:20" ht="23.1" customHeight="1" x14ac:dyDescent="0.25">
      <c r="B34" s="24" t="s">
        <v>61</v>
      </c>
      <c r="C34" s="50">
        <v>5</v>
      </c>
      <c r="D34" s="50">
        <v>1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2</v>
      </c>
      <c r="K34" s="50">
        <v>1</v>
      </c>
      <c r="L34" s="50">
        <v>1</v>
      </c>
      <c r="M34" s="50">
        <v>35</v>
      </c>
      <c r="N34" s="50">
        <v>0</v>
      </c>
      <c r="O34" s="15">
        <f t="shared" si="0"/>
        <v>13</v>
      </c>
      <c r="P34" s="15">
        <f t="shared" si="1"/>
        <v>48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6</v>
      </c>
      <c r="K35" s="50">
        <v>0</v>
      </c>
      <c r="L35" s="50">
        <v>0</v>
      </c>
      <c r="M35" s="50">
        <v>31</v>
      </c>
      <c r="N35" s="50">
        <v>0</v>
      </c>
      <c r="O35" s="15">
        <f t="shared" si="0"/>
        <v>11</v>
      </c>
      <c r="P35" s="15">
        <f t="shared" si="1"/>
        <v>42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52</v>
      </c>
      <c r="N36" s="50">
        <v>0</v>
      </c>
      <c r="O36" s="15">
        <f t="shared" si="0"/>
        <v>7</v>
      </c>
      <c r="P36" s="15">
        <f t="shared" si="1"/>
        <v>59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1</v>
      </c>
      <c r="F37" s="50">
        <v>3</v>
      </c>
      <c r="G37" s="50">
        <v>0</v>
      </c>
      <c r="H37" s="50">
        <v>0</v>
      </c>
      <c r="I37" s="50">
        <v>1</v>
      </c>
      <c r="J37" s="50">
        <v>3</v>
      </c>
      <c r="K37" s="50">
        <v>0</v>
      </c>
      <c r="L37" s="50">
        <v>1</v>
      </c>
      <c r="M37" s="50">
        <v>52</v>
      </c>
      <c r="N37" s="50">
        <v>0</v>
      </c>
      <c r="O37" s="15">
        <f t="shared" si="0"/>
        <v>14</v>
      </c>
      <c r="P37" s="15">
        <f t="shared" si="1"/>
        <v>66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3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0"/>
        <v>10</v>
      </c>
      <c r="P38" s="15">
        <f t="shared" si="1"/>
        <v>60</v>
      </c>
    </row>
    <row r="39" spans="2:20" ht="23.1" customHeight="1" x14ac:dyDescent="0.25">
      <c r="B39" s="24" t="s">
        <v>66</v>
      </c>
      <c r="C39" s="50">
        <v>7</v>
      </c>
      <c r="D39" s="50">
        <v>3</v>
      </c>
      <c r="E39" s="50">
        <v>0</v>
      </c>
      <c r="F39" s="50">
        <v>2</v>
      </c>
      <c r="G39" s="50">
        <v>0</v>
      </c>
      <c r="H39" s="50">
        <v>0</v>
      </c>
      <c r="I39" s="50">
        <v>2</v>
      </c>
      <c r="J39" s="50">
        <v>2</v>
      </c>
      <c r="K39" s="50">
        <v>0</v>
      </c>
      <c r="L39" s="50">
        <v>0</v>
      </c>
      <c r="M39" s="50">
        <v>55</v>
      </c>
      <c r="N39" s="50">
        <v>0</v>
      </c>
      <c r="O39" s="15">
        <f t="shared" si="0"/>
        <v>16</v>
      </c>
      <c r="P39" s="15">
        <f t="shared" si="1"/>
        <v>71</v>
      </c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0</v>
      </c>
      <c r="F40" s="50">
        <v>3</v>
      </c>
      <c r="G40" s="50">
        <v>0</v>
      </c>
      <c r="H40" s="50">
        <v>0</v>
      </c>
      <c r="I40" s="50">
        <v>3</v>
      </c>
      <c r="J40" s="50">
        <v>4</v>
      </c>
      <c r="K40" s="50">
        <v>1</v>
      </c>
      <c r="L40" s="50">
        <v>0</v>
      </c>
      <c r="M40" s="50">
        <v>50</v>
      </c>
      <c r="N40" s="50">
        <v>0</v>
      </c>
      <c r="O40" s="15">
        <f t="shared" si="0"/>
        <v>16</v>
      </c>
      <c r="P40" s="15">
        <f t="shared" si="1"/>
        <v>66</v>
      </c>
    </row>
    <row r="41" spans="2:20" ht="23.1" customHeight="1" x14ac:dyDescent="0.25">
      <c r="B41" s="23" t="s">
        <v>68</v>
      </c>
      <c r="C41" s="50">
        <v>3</v>
      </c>
      <c r="D41" s="50">
        <v>5</v>
      </c>
      <c r="E41" s="50">
        <v>0</v>
      </c>
      <c r="F41" s="50">
        <v>4</v>
      </c>
      <c r="G41" s="50">
        <v>0</v>
      </c>
      <c r="H41" s="50">
        <v>0</v>
      </c>
      <c r="I41" s="50">
        <v>1</v>
      </c>
      <c r="J41" s="50">
        <v>6</v>
      </c>
      <c r="K41" s="50">
        <v>1</v>
      </c>
      <c r="L41" s="50">
        <v>0</v>
      </c>
      <c r="M41" s="50">
        <v>39</v>
      </c>
      <c r="N41" s="50">
        <v>0</v>
      </c>
      <c r="O41" s="15">
        <f t="shared" si="0"/>
        <v>20</v>
      </c>
      <c r="P41" s="15">
        <f t="shared" si="1"/>
        <v>59</v>
      </c>
    </row>
    <row r="42" spans="2:20" ht="23.1" customHeight="1" x14ac:dyDescent="0.25">
      <c r="B42" s="24" t="s">
        <v>69</v>
      </c>
      <c r="C42" s="50">
        <v>4</v>
      </c>
      <c r="D42" s="50">
        <v>1</v>
      </c>
      <c r="E42" s="50">
        <v>0</v>
      </c>
      <c r="F42" s="50">
        <v>3</v>
      </c>
      <c r="G42" s="50">
        <v>0</v>
      </c>
      <c r="H42" s="50">
        <v>0</v>
      </c>
      <c r="I42" s="50">
        <v>3</v>
      </c>
      <c r="J42" s="50">
        <v>3</v>
      </c>
      <c r="K42" s="50">
        <v>0</v>
      </c>
      <c r="L42" s="50">
        <v>0</v>
      </c>
      <c r="M42" s="50">
        <v>50</v>
      </c>
      <c r="N42" s="50">
        <v>0</v>
      </c>
      <c r="O42" s="15">
        <f t="shared" si="0"/>
        <v>14</v>
      </c>
      <c r="P42" s="15">
        <f t="shared" si="1"/>
        <v>64</v>
      </c>
    </row>
    <row r="43" spans="2:20" ht="23.1" customHeight="1" x14ac:dyDescent="0.25">
      <c r="B43" s="23" t="s">
        <v>70</v>
      </c>
      <c r="C43" s="50">
        <v>6</v>
      </c>
      <c r="D43" s="50">
        <v>4</v>
      </c>
      <c r="E43" s="50">
        <v>1</v>
      </c>
      <c r="F43" s="50">
        <v>1</v>
      </c>
      <c r="G43" s="50">
        <v>0</v>
      </c>
      <c r="H43" s="50">
        <v>0</v>
      </c>
      <c r="I43" s="50">
        <v>2</v>
      </c>
      <c r="J43" s="50">
        <v>2</v>
      </c>
      <c r="K43" s="50">
        <v>3</v>
      </c>
      <c r="L43" s="50">
        <v>1</v>
      </c>
      <c r="M43" s="50">
        <v>39</v>
      </c>
      <c r="N43" s="50">
        <v>0</v>
      </c>
      <c r="O43" s="15">
        <f t="shared" si="0"/>
        <v>20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0</v>
      </c>
      <c r="D44" s="50">
        <v>2</v>
      </c>
      <c r="E44" s="50">
        <v>3</v>
      </c>
      <c r="F44" s="50">
        <v>1</v>
      </c>
      <c r="G44" s="50">
        <v>0</v>
      </c>
      <c r="H44" s="50">
        <v>0</v>
      </c>
      <c r="I44" s="50">
        <v>2</v>
      </c>
      <c r="J44" s="50">
        <v>2</v>
      </c>
      <c r="K44" s="50">
        <v>1</v>
      </c>
      <c r="L44" s="50">
        <v>0</v>
      </c>
      <c r="M44" s="50">
        <v>55</v>
      </c>
      <c r="N44" s="50">
        <v>0</v>
      </c>
      <c r="O44" s="15">
        <f t="shared" si="0"/>
        <v>11</v>
      </c>
      <c r="P44" s="15">
        <f t="shared" si="1"/>
        <v>66</v>
      </c>
    </row>
    <row r="45" spans="2:20" ht="23.1" customHeight="1" x14ac:dyDescent="0.25">
      <c r="B45" s="23" t="s">
        <v>72</v>
      </c>
      <c r="C45" s="50">
        <v>5</v>
      </c>
      <c r="D45" s="50">
        <v>3</v>
      </c>
      <c r="E45" s="50">
        <v>0</v>
      </c>
      <c r="F45" s="50">
        <v>1</v>
      </c>
      <c r="G45" s="50">
        <v>0</v>
      </c>
      <c r="H45" s="50">
        <v>0</v>
      </c>
      <c r="I45" s="50">
        <v>2</v>
      </c>
      <c r="J45" s="50">
        <v>5</v>
      </c>
      <c r="K45" s="50">
        <v>3</v>
      </c>
      <c r="L45" s="50">
        <v>0</v>
      </c>
      <c r="M45" s="50">
        <v>32</v>
      </c>
      <c r="N45" s="50">
        <v>0</v>
      </c>
      <c r="O45" s="15">
        <f t="shared" si="0"/>
        <v>19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5</v>
      </c>
      <c r="J46" s="50">
        <v>1</v>
      </c>
      <c r="K46" s="50">
        <v>2</v>
      </c>
      <c r="L46" s="50">
        <v>0</v>
      </c>
      <c r="M46" s="50">
        <v>45</v>
      </c>
      <c r="N46" s="50">
        <v>0</v>
      </c>
      <c r="O46" s="15">
        <f t="shared" si="0"/>
        <v>14</v>
      </c>
      <c r="P46" s="15">
        <f t="shared" si="1"/>
        <v>59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1</v>
      </c>
      <c r="F47" s="50">
        <v>2</v>
      </c>
      <c r="G47" s="50">
        <v>0</v>
      </c>
      <c r="H47" s="50">
        <v>0</v>
      </c>
      <c r="I47" s="50">
        <v>0</v>
      </c>
      <c r="J47" s="50">
        <v>5</v>
      </c>
      <c r="K47" s="50">
        <v>0</v>
      </c>
      <c r="L47" s="50">
        <v>1</v>
      </c>
      <c r="M47" s="50">
        <v>24</v>
      </c>
      <c r="N47" s="50">
        <v>0</v>
      </c>
      <c r="O47" s="15">
        <f t="shared" si="0"/>
        <v>12</v>
      </c>
      <c r="P47" s="15">
        <f t="shared" si="1"/>
        <v>36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2</v>
      </c>
      <c r="E48" s="50">
        <v>3</v>
      </c>
      <c r="F48" s="50">
        <v>1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1</v>
      </c>
      <c r="M48" s="50">
        <v>13</v>
      </c>
      <c r="N48" s="50">
        <v>0</v>
      </c>
      <c r="O48" s="15">
        <f t="shared" si="0"/>
        <v>15</v>
      </c>
      <c r="P48" s="15">
        <f t="shared" si="1"/>
        <v>28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6</v>
      </c>
      <c r="E49" s="50">
        <v>0</v>
      </c>
      <c r="F49" s="50">
        <v>1</v>
      </c>
      <c r="G49" s="50">
        <v>0</v>
      </c>
      <c r="H49" s="50">
        <v>0</v>
      </c>
      <c r="I49" s="50">
        <v>2</v>
      </c>
      <c r="J49" s="50">
        <v>3</v>
      </c>
      <c r="K49" s="50">
        <v>1</v>
      </c>
      <c r="L49" s="50">
        <v>0</v>
      </c>
      <c r="M49" s="50">
        <v>22</v>
      </c>
      <c r="N49" s="50">
        <v>0</v>
      </c>
      <c r="O49" s="15">
        <f t="shared" si="0"/>
        <v>20</v>
      </c>
      <c r="P49" s="15">
        <f t="shared" si="1"/>
        <v>42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3</v>
      </c>
      <c r="E50" s="50">
        <v>1</v>
      </c>
      <c r="F50" s="50">
        <v>3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2</v>
      </c>
      <c r="M50" s="50">
        <v>19</v>
      </c>
      <c r="N50" s="50">
        <v>0</v>
      </c>
      <c r="O50" s="15">
        <f t="shared" si="0"/>
        <v>18</v>
      </c>
      <c r="P50" s="15">
        <f t="shared" si="1"/>
        <v>37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3</v>
      </c>
      <c r="J51" s="50">
        <v>1</v>
      </c>
      <c r="K51" s="50">
        <v>0</v>
      </c>
      <c r="L51" s="50">
        <v>1</v>
      </c>
      <c r="M51" s="50">
        <v>89</v>
      </c>
      <c r="N51" s="50">
        <v>0</v>
      </c>
      <c r="O51" s="15">
        <f t="shared" si="0"/>
        <v>12</v>
      </c>
      <c r="P51" s="15">
        <f t="shared" si="1"/>
        <v>101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3</v>
      </c>
      <c r="E52" s="50">
        <v>3</v>
      </c>
      <c r="F52" s="50">
        <v>2</v>
      </c>
      <c r="G52" s="50">
        <v>0</v>
      </c>
      <c r="H52" s="50">
        <v>0</v>
      </c>
      <c r="I52" s="50">
        <v>2</v>
      </c>
      <c r="J52" s="50">
        <v>3</v>
      </c>
      <c r="K52" s="50">
        <v>0</v>
      </c>
      <c r="L52" s="50">
        <v>0</v>
      </c>
      <c r="M52" s="50">
        <v>87</v>
      </c>
      <c r="N52" s="50">
        <v>0</v>
      </c>
      <c r="O52" s="15">
        <f t="shared" si="0"/>
        <v>18</v>
      </c>
      <c r="P52" s="15">
        <f t="shared" si="1"/>
        <v>105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3</v>
      </c>
      <c r="E53" s="50">
        <v>2</v>
      </c>
      <c r="F53" s="50">
        <v>2</v>
      </c>
      <c r="G53" s="50">
        <v>1</v>
      </c>
      <c r="H53" s="50">
        <v>0</v>
      </c>
      <c r="I53" s="50">
        <v>1</v>
      </c>
      <c r="J53" s="50">
        <v>2</v>
      </c>
      <c r="K53" s="50">
        <v>1</v>
      </c>
      <c r="L53" s="50">
        <v>0</v>
      </c>
      <c r="M53" s="50">
        <v>83</v>
      </c>
      <c r="N53" s="50">
        <v>0</v>
      </c>
      <c r="O53" s="15">
        <f t="shared" si="0"/>
        <v>20</v>
      </c>
      <c r="P53" s="15">
        <f t="shared" si="1"/>
        <v>103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2</v>
      </c>
      <c r="E54" s="50">
        <v>3</v>
      </c>
      <c r="F54" s="50">
        <v>1</v>
      </c>
      <c r="G54" s="50">
        <v>0</v>
      </c>
      <c r="H54" s="50">
        <v>0</v>
      </c>
      <c r="I54" s="50">
        <v>3</v>
      </c>
      <c r="J54" s="50">
        <v>1</v>
      </c>
      <c r="K54" s="50">
        <v>1</v>
      </c>
      <c r="L54" s="50">
        <v>0</v>
      </c>
      <c r="M54" s="50">
        <v>57</v>
      </c>
      <c r="N54" s="50">
        <v>0</v>
      </c>
      <c r="O54" s="15">
        <f t="shared" si="0"/>
        <v>18</v>
      </c>
      <c r="P54" s="15">
        <f t="shared" si="1"/>
        <v>75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1</v>
      </c>
      <c r="E55" s="50">
        <v>0</v>
      </c>
      <c r="F55" s="50">
        <v>2</v>
      </c>
      <c r="G55" s="50">
        <v>0</v>
      </c>
      <c r="H55" s="50">
        <v>0</v>
      </c>
      <c r="I55" s="50">
        <v>2</v>
      </c>
      <c r="J55" s="50">
        <v>3</v>
      </c>
      <c r="K55" s="50">
        <v>0</v>
      </c>
      <c r="L55" s="50">
        <v>3</v>
      </c>
      <c r="M55" s="50">
        <v>69</v>
      </c>
      <c r="N55" s="50">
        <v>0</v>
      </c>
      <c r="O55" s="15">
        <f t="shared" si="0"/>
        <v>20</v>
      </c>
      <c r="P55" s="15">
        <f t="shared" si="1"/>
        <v>89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0</v>
      </c>
      <c r="E56" s="50">
        <v>3</v>
      </c>
      <c r="F56" s="50">
        <v>2</v>
      </c>
      <c r="G56" s="50">
        <v>0</v>
      </c>
      <c r="H56" s="50">
        <v>0</v>
      </c>
      <c r="I56" s="50">
        <v>4</v>
      </c>
      <c r="J56" s="50">
        <v>4</v>
      </c>
      <c r="K56" s="50">
        <v>0</v>
      </c>
      <c r="L56" s="50">
        <v>0</v>
      </c>
      <c r="M56" s="50">
        <v>65</v>
      </c>
      <c r="N56" s="50">
        <v>1</v>
      </c>
      <c r="O56" s="15">
        <f t="shared" si="0"/>
        <v>23</v>
      </c>
      <c r="P56" s="15">
        <f t="shared" si="1"/>
        <v>88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2</v>
      </c>
      <c r="E57" s="50">
        <v>3</v>
      </c>
      <c r="F57" s="50">
        <v>3</v>
      </c>
      <c r="G57" s="50">
        <v>0</v>
      </c>
      <c r="H57" s="50">
        <v>0</v>
      </c>
      <c r="I57" s="50">
        <v>3</v>
      </c>
      <c r="J57" s="50">
        <v>2</v>
      </c>
      <c r="K57" s="50">
        <v>2</v>
      </c>
      <c r="L57" s="50">
        <v>2</v>
      </c>
      <c r="M57" s="50">
        <v>68</v>
      </c>
      <c r="N57" s="50">
        <v>0</v>
      </c>
      <c r="O57" s="15">
        <f t="shared" si="0"/>
        <v>34</v>
      </c>
      <c r="P57" s="15">
        <f t="shared" si="1"/>
        <v>102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202</v>
      </c>
      <c r="D58" s="16">
        <f t="shared" si="21"/>
        <v>78</v>
      </c>
      <c r="E58" s="16">
        <f t="shared" si="21"/>
        <v>55</v>
      </c>
      <c r="F58" s="16">
        <f t="shared" si="21"/>
        <v>77</v>
      </c>
      <c r="G58" s="16">
        <f t="shared" si="21"/>
        <v>3</v>
      </c>
      <c r="H58" s="16">
        <f t="shared" si="21"/>
        <v>1</v>
      </c>
      <c r="I58" s="16">
        <f t="shared" si="21"/>
        <v>79</v>
      </c>
      <c r="J58" s="16">
        <f t="shared" si="21"/>
        <v>105</v>
      </c>
      <c r="K58" s="16">
        <f t="shared" si="21"/>
        <v>25</v>
      </c>
      <c r="L58" s="16">
        <f t="shared" si="21"/>
        <v>18</v>
      </c>
      <c r="M58" s="16">
        <f t="shared" si="21"/>
        <v>2213</v>
      </c>
      <c r="N58" s="16">
        <f t="shared" si="21"/>
        <v>1</v>
      </c>
      <c r="O58" s="16">
        <f t="shared" si="21"/>
        <v>644</v>
      </c>
      <c r="P58" s="16">
        <f t="shared" si="21"/>
        <v>2857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7.0703535176758842E-2</v>
      </c>
      <c r="D59" s="43">
        <f t="shared" si="22"/>
        <v>2.7301365068253414E-2</v>
      </c>
      <c r="E59" s="43">
        <f t="shared" si="22"/>
        <v>1.9250962548127408E-2</v>
      </c>
      <c r="F59" s="43">
        <f t="shared" si="22"/>
        <v>2.695134756737837E-2</v>
      </c>
      <c r="G59" s="43">
        <f t="shared" si="22"/>
        <v>1.0500525026251313E-3</v>
      </c>
      <c r="H59" s="43">
        <f t="shared" si="22"/>
        <v>3.5001750087504374E-4</v>
      </c>
      <c r="I59" s="43">
        <f t="shared" si="22"/>
        <v>2.7651382569128455E-2</v>
      </c>
      <c r="J59" s="43">
        <f t="shared" si="22"/>
        <v>3.6751837591879596E-2</v>
      </c>
      <c r="K59" s="43">
        <f t="shared" si="22"/>
        <v>8.7504375218760942E-3</v>
      </c>
      <c r="L59" s="43">
        <f t="shared" si="22"/>
        <v>6.3003150157507877E-3</v>
      </c>
      <c r="M59" s="43">
        <f t="shared" si="22"/>
        <v>0.77458872943647183</v>
      </c>
      <c r="N59" s="43">
        <f t="shared" si="22"/>
        <v>3.5001750087504374E-4</v>
      </c>
      <c r="R59" s="8"/>
      <c r="T59"/>
    </row>
    <row r="60" spans="2:20" ht="23.1" customHeight="1" x14ac:dyDescent="0.25">
      <c r="B60" s="42" t="s">
        <v>94</v>
      </c>
      <c r="C60" s="44">
        <f>C58/$O$58</f>
        <v>0.31366459627329191</v>
      </c>
      <c r="D60" s="44">
        <f t="shared" ref="D60:N60" si="23">D58/$O$58</f>
        <v>0.12111801242236025</v>
      </c>
      <c r="E60" s="44">
        <f t="shared" si="23"/>
        <v>8.5403726708074529E-2</v>
      </c>
      <c r="F60" s="44">
        <f t="shared" si="23"/>
        <v>0.11956521739130435</v>
      </c>
      <c r="G60" s="44">
        <f t="shared" si="23"/>
        <v>4.658385093167702E-3</v>
      </c>
      <c r="H60" s="44">
        <f t="shared" si="23"/>
        <v>1.5527950310559005E-3</v>
      </c>
      <c r="I60" s="44">
        <f t="shared" si="23"/>
        <v>0.12267080745341614</v>
      </c>
      <c r="J60" s="44">
        <f t="shared" si="23"/>
        <v>0.16304347826086957</v>
      </c>
      <c r="K60" s="44">
        <f t="shared" si="23"/>
        <v>3.8819875776397512E-2</v>
      </c>
      <c r="L60" s="44">
        <f t="shared" si="23"/>
        <v>2.7950310559006212E-2</v>
      </c>
      <c r="M60" s="44"/>
      <c r="N60" s="44">
        <f t="shared" si="23"/>
        <v>1.5527950310559005E-3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Musita-Lumino'!C3:G3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3" t="str">
        <f>'26.08 Lumino-Musita-24h'!G5:H5</f>
        <v>Musita</v>
      </c>
      <c r="H5" s="64"/>
      <c r="I5" s="14"/>
      <c r="J5" s="2" t="s">
        <v>5</v>
      </c>
      <c r="K5" s="63" t="str">
        <f>'22.08 Musita-Lumino'!K5:L5</f>
        <v>Nusulah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Musita-Lumino'!D6:E6</f>
        <v>Musita</v>
      </c>
      <c r="E6" s="64"/>
      <c r="F6" s="2" t="s">
        <v>2</v>
      </c>
      <c r="G6" s="63" t="str">
        <f>'22.08 Musita-Lumino'!G6:H6</f>
        <v>Lumino</v>
      </c>
      <c r="H6" s="64"/>
      <c r="J6" s="2" t="s">
        <v>21</v>
      </c>
      <c r="K6" s="63" t="str">
        <f>'26.08 Lumino-Musita-24h'!K6:L6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1</v>
      </c>
      <c r="F10" s="50">
        <v>0</v>
      </c>
      <c r="G10" s="50">
        <v>1</v>
      </c>
      <c r="H10" s="50">
        <v>0</v>
      </c>
      <c r="I10" s="50">
        <v>2</v>
      </c>
      <c r="J10" s="50">
        <v>1</v>
      </c>
      <c r="K10" s="50">
        <v>6</v>
      </c>
      <c r="L10" s="50">
        <v>0</v>
      </c>
      <c r="M10" s="50">
        <v>29</v>
      </c>
      <c r="N10" s="50">
        <v>0</v>
      </c>
      <c r="O10" s="15">
        <f t="shared" ref="O10:O57" si="0">SUM(C10:L10,N10)</f>
        <v>15</v>
      </c>
      <c r="P10" s="15">
        <f t="shared" ref="P10:P57" si="1">SUM(C10:N10)</f>
        <v>44</v>
      </c>
      <c r="R10" s="1" t="s">
        <v>6</v>
      </c>
      <c r="S10" s="17">
        <f t="shared" ref="S10:AF10" si="2">SUM(C10:C13)</f>
        <v>11</v>
      </c>
      <c r="T10" s="17">
        <f t="shared" si="2"/>
        <v>6</v>
      </c>
      <c r="U10" s="17">
        <f t="shared" si="2"/>
        <v>2</v>
      </c>
      <c r="V10" s="17">
        <f t="shared" si="2"/>
        <v>1</v>
      </c>
      <c r="W10" s="17">
        <f t="shared" si="2"/>
        <v>1</v>
      </c>
      <c r="X10" s="17">
        <f t="shared" si="2"/>
        <v>0</v>
      </c>
      <c r="Y10" s="17">
        <f t="shared" si="2"/>
        <v>9</v>
      </c>
      <c r="Z10" s="17">
        <f t="shared" si="2"/>
        <v>11</v>
      </c>
      <c r="AA10" s="17">
        <f t="shared" si="2"/>
        <v>9</v>
      </c>
      <c r="AB10" s="17">
        <f t="shared" si="2"/>
        <v>0</v>
      </c>
      <c r="AC10" s="17">
        <f t="shared" si="2"/>
        <v>160</v>
      </c>
      <c r="AD10" s="17">
        <f t="shared" si="2"/>
        <v>2</v>
      </c>
      <c r="AE10" s="31">
        <f t="shared" si="2"/>
        <v>52</v>
      </c>
      <c r="AF10" s="31">
        <f t="shared" si="2"/>
        <v>212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2</v>
      </c>
      <c r="J11" s="50">
        <v>2</v>
      </c>
      <c r="K11" s="50">
        <v>0</v>
      </c>
      <c r="L11" s="50">
        <v>0</v>
      </c>
      <c r="M11" s="50">
        <v>33</v>
      </c>
      <c r="N11" s="50">
        <v>2</v>
      </c>
      <c r="O11" s="15">
        <f t="shared" si="0"/>
        <v>7</v>
      </c>
      <c r="P11" s="15">
        <f t="shared" si="1"/>
        <v>40</v>
      </c>
      <c r="R11" s="1" t="s">
        <v>7</v>
      </c>
      <c r="S11" s="17">
        <f t="shared" ref="S11:AF11" si="3">SUM(C14:C17)</f>
        <v>16</v>
      </c>
      <c r="T11" s="17">
        <f t="shared" si="3"/>
        <v>8</v>
      </c>
      <c r="U11" s="17">
        <f t="shared" si="3"/>
        <v>4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7</v>
      </c>
      <c r="AA11" s="17">
        <f t="shared" si="3"/>
        <v>4</v>
      </c>
      <c r="AB11" s="17">
        <f t="shared" si="3"/>
        <v>5</v>
      </c>
      <c r="AC11" s="17">
        <f t="shared" si="3"/>
        <v>159</v>
      </c>
      <c r="AD11" s="17">
        <f t="shared" si="3"/>
        <v>1</v>
      </c>
      <c r="AE11" s="31">
        <f t="shared" si="3"/>
        <v>55</v>
      </c>
      <c r="AF11" s="31">
        <f t="shared" si="3"/>
        <v>214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2</v>
      </c>
      <c r="J12" s="50">
        <v>5</v>
      </c>
      <c r="K12" s="50">
        <v>1</v>
      </c>
      <c r="L12" s="50">
        <v>0</v>
      </c>
      <c r="M12" s="50">
        <v>51</v>
      </c>
      <c r="N12" s="50">
        <v>0</v>
      </c>
      <c r="O12" s="15">
        <f t="shared" si="0"/>
        <v>13</v>
      </c>
      <c r="P12" s="15">
        <f t="shared" si="1"/>
        <v>64</v>
      </c>
      <c r="R12" s="1" t="s">
        <v>8</v>
      </c>
      <c r="S12" s="17">
        <f t="shared" ref="S12:AF12" si="4">SUM(C18:C21)</f>
        <v>13</v>
      </c>
      <c r="T12" s="17">
        <f t="shared" si="4"/>
        <v>13</v>
      </c>
      <c r="U12" s="17">
        <f t="shared" si="4"/>
        <v>5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12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186</v>
      </c>
      <c r="AD12" s="17">
        <f t="shared" si="4"/>
        <v>0</v>
      </c>
      <c r="AE12" s="31">
        <f t="shared" si="4"/>
        <v>48</v>
      </c>
      <c r="AF12" s="31">
        <f t="shared" si="4"/>
        <v>234</v>
      </c>
    </row>
    <row r="13" spans="2:32" ht="23.1" customHeight="1" x14ac:dyDescent="0.25">
      <c r="B13" s="23" t="s">
        <v>40</v>
      </c>
      <c r="C13" s="50">
        <v>4</v>
      </c>
      <c r="D13" s="50">
        <v>4</v>
      </c>
      <c r="E13" s="50">
        <v>0</v>
      </c>
      <c r="F13" s="50">
        <v>1</v>
      </c>
      <c r="G13" s="50">
        <v>0</v>
      </c>
      <c r="H13" s="50">
        <v>0</v>
      </c>
      <c r="I13" s="50">
        <v>3</v>
      </c>
      <c r="J13" s="50">
        <v>3</v>
      </c>
      <c r="K13" s="50">
        <v>2</v>
      </c>
      <c r="L13" s="50">
        <v>0</v>
      </c>
      <c r="M13" s="50">
        <v>47</v>
      </c>
      <c r="N13" s="50">
        <v>0</v>
      </c>
      <c r="O13" s="15">
        <f t="shared" si="0"/>
        <v>17</v>
      </c>
      <c r="P13" s="15">
        <f t="shared" si="1"/>
        <v>64</v>
      </c>
      <c r="R13" s="1" t="s">
        <v>9</v>
      </c>
      <c r="S13" s="17">
        <f t="shared" ref="S13:AF13" si="5">SUM(C22:C25)</f>
        <v>17</v>
      </c>
      <c r="T13" s="17">
        <f t="shared" si="5"/>
        <v>8</v>
      </c>
      <c r="U13" s="17">
        <f t="shared" si="5"/>
        <v>2</v>
      </c>
      <c r="V13" s="17">
        <f t="shared" si="5"/>
        <v>5</v>
      </c>
      <c r="W13" s="17">
        <f t="shared" si="5"/>
        <v>0</v>
      </c>
      <c r="X13" s="17">
        <f t="shared" si="5"/>
        <v>1</v>
      </c>
      <c r="Y13" s="17">
        <f t="shared" si="5"/>
        <v>6</v>
      </c>
      <c r="Z13" s="17">
        <f t="shared" si="5"/>
        <v>5</v>
      </c>
      <c r="AA13" s="17">
        <f t="shared" si="5"/>
        <v>1</v>
      </c>
      <c r="AB13" s="17">
        <f t="shared" si="5"/>
        <v>2</v>
      </c>
      <c r="AC13" s="17">
        <f t="shared" si="5"/>
        <v>205</v>
      </c>
      <c r="AD13" s="17">
        <f t="shared" si="5"/>
        <v>0</v>
      </c>
      <c r="AE13" s="31">
        <f t="shared" si="5"/>
        <v>47</v>
      </c>
      <c r="AF13" s="31">
        <f t="shared" si="5"/>
        <v>252</v>
      </c>
    </row>
    <row r="14" spans="2:32" ht="23.1" customHeight="1" x14ac:dyDescent="0.25">
      <c r="B14" s="23" t="s">
        <v>41</v>
      </c>
      <c r="C14" s="50">
        <v>5</v>
      </c>
      <c r="D14" s="50">
        <v>3</v>
      </c>
      <c r="E14" s="50">
        <v>2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1</v>
      </c>
      <c r="M14" s="50">
        <v>40</v>
      </c>
      <c r="N14" s="50">
        <v>0</v>
      </c>
      <c r="O14" s="15">
        <f t="shared" si="0"/>
        <v>13</v>
      </c>
      <c r="P14" s="15">
        <f t="shared" si="1"/>
        <v>53</v>
      </c>
      <c r="R14" s="1" t="s">
        <v>10</v>
      </c>
      <c r="S14" s="17">
        <f t="shared" ref="S14:AF14" si="6">SUM(C26:C29)</f>
        <v>13</v>
      </c>
      <c r="T14" s="17">
        <f t="shared" si="6"/>
        <v>2</v>
      </c>
      <c r="U14" s="17">
        <f t="shared" si="6"/>
        <v>4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7</v>
      </c>
      <c r="AA14" s="17">
        <f t="shared" si="6"/>
        <v>4</v>
      </c>
      <c r="AB14" s="17">
        <f t="shared" si="6"/>
        <v>0</v>
      </c>
      <c r="AC14" s="17">
        <f t="shared" si="6"/>
        <v>186</v>
      </c>
      <c r="AD14" s="17">
        <f t="shared" si="6"/>
        <v>0</v>
      </c>
      <c r="AE14" s="31">
        <f t="shared" si="6"/>
        <v>45</v>
      </c>
      <c r="AF14" s="31">
        <f t="shared" si="6"/>
        <v>231</v>
      </c>
    </row>
    <row r="15" spans="2:32" ht="23.1" customHeight="1" x14ac:dyDescent="0.25">
      <c r="B15" s="23" t="s">
        <v>42</v>
      </c>
      <c r="C15" s="50">
        <v>7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2</v>
      </c>
      <c r="K15" s="50">
        <v>3</v>
      </c>
      <c r="L15" s="50">
        <v>2</v>
      </c>
      <c r="M15" s="50">
        <v>42</v>
      </c>
      <c r="N15" s="50">
        <v>0</v>
      </c>
      <c r="O15" s="15">
        <f t="shared" si="0"/>
        <v>16</v>
      </c>
      <c r="P15" s="15">
        <f t="shared" si="1"/>
        <v>58</v>
      </c>
      <c r="R15" s="1" t="s">
        <v>11</v>
      </c>
      <c r="S15" s="17">
        <f t="shared" ref="S15:AF15" si="7">SUM(C30:C33)</f>
        <v>19</v>
      </c>
      <c r="T15" s="17">
        <f t="shared" si="7"/>
        <v>8</v>
      </c>
      <c r="U15" s="17">
        <f t="shared" si="7"/>
        <v>3</v>
      </c>
      <c r="V15" s="17">
        <f t="shared" si="7"/>
        <v>4</v>
      </c>
      <c r="W15" s="17">
        <f t="shared" si="7"/>
        <v>1</v>
      </c>
      <c r="X15" s="17">
        <f t="shared" si="7"/>
        <v>0</v>
      </c>
      <c r="Y15" s="17">
        <f t="shared" si="7"/>
        <v>10</v>
      </c>
      <c r="Z15" s="17">
        <f t="shared" si="7"/>
        <v>9</v>
      </c>
      <c r="AA15" s="17">
        <f t="shared" si="7"/>
        <v>3</v>
      </c>
      <c r="AB15" s="17">
        <f t="shared" si="7"/>
        <v>3</v>
      </c>
      <c r="AC15" s="17">
        <f t="shared" si="7"/>
        <v>202</v>
      </c>
      <c r="AD15" s="17">
        <f t="shared" si="7"/>
        <v>0</v>
      </c>
      <c r="AE15" s="31">
        <f t="shared" si="7"/>
        <v>60</v>
      </c>
      <c r="AF15" s="31">
        <f t="shared" si="7"/>
        <v>262</v>
      </c>
    </row>
    <row r="16" spans="2:32" ht="23.1" customHeight="1" x14ac:dyDescent="0.25">
      <c r="B16" s="23" t="s">
        <v>43</v>
      </c>
      <c r="C16" s="50">
        <v>2</v>
      </c>
      <c r="D16" s="50">
        <v>2</v>
      </c>
      <c r="E16" s="50">
        <v>2</v>
      </c>
      <c r="F16" s="50">
        <v>1</v>
      </c>
      <c r="G16" s="50">
        <v>0</v>
      </c>
      <c r="H16" s="50">
        <v>0</v>
      </c>
      <c r="I16" s="50">
        <v>4</v>
      </c>
      <c r="J16" s="50">
        <v>4</v>
      </c>
      <c r="K16" s="50">
        <v>0</v>
      </c>
      <c r="L16" s="50">
        <v>0</v>
      </c>
      <c r="M16" s="50">
        <v>45</v>
      </c>
      <c r="N16" s="50">
        <v>0</v>
      </c>
      <c r="O16" s="15">
        <f t="shared" si="0"/>
        <v>15</v>
      </c>
      <c r="P16" s="15">
        <f t="shared" si="1"/>
        <v>60</v>
      </c>
      <c r="R16" s="1" t="s">
        <v>12</v>
      </c>
      <c r="S16" s="17">
        <f t="shared" ref="S16:AF16" si="8">SUM(C34:C37)</f>
        <v>16</v>
      </c>
      <c r="T16" s="17">
        <f t="shared" si="8"/>
        <v>4</v>
      </c>
      <c r="U16" s="17">
        <f t="shared" si="8"/>
        <v>6</v>
      </c>
      <c r="V16" s="17">
        <f t="shared" si="8"/>
        <v>10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10</v>
      </c>
      <c r="AA16" s="17">
        <f t="shared" si="8"/>
        <v>2</v>
      </c>
      <c r="AB16" s="17">
        <f t="shared" si="8"/>
        <v>0</v>
      </c>
      <c r="AC16" s="17">
        <f t="shared" si="8"/>
        <v>188</v>
      </c>
      <c r="AD16" s="17">
        <f t="shared" si="8"/>
        <v>0</v>
      </c>
      <c r="AE16" s="31">
        <f t="shared" si="8"/>
        <v>56</v>
      </c>
      <c r="AF16" s="31">
        <f t="shared" si="8"/>
        <v>244</v>
      </c>
    </row>
    <row r="17" spans="2:32" ht="23.1" customHeight="1" x14ac:dyDescent="0.25">
      <c r="B17" s="23" t="s">
        <v>44</v>
      </c>
      <c r="C17" s="50">
        <v>2</v>
      </c>
      <c r="D17" s="50">
        <v>2</v>
      </c>
      <c r="E17" s="50">
        <v>0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2</v>
      </c>
      <c r="M17" s="50">
        <v>32</v>
      </c>
      <c r="N17" s="50">
        <v>1</v>
      </c>
      <c r="O17" s="15">
        <f t="shared" si="0"/>
        <v>11</v>
      </c>
      <c r="P17" s="15">
        <f t="shared" si="1"/>
        <v>43</v>
      </c>
      <c r="R17" s="1" t="s">
        <v>13</v>
      </c>
      <c r="S17" s="17">
        <f t="shared" ref="S17:AF17" si="9">SUM(C38:C41)</f>
        <v>14</v>
      </c>
      <c r="T17" s="17">
        <f t="shared" si="9"/>
        <v>5</v>
      </c>
      <c r="U17" s="17">
        <f t="shared" si="9"/>
        <v>6</v>
      </c>
      <c r="V17" s="17">
        <f t="shared" si="9"/>
        <v>2</v>
      </c>
      <c r="W17" s="17">
        <f t="shared" si="9"/>
        <v>1</v>
      </c>
      <c r="X17" s="17">
        <f t="shared" si="9"/>
        <v>1</v>
      </c>
      <c r="Y17" s="17">
        <f t="shared" si="9"/>
        <v>10</v>
      </c>
      <c r="Z17" s="17">
        <f t="shared" si="9"/>
        <v>6</v>
      </c>
      <c r="AA17" s="17">
        <f t="shared" si="9"/>
        <v>1</v>
      </c>
      <c r="AB17" s="17">
        <f t="shared" si="9"/>
        <v>2</v>
      </c>
      <c r="AC17" s="17">
        <f t="shared" si="9"/>
        <v>162</v>
      </c>
      <c r="AD17" s="17">
        <f t="shared" si="9"/>
        <v>0</v>
      </c>
      <c r="AE17" s="31">
        <f t="shared" si="9"/>
        <v>48</v>
      </c>
      <c r="AF17" s="31">
        <f t="shared" si="9"/>
        <v>210</v>
      </c>
    </row>
    <row r="18" spans="2:32" ht="23.1" customHeight="1" x14ac:dyDescent="0.25">
      <c r="B18" s="23" t="s">
        <v>45</v>
      </c>
      <c r="C18" s="50">
        <v>2</v>
      </c>
      <c r="D18" s="50">
        <v>5</v>
      </c>
      <c r="E18" s="50">
        <v>0</v>
      </c>
      <c r="F18" s="50">
        <v>0</v>
      </c>
      <c r="G18" s="50">
        <v>0</v>
      </c>
      <c r="H18" s="50">
        <v>0</v>
      </c>
      <c r="I18" s="50">
        <v>7</v>
      </c>
      <c r="J18" s="50">
        <v>0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14</v>
      </c>
      <c r="P18" s="15">
        <f t="shared" si="1"/>
        <v>49</v>
      </c>
      <c r="R18" s="1" t="s">
        <v>14</v>
      </c>
      <c r="S18" s="17">
        <f t="shared" ref="S18:AF18" si="10">SUM(C42:C45)</f>
        <v>19</v>
      </c>
      <c r="T18" s="17">
        <f t="shared" si="10"/>
        <v>3</v>
      </c>
      <c r="U18" s="17">
        <f t="shared" si="10"/>
        <v>10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13</v>
      </c>
      <c r="AA18" s="17">
        <f t="shared" si="10"/>
        <v>1</v>
      </c>
      <c r="AB18" s="17">
        <f t="shared" si="10"/>
        <v>2</v>
      </c>
      <c r="AC18" s="17">
        <f t="shared" si="10"/>
        <v>206</v>
      </c>
      <c r="AD18" s="17">
        <f t="shared" si="10"/>
        <v>0</v>
      </c>
      <c r="AE18" s="31">
        <f t="shared" si="10"/>
        <v>61</v>
      </c>
      <c r="AF18" s="31">
        <f t="shared" si="10"/>
        <v>267</v>
      </c>
    </row>
    <row r="19" spans="2:32" ht="23.1" customHeight="1" x14ac:dyDescent="0.25">
      <c r="B19" s="23" t="s">
        <v>46</v>
      </c>
      <c r="C19" s="50">
        <v>2</v>
      </c>
      <c r="D19" s="50">
        <v>3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2</v>
      </c>
      <c r="K19" s="50">
        <v>1</v>
      </c>
      <c r="L19" s="50">
        <v>0</v>
      </c>
      <c r="M19" s="50">
        <v>58</v>
      </c>
      <c r="N19" s="50">
        <v>0</v>
      </c>
      <c r="O19" s="15">
        <f t="shared" si="0"/>
        <v>9</v>
      </c>
      <c r="P19" s="15">
        <f t="shared" si="1"/>
        <v>67</v>
      </c>
      <c r="R19" s="1" t="s">
        <v>15</v>
      </c>
      <c r="S19" s="17">
        <f t="shared" ref="S19:AF19" si="11">SUM(C46:C49)</f>
        <v>21</v>
      </c>
      <c r="T19" s="17">
        <f t="shared" si="11"/>
        <v>6</v>
      </c>
      <c r="U19" s="17">
        <f t="shared" si="11"/>
        <v>3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13</v>
      </c>
      <c r="AA19" s="17">
        <f t="shared" si="11"/>
        <v>2</v>
      </c>
      <c r="AB19" s="17">
        <f t="shared" si="11"/>
        <v>2</v>
      </c>
      <c r="AC19" s="17">
        <f t="shared" si="11"/>
        <v>222</v>
      </c>
      <c r="AD19" s="17">
        <f t="shared" si="11"/>
        <v>0</v>
      </c>
      <c r="AE19" s="31">
        <f t="shared" si="11"/>
        <v>65</v>
      </c>
      <c r="AF19" s="31">
        <f t="shared" si="11"/>
        <v>287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1</v>
      </c>
      <c r="F20" s="50">
        <v>0</v>
      </c>
      <c r="G20" s="50">
        <v>0</v>
      </c>
      <c r="H20" s="50">
        <v>0</v>
      </c>
      <c r="I20" s="50">
        <v>4</v>
      </c>
      <c r="J20" s="50">
        <v>1</v>
      </c>
      <c r="K20" s="50">
        <v>0</v>
      </c>
      <c r="L20" s="50">
        <v>0</v>
      </c>
      <c r="M20" s="50">
        <v>49</v>
      </c>
      <c r="N20" s="50">
        <v>0</v>
      </c>
      <c r="O20" s="15">
        <f t="shared" si="0"/>
        <v>11</v>
      </c>
      <c r="P20" s="15">
        <f t="shared" si="1"/>
        <v>60</v>
      </c>
      <c r="R20" s="1" t="s">
        <v>16</v>
      </c>
      <c r="S20" s="17">
        <f t="shared" ref="S20:AF20" si="12">SUM(C50:C53)</f>
        <v>19</v>
      </c>
      <c r="T20" s="17">
        <f t="shared" si="12"/>
        <v>7</v>
      </c>
      <c r="U20" s="17">
        <f t="shared" si="12"/>
        <v>8</v>
      </c>
      <c r="V20" s="17">
        <f t="shared" si="12"/>
        <v>7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14</v>
      </c>
      <c r="AA20" s="17">
        <f t="shared" si="12"/>
        <v>3</v>
      </c>
      <c r="AB20" s="17">
        <f t="shared" si="12"/>
        <v>0</v>
      </c>
      <c r="AC20" s="17">
        <f t="shared" si="12"/>
        <v>241</v>
      </c>
      <c r="AD20" s="17">
        <f t="shared" si="12"/>
        <v>0</v>
      </c>
      <c r="AE20" s="31">
        <f t="shared" si="12"/>
        <v>62</v>
      </c>
      <c r="AF20" s="31">
        <f t="shared" si="12"/>
        <v>303</v>
      </c>
    </row>
    <row r="21" spans="2:32" ht="23.1" customHeight="1" x14ac:dyDescent="0.25">
      <c r="B21" s="23" t="s">
        <v>48</v>
      </c>
      <c r="C21" s="50">
        <v>6</v>
      </c>
      <c r="D21" s="50">
        <v>3</v>
      </c>
      <c r="E21" s="50">
        <v>3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44</v>
      </c>
      <c r="N21" s="50">
        <v>0</v>
      </c>
      <c r="O21" s="15">
        <f t="shared" si="0"/>
        <v>14</v>
      </c>
      <c r="P21" s="15">
        <f t="shared" si="1"/>
        <v>58</v>
      </c>
      <c r="R21" s="36" t="s">
        <v>20</v>
      </c>
      <c r="S21" s="34">
        <f t="shared" ref="S21:AF21" si="13">SUM(C54:C57)</f>
        <v>5</v>
      </c>
      <c r="T21" s="17">
        <f t="shared" si="13"/>
        <v>6</v>
      </c>
      <c r="U21" s="17">
        <f t="shared" si="13"/>
        <v>4</v>
      </c>
      <c r="V21" s="17">
        <f t="shared" si="13"/>
        <v>10</v>
      </c>
      <c r="W21" s="17">
        <f t="shared" si="13"/>
        <v>2</v>
      </c>
      <c r="X21" s="17">
        <f t="shared" si="13"/>
        <v>0</v>
      </c>
      <c r="Y21" s="17">
        <f t="shared" si="13"/>
        <v>9</v>
      </c>
      <c r="Z21" s="17">
        <f t="shared" si="13"/>
        <v>9</v>
      </c>
      <c r="AA21" s="17">
        <f t="shared" si="13"/>
        <v>6</v>
      </c>
      <c r="AB21" s="17">
        <f t="shared" si="13"/>
        <v>1</v>
      </c>
      <c r="AC21" s="17">
        <f t="shared" si="13"/>
        <v>129</v>
      </c>
      <c r="AD21" s="17">
        <f t="shared" si="13"/>
        <v>0</v>
      </c>
      <c r="AE21" s="31">
        <f t="shared" si="13"/>
        <v>52</v>
      </c>
      <c r="AF21" s="31">
        <f t="shared" si="13"/>
        <v>181</v>
      </c>
    </row>
    <row r="22" spans="2:32" ht="23.1" customHeight="1" x14ac:dyDescent="0.25">
      <c r="B22" s="23" t="s">
        <v>49</v>
      </c>
      <c r="C22" s="50">
        <v>9</v>
      </c>
      <c r="D22" s="50">
        <v>4</v>
      </c>
      <c r="E22" s="50">
        <v>0</v>
      </c>
      <c r="F22" s="50">
        <v>2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47</v>
      </c>
      <c r="N22" s="50">
        <v>0</v>
      </c>
      <c r="O22" s="15">
        <f t="shared" si="0"/>
        <v>17</v>
      </c>
      <c r="P22" s="15">
        <f t="shared" si="1"/>
        <v>64</v>
      </c>
      <c r="R22" s="38" t="s">
        <v>90</v>
      </c>
      <c r="S22" s="39">
        <f>MAX(S10:S12)</f>
        <v>16</v>
      </c>
      <c r="T22" s="39">
        <f t="shared" ref="T22:AF22" si="14">MAX(T10:T12)</f>
        <v>13</v>
      </c>
      <c r="U22" s="39">
        <f t="shared" si="14"/>
        <v>5</v>
      </c>
      <c r="V22" s="39">
        <f t="shared" si="14"/>
        <v>4</v>
      </c>
      <c r="W22" s="39">
        <f t="shared" si="14"/>
        <v>1</v>
      </c>
      <c r="X22" s="39">
        <f t="shared" si="14"/>
        <v>0</v>
      </c>
      <c r="Y22" s="39">
        <f t="shared" si="14"/>
        <v>12</v>
      </c>
      <c r="Z22" s="39">
        <f t="shared" si="14"/>
        <v>11</v>
      </c>
      <c r="AA22" s="39">
        <f t="shared" si="14"/>
        <v>9</v>
      </c>
      <c r="AB22" s="39">
        <f t="shared" si="14"/>
        <v>5</v>
      </c>
      <c r="AC22" s="39">
        <f t="shared" si="14"/>
        <v>186</v>
      </c>
      <c r="AD22" s="39">
        <f t="shared" si="14"/>
        <v>2</v>
      </c>
      <c r="AE22" s="40">
        <f t="shared" si="14"/>
        <v>55</v>
      </c>
      <c r="AF22" s="40">
        <f t="shared" si="14"/>
        <v>234</v>
      </c>
    </row>
    <row r="23" spans="2:32" ht="23.1" customHeight="1" x14ac:dyDescent="0.25">
      <c r="B23" s="23" t="s">
        <v>50</v>
      </c>
      <c r="C23" s="50">
        <v>4</v>
      </c>
      <c r="D23" s="50">
        <v>1</v>
      </c>
      <c r="E23" s="50">
        <v>2</v>
      </c>
      <c r="F23" s="50">
        <v>2</v>
      </c>
      <c r="G23" s="50">
        <v>0</v>
      </c>
      <c r="H23" s="50">
        <v>0</v>
      </c>
      <c r="I23" s="50">
        <v>3</v>
      </c>
      <c r="J23" s="50">
        <v>1</v>
      </c>
      <c r="K23" s="50">
        <v>0</v>
      </c>
      <c r="L23" s="50">
        <v>0</v>
      </c>
      <c r="M23" s="50">
        <v>63</v>
      </c>
      <c r="N23" s="50">
        <v>0</v>
      </c>
      <c r="O23" s="15">
        <f t="shared" si="0"/>
        <v>13</v>
      </c>
      <c r="P23" s="15">
        <f t="shared" si="1"/>
        <v>76</v>
      </c>
      <c r="R23" s="38" t="s">
        <v>91</v>
      </c>
      <c r="S23" s="39">
        <f>MAX(S13:S18)</f>
        <v>19</v>
      </c>
      <c r="T23" s="39">
        <f t="shared" ref="T23:AF23" si="15">MAX(T13:T18)</f>
        <v>8</v>
      </c>
      <c r="U23" s="39">
        <f t="shared" si="15"/>
        <v>10</v>
      </c>
      <c r="V23" s="39">
        <f t="shared" si="15"/>
        <v>10</v>
      </c>
      <c r="W23" s="39">
        <f t="shared" si="15"/>
        <v>1</v>
      </c>
      <c r="X23" s="39">
        <f t="shared" si="15"/>
        <v>1</v>
      </c>
      <c r="Y23" s="39">
        <f t="shared" si="15"/>
        <v>10</v>
      </c>
      <c r="Z23" s="39">
        <f t="shared" si="15"/>
        <v>13</v>
      </c>
      <c r="AA23" s="39">
        <f t="shared" si="15"/>
        <v>4</v>
      </c>
      <c r="AB23" s="39">
        <f t="shared" si="15"/>
        <v>3</v>
      </c>
      <c r="AC23" s="39">
        <f t="shared" si="15"/>
        <v>206</v>
      </c>
      <c r="AD23" s="39">
        <f t="shared" si="15"/>
        <v>0</v>
      </c>
      <c r="AE23" s="40">
        <f t="shared" si="15"/>
        <v>61</v>
      </c>
      <c r="AF23" s="40">
        <f t="shared" si="15"/>
        <v>267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39</v>
      </c>
      <c r="N24" s="50">
        <v>0</v>
      </c>
      <c r="O24" s="15">
        <f t="shared" si="0"/>
        <v>5</v>
      </c>
      <c r="P24" s="15">
        <f t="shared" si="1"/>
        <v>44</v>
      </c>
      <c r="R24" s="38" t="s">
        <v>92</v>
      </c>
      <c r="S24" s="39">
        <f>MAX(S19:S21)</f>
        <v>21</v>
      </c>
      <c r="T24" s="39">
        <f t="shared" ref="T24:AF24" si="16">MAX(T19:T21)</f>
        <v>7</v>
      </c>
      <c r="U24" s="39">
        <f t="shared" si="16"/>
        <v>8</v>
      </c>
      <c r="V24" s="39">
        <f t="shared" si="16"/>
        <v>10</v>
      </c>
      <c r="W24" s="39">
        <f t="shared" si="16"/>
        <v>2</v>
      </c>
      <c r="X24" s="39">
        <f t="shared" si="16"/>
        <v>0</v>
      </c>
      <c r="Y24" s="39">
        <f t="shared" si="16"/>
        <v>12</v>
      </c>
      <c r="Z24" s="39">
        <f t="shared" si="16"/>
        <v>14</v>
      </c>
      <c r="AA24" s="39">
        <f t="shared" si="16"/>
        <v>6</v>
      </c>
      <c r="AB24" s="39">
        <f t="shared" si="16"/>
        <v>2</v>
      </c>
      <c r="AC24" s="39">
        <f t="shared" si="16"/>
        <v>241</v>
      </c>
      <c r="AD24" s="39">
        <f t="shared" si="16"/>
        <v>0</v>
      </c>
      <c r="AE24" s="40">
        <f t="shared" si="16"/>
        <v>65</v>
      </c>
      <c r="AF24" s="40">
        <f t="shared" si="16"/>
        <v>303</v>
      </c>
    </row>
    <row r="25" spans="2:32" ht="23.1" customHeight="1" x14ac:dyDescent="0.25">
      <c r="B25" s="23" t="s">
        <v>52</v>
      </c>
      <c r="C25" s="50">
        <v>2</v>
      </c>
      <c r="D25" s="50">
        <v>3</v>
      </c>
      <c r="E25" s="50">
        <v>0</v>
      </c>
      <c r="F25" s="50">
        <v>0</v>
      </c>
      <c r="G25" s="50">
        <v>0</v>
      </c>
      <c r="H25" s="50">
        <v>1</v>
      </c>
      <c r="I25" s="50">
        <v>0</v>
      </c>
      <c r="J25" s="50">
        <v>3</v>
      </c>
      <c r="K25" s="50">
        <v>1</v>
      </c>
      <c r="L25" s="50">
        <v>2</v>
      </c>
      <c r="M25" s="50">
        <v>56</v>
      </c>
      <c r="N25" s="50">
        <v>0</v>
      </c>
      <c r="O25" s="15">
        <f t="shared" si="0"/>
        <v>12</v>
      </c>
      <c r="P25" s="15">
        <f t="shared" si="1"/>
        <v>68</v>
      </c>
      <c r="R25" s="37" t="s">
        <v>85</v>
      </c>
      <c r="S25" s="35">
        <f t="shared" ref="S25:AF25" si="17">SUM(S10:S12)</f>
        <v>40</v>
      </c>
      <c r="T25" s="16">
        <f t="shared" si="17"/>
        <v>27</v>
      </c>
      <c r="U25" s="16">
        <f t="shared" si="17"/>
        <v>11</v>
      </c>
      <c r="V25" s="16">
        <f t="shared" si="17"/>
        <v>6</v>
      </c>
      <c r="W25" s="16">
        <f t="shared" si="17"/>
        <v>1</v>
      </c>
      <c r="X25" s="16">
        <f t="shared" si="17"/>
        <v>0</v>
      </c>
      <c r="Y25" s="16">
        <f t="shared" si="17"/>
        <v>27</v>
      </c>
      <c r="Z25" s="16">
        <f t="shared" si="17"/>
        <v>21</v>
      </c>
      <c r="AA25" s="16">
        <f t="shared" si="17"/>
        <v>14</v>
      </c>
      <c r="AB25" s="16">
        <f t="shared" si="17"/>
        <v>5</v>
      </c>
      <c r="AC25" s="16">
        <f t="shared" si="17"/>
        <v>505</v>
      </c>
      <c r="AD25" s="16">
        <f t="shared" si="17"/>
        <v>3</v>
      </c>
      <c r="AE25" s="32">
        <f t="shared" si="17"/>
        <v>155</v>
      </c>
      <c r="AF25" s="32">
        <f t="shared" si="17"/>
        <v>660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3</v>
      </c>
      <c r="J26" s="50">
        <v>2</v>
      </c>
      <c r="K26" s="50">
        <v>2</v>
      </c>
      <c r="L26" s="50">
        <v>0</v>
      </c>
      <c r="M26" s="50">
        <v>57</v>
      </c>
      <c r="N26" s="50">
        <v>0</v>
      </c>
      <c r="O26" s="15">
        <f t="shared" si="0"/>
        <v>13</v>
      </c>
      <c r="P26" s="15">
        <f t="shared" si="1"/>
        <v>70</v>
      </c>
      <c r="R26" s="28" t="s">
        <v>86</v>
      </c>
      <c r="S26" s="16">
        <f t="shared" ref="S26:AF26" si="18">SUM(S13:S18)</f>
        <v>98</v>
      </c>
      <c r="T26" s="16">
        <f t="shared" si="18"/>
        <v>30</v>
      </c>
      <c r="U26" s="16">
        <f t="shared" si="18"/>
        <v>31</v>
      </c>
      <c r="V26" s="16">
        <f t="shared" si="18"/>
        <v>35</v>
      </c>
      <c r="W26" s="16">
        <f t="shared" si="18"/>
        <v>3</v>
      </c>
      <c r="X26" s="16">
        <f t="shared" si="18"/>
        <v>2</v>
      </c>
      <c r="Y26" s="16">
        <f t="shared" si="18"/>
        <v>47</v>
      </c>
      <c r="Z26" s="16">
        <f t="shared" si="18"/>
        <v>50</v>
      </c>
      <c r="AA26" s="16">
        <f t="shared" si="18"/>
        <v>12</v>
      </c>
      <c r="AB26" s="16">
        <f t="shared" si="18"/>
        <v>9</v>
      </c>
      <c r="AC26" s="16">
        <f t="shared" si="18"/>
        <v>1149</v>
      </c>
      <c r="AD26" s="16">
        <f t="shared" si="18"/>
        <v>0</v>
      </c>
      <c r="AE26" s="32">
        <f t="shared" si="18"/>
        <v>317</v>
      </c>
      <c r="AF26" s="32">
        <f t="shared" si="18"/>
        <v>1466</v>
      </c>
    </row>
    <row r="27" spans="2:32" ht="23.1" customHeight="1" x14ac:dyDescent="0.25">
      <c r="B27" s="23" t="s">
        <v>54</v>
      </c>
      <c r="C27" s="50">
        <v>3</v>
      </c>
      <c r="D27" s="50">
        <v>1</v>
      </c>
      <c r="E27" s="50">
        <v>2</v>
      </c>
      <c r="F27" s="50">
        <v>2</v>
      </c>
      <c r="G27" s="50">
        <v>0</v>
      </c>
      <c r="H27" s="50">
        <v>0</v>
      </c>
      <c r="I27" s="50">
        <v>0</v>
      </c>
      <c r="J27" s="50">
        <v>4</v>
      </c>
      <c r="K27" s="50">
        <v>2</v>
      </c>
      <c r="L27" s="50">
        <v>0</v>
      </c>
      <c r="M27" s="50">
        <v>42</v>
      </c>
      <c r="N27" s="50">
        <v>0</v>
      </c>
      <c r="O27" s="15">
        <f t="shared" si="0"/>
        <v>14</v>
      </c>
      <c r="P27" s="15">
        <f t="shared" si="1"/>
        <v>56</v>
      </c>
      <c r="R27" s="29" t="s">
        <v>87</v>
      </c>
      <c r="S27" s="16">
        <f t="shared" ref="S27:AF27" si="19">SUM(S19:S21)</f>
        <v>45</v>
      </c>
      <c r="T27" s="16">
        <f t="shared" si="19"/>
        <v>19</v>
      </c>
      <c r="U27" s="16">
        <f t="shared" si="19"/>
        <v>15</v>
      </c>
      <c r="V27" s="16">
        <f t="shared" si="19"/>
        <v>23</v>
      </c>
      <c r="W27" s="16">
        <f t="shared" si="19"/>
        <v>3</v>
      </c>
      <c r="X27" s="16">
        <f t="shared" si="19"/>
        <v>0</v>
      </c>
      <c r="Y27" s="16">
        <f t="shared" si="19"/>
        <v>24</v>
      </c>
      <c r="Z27" s="16">
        <f t="shared" si="19"/>
        <v>36</v>
      </c>
      <c r="AA27" s="16">
        <f t="shared" si="19"/>
        <v>11</v>
      </c>
      <c r="AB27" s="16">
        <f t="shared" si="19"/>
        <v>3</v>
      </c>
      <c r="AC27" s="16">
        <f t="shared" si="19"/>
        <v>592</v>
      </c>
      <c r="AD27" s="16">
        <f t="shared" si="19"/>
        <v>0</v>
      </c>
      <c r="AE27" s="32">
        <f t="shared" si="19"/>
        <v>179</v>
      </c>
      <c r="AF27" s="32">
        <f t="shared" si="19"/>
        <v>771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0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32</v>
      </c>
      <c r="N28" s="50">
        <v>0</v>
      </c>
      <c r="O28" s="15">
        <f t="shared" si="0"/>
        <v>5</v>
      </c>
      <c r="P28" s="15">
        <f t="shared" si="1"/>
        <v>37</v>
      </c>
      <c r="R28" s="5" t="s">
        <v>17</v>
      </c>
      <c r="S28" s="16">
        <f t="shared" ref="S28:AF28" si="20">SUM(S10:S21)</f>
        <v>183</v>
      </c>
      <c r="T28" s="16">
        <f t="shared" si="20"/>
        <v>76</v>
      </c>
      <c r="U28" s="16">
        <f t="shared" si="20"/>
        <v>57</v>
      </c>
      <c r="V28" s="16">
        <f t="shared" si="20"/>
        <v>64</v>
      </c>
      <c r="W28" s="16">
        <f t="shared" si="20"/>
        <v>7</v>
      </c>
      <c r="X28" s="16">
        <f t="shared" si="20"/>
        <v>2</v>
      </c>
      <c r="Y28" s="16">
        <f t="shared" si="20"/>
        <v>98</v>
      </c>
      <c r="Z28" s="16">
        <f t="shared" si="20"/>
        <v>107</v>
      </c>
      <c r="AA28" s="16">
        <f t="shared" si="20"/>
        <v>37</v>
      </c>
      <c r="AB28" s="16">
        <f t="shared" si="20"/>
        <v>17</v>
      </c>
      <c r="AC28" s="16">
        <f t="shared" si="20"/>
        <v>2246</v>
      </c>
      <c r="AD28" s="16">
        <f t="shared" si="20"/>
        <v>3</v>
      </c>
      <c r="AE28" s="32">
        <f t="shared" si="20"/>
        <v>651</v>
      </c>
      <c r="AF28" s="32">
        <f t="shared" si="20"/>
        <v>2897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1</v>
      </c>
      <c r="F29" s="50">
        <v>3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55</v>
      </c>
      <c r="N29" s="50">
        <v>0</v>
      </c>
      <c r="O29" s="15">
        <f t="shared" si="0"/>
        <v>13</v>
      </c>
      <c r="P29" s="15">
        <f t="shared" si="1"/>
        <v>68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3</v>
      </c>
      <c r="E30" s="50">
        <v>2</v>
      </c>
      <c r="F30" s="50">
        <v>0</v>
      </c>
      <c r="G30" s="50">
        <v>0</v>
      </c>
      <c r="H30" s="50">
        <v>0</v>
      </c>
      <c r="I30" s="50">
        <v>4</v>
      </c>
      <c r="J30" s="50">
        <v>3</v>
      </c>
      <c r="K30" s="50">
        <v>1</v>
      </c>
      <c r="L30" s="50">
        <v>0</v>
      </c>
      <c r="M30" s="50">
        <v>43</v>
      </c>
      <c r="N30" s="50">
        <v>0</v>
      </c>
      <c r="O30" s="15">
        <f t="shared" si="0"/>
        <v>17</v>
      </c>
      <c r="P30" s="15">
        <f t="shared" si="1"/>
        <v>60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1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47</v>
      </c>
      <c r="N31" s="50">
        <v>0</v>
      </c>
      <c r="O31" s="15">
        <f t="shared" si="0"/>
        <v>7</v>
      </c>
      <c r="P31" s="15">
        <f t="shared" si="1"/>
        <v>54</v>
      </c>
    </row>
    <row r="32" spans="2:32" ht="23.1" customHeight="1" x14ac:dyDescent="0.25">
      <c r="B32" s="24" t="s">
        <v>59</v>
      </c>
      <c r="C32" s="50">
        <v>8</v>
      </c>
      <c r="D32" s="50">
        <v>2</v>
      </c>
      <c r="E32" s="50">
        <v>0</v>
      </c>
      <c r="F32" s="50">
        <v>3</v>
      </c>
      <c r="G32" s="50">
        <v>0</v>
      </c>
      <c r="H32" s="50">
        <v>0</v>
      </c>
      <c r="I32" s="50">
        <v>1</v>
      </c>
      <c r="J32" s="50">
        <v>3</v>
      </c>
      <c r="K32" s="50">
        <v>2</v>
      </c>
      <c r="L32" s="50">
        <v>1</v>
      </c>
      <c r="M32" s="50">
        <v>60</v>
      </c>
      <c r="N32" s="50">
        <v>0</v>
      </c>
      <c r="O32" s="15">
        <f t="shared" si="0"/>
        <v>20</v>
      </c>
      <c r="P32" s="15">
        <f t="shared" si="1"/>
        <v>80</v>
      </c>
    </row>
    <row r="33" spans="2:20" ht="23.1" customHeight="1" x14ac:dyDescent="0.25">
      <c r="B33" s="23" t="s">
        <v>60</v>
      </c>
      <c r="C33" s="50">
        <v>5</v>
      </c>
      <c r="D33" s="50">
        <v>3</v>
      </c>
      <c r="E33" s="50">
        <v>1</v>
      </c>
      <c r="F33" s="50">
        <v>1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2</v>
      </c>
      <c r="M33" s="50">
        <v>52</v>
      </c>
      <c r="N33" s="50">
        <v>0</v>
      </c>
      <c r="O33" s="15">
        <f t="shared" si="0"/>
        <v>16</v>
      </c>
      <c r="P33" s="15">
        <f t="shared" si="1"/>
        <v>68</v>
      </c>
    </row>
    <row r="34" spans="2:20" ht="23.1" customHeight="1" x14ac:dyDescent="0.25">
      <c r="B34" s="24" t="s">
        <v>61</v>
      </c>
      <c r="C34" s="50">
        <v>6</v>
      </c>
      <c r="D34" s="50">
        <v>4</v>
      </c>
      <c r="E34" s="50">
        <v>2</v>
      </c>
      <c r="F34" s="50">
        <v>3</v>
      </c>
      <c r="G34" s="50">
        <v>0</v>
      </c>
      <c r="H34" s="50">
        <v>0</v>
      </c>
      <c r="I34" s="50">
        <v>2</v>
      </c>
      <c r="J34" s="50">
        <v>3</v>
      </c>
      <c r="K34" s="50">
        <v>0</v>
      </c>
      <c r="L34" s="50">
        <v>0</v>
      </c>
      <c r="M34" s="50">
        <v>48</v>
      </c>
      <c r="N34" s="50">
        <v>0</v>
      </c>
      <c r="O34" s="15">
        <f t="shared" si="0"/>
        <v>20</v>
      </c>
      <c r="P34" s="15">
        <f t="shared" si="1"/>
        <v>68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2</v>
      </c>
      <c r="G35" s="50">
        <v>1</v>
      </c>
      <c r="H35" s="50">
        <v>0</v>
      </c>
      <c r="I35" s="50">
        <v>2</v>
      </c>
      <c r="J35" s="50">
        <v>3</v>
      </c>
      <c r="K35" s="50">
        <v>1</v>
      </c>
      <c r="L35" s="50">
        <v>0</v>
      </c>
      <c r="M35" s="50">
        <v>40</v>
      </c>
      <c r="N35" s="50">
        <v>0</v>
      </c>
      <c r="O35" s="15">
        <f t="shared" si="0"/>
        <v>13</v>
      </c>
      <c r="P35" s="15">
        <f t="shared" si="1"/>
        <v>53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2</v>
      </c>
      <c r="F36" s="50">
        <v>3</v>
      </c>
      <c r="G36" s="50">
        <v>0</v>
      </c>
      <c r="H36" s="50">
        <v>0</v>
      </c>
      <c r="I36" s="50">
        <v>3</v>
      </c>
      <c r="J36" s="50">
        <v>2</v>
      </c>
      <c r="K36" s="50">
        <v>1</v>
      </c>
      <c r="L36" s="50">
        <v>0</v>
      </c>
      <c r="M36" s="50">
        <v>60</v>
      </c>
      <c r="N36" s="50">
        <v>0</v>
      </c>
      <c r="O36" s="15">
        <f t="shared" si="0"/>
        <v>15</v>
      </c>
      <c r="P36" s="15">
        <f t="shared" si="1"/>
        <v>75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8</v>
      </c>
      <c r="P37" s="15">
        <f t="shared" si="1"/>
        <v>48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3</v>
      </c>
      <c r="F38" s="50">
        <v>0</v>
      </c>
      <c r="G38" s="50">
        <v>0</v>
      </c>
      <c r="H38" s="50">
        <v>0</v>
      </c>
      <c r="I38" s="50">
        <v>4</v>
      </c>
      <c r="J38" s="50">
        <v>1</v>
      </c>
      <c r="K38" s="50">
        <v>0</v>
      </c>
      <c r="L38" s="50">
        <v>0</v>
      </c>
      <c r="M38" s="50">
        <v>30</v>
      </c>
      <c r="N38" s="50">
        <v>0</v>
      </c>
      <c r="O38" s="15">
        <f t="shared" si="0"/>
        <v>10</v>
      </c>
      <c r="P38" s="15">
        <f t="shared" si="1"/>
        <v>40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1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1</v>
      </c>
      <c r="M39" s="50">
        <v>38</v>
      </c>
      <c r="N39" s="50">
        <v>0</v>
      </c>
      <c r="O39" s="15">
        <f t="shared" si="0"/>
        <v>8</v>
      </c>
      <c r="P39" s="15">
        <f t="shared" si="1"/>
        <v>46</v>
      </c>
    </row>
    <row r="40" spans="2:20" ht="23.1" customHeight="1" x14ac:dyDescent="0.25">
      <c r="B40" s="24" t="s">
        <v>67</v>
      </c>
      <c r="C40" s="50">
        <v>9</v>
      </c>
      <c r="D40" s="50">
        <v>3</v>
      </c>
      <c r="E40" s="50">
        <v>1</v>
      </c>
      <c r="F40" s="50">
        <v>1</v>
      </c>
      <c r="G40" s="50">
        <v>0</v>
      </c>
      <c r="H40" s="50">
        <v>1</v>
      </c>
      <c r="I40" s="50">
        <v>3</v>
      </c>
      <c r="J40" s="50">
        <v>2</v>
      </c>
      <c r="K40" s="50">
        <v>0</v>
      </c>
      <c r="L40" s="50">
        <v>1</v>
      </c>
      <c r="M40" s="50">
        <v>43</v>
      </c>
      <c r="N40" s="50">
        <v>0</v>
      </c>
      <c r="O40" s="15">
        <f t="shared" si="0"/>
        <v>21</v>
      </c>
      <c r="P40" s="15">
        <f t="shared" si="1"/>
        <v>64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1</v>
      </c>
      <c r="H41" s="50">
        <v>0</v>
      </c>
      <c r="I41" s="50">
        <v>2</v>
      </c>
      <c r="J41" s="50">
        <v>3</v>
      </c>
      <c r="K41" s="50">
        <v>1</v>
      </c>
      <c r="L41" s="50">
        <v>0</v>
      </c>
      <c r="M41" s="50">
        <v>51</v>
      </c>
      <c r="N41" s="50">
        <v>0</v>
      </c>
      <c r="O41" s="15">
        <f t="shared" si="0"/>
        <v>9</v>
      </c>
      <c r="P41" s="15">
        <f t="shared" si="1"/>
        <v>60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5</v>
      </c>
      <c r="F42" s="50">
        <v>2</v>
      </c>
      <c r="G42" s="50">
        <v>0</v>
      </c>
      <c r="H42" s="50">
        <v>0</v>
      </c>
      <c r="I42" s="50">
        <v>2</v>
      </c>
      <c r="J42" s="50">
        <v>4</v>
      </c>
      <c r="K42" s="50">
        <v>1</v>
      </c>
      <c r="L42" s="50">
        <v>0</v>
      </c>
      <c r="M42" s="50">
        <v>58</v>
      </c>
      <c r="N42" s="50">
        <v>0</v>
      </c>
      <c r="O42" s="15">
        <f t="shared" si="0"/>
        <v>19</v>
      </c>
      <c r="P42" s="15">
        <f t="shared" si="1"/>
        <v>77</v>
      </c>
    </row>
    <row r="43" spans="2:20" ht="23.1" customHeight="1" x14ac:dyDescent="0.25">
      <c r="B43" s="23" t="s">
        <v>70</v>
      </c>
      <c r="C43" s="50">
        <v>5</v>
      </c>
      <c r="D43" s="50">
        <v>3</v>
      </c>
      <c r="E43" s="50">
        <v>2</v>
      </c>
      <c r="F43" s="50">
        <v>2</v>
      </c>
      <c r="G43" s="50">
        <v>0</v>
      </c>
      <c r="H43" s="50">
        <v>0</v>
      </c>
      <c r="I43" s="50">
        <v>2</v>
      </c>
      <c r="J43" s="50">
        <v>3</v>
      </c>
      <c r="K43" s="50">
        <v>0</v>
      </c>
      <c r="L43" s="50">
        <v>0</v>
      </c>
      <c r="M43" s="50">
        <v>37</v>
      </c>
      <c r="N43" s="50">
        <v>0</v>
      </c>
      <c r="O43" s="15">
        <f t="shared" si="0"/>
        <v>17</v>
      </c>
      <c r="P43" s="15">
        <f t="shared" si="1"/>
        <v>54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3</v>
      </c>
      <c r="F44" s="50">
        <v>1</v>
      </c>
      <c r="G44" s="50">
        <v>0</v>
      </c>
      <c r="H44" s="50">
        <v>0</v>
      </c>
      <c r="I44" s="50">
        <v>0</v>
      </c>
      <c r="J44" s="50">
        <v>4</v>
      </c>
      <c r="K44" s="50">
        <v>0</v>
      </c>
      <c r="L44" s="50">
        <v>1</v>
      </c>
      <c r="M44" s="50">
        <v>50</v>
      </c>
      <c r="N44" s="50">
        <v>0</v>
      </c>
      <c r="O44" s="15">
        <f t="shared" si="0"/>
        <v>11</v>
      </c>
      <c r="P44" s="15">
        <f t="shared" si="1"/>
        <v>61</v>
      </c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3</v>
      </c>
      <c r="J45" s="50">
        <v>2</v>
      </c>
      <c r="K45" s="50">
        <v>0</v>
      </c>
      <c r="L45" s="50">
        <v>1</v>
      </c>
      <c r="M45" s="50">
        <v>61</v>
      </c>
      <c r="N45" s="50">
        <v>0</v>
      </c>
      <c r="O45" s="15">
        <f t="shared" si="0"/>
        <v>14</v>
      </c>
      <c r="P45" s="15">
        <f t="shared" si="1"/>
        <v>75</v>
      </c>
    </row>
    <row r="46" spans="2:20" ht="23.1" customHeight="1" x14ac:dyDescent="0.25">
      <c r="B46" s="24" t="s">
        <v>73</v>
      </c>
      <c r="C46" s="50">
        <v>6</v>
      </c>
      <c r="D46" s="50">
        <v>3</v>
      </c>
      <c r="E46" s="50">
        <v>0</v>
      </c>
      <c r="F46" s="50">
        <v>0</v>
      </c>
      <c r="G46" s="50">
        <v>0</v>
      </c>
      <c r="H46" s="50">
        <v>0</v>
      </c>
      <c r="I46" s="50">
        <v>3</v>
      </c>
      <c r="J46" s="50">
        <v>2</v>
      </c>
      <c r="K46" s="50">
        <v>0</v>
      </c>
      <c r="L46" s="50">
        <v>0</v>
      </c>
      <c r="M46" s="50">
        <v>54</v>
      </c>
      <c r="N46" s="50">
        <v>0</v>
      </c>
      <c r="O46" s="15">
        <f t="shared" si="0"/>
        <v>14</v>
      </c>
      <c r="P46" s="15">
        <f t="shared" si="1"/>
        <v>68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1</v>
      </c>
      <c r="E47" s="50">
        <v>0</v>
      </c>
      <c r="F47" s="50">
        <v>2</v>
      </c>
      <c r="G47" s="50">
        <v>0</v>
      </c>
      <c r="H47" s="50">
        <v>0</v>
      </c>
      <c r="I47" s="50">
        <v>4</v>
      </c>
      <c r="J47" s="50">
        <v>4</v>
      </c>
      <c r="K47" s="50">
        <v>2</v>
      </c>
      <c r="L47" s="50">
        <v>0</v>
      </c>
      <c r="M47" s="50">
        <v>58</v>
      </c>
      <c r="N47" s="50">
        <v>0</v>
      </c>
      <c r="O47" s="15">
        <f t="shared" si="0"/>
        <v>19</v>
      </c>
      <c r="P47" s="15">
        <f t="shared" si="1"/>
        <v>77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2</v>
      </c>
      <c r="E48" s="50">
        <v>2</v>
      </c>
      <c r="F48" s="50">
        <v>1</v>
      </c>
      <c r="G48" s="50">
        <v>0</v>
      </c>
      <c r="H48" s="50">
        <v>0</v>
      </c>
      <c r="I48" s="50">
        <v>2</v>
      </c>
      <c r="J48" s="50">
        <v>4</v>
      </c>
      <c r="K48" s="50">
        <v>0</v>
      </c>
      <c r="L48" s="50">
        <v>1</v>
      </c>
      <c r="M48" s="50">
        <v>52</v>
      </c>
      <c r="N48" s="50">
        <v>0</v>
      </c>
      <c r="O48" s="15">
        <f t="shared" si="0"/>
        <v>15</v>
      </c>
      <c r="P48" s="15">
        <f t="shared" si="1"/>
        <v>67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1</v>
      </c>
      <c r="F49" s="50">
        <v>3</v>
      </c>
      <c r="G49" s="50">
        <v>0</v>
      </c>
      <c r="H49" s="50">
        <v>0</v>
      </c>
      <c r="I49" s="50">
        <v>3</v>
      </c>
      <c r="J49" s="50">
        <v>3</v>
      </c>
      <c r="K49" s="50">
        <v>0</v>
      </c>
      <c r="L49" s="50">
        <v>1</v>
      </c>
      <c r="M49" s="50">
        <v>58</v>
      </c>
      <c r="N49" s="50">
        <v>0</v>
      </c>
      <c r="O49" s="15">
        <f t="shared" si="0"/>
        <v>17</v>
      </c>
      <c r="P49" s="15">
        <f t="shared" si="1"/>
        <v>75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1</v>
      </c>
      <c r="E50" s="50">
        <v>1</v>
      </c>
      <c r="F50" s="50">
        <v>5</v>
      </c>
      <c r="G50" s="50">
        <v>0</v>
      </c>
      <c r="H50" s="50">
        <v>0</v>
      </c>
      <c r="I50" s="50">
        <v>2</v>
      </c>
      <c r="J50" s="50">
        <v>3</v>
      </c>
      <c r="K50" s="50">
        <v>1</v>
      </c>
      <c r="L50" s="50">
        <v>0</v>
      </c>
      <c r="M50" s="50">
        <v>85</v>
      </c>
      <c r="N50" s="50">
        <v>0</v>
      </c>
      <c r="O50" s="15">
        <f t="shared" si="0"/>
        <v>21</v>
      </c>
      <c r="P50" s="15">
        <f t="shared" si="1"/>
        <v>106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5</v>
      </c>
      <c r="F51" s="50">
        <v>0</v>
      </c>
      <c r="G51" s="50">
        <v>0</v>
      </c>
      <c r="H51" s="50">
        <v>0</v>
      </c>
      <c r="I51" s="50">
        <v>1</v>
      </c>
      <c r="J51" s="50">
        <v>3</v>
      </c>
      <c r="K51" s="50">
        <v>0</v>
      </c>
      <c r="L51" s="50">
        <v>0</v>
      </c>
      <c r="M51" s="50">
        <v>60</v>
      </c>
      <c r="N51" s="50">
        <v>0</v>
      </c>
      <c r="O51" s="15">
        <f t="shared" si="0"/>
        <v>10</v>
      </c>
      <c r="P51" s="15">
        <f t="shared" si="1"/>
        <v>70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2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3</v>
      </c>
      <c r="K52" s="50">
        <v>1</v>
      </c>
      <c r="L52" s="50">
        <v>0</v>
      </c>
      <c r="M52" s="50">
        <v>54</v>
      </c>
      <c r="N52" s="50">
        <v>0</v>
      </c>
      <c r="O52" s="15">
        <f t="shared" si="0"/>
        <v>10</v>
      </c>
      <c r="P52" s="15">
        <f t="shared" si="1"/>
        <v>64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4</v>
      </c>
      <c r="E53" s="50">
        <v>1</v>
      </c>
      <c r="F53" s="50">
        <v>2</v>
      </c>
      <c r="G53" s="50">
        <v>1</v>
      </c>
      <c r="H53" s="50">
        <v>0</v>
      </c>
      <c r="I53" s="50">
        <v>0</v>
      </c>
      <c r="J53" s="50">
        <v>5</v>
      </c>
      <c r="K53" s="50">
        <v>1</v>
      </c>
      <c r="L53" s="50">
        <v>0</v>
      </c>
      <c r="M53" s="50">
        <v>42</v>
      </c>
      <c r="N53" s="50">
        <v>0</v>
      </c>
      <c r="O53" s="15">
        <f t="shared" si="0"/>
        <v>21</v>
      </c>
      <c r="P53" s="15">
        <f t="shared" si="1"/>
        <v>63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2</v>
      </c>
      <c r="E54" s="50">
        <v>1</v>
      </c>
      <c r="F54" s="50">
        <v>4</v>
      </c>
      <c r="G54" s="50">
        <v>0</v>
      </c>
      <c r="H54" s="50">
        <v>0</v>
      </c>
      <c r="I54" s="50">
        <v>4</v>
      </c>
      <c r="J54" s="50">
        <v>4</v>
      </c>
      <c r="K54" s="50">
        <v>1</v>
      </c>
      <c r="L54" s="50">
        <v>0</v>
      </c>
      <c r="M54" s="50">
        <v>40</v>
      </c>
      <c r="N54" s="50">
        <v>0</v>
      </c>
      <c r="O54" s="15">
        <f t="shared" si="0"/>
        <v>18</v>
      </c>
      <c r="P54" s="15">
        <f t="shared" si="1"/>
        <v>58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3</v>
      </c>
      <c r="E55" s="50">
        <v>1</v>
      </c>
      <c r="F55" s="50">
        <v>1</v>
      </c>
      <c r="G55" s="50">
        <v>0</v>
      </c>
      <c r="H55" s="50">
        <v>0</v>
      </c>
      <c r="I55" s="50">
        <v>3</v>
      </c>
      <c r="J55" s="50">
        <v>0</v>
      </c>
      <c r="K55" s="50">
        <v>2</v>
      </c>
      <c r="L55" s="50">
        <v>0</v>
      </c>
      <c r="M55" s="50">
        <v>39</v>
      </c>
      <c r="N55" s="50">
        <v>0</v>
      </c>
      <c r="O55" s="15">
        <f t="shared" si="0"/>
        <v>12</v>
      </c>
      <c r="P55" s="15">
        <f t="shared" si="1"/>
        <v>51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2</v>
      </c>
      <c r="F56" s="50">
        <v>4</v>
      </c>
      <c r="G56" s="50">
        <v>0</v>
      </c>
      <c r="H56" s="50">
        <v>0</v>
      </c>
      <c r="I56" s="50">
        <v>0</v>
      </c>
      <c r="J56" s="50">
        <v>2</v>
      </c>
      <c r="K56" s="50">
        <v>1</v>
      </c>
      <c r="L56" s="50">
        <v>0</v>
      </c>
      <c r="M56" s="50">
        <v>30</v>
      </c>
      <c r="N56" s="50">
        <v>0</v>
      </c>
      <c r="O56" s="15">
        <f t="shared" si="0"/>
        <v>10</v>
      </c>
      <c r="P56" s="15">
        <f t="shared" si="1"/>
        <v>40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0</v>
      </c>
      <c r="F57" s="50">
        <v>1</v>
      </c>
      <c r="G57" s="50">
        <v>2</v>
      </c>
      <c r="H57" s="50">
        <v>0</v>
      </c>
      <c r="I57" s="50">
        <v>2</v>
      </c>
      <c r="J57" s="50">
        <v>3</v>
      </c>
      <c r="K57" s="50">
        <v>2</v>
      </c>
      <c r="L57" s="50">
        <v>1</v>
      </c>
      <c r="M57" s="50">
        <v>20</v>
      </c>
      <c r="N57" s="50">
        <v>0</v>
      </c>
      <c r="O57" s="15">
        <f t="shared" si="0"/>
        <v>12</v>
      </c>
      <c r="P57" s="15">
        <f t="shared" si="1"/>
        <v>32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183</v>
      </c>
      <c r="D58" s="16">
        <f t="shared" si="21"/>
        <v>76</v>
      </c>
      <c r="E58" s="16">
        <f t="shared" si="21"/>
        <v>57</v>
      </c>
      <c r="F58" s="16">
        <f t="shared" si="21"/>
        <v>64</v>
      </c>
      <c r="G58" s="16">
        <f t="shared" si="21"/>
        <v>7</v>
      </c>
      <c r="H58" s="16">
        <f t="shared" si="21"/>
        <v>2</v>
      </c>
      <c r="I58" s="16">
        <f t="shared" si="21"/>
        <v>98</v>
      </c>
      <c r="J58" s="16">
        <f t="shared" si="21"/>
        <v>107</v>
      </c>
      <c r="K58" s="16">
        <f t="shared" si="21"/>
        <v>37</v>
      </c>
      <c r="L58" s="16">
        <f t="shared" si="21"/>
        <v>17</v>
      </c>
      <c r="M58" s="16">
        <f t="shared" si="21"/>
        <v>2246</v>
      </c>
      <c r="N58" s="16">
        <f t="shared" si="21"/>
        <v>3</v>
      </c>
      <c r="O58" s="16">
        <f t="shared" si="21"/>
        <v>651</v>
      </c>
      <c r="P58" s="16">
        <f t="shared" si="21"/>
        <v>2897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6.316879530548844E-2</v>
      </c>
      <c r="D59" s="43">
        <f t="shared" si="22"/>
        <v>2.6234035208836728E-2</v>
      </c>
      <c r="E59" s="43">
        <f t="shared" si="22"/>
        <v>1.9675526406627546E-2</v>
      </c>
      <c r="F59" s="43">
        <f t="shared" si="22"/>
        <v>2.2091819123230928E-2</v>
      </c>
      <c r="G59" s="43">
        <f t="shared" si="22"/>
        <v>2.416292716603383E-3</v>
      </c>
      <c r="H59" s="43">
        <f t="shared" si="22"/>
        <v>6.9036934760096649E-4</v>
      </c>
      <c r="I59" s="43">
        <f t="shared" si="22"/>
        <v>3.3828098032447358E-2</v>
      </c>
      <c r="J59" s="43">
        <f t="shared" si="22"/>
        <v>3.6934760096651711E-2</v>
      </c>
      <c r="K59" s="43">
        <f t="shared" si="22"/>
        <v>1.277183293061788E-2</v>
      </c>
      <c r="L59" s="43">
        <f t="shared" si="22"/>
        <v>5.8681394546082153E-3</v>
      </c>
      <c r="M59" s="43">
        <f t="shared" si="22"/>
        <v>0.77528477735588541</v>
      </c>
      <c r="N59" s="43">
        <f t="shared" si="22"/>
        <v>1.0355540214014498E-3</v>
      </c>
      <c r="R59" s="8"/>
      <c r="T59"/>
    </row>
    <row r="60" spans="2:20" ht="23.1" customHeight="1" x14ac:dyDescent="0.25">
      <c r="B60" s="42" t="s">
        <v>94</v>
      </c>
      <c r="C60" s="44">
        <f>C58/$O$58</f>
        <v>0.28110599078341014</v>
      </c>
      <c r="D60" s="44">
        <f t="shared" ref="D60:N60" si="23">D58/$O$58</f>
        <v>0.11674347158218126</v>
      </c>
      <c r="E60" s="44">
        <f t="shared" si="23"/>
        <v>8.755760368663594E-2</v>
      </c>
      <c r="F60" s="44">
        <f t="shared" si="23"/>
        <v>9.8310291858678955E-2</v>
      </c>
      <c r="G60" s="44">
        <f t="shared" si="23"/>
        <v>1.0752688172043012E-2</v>
      </c>
      <c r="H60" s="44">
        <f t="shared" si="23"/>
        <v>3.0721966205837174E-3</v>
      </c>
      <c r="I60" s="44">
        <f t="shared" si="23"/>
        <v>0.15053763440860216</v>
      </c>
      <c r="J60" s="44">
        <f t="shared" si="23"/>
        <v>0.16436251920122888</v>
      </c>
      <c r="K60" s="44">
        <f t="shared" si="23"/>
        <v>5.683563748079877E-2</v>
      </c>
      <c r="L60" s="44">
        <f t="shared" si="23"/>
        <v>2.6113671274961597E-2</v>
      </c>
      <c r="M60" s="44"/>
      <c r="N60" s="44">
        <f t="shared" si="23"/>
        <v>4.608294930875576E-3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'22.08 Lumino-Musita'!C3:G3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'28.08Musita-Lumino'!D5</f>
        <v>28.08.19</v>
      </c>
      <c r="E5" s="3"/>
      <c r="F5" s="41" t="s">
        <v>1</v>
      </c>
      <c r="G5" s="63" t="str">
        <f>'28.08Musita-Lumino'!G5:H5</f>
        <v>Musita</v>
      </c>
      <c r="H5" s="64"/>
      <c r="I5" s="14"/>
      <c r="J5" s="2" t="s">
        <v>5</v>
      </c>
      <c r="K5" s="60" t="s">
        <v>171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'22.08 Lumino-Musita'!D6:E6</f>
        <v>Lumino</v>
      </c>
      <c r="E6" s="64"/>
      <c r="F6" s="2" t="s">
        <v>2</v>
      </c>
      <c r="G6" s="63" t="str">
        <f>'22.08 Lumino-Musita'!G6:H6</f>
        <v>Musita</v>
      </c>
      <c r="H6" s="64"/>
      <c r="J6" s="2" t="s">
        <v>21</v>
      </c>
      <c r="K6" s="63" t="str">
        <f>'28.08Musita-Lumino'!K6:L6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2</v>
      </c>
      <c r="F10" s="50">
        <v>3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33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43</v>
      </c>
      <c r="R10" s="1" t="s">
        <v>6</v>
      </c>
      <c r="S10" s="17">
        <f t="shared" ref="S10:AF10" si="2">SUM(C10:C13)</f>
        <v>7</v>
      </c>
      <c r="T10" s="17">
        <f t="shared" si="2"/>
        <v>2</v>
      </c>
      <c r="U10" s="17">
        <f t="shared" si="2"/>
        <v>7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3</v>
      </c>
      <c r="AA10" s="17">
        <f t="shared" si="2"/>
        <v>1</v>
      </c>
      <c r="AB10" s="17">
        <f t="shared" si="2"/>
        <v>1</v>
      </c>
      <c r="AC10" s="17">
        <f t="shared" si="2"/>
        <v>182</v>
      </c>
      <c r="AD10" s="17">
        <f t="shared" si="2"/>
        <v>0</v>
      </c>
      <c r="AE10" s="31">
        <f t="shared" si="2"/>
        <v>35</v>
      </c>
      <c r="AF10" s="31">
        <f t="shared" si="2"/>
        <v>217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3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42</v>
      </c>
      <c r="N11" s="50">
        <v>0</v>
      </c>
      <c r="O11" s="15">
        <f t="shared" si="0"/>
        <v>5</v>
      </c>
      <c r="P11" s="15">
        <f t="shared" si="1"/>
        <v>47</v>
      </c>
      <c r="R11" s="1" t="s">
        <v>7</v>
      </c>
      <c r="S11" s="17">
        <f t="shared" ref="S11:AF11" si="3">SUM(C14:C17)</f>
        <v>10</v>
      </c>
      <c r="T11" s="17">
        <f t="shared" si="3"/>
        <v>8</v>
      </c>
      <c r="U11" s="17">
        <f t="shared" si="3"/>
        <v>7</v>
      </c>
      <c r="V11" s="17">
        <f t="shared" si="3"/>
        <v>5</v>
      </c>
      <c r="W11" s="17">
        <f t="shared" si="3"/>
        <v>1</v>
      </c>
      <c r="X11" s="17">
        <f t="shared" si="3"/>
        <v>0</v>
      </c>
      <c r="Y11" s="17">
        <f t="shared" si="3"/>
        <v>7</v>
      </c>
      <c r="Z11" s="17">
        <f t="shared" si="3"/>
        <v>5</v>
      </c>
      <c r="AA11" s="17">
        <f t="shared" si="3"/>
        <v>0</v>
      </c>
      <c r="AB11" s="17">
        <f t="shared" si="3"/>
        <v>1</v>
      </c>
      <c r="AC11" s="17">
        <f t="shared" si="3"/>
        <v>217</v>
      </c>
      <c r="AD11" s="17">
        <f t="shared" si="3"/>
        <v>0</v>
      </c>
      <c r="AE11" s="31">
        <f t="shared" si="3"/>
        <v>44</v>
      </c>
      <c r="AF11" s="31">
        <f t="shared" si="3"/>
        <v>261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2</v>
      </c>
      <c r="F12" s="50">
        <v>1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52</v>
      </c>
      <c r="N12" s="50">
        <v>0</v>
      </c>
      <c r="O12" s="15">
        <f t="shared" si="0"/>
        <v>9</v>
      </c>
      <c r="P12" s="15">
        <f t="shared" si="1"/>
        <v>61</v>
      </c>
      <c r="R12" s="1" t="s">
        <v>8</v>
      </c>
      <c r="S12" s="17">
        <f t="shared" ref="S12:AF12" si="4">SUM(C18:C21)</f>
        <v>9</v>
      </c>
      <c r="T12" s="17">
        <f t="shared" si="4"/>
        <v>3</v>
      </c>
      <c r="U12" s="17">
        <f t="shared" si="4"/>
        <v>1</v>
      </c>
      <c r="V12" s="17">
        <f t="shared" si="4"/>
        <v>3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179</v>
      </c>
      <c r="AD12" s="17">
        <f t="shared" si="4"/>
        <v>1</v>
      </c>
      <c r="AE12" s="31">
        <f t="shared" si="4"/>
        <v>24</v>
      </c>
      <c r="AF12" s="31">
        <f t="shared" si="4"/>
        <v>203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3</v>
      </c>
      <c r="F13" s="50">
        <v>0</v>
      </c>
      <c r="G13" s="50">
        <v>0</v>
      </c>
      <c r="H13" s="50">
        <v>0</v>
      </c>
      <c r="I13" s="50">
        <v>0</v>
      </c>
      <c r="J13" s="50">
        <v>2</v>
      </c>
      <c r="K13" s="50">
        <v>1</v>
      </c>
      <c r="L13" s="50">
        <v>1</v>
      </c>
      <c r="M13" s="50">
        <v>55</v>
      </c>
      <c r="N13" s="50">
        <v>0</v>
      </c>
      <c r="O13" s="15">
        <f t="shared" si="0"/>
        <v>11</v>
      </c>
      <c r="P13" s="15">
        <f t="shared" si="1"/>
        <v>66</v>
      </c>
      <c r="R13" s="1" t="s">
        <v>9</v>
      </c>
      <c r="S13" s="17">
        <f t="shared" ref="S13:AF13" si="5">SUM(C22:C25)</f>
        <v>10</v>
      </c>
      <c r="T13" s="17">
        <f t="shared" si="5"/>
        <v>3</v>
      </c>
      <c r="U13" s="17">
        <f t="shared" si="5"/>
        <v>1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5</v>
      </c>
      <c r="AA13" s="17">
        <f t="shared" si="5"/>
        <v>0</v>
      </c>
      <c r="AB13" s="17">
        <f t="shared" si="5"/>
        <v>2</v>
      </c>
      <c r="AC13" s="17">
        <f t="shared" si="5"/>
        <v>202</v>
      </c>
      <c r="AD13" s="17">
        <f t="shared" si="5"/>
        <v>0</v>
      </c>
      <c r="AE13" s="31">
        <f t="shared" si="5"/>
        <v>34</v>
      </c>
      <c r="AF13" s="31">
        <f t="shared" si="5"/>
        <v>236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2</v>
      </c>
      <c r="F14" s="50">
        <v>2</v>
      </c>
      <c r="G14" s="50">
        <v>0</v>
      </c>
      <c r="H14" s="50">
        <v>0</v>
      </c>
      <c r="I14" s="50">
        <v>1</v>
      </c>
      <c r="J14" s="50">
        <v>2</v>
      </c>
      <c r="K14" s="50">
        <v>0</v>
      </c>
      <c r="L14" s="50">
        <v>0</v>
      </c>
      <c r="M14" s="50">
        <v>55</v>
      </c>
      <c r="N14" s="50">
        <v>0</v>
      </c>
      <c r="O14" s="15">
        <f t="shared" si="0"/>
        <v>10</v>
      </c>
      <c r="P14" s="15">
        <f t="shared" si="1"/>
        <v>65</v>
      </c>
      <c r="R14" s="1" t="s">
        <v>10</v>
      </c>
      <c r="S14" s="17">
        <f t="shared" ref="S14:AF14" si="6">SUM(C26:C29)</f>
        <v>20</v>
      </c>
      <c r="T14" s="17">
        <f t="shared" si="6"/>
        <v>2</v>
      </c>
      <c r="U14" s="17">
        <f t="shared" si="6"/>
        <v>0</v>
      </c>
      <c r="V14" s="17">
        <f t="shared" si="6"/>
        <v>3</v>
      </c>
      <c r="W14" s="17">
        <f t="shared" si="6"/>
        <v>0</v>
      </c>
      <c r="X14" s="17">
        <f t="shared" si="6"/>
        <v>1</v>
      </c>
      <c r="Y14" s="17">
        <f t="shared" si="6"/>
        <v>10</v>
      </c>
      <c r="Z14" s="17">
        <f t="shared" si="6"/>
        <v>12</v>
      </c>
      <c r="AA14" s="17">
        <f t="shared" si="6"/>
        <v>2</v>
      </c>
      <c r="AB14" s="17">
        <f t="shared" si="6"/>
        <v>3</v>
      </c>
      <c r="AC14" s="17">
        <f t="shared" si="6"/>
        <v>205</v>
      </c>
      <c r="AD14" s="17">
        <f t="shared" si="6"/>
        <v>0</v>
      </c>
      <c r="AE14" s="31">
        <f t="shared" si="6"/>
        <v>53</v>
      </c>
      <c r="AF14" s="31">
        <f t="shared" si="6"/>
        <v>258</v>
      </c>
    </row>
    <row r="15" spans="2:32" ht="23.1" customHeight="1" x14ac:dyDescent="0.25">
      <c r="B15" s="23" t="s">
        <v>42</v>
      </c>
      <c r="C15" s="50">
        <v>4</v>
      </c>
      <c r="D15" s="50">
        <v>4</v>
      </c>
      <c r="E15" s="50">
        <v>3</v>
      </c>
      <c r="F15" s="50">
        <v>1</v>
      </c>
      <c r="G15" s="50">
        <v>1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64</v>
      </c>
      <c r="N15" s="50">
        <v>0</v>
      </c>
      <c r="O15" s="15">
        <f t="shared" si="0"/>
        <v>15</v>
      </c>
      <c r="P15" s="15">
        <f t="shared" si="1"/>
        <v>79</v>
      </c>
      <c r="R15" s="1" t="s">
        <v>11</v>
      </c>
      <c r="S15" s="17">
        <f t="shared" ref="S15:AF15" si="7">SUM(C30:C33)</f>
        <v>21</v>
      </c>
      <c r="T15" s="17">
        <f t="shared" si="7"/>
        <v>4</v>
      </c>
      <c r="U15" s="17">
        <f t="shared" si="7"/>
        <v>3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13</v>
      </c>
      <c r="AA15" s="17">
        <f t="shared" si="7"/>
        <v>1</v>
      </c>
      <c r="AB15" s="17">
        <f t="shared" si="7"/>
        <v>3</v>
      </c>
      <c r="AC15" s="17">
        <f t="shared" si="7"/>
        <v>168</v>
      </c>
      <c r="AD15" s="17">
        <f t="shared" si="7"/>
        <v>0</v>
      </c>
      <c r="AE15" s="31">
        <f t="shared" si="7"/>
        <v>57</v>
      </c>
      <c r="AF15" s="31">
        <f t="shared" si="7"/>
        <v>225</v>
      </c>
    </row>
    <row r="16" spans="2:32" ht="23.1" customHeight="1" x14ac:dyDescent="0.25">
      <c r="B16" s="23" t="s">
        <v>43</v>
      </c>
      <c r="C16" s="50">
        <v>2</v>
      </c>
      <c r="D16" s="50">
        <v>2</v>
      </c>
      <c r="E16" s="50">
        <v>2</v>
      </c>
      <c r="F16" s="50">
        <v>2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0</v>
      </c>
      <c r="M16" s="50">
        <v>55</v>
      </c>
      <c r="N16" s="50">
        <v>0</v>
      </c>
      <c r="O16" s="15">
        <f t="shared" si="0"/>
        <v>13</v>
      </c>
      <c r="P16" s="15">
        <f t="shared" si="1"/>
        <v>68</v>
      </c>
      <c r="R16" s="1" t="s">
        <v>12</v>
      </c>
      <c r="S16" s="17">
        <f t="shared" ref="S16:AF16" si="8">SUM(C34:C37)</f>
        <v>12</v>
      </c>
      <c r="T16" s="17">
        <f t="shared" si="8"/>
        <v>2</v>
      </c>
      <c r="U16" s="17">
        <f t="shared" si="8"/>
        <v>5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7</v>
      </c>
      <c r="AA16" s="17">
        <f t="shared" si="8"/>
        <v>1</v>
      </c>
      <c r="AB16" s="17">
        <f t="shared" si="8"/>
        <v>3</v>
      </c>
      <c r="AC16" s="17">
        <f t="shared" si="8"/>
        <v>182</v>
      </c>
      <c r="AD16" s="17">
        <f t="shared" si="8"/>
        <v>0</v>
      </c>
      <c r="AE16" s="31">
        <f t="shared" si="8"/>
        <v>50</v>
      </c>
      <c r="AF16" s="31">
        <f t="shared" si="8"/>
        <v>232</v>
      </c>
    </row>
    <row r="17" spans="2:32" ht="23.1" customHeight="1" x14ac:dyDescent="0.25">
      <c r="B17" s="23" t="s">
        <v>44</v>
      </c>
      <c r="C17" s="50">
        <v>1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1</v>
      </c>
      <c r="M17" s="50">
        <v>43</v>
      </c>
      <c r="N17" s="50">
        <v>0</v>
      </c>
      <c r="O17" s="15">
        <f t="shared" si="0"/>
        <v>6</v>
      </c>
      <c r="P17" s="15">
        <f t="shared" si="1"/>
        <v>49</v>
      </c>
      <c r="R17" s="1" t="s">
        <v>13</v>
      </c>
      <c r="S17" s="17">
        <f t="shared" ref="S17:AF17" si="9">SUM(C38:C41)</f>
        <v>16</v>
      </c>
      <c r="T17" s="17">
        <f t="shared" si="9"/>
        <v>4</v>
      </c>
      <c r="U17" s="17">
        <f t="shared" si="9"/>
        <v>5</v>
      </c>
      <c r="V17" s="17">
        <f t="shared" si="9"/>
        <v>3</v>
      </c>
      <c r="W17" s="17">
        <f t="shared" si="9"/>
        <v>1</v>
      </c>
      <c r="X17" s="17">
        <f t="shared" si="9"/>
        <v>0</v>
      </c>
      <c r="Y17" s="17">
        <f t="shared" si="9"/>
        <v>11</v>
      </c>
      <c r="Z17" s="17">
        <f t="shared" si="9"/>
        <v>1</v>
      </c>
      <c r="AA17" s="17">
        <f t="shared" si="9"/>
        <v>0</v>
      </c>
      <c r="AB17" s="17">
        <f t="shared" si="9"/>
        <v>3</v>
      </c>
      <c r="AC17" s="17">
        <f t="shared" si="9"/>
        <v>167</v>
      </c>
      <c r="AD17" s="17">
        <f t="shared" si="9"/>
        <v>0</v>
      </c>
      <c r="AE17" s="31">
        <f t="shared" si="9"/>
        <v>44</v>
      </c>
      <c r="AF17" s="31">
        <f t="shared" si="9"/>
        <v>211</v>
      </c>
    </row>
    <row r="18" spans="2:32" ht="23.1" customHeight="1" x14ac:dyDescent="0.25">
      <c r="B18" s="23" t="s">
        <v>45</v>
      </c>
      <c r="C18" s="50">
        <v>3</v>
      </c>
      <c r="D18" s="50">
        <v>3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7</v>
      </c>
      <c r="P18" s="15">
        <f t="shared" si="1"/>
        <v>42</v>
      </c>
      <c r="R18" s="1" t="s">
        <v>14</v>
      </c>
      <c r="S18" s="17">
        <f t="shared" ref="S18:AF18" si="10">SUM(C42:C45)</f>
        <v>13</v>
      </c>
      <c r="T18" s="17">
        <f t="shared" si="10"/>
        <v>5</v>
      </c>
      <c r="U18" s="17">
        <f t="shared" si="10"/>
        <v>7</v>
      </c>
      <c r="V18" s="17">
        <f t="shared" si="10"/>
        <v>8</v>
      </c>
      <c r="W18" s="17">
        <f t="shared" si="10"/>
        <v>2</v>
      </c>
      <c r="X18" s="17">
        <f t="shared" si="10"/>
        <v>0</v>
      </c>
      <c r="Y18" s="17">
        <f t="shared" si="10"/>
        <v>10</v>
      </c>
      <c r="Z18" s="17">
        <f t="shared" si="10"/>
        <v>6</v>
      </c>
      <c r="AA18" s="17">
        <f t="shared" si="10"/>
        <v>0</v>
      </c>
      <c r="AB18" s="17">
        <f t="shared" si="10"/>
        <v>7</v>
      </c>
      <c r="AC18" s="17">
        <f t="shared" si="10"/>
        <v>234</v>
      </c>
      <c r="AD18" s="17">
        <f t="shared" si="10"/>
        <v>0</v>
      </c>
      <c r="AE18" s="31">
        <f t="shared" si="10"/>
        <v>58</v>
      </c>
      <c r="AF18" s="31">
        <f t="shared" si="10"/>
        <v>292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1</v>
      </c>
      <c r="G19" s="50">
        <v>1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50</v>
      </c>
      <c r="N19" s="50">
        <v>1</v>
      </c>
      <c r="O19" s="15">
        <f t="shared" si="0"/>
        <v>8</v>
      </c>
      <c r="P19" s="15">
        <f t="shared" si="1"/>
        <v>58</v>
      </c>
      <c r="R19" s="1" t="s">
        <v>15</v>
      </c>
      <c r="S19" s="17">
        <f t="shared" ref="S19:AF19" si="11">SUM(C46:C49)</f>
        <v>12</v>
      </c>
      <c r="T19" s="17">
        <f t="shared" si="11"/>
        <v>4</v>
      </c>
      <c r="U19" s="17">
        <f t="shared" si="11"/>
        <v>7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10</v>
      </c>
      <c r="AA19" s="17">
        <f t="shared" si="11"/>
        <v>1</v>
      </c>
      <c r="AB19" s="17">
        <f t="shared" si="11"/>
        <v>8</v>
      </c>
      <c r="AC19" s="17">
        <f t="shared" si="11"/>
        <v>251</v>
      </c>
      <c r="AD19" s="17">
        <f t="shared" si="11"/>
        <v>0</v>
      </c>
      <c r="AE19" s="31">
        <f t="shared" si="11"/>
        <v>64</v>
      </c>
      <c r="AF19" s="31">
        <f t="shared" si="11"/>
        <v>315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45</v>
      </c>
      <c r="N20" s="50">
        <v>0</v>
      </c>
      <c r="O20" s="15">
        <f t="shared" si="0"/>
        <v>3</v>
      </c>
      <c r="P20" s="15">
        <f t="shared" si="1"/>
        <v>48</v>
      </c>
      <c r="R20" s="1" t="s">
        <v>16</v>
      </c>
      <c r="S20" s="17">
        <f t="shared" ref="S20:AF20" si="12">SUM(C50:C53)</f>
        <v>22</v>
      </c>
      <c r="T20" s="17">
        <f t="shared" si="12"/>
        <v>19</v>
      </c>
      <c r="U20" s="17">
        <f t="shared" si="12"/>
        <v>5</v>
      </c>
      <c r="V20" s="17">
        <f t="shared" si="12"/>
        <v>6</v>
      </c>
      <c r="W20" s="17">
        <f t="shared" si="12"/>
        <v>1</v>
      </c>
      <c r="X20" s="17">
        <f t="shared" si="12"/>
        <v>0</v>
      </c>
      <c r="Y20" s="17">
        <f t="shared" si="12"/>
        <v>10</v>
      </c>
      <c r="Z20" s="17">
        <f t="shared" si="12"/>
        <v>5</v>
      </c>
      <c r="AA20" s="17">
        <f t="shared" si="12"/>
        <v>0</v>
      </c>
      <c r="AB20" s="17">
        <f t="shared" si="12"/>
        <v>6</v>
      </c>
      <c r="AC20" s="17">
        <f t="shared" si="12"/>
        <v>196</v>
      </c>
      <c r="AD20" s="17">
        <f t="shared" si="12"/>
        <v>0</v>
      </c>
      <c r="AE20" s="31">
        <f t="shared" si="12"/>
        <v>74</v>
      </c>
      <c r="AF20" s="31">
        <f t="shared" si="12"/>
        <v>270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49</v>
      </c>
      <c r="N21" s="50">
        <v>0</v>
      </c>
      <c r="O21" s="15">
        <f t="shared" si="0"/>
        <v>6</v>
      </c>
      <c r="P21" s="15">
        <f t="shared" si="1"/>
        <v>55</v>
      </c>
      <c r="R21" s="36" t="s">
        <v>20</v>
      </c>
      <c r="S21" s="34">
        <f t="shared" ref="S21:AF21" si="13">SUM(C54:C57)</f>
        <v>25</v>
      </c>
      <c r="T21" s="17">
        <f t="shared" si="13"/>
        <v>13</v>
      </c>
      <c r="U21" s="17">
        <f t="shared" si="13"/>
        <v>6</v>
      </c>
      <c r="V21" s="17">
        <f t="shared" si="13"/>
        <v>9</v>
      </c>
      <c r="W21" s="17">
        <f t="shared" si="13"/>
        <v>0</v>
      </c>
      <c r="X21" s="17">
        <f t="shared" si="13"/>
        <v>0</v>
      </c>
      <c r="Y21" s="17">
        <f t="shared" si="13"/>
        <v>12</v>
      </c>
      <c r="Z21" s="17">
        <f t="shared" si="13"/>
        <v>13</v>
      </c>
      <c r="AA21" s="17">
        <f t="shared" si="13"/>
        <v>1</v>
      </c>
      <c r="AB21" s="17">
        <f t="shared" si="13"/>
        <v>5</v>
      </c>
      <c r="AC21" s="17">
        <f t="shared" si="13"/>
        <v>181</v>
      </c>
      <c r="AD21" s="17">
        <f t="shared" si="13"/>
        <v>0</v>
      </c>
      <c r="AE21" s="31">
        <f t="shared" si="13"/>
        <v>84</v>
      </c>
      <c r="AF21" s="31">
        <f t="shared" si="13"/>
        <v>265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65</v>
      </c>
      <c r="N22" s="50">
        <v>0</v>
      </c>
      <c r="O22" s="15">
        <f t="shared" si="0"/>
        <v>6</v>
      </c>
      <c r="P22" s="15">
        <f t="shared" si="1"/>
        <v>71</v>
      </c>
      <c r="R22" s="38" t="s">
        <v>90</v>
      </c>
      <c r="S22" s="39">
        <f>MAX(S10:S12)</f>
        <v>10</v>
      </c>
      <c r="T22" s="39">
        <f t="shared" ref="T22:AF22" si="14">MAX(T10:T12)</f>
        <v>8</v>
      </c>
      <c r="U22" s="39">
        <f t="shared" si="14"/>
        <v>7</v>
      </c>
      <c r="V22" s="39">
        <f t="shared" si="14"/>
        <v>7</v>
      </c>
      <c r="W22" s="39">
        <f t="shared" si="14"/>
        <v>1</v>
      </c>
      <c r="X22" s="39">
        <f t="shared" si="14"/>
        <v>0</v>
      </c>
      <c r="Y22" s="39">
        <f t="shared" si="14"/>
        <v>7</v>
      </c>
      <c r="Z22" s="39">
        <f t="shared" si="14"/>
        <v>5</v>
      </c>
      <c r="AA22" s="39">
        <f t="shared" si="14"/>
        <v>1</v>
      </c>
      <c r="AB22" s="39">
        <f t="shared" si="14"/>
        <v>1</v>
      </c>
      <c r="AC22" s="39">
        <f t="shared" si="14"/>
        <v>217</v>
      </c>
      <c r="AD22" s="39">
        <f t="shared" si="14"/>
        <v>1</v>
      </c>
      <c r="AE22" s="40">
        <f t="shared" si="14"/>
        <v>44</v>
      </c>
      <c r="AF22" s="40">
        <f t="shared" si="14"/>
        <v>261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3</v>
      </c>
      <c r="G23" s="50">
        <v>0</v>
      </c>
      <c r="H23" s="50">
        <v>0</v>
      </c>
      <c r="I23" s="50">
        <v>3</v>
      </c>
      <c r="J23" s="50">
        <v>1</v>
      </c>
      <c r="K23" s="50">
        <v>0</v>
      </c>
      <c r="L23" s="50">
        <v>1</v>
      </c>
      <c r="M23" s="50">
        <v>40</v>
      </c>
      <c r="N23" s="50">
        <v>0</v>
      </c>
      <c r="O23" s="15">
        <f t="shared" si="0"/>
        <v>10</v>
      </c>
      <c r="P23" s="15">
        <f t="shared" si="1"/>
        <v>50</v>
      </c>
      <c r="R23" s="38" t="s">
        <v>91</v>
      </c>
      <c r="S23" s="39">
        <f>MAX(S13:S18)</f>
        <v>21</v>
      </c>
      <c r="T23" s="39">
        <f t="shared" ref="T23:AF23" si="15">MAX(T13:T18)</f>
        <v>5</v>
      </c>
      <c r="U23" s="39">
        <f t="shared" si="15"/>
        <v>7</v>
      </c>
      <c r="V23" s="39">
        <f t="shared" si="15"/>
        <v>11</v>
      </c>
      <c r="W23" s="39">
        <f t="shared" si="15"/>
        <v>2</v>
      </c>
      <c r="X23" s="39">
        <f t="shared" si="15"/>
        <v>1</v>
      </c>
      <c r="Y23" s="39">
        <f t="shared" si="15"/>
        <v>11</v>
      </c>
      <c r="Z23" s="39">
        <f t="shared" si="15"/>
        <v>13</v>
      </c>
      <c r="AA23" s="39">
        <f t="shared" si="15"/>
        <v>2</v>
      </c>
      <c r="AB23" s="39">
        <f t="shared" si="15"/>
        <v>7</v>
      </c>
      <c r="AC23" s="39">
        <f t="shared" si="15"/>
        <v>234</v>
      </c>
      <c r="AD23" s="39">
        <f t="shared" si="15"/>
        <v>0</v>
      </c>
      <c r="AE23" s="40">
        <f t="shared" si="15"/>
        <v>58</v>
      </c>
      <c r="AF23" s="40">
        <f t="shared" si="15"/>
        <v>292</v>
      </c>
    </row>
    <row r="24" spans="2:32" ht="23.1" customHeight="1" x14ac:dyDescent="0.25">
      <c r="B24" s="23" t="s">
        <v>51</v>
      </c>
      <c r="C24" s="50">
        <v>1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1</v>
      </c>
      <c r="M24" s="50">
        <v>52</v>
      </c>
      <c r="N24" s="50">
        <v>0</v>
      </c>
      <c r="O24" s="15">
        <f t="shared" si="0"/>
        <v>6</v>
      </c>
      <c r="P24" s="15">
        <f t="shared" si="1"/>
        <v>58</v>
      </c>
      <c r="R24" s="38" t="s">
        <v>92</v>
      </c>
      <c r="S24" s="39">
        <f>MAX(S19:S21)</f>
        <v>25</v>
      </c>
      <c r="T24" s="39">
        <f t="shared" ref="T24:AF24" si="16">MAX(T19:T21)</f>
        <v>19</v>
      </c>
      <c r="U24" s="39">
        <f t="shared" si="16"/>
        <v>7</v>
      </c>
      <c r="V24" s="39">
        <f t="shared" si="16"/>
        <v>10</v>
      </c>
      <c r="W24" s="39">
        <f t="shared" si="16"/>
        <v>1</v>
      </c>
      <c r="X24" s="39">
        <f t="shared" si="16"/>
        <v>0</v>
      </c>
      <c r="Y24" s="39">
        <f t="shared" si="16"/>
        <v>12</v>
      </c>
      <c r="Z24" s="39">
        <f t="shared" si="16"/>
        <v>13</v>
      </c>
      <c r="AA24" s="39">
        <f t="shared" si="16"/>
        <v>1</v>
      </c>
      <c r="AB24" s="39">
        <f t="shared" si="16"/>
        <v>8</v>
      </c>
      <c r="AC24" s="39">
        <f t="shared" si="16"/>
        <v>251</v>
      </c>
      <c r="AD24" s="39">
        <f t="shared" si="16"/>
        <v>0</v>
      </c>
      <c r="AE24" s="40">
        <f t="shared" si="16"/>
        <v>84</v>
      </c>
      <c r="AF24" s="40">
        <f t="shared" si="16"/>
        <v>315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1</v>
      </c>
      <c r="F25" s="50">
        <v>2</v>
      </c>
      <c r="G25" s="50">
        <v>0</v>
      </c>
      <c r="H25" s="50">
        <v>0</v>
      </c>
      <c r="I25" s="50">
        <v>1</v>
      </c>
      <c r="J25" s="50">
        <v>3</v>
      </c>
      <c r="K25" s="50">
        <v>0</v>
      </c>
      <c r="L25" s="50">
        <v>0</v>
      </c>
      <c r="M25" s="50">
        <v>45</v>
      </c>
      <c r="N25" s="50">
        <v>0</v>
      </c>
      <c r="O25" s="15">
        <f t="shared" si="0"/>
        <v>12</v>
      </c>
      <c r="P25" s="15">
        <f t="shared" si="1"/>
        <v>57</v>
      </c>
      <c r="R25" s="37" t="s">
        <v>85</v>
      </c>
      <c r="S25" s="35">
        <f t="shared" ref="S25:AF25" si="17">SUM(S10:S12)</f>
        <v>26</v>
      </c>
      <c r="T25" s="16">
        <f t="shared" si="17"/>
        <v>13</v>
      </c>
      <c r="U25" s="16">
        <f t="shared" si="17"/>
        <v>15</v>
      </c>
      <c r="V25" s="16">
        <f t="shared" si="17"/>
        <v>15</v>
      </c>
      <c r="W25" s="16">
        <f t="shared" si="17"/>
        <v>2</v>
      </c>
      <c r="X25" s="16">
        <f t="shared" si="17"/>
        <v>0</v>
      </c>
      <c r="Y25" s="16">
        <f t="shared" si="17"/>
        <v>17</v>
      </c>
      <c r="Z25" s="16">
        <f t="shared" si="17"/>
        <v>10</v>
      </c>
      <c r="AA25" s="16">
        <f t="shared" si="17"/>
        <v>1</v>
      </c>
      <c r="AB25" s="16">
        <f t="shared" si="17"/>
        <v>3</v>
      </c>
      <c r="AC25" s="16">
        <f t="shared" si="17"/>
        <v>578</v>
      </c>
      <c r="AD25" s="16">
        <f t="shared" si="17"/>
        <v>1</v>
      </c>
      <c r="AE25" s="32">
        <f t="shared" si="17"/>
        <v>103</v>
      </c>
      <c r="AF25" s="32">
        <f t="shared" si="17"/>
        <v>681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5</v>
      </c>
      <c r="J26" s="50">
        <v>3</v>
      </c>
      <c r="K26" s="50">
        <v>0</v>
      </c>
      <c r="L26" s="50">
        <v>0</v>
      </c>
      <c r="M26" s="50">
        <v>48</v>
      </c>
      <c r="N26" s="50">
        <v>0</v>
      </c>
      <c r="O26" s="15">
        <f t="shared" si="0"/>
        <v>15</v>
      </c>
      <c r="P26" s="15">
        <f t="shared" si="1"/>
        <v>63</v>
      </c>
      <c r="R26" s="28" t="s">
        <v>86</v>
      </c>
      <c r="S26" s="16">
        <f t="shared" ref="S26:AF26" si="18">SUM(S13:S18)</f>
        <v>92</v>
      </c>
      <c r="T26" s="16">
        <f t="shared" si="18"/>
        <v>20</v>
      </c>
      <c r="U26" s="16">
        <f t="shared" si="18"/>
        <v>21</v>
      </c>
      <c r="V26" s="16">
        <f t="shared" si="18"/>
        <v>36</v>
      </c>
      <c r="W26" s="16">
        <f t="shared" si="18"/>
        <v>3</v>
      </c>
      <c r="X26" s="16">
        <f t="shared" si="18"/>
        <v>1</v>
      </c>
      <c r="Y26" s="16">
        <f t="shared" si="18"/>
        <v>54</v>
      </c>
      <c r="Z26" s="16">
        <f t="shared" si="18"/>
        <v>44</v>
      </c>
      <c r="AA26" s="16">
        <f t="shared" si="18"/>
        <v>4</v>
      </c>
      <c r="AB26" s="16">
        <f t="shared" si="18"/>
        <v>21</v>
      </c>
      <c r="AC26" s="16">
        <f t="shared" si="18"/>
        <v>1158</v>
      </c>
      <c r="AD26" s="16">
        <f t="shared" si="18"/>
        <v>0</v>
      </c>
      <c r="AE26" s="32">
        <f t="shared" si="18"/>
        <v>296</v>
      </c>
      <c r="AF26" s="32">
        <f t="shared" si="18"/>
        <v>1454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1</v>
      </c>
      <c r="M27" s="50">
        <v>40</v>
      </c>
      <c r="N27" s="50">
        <v>0</v>
      </c>
      <c r="O27" s="15">
        <f t="shared" si="0"/>
        <v>8</v>
      </c>
      <c r="P27" s="15">
        <f t="shared" si="1"/>
        <v>48</v>
      </c>
      <c r="R27" s="29" t="s">
        <v>87</v>
      </c>
      <c r="S27" s="16">
        <f t="shared" ref="S27:AF27" si="19">SUM(S19:S21)</f>
        <v>59</v>
      </c>
      <c r="T27" s="16">
        <f t="shared" si="19"/>
        <v>36</v>
      </c>
      <c r="U27" s="16">
        <f t="shared" si="19"/>
        <v>18</v>
      </c>
      <c r="V27" s="16">
        <f t="shared" si="19"/>
        <v>25</v>
      </c>
      <c r="W27" s="16">
        <f t="shared" si="19"/>
        <v>1</v>
      </c>
      <c r="X27" s="16">
        <f t="shared" si="19"/>
        <v>0</v>
      </c>
      <c r="Y27" s="16">
        <f t="shared" si="19"/>
        <v>34</v>
      </c>
      <c r="Z27" s="16">
        <f t="shared" si="19"/>
        <v>28</v>
      </c>
      <c r="AA27" s="16">
        <f t="shared" si="19"/>
        <v>2</v>
      </c>
      <c r="AB27" s="16">
        <f t="shared" si="19"/>
        <v>19</v>
      </c>
      <c r="AC27" s="16">
        <f t="shared" si="19"/>
        <v>628</v>
      </c>
      <c r="AD27" s="16">
        <f t="shared" si="19"/>
        <v>0</v>
      </c>
      <c r="AE27" s="32">
        <f t="shared" si="19"/>
        <v>222</v>
      </c>
      <c r="AF27" s="32">
        <f t="shared" si="19"/>
        <v>850</v>
      </c>
    </row>
    <row r="28" spans="2:32" ht="23.1" customHeight="1" x14ac:dyDescent="0.25">
      <c r="B28" s="23" t="s">
        <v>55</v>
      </c>
      <c r="C28" s="50">
        <v>3</v>
      </c>
      <c r="D28" s="50">
        <v>2</v>
      </c>
      <c r="E28" s="50">
        <v>0</v>
      </c>
      <c r="F28" s="50">
        <v>2</v>
      </c>
      <c r="G28" s="50">
        <v>0</v>
      </c>
      <c r="H28" s="50">
        <v>1</v>
      </c>
      <c r="I28" s="50">
        <v>1</v>
      </c>
      <c r="J28" s="50">
        <v>4</v>
      </c>
      <c r="K28" s="50">
        <v>2</v>
      </c>
      <c r="L28" s="50">
        <v>1</v>
      </c>
      <c r="M28" s="50">
        <v>60</v>
      </c>
      <c r="N28" s="50">
        <v>0</v>
      </c>
      <c r="O28" s="15">
        <f t="shared" si="0"/>
        <v>16</v>
      </c>
      <c r="P28" s="15">
        <f t="shared" si="1"/>
        <v>76</v>
      </c>
      <c r="R28" s="5" t="s">
        <v>17</v>
      </c>
      <c r="S28" s="16">
        <f t="shared" ref="S28:AF28" si="20">SUM(S10:S21)</f>
        <v>177</v>
      </c>
      <c r="T28" s="16">
        <f t="shared" si="20"/>
        <v>69</v>
      </c>
      <c r="U28" s="16">
        <f t="shared" si="20"/>
        <v>54</v>
      </c>
      <c r="V28" s="16">
        <f t="shared" si="20"/>
        <v>76</v>
      </c>
      <c r="W28" s="16">
        <f t="shared" si="20"/>
        <v>6</v>
      </c>
      <c r="X28" s="16">
        <f t="shared" si="20"/>
        <v>1</v>
      </c>
      <c r="Y28" s="16">
        <f t="shared" si="20"/>
        <v>105</v>
      </c>
      <c r="Z28" s="16">
        <f t="shared" si="20"/>
        <v>82</v>
      </c>
      <c r="AA28" s="16">
        <f t="shared" si="20"/>
        <v>7</v>
      </c>
      <c r="AB28" s="16">
        <f t="shared" si="20"/>
        <v>43</v>
      </c>
      <c r="AC28" s="16">
        <f t="shared" si="20"/>
        <v>2364</v>
      </c>
      <c r="AD28" s="16">
        <f t="shared" si="20"/>
        <v>1</v>
      </c>
      <c r="AE28" s="32">
        <f t="shared" si="20"/>
        <v>621</v>
      </c>
      <c r="AF28" s="32">
        <f t="shared" si="20"/>
        <v>2985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3</v>
      </c>
      <c r="J29" s="50">
        <v>5</v>
      </c>
      <c r="K29" s="50">
        <v>0</v>
      </c>
      <c r="L29" s="50">
        <v>1</v>
      </c>
      <c r="M29" s="50">
        <v>57</v>
      </c>
      <c r="N29" s="50">
        <v>0</v>
      </c>
      <c r="O29" s="15">
        <f t="shared" si="0"/>
        <v>14</v>
      </c>
      <c r="P29" s="15">
        <f t="shared" si="1"/>
        <v>71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2</v>
      </c>
      <c r="E30" s="50">
        <v>2</v>
      </c>
      <c r="F30" s="50">
        <v>0</v>
      </c>
      <c r="G30" s="50">
        <v>0</v>
      </c>
      <c r="H30" s="50">
        <v>0</v>
      </c>
      <c r="I30" s="50">
        <v>1</v>
      </c>
      <c r="J30" s="50">
        <v>6</v>
      </c>
      <c r="K30" s="50">
        <v>0</v>
      </c>
      <c r="L30" s="50">
        <v>0</v>
      </c>
      <c r="M30" s="50">
        <v>39</v>
      </c>
      <c r="N30" s="50">
        <v>0</v>
      </c>
      <c r="O30" s="15">
        <f t="shared" si="0"/>
        <v>16</v>
      </c>
      <c r="P30" s="15">
        <f t="shared" si="1"/>
        <v>55</v>
      </c>
    </row>
    <row r="31" spans="2:32" ht="23.1" customHeight="1" x14ac:dyDescent="0.25">
      <c r="B31" s="24" t="s">
        <v>58</v>
      </c>
      <c r="C31" s="50">
        <v>3</v>
      </c>
      <c r="D31" s="50">
        <v>2</v>
      </c>
      <c r="E31" s="50">
        <v>0</v>
      </c>
      <c r="F31" s="50">
        <v>1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40</v>
      </c>
      <c r="N31" s="50">
        <v>0</v>
      </c>
      <c r="O31" s="15">
        <f t="shared" si="0"/>
        <v>9</v>
      </c>
      <c r="P31" s="15">
        <f t="shared" si="1"/>
        <v>49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1</v>
      </c>
      <c r="M32" s="50">
        <v>45</v>
      </c>
      <c r="N32" s="50">
        <v>0</v>
      </c>
      <c r="O32" s="15">
        <f t="shared" si="0"/>
        <v>11</v>
      </c>
      <c r="P32" s="15">
        <f t="shared" si="1"/>
        <v>56</v>
      </c>
    </row>
    <row r="33" spans="2:20" ht="23.1" customHeight="1" x14ac:dyDescent="0.25">
      <c r="B33" s="23" t="s">
        <v>60</v>
      </c>
      <c r="C33" s="50">
        <v>9</v>
      </c>
      <c r="D33" s="50">
        <v>0</v>
      </c>
      <c r="E33" s="50">
        <v>1</v>
      </c>
      <c r="F33" s="50">
        <v>2</v>
      </c>
      <c r="G33" s="50">
        <v>0</v>
      </c>
      <c r="H33" s="50">
        <v>0</v>
      </c>
      <c r="I33" s="50">
        <v>2</v>
      </c>
      <c r="J33" s="50">
        <v>4</v>
      </c>
      <c r="K33" s="50">
        <v>1</v>
      </c>
      <c r="L33" s="50">
        <v>2</v>
      </c>
      <c r="M33" s="50">
        <v>44</v>
      </c>
      <c r="N33" s="50">
        <v>0</v>
      </c>
      <c r="O33" s="15">
        <f t="shared" si="0"/>
        <v>21</v>
      </c>
      <c r="P33" s="15">
        <f t="shared" si="1"/>
        <v>65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8</v>
      </c>
      <c r="J34" s="50">
        <v>5</v>
      </c>
      <c r="K34" s="50">
        <v>0</v>
      </c>
      <c r="L34" s="50">
        <v>3</v>
      </c>
      <c r="M34" s="50">
        <v>47</v>
      </c>
      <c r="N34" s="50">
        <v>0</v>
      </c>
      <c r="O34" s="15">
        <f t="shared" si="0"/>
        <v>23</v>
      </c>
      <c r="P34" s="15">
        <f t="shared" si="1"/>
        <v>70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1</v>
      </c>
      <c r="F35" s="50">
        <v>3</v>
      </c>
      <c r="G35" s="50">
        <v>0</v>
      </c>
      <c r="H35" s="50">
        <v>0</v>
      </c>
      <c r="I35" s="50">
        <v>0</v>
      </c>
      <c r="J35" s="50">
        <v>2</v>
      </c>
      <c r="K35" s="50">
        <v>1</v>
      </c>
      <c r="L35" s="50">
        <v>0</v>
      </c>
      <c r="M35" s="50">
        <v>35</v>
      </c>
      <c r="N35" s="50">
        <v>0</v>
      </c>
      <c r="O35" s="15">
        <f t="shared" si="0"/>
        <v>10</v>
      </c>
      <c r="P35" s="15">
        <f t="shared" si="1"/>
        <v>45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7</v>
      </c>
      <c r="P36" s="15">
        <f t="shared" si="1"/>
        <v>67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2</v>
      </c>
      <c r="F37" s="50">
        <v>5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10</v>
      </c>
      <c r="P37" s="15">
        <f t="shared" si="1"/>
        <v>50</v>
      </c>
    </row>
    <row r="38" spans="2:20" ht="23.1" customHeight="1" x14ac:dyDescent="0.25">
      <c r="B38" s="24" t="s">
        <v>65</v>
      </c>
      <c r="C38" s="50">
        <v>7</v>
      </c>
      <c r="D38" s="50">
        <v>2</v>
      </c>
      <c r="E38" s="50">
        <v>1</v>
      </c>
      <c r="F38" s="50">
        <v>2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1</v>
      </c>
      <c r="M38" s="50">
        <v>32</v>
      </c>
      <c r="N38" s="50">
        <v>0</v>
      </c>
      <c r="O38" s="15">
        <f t="shared" si="0"/>
        <v>16</v>
      </c>
      <c r="P38" s="15">
        <f t="shared" si="1"/>
        <v>48</v>
      </c>
    </row>
    <row r="39" spans="2:20" ht="23.1" customHeight="1" x14ac:dyDescent="0.25">
      <c r="B39" s="24" t="s">
        <v>66</v>
      </c>
      <c r="C39" s="50">
        <v>3</v>
      </c>
      <c r="D39" s="50">
        <v>2</v>
      </c>
      <c r="E39" s="50">
        <v>1</v>
      </c>
      <c r="F39" s="50">
        <v>1</v>
      </c>
      <c r="G39" s="50">
        <v>1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10</v>
      </c>
      <c r="P39" s="15">
        <f t="shared" si="1"/>
        <v>45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54</v>
      </c>
      <c r="N40" s="50">
        <v>0</v>
      </c>
      <c r="O40" s="15">
        <f t="shared" si="0"/>
        <v>7</v>
      </c>
      <c r="P40" s="15">
        <f t="shared" si="1"/>
        <v>61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2</v>
      </c>
      <c r="M41" s="50">
        <v>46</v>
      </c>
      <c r="N41" s="50">
        <v>0</v>
      </c>
      <c r="O41" s="15">
        <f t="shared" si="0"/>
        <v>11</v>
      </c>
      <c r="P41" s="15">
        <f t="shared" si="1"/>
        <v>57</v>
      </c>
    </row>
    <row r="42" spans="2:20" ht="23.1" customHeight="1" x14ac:dyDescent="0.25">
      <c r="B42" s="24" t="s">
        <v>69</v>
      </c>
      <c r="C42" s="50">
        <v>2</v>
      </c>
      <c r="D42" s="50">
        <v>1</v>
      </c>
      <c r="E42" s="50">
        <v>1</v>
      </c>
      <c r="F42" s="50">
        <v>2</v>
      </c>
      <c r="G42" s="50">
        <v>1</v>
      </c>
      <c r="H42" s="50">
        <v>0</v>
      </c>
      <c r="I42" s="50">
        <v>4</v>
      </c>
      <c r="J42" s="50">
        <v>1</v>
      </c>
      <c r="K42" s="50">
        <v>0</v>
      </c>
      <c r="L42" s="50">
        <v>1</v>
      </c>
      <c r="M42" s="50">
        <v>50</v>
      </c>
      <c r="N42" s="50">
        <v>0</v>
      </c>
      <c r="O42" s="15">
        <f t="shared" si="0"/>
        <v>13</v>
      </c>
      <c r="P42" s="15">
        <f t="shared" si="1"/>
        <v>63</v>
      </c>
    </row>
    <row r="43" spans="2:20" ht="23.1" customHeight="1" x14ac:dyDescent="0.25">
      <c r="B43" s="23" t="s">
        <v>70</v>
      </c>
      <c r="C43" s="50">
        <v>4</v>
      </c>
      <c r="D43" s="50">
        <v>3</v>
      </c>
      <c r="E43" s="50">
        <v>2</v>
      </c>
      <c r="F43" s="50">
        <v>1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2</v>
      </c>
      <c r="M43" s="50">
        <v>62</v>
      </c>
      <c r="N43" s="50">
        <v>0</v>
      </c>
      <c r="O43" s="15">
        <f t="shared" si="0"/>
        <v>14</v>
      </c>
      <c r="P43" s="15">
        <f t="shared" si="1"/>
        <v>76</v>
      </c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2</v>
      </c>
      <c r="F44" s="50">
        <v>1</v>
      </c>
      <c r="G44" s="50">
        <v>1</v>
      </c>
      <c r="H44" s="50">
        <v>0</v>
      </c>
      <c r="I44" s="50">
        <v>3</v>
      </c>
      <c r="J44" s="50">
        <v>2</v>
      </c>
      <c r="K44" s="50">
        <v>0</v>
      </c>
      <c r="L44" s="50">
        <v>1</v>
      </c>
      <c r="M44" s="50">
        <v>59</v>
      </c>
      <c r="N44" s="50">
        <v>0</v>
      </c>
      <c r="O44" s="15">
        <f t="shared" si="0"/>
        <v>14</v>
      </c>
      <c r="P44" s="15">
        <f t="shared" si="1"/>
        <v>73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2</v>
      </c>
      <c r="F45" s="50">
        <v>4</v>
      </c>
      <c r="G45" s="50">
        <v>0</v>
      </c>
      <c r="H45" s="50">
        <v>0</v>
      </c>
      <c r="I45" s="50">
        <v>2</v>
      </c>
      <c r="J45" s="50">
        <v>2</v>
      </c>
      <c r="K45" s="50">
        <v>0</v>
      </c>
      <c r="L45" s="50">
        <v>3</v>
      </c>
      <c r="M45" s="50">
        <v>63</v>
      </c>
      <c r="N45" s="50">
        <v>0</v>
      </c>
      <c r="O45" s="15">
        <f t="shared" si="0"/>
        <v>17</v>
      </c>
      <c r="P45" s="15">
        <f t="shared" si="1"/>
        <v>80</v>
      </c>
    </row>
    <row r="46" spans="2:20" ht="23.1" customHeight="1" x14ac:dyDescent="0.25">
      <c r="B46" s="24" t="s">
        <v>73</v>
      </c>
      <c r="C46" s="50">
        <v>5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4</v>
      </c>
      <c r="M46" s="50">
        <v>65</v>
      </c>
      <c r="N46" s="50">
        <v>0</v>
      </c>
      <c r="O46" s="15">
        <f t="shared" si="0"/>
        <v>14</v>
      </c>
      <c r="P46" s="15">
        <f t="shared" si="1"/>
        <v>79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3</v>
      </c>
      <c r="F47" s="50">
        <v>2</v>
      </c>
      <c r="G47" s="50">
        <v>0</v>
      </c>
      <c r="H47" s="50">
        <v>0</v>
      </c>
      <c r="I47" s="50">
        <v>3</v>
      </c>
      <c r="J47" s="50">
        <v>5</v>
      </c>
      <c r="K47" s="50">
        <v>0</v>
      </c>
      <c r="L47" s="50">
        <v>1</v>
      </c>
      <c r="M47" s="50">
        <v>60</v>
      </c>
      <c r="N47" s="50">
        <v>0</v>
      </c>
      <c r="O47" s="15">
        <f t="shared" si="0"/>
        <v>14</v>
      </c>
      <c r="P47" s="15">
        <f t="shared" si="1"/>
        <v>74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1</v>
      </c>
      <c r="F48" s="50">
        <v>1</v>
      </c>
      <c r="G48" s="50">
        <v>0</v>
      </c>
      <c r="H48" s="50">
        <v>0</v>
      </c>
      <c r="I48" s="50">
        <v>3</v>
      </c>
      <c r="J48" s="50">
        <v>2</v>
      </c>
      <c r="K48" s="50">
        <v>0</v>
      </c>
      <c r="L48" s="50">
        <v>1</v>
      </c>
      <c r="M48" s="50">
        <v>60</v>
      </c>
      <c r="N48" s="50">
        <v>0</v>
      </c>
      <c r="O48" s="15">
        <f t="shared" si="0"/>
        <v>13</v>
      </c>
      <c r="P48" s="15">
        <f t="shared" si="1"/>
        <v>73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2</v>
      </c>
      <c r="E49" s="50">
        <v>2</v>
      </c>
      <c r="F49" s="50">
        <v>7</v>
      </c>
      <c r="G49" s="50">
        <v>0</v>
      </c>
      <c r="H49" s="50">
        <v>0</v>
      </c>
      <c r="I49" s="50">
        <v>4</v>
      </c>
      <c r="J49" s="50">
        <v>2</v>
      </c>
      <c r="K49" s="50">
        <v>1</v>
      </c>
      <c r="L49" s="50">
        <v>2</v>
      </c>
      <c r="M49" s="50">
        <v>66</v>
      </c>
      <c r="N49" s="50">
        <v>0</v>
      </c>
      <c r="O49" s="15">
        <f t="shared" si="0"/>
        <v>23</v>
      </c>
      <c r="P49" s="15">
        <f t="shared" si="1"/>
        <v>89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5</v>
      </c>
      <c r="E50" s="50">
        <v>0</v>
      </c>
      <c r="F50" s="50">
        <v>4</v>
      </c>
      <c r="G50" s="50">
        <v>1</v>
      </c>
      <c r="H50" s="50">
        <v>0</v>
      </c>
      <c r="I50" s="50">
        <v>2</v>
      </c>
      <c r="J50" s="50">
        <v>1</v>
      </c>
      <c r="K50" s="50">
        <v>0</v>
      </c>
      <c r="L50" s="50">
        <v>4</v>
      </c>
      <c r="M50" s="50">
        <v>58</v>
      </c>
      <c r="N50" s="50">
        <v>0</v>
      </c>
      <c r="O50" s="15">
        <f t="shared" si="0"/>
        <v>21</v>
      </c>
      <c r="P50" s="15">
        <f t="shared" si="1"/>
        <v>79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4</v>
      </c>
      <c r="E51" s="50">
        <v>1</v>
      </c>
      <c r="F51" s="50">
        <v>0</v>
      </c>
      <c r="G51" s="50">
        <v>0</v>
      </c>
      <c r="H51" s="50">
        <v>0</v>
      </c>
      <c r="I51" s="50">
        <v>3</v>
      </c>
      <c r="J51" s="50">
        <v>2</v>
      </c>
      <c r="K51" s="50">
        <v>0</v>
      </c>
      <c r="L51" s="50">
        <v>1</v>
      </c>
      <c r="M51" s="50">
        <v>44</v>
      </c>
      <c r="N51" s="50">
        <v>0</v>
      </c>
      <c r="O51" s="15">
        <f t="shared" si="0"/>
        <v>16</v>
      </c>
      <c r="P51" s="15">
        <f t="shared" si="1"/>
        <v>60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3</v>
      </c>
      <c r="E52" s="50">
        <v>4</v>
      </c>
      <c r="F52" s="50">
        <v>0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52</v>
      </c>
      <c r="N52" s="50">
        <v>0</v>
      </c>
      <c r="O52" s="15">
        <f t="shared" si="0"/>
        <v>15</v>
      </c>
      <c r="P52" s="15">
        <f t="shared" si="1"/>
        <v>67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7</v>
      </c>
      <c r="E53" s="50">
        <v>0</v>
      </c>
      <c r="F53" s="50">
        <v>2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1</v>
      </c>
      <c r="M53" s="50">
        <v>42</v>
      </c>
      <c r="N53" s="50">
        <v>0</v>
      </c>
      <c r="O53" s="15">
        <f t="shared" si="0"/>
        <v>22</v>
      </c>
      <c r="P53" s="15">
        <f t="shared" si="1"/>
        <v>64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4</v>
      </c>
      <c r="E54" s="50">
        <v>0</v>
      </c>
      <c r="F54" s="50">
        <v>2</v>
      </c>
      <c r="G54" s="50">
        <v>0</v>
      </c>
      <c r="H54" s="50">
        <v>0</v>
      </c>
      <c r="I54" s="50">
        <v>4</v>
      </c>
      <c r="J54" s="50">
        <v>1</v>
      </c>
      <c r="K54" s="50">
        <v>0</v>
      </c>
      <c r="L54" s="50">
        <v>3</v>
      </c>
      <c r="M54" s="50">
        <v>41</v>
      </c>
      <c r="N54" s="50">
        <v>0</v>
      </c>
      <c r="O54" s="15">
        <f t="shared" si="0"/>
        <v>21</v>
      </c>
      <c r="P54" s="15">
        <f t="shared" si="1"/>
        <v>62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5</v>
      </c>
      <c r="E55" s="50">
        <v>1</v>
      </c>
      <c r="F55" s="50">
        <v>3</v>
      </c>
      <c r="G55" s="50">
        <v>0</v>
      </c>
      <c r="H55" s="50">
        <v>0</v>
      </c>
      <c r="I55" s="50">
        <v>6</v>
      </c>
      <c r="J55" s="50">
        <v>3</v>
      </c>
      <c r="K55" s="50">
        <v>1</v>
      </c>
      <c r="L55" s="50">
        <v>0</v>
      </c>
      <c r="M55" s="50">
        <v>37</v>
      </c>
      <c r="N55" s="50">
        <v>0</v>
      </c>
      <c r="O55" s="15">
        <f t="shared" si="0"/>
        <v>22</v>
      </c>
      <c r="P55" s="15">
        <f t="shared" si="1"/>
        <v>59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2</v>
      </c>
      <c r="E56" s="50">
        <v>3</v>
      </c>
      <c r="F56" s="50">
        <v>1</v>
      </c>
      <c r="G56" s="50">
        <v>0</v>
      </c>
      <c r="H56" s="50">
        <v>0</v>
      </c>
      <c r="I56" s="50">
        <v>2</v>
      </c>
      <c r="J56" s="50">
        <v>5</v>
      </c>
      <c r="K56" s="50">
        <v>0</v>
      </c>
      <c r="L56" s="50">
        <v>0</v>
      </c>
      <c r="M56" s="50">
        <v>53</v>
      </c>
      <c r="N56" s="50">
        <v>0</v>
      </c>
      <c r="O56" s="15">
        <f t="shared" si="0"/>
        <v>19</v>
      </c>
      <c r="P56" s="15">
        <f t="shared" si="1"/>
        <v>72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2</v>
      </c>
      <c r="E57" s="50">
        <v>2</v>
      </c>
      <c r="F57" s="50">
        <v>3</v>
      </c>
      <c r="G57" s="50">
        <v>0</v>
      </c>
      <c r="H57" s="50">
        <v>0</v>
      </c>
      <c r="I57" s="50">
        <v>0</v>
      </c>
      <c r="J57" s="50">
        <v>4</v>
      </c>
      <c r="K57" s="50">
        <v>0</v>
      </c>
      <c r="L57" s="50">
        <v>2</v>
      </c>
      <c r="M57" s="50">
        <v>50</v>
      </c>
      <c r="N57" s="50">
        <v>0</v>
      </c>
      <c r="O57" s="15">
        <f t="shared" si="0"/>
        <v>22</v>
      </c>
      <c r="P57" s="15">
        <f t="shared" si="1"/>
        <v>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177</v>
      </c>
      <c r="D58" s="16">
        <f t="shared" si="21"/>
        <v>69</v>
      </c>
      <c r="E58" s="16">
        <f t="shared" si="21"/>
        <v>54</v>
      </c>
      <c r="F58" s="16">
        <f t="shared" si="21"/>
        <v>76</v>
      </c>
      <c r="G58" s="16">
        <f t="shared" si="21"/>
        <v>6</v>
      </c>
      <c r="H58" s="16">
        <f t="shared" si="21"/>
        <v>1</v>
      </c>
      <c r="I58" s="16">
        <f t="shared" si="21"/>
        <v>105</v>
      </c>
      <c r="J58" s="16">
        <f t="shared" si="21"/>
        <v>82</v>
      </c>
      <c r="K58" s="16">
        <f t="shared" si="21"/>
        <v>7</v>
      </c>
      <c r="L58" s="16">
        <f t="shared" si="21"/>
        <v>43</v>
      </c>
      <c r="M58" s="16">
        <f t="shared" si="21"/>
        <v>2364</v>
      </c>
      <c r="N58" s="16">
        <f t="shared" si="21"/>
        <v>1</v>
      </c>
      <c r="O58" s="16">
        <f t="shared" si="21"/>
        <v>621</v>
      </c>
      <c r="P58" s="16">
        <f t="shared" si="21"/>
        <v>2985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5.92964824120603E-2</v>
      </c>
      <c r="D59" s="43">
        <f t="shared" si="22"/>
        <v>2.3115577889447236E-2</v>
      </c>
      <c r="E59" s="43">
        <f t="shared" si="22"/>
        <v>1.8090452261306532E-2</v>
      </c>
      <c r="F59" s="43">
        <f t="shared" si="22"/>
        <v>2.5460636515912898E-2</v>
      </c>
      <c r="G59" s="43">
        <f t="shared" si="22"/>
        <v>2.0100502512562816E-3</v>
      </c>
      <c r="H59" s="43">
        <f t="shared" si="22"/>
        <v>3.3500837520938025E-4</v>
      </c>
      <c r="I59" s="43">
        <f t="shared" si="22"/>
        <v>3.5175879396984924E-2</v>
      </c>
      <c r="J59" s="43">
        <f t="shared" si="22"/>
        <v>2.747068676716918E-2</v>
      </c>
      <c r="K59" s="43">
        <f t="shared" si="22"/>
        <v>2.3450586264656616E-3</v>
      </c>
      <c r="L59" s="43">
        <f t="shared" si="22"/>
        <v>1.4405360134003351E-2</v>
      </c>
      <c r="M59" s="43">
        <f t="shared" si="22"/>
        <v>0.79195979899497493</v>
      </c>
      <c r="N59" s="43">
        <f t="shared" si="22"/>
        <v>3.3500837520938025E-4</v>
      </c>
      <c r="R59" s="8"/>
      <c r="T59"/>
    </row>
    <row r="60" spans="2:20" ht="23.1" customHeight="1" x14ac:dyDescent="0.25">
      <c r="B60" s="42" t="s">
        <v>94</v>
      </c>
      <c r="C60" s="44">
        <f>C58/$O$58</f>
        <v>0.28502415458937197</v>
      </c>
      <c r="D60" s="44">
        <f t="shared" ref="D60:N60" si="23">D58/$O$58</f>
        <v>0.1111111111111111</v>
      </c>
      <c r="E60" s="44">
        <f t="shared" si="23"/>
        <v>8.6956521739130432E-2</v>
      </c>
      <c r="F60" s="44">
        <f t="shared" si="23"/>
        <v>0.12238325281803543</v>
      </c>
      <c r="G60" s="44">
        <f t="shared" si="23"/>
        <v>9.6618357487922701E-3</v>
      </c>
      <c r="H60" s="44">
        <f t="shared" si="23"/>
        <v>1.6103059581320451E-3</v>
      </c>
      <c r="I60" s="44">
        <f t="shared" si="23"/>
        <v>0.16908212560386474</v>
      </c>
      <c r="J60" s="44">
        <f t="shared" si="23"/>
        <v>0.1320450885668277</v>
      </c>
      <c r="K60" s="44">
        <f t="shared" si="23"/>
        <v>1.1272141706924315E-2</v>
      </c>
      <c r="L60" s="44">
        <f t="shared" si="23"/>
        <v>6.9243156199677941E-2</v>
      </c>
      <c r="M60" s="44"/>
      <c r="N60" s="44">
        <f t="shared" si="23"/>
        <v>1.6103059581320451E-3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zoomScale="60" workbookViewId="0">
      <selection activeCell="H106" sqref="H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'28.08 Lumino-Musita'!C3:G3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'28.08Musita-Lumino'!G5:H5</f>
        <v>Musita</v>
      </c>
      <c r="H5" s="64"/>
      <c r="I5" s="14"/>
      <c r="J5" s="2" t="s">
        <v>5</v>
      </c>
      <c r="K5" s="63" t="str">
        <f>'28.08Musita-Lumino'!K5:L5</f>
        <v>Nusulah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'28.08Musita-Lumino'!D6:E6</f>
        <v>Musita</v>
      </c>
      <c r="E6" s="64"/>
      <c r="F6" s="2" t="s">
        <v>2</v>
      </c>
      <c r="G6" s="63" t="str">
        <f>'28.08Musita-Lumino'!G6:H6</f>
        <v>Lumino</v>
      </c>
      <c r="H6" s="64"/>
      <c r="J6" s="2" t="s">
        <v>21</v>
      </c>
      <c r="K6" s="63" t="str">
        <f>'28.08Musita-Lumino'!K6:L6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AVERAGE('22.08 Musita-Lumino'!C10,'24.08 Musita-Lumino'!C10,'25.08 Musita-Lumino'!C10,'27.08 Musita-Lumino'!C10,'23.08 Musita-Lumino-24h'!C10,'26.08 Musita-Lumino-24h'!C10,'28.08Musita-Lumino'!C10)</f>
        <v>3.2857142857142856</v>
      </c>
      <c r="D10" s="49">
        <f>AVERAGE('22.08 Musita-Lumino'!D10,'24.08 Musita-Lumino'!D10,'25.08 Musita-Lumino'!D10,'27.08 Musita-Lumino'!D10,'23.08 Musita-Lumino-24h'!D10,'26.08 Musita-Lumino-24h'!D10,'28.08Musita-Lumino'!D10)</f>
        <v>0.8571428571428571</v>
      </c>
      <c r="E10" s="49">
        <f>AVERAGE('22.08 Musita-Lumino'!E10,'24.08 Musita-Lumino'!E10,'25.08 Musita-Lumino'!E10,'27.08 Musita-Lumino'!E10,'23.08 Musita-Lumino-24h'!E10,'26.08 Musita-Lumino-24h'!E10,'28.08Musita-Lumino'!E10)</f>
        <v>1</v>
      </c>
      <c r="F10" s="49">
        <f>AVERAGE('22.08 Musita-Lumino'!F10,'24.08 Musita-Lumino'!F10,'25.08 Musita-Lumino'!F10,'27.08 Musita-Lumino'!F10,'23.08 Musita-Lumino-24h'!F10,'26.08 Musita-Lumino-24h'!F10,'28.08Musita-Lumino'!F10)</f>
        <v>1.1428571428571428</v>
      </c>
      <c r="G10" s="49">
        <f>AVERAGE('22.08 Musita-Lumino'!G10,'24.08 Musita-Lumino'!G10,'25.08 Musita-Lumino'!G10,'27.08 Musita-Lumino'!G10,'23.08 Musita-Lumino-24h'!G10,'26.08 Musita-Lumino-24h'!G10,'28.08Musita-Lumino'!G10)</f>
        <v>0.5714285714285714</v>
      </c>
      <c r="H10" s="49">
        <f>AVERAGE('22.08 Musita-Lumino'!H10,'24.08 Musita-Lumino'!H10,'25.08 Musita-Lumino'!H10,'27.08 Musita-Lumino'!H10,'23.08 Musita-Lumino-24h'!H10,'26.08 Musita-Lumino-24h'!H10,'28.08Musita-Lumino'!H10)</f>
        <v>0</v>
      </c>
      <c r="I10" s="49">
        <f>AVERAGE('22.08 Musita-Lumino'!I10,'24.08 Musita-Lumino'!I10,'25.08 Musita-Lumino'!I10,'27.08 Musita-Lumino'!I10,'23.08 Musita-Lumino-24h'!I10,'26.08 Musita-Lumino-24h'!I10,'28.08Musita-Lumino'!I10)</f>
        <v>2</v>
      </c>
      <c r="J10" s="49">
        <f>AVERAGE('22.08 Musita-Lumino'!J10,'24.08 Musita-Lumino'!J10,'25.08 Musita-Lumino'!J10,'27.08 Musita-Lumino'!J10,'23.08 Musita-Lumino-24h'!J10,'26.08 Musita-Lumino-24h'!J10,'28.08Musita-Lumino'!J10)</f>
        <v>3.2857142857142856</v>
      </c>
      <c r="K10" s="49">
        <f>AVERAGE('22.08 Musita-Lumino'!K10,'24.08 Musita-Lumino'!K10,'25.08 Musita-Lumino'!K10,'27.08 Musita-Lumino'!K10,'23.08 Musita-Lumino-24h'!K10,'26.08 Musita-Lumino-24h'!K10,'28.08Musita-Lumino'!K10)</f>
        <v>1.5714285714285714</v>
      </c>
      <c r="L10" s="49">
        <f>AVERAGE('22.08 Musita-Lumino'!L10,'24.08 Musita-Lumino'!L10,'25.08 Musita-Lumino'!L10,'27.08 Musita-Lumino'!L10,'23.08 Musita-Lumino-24h'!L10,'26.08 Musita-Lumino-24h'!L10,'28.08Musita-Lumino'!L10)</f>
        <v>0</v>
      </c>
      <c r="M10" s="49">
        <f>AVERAGE('22.08 Musita-Lumino'!M10,'24.08 Musita-Lumino'!M10,'25.08 Musita-Lumino'!M10,'27.08 Musita-Lumino'!M10,'23.08 Musita-Lumino-24h'!M10,'26.08 Musita-Lumino-24h'!M10,'28.08Musita-Lumino'!M10)</f>
        <v>20.571428571428573</v>
      </c>
      <c r="N10" s="49">
        <f>AVERAGE('22.08 Musita-Lumino'!N10,'24.08 Musita-Lumino'!N10,'25.08 Musita-Lumino'!N10,'27.08 Musita-Lumino'!N10,'23.08 Musita-Lumino-24h'!N10,'26.08 Musita-Lumino-24h'!N10,'28.08Musita-Lumino'!N10)</f>
        <v>0.14285714285714285</v>
      </c>
      <c r="O10" s="15">
        <f t="shared" ref="O10:O73" si="0">SUM(C10:L10,N10)</f>
        <v>13.857142857142856</v>
      </c>
      <c r="P10" s="15">
        <f t="shared" ref="P10:P73" si="1">SUM(C10:N10)</f>
        <v>34.428571428571431</v>
      </c>
      <c r="R10" s="1" t="s">
        <v>6</v>
      </c>
      <c r="S10" s="17">
        <f t="shared" ref="S10:AF10" si="2">SUM(C10:C13)</f>
        <v>10.285714285714286</v>
      </c>
      <c r="T10" s="17">
        <f t="shared" si="2"/>
        <v>4</v>
      </c>
      <c r="U10" s="17">
        <f t="shared" si="2"/>
        <v>2.8571428571428572</v>
      </c>
      <c r="V10" s="17">
        <f t="shared" si="2"/>
        <v>2.7142857142857144</v>
      </c>
      <c r="W10" s="17">
        <f t="shared" si="2"/>
        <v>0.5714285714285714</v>
      </c>
      <c r="X10" s="17">
        <f t="shared" si="2"/>
        <v>0</v>
      </c>
      <c r="Y10" s="17">
        <f t="shared" si="2"/>
        <v>8.7142857142857153</v>
      </c>
      <c r="Z10" s="17">
        <f t="shared" si="2"/>
        <v>12</v>
      </c>
      <c r="AA10" s="17">
        <f t="shared" si="2"/>
        <v>7.7142857142857135</v>
      </c>
      <c r="AB10" s="17">
        <f t="shared" si="2"/>
        <v>1</v>
      </c>
      <c r="AC10" s="17">
        <f t="shared" si="2"/>
        <v>125.71428571428572</v>
      </c>
      <c r="AD10" s="17">
        <f t="shared" si="2"/>
        <v>1.1428571428571428</v>
      </c>
      <c r="AE10" s="31">
        <f t="shared" si="2"/>
        <v>51</v>
      </c>
      <c r="AF10" s="31">
        <f t="shared" si="2"/>
        <v>176.71428571428572</v>
      </c>
    </row>
    <row r="11" spans="2:32" s="6" customFormat="1" ht="23.1" customHeight="1" x14ac:dyDescent="0.25">
      <c r="B11" s="23" t="s">
        <v>38</v>
      </c>
      <c r="C11" s="49">
        <f>AVERAGE('22.08 Musita-Lumino'!C11,'24.08 Musita-Lumino'!C11,'25.08 Musita-Lumino'!C11,'27.08 Musita-Lumino'!C11,'23.08 Musita-Lumino-24h'!C11,'26.08 Musita-Lumino-24h'!C11,'28.08Musita-Lumino'!C11)</f>
        <v>2.7142857142857144</v>
      </c>
      <c r="D11" s="49">
        <f>AVERAGE('22.08 Musita-Lumino'!D11,'24.08 Musita-Lumino'!D11,'25.08 Musita-Lumino'!D11,'27.08 Musita-Lumino'!D11,'23.08 Musita-Lumino-24h'!D11,'26.08 Musita-Lumino-24h'!D11,'28.08Musita-Lumino'!D11)</f>
        <v>0.7142857142857143</v>
      </c>
      <c r="E11" s="49">
        <f>AVERAGE('22.08 Musita-Lumino'!E11,'24.08 Musita-Lumino'!E11,'25.08 Musita-Lumino'!E11,'27.08 Musita-Lumino'!E11,'23.08 Musita-Lumino-24h'!E11,'26.08 Musita-Lumino-24h'!E11,'28.08Musita-Lumino'!E11)</f>
        <v>0.42857142857142855</v>
      </c>
      <c r="F11" s="49">
        <f>AVERAGE('22.08 Musita-Lumino'!F11,'24.08 Musita-Lumino'!F11,'25.08 Musita-Lumino'!F11,'27.08 Musita-Lumino'!F11,'23.08 Musita-Lumino-24h'!F11,'26.08 Musita-Lumino-24h'!F11,'28.08Musita-Lumino'!F11)</f>
        <v>0.7142857142857143</v>
      </c>
      <c r="G11" s="49">
        <f>AVERAGE('22.08 Musita-Lumino'!G11,'24.08 Musita-Lumino'!G11,'25.08 Musita-Lumino'!G11,'27.08 Musita-Lumino'!G11,'23.08 Musita-Lumino-24h'!G11,'26.08 Musita-Lumino-24h'!G11,'28.08Musita-Lumino'!G11)</f>
        <v>0</v>
      </c>
      <c r="H11" s="49">
        <f>AVERAGE('22.08 Musita-Lumino'!H11,'24.08 Musita-Lumino'!H11,'25.08 Musita-Lumino'!H11,'27.08 Musita-Lumino'!H11,'23.08 Musita-Lumino-24h'!H11,'26.08 Musita-Lumino-24h'!H11,'28.08Musita-Lumino'!H11)</f>
        <v>0</v>
      </c>
      <c r="I11" s="49">
        <f>AVERAGE('22.08 Musita-Lumino'!I11,'24.08 Musita-Lumino'!I11,'25.08 Musita-Lumino'!I11,'27.08 Musita-Lumino'!I11,'23.08 Musita-Lumino-24h'!I11,'26.08 Musita-Lumino-24h'!I11,'28.08Musita-Lumino'!I11)</f>
        <v>2</v>
      </c>
      <c r="J11" s="49">
        <f>AVERAGE('22.08 Musita-Lumino'!J11,'24.08 Musita-Lumino'!J11,'25.08 Musita-Lumino'!J11,'27.08 Musita-Lumino'!J11,'23.08 Musita-Lumino-24h'!J11,'26.08 Musita-Lumino-24h'!J11,'28.08Musita-Lumino'!J11)</f>
        <v>3.7142857142857144</v>
      </c>
      <c r="K11" s="49">
        <f>AVERAGE('22.08 Musita-Lumino'!K11,'24.08 Musita-Lumino'!K11,'25.08 Musita-Lumino'!K11,'27.08 Musita-Lumino'!K11,'23.08 Musita-Lumino-24h'!K11,'26.08 Musita-Lumino-24h'!K11,'28.08Musita-Lumino'!K11)</f>
        <v>2.2857142857142856</v>
      </c>
      <c r="L11" s="49">
        <f>AVERAGE('22.08 Musita-Lumino'!L11,'24.08 Musita-Lumino'!L11,'25.08 Musita-Lumino'!L11,'27.08 Musita-Lumino'!L11,'23.08 Musita-Lumino-24h'!L11,'26.08 Musita-Lumino-24h'!L11,'28.08Musita-Lumino'!L11)</f>
        <v>0.2857142857142857</v>
      </c>
      <c r="M11" s="49">
        <f>AVERAGE('22.08 Musita-Lumino'!M11,'24.08 Musita-Lumino'!M11,'25.08 Musita-Lumino'!M11,'27.08 Musita-Lumino'!M11,'23.08 Musita-Lumino-24h'!M11,'26.08 Musita-Lumino-24h'!M11,'28.08Musita-Lumino'!M11)</f>
        <v>26.857142857142858</v>
      </c>
      <c r="N11" s="49">
        <f>AVERAGE('22.08 Musita-Lumino'!N11,'24.08 Musita-Lumino'!N11,'25.08 Musita-Lumino'!N11,'27.08 Musita-Lumino'!N11,'23.08 Musita-Lumino-24h'!N11,'26.08 Musita-Lumino-24h'!N11,'28.08Musita-Lumino'!N11)</f>
        <v>0.7142857142857143</v>
      </c>
      <c r="O11" s="15">
        <f t="shared" si="0"/>
        <v>13.571428571428569</v>
      </c>
      <c r="P11" s="15">
        <f t="shared" si="1"/>
        <v>40.428571428571431</v>
      </c>
      <c r="R11" s="1" t="s">
        <v>7</v>
      </c>
      <c r="S11" s="17">
        <f t="shared" ref="S11:AF11" si="3">SUM(C14:C17)</f>
        <v>11.142857142857142</v>
      </c>
      <c r="T11" s="17">
        <f t="shared" si="3"/>
        <v>6.1428571428571423</v>
      </c>
      <c r="U11" s="17">
        <f t="shared" si="3"/>
        <v>3</v>
      </c>
      <c r="V11" s="17">
        <f t="shared" si="3"/>
        <v>2.2857142857142856</v>
      </c>
      <c r="W11" s="17">
        <f t="shared" si="3"/>
        <v>0.5714285714285714</v>
      </c>
      <c r="X11" s="17">
        <f t="shared" si="3"/>
        <v>0</v>
      </c>
      <c r="Y11" s="17">
        <f t="shared" si="3"/>
        <v>6.8571428571428577</v>
      </c>
      <c r="Z11" s="17">
        <f t="shared" si="3"/>
        <v>10.142857142857142</v>
      </c>
      <c r="AA11" s="17">
        <f t="shared" si="3"/>
        <v>2.1428571428571428</v>
      </c>
      <c r="AB11" s="17">
        <f t="shared" si="3"/>
        <v>1.4285714285714286</v>
      </c>
      <c r="AC11" s="17">
        <f t="shared" si="3"/>
        <v>146.42857142857144</v>
      </c>
      <c r="AD11" s="17">
        <f t="shared" si="3"/>
        <v>0.42857142857142855</v>
      </c>
      <c r="AE11" s="31">
        <f t="shared" si="3"/>
        <v>44.142857142857139</v>
      </c>
      <c r="AF11" s="31">
        <f t="shared" si="3"/>
        <v>190.57142857142858</v>
      </c>
    </row>
    <row r="12" spans="2:32" ht="23.1" customHeight="1" x14ac:dyDescent="0.25">
      <c r="B12" s="23" t="s">
        <v>39</v>
      </c>
      <c r="C12" s="49">
        <f>AVERAGE('22.08 Musita-Lumino'!C12,'24.08 Musita-Lumino'!C12,'25.08 Musita-Lumino'!C12,'27.08 Musita-Lumino'!C12,'23.08 Musita-Lumino-24h'!C12,'26.08 Musita-Lumino-24h'!C12,'28.08Musita-Lumino'!C12)</f>
        <v>1.8571428571428572</v>
      </c>
      <c r="D12" s="49">
        <f>AVERAGE('22.08 Musita-Lumino'!D12,'24.08 Musita-Lumino'!D12,'25.08 Musita-Lumino'!D12,'27.08 Musita-Lumino'!D12,'23.08 Musita-Lumino-24h'!D12,'26.08 Musita-Lumino-24h'!D12,'28.08Musita-Lumino'!D12)</f>
        <v>1.4285714285714286</v>
      </c>
      <c r="E12" s="49">
        <f>AVERAGE('22.08 Musita-Lumino'!E12,'24.08 Musita-Lumino'!E12,'25.08 Musita-Lumino'!E12,'27.08 Musita-Lumino'!E12,'23.08 Musita-Lumino-24h'!E12,'26.08 Musita-Lumino-24h'!E12,'28.08Musita-Lumino'!E12)</f>
        <v>0.14285714285714285</v>
      </c>
      <c r="F12" s="49">
        <f>AVERAGE('22.08 Musita-Lumino'!F12,'24.08 Musita-Lumino'!F12,'25.08 Musita-Lumino'!F12,'27.08 Musita-Lumino'!F12,'23.08 Musita-Lumino-24h'!F12,'26.08 Musita-Lumino-24h'!F12,'28.08Musita-Lumino'!F12)</f>
        <v>0.14285714285714285</v>
      </c>
      <c r="G12" s="49">
        <f>AVERAGE('22.08 Musita-Lumino'!G12,'24.08 Musita-Lumino'!G12,'25.08 Musita-Lumino'!G12,'27.08 Musita-Lumino'!G12,'23.08 Musita-Lumino-24h'!G12,'26.08 Musita-Lumino-24h'!G12,'28.08Musita-Lumino'!G12)</f>
        <v>0</v>
      </c>
      <c r="H12" s="49">
        <f>AVERAGE('22.08 Musita-Lumino'!H12,'24.08 Musita-Lumino'!H12,'25.08 Musita-Lumino'!H12,'27.08 Musita-Lumino'!H12,'23.08 Musita-Lumino-24h'!H12,'26.08 Musita-Lumino-24h'!H12,'28.08Musita-Lumino'!H12)</f>
        <v>0</v>
      </c>
      <c r="I12" s="49">
        <f>AVERAGE('22.08 Musita-Lumino'!I12,'24.08 Musita-Lumino'!I12,'25.08 Musita-Lumino'!I12,'27.08 Musita-Lumino'!I12,'23.08 Musita-Lumino-24h'!I12,'26.08 Musita-Lumino-24h'!I12,'28.08Musita-Lumino'!I12)</f>
        <v>1.8571428571428572</v>
      </c>
      <c r="J12" s="49">
        <f>AVERAGE('22.08 Musita-Lumino'!J12,'24.08 Musita-Lumino'!J12,'25.08 Musita-Lumino'!J12,'27.08 Musita-Lumino'!J12,'23.08 Musita-Lumino-24h'!J12,'26.08 Musita-Lumino-24h'!J12,'28.08Musita-Lumino'!J12)</f>
        <v>2.5714285714285716</v>
      </c>
      <c r="K12" s="49">
        <f>AVERAGE('22.08 Musita-Lumino'!K12,'24.08 Musita-Lumino'!K12,'25.08 Musita-Lumino'!K12,'27.08 Musita-Lumino'!K12,'23.08 Musita-Lumino-24h'!K12,'26.08 Musita-Lumino-24h'!K12,'28.08Musita-Lumino'!K12)</f>
        <v>1.7142857142857142</v>
      </c>
      <c r="L12" s="49">
        <f>AVERAGE('22.08 Musita-Lumino'!L12,'24.08 Musita-Lumino'!L12,'25.08 Musita-Lumino'!L12,'27.08 Musita-Lumino'!L12,'23.08 Musita-Lumino-24h'!L12,'26.08 Musita-Lumino-24h'!L12,'28.08Musita-Lumino'!L12)</f>
        <v>0.2857142857142857</v>
      </c>
      <c r="M12" s="49">
        <f>AVERAGE('22.08 Musita-Lumino'!M12,'24.08 Musita-Lumino'!M12,'25.08 Musita-Lumino'!M12,'27.08 Musita-Lumino'!M12,'23.08 Musita-Lumino-24h'!M12,'26.08 Musita-Lumino-24h'!M12,'28.08Musita-Lumino'!M12)</f>
        <v>35.571428571428569</v>
      </c>
      <c r="N12" s="49">
        <f>AVERAGE('22.08 Musita-Lumino'!N12,'24.08 Musita-Lumino'!N12,'25.08 Musita-Lumino'!N12,'27.08 Musita-Lumino'!N12,'23.08 Musita-Lumino-24h'!N12,'26.08 Musita-Lumino-24h'!N12,'28.08Musita-Lumino'!N12)</f>
        <v>0.14285714285714285</v>
      </c>
      <c r="O12" s="15">
        <f t="shared" si="0"/>
        <v>10.142857142857142</v>
      </c>
      <c r="P12" s="15">
        <f t="shared" si="1"/>
        <v>45.714285714285715</v>
      </c>
      <c r="R12" s="1" t="s">
        <v>8</v>
      </c>
      <c r="S12" s="17">
        <f t="shared" ref="S12:AF12" si="4">SUM(C18:C21)</f>
        <v>14.142857142857142</v>
      </c>
      <c r="T12" s="17">
        <f t="shared" si="4"/>
        <v>6.1428571428571423</v>
      </c>
      <c r="U12" s="17">
        <f t="shared" si="4"/>
        <v>2.7142857142857144</v>
      </c>
      <c r="V12" s="17">
        <f t="shared" si="4"/>
        <v>3.1428571428571428</v>
      </c>
      <c r="W12" s="17">
        <f t="shared" si="4"/>
        <v>0</v>
      </c>
      <c r="X12" s="17">
        <f t="shared" si="4"/>
        <v>0</v>
      </c>
      <c r="Y12" s="17">
        <f t="shared" si="4"/>
        <v>6.1428571428571432</v>
      </c>
      <c r="Z12" s="17">
        <f t="shared" si="4"/>
        <v>6.1428571428571423</v>
      </c>
      <c r="AA12" s="17">
        <f t="shared" si="4"/>
        <v>3.2857142857142856</v>
      </c>
      <c r="AB12" s="17">
        <f t="shared" si="4"/>
        <v>0.71428571428571419</v>
      </c>
      <c r="AC12" s="17">
        <f t="shared" si="4"/>
        <v>150.28571428571428</v>
      </c>
      <c r="AD12" s="17">
        <f t="shared" si="4"/>
        <v>0.2857142857142857</v>
      </c>
      <c r="AE12" s="31">
        <f t="shared" si="4"/>
        <v>42.714285714285708</v>
      </c>
      <c r="AF12" s="31">
        <f t="shared" si="4"/>
        <v>193</v>
      </c>
    </row>
    <row r="13" spans="2:32" ht="23.1" customHeight="1" x14ac:dyDescent="0.25">
      <c r="B13" s="23" t="s">
        <v>40</v>
      </c>
      <c r="C13" s="49">
        <f>AVERAGE('22.08 Musita-Lumino'!C13,'24.08 Musita-Lumino'!C13,'25.08 Musita-Lumino'!C13,'27.08 Musita-Lumino'!C13,'23.08 Musita-Lumino-24h'!C13,'26.08 Musita-Lumino-24h'!C13,'28.08Musita-Lumino'!C13)</f>
        <v>2.4285714285714284</v>
      </c>
      <c r="D13" s="49">
        <f>AVERAGE('22.08 Musita-Lumino'!D13,'24.08 Musita-Lumino'!D13,'25.08 Musita-Lumino'!D13,'27.08 Musita-Lumino'!D13,'23.08 Musita-Lumino-24h'!D13,'26.08 Musita-Lumino-24h'!D13,'28.08Musita-Lumino'!D13)</f>
        <v>1</v>
      </c>
      <c r="E13" s="49">
        <f>AVERAGE('22.08 Musita-Lumino'!E13,'24.08 Musita-Lumino'!E13,'25.08 Musita-Lumino'!E13,'27.08 Musita-Lumino'!E13,'23.08 Musita-Lumino-24h'!E13,'26.08 Musita-Lumino-24h'!E13,'28.08Musita-Lumino'!E13)</f>
        <v>1.2857142857142858</v>
      </c>
      <c r="F13" s="49">
        <f>AVERAGE('22.08 Musita-Lumino'!F13,'24.08 Musita-Lumino'!F13,'25.08 Musita-Lumino'!F13,'27.08 Musita-Lumino'!F13,'23.08 Musita-Lumino-24h'!F13,'26.08 Musita-Lumino-24h'!F13,'28.08Musita-Lumino'!F13)</f>
        <v>0.7142857142857143</v>
      </c>
      <c r="G13" s="49">
        <f>AVERAGE('22.08 Musita-Lumino'!G13,'24.08 Musita-Lumino'!G13,'25.08 Musita-Lumino'!G13,'27.08 Musita-Lumino'!G13,'23.08 Musita-Lumino-24h'!G13,'26.08 Musita-Lumino-24h'!G13,'28.08Musita-Lumino'!G13)</f>
        <v>0</v>
      </c>
      <c r="H13" s="49">
        <f>AVERAGE('22.08 Musita-Lumino'!H13,'24.08 Musita-Lumino'!H13,'25.08 Musita-Lumino'!H13,'27.08 Musita-Lumino'!H13,'23.08 Musita-Lumino-24h'!H13,'26.08 Musita-Lumino-24h'!H13,'28.08Musita-Lumino'!H13)</f>
        <v>0</v>
      </c>
      <c r="I13" s="49">
        <f>AVERAGE('22.08 Musita-Lumino'!I13,'24.08 Musita-Lumino'!I13,'25.08 Musita-Lumino'!I13,'27.08 Musita-Lumino'!I13,'23.08 Musita-Lumino-24h'!I13,'26.08 Musita-Lumino-24h'!I13,'28.08Musita-Lumino'!I13)</f>
        <v>2.8571428571428572</v>
      </c>
      <c r="J13" s="49">
        <f>AVERAGE('22.08 Musita-Lumino'!J13,'24.08 Musita-Lumino'!J13,'25.08 Musita-Lumino'!J13,'27.08 Musita-Lumino'!J13,'23.08 Musita-Lumino-24h'!J13,'26.08 Musita-Lumino-24h'!J13,'28.08Musita-Lumino'!J13)</f>
        <v>2.4285714285714284</v>
      </c>
      <c r="K13" s="49">
        <f>AVERAGE('22.08 Musita-Lumino'!K13,'24.08 Musita-Lumino'!K13,'25.08 Musita-Lumino'!K13,'27.08 Musita-Lumino'!K13,'23.08 Musita-Lumino-24h'!K13,'26.08 Musita-Lumino-24h'!K13,'28.08Musita-Lumino'!K13)</f>
        <v>2.1428571428571428</v>
      </c>
      <c r="L13" s="49">
        <f>AVERAGE('22.08 Musita-Lumino'!L13,'24.08 Musita-Lumino'!L13,'25.08 Musita-Lumino'!L13,'27.08 Musita-Lumino'!L13,'23.08 Musita-Lumino-24h'!L13,'26.08 Musita-Lumino-24h'!L13,'28.08Musita-Lumino'!L13)</f>
        <v>0.42857142857142855</v>
      </c>
      <c r="M13" s="49">
        <f>AVERAGE('22.08 Musita-Lumino'!M13,'24.08 Musita-Lumino'!M13,'25.08 Musita-Lumino'!M13,'27.08 Musita-Lumino'!M13,'23.08 Musita-Lumino-24h'!M13,'26.08 Musita-Lumino-24h'!M13,'28.08Musita-Lumino'!M13)</f>
        <v>42.714285714285715</v>
      </c>
      <c r="N13" s="49">
        <f>AVERAGE('22.08 Musita-Lumino'!N13,'24.08 Musita-Lumino'!N13,'25.08 Musita-Lumino'!N13,'27.08 Musita-Lumino'!N13,'23.08 Musita-Lumino-24h'!N13,'26.08 Musita-Lumino-24h'!N13,'28.08Musita-Lumino'!N13)</f>
        <v>0.14285714285714285</v>
      </c>
      <c r="O13" s="15">
        <f t="shared" si="0"/>
        <v>13.428571428571429</v>
      </c>
      <c r="P13" s="15">
        <f t="shared" si="1"/>
        <v>56.142857142857146</v>
      </c>
      <c r="R13" s="1" t="s">
        <v>9</v>
      </c>
      <c r="S13" s="17">
        <f t="shared" ref="S13:AF13" si="5">SUM(C22:C25)</f>
        <v>16.857142857142858</v>
      </c>
      <c r="T13" s="17">
        <f t="shared" si="5"/>
        <v>6.2857142857142865</v>
      </c>
      <c r="U13" s="17">
        <f t="shared" si="5"/>
        <v>3.7142857142857144</v>
      </c>
      <c r="V13" s="17">
        <f t="shared" si="5"/>
        <v>5.4285714285714288</v>
      </c>
      <c r="W13" s="17">
        <f t="shared" si="5"/>
        <v>0.2857142857142857</v>
      </c>
      <c r="X13" s="17">
        <f t="shared" si="5"/>
        <v>0.14285714285714285</v>
      </c>
      <c r="Y13" s="17">
        <f t="shared" si="5"/>
        <v>7.8571428571428568</v>
      </c>
      <c r="Z13" s="17">
        <f t="shared" si="5"/>
        <v>7</v>
      </c>
      <c r="AA13" s="17">
        <f t="shared" si="5"/>
        <v>2.9999999999999996</v>
      </c>
      <c r="AB13" s="17">
        <f t="shared" si="5"/>
        <v>0.8571428571428571</v>
      </c>
      <c r="AC13" s="17">
        <f t="shared" si="5"/>
        <v>155.71428571428569</v>
      </c>
      <c r="AD13" s="17">
        <f t="shared" si="5"/>
        <v>0.14285714285714285</v>
      </c>
      <c r="AE13" s="31">
        <f t="shared" si="5"/>
        <v>51.571428571428577</v>
      </c>
      <c r="AF13" s="31">
        <f t="shared" si="5"/>
        <v>207.28571428571428</v>
      </c>
    </row>
    <row r="14" spans="2:32" ht="23.1" customHeight="1" x14ac:dyDescent="0.25">
      <c r="B14" s="23" t="s">
        <v>41</v>
      </c>
      <c r="C14" s="49">
        <f>AVERAGE('22.08 Musita-Lumino'!C14,'24.08 Musita-Lumino'!C14,'25.08 Musita-Lumino'!C14,'27.08 Musita-Lumino'!C14,'23.08 Musita-Lumino-24h'!C14,'26.08 Musita-Lumino-24h'!C14,'28.08Musita-Lumino'!C14)</f>
        <v>3.4285714285714284</v>
      </c>
      <c r="D14" s="49">
        <f>AVERAGE('22.08 Musita-Lumino'!D14,'24.08 Musita-Lumino'!D14,'25.08 Musita-Lumino'!D14,'27.08 Musita-Lumino'!D14,'23.08 Musita-Lumino-24h'!D14,'26.08 Musita-Lumino-24h'!D14,'28.08Musita-Lumino'!D14)</f>
        <v>1.2857142857142858</v>
      </c>
      <c r="E14" s="49">
        <f>AVERAGE('22.08 Musita-Lumino'!E14,'24.08 Musita-Lumino'!E14,'25.08 Musita-Lumino'!E14,'27.08 Musita-Lumino'!E14,'23.08 Musita-Lumino-24h'!E14,'26.08 Musita-Lumino-24h'!E14,'28.08Musita-Lumino'!E14)</f>
        <v>0.42857142857142855</v>
      </c>
      <c r="F14" s="49">
        <f>AVERAGE('22.08 Musita-Lumino'!F14,'24.08 Musita-Lumino'!F14,'25.08 Musita-Lumino'!F14,'27.08 Musita-Lumino'!F14,'23.08 Musita-Lumino-24h'!F14,'26.08 Musita-Lumino-24h'!F14,'28.08Musita-Lumino'!F14)</f>
        <v>0</v>
      </c>
      <c r="G14" s="49">
        <f>AVERAGE('22.08 Musita-Lumino'!G14,'24.08 Musita-Lumino'!G14,'25.08 Musita-Lumino'!G14,'27.08 Musita-Lumino'!G14,'23.08 Musita-Lumino-24h'!G14,'26.08 Musita-Lumino-24h'!G14,'28.08Musita-Lumino'!G14)</f>
        <v>0</v>
      </c>
      <c r="H14" s="49">
        <f>AVERAGE('22.08 Musita-Lumino'!H14,'24.08 Musita-Lumino'!H14,'25.08 Musita-Lumino'!H14,'27.08 Musita-Lumino'!H14,'23.08 Musita-Lumino-24h'!H14,'26.08 Musita-Lumino-24h'!H14,'28.08Musita-Lumino'!H14)</f>
        <v>0</v>
      </c>
      <c r="I14" s="49">
        <f>AVERAGE('22.08 Musita-Lumino'!I14,'24.08 Musita-Lumino'!I14,'25.08 Musita-Lumino'!I14,'27.08 Musita-Lumino'!I14,'23.08 Musita-Lumino-24h'!I14,'26.08 Musita-Lumino-24h'!I14,'28.08Musita-Lumino'!I14)</f>
        <v>1.7142857142857142</v>
      </c>
      <c r="J14" s="49">
        <f>AVERAGE('22.08 Musita-Lumino'!J14,'24.08 Musita-Lumino'!J14,'25.08 Musita-Lumino'!J14,'27.08 Musita-Lumino'!J14,'23.08 Musita-Lumino-24h'!J14,'26.08 Musita-Lumino-24h'!J14,'28.08Musita-Lumino'!J14)</f>
        <v>2.7142857142857144</v>
      </c>
      <c r="K14" s="49">
        <f>AVERAGE('22.08 Musita-Lumino'!K14,'24.08 Musita-Lumino'!K14,'25.08 Musita-Lumino'!K14,'27.08 Musita-Lumino'!K14,'23.08 Musita-Lumino-24h'!K14,'26.08 Musita-Lumino-24h'!K14,'28.08Musita-Lumino'!K14)</f>
        <v>0.42857142857142855</v>
      </c>
      <c r="L14" s="49">
        <f>AVERAGE('22.08 Musita-Lumino'!L14,'24.08 Musita-Lumino'!L14,'25.08 Musita-Lumino'!L14,'27.08 Musita-Lumino'!L14,'23.08 Musita-Lumino-24h'!L14,'26.08 Musita-Lumino-24h'!L14,'28.08Musita-Lumino'!L14)</f>
        <v>0.42857142857142855</v>
      </c>
      <c r="M14" s="49">
        <f>AVERAGE('22.08 Musita-Lumino'!M14,'24.08 Musita-Lumino'!M14,'25.08 Musita-Lumino'!M14,'27.08 Musita-Lumino'!M14,'23.08 Musita-Lumino-24h'!M14,'26.08 Musita-Lumino-24h'!M14,'28.08Musita-Lumino'!M14)</f>
        <v>34.285714285714285</v>
      </c>
      <c r="N14" s="49">
        <f>AVERAGE('22.08 Musita-Lumino'!N14,'24.08 Musita-Lumino'!N14,'25.08 Musita-Lumino'!N14,'27.08 Musita-Lumino'!N14,'23.08 Musita-Lumino-24h'!N14,'26.08 Musita-Lumino-24h'!N14,'28.08Musita-Lumino'!N14)</f>
        <v>0.14285714285714285</v>
      </c>
      <c r="O14" s="15">
        <f t="shared" si="0"/>
        <v>10.571428571428573</v>
      </c>
      <c r="P14" s="15">
        <f t="shared" si="1"/>
        <v>44.857142857142861</v>
      </c>
      <c r="R14" s="1" t="s">
        <v>10</v>
      </c>
      <c r="S14" s="17">
        <f t="shared" ref="S14:AF14" si="6">SUM(C26:C29)</f>
        <v>19.142857142857142</v>
      </c>
      <c r="T14" s="17">
        <f t="shared" si="6"/>
        <v>5</v>
      </c>
      <c r="U14" s="17">
        <f t="shared" si="6"/>
        <v>2.1428571428571428</v>
      </c>
      <c r="V14" s="17">
        <f t="shared" si="6"/>
        <v>7.2857142857142865</v>
      </c>
      <c r="W14" s="17">
        <f t="shared" si="6"/>
        <v>0.5714285714285714</v>
      </c>
      <c r="X14" s="17">
        <f t="shared" si="6"/>
        <v>0</v>
      </c>
      <c r="Y14" s="17">
        <f t="shared" si="6"/>
        <v>5.4285714285714288</v>
      </c>
      <c r="Z14" s="17">
        <f t="shared" si="6"/>
        <v>7.4285714285714279</v>
      </c>
      <c r="AA14" s="17">
        <f t="shared" si="6"/>
        <v>2.2857142857142856</v>
      </c>
      <c r="AB14" s="17">
        <f t="shared" si="6"/>
        <v>1.5714285714285714</v>
      </c>
      <c r="AC14" s="17">
        <f t="shared" si="6"/>
        <v>200.71428571428572</v>
      </c>
      <c r="AD14" s="17">
        <f t="shared" si="6"/>
        <v>0.42857142857142855</v>
      </c>
      <c r="AE14" s="31">
        <f t="shared" si="6"/>
        <v>51.285714285714292</v>
      </c>
      <c r="AF14" s="31">
        <f t="shared" si="6"/>
        <v>252</v>
      </c>
    </row>
    <row r="15" spans="2:32" ht="23.1" customHeight="1" x14ac:dyDescent="0.25">
      <c r="B15" s="23" t="s">
        <v>42</v>
      </c>
      <c r="C15" s="49">
        <f>AVERAGE('22.08 Musita-Lumino'!C15,'24.08 Musita-Lumino'!C15,'25.08 Musita-Lumino'!C15,'27.08 Musita-Lumino'!C15,'23.08 Musita-Lumino-24h'!C15,'26.08 Musita-Lumino-24h'!C15,'28.08Musita-Lumino'!C15)</f>
        <v>2.1428571428571428</v>
      </c>
      <c r="D15" s="49">
        <f>AVERAGE('22.08 Musita-Lumino'!D15,'24.08 Musita-Lumino'!D15,'25.08 Musita-Lumino'!D15,'27.08 Musita-Lumino'!D15,'23.08 Musita-Lumino-24h'!D15,'26.08 Musita-Lumino-24h'!D15,'28.08Musita-Lumino'!D15)</f>
        <v>0.8571428571428571</v>
      </c>
      <c r="E15" s="49">
        <f>AVERAGE('22.08 Musita-Lumino'!E15,'24.08 Musita-Lumino'!E15,'25.08 Musita-Lumino'!E15,'27.08 Musita-Lumino'!E15,'23.08 Musita-Lumino-24h'!E15,'26.08 Musita-Lumino-24h'!E15,'28.08Musita-Lumino'!E15)</f>
        <v>0.5714285714285714</v>
      </c>
      <c r="F15" s="49">
        <f>AVERAGE('22.08 Musita-Lumino'!F15,'24.08 Musita-Lumino'!F15,'25.08 Musita-Lumino'!F15,'27.08 Musita-Lumino'!F15,'23.08 Musita-Lumino-24h'!F15,'26.08 Musita-Lumino-24h'!F15,'28.08Musita-Lumino'!F15)</f>
        <v>0.5714285714285714</v>
      </c>
      <c r="G15" s="49">
        <f>AVERAGE('22.08 Musita-Lumino'!G15,'24.08 Musita-Lumino'!G15,'25.08 Musita-Lumino'!G15,'27.08 Musita-Lumino'!G15,'23.08 Musita-Lumino-24h'!G15,'26.08 Musita-Lumino-24h'!G15,'28.08Musita-Lumino'!G15)</f>
        <v>0</v>
      </c>
      <c r="H15" s="49">
        <f>AVERAGE('22.08 Musita-Lumino'!H15,'24.08 Musita-Lumino'!H15,'25.08 Musita-Lumino'!H15,'27.08 Musita-Lumino'!H15,'23.08 Musita-Lumino-24h'!H15,'26.08 Musita-Lumino-24h'!H15,'28.08Musita-Lumino'!H15)</f>
        <v>0</v>
      </c>
      <c r="I15" s="49">
        <f>AVERAGE('22.08 Musita-Lumino'!I15,'24.08 Musita-Lumino'!I15,'25.08 Musita-Lumino'!I15,'27.08 Musita-Lumino'!I15,'23.08 Musita-Lumino-24h'!I15,'26.08 Musita-Lumino-24h'!I15,'28.08Musita-Lumino'!I15)</f>
        <v>1.5714285714285714</v>
      </c>
      <c r="J15" s="49">
        <f>AVERAGE('22.08 Musita-Lumino'!J15,'24.08 Musita-Lumino'!J15,'25.08 Musita-Lumino'!J15,'27.08 Musita-Lumino'!J15,'23.08 Musita-Lumino-24h'!J15,'26.08 Musita-Lumino-24h'!J15,'28.08Musita-Lumino'!J15)</f>
        <v>2.1428571428571428</v>
      </c>
      <c r="K15" s="49">
        <f>AVERAGE('22.08 Musita-Lumino'!K15,'24.08 Musita-Lumino'!K15,'25.08 Musita-Lumino'!K15,'27.08 Musita-Lumino'!K15,'23.08 Musita-Lumino-24h'!K15,'26.08 Musita-Lumino-24h'!K15,'28.08Musita-Lumino'!K15)</f>
        <v>0.7142857142857143</v>
      </c>
      <c r="L15" s="49">
        <f>AVERAGE('22.08 Musita-Lumino'!L15,'24.08 Musita-Lumino'!L15,'25.08 Musita-Lumino'!L15,'27.08 Musita-Lumino'!L15,'23.08 Musita-Lumino-24h'!L15,'26.08 Musita-Lumino-24h'!L15,'28.08Musita-Lumino'!L15)</f>
        <v>0.42857142857142855</v>
      </c>
      <c r="M15" s="49">
        <f>AVERAGE('22.08 Musita-Lumino'!M15,'24.08 Musita-Lumino'!M15,'25.08 Musita-Lumino'!M15,'27.08 Musita-Lumino'!M15,'23.08 Musita-Lumino-24h'!M15,'26.08 Musita-Lumino-24h'!M15,'28.08Musita-Lumino'!M15)</f>
        <v>30.571428571428573</v>
      </c>
      <c r="N15" s="49">
        <f>AVERAGE('22.08 Musita-Lumino'!N15,'24.08 Musita-Lumino'!N15,'25.08 Musita-Lumino'!N15,'27.08 Musita-Lumino'!N15,'23.08 Musita-Lumino-24h'!N15,'26.08 Musita-Lumino-24h'!N15,'28.08Musita-Lumino'!N15)</f>
        <v>0.14285714285714285</v>
      </c>
      <c r="O15" s="15">
        <f t="shared" si="0"/>
        <v>9.1428571428571406</v>
      </c>
      <c r="P15" s="15">
        <f t="shared" si="1"/>
        <v>39.714285714285715</v>
      </c>
      <c r="R15" s="1" t="s">
        <v>11</v>
      </c>
      <c r="S15" s="17">
        <f t="shared" ref="S15:AF15" si="7">SUM(C30:C33)</f>
        <v>18</v>
      </c>
      <c r="T15" s="17">
        <f t="shared" si="7"/>
        <v>4.2857142857142847</v>
      </c>
      <c r="U15" s="17">
        <f t="shared" si="7"/>
        <v>5.1428571428571432</v>
      </c>
      <c r="V15" s="17">
        <f t="shared" si="7"/>
        <v>7.5714285714285712</v>
      </c>
      <c r="W15" s="17">
        <f t="shared" si="7"/>
        <v>0.42857142857142855</v>
      </c>
      <c r="X15" s="17">
        <f t="shared" si="7"/>
        <v>0.14285714285714285</v>
      </c>
      <c r="Y15" s="17">
        <f t="shared" si="7"/>
        <v>8.8571428571428577</v>
      </c>
      <c r="Z15" s="17">
        <f t="shared" si="7"/>
        <v>6.8571428571428568</v>
      </c>
      <c r="AA15" s="17">
        <f t="shared" si="7"/>
        <v>1.1428571428571428</v>
      </c>
      <c r="AB15" s="17">
        <f t="shared" si="7"/>
        <v>1.7142857142857142</v>
      </c>
      <c r="AC15" s="17">
        <f t="shared" si="7"/>
        <v>182</v>
      </c>
      <c r="AD15" s="17">
        <f t="shared" si="7"/>
        <v>0.42857142857142855</v>
      </c>
      <c r="AE15" s="31">
        <f t="shared" si="7"/>
        <v>54.571428571428569</v>
      </c>
      <c r="AF15" s="31">
        <f t="shared" si="7"/>
        <v>236.57142857142858</v>
      </c>
    </row>
    <row r="16" spans="2:32" ht="23.1" customHeight="1" x14ac:dyDescent="0.25">
      <c r="B16" s="23" t="s">
        <v>43</v>
      </c>
      <c r="C16" s="49">
        <f>AVERAGE('22.08 Musita-Lumino'!C16,'24.08 Musita-Lumino'!C16,'25.08 Musita-Lumino'!C16,'27.08 Musita-Lumino'!C16,'23.08 Musita-Lumino-24h'!C16,'26.08 Musita-Lumino-24h'!C16,'28.08Musita-Lumino'!C16)</f>
        <v>2.8571428571428572</v>
      </c>
      <c r="D16" s="49">
        <f>AVERAGE('22.08 Musita-Lumino'!D16,'24.08 Musita-Lumino'!D16,'25.08 Musita-Lumino'!D16,'27.08 Musita-Lumino'!D16,'23.08 Musita-Lumino-24h'!D16,'26.08 Musita-Lumino-24h'!D16,'28.08Musita-Lumino'!D16)</f>
        <v>2.4285714285714284</v>
      </c>
      <c r="E16" s="49">
        <f>AVERAGE('22.08 Musita-Lumino'!E16,'24.08 Musita-Lumino'!E16,'25.08 Musita-Lumino'!E16,'27.08 Musita-Lumino'!E16,'23.08 Musita-Lumino-24h'!E16,'26.08 Musita-Lumino-24h'!E16,'28.08Musita-Lumino'!E16)</f>
        <v>0.8571428571428571</v>
      </c>
      <c r="F16" s="49">
        <f>AVERAGE('22.08 Musita-Lumino'!F16,'24.08 Musita-Lumino'!F16,'25.08 Musita-Lumino'!F16,'27.08 Musita-Lumino'!F16,'23.08 Musita-Lumino-24h'!F16,'26.08 Musita-Lumino-24h'!F16,'28.08Musita-Lumino'!F16)</f>
        <v>0.5714285714285714</v>
      </c>
      <c r="G16" s="49">
        <f>AVERAGE('22.08 Musita-Lumino'!G16,'24.08 Musita-Lumino'!G16,'25.08 Musita-Lumino'!G16,'27.08 Musita-Lumino'!G16,'23.08 Musita-Lumino-24h'!G16,'26.08 Musita-Lumino-24h'!G16,'28.08Musita-Lumino'!G16)</f>
        <v>0.2857142857142857</v>
      </c>
      <c r="H16" s="49">
        <f>AVERAGE('22.08 Musita-Lumino'!H16,'24.08 Musita-Lumino'!H16,'25.08 Musita-Lumino'!H16,'27.08 Musita-Lumino'!H16,'23.08 Musita-Lumino-24h'!H16,'26.08 Musita-Lumino-24h'!H16,'28.08Musita-Lumino'!H16)</f>
        <v>0</v>
      </c>
      <c r="I16" s="49">
        <f>AVERAGE('22.08 Musita-Lumino'!I16,'24.08 Musita-Lumino'!I16,'25.08 Musita-Lumino'!I16,'27.08 Musita-Lumino'!I16,'23.08 Musita-Lumino-24h'!I16,'26.08 Musita-Lumino-24h'!I16,'28.08Musita-Lumino'!I16)</f>
        <v>2.1428571428571428</v>
      </c>
      <c r="J16" s="49">
        <f>AVERAGE('22.08 Musita-Lumino'!J16,'24.08 Musita-Lumino'!J16,'25.08 Musita-Lumino'!J16,'27.08 Musita-Lumino'!J16,'23.08 Musita-Lumino-24h'!J16,'26.08 Musita-Lumino-24h'!J16,'28.08Musita-Lumino'!J16)</f>
        <v>3</v>
      </c>
      <c r="K16" s="49">
        <f>AVERAGE('22.08 Musita-Lumino'!K16,'24.08 Musita-Lumino'!K16,'25.08 Musita-Lumino'!K16,'27.08 Musita-Lumino'!K16,'23.08 Musita-Lumino-24h'!K16,'26.08 Musita-Lumino-24h'!K16,'28.08Musita-Lumino'!K16)</f>
        <v>0.2857142857142857</v>
      </c>
      <c r="L16" s="49">
        <f>AVERAGE('22.08 Musita-Lumino'!L16,'24.08 Musita-Lumino'!L16,'25.08 Musita-Lumino'!L16,'27.08 Musita-Lumino'!L16,'23.08 Musita-Lumino-24h'!L16,'26.08 Musita-Lumino-24h'!L16,'28.08Musita-Lumino'!L16)</f>
        <v>0.14285714285714285</v>
      </c>
      <c r="M16" s="49">
        <f>AVERAGE('22.08 Musita-Lumino'!M16,'24.08 Musita-Lumino'!M16,'25.08 Musita-Lumino'!M16,'27.08 Musita-Lumino'!M16,'23.08 Musita-Lumino-24h'!M16,'26.08 Musita-Lumino-24h'!M16,'28.08Musita-Lumino'!M16)</f>
        <v>43.142857142857146</v>
      </c>
      <c r="N16" s="49">
        <f>AVERAGE('22.08 Musita-Lumino'!N16,'24.08 Musita-Lumino'!N16,'25.08 Musita-Lumino'!N16,'27.08 Musita-Lumino'!N16,'23.08 Musita-Lumino-24h'!N16,'26.08 Musita-Lumino-24h'!N16,'28.08Musita-Lumino'!N16)</f>
        <v>0</v>
      </c>
      <c r="O16" s="15">
        <f t="shared" si="0"/>
        <v>12.571428571428571</v>
      </c>
      <c r="P16" s="15">
        <f t="shared" si="1"/>
        <v>55.714285714285715</v>
      </c>
      <c r="R16" s="1" t="s">
        <v>12</v>
      </c>
      <c r="S16" s="17">
        <f t="shared" ref="S16:AF16" si="8">SUM(C34:C37)</f>
        <v>19.142857142857142</v>
      </c>
      <c r="T16" s="17">
        <f t="shared" si="8"/>
        <v>3.1428571428571428</v>
      </c>
      <c r="U16" s="17">
        <f t="shared" si="8"/>
        <v>3.5714285714285712</v>
      </c>
      <c r="V16" s="17">
        <f t="shared" si="8"/>
        <v>6.5714285714285712</v>
      </c>
      <c r="W16" s="17">
        <f t="shared" si="8"/>
        <v>1.1428571428571428</v>
      </c>
      <c r="X16" s="17">
        <f t="shared" si="8"/>
        <v>0.42857142857142855</v>
      </c>
      <c r="Y16" s="17">
        <f t="shared" si="8"/>
        <v>8.2857142857142865</v>
      </c>
      <c r="Z16" s="17">
        <f t="shared" si="8"/>
        <v>8.7142857142857135</v>
      </c>
      <c r="AA16" s="17">
        <f t="shared" si="8"/>
        <v>1.5714285714285714</v>
      </c>
      <c r="AB16" s="17">
        <f t="shared" si="8"/>
        <v>2.4285714285714288</v>
      </c>
      <c r="AC16" s="17">
        <f t="shared" si="8"/>
        <v>157.85714285714286</v>
      </c>
      <c r="AD16" s="17">
        <f t="shared" si="8"/>
        <v>0.85714285714285698</v>
      </c>
      <c r="AE16" s="31">
        <f t="shared" si="8"/>
        <v>55.857142857142854</v>
      </c>
      <c r="AF16" s="31">
        <f t="shared" si="8"/>
        <v>213.71428571428572</v>
      </c>
    </row>
    <row r="17" spans="2:32" ht="23.1" customHeight="1" x14ac:dyDescent="0.25">
      <c r="B17" s="23" t="s">
        <v>44</v>
      </c>
      <c r="C17" s="49">
        <f>AVERAGE('22.08 Musita-Lumino'!C17,'24.08 Musita-Lumino'!C17,'25.08 Musita-Lumino'!C17,'27.08 Musita-Lumino'!C17,'23.08 Musita-Lumino-24h'!C17,'26.08 Musita-Lumino-24h'!C17,'28.08Musita-Lumino'!C17)</f>
        <v>2.7142857142857144</v>
      </c>
      <c r="D17" s="49">
        <f>AVERAGE('22.08 Musita-Lumino'!D17,'24.08 Musita-Lumino'!D17,'25.08 Musita-Lumino'!D17,'27.08 Musita-Lumino'!D17,'23.08 Musita-Lumino-24h'!D17,'26.08 Musita-Lumino-24h'!D17,'28.08Musita-Lumino'!D17)</f>
        <v>1.5714285714285714</v>
      </c>
      <c r="E17" s="49">
        <f>AVERAGE('22.08 Musita-Lumino'!E17,'24.08 Musita-Lumino'!E17,'25.08 Musita-Lumino'!E17,'27.08 Musita-Lumino'!E17,'23.08 Musita-Lumino-24h'!E17,'26.08 Musita-Lumino-24h'!E17,'28.08Musita-Lumino'!E17)</f>
        <v>1.1428571428571428</v>
      </c>
      <c r="F17" s="49">
        <f>AVERAGE('22.08 Musita-Lumino'!F17,'24.08 Musita-Lumino'!F17,'25.08 Musita-Lumino'!F17,'27.08 Musita-Lumino'!F17,'23.08 Musita-Lumino-24h'!F17,'26.08 Musita-Lumino-24h'!F17,'28.08Musita-Lumino'!F17)</f>
        <v>1.1428571428571428</v>
      </c>
      <c r="G17" s="49">
        <f>AVERAGE('22.08 Musita-Lumino'!G17,'24.08 Musita-Lumino'!G17,'25.08 Musita-Lumino'!G17,'27.08 Musita-Lumino'!G17,'23.08 Musita-Lumino-24h'!G17,'26.08 Musita-Lumino-24h'!G17,'28.08Musita-Lumino'!G17)</f>
        <v>0.2857142857142857</v>
      </c>
      <c r="H17" s="49">
        <f>AVERAGE('22.08 Musita-Lumino'!H17,'24.08 Musita-Lumino'!H17,'25.08 Musita-Lumino'!H17,'27.08 Musita-Lumino'!H17,'23.08 Musita-Lumino-24h'!H17,'26.08 Musita-Lumino-24h'!H17,'28.08Musita-Lumino'!H17)</f>
        <v>0</v>
      </c>
      <c r="I17" s="49">
        <f>AVERAGE('22.08 Musita-Lumino'!I17,'24.08 Musita-Lumino'!I17,'25.08 Musita-Lumino'!I17,'27.08 Musita-Lumino'!I17,'23.08 Musita-Lumino-24h'!I17,'26.08 Musita-Lumino-24h'!I17,'28.08Musita-Lumino'!I17)</f>
        <v>1.4285714285714286</v>
      </c>
      <c r="J17" s="49">
        <f>AVERAGE('22.08 Musita-Lumino'!J17,'24.08 Musita-Lumino'!J17,'25.08 Musita-Lumino'!J17,'27.08 Musita-Lumino'!J17,'23.08 Musita-Lumino-24h'!J17,'26.08 Musita-Lumino-24h'!J17,'28.08Musita-Lumino'!J17)</f>
        <v>2.2857142857142856</v>
      </c>
      <c r="K17" s="49">
        <f>AVERAGE('22.08 Musita-Lumino'!K17,'24.08 Musita-Lumino'!K17,'25.08 Musita-Lumino'!K17,'27.08 Musita-Lumino'!K17,'23.08 Musita-Lumino-24h'!K17,'26.08 Musita-Lumino-24h'!K17,'28.08Musita-Lumino'!K17)</f>
        <v>0.7142857142857143</v>
      </c>
      <c r="L17" s="49">
        <f>AVERAGE('22.08 Musita-Lumino'!L17,'24.08 Musita-Lumino'!L17,'25.08 Musita-Lumino'!L17,'27.08 Musita-Lumino'!L17,'23.08 Musita-Lumino-24h'!L17,'26.08 Musita-Lumino-24h'!L17,'28.08Musita-Lumino'!L17)</f>
        <v>0.42857142857142855</v>
      </c>
      <c r="M17" s="49">
        <f>AVERAGE('22.08 Musita-Lumino'!M17,'24.08 Musita-Lumino'!M17,'25.08 Musita-Lumino'!M17,'27.08 Musita-Lumino'!M17,'23.08 Musita-Lumino-24h'!M17,'26.08 Musita-Lumino-24h'!M17,'28.08Musita-Lumino'!M17)</f>
        <v>38.428571428571431</v>
      </c>
      <c r="N17" s="49">
        <f>AVERAGE('22.08 Musita-Lumino'!N17,'24.08 Musita-Lumino'!N17,'25.08 Musita-Lumino'!N17,'27.08 Musita-Lumino'!N17,'23.08 Musita-Lumino-24h'!N17,'26.08 Musita-Lumino-24h'!N17,'28.08Musita-Lumino'!N17)</f>
        <v>0.14285714285714285</v>
      </c>
      <c r="O17" s="15">
        <f t="shared" si="0"/>
        <v>11.857142857142854</v>
      </c>
      <c r="P17" s="15">
        <f t="shared" si="1"/>
        <v>50.285714285714285</v>
      </c>
      <c r="R17" s="1" t="s">
        <v>13</v>
      </c>
      <c r="S17" s="17">
        <f t="shared" ref="S17:AF17" si="9">SUM(C38:C41)</f>
        <v>16.285714285714285</v>
      </c>
      <c r="T17" s="17">
        <f t="shared" si="9"/>
        <v>5.1428571428571423</v>
      </c>
      <c r="U17" s="17">
        <f t="shared" si="9"/>
        <v>2.7142857142857144</v>
      </c>
      <c r="V17" s="17">
        <f t="shared" si="9"/>
        <v>8.1428571428571423</v>
      </c>
      <c r="W17" s="17">
        <f t="shared" si="9"/>
        <v>0.8571428571428571</v>
      </c>
      <c r="X17" s="17">
        <f t="shared" si="9"/>
        <v>0.2857142857142857</v>
      </c>
      <c r="Y17" s="17">
        <f t="shared" si="9"/>
        <v>7.4285714285714288</v>
      </c>
      <c r="Z17" s="17">
        <f t="shared" si="9"/>
        <v>9.571428571428573</v>
      </c>
      <c r="AA17" s="17">
        <f t="shared" si="9"/>
        <v>2.8571428571428572</v>
      </c>
      <c r="AB17" s="17">
        <f t="shared" si="9"/>
        <v>0.71428571428571419</v>
      </c>
      <c r="AC17" s="17">
        <f t="shared" si="9"/>
        <v>139.71428571428572</v>
      </c>
      <c r="AD17" s="17">
        <f t="shared" si="9"/>
        <v>0.71428571428571419</v>
      </c>
      <c r="AE17" s="31">
        <f t="shared" si="9"/>
        <v>54.714285714285708</v>
      </c>
      <c r="AF17" s="31">
        <f t="shared" si="9"/>
        <v>194.42857142857144</v>
      </c>
    </row>
    <row r="18" spans="2:32" ht="23.1" customHeight="1" x14ac:dyDescent="0.25">
      <c r="B18" s="23" t="s">
        <v>45</v>
      </c>
      <c r="C18" s="49">
        <f>AVERAGE('22.08 Musita-Lumino'!C18,'24.08 Musita-Lumino'!C18,'25.08 Musita-Lumino'!C18,'27.08 Musita-Lumino'!C18,'23.08 Musita-Lumino-24h'!C18,'26.08 Musita-Lumino-24h'!C18,'28.08Musita-Lumino'!C18)</f>
        <v>3.2857142857142856</v>
      </c>
      <c r="D18" s="49">
        <f>AVERAGE('22.08 Musita-Lumino'!D18,'24.08 Musita-Lumino'!D18,'25.08 Musita-Lumino'!D18,'27.08 Musita-Lumino'!D18,'23.08 Musita-Lumino-24h'!D18,'26.08 Musita-Lumino-24h'!D18,'28.08Musita-Lumino'!D18)</f>
        <v>1.1428571428571428</v>
      </c>
      <c r="E18" s="49">
        <f>AVERAGE('22.08 Musita-Lumino'!E18,'24.08 Musita-Lumino'!E18,'25.08 Musita-Lumino'!E18,'27.08 Musita-Lumino'!E18,'23.08 Musita-Lumino-24h'!E18,'26.08 Musita-Lumino-24h'!E18,'28.08Musita-Lumino'!E18)</f>
        <v>0.5714285714285714</v>
      </c>
      <c r="F18" s="49">
        <f>AVERAGE('22.08 Musita-Lumino'!F18,'24.08 Musita-Lumino'!F18,'25.08 Musita-Lumino'!F18,'27.08 Musita-Lumino'!F18,'23.08 Musita-Lumino-24h'!F18,'26.08 Musita-Lumino-24h'!F18,'28.08Musita-Lumino'!F18)</f>
        <v>0.5714285714285714</v>
      </c>
      <c r="G18" s="49">
        <f>AVERAGE('22.08 Musita-Lumino'!G18,'24.08 Musita-Lumino'!G18,'25.08 Musita-Lumino'!G18,'27.08 Musita-Lumino'!G18,'23.08 Musita-Lumino-24h'!G18,'26.08 Musita-Lumino-24h'!G18,'28.08Musita-Lumino'!G18)</f>
        <v>0</v>
      </c>
      <c r="H18" s="49">
        <f>AVERAGE('22.08 Musita-Lumino'!H18,'24.08 Musita-Lumino'!H18,'25.08 Musita-Lumino'!H18,'27.08 Musita-Lumino'!H18,'23.08 Musita-Lumino-24h'!H18,'26.08 Musita-Lumino-24h'!H18,'28.08Musita-Lumino'!H18)</f>
        <v>0</v>
      </c>
      <c r="I18" s="49">
        <f>AVERAGE('22.08 Musita-Lumino'!I18,'24.08 Musita-Lumino'!I18,'25.08 Musita-Lumino'!I18,'27.08 Musita-Lumino'!I18,'23.08 Musita-Lumino-24h'!I18,'26.08 Musita-Lumino-24h'!I18,'28.08Musita-Lumino'!I18)</f>
        <v>1.8571428571428572</v>
      </c>
      <c r="J18" s="49">
        <f>AVERAGE('22.08 Musita-Lumino'!J18,'24.08 Musita-Lumino'!J18,'25.08 Musita-Lumino'!J18,'27.08 Musita-Lumino'!J18,'23.08 Musita-Lumino-24h'!J18,'26.08 Musita-Lumino-24h'!J18,'28.08Musita-Lumino'!J18)</f>
        <v>1.2857142857142858</v>
      </c>
      <c r="K18" s="49">
        <f>AVERAGE('22.08 Musita-Lumino'!K18,'24.08 Musita-Lumino'!K18,'25.08 Musita-Lumino'!K18,'27.08 Musita-Lumino'!K18,'23.08 Musita-Lumino-24h'!K18,'26.08 Musita-Lumino-24h'!K18,'28.08Musita-Lumino'!K18)</f>
        <v>0.2857142857142857</v>
      </c>
      <c r="L18" s="49">
        <f>AVERAGE('22.08 Musita-Lumino'!L18,'24.08 Musita-Lumino'!L18,'25.08 Musita-Lumino'!L18,'27.08 Musita-Lumino'!L18,'23.08 Musita-Lumino-24h'!L18,'26.08 Musita-Lumino-24h'!L18,'28.08Musita-Lumino'!L18)</f>
        <v>0</v>
      </c>
      <c r="M18" s="49">
        <f>AVERAGE('22.08 Musita-Lumino'!M18,'24.08 Musita-Lumino'!M18,'25.08 Musita-Lumino'!M18,'27.08 Musita-Lumino'!M18,'23.08 Musita-Lumino-24h'!M18,'26.08 Musita-Lumino-24h'!M18,'28.08Musita-Lumino'!M18)</f>
        <v>34.285714285714285</v>
      </c>
      <c r="N18" s="49">
        <f>AVERAGE('22.08 Musita-Lumino'!N18,'24.08 Musita-Lumino'!N18,'25.08 Musita-Lumino'!N18,'27.08 Musita-Lumino'!N18,'23.08 Musita-Lumino-24h'!N18,'26.08 Musita-Lumino-24h'!N18,'28.08Musita-Lumino'!N18)</f>
        <v>0.14285714285714285</v>
      </c>
      <c r="O18" s="15">
        <f t="shared" si="0"/>
        <v>9.1428571428571441</v>
      </c>
      <c r="P18" s="15">
        <f t="shared" si="1"/>
        <v>43.428571428571431</v>
      </c>
      <c r="R18" s="1" t="s">
        <v>14</v>
      </c>
      <c r="S18" s="17">
        <f t="shared" ref="S18:AF18" si="10">SUM(C42:C45)</f>
        <v>13.857142857142858</v>
      </c>
      <c r="T18" s="17">
        <f t="shared" si="10"/>
        <v>4.5714285714285721</v>
      </c>
      <c r="U18" s="17">
        <f t="shared" si="10"/>
        <v>4.2857142857142856</v>
      </c>
      <c r="V18" s="17">
        <f t="shared" si="10"/>
        <v>7.1428571428571432</v>
      </c>
      <c r="W18" s="17">
        <f t="shared" si="10"/>
        <v>0.42857142857142855</v>
      </c>
      <c r="X18" s="17">
        <f t="shared" si="10"/>
        <v>0.42857142857142855</v>
      </c>
      <c r="Y18" s="17">
        <f t="shared" si="10"/>
        <v>6.1428571428571432</v>
      </c>
      <c r="Z18" s="17">
        <f t="shared" si="10"/>
        <v>16</v>
      </c>
      <c r="AA18" s="17">
        <f t="shared" si="10"/>
        <v>1.1428571428571428</v>
      </c>
      <c r="AB18" s="17">
        <f t="shared" si="10"/>
        <v>1.1428571428571428</v>
      </c>
      <c r="AC18" s="17">
        <f t="shared" si="10"/>
        <v>150.85714285714286</v>
      </c>
      <c r="AD18" s="17">
        <f t="shared" si="10"/>
        <v>0.14285714285714285</v>
      </c>
      <c r="AE18" s="31">
        <f t="shared" si="10"/>
        <v>55.285714285714285</v>
      </c>
      <c r="AF18" s="31">
        <f t="shared" si="10"/>
        <v>206.14285714285717</v>
      </c>
    </row>
    <row r="19" spans="2:32" ht="23.1" customHeight="1" x14ac:dyDescent="0.25">
      <c r="B19" s="23" t="s">
        <v>46</v>
      </c>
      <c r="C19" s="49">
        <f>AVERAGE('22.08 Musita-Lumino'!C19,'24.08 Musita-Lumino'!C19,'25.08 Musita-Lumino'!C19,'27.08 Musita-Lumino'!C19,'23.08 Musita-Lumino-24h'!C19,'26.08 Musita-Lumino-24h'!C19,'28.08Musita-Lumino'!C19)</f>
        <v>2.8571428571428572</v>
      </c>
      <c r="D19" s="49">
        <f>AVERAGE('22.08 Musita-Lumino'!D19,'24.08 Musita-Lumino'!D19,'25.08 Musita-Lumino'!D19,'27.08 Musita-Lumino'!D19,'23.08 Musita-Lumino-24h'!D19,'26.08 Musita-Lumino-24h'!D19,'28.08Musita-Lumino'!D19)</f>
        <v>1.5714285714285714</v>
      </c>
      <c r="E19" s="49">
        <f>AVERAGE('22.08 Musita-Lumino'!E19,'24.08 Musita-Lumino'!E19,'25.08 Musita-Lumino'!E19,'27.08 Musita-Lumino'!E19,'23.08 Musita-Lumino-24h'!E19,'26.08 Musita-Lumino-24h'!E19,'28.08Musita-Lumino'!E19)</f>
        <v>0.7142857142857143</v>
      </c>
      <c r="F19" s="49">
        <f>AVERAGE('22.08 Musita-Lumino'!F19,'24.08 Musita-Lumino'!F19,'25.08 Musita-Lumino'!F19,'27.08 Musita-Lumino'!F19,'23.08 Musita-Lumino-24h'!F19,'26.08 Musita-Lumino-24h'!F19,'28.08Musita-Lumino'!F19)</f>
        <v>0.8571428571428571</v>
      </c>
      <c r="G19" s="49">
        <f>AVERAGE('22.08 Musita-Lumino'!G19,'24.08 Musita-Lumino'!G19,'25.08 Musita-Lumino'!G19,'27.08 Musita-Lumino'!G19,'23.08 Musita-Lumino-24h'!G19,'26.08 Musita-Lumino-24h'!G19,'28.08Musita-Lumino'!G19)</f>
        <v>0</v>
      </c>
      <c r="H19" s="49">
        <f>AVERAGE('22.08 Musita-Lumino'!H19,'24.08 Musita-Lumino'!H19,'25.08 Musita-Lumino'!H19,'27.08 Musita-Lumino'!H19,'23.08 Musita-Lumino-24h'!H19,'26.08 Musita-Lumino-24h'!H19,'28.08Musita-Lumino'!H19)</f>
        <v>0</v>
      </c>
      <c r="I19" s="49">
        <f>AVERAGE('22.08 Musita-Lumino'!I19,'24.08 Musita-Lumino'!I19,'25.08 Musita-Lumino'!I19,'27.08 Musita-Lumino'!I19,'23.08 Musita-Lumino-24h'!I19,'26.08 Musita-Lumino-24h'!I19,'28.08Musita-Lumino'!I19)</f>
        <v>1.1428571428571428</v>
      </c>
      <c r="J19" s="49">
        <f>AVERAGE('22.08 Musita-Lumino'!J19,'24.08 Musita-Lumino'!J19,'25.08 Musita-Lumino'!J19,'27.08 Musita-Lumino'!J19,'23.08 Musita-Lumino-24h'!J19,'26.08 Musita-Lumino-24h'!J19,'28.08Musita-Lumino'!J19)</f>
        <v>1.7142857142857142</v>
      </c>
      <c r="K19" s="49">
        <f>AVERAGE('22.08 Musita-Lumino'!K19,'24.08 Musita-Lumino'!K19,'25.08 Musita-Lumino'!K19,'27.08 Musita-Lumino'!K19,'23.08 Musita-Lumino-24h'!K19,'26.08 Musita-Lumino-24h'!K19,'28.08Musita-Lumino'!K19)</f>
        <v>0.42857142857142855</v>
      </c>
      <c r="L19" s="49">
        <f>AVERAGE('22.08 Musita-Lumino'!L19,'24.08 Musita-Lumino'!L19,'25.08 Musita-Lumino'!L19,'27.08 Musita-Lumino'!L19,'23.08 Musita-Lumino-24h'!L19,'26.08 Musita-Lumino-24h'!L19,'28.08Musita-Lumino'!L19)</f>
        <v>0</v>
      </c>
      <c r="M19" s="49">
        <f>AVERAGE('22.08 Musita-Lumino'!M19,'24.08 Musita-Lumino'!M19,'25.08 Musita-Lumino'!M19,'27.08 Musita-Lumino'!M19,'23.08 Musita-Lumino-24h'!M19,'26.08 Musita-Lumino-24h'!M19,'28.08Musita-Lumino'!M19)</f>
        <v>36.857142857142854</v>
      </c>
      <c r="N19" s="49">
        <f>AVERAGE('22.08 Musita-Lumino'!N19,'24.08 Musita-Lumino'!N19,'25.08 Musita-Lumino'!N19,'27.08 Musita-Lumino'!N19,'23.08 Musita-Lumino-24h'!N19,'26.08 Musita-Lumino-24h'!N19,'28.08Musita-Lumino'!N19)</f>
        <v>0.14285714285714285</v>
      </c>
      <c r="O19" s="15">
        <f t="shared" si="0"/>
        <v>9.428571428571427</v>
      </c>
      <c r="P19" s="15">
        <f t="shared" si="1"/>
        <v>46.285714285714285</v>
      </c>
      <c r="R19" s="1" t="s">
        <v>15</v>
      </c>
      <c r="S19" s="17">
        <f t="shared" ref="S19:AF19" si="11">SUM(C46:C49)</f>
        <v>19</v>
      </c>
      <c r="T19" s="17">
        <f t="shared" si="11"/>
        <v>3.5714285714285712</v>
      </c>
      <c r="U19" s="17">
        <f t="shared" si="11"/>
        <v>2.2857142857142856</v>
      </c>
      <c r="V19" s="17">
        <f t="shared" si="11"/>
        <v>6.2857142857142856</v>
      </c>
      <c r="W19" s="17">
        <f t="shared" si="11"/>
        <v>0</v>
      </c>
      <c r="X19" s="17">
        <f t="shared" si="11"/>
        <v>0</v>
      </c>
      <c r="Y19" s="17">
        <f t="shared" si="11"/>
        <v>11.428571428571429</v>
      </c>
      <c r="Z19" s="17">
        <f t="shared" si="11"/>
        <v>8</v>
      </c>
      <c r="AA19" s="17">
        <f t="shared" si="11"/>
        <v>1.4285714285714284</v>
      </c>
      <c r="AB19" s="17">
        <f t="shared" si="11"/>
        <v>0.8571428571428571</v>
      </c>
      <c r="AC19" s="17">
        <f t="shared" si="11"/>
        <v>173.85714285714286</v>
      </c>
      <c r="AD19" s="17">
        <f t="shared" si="11"/>
        <v>0.5714285714285714</v>
      </c>
      <c r="AE19" s="31">
        <f t="shared" si="11"/>
        <v>53.428571428571431</v>
      </c>
      <c r="AF19" s="31">
        <f t="shared" si="11"/>
        <v>227.28571428571431</v>
      </c>
    </row>
    <row r="20" spans="2:32" ht="23.1" customHeight="1" x14ac:dyDescent="0.25">
      <c r="B20" s="23" t="s">
        <v>47</v>
      </c>
      <c r="C20" s="49">
        <f>AVERAGE('22.08 Musita-Lumino'!C20,'24.08 Musita-Lumino'!C20,'25.08 Musita-Lumino'!C20,'27.08 Musita-Lumino'!C20,'23.08 Musita-Lumino-24h'!C20,'26.08 Musita-Lumino-24h'!C20,'28.08Musita-Lumino'!C20)</f>
        <v>3.7142857142857144</v>
      </c>
      <c r="D20" s="49">
        <f>AVERAGE('22.08 Musita-Lumino'!D20,'24.08 Musita-Lumino'!D20,'25.08 Musita-Lumino'!D20,'27.08 Musita-Lumino'!D20,'23.08 Musita-Lumino-24h'!D20,'26.08 Musita-Lumino-24h'!D20,'28.08Musita-Lumino'!D20)</f>
        <v>1.1428571428571428</v>
      </c>
      <c r="E20" s="49">
        <f>AVERAGE('22.08 Musita-Lumino'!E20,'24.08 Musita-Lumino'!E20,'25.08 Musita-Lumino'!E20,'27.08 Musita-Lumino'!E20,'23.08 Musita-Lumino-24h'!E20,'26.08 Musita-Lumino-24h'!E20,'28.08Musita-Lumino'!E20)</f>
        <v>0.7142857142857143</v>
      </c>
      <c r="F20" s="49">
        <f>AVERAGE('22.08 Musita-Lumino'!F20,'24.08 Musita-Lumino'!F20,'25.08 Musita-Lumino'!F20,'27.08 Musita-Lumino'!F20,'23.08 Musita-Lumino-24h'!F20,'26.08 Musita-Lumino-24h'!F20,'28.08Musita-Lumino'!F20)</f>
        <v>0.8571428571428571</v>
      </c>
      <c r="G20" s="49">
        <f>AVERAGE('22.08 Musita-Lumino'!G20,'24.08 Musita-Lumino'!G20,'25.08 Musita-Lumino'!G20,'27.08 Musita-Lumino'!G20,'23.08 Musita-Lumino-24h'!G20,'26.08 Musita-Lumino-24h'!G20,'28.08Musita-Lumino'!G20)</f>
        <v>0</v>
      </c>
      <c r="H20" s="49">
        <f>AVERAGE('22.08 Musita-Lumino'!H20,'24.08 Musita-Lumino'!H20,'25.08 Musita-Lumino'!H20,'27.08 Musita-Lumino'!H20,'23.08 Musita-Lumino-24h'!H20,'26.08 Musita-Lumino-24h'!H20,'28.08Musita-Lumino'!H20)</f>
        <v>0</v>
      </c>
      <c r="I20" s="49">
        <f>AVERAGE('22.08 Musita-Lumino'!I20,'24.08 Musita-Lumino'!I20,'25.08 Musita-Lumino'!I20,'27.08 Musita-Lumino'!I20,'23.08 Musita-Lumino-24h'!I20,'26.08 Musita-Lumino-24h'!I20,'28.08Musita-Lumino'!I20)</f>
        <v>1.4285714285714286</v>
      </c>
      <c r="J20" s="49">
        <f>AVERAGE('22.08 Musita-Lumino'!J20,'24.08 Musita-Lumino'!J20,'25.08 Musita-Lumino'!J20,'27.08 Musita-Lumino'!J20,'23.08 Musita-Lumino-24h'!J20,'26.08 Musita-Lumino-24h'!J20,'28.08Musita-Lumino'!J20)</f>
        <v>1.2857142857142858</v>
      </c>
      <c r="K20" s="49">
        <f>AVERAGE('22.08 Musita-Lumino'!K20,'24.08 Musita-Lumino'!K20,'25.08 Musita-Lumino'!K20,'27.08 Musita-Lumino'!K20,'23.08 Musita-Lumino-24h'!K20,'26.08 Musita-Lumino-24h'!K20,'28.08Musita-Lumino'!K20)</f>
        <v>1.2857142857142858</v>
      </c>
      <c r="L20" s="49">
        <f>AVERAGE('22.08 Musita-Lumino'!L20,'24.08 Musita-Lumino'!L20,'25.08 Musita-Lumino'!L20,'27.08 Musita-Lumino'!L20,'23.08 Musita-Lumino-24h'!L20,'26.08 Musita-Lumino-24h'!L20,'28.08Musita-Lumino'!L20)</f>
        <v>0.5714285714285714</v>
      </c>
      <c r="M20" s="49">
        <f>AVERAGE('22.08 Musita-Lumino'!M20,'24.08 Musita-Lumino'!M20,'25.08 Musita-Lumino'!M20,'27.08 Musita-Lumino'!M20,'23.08 Musita-Lumino-24h'!M20,'26.08 Musita-Lumino-24h'!M20,'28.08Musita-Lumino'!M20)</f>
        <v>40.285714285714285</v>
      </c>
      <c r="N20" s="49">
        <f>AVERAGE('22.08 Musita-Lumino'!N20,'24.08 Musita-Lumino'!N20,'25.08 Musita-Lumino'!N20,'27.08 Musita-Lumino'!N20,'23.08 Musita-Lumino-24h'!N20,'26.08 Musita-Lumino-24h'!N20,'28.08Musita-Lumino'!N20)</f>
        <v>0</v>
      </c>
      <c r="O20" s="15">
        <f t="shared" si="0"/>
        <v>11.000000000000002</v>
      </c>
      <c r="P20" s="15">
        <f t="shared" si="1"/>
        <v>51.285714285714285</v>
      </c>
      <c r="R20" s="1" t="s">
        <v>16</v>
      </c>
      <c r="S20" s="17">
        <f t="shared" ref="S20:AF20" si="12">SUM(C50:C53)</f>
        <v>11.857142857142858</v>
      </c>
      <c r="T20" s="17">
        <f t="shared" si="12"/>
        <v>5</v>
      </c>
      <c r="U20" s="17">
        <f t="shared" si="12"/>
        <v>3</v>
      </c>
      <c r="V20" s="17">
        <f t="shared" si="12"/>
        <v>6</v>
      </c>
      <c r="W20" s="17">
        <f t="shared" si="12"/>
        <v>0.14285714285714285</v>
      </c>
      <c r="X20" s="17">
        <f t="shared" si="12"/>
        <v>0.14285714285714285</v>
      </c>
      <c r="Y20" s="17">
        <f t="shared" si="12"/>
        <v>6.1428571428571423</v>
      </c>
      <c r="Z20" s="17">
        <f t="shared" si="12"/>
        <v>9.8571428571428577</v>
      </c>
      <c r="AA20" s="17">
        <f t="shared" si="12"/>
        <v>2.5714285714285712</v>
      </c>
      <c r="AB20" s="17">
        <f t="shared" si="12"/>
        <v>0.8571428571428571</v>
      </c>
      <c r="AC20" s="17">
        <f t="shared" si="12"/>
        <v>168.85714285714286</v>
      </c>
      <c r="AD20" s="17">
        <f t="shared" si="12"/>
        <v>0.5714285714285714</v>
      </c>
      <c r="AE20" s="31">
        <f t="shared" si="12"/>
        <v>46.142857142857139</v>
      </c>
      <c r="AF20" s="31">
        <f t="shared" si="12"/>
        <v>215</v>
      </c>
    </row>
    <row r="21" spans="2:32" ht="23.1" customHeight="1" x14ac:dyDescent="0.25">
      <c r="B21" s="23" t="s">
        <v>48</v>
      </c>
      <c r="C21" s="49">
        <f>AVERAGE('22.08 Musita-Lumino'!C21,'24.08 Musita-Lumino'!C21,'25.08 Musita-Lumino'!C21,'27.08 Musita-Lumino'!C21,'23.08 Musita-Lumino-24h'!C21,'26.08 Musita-Lumino-24h'!C21,'28.08Musita-Lumino'!C21)</f>
        <v>4.2857142857142856</v>
      </c>
      <c r="D21" s="49">
        <f>AVERAGE('22.08 Musita-Lumino'!D21,'24.08 Musita-Lumino'!D21,'25.08 Musita-Lumino'!D21,'27.08 Musita-Lumino'!D21,'23.08 Musita-Lumino-24h'!D21,'26.08 Musita-Lumino-24h'!D21,'28.08Musita-Lumino'!D21)</f>
        <v>2.2857142857142856</v>
      </c>
      <c r="E21" s="49">
        <f>AVERAGE('22.08 Musita-Lumino'!E21,'24.08 Musita-Lumino'!E21,'25.08 Musita-Lumino'!E21,'27.08 Musita-Lumino'!E21,'23.08 Musita-Lumino-24h'!E21,'26.08 Musita-Lumino-24h'!E21,'28.08Musita-Lumino'!E21)</f>
        <v>0.7142857142857143</v>
      </c>
      <c r="F21" s="49">
        <f>AVERAGE('22.08 Musita-Lumino'!F21,'24.08 Musita-Lumino'!F21,'25.08 Musita-Lumino'!F21,'27.08 Musita-Lumino'!F21,'23.08 Musita-Lumino-24h'!F21,'26.08 Musita-Lumino-24h'!F21,'28.08Musita-Lumino'!F21)</f>
        <v>0.8571428571428571</v>
      </c>
      <c r="G21" s="49">
        <f>AVERAGE('22.08 Musita-Lumino'!G21,'24.08 Musita-Lumino'!G21,'25.08 Musita-Lumino'!G21,'27.08 Musita-Lumino'!G21,'23.08 Musita-Lumino-24h'!G21,'26.08 Musita-Lumino-24h'!G21,'28.08Musita-Lumino'!G21)</f>
        <v>0</v>
      </c>
      <c r="H21" s="49">
        <f>AVERAGE('22.08 Musita-Lumino'!H21,'24.08 Musita-Lumino'!H21,'25.08 Musita-Lumino'!H21,'27.08 Musita-Lumino'!H21,'23.08 Musita-Lumino-24h'!H21,'26.08 Musita-Lumino-24h'!H21,'28.08Musita-Lumino'!H21)</f>
        <v>0</v>
      </c>
      <c r="I21" s="49">
        <f>AVERAGE('22.08 Musita-Lumino'!I21,'24.08 Musita-Lumino'!I21,'25.08 Musita-Lumino'!I21,'27.08 Musita-Lumino'!I21,'23.08 Musita-Lumino-24h'!I21,'26.08 Musita-Lumino-24h'!I21,'28.08Musita-Lumino'!I21)</f>
        <v>1.7142857142857142</v>
      </c>
      <c r="J21" s="49">
        <f>AVERAGE('22.08 Musita-Lumino'!J21,'24.08 Musita-Lumino'!J21,'25.08 Musita-Lumino'!J21,'27.08 Musita-Lumino'!J21,'23.08 Musita-Lumino-24h'!J21,'26.08 Musita-Lumino-24h'!J21,'28.08Musita-Lumino'!J21)</f>
        <v>1.8571428571428572</v>
      </c>
      <c r="K21" s="49">
        <f>AVERAGE('22.08 Musita-Lumino'!K21,'24.08 Musita-Lumino'!K21,'25.08 Musita-Lumino'!K21,'27.08 Musita-Lumino'!K21,'23.08 Musita-Lumino-24h'!K21,'26.08 Musita-Lumino-24h'!K21,'28.08Musita-Lumino'!K21)</f>
        <v>1.2857142857142858</v>
      </c>
      <c r="L21" s="49">
        <f>AVERAGE('22.08 Musita-Lumino'!L21,'24.08 Musita-Lumino'!L21,'25.08 Musita-Lumino'!L21,'27.08 Musita-Lumino'!L21,'23.08 Musita-Lumino-24h'!L21,'26.08 Musita-Lumino-24h'!L21,'28.08Musita-Lumino'!L21)</f>
        <v>0.14285714285714285</v>
      </c>
      <c r="M21" s="49">
        <f>AVERAGE('22.08 Musita-Lumino'!M21,'24.08 Musita-Lumino'!M21,'25.08 Musita-Lumino'!M21,'27.08 Musita-Lumino'!M21,'23.08 Musita-Lumino-24h'!M21,'26.08 Musita-Lumino-24h'!M21,'28.08Musita-Lumino'!M21)</f>
        <v>38.857142857142854</v>
      </c>
      <c r="N21" s="49">
        <f>AVERAGE('22.08 Musita-Lumino'!N21,'24.08 Musita-Lumino'!N21,'25.08 Musita-Lumino'!N21,'27.08 Musita-Lumino'!N21,'23.08 Musita-Lumino-24h'!N21,'26.08 Musita-Lumino-24h'!N21,'28.08Musita-Lumino'!N21)</f>
        <v>0</v>
      </c>
      <c r="O21" s="15">
        <f t="shared" si="0"/>
        <v>13.142857142857142</v>
      </c>
      <c r="P21" s="15">
        <f t="shared" si="1"/>
        <v>52</v>
      </c>
      <c r="R21" s="36" t="s">
        <v>20</v>
      </c>
      <c r="S21" s="34">
        <f t="shared" ref="S21:AF21" si="13">SUM(C54:C57)</f>
        <v>14.571428571428573</v>
      </c>
      <c r="T21" s="17">
        <f t="shared" si="13"/>
        <v>6.5714285714285712</v>
      </c>
      <c r="U21" s="17">
        <f t="shared" si="13"/>
        <v>4.2857142857142856</v>
      </c>
      <c r="V21" s="17">
        <f t="shared" si="13"/>
        <v>8.8571428571428577</v>
      </c>
      <c r="W21" s="17">
        <f t="shared" si="13"/>
        <v>1.1428571428571428</v>
      </c>
      <c r="X21" s="17">
        <f t="shared" si="13"/>
        <v>0</v>
      </c>
      <c r="Y21" s="17">
        <f t="shared" si="13"/>
        <v>6</v>
      </c>
      <c r="Z21" s="17">
        <f t="shared" si="13"/>
        <v>13.285714285714285</v>
      </c>
      <c r="AA21" s="17">
        <f t="shared" si="13"/>
        <v>4</v>
      </c>
      <c r="AB21" s="17">
        <f t="shared" si="13"/>
        <v>1</v>
      </c>
      <c r="AC21" s="17">
        <f t="shared" si="13"/>
        <v>156.57142857142856</v>
      </c>
      <c r="AD21" s="17">
        <f t="shared" si="13"/>
        <v>0.8571428571428571</v>
      </c>
      <c r="AE21" s="31">
        <f t="shared" si="13"/>
        <v>60.571428571428569</v>
      </c>
      <c r="AF21" s="31">
        <f t="shared" si="13"/>
        <v>217.14285714285714</v>
      </c>
    </row>
    <row r="22" spans="2:32" ht="23.1" customHeight="1" x14ac:dyDescent="0.25">
      <c r="B22" s="23" t="s">
        <v>49</v>
      </c>
      <c r="C22" s="49">
        <f>AVERAGE('22.08 Musita-Lumino'!C22,'24.08 Musita-Lumino'!C22,'25.08 Musita-Lumino'!C22,'27.08 Musita-Lumino'!C22,'23.08 Musita-Lumino-24h'!C22,'26.08 Musita-Lumino-24h'!C22,'28.08Musita-Lumino'!C22)</f>
        <v>5.7142857142857144</v>
      </c>
      <c r="D22" s="49">
        <f>AVERAGE('22.08 Musita-Lumino'!D22,'24.08 Musita-Lumino'!D22,'25.08 Musita-Lumino'!D22,'27.08 Musita-Lumino'!D22,'23.08 Musita-Lumino-24h'!D22,'26.08 Musita-Lumino-24h'!D22,'28.08Musita-Lumino'!D22)</f>
        <v>2.5714285714285716</v>
      </c>
      <c r="E22" s="49">
        <f>AVERAGE('22.08 Musita-Lumino'!E22,'24.08 Musita-Lumino'!E22,'25.08 Musita-Lumino'!E22,'27.08 Musita-Lumino'!E22,'23.08 Musita-Lumino-24h'!E22,'26.08 Musita-Lumino-24h'!E22,'28.08Musita-Lumino'!E22)</f>
        <v>0.2857142857142857</v>
      </c>
      <c r="F22" s="49">
        <f>AVERAGE('22.08 Musita-Lumino'!F22,'24.08 Musita-Lumino'!F22,'25.08 Musita-Lumino'!F22,'27.08 Musita-Lumino'!F22,'23.08 Musita-Lumino-24h'!F22,'26.08 Musita-Lumino-24h'!F22,'28.08Musita-Lumino'!F22)</f>
        <v>1.7142857142857142</v>
      </c>
      <c r="G22" s="49">
        <f>AVERAGE('22.08 Musita-Lumino'!G22,'24.08 Musita-Lumino'!G22,'25.08 Musita-Lumino'!G22,'27.08 Musita-Lumino'!G22,'23.08 Musita-Lumino-24h'!G22,'26.08 Musita-Lumino-24h'!G22,'28.08Musita-Lumino'!G22)</f>
        <v>0.14285714285714285</v>
      </c>
      <c r="H22" s="49">
        <f>AVERAGE('22.08 Musita-Lumino'!H22,'24.08 Musita-Lumino'!H22,'25.08 Musita-Lumino'!H22,'27.08 Musita-Lumino'!H22,'23.08 Musita-Lumino-24h'!H22,'26.08 Musita-Lumino-24h'!H22,'28.08Musita-Lumino'!H22)</f>
        <v>0</v>
      </c>
      <c r="I22" s="49">
        <f>AVERAGE('22.08 Musita-Lumino'!I22,'24.08 Musita-Lumino'!I22,'25.08 Musita-Lumino'!I22,'27.08 Musita-Lumino'!I22,'23.08 Musita-Lumino-24h'!I22,'26.08 Musita-Lumino-24h'!I22,'28.08Musita-Lumino'!I22)</f>
        <v>3.4285714285714284</v>
      </c>
      <c r="J22" s="49">
        <f>AVERAGE('22.08 Musita-Lumino'!J22,'24.08 Musita-Lumino'!J22,'25.08 Musita-Lumino'!J22,'27.08 Musita-Lumino'!J22,'23.08 Musita-Lumino-24h'!J22,'26.08 Musita-Lumino-24h'!J22,'28.08Musita-Lumino'!J22)</f>
        <v>1.8571428571428572</v>
      </c>
      <c r="K22" s="49">
        <f>AVERAGE('22.08 Musita-Lumino'!K22,'24.08 Musita-Lumino'!K22,'25.08 Musita-Lumino'!K22,'27.08 Musita-Lumino'!K22,'23.08 Musita-Lumino-24h'!K22,'26.08 Musita-Lumino-24h'!K22,'28.08Musita-Lumino'!K22)</f>
        <v>0.8571428571428571</v>
      </c>
      <c r="L22" s="49">
        <f>AVERAGE('22.08 Musita-Lumino'!L22,'24.08 Musita-Lumino'!L22,'25.08 Musita-Lumino'!L22,'27.08 Musita-Lumino'!L22,'23.08 Musita-Lumino-24h'!L22,'26.08 Musita-Lumino-24h'!L22,'28.08Musita-Lumino'!L22)</f>
        <v>0</v>
      </c>
      <c r="M22" s="49">
        <f>AVERAGE('22.08 Musita-Lumino'!M22,'24.08 Musita-Lumino'!M22,'25.08 Musita-Lumino'!M22,'27.08 Musita-Lumino'!M22,'23.08 Musita-Lumino-24h'!M22,'26.08 Musita-Lumino-24h'!M22,'28.08Musita-Lumino'!M22)</f>
        <v>39.428571428571431</v>
      </c>
      <c r="N22" s="49">
        <f>AVERAGE('22.08 Musita-Lumino'!N22,'24.08 Musita-Lumino'!N22,'25.08 Musita-Lumino'!N22,'27.08 Musita-Lumino'!N22,'23.08 Musita-Lumino-24h'!N22,'26.08 Musita-Lumino-24h'!N22,'28.08Musita-Lumino'!N22)</f>
        <v>0</v>
      </c>
      <c r="O22" s="15">
        <f t="shared" si="0"/>
        <v>16.571428571428573</v>
      </c>
      <c r="P22" s="15">
        <f t="shared" si="1"/>
        <v>56</v>
      </c>
      <c r="R22" s="1" t="s">
        <v>146</v>
      </c>
      <c r="S22" s="34">
        <f>SUM(C58:C61)</f>
        <v>22</v>
      </c>
      <c r="T22" s="34">
        <f t="shared" ref="T22:AF22" si="14">SUM(D58:D61)</f>
        <v>4</v>
      </c>
      <c r="U22" s="34">
        <f t="shared" si="14"/>
        <v>3.5</v>
      </c>
      <c r="V22" s="34">
        <f t="shared" si="14"/>
        <v>8.5</v>
      </c>
      <c r="W22" s="34">
        <f t="shared" si="14"/>
        <v>1.5</v>
      </c>
      <c r="X22" s="34">
        <f t="shared" si="14"/>
        <v>0</v>
      </c>
      <c r="Y22" s="34">
        <f t="shared" si="14"/>
        <v>7</v>
      </c>
      <c r="Z22" s="34">
        <f t="shared" si="14"/>
        <v>19.5</v>
      </c>
      <c r="AA22" s="34">
        <f t="shared" si="14"/>
        <v>4</v>
      </c>
      <c r="AB22" s="34">
        <f t="shared" si="14"/>
        <v>3.5</v>
      </c>
      <c r="AC22" s="34">
        <f t="shared" si="14"/>
        <v>155.5</v>
      </c>
      <c r="AD22" s="34">
        <f t="shared" si="14"/>
        <v>3.5</v>
      </c>
      <c r="AE22" s="31">
        <f t="shared" si="14"/>
        <v>77</v>
      </c>
      <c r="AF22" s="31">
        <f t="shared" si="14"/>
        <v>232.5</v>
      </c>
    </row>
    <row r="23" spans="2:32" ht="23.1" customHeight="1" x14ac:dyDescent="0.25">
      <c r="B23" s="23" t="s">
        <v>50</v>
      </c>
      <c r="C23" s="49">
        <f>AVERAGE('22.08 Musita-Lumino'!C23,'24.08 Musita-Lumino'!C23,'25.08 Musita-Lumino'!C23,'27.08 Musita-Lumino'!C23,'23.08 Musita-Lumino-24h'!C23,'26.08 Musita-Lumino-24h'!C23,'28.08Musita-Lumino'!C23)</f>
        <v>4</v>
      </c>
      <c r="D23" s="49">
        <f>AVERAGE('22.08 Musita-Lumino'!D23,'24.08 Musita-Lumino'!D23,'25.08 Musita-Lumino'!D23,'27.08 Musita-Lumino'!D23,'23.08 Musita-Lumino-24h'!D23,'26.08 Musita-Lumino-24h'!D23,'28.08Musita-Lumino'!D23)</f>
        <v>1.2857142857142858</v>
      </c>
      <c r="E23" s="49">
        <f>AVERAGE('22.08 Musita-Lumino'!E23,'24.08 Musita-Lumino'!E23,'25.08 Musita-Lumino'!E23,'27.08 Musita-Lumino'!E23,'23.08 Musita-Lumino-24h'!E23,'26.08 Musita-Lumino-24h'!E23,'28.08Musita-Lumino'!E23)</f>
        <v>1.1428571428571428</v>
      </c>
      <c r="F23" s="49">
        <f>AVERAGE('22.08 Musita-Lumino'!F23,'24.08 Musita-Lumino'!F23,'25.08 Musita-Lumino'!F23,'27.08 Musita-Lumino'!F23,'23.08 Musita-Lumino-24h'!F23,'26.08 Musita-Lumino-24h'!F23,'28.08Musita-Lumino'!F23)</f>
        <v>1</v>
      </c>
      <c r="G23" s="49">
        <f>AVERAGE('22.08 Musita-Lumino'!G23,'24.08 Musita-Lumino'!G23,'25.08 Musita-Lumino'!G23,'27.08 Musita-Lumino'!G23,'23.08 Musita-Lumino-24h'!G23,'26.08 Musita-Lumino-24h'!G23,'28.08Musita-Lumino'!G23)</f>
        <v>0</v>
      </c>
      <c r="H23" s="49">
        <f>AVERAGE('22.08 Musita-Lumino'!H23,'24.08 Musita-Lumino'!H23,'25.08 Musita-Lumino'!H23,'27.08 Musita-Lumino'!H23,'23.08 Musita-Lumino-24h'!H23,'26.08 Musita-Lumino-24h'!H23,'28.08Musita-Lumino'!H23)</f>
        <v>0</v>
      </c>
      <c r="I23" s="49">
        <f>AVERAGE('22.08 Musita-Lumino'!I23,'24.08 Musita-Lumino'!I23,'25.08 Musita-Lumino'!I23,'27.08 Musita-Lumino'!I23,'23.08 Musita-Lumino-24h'!I23,'26.08 Musita-Lumino-24h'!I23,'28.08Musita-Lumino'!I23)</f>
        <v>1.5714285714285714</v>
      </c>
      <c r="J23" s="49">
        <f>AVERAGE('22.08 Musita-Lumino'!J23,'24.08 Musita-Lumino'!J23,'25.08 Musita-Lumino'!J23,'27.08 Musita-Lumino'!J23,'23.08 Musita-Lumino-24h'!J23,'26.08 Musita-Lumino-24h'!J23,'28.08Musita-Lumino'!J23)</f>
        <v>1.5714285714285714</v>
      </c>
      <c r="K23" s="49">
        <f>AVERAGE('22.08 Musita-Lumino'!K23,'24.08 Musita-Lumino'!K23,'25.08 Musita-Lumino'!K23,'27.08 Musita-Lumino'!K23,'23.08 Musita-Lumino-24h'!K23,'26.08 Musita-Lumino-24h'!K23,'28.08Musita-Lumino'!K23)</f>
        <v>0.42857142857142855</v>
      </c>
      <c r="L23" s="49">
        <f>AVERAGE('22.08 Musita-Lumino'!L23,'24.08 Musita-Lumino'!L23,'25.08 Musita-Lumino'!L23,'27.08 Musita-Lumino'!L23,'23.08 Musita-Lumino-24h'!L23,'26.08 Musita-Lumino-24h'!L23,'28.08Musita-Lumino'!L23)</f>
        <v>0.5714285714285714</v>
      </c>
      <c r="M23" s="49">
        <f>AVERAGE('22.08 Musita-Lumino'!M23,'24.08 Musita-Lumino'!M23,'25.08 Musita-Lumino'!M23,'27.08 Musita-Lumino'!M23,'23.08 Musita-Lumino-24h'!M23,'26.08 Musita-Lumino-24h'!M23,'28.08Musita-Lumino'!M23)</f>
        <v>43.857142857142854</v>
      </c>
      <c r="N23" s="49">
        <f>AVERAGE('22.08 Musita-Lumino'!N23,'24.08 Musita-Lumino'!N23,'25.08 Musita-Lumino'!N23,'27.08 Musita-Lumino'!N23,'23.08 Musita-Lumino-24h'!N23,'26.08 Musita-Lumino-24h'!N23,'28.08Musita-Lumino'!N23)</f>
        <v>0</v>
      </c>
      <c r="O23" s="15">
        <f t="shared" si="0"/>
        <v>11.571428571428571</v>
      </c>
      <c r="P23" s="15">
        <f t="shared" si="1"/>
        <v>55.428571428571423</v>
      </c>
      <c r="R23" s="1" t="s">
        <v>147</v>
      </c>
      <c r="S23" s="34">
        <f>SUM(C62:C65)</f>
        <v>16</v>
      </c>
      <c r="T23" s="34">
        <f t="shared" ref="T23:AF23" si="15">SUM(D62:D65)</f>
        <v>2</v>
      </c>
      <c r="U23" s="34">
        <f t="shared" si="15"/>
        <v>1.5</v>
      </c>
      <c r="V23" s="34">
        <f t="shared" si="15"/>
        <v>9</v>
      </c>
      <c r="W23" s="34">
        <f t="shared" si="15"/>
        <v>0</v>
      </c>
      <c r="X23" s="34">
        <f t="shared" si="15"/>
        <v>0</v>
      </c>
      <c r="Y23" s="34">
        <f t="shared" si="15"/>
        <v>6</v>
      </c>
      <c r="Z23" s="34">
        <f t="shared" si="15"/>
        <v>6.5</v>
      </c>
      <c r="AA23" s="34">
        <f t="shared" si="15"/>
        <v>1</v>
      </c>
      <c r="AB23" s="34">
        <f t="shared" si="15"/>
        <v>4</v>
      </c>
      <c r="AC23" s="34">
        <f t="shared" si="15"/>
        <v>131.5</v>
      </c>
      <c r="AD23" s="34">
        <f t="shared" si="15"/>
        <v>0</v>
      </c>
      <c r="AE23" s="31">
        <f t="shared" si="15"/>
        <v>46</v>
      </c>
      <c r="AF23" s="31">
        <f t="shared" si="15"/>
        <v>177.5</v>
      </c>
    </row>
    <row r="24" spans="2:32" ht="23.1" customHeight="1" x14ac:dyDescent="0.25">
      <c r="B24" s="23" t="s">
        <v>51</v>
      </c>
      <c r="C24" s="49">
        <f>AVERAGE('22.08 Musita-Lumino'!C24,'24.08 Musita-Lumino'!C24,'25.08 Musita-Lumino'!C24,'27.08 Musita-Lumino'!C24,'23.08 Musita-Lumino-24h'!C24,'26.08 Musita-Lumino-24h'!C24,'28.08Musita-Lumino'!C24)</f>
        <v>3.8571428571428572</v>
      </c>
      <c r="D24" s="49">
        <f>AVERAGE('22.08 Musita-Lumino'!D24,'24.08 Musita-Lumino'!D24,'25.08 Musita-Lumino'!D24,'27.08 Musita-Lumino'!D24,'23.08 Musita-Lumino-24h'!D24,'26.08 Musita-Lumino-24h'!D24,'28.08Musita-Lumino'!D24)</f>
        <v>0.5714285714285714</v>
      </c>
      <c r="E24" s="49">
        <f>AVERAGE('22.08 Musita-Lumino'!E24,'24.08 Musita-Lumino'!E24,'25.08 Musita-Lumino'!E24,'27.08 Musita-Lumino'!E24,'23.08 Musita-Lumino-24h'!E24,'26.08 Musita-Lumino-24h'!E24,'28.08Musita-Lumino'!E24)</f>
        <v>0.8571428571428571</v>
      </c>
      <c r="F24" s="49">
        <f>AVERAGE('22.08 Musita-Lumino'!F24,'24.08 Musita-Lumino'!F24,'25.08 Musita-Lumino'!F24,'27.08 Musita-Lumino'!F24,'23.08 Musita-Lumino-24h'!F24,'26.08 Musita-Lumino-24h'!F24,'28.08Musita-Lumino'!F24)</f>
        <v>1.2857142857142858</v>
      </c>
      <c r="G24" s="49">
        <f>AVERAGE('22.08 Musita-Lumino'!G24,'24.08 Musita-Lumino'!G24,'25.08 Musita-Lumino'!G24,'27.08 Musita-Lumino'!G24,'23.08 Musita-Lumino-24h'!G24,'26.08 Musita-Lumino-24h'!G24,'28.08Musita-Lumino'!G24)</f>
        <v>0.14285714285714285</v>
      </c>
      <c r="H24" s="49">
        <f>AVERAGE('22.08 Musita-Lumino'!H24,'24.08 Musita-Lumino'!H24,'25.08 Musita-Lumino'!H24,'27.08 Musita-Lumino'!H24,'23.08 Musita-Lumino-24h'!H24,'26.08 Musita-Lumino-24h'!H24,'28.08Musita-Lumino'!H24)</f>
        <v>0</v>
      </c>
      <c r="I24" s="49">
        <f>AVERAGE('22.08 Musita-Lumino'!I24,'24.08 Musita-Lumino'!I24,'25.08 Musita-Lumino'!I24,'27.08 Musita-Lumino'!I24,'23.08 Musita-Lumino-24h'!I24,'26.08 Musita-Lumino-24h'!I24,'28.08Musita-Lumino'!I24)</f>
        <v>1.5714285714285714</v>
      </c>
      <c r="J24" s="49">
        <f>AVERAGE('22.08 Musita-Lumino'!J24,'24.08 Musita-Lumino'!J24,'25.08 Musita-Lumino'!J24,'27.08 Musita-Lumino'!J24,'23.08 Musita-Lumino-24h'!J24,'26.08 Musita-Lumino-24h'!J24,'28.08Musita-Lumino'!J24)</f>
        <v>1.7142857142857142</v>
      </c>
      <c r="K24" s="49">
        <f>AVERAGE('22.08 Musita-Lumino'!K24,'24.08 Musita-Lumino'!K24,'25.08 Musita-Lumino'!K24,'27.08 Musita-Lumino'!K24,'23.08 Musita-Lumino-24h'!K24,'26.08 Musita-Lumino-24h'!K24,'28.08Musita-Lumino'!K24)</f>
        <v>1.2857142857142858</v>
      </c>
      <c r="L24" s="49">
        <f>AVERAGE('22.08 Musita-Lumino'!L24,'24.08 Musita-Lumino'!L24,'25.08 Musita-Lumino'!L24,'27.08 Musita-Lumino'!L24,'23.08 Musita-Lumino-24h'!L24,'26.08 Musita-Lumino-24h'!L24,'28.08Musita-Lumino'!L24)</f>
        <v>0</v>
      </c>
      <c r="M24" s="49">
        <f>AVERAGE('22.08 Musita-Lumino'!M24,'24.08 Musita-Lumino'!M24,'25.08 Musita-Lumino'!M24,'27.08 Musita-Lumino'!M24,'23.08 Musita-Lumino-24h'!M24,'26.08 Musita-Lumino-24h'!M24,'28.08Musita-Lumino'!M24)</f>
        <v>35.285714285714285</v>
      </c>
      <c r="N24" s="49">
        <f>AVERAGE('22.08 Musita-Lumino'!N24,'24.08 Musita-Lumino'!N24,'25.08 Musita-Lumino'!N24,'27.08 Musita-Lumino'!N24,'23.08 Musita-Lumino-24h'!N24,'26.08 Musita-Lumino-24h'!N24,'28.08Musita-Lumino'!N24)</f>
        <v>0</v>
      </c>
      <c r="O24" s="15">
        <f t="shared" si="0"/>
        <v>11.285714285714286</v>
      </c>
      <c r="P24" s="15">
        <f t="shared" si="1"/>
        <v>46.571428571428569</v>
      </c>
      <c r="R24" s="1" t="s">
        <v>148</v>
      </c>
      <c r="S24" s="34">
        <f>SUM(C66:C69)</f>
        <v>5.5</v>
      </c>
      <c r="T24" s="34">
        <f t="shared" ref="T24:AF24" si="16">SUM(D66:D69)</f>
        <v>1.5</v>
      </c>
      <c r="U24" s="34">
        <f t="shared" si="16"/>
        <v>0</v>
      </c>
      <c r="V24" s="34">
        <f t="shared" si="16"/>
        <v>8.5</v>
      </c>
      <c r="W24" s="34">
        <f t="shared" si="16"/>
        <v>1.5</v>
      </c>
      <c r="X24" s="34">
        <f t="shared" si="16"/>
        <v>0.5</v>
      </c>
      <c r="Y24" s="34">
        <f t="shared" si="16"/>
        <v>1</v>
      </c>
      <c r="Z24" s="34">
        <f t="shared" si="16"/>
        <v>2</v>
      </c>
      <c r="AA24" s="34">
        <f t="shared" si="16"/>
        <v>1</v>
      </c>
      <c r="AB24" s="34">
        <f t="shared" si="16"/>
        <v>13</v>
      </c>
      <c r="AC24" s="34">
        <f t="shared" si="16"/>
        <v>42</v>
      </c>
      <c r="AD24" s="34">
        <f t="shared" si="16"/>
        <v>0</v>
      </c>
      <c r="AE24" s="31">
        <f t="shared" si="16"/>
        <v>34.5</v>
      </c>
      <c r="AF24" s="31">
        <f t="shared" si="16"/>
        <v>76.5</v>
      </c>
    </row>
    <row r="25" spans="2:32" ht="23.1" customHeight="1" x14ac:dyDescent="0.25">
      <c r="B25" s="23" t="s">
        <v>52</v>
      </c>
      <c r="C25" s="49">
        <f>AVERAGE('22.08 Musita-Lumino'!C25,'24.08 Musita-Lumino'!C25,'25.08 Musita-Lumino'!C25,'27.08 Musita-Lumino'!C25,'23.08 Musita-Lumino-24h'!C25,'26.08 Musita-Lumino-24h'!C25,'28.08Musita-Lumino'!C25)</f>
        <v>3.2857142857142856</v>
      </c>
      <c r="D25" s="49">
        <f>AVERAGE('22.08 Musita-Lumino'!D25,'24.08 Musita-Lumino'!D25,'25.08 Musita-Lumino'!D25,'27.08 Musita-Lumino'!D25,'23.08 Musita-Lumino-24h'!D25,'26.08 Musita-Lumino-24h'!D25,'28.08Musita-Lumino'!D25)</f>
        <v>1.8571428571428572</v>
      </c>
      <c r="E25" s="49">
        <f>AVERAGE('22.08 Musita-Lumino'!E25,'24.08 Musita-Lumino'!E25,'25.08 Musita-Lumino'!E25,'27.08 Musita-Lumino'!E25,'23.08 Musita-Lumino-24h'!E25,'26.08 Musita-Lumino-24h'!E25,'28.08Musita-Lumino'!E25)</f>
        <v>1.4285714285714286</v>
      </c>
      <c r="F25" s="49">
        <f>AVERAGE('22.08 Musita-Lumino'!F25,'24.08 Musita-Lumino'!F25,'25.08 Musita-Lumino'!F25,'27.08 Musita-Lumino'!F25,'23.08 Musita-Lumino-24h'!F25,'26.08 Musita-Lumino-24h'!F25,'28.08Musita-Lumino'!F25)</f>
        <v>1.4285714285714286</v>
      </c>
      <c r="G25" s="49">
        <f>AVERAGE('22.08 Musita-Lumino'!G25,'24.08 Musita-Lumino'!G25,'25.08 Musita-Lumino'!G25,'27.08 Musita-Lumino'!G25,'23.08 Musita-Lumino-24h'!G25,'26.08 Musita-Lumino-24h'!G25,'28.08Musita-Lumino'!G25)</f>
        <v>0</v>
      </c>
      <c r="H25" s="49">
        <f>AVERAGE('22.08 Musita-Lumino'!H25,'24.08 Musita-Lumino'!H25,'25.08 Musita-Lumino'!H25,'27.08 Musita-Lumino'!H25,'23.08 Musita-Lumino-24h'!H25,'26.08 Musita-Lumino-24h'!H25,'28.08Musita-Lumino'!H25)</f>
        <v>0.14285714285714285</v>
      </c>
      <c r="I25" s="49">
        <f>AVERAGE('22.08 Musita-Lumino'!I25,'24.08 Musita-Lumino'!I25,'25.08 Musita-Lumino'!I25,'27.08 Musita-Lumino'!I25,'23.08 Musita-Lumino-24h'!I25,'26.08 Musita-Lumino-24h'!I25,'28.08Musita-Lumino'!I25)</f>
        <v>1.2857142857142858</v>
      </c>
      <c r="J25" s="49">
        <f>AVERAGE('22.08 Musita-Lumino'!J25,'24.08 Musita-Lumino'!J25,'25.08 Musita-Lumino'!J25,'27.08 Musita-Lumino'!J25,'23.08 Musita-Lumino-24h'!J25,'26.08 Musita-Lumino-24h'!J25,'28.08Musita-Lumino'!J25)</f>
        <v>1.8571428571428572</v>
      </c>
      <c r="K25" s="49">
        <f>AVERAGE('22.08 Musita-Lumino'!K25,'24.08 Musita-Lumino'!K25,'25.08 Musita-Lumino'!K25,'27.08 Musita-Lumino'!K25,'23.08 Musita-Lumino-24h'!K25,'26.08 Musita-Lumino-24h'!K25,'28.08Musita-Lumino'!K25)</f>
        <v>0.42857142857142855</v>
      </c>
      <c r="L25" s="49">
        <f>AVERAGE('22.08 Musita-Lumino'!L25,'24.08 Musita-Lumino'!L25,'25.08 Musita-Lumino'!L25,'27.08 Musita-Lumino'!L25,'23.08 Musita-Lumino-24h'!L25,'26.08 Musita-Lumino-24h'!L25,'28.08Musita-Lumino'!L25)</f>
        <v>0.2857142857142857</v>
      </c>
      <c r="M25" s="49">
        <f>AVERAGE('22.08 Musita-Lumino'!M25,'24.08 Musita-Lumino'!M25,'25.08 Musita-Lumino'!M25,'27.08 Musita-Lumino'!M25,'23.08 Musita-Lumino-24h'!M25,'26.08 Musita-Lumino-24h'!M25,'28.08Musita-Lumino'!M25)</f>
        <v>37.142857142857146</v>
      </c>
      <c r="N25" s="49">
        <f>AVERAGE('22.08 Musita-Lumino'!N25,'24.08 Musita-Lumino'!N25,'25.08 Musita-Lumino'!N25,'27.08 Musita-Lumino'!N25,'23.08 Musita-Lumino-24h'!N25,'26.08 Musita-Lumino-24h'!N25,'28.08Musita-Lumino'!N25)</f>
        <v>0.14285714285714285</v>
      </c>
      <c r="O25" s="15">
        <f t="shared" si="0"/>
        <v>12.142857142857144</v>
      </c>
      <c r="P25" s="15">
        <f t="shared" si="1"/>
        <v>49.285714285714292</v>
      </c>
      <c r="R25" s="1" t="s">
        <v>149</v>
      </c>
      <c r="S25" s="34">
        <f>SUM(C70:C73)</f>
        <v>12.5</v>
      </c>
      <c r="T25" s="34">
        <f t="shared" ref="T25:AF25" si="17">SUM(D70:D73)</f>
        <v>5</v>
      </c>
      <c r="U25" s="34">
        <f t="shared" si="17"/>
        <v>0</v>
      </c>
      <c r="V25" s="34">
        <f t="shared" si="17"/>
        <v>3.5</v>
      </c>
      <c r="W25" s="34">
        <f t="shared" si="17"/>
        <v>1.5</v>
      </c>
      <c r="X25" s="34">
        <f t="shared" si="17"/>
        <v>0</v>
      </c>
      <c r="Y25" s="34">
        <f t="shared" si="17"/>
        <v>1.5</v>
      </c>
      <c r="Z25" s="34">
        <f t="shared" si="17"/>
        <v>10.5</v>
      </c>
      <c r="AA25" s="34">
        <f t="shared" si="17"/>
        <v>2</v>
      </c>
      <c r="AB25" s="34">
        <f t="shared" si="17"/>
        <v>0</v>
      </c>
      <c r="AC25" s="34">
        <f t="shared" si="17"/>
        <v>32.5</v>
      </c>
      <c r="AD25" s="34">
        <f t="shared" si="17"/>
        <v>0</v>
      </c>
      <c r="AE25" s="31">
        <f t="shared" si="17"/>
        <v>36.5</v>
      </c>
      <c r="AF25" s="31">
        <f t="shared" si="17"/>
        <v>69</v>
      </c>
    </row>
    <row r="26" spans="2:32" ht="23.1" customHeight="1" x14ac:dyDescent="0.25">
      <c r="B26" s="23" t="s">
        <v>53</v>
      </c>
      <c r="C26" s="49">
        <f>AVERAGE('22.08 Musita-Lumino'!C26,'24.08 Musita-Lumino'!C26,'25.08 Musita-Lumino'!C26,'27.08 Musita-Lumino'!C26,'23.08 Musita-Lumino-24h'!C26,'26.08 Musita-Lumino-24h'!C26,'28.08Musita-Lumino'!C26)</f>
        <v>4.7142857142857144</v>
      </c>
      <c r="D26" s="49">
        <f>AVERAGE('22.08 Musita-Lumino'!D26,'24.08 Musita-Lumino'!D26,'25.08 Musita-Lumino'!D26,'27.08 Musita-Lumino'!D26,'23.08 Musita-Lumino-24h'!D26,'26.08 Musita-Lumino-24h'!D26,'28.08Musita-Lumino'!D26)</f>
        <v>0.8571428571428571</v>
      </c>
      <c r="E26" s="49">
        <f>AVERAGE('22.08 Musita-Lumino'!E26,'24.08 Musita-Lumino'!E26,'25.08 Musita-Lumino'!E26,'27.08 Musita-Lumino'!E26,'23.08 Musita-Lumino-24h'!E26,'26.08 Musita-Lumino-24h'!E26,'28.08Musita-Lumino'!E26)</f>
        <v>0.2857142857142857</v>
      </c>
      <c r="F26" s="49">
        <f>AVERAGE('22.08 Musita-Lumino'!F26,'24.08 Musita-Lumino'!F26,'25.08 Musita-Lumino'!F26,'27.08 Musita-Lumino'!F26,'23.08 Musita-Lumino-24h'!F26,'26.08 Musita-Lumino-24h'!F26,'28.08Musita-Lumino'!F26)</f>
        <v>0.8571428571428571</v>
      </c>
      <c r="G26" s="49">
        <f>AVERAGE('22.08 Musita-Lumino'!G26,'24.08 Musita-Lumino'!G26,'25.08 Musita-Lumino'!G26,'27.08 Musita-Lumino'!G26,'23.08 Musita-Lumino-24h'!G26,'26.08 Musita-Lumino-24h'!G26,'28.08Musita-Lumino'!G26)</f>
        <v>0.5714285714285714</v>
      </c>
      <c r="H26" s="49">
        <f>AVERAGE('22.08 Musita-Lumino'!H26,'24.08 Musita-Lumino'!H26,'25.08 Musita-Lumino'!H26,'27.08 Musita-Lumino'!H26,'23.08 Musita-Lumino-24h'!H26,'26.08 Musita-Lumino-24h'!H26,'28.08Musita-Lumino'!H26)</f>
        <v>0</v>
      </c>
      <c r="I26" s="49">
        <f>AVERAGE('22.08 Musita-Lumino'!I26,'24.08 Musita-Lumino'!I26,'25.08 Musita-Lumino'!I26,'27.08 Musita-Lumino'!I26,'23.08 Musita-Lumino-24h'!I26,'26.08 Musita-Lumino-24h'!I26,'28.08Musita-Lumino'!I26)</f>
        <v>1.5714285714285714</v>
      </c>
      <c r="J26" s="49">
        <f>AVERAGE('22.08 Musita-Lumino'!J26,'24.08 Musita-Lumino'!J26,'25.08 Musita-Lumino'!J26,'27.08 Musita-Lumino'!J26,'23.08 Musita-Lumino-24h'!J26,'26.08 Musita-Lumino-24h'!J26,'28.08Musita-Lumino'!J26)</f>
        <v>1.2857142857142858</v>
      </c>
      <c r="K26" s="49">
        <f>AVERAGE('22.08 Musita-Lumino'!K26,'24.08 Musita-Lumino'!K26,'25.08 Musita-Lumino'!K26,'27.08 Musita-Lumino'!K26,'23.08 Musita-Lumino-24h'!K26,'26.08 Musita-Lumino-24h'!K26,'28.08Musita-Lumino'!K26)</f>
        <v>0.42857142857142855</v>
      </c>
      <c r="L26" s="49">
        <f>AVERAGE('22.08 Musita-Lumino'!L26,'24.08 Musita-Lumino'!L26,'25.08 Musita-Lumino'!L26,'27.08 Musita-Lumino'!L26,'23.08 Musita-Lumino-24h'!L26,'26.08 Musita-Lumino-24h'!L26,'28.08Musita-Lumino'!L26)</f>
        <v>0.14285714285714285</v>
      </c>
      <c r="M26" s="49">
        <f>AVERAGE('22.08 Musita-Lumino'!M26,'24.08 Musita-Lumino'!M26,'25.08 Musita-Lumino'!M26,'27.08 Musita-Lumino'!M26,'23.08 Musita-Lumino-24h'!M26,'26.08 Musita-Lumino-24h'!M26,'28.08Musita-Lumino'!M26)</f>
        <v>52.142857142857146</v>
      </c>
      <c r="N26" s="49">
        <f>AVERAGE('22.08 Musita-Lumino'!N26,'24.08 Musita-Lumino'!N26,'25.08 Musita-Lumino'!N26,'27.08 Musita-Lumino'!N26,'23.08 Musita-Lumino-24h'!N26,'26.08 Musita-Lumino-24h'!N26,'28.08Musita-Lumino'!N26)</f>
        <v>0.2857142857142857</v>
      </c>
      <c r="O26" s="15">
        <f t="shared" si="0"/>
        <v>11</v>
      </c>
      <c r="P26" s="15">
        <f t="shared" si="1"/>
        <v>63.142857142857146</v>
      </c>
      <c r="R26" s="1" t="s">
        <v>150</v>
      </c>
      <c r="S26" s="34">
        <f>SUM(C74:C77)</f>
        <v>2</v>
      </c>
      <c r="T26" s="34">
        <f t="shared" ref="T26:AF26" si="18">SUM(D74:D77)</f>
        <v>5.5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3</v>
      </c>
      <c r="AA26" s="34">
        <f t="shared" si="18"/>
        <v>0</v>
      </c>
      <c r="AB26" s="34">
        <f t="shared" si="18"/>
        <v>0</v>
      </c>
      <c r="AC26" s="34">
        <f t="shared" si="18"/>
        <v>29.5</v>
      </c>
      <c r="AD26" s="34">
        <f t="shared" si="18"/>
        <v>0</v>
      </c>
      <c r="AE26" s="31">
        <f t="shared" si="18"/>
        <v>11.5</v>
      </c>
      <c r="AF26" s="31">
        <f t="shared" si="18"/>
        <v>41</v>
      </c>
    </row>
    <row r="27" spans="2:32" ht="23.1" customHeight="1" x14ac:dyDescent="0.25">
      <c r="B27" s="23" t="s">
        <v>54</v>
      </c>
      <c r="C27" s="49">
        <f>AVERAGE('22.08 Musita-Lumino'!C27,'24.08 Musita-Lumino'!C27,'25.08 Musita-Lumino'!C27,'27.08 Musita-Lumino'!C27,'23.08 Musita-Lumino-24h'!C27,'26.08 Musita-Lumino-24h'!C27,'28.08Musita-Lumino'!C27)</f>
        <v>5.1428571428571432</v>
      </c>
      <c r="D27" s="49">
        <f>AVERAGE('22.08 Musita-Lumino'!D27,'24.08 Musita-Lumino'!D27,'25.08 Musita-Lumino'!D27,'27.08 Musita-Lumino'!D27,'23.08 Musita-Lumino-24h'!D27,'26.08 Musita-Lumino-24h'!D27,'28.08Musita-Lumino'!D27)</f>
        <v>1.8571428571428572</v>
      </c>
      <c r="E27" s="49">
        <f>AVERAGE('22.08 Musita-Lumino'!E27,'24.08 Musita-Lumino'!E27,'25.08 Musita-Lumino'!E27,'27.08 Musita-Lumino'!E27,'23.08 Musita-Lumino-24h'!E27,'26.08 Musita-Lumino-24h'!E27,'28.08Musita-Lumino'!E27)</f>
        <v>0.5714285714285714</v>
      </c>
      <c r="F27" s="49">
        <f>AVERAGE('22.08 Musita-Lumino'!F27,'24.08 Musita-Lumino'!F27,'25.08 Musita-Lumino'!F27,'27.08 Musita-Lumino'!F27,'23.08 Musita-Lumino-24h'!F27,'26.08 Musita-Lumino-24h'!F27,'28.08Musita-Lumino'!F27)</f>
        <v>2.5714285714285716</v>
      </c>
      <c r="G27" s="49">
        <f>AVERAGE('22.08 Musita-Lumino'!G27,'24.08 Musita-Lumino'!G27,'25.08 Musita-Lumino'!G27,'27.08 Musita-Lumino'!G27,'23.08 Musita-Lumino-24h'!G27,'26.08 Musita-Lumino-24h'!G27,'28.08Musita-Lumino'!G27)</f>
        <v>0</v>
      </c>
      <c r="H27" s="49">
        <f>AVERAGE('22.08 Musita-Lumino'!H27,'24.08 Musita-Lumino'!H27,'25.08 Musita-Lumino'!H27,'27.08 Musita-Lumino'!H27,'23.08 Musita-Lumino-24h'!H27,'26.08 Musita-Lumino-24h'!H27,'28.08Musita-Lumino'!H27)</f>
        <v>0</v>
      </c>
      <c r="I27" s="49">
        <f>AVERAGE('22.08 Musita-Lumino'!I27,'24.08 Musita-Lumino'!I27,'25.08 Musita-Lumino'!I27,'27.08 Musita-Lumino'!I27,'23.08 Musita-Lumino-24h'!I27,'26.08 Musita-Lumino-24h'!I27,'28.08Musita-Lumino'!I27)</f>
        <v>1.2857142857142858</v>
      </c>
      <c r="J27" s="49">
        <f>AVERAGE('22.08 Musita-Lumino'!J27,'24.08 Musita-Lumino'!J27,'25.08 Musita-Lumino'!J27,'27.08 Musita-Lumino'!J27,'23.08 Musita-Lumino-24h'!J27,'26.08 Musita-Lumino-24h'!J27,'28.08Musita-Lumino'!J27)</f>
        <v>3.2857142857142856</v>
      </c>
      <c r="K27" s="49">
        <f>AVERAGE('22.08 Musita-Lumino'!K27,'24.08 Musita-Lumino'!K27,'25.08 Musita-Lumino'!K27,'27.08 Musita-Lumino'!K27,'23.08 Musita-Lumino-24h'!K27,'26.08 Musita-Lumino-24h'!K27,'28.08Musita-Lumino'!K27)</f>
        <v>0.5714285714285714</v>
      </c>
      <c r="L27" s="49">
        <f>AVERAGE('22.08 Musita-Lumino'!L27,'24.08 Musita-Lumino'!L27,'25.08 Musita-Lumino'!L27,'27.08 Musita-Lumino'!L27,'23.08 Musita-Lumino-24h'!L27,'26.08 Musita-Lumino-24h'!L27,'28.08Musita-Lumino'!L27)</f>
        <v>0.2857142857142857</v>
      </c>
      <c r="M27" s="49">
        <f>AVERAGE('22.08 Musita-Lumino'!M27,'24.08 Musita-Lumino'!M27,'25.08 Musita-Lumino'!M27,'27.08 Musita-Lumino'!M27,'23.08 Musita-Lumino-24h'!M27,'26.08 Musita-Lumino-24h'!M27,'28.08Musita-Lumino'!M27)</f>
        <v>45.428571428571431</v>
      </c>
      <c r="N27" s="49">
        <f>AVERAGE('22.08 Musita-Lumino'!N27,'24.08 Musita-Lumino'!N27,'25.08 Musita-Lumino'!N27,'27.08 Musita-Lumino'!N27,'23.08 Musita-Lumino-24h'!N27,'26.08 Musita-Lumino-24h'!N27,'28.08Musita-Lumino'!N27)</f>
        <v>0.14285714285714285</v>
      </c>
      <c r="O27" s="15">
        <f t="shared" si="0"/>
        <v>15.714285714285715</v>
      </c>
      <c r="P27" s="15">
        <f t="shared" si="1"/>
        <v>61.142857142857146</v>
      </c>
      <c r="R27" s="1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5</v>
      </c>
      <c r="AA27" s="34">
        <f t="shared" si="19"/>
        <v>1.5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12.5</v>
      </c>
      <c r="AF27" s="31">
        <f t="shared" si="19"/>
        <v>16.5</v>
      </c>
    </row>
    <row r="28" spans="2:32" ht="23.1" customHeight="1" x14ac:dyDescent="0.25">
      <c r="B28" s="23" t="s">
        <v>55</v>
      </c>
      <c r="C28" s="49">
        <f>AVERAGE('22.08 Musita-Lumino'!C28,'24.08 Musita-Lumino'!C28,'25.08 Musita-Lumino'!C28,'27.08 Musita-Lumino'!C28,'23.08 Musita-Lumino-24h'!C28,'26.08 Musita-Lumino-24h'!C28,'28.08Musita-Lumino'!C28)</f>
        <v>4.2857142857142856</v>
      </c>
      <c r="D28" s="49">
        <f>AVERAGE('22.08 Musita-Lumino'!D28,'24.08 Musita-Lumino'!D28,'25.08 Musita-Lumino'!D28,'27.08 Musita-Lumino'!D28,'23.08 Musita-Lumino-24h'!D28,'26.08 Musita-Lumino-24h'!D28,'28.08Musita-Lumino'!D28)</f>
        <v>1.1428571428571428</v>
      </c>
      <c r="E28" s="49">
        <f>AVERAGE('22.08 Musita-Lumino'!E28,'24.08 Musita-Lumino'!E28,'25.08 Musita-Lumino'!E28,'27.08 Musita-Lumino'!E28,'23.08 Musita-Lumino-24h'!E28,'26.08 Musita-Lumino-24h'!E28,'28.08Musita-Lumino'!E28)</f>
        <v>0.42857142857142855</v>
      </c>
      <c r="F28" s="49">
        <f>AVERAGE('22.08 Musita-Lumino'!F28,'24.08 Musita-Lumino'!F28,'25.08 Musita-Lumino'!F28,'27.08 Musita-Lumino'!F28,'23.08 Musita-Lumino-24h'!F28,'26.08 Musita-Lumino-24h'!F28,'28.08Musita-Lumino'!F28)</f>
        <v>1.7142857142857142</v>
      </c>
      <c r="G28" s="49">
        <f>AVERAGE('22.08 Musita-Lumino'!G28,'24.08 Musita-Lumino'!G28,'25.08 Musita-Lumino'!G28,'27.08 Musita-Lumino'!G28,'23.08 Musita-Lumino-24h'!G28,'26.08 Musita-Lumino-24h'!G28,'28.08Musita-Lumino'!G28)</f>
        <v>0</v>
      </c>
      <c r="H28" s="49">
        <f>AVERAGE('22.08 Musita-Lumino'!H28,'24.08 Musita-Lumino'!H28,'25.08 Musita-Lumino'!H28,'27.08 Musita-Lumino'!H28,'23.08 Musita-Lumino-24h'!H28,'26.08 Musita-Lumino-24h'!H28,'28.08Musita-Lumino'!H28)</f>
        <v>0</v>
      </c>
      <c r="I28" s="49">
        <f>AVERAGE('22.08 Musita-Lumino'!I28,'24.08 Musita-Lumino'!I28,'25.08 Musita-Lumino'!I28,'27.08 Musita-Lumino'!I28,'23.08 Musita-Lumino-24h'!I28,'26.08 Musita-Lumino-24h'!I28,'28.08Musita-Lumino'!I28)</f>
        <v>1.1428571428571428</v>
      </c>
      <c r="J28" s="49">
        <f>AVERAGE('22.08 Musita-Lumino'!J28,'24.08 Musita-Lumino'!J28,'25.08 Musita-Lumino'!J28,'27.08 Musita-Lumino'!J28,'23.08 Musita-Lumino-24h'!J28,'26.08 Musita-Lumino-24h'!J28,'28.08Musita-Lumino'!J28)</f>
        <v>1.5714285714285714</v>
      </c>
      <c r="K28" s="49">
        <f>AVERAGE('22.08 Musita-Lumino'!K28,'24.08 Musita-Lumino'!K28,'25.08 Musita-Lumino'!K28,'27.08 Musita-Lumino'!K28,'23.08 Musita-Lumino-24h'!K28,'26.08 Musita-Lumino-24h'!K28,'28.08Musita-Lumino'!K28)</f>
        <v>0.5714285714285714</v>
      </c>
      <c r="L28" s="49">
        <f>AVERAGE('22.08 Musita-Lumino'!L28,'24.08 Musita-Lumino'!L28,'25.08 Musita-Lumino'!L28,'27.08 Musita-Lumino'!L28,'23.08 Musita-Lumino-24h'!L28,'26.08 Musita-Lumino-24h'!L28,'28.08Musita-Lumino'!L28)</f>
        <v>0.5714285714285714</v>
      </c>
      <c r="M28" s="49">
        <f>AVERAGE('22.08 Musita-Lumino'!M28,'24.08 Musita-Lumino'!M28,'25.08 Musita-Lumino'!M28,'27.08 Musita-Lumino'!M28,'23.08 Musita-Lumino-24h'!M28,'26.08 Musita-Lumino-24h'!M28,'28.08Musita-Lumino'!M28)</f>
        <v>48</v>
      </c>
      <c r="N28" s="49">
        <f>AVERAGE('22.08 Musita-Lumino'!N28,'24.08 Musita-Lumino'!N28,'25.08 Musita-Lumino'!N28,'27.08 Musita-Lumino'!N28,'23.08 Musita-Lumino-24h'!N28,'26.08 Musita-Lumino-24h'!N28,'28.08Musita-Lumino'!N28)</f>
        <v>0</v>
      </c>
      <c r="O28" s="15">
        <f t="shared" si="0"/>
        <v>11.428571428571429</v>
      </c>
      <c r="P28" s="15">
        <f t="shared" si="1"/>
        <v>59.428571428571431</v>
      </c>
      <c r="R28" s="1" t="s">
        <v>152</v>
      </c>
      <c r="S28" s="34">
        <f>SUM(C82:C85)</f>
        <v>2</v>
      </c>
      <c r="T28" s="34">
        <f t="shared" ref="T28:AF28" si="20">SUM(D82:D85)</f>
        <v>2</v>
      </c>
      <c r="U28" s="34">
        <f t="shared" si="20"/>
        <v>1.5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1.5</v>
      </c>
      <c r="AA28" s="34">
        <f t="shared" si="20"/>
        <v>1.5</v>
      </c>
      <c r="AB28" s="34">
        <f t="shared" si="20"/>
        <v>1</v>
      </c>
      <c r="AC28" s="34">
        <f t="shared" si="20"/>
        <v>1</v>
      </c>
      <c r="AD28" s="34">
        <f t="shared" si="20"/>
        <v>0</v>
      </c>
      <c r="AE28" s="31">
        <f t="shared" si="20"/>
        <v>11.5</v>
      </c>
      <c r="AF28" s="31">
        <f t="shared" si="20"/>
        <v>12.5</v>
      </c>
    </row>
    <row r="29" spans="2:32" ht="23.1" customHeight="1" x14ac:dyDescent="0.25">
      <c r="B29" s="23" t="s">
        <v>56</v>
      </c>
      <c r="C29" s="49">
        <f>AVERAGE('22.08 Musita-Lumino'!C29,'24.08 Musita-Lumino'!C29,'25.08 Musita-Lumino'!C29,'27.08 Musita-Lumino'!C29,'23.08 Musita-Lumino-24h'!C29,'26.08 Musita-Lumino-24h'!C29,'28.08Musita-Lumino'!C29)</f>
        <v>5</v>
      </c>
      <c r="D29" s="49">
        <f>AVERAGE('22.08 Musita-Lumino'!D29,'24.08 Musita-Lumino'!D29,'25.08 Musita-Lumino'!D29,'27.08 Musita-Lumino'!D29,'23.08 Musita-Lumino-24h'!D29,'26.08 Musita-Lumino-24h'!D29,'28.08Musita-Lumino'!D29)</f>
        <v>1.1428571428571428</v>
      </c>
      <c r="E29" s="49">
        <f>AVERAGE('22.08 Musita-Lumino'!E29,'24.08 Musita-Lumino'!E29,'25.08 Musita-Lumino'!E29,'27.08 Musita-Lumino'!E29,'23.08 Musita-Lumino-24h'!E29,'26.08 Musita-Lumino-24h'!E29,'28.08Musita-Lumino'!E29)</f>
        <v>0.8571428571428571</v>
      </c>
      <c r="F29" s="49">
        <f>AVERAGE('22.08 Musita-Lumino'!F29,'24.08 Musita-Lumino'!F29,'25.08 Musita-Lumino'!F29,'27.08 Musita-Lumino'!F29,'23.08 Musita-Lumino-24h'!F29,'26.08 Musita-Lumino-24h'!F29,'28.08Musita-Lumino'!F29)</f>
        <v>2.1428571428571428</v>
      </c>
      <c r="G29" s="49">
        <f>AVERAGE('22.08 Musita-Lumino'!G29,'24.08 Musita-Lumino'!G29,'25.08 Musita-Lumino'!G29,'27.08 Musita-Lumino'!G29,'23.08 Musita-Lumino-24h'!G29,'26.08 Musita-Lumino-24h'!G29,'28.08Musita-Lumino'!G29)</f>
        <v>0</v>
      </c>
      <c r="H29" s="49">
        <f>AVERAGE('22.08 Musita-Lumino'!H29,'24.08 Musita-Lumino'!H29,'25.08 Musita-Lumino'!H29,'27.08 Musita-Lumino'!H29,'23.08 Musita-Lumino-24h'!H29,'26.08 Musita-Lumino-24h'!H29,'28.08Musita-Lumino'!H29)</f>
        <v>0</v>
      </c>
      <c r="I29" s="49">
        <f>AVERAGE('22.08 Musita-Lumino'!I29,'24.08 Musita-Lumino'!I29,'25.08 Musita-Lumino'!I29,'27.08 Musita-Lumino'!I29,'23.08 Musita-Lumino-24h'!I29,'26.08 Musita-Lumino-24h'!I29,'28.08Musita-Lumino'!I29)</f>
        <v>1.4285714285714286</v>
      </c>
      <c r="J29" s="49">
        <f>AVERAGE('22.08 Musita-Lumino'!J29,'24.08 Musita-Lumino'!J29,'25.08 Musita-Lumino'!J29,'27.08 Musita-Lumino'!J29,'23.08 Musita-Lumino-24h'!J29,'26.08 Musita-Lumino-24h'!J29,'28.08Musita-Lumino'!J29)</f>
        <v>1.2857142857142858</v>
      </c>
      <c r="K29" s="49">
        <f>AVERAGE('22.08 Musita-Lumino'!K29,'24.08 Musita-Lumino'!K29,'25.08 Musita-Lumino'!K29,'27.08 Musita-Lumino'!K29,'23.08 Musita-Lumino-24h'!K29,'26.08 Musita-Lumino-24h'!K29,'28.08Musita-Lumino'!K29)</f>
        <v>0.7142857142857143</v>
      </c>
      <c r="L29" s="49">
        <f>AVERAGE('22.08 Musita-Lumino'!L29,'24.08 Musita-Lumino'!L29,'25.08 Musita-Lumino'!L29,'27.08 Musita-Lumino'!L29,'23.08 Musita-Lumino-24h'!L29,'26.08 Musita-Lumino-24h'!L29,'28.08Musita-Lumino'!L29)</f>
        <v>0.5714285714285714</v>
      </c>
      <c r="M29" s="49">
        <f>AVERAGE('22.08 Musita-Lumino'!M29,'24.08 Musita-Lumino'!M29,'25.08 Musita-Lumino'!M29,'27.08 Musita-Lumino'!M29,'23.08 Musita-Lumino-24h'!M29,'26.08 Musita-Lumino-24h'!M29,'28.08Musita-Lumino'!M29)</f>
        <v>55.142857142857146</v>
      </c>
      <c r="N29" s="49">
        <f>AVERAGE('22.08 Musita-Lumino'!N29,'24.08 Musita-Lumino'!N29,'25.08 Musita-Lumino'!N29,'27.08 Musita-Lumino'!N29,'23.08 Musita-Lumino-24h'!N29,'26.08 Musita-Lumino-24h'!N29,'28.08Musita-Lumino'!N29)</f>
        <v>0</v>
      </c>
      <c r="O29" s="15">
        <f t="shared" si="0"/>
        <v>13.142857142857142</v>
      </c>
      <c r="P29" s="15">
        <f t="shared" si="1"/>
        <v>68.285714285714292</v>
      </c>
      <c r="R29" s="1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2</v>
      </c>
      <c r="AB29" s="34">
        <f t="shared" si="21"/>
        <v>3.5</v>
      </c>
      <c r="AC29" s="34">
        <f t="shared" si="21"/>
        <v>0</v>
      </c>
      <c r="AD29" s="34">
        <f t="shared" si="21"/>
        <v>0</v>
      </c>
      <c r="AE29" s="31">
        <f t="shared" si="21"/>
        <v>7.5</v>
      </c>
      <c r="AF29" s="31">
        <f t="shared" si="21"/>
        <v>7.5</v>
      </c>
    </row>
    <row r="30" spans="2:32" ht="23.1" customHeight="1" x14ac:dyDescent="0.25">
      <c r="B30" s="23" t="s">
        <v>57</v>
      </c>
      <c r="C30" s="49">
        <f>AVERAGE('22.08 Musita-Lumino'!C30,'24.08 Musita-Lumino'!C30,'25.08 Musita-Lumino'!C30,'27.08 Musita-Lumino'!C30,'23.08 Musita-Lumino-24h'!C30,'26.08 Musita-Lumino-24h'!C30,'28.08Musita-Lumino'!C30)</f>
        <v>5.7142857142857144</v>
      </c>
      <c r="D30" s="49">
        <f>AVERAGE('22.08 Musita-Lumino'!D30,'24.08 Musita-Lumino'!D30,'25.08 Musita-Lumino'!D30,'27.08 Musita-Lumino'!D30,'23.08 Musita-Lumino-24h'!D30,'26.08 Musita-Lumino-24h'!D30,'28.08Musita-Lumino'!D30)</f>
        <v>1.7142857142857142</v>
      </c>
      <c r="E30" s="49">
        <f>AVERAGE('22.08 Musita-Lumino'!E30,'24.08 Musita-Lumino'!E30,'25.08 Musita-Lumino'!E30,'27.08 Musita-Lumino'!E30,'23.08 Musita-Lumino-24h'!E30,'26.08 Musita-Lumino-24h'!E30,'28.08Musita-Lumino'!E30)</f>
        <v>1.4285714285714286</v>
      </c>
      <c r="F30" s="49">
        <f>AVERAGE('22.08 Musita-Lumino'!F30,'24.08 Musita-Lumino'!F30,'25.08 Musita-Lumino'!F30,'27.08 Musita-Lumino'!F30,'23.08 Musita-Lumino-24h'!F30,'26.08 Musita-Lumino-24h'!F30,'28.08Musita-Lumino'!F30)</f>
        <v>1.7142857142857142</v>
      </c>
      <c r="G30" s="49">
        <f>AVERAGE('22.08 Musita-Lumino'!G30,'24.08 Musita-Lumino'!G30,'25.08 Musita-Lumino'!G30,'27.08 Musita-Lumino'!G30,'23.08 Musita-Lumino-24h'!G30,'26.08 Musita-Lumino-24h'!G30,'28.08Musita-Lumino'!G30)</f>
        <v>0</v>
      </c>
      <c r="H30" s="49">
        <f>AVERAGE('22.08 Musita-Lumino'!H30,'24.08 Musita-Lumino'!H30,'25.08 Musita-Lumino'!H30,'27.08 Musita-Lumino'!H30,'23.08 Musita-Lumino-24h'!H30,'26.08 Musita-Lumino-24h'!H30,'28.08Musita-Lumino'!H30)</f>
        <v>0</v>
      </c>
      <c r="I30" s="49">
        <f>AVERAGE('22.08 Musita-Lumino'!I30,'24.08 Musita-Lumino'!I30,'25.08 Musita-Lumino'!I30,'27.08 Musita-Lumino'!I30,'23.08 Musita-Lumino-24h'!I30,'26.08 Musita-Lumino-24h'!I30,'28.08Musita-Lumino'!I30)</f>
        <v>1.5714285714285714</v>
      </c>
      <c r="J30" s="49">
        <f>AVERAGE('22.08 Musita-Lumino'!J30,'24.08 Musita-Lumino'!J30,'25.08 Musita-Lumino'!J30,'27.08 Musita-Lumino'!J30,'23.08 Musita-Lumino-24h'!J30,'26.08 Musita-Lumino-24h'!J30,'28.08Musita-Lumino'!J30)</f>
        <v>2.1428571428571428</v>
      </c>
      <c r="K30" s="49">
        <f>AVERAGE('22.08 Musita-Lumino'!K30,'24.08 Musita-Lumino'!K30,'25.08 Musita-Lumino'!K30,'27.08 Musita-Lumino'!K30,'23.08 Musita-Lumino-24h'!K30,'26.08 Musita-Lumino-24h'!K30,'28.08Musita-Lumino'!K30)</f>
        <v>0.42857142857142855</v>
      </c>
      <c r="L30" s="49">
        <f>AVERAGE('22.08 Musita-Lumino'!L30,'24.08 Musita-Lumino'!L30,'25.08 Musita-Lumino'!L30,'27.08 Musita-Lumino'!L30,'23.08 Musita-Lumino-24h'!L30,'26.08 Musita-Lumino-24h'!L30,'28.08Musita-Lumino'!L30)</f>
        <v>0.2857142857142857</v>
      </c>
      <c r="M30" s="49">
        <f>AVERAGE('22.08 Musita-Lumino'!M30,'24.08 Musita-Lumino'!M30,'25.08 Musita-Lumino'!M30,'27.08 Musita-Lumino'!M30,'23.08 Musita-Lumino-24h'!M30,'26.08 Musita-Lumino-24h'!M30,'28.08Musita-Lumino'!M30)</f>
        <v>46.428571428571431</v>
      </c>
      <c r="N30" s="49">
        <f>AVERAGE('22.08 Musita-Lumino'!N30,'24.08 Musita-Lumino'!N30,'25.08 Musita-Lumino'!N30,'27.08 Musita-Lumino'!N30,'23.08 Musita-Lumino-24h'!N30,'26.08 Musita-Lumino-24h'!N30,'28.08Musita-Lumino'!N30)</f>
        <v>0</v>
      </c>
      <c r="O30" s="15">
        <f t="shared" si="0"/>
        <v>15</v>
      </c>
      <c r="P30" s="15">
        <f t="shared" si="1"/>
        <v>61.428571428571431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4</v>
      </c>
      <c r="AA30" s="34">
        <f t="shared" si="22"/>
        <v>1.5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24" t="s">
        <v>58</v>
      </c>
      <c r="C31" s="49">
        <f>AVERAGE('22.08 Musita-Lumino'!C31,'24.08 Musita-Lumino'!C31,'25.08 Musita-Lumino'!C31,'27.08 Musita-Lumino'!C31,'23.08 Musita-Lumino-24h'!C31,'26.08 Musita-Lumino-24h'!C31,'28.08Musita-Lumino'!C31)</f>
        <v>4.8571428571428568</v>
      </c>
      <c r="D31" s="49">
        <f>AVERAGE('22.08 Musita-Lumino'!D31,'24.08 Musita-Lumino'!D31,'25.08 Musita-Lumino'!D31,'27.08 Musita-Lumino'!D31,'23.08 Musita-Lumino-24h'!D31,'26.08 Musita-Lumino-24h'!D31,'28.08Musita-Lumino'!D31)</f>
        <v>0.8571428571428571</v>
      </c>
      <c r="E31" s="49">
        <f>AVERAGE('22.08 Musita-Lumino'!E31,'24.08 Musita-Lumino'!E31,'25.08 Musita-Lumino'!E31,'27.08 Musita-Lumino'!E31,'23.08 Musita-Lumino-24h'!E31,'26.08 Musita-Lumino-24h'!E31,'28.08Musita-Lumino'!E31)</f>
        <v>2</v>
      </c>
      <c r="F31" s="49">
        <f>AVERAGE('22.08 Musita-Lumino'!F31,'24.08 Musita-Lumino'!F31,'25.08 Musita-Lumino'!F31,'27.08 Musita-Lumino'!F31,'23.08 Musita-Lumino-24h'!F31,'26.08 Musita-Lumino-24h'!F31,'28.08Musita-Lumino'!F31)</f>
        <v>1.5714285714285714</v>
      </c>
      <c r="G31" s="49">
        <f>AVERAGE('22.08 Musita-Lumino'!G31,'24.08 Musita-Lumino'!G31,'25.08 Musita-Lumino'!G31,'27.08 Musita-Lumino'!G31,'23.08 Musita-Lumino-24h'!G31,'26.08 Musita-Lumino-24h'!G31,'28.08Musita-Lumino'!G31)</f>
        <v>0.2857142857142857</v>
      </c>
      <c r="H31" s="49">
        <f>AVERAGE('22.08 Musita-Lumino'!H31,'24.08 Musita-Lumino'!H31,'25.08 Musita-Lumino'!H31,'27.08 Musita-Lumino'!H31,'23.08 Musita-Lumino-24h'!H31,'26.08 Musita-Lumino-24h'!H31,'28.08Musita-Lumino'!H31)</f>
        <v>0</v>
      </c>
      <c r="I31" s="49">
        <f>AVERAGE('22.08 Musita-Lumino'!I31,'24.08 Musita-Lumino'!I31,'25.08 Musita-Lumino'!I31,'27.08 Musita-Lumino'!I31,'23.08 Musita-Lumino-24h'!I31,'26.08 Musita-Lumino-24h'!I31,'28.08Musita-Lumino'!I31)</f>
        <v>2.4285714285714284</v>
      </c>
      <c r="J31" s="49">
        <f>AVERAGE('22.08 Musita-Lumino'!J31,'24.08 Musita-Lumino'!J31,'25.08 Musita-Lumino'!J31,'27.08 Musita-Lumino'!J31,'23.08 Musita-Lumino-24h'!J31,'26.08 Musita-Lumino-24h'!J31,'28.08Musita-Lumino'!J31)</f>
        <v>2.5714285714285716</v>
      </c>
      <c r="K31" s="49">
        <f>AVERAGE('22.08 Musita-Lumino'!K31,'24.08 Musita-Lumino'!K31,'25.08 Musita-Lumino'!K31,'27.08 Musita-Lumino'!K31,'23.08 Musita-Lumino-24h'!K31,'26.08 Musita-Lumino-24h'!K31,'28.08Musita-Lumino'!K31)</f>
        <v>0</v>
      </c>
      <c r="L31" s="49">
        <f>AVERAGE('22.08 Musita-Lumino'!L31,'24.08 Musita-Lumino'!L31,'25.08 Musita-Lumino'!L31,'27.08 Musita-Lumino'!L31,'23.08 Musita-Lumino-24h'!L31,'26.08 Musita-Lumino-24h'!L31,'28.08Musita-Lumino'!L31)</f>
        <v>0</v>
      </c>
      <c r="M31" s="49">
        <f>AVERAGE('22.08 Musita-Lumino'!M31,'24.08 Musita-Lumino'!M31,'25.08 Musita-Lumino'!M31,'27.08 Musita-Lumino'!M31,'23.08 Musita-Lumino-24h'!M31,'26.08 Musita-Lumino-24h'!M31,'28.08Musita-Lumino'!M31)</f>
        <v>46.714285714285715</v>
      </c>
      <c r="N31" s="49">
        <f>AVERAGE('22.08 Musita-Lumino'!N31,'24.08 Musita-Lumino'!N31,'25.08 Musita-Lumino'!N31,'27.08 Musita-Lumino'!N31,'23.08 Musita-Lumino-24h'!N31,'26.08 Musita-Lumino-24h'!N31,'28.08Musita-Lumino'!N31)</f>
        <v>0.14285714285714285</v>
      </c>
      <c r="O31" s="15">
        <f t="shared" si="0"/>
        <v>14.714285714285714</v>
      </c>
      <c r="P31" s="15">
        <f t="shared" si="1"/>
        <v>61.428571428571431</v>
      </c>
      <c r="R31" s="1" t="s">
        <v>155</v>
      </c>
      <c r="S31" s="34">
        <f>SUM(C94:C97)</f>
        <v>2.5</v>
      </c>
      <c r="T31" s="34">
        <f t="shared" ref="T31:AF31" si="23">SUM(D94:D97)</f>
        <v>0.5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2.5</v>
      </c>
      <c r="Z31" s="34">
        <f t="shared" si="23"/>
        <v>2</v>
      </c>
      <c r="AA31" s="34">
        <f t="shared" si="23"/>
        <v>1</v>
      </c>
      <c r="AB31" s="34">
        <f t="shared" si="23"/>
        <v>0</v>
      </c>
      <c r="AC31" s="34">
        <f t="shared" si="23"/>
        <v>7</v>
      </c>
      <c r="AD31" s="34">
        <f t="shared" si="23"/>
        <v>0</v>
      </c>
      <c r="AE31" s="31">
        <f t="shared" si="23"/>
        <v>9</v>
      </c>
      <c r="AF31" s="31">
        <f t="shared" si="23"/>
        <v>16</v>
      </c>
    </row>
    <row r="32" spans="2:32" ht="23.1" customHeight="1" x14ac:dyDescent="0.25">
      <c r="B32" s="24" t="s">
        <v>59</v>
      </c>
      <c r="C32" s="49">
        <f>AVERAGE('22.08 Musita-Lumino'!C32,'24.08 Musita-Lumino'!C32,'25.08 Musita-Lumino'!C32,'27.08 Musita-Lumino'!C32,'23.08 Musita-Lumino-24h'!C32,'26.08 Musita-Lumino-24h'!C32,'28.08Musita-Lumino'!C32)</f>
        <v>3.8571428571428572</v>
      </c>
      <c r="D32" s="49">
        <f>AVERAGE('22.08 Musita-Lumino'!D32,'24.08 Musita-Lumino'!D32,'25.08 Musita-Lumino'!D32,'27.08 Musita-Lumino'!D32,'23.08 Musita-Lumino-24h'!D32,'26.08 Musita-Lumino-24h'!D32,'28.08Musita-Lumino'!D32)</f>
        <v>0.5714285714285714</v>
      </c>
      <c r="E32" s="49">
        <f>AVERAGE('22.08 Musita-Lumino'!E32,'24.08 Musita-Lumino'!E32,'25.08 Musita-Lumino'!E32,'27.08 Musita-Lumino'!E32,'23.08 Musita-Lumino-24h'!E32,'26.08 Musita-Lumino-24h'!E32,'28.08Musita-Lumino'!E32)</f>
        <v>1.2857142857142858</v>
      </c>
      <c r="F32" s="49">
        <f>AVERAGE('22.08 Musita-Lumino'!F32,'24.08 Musita-Lumino'!F32,'25.08 Musita-Lumino'!F32,'27.08 Musita-Lumino'!F32,'23.08 Musita-Lumino-24h'!F32,'26.08 Musita-Lumino-24h'!F32,'28.08Musita-Lumino'!F32)</f>
        <v>2.2857142857142856</v>
      </c>
      <c r="G32" s="49">
        <f>AVERAGE('22.08 Musita-Lumino'!G32,'24.08 Musita-Lumino'!G32,'25.08 Musita-Lumino'!G32,'27.08 Musita-Lumino'!G32,'23.08 Musita-Lumino-24h'!G32,'26.08 Musita-Lumino-24h'!G32,'28.08Musita-Lumino'!G32)</f>
        <v>0.14285714285714285</v>
      </c>
      <c r="H32" s="49">
        <f>AVERAGE('22.08 Musita-Lumino'!H32,'24.08 Musita-Lumino'!H32,'25.08 Musita-Lumino'!H32,'27.08 Musita-Lumino'!H32,'23.08 Musita-Lumino-24h'!H32,'26.08 Musita-Lumino-24h'!H32,'28.08Musita-Lumino'!H32)</f>
        <v>0.14285714285714285</v>
      </c>
      <c r="I32" s="49">
        <f>AVERAGE('22.08 Musita-Lumino'!I32,'24.08 Musita-Lumino'!I32,'25.08 Musita-Lumino'!I32,'27.08 Musita-Lumino'!I32,'23.08 Musita-Lumino-24h'!I32,'26.08 Musita-Lumino-24h'!I32,'28.08Musita-Lumino'!I32)</f>
        <v>3.2857142857142856</v>
      </c>
      <c r="J32" s="49">
        <f>AVERAGE('22.08 Musita-Lumino'!J32,'24.08 Musita-Lumino'!J32,'25.08 Musita-Lumino'!J32,'27.08 Musita-Lumino'!J32,'23.08 Musita-Lumino-24h'!J32,'26.08 Musita-Lumino-24h'!J32,'28.08Musita-Lumino'!J32)</f>
        <v>1.2857142857142858</v>
      </c>
      <c r="K32" s="49">
        <f>AVERAGE('22.08 Musita-Lumino'!K32,'24.08 Musita-Lumino'!K32,'25.08 Musita-Lumino'!K32,'27.08 Musita-Lumino'!K32,'23.08 Musita-Lumino-24h'!K32,'26.08 Musita-Lumino-24h'!K32,'28.08Musita-Lumino'!K32)</f>
        <v>0.5714285714285714</v>
      </c>
      <c r="L32" s="49">
        <f>AVERAGE('22.08 Musita-Lumino'!L32,'24.08 Musita-Lumino'!L32,'25.08 Musita-Lumino'!L32,'27.08 Musita-Lumino'!L32,'23.08 Musita-Lumino-24h'!L32,'26.08 Musita-Lumino-24h'!L32,'28.08Musita-Lumino'!L32)</f>
        <v>0.42857142857142855</v>
      </c>
      <c r="M32" s="49">
        <f>AVERAGE('22.08 Musita-Lumino'!M32,'24.08 Musita-Lumino'!M32,'25.08 Musita-Lumino'!M32,'27.08 Musita-Lumino'!M32,'23.08 Musita-Lumino-24h'!M32,'26.08 Musita-Lumino-24h'!M32,'28.08Musita-Lumino'!M32)</f>
        <v>43</v>
      </c>
      <c r="N32" s="49">
        <f>AVERAGE('22.08 Musita-Lumino'!N32,'24.08 Musita-Lumino'!N32,'25.08 Musita-Lumino'!N32,'27.08 Musita-Lumino'!N32,'23.08 Musita-Lumino-24h'!N32,'26.08 Musita-Lumino-24h'!N32,'28.08Musita-Lumino'!N32)</f>
        <v>0</v>
      </c>
      <c r="O32" s="15">
        <f t="shared" si="0"/>
        <v>13.857142857142856</v>
      </c>
      <c r="P32" s="15">
        <f t="shared" si="1"/>
        <v>56.857142857142854</v>
      </c>
      <c r="R32" s="1" t="s">
        <v>156</v>
      </c>
      <c r="S32" s="34">
        <f>SUM(C98:C101)</f>
        <v>3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8</v>
      </c>
      <c r="AA32" s="34">
        <f t="shared" si="24"/>
        <v>3.5</v>
      </c>
      <c r="AB32" s="34">
        <f t="shared" si="24"/>
        <v>0</v>
      </c>
      <c r="AC32" s="34">
        <f t="shared" si="24"/>
        <v>15</v>
      </c>
      <c r="AD32" s="34">
        <f t="shared" si="24"/>
        <v>0</v>
      </c>
      <c r="AE32" s="31">
        <f t="shared" si="24"/>
        <v>18.5</v>
      </c>
      <c r="AF32" s="31">
        <f t="shared" si="24"/>
        <v>33.5</v>
      </c>
    </row>
    <row r="33" spans="2:32" ht="23.1" customHeight="1" x14ac:dyDescent="0.25">
      <c r="B33" s="23" t="s">
        <v>60</v>
      </c>
      <c r="C33" s="49">
        <f>AVERAGE('22.08 Musita-Lumino'!C33,'24.08 Musita-Lumino'!C33,'25.08 Musita-Lumino'!C33,'27.08 Musita-Lumino'!C33,'23.08 Musita-Lumino-24h'!C33,'26.08 Musita-Lumino-24h'!C33,'28.08Musita-Lumino'!C33)</f>
        <v>3.5714285714285716</v>
      </c>
      <c r="D33" s="49">
        <f>AVERAGE('22.08 Musita-Lumino'!D33,'24.08 Musita-Lumino'!D33,'25.08 Musita-Lumino'!D33,'27.08 Musita-Lumino'!D33,'23.08 Musita-Lumino-24h'!D33,'26.08 Musita-Lumino-24h'!D33,'28.08Musita-Lumino'!D33)</f>
        <v>1.1428571428571428</v>
      </c>
      <c r="E33" s="49">
        <f>AVERAGE('22.08 Musita-Lumino'!E33,'24.08 Musita-Lumino'!E33,'25.08 Musita-Lumino'!E33,'27.08 Musita-Lumino'!E33,'23.08 Musita-Lumino-24h'!E33,'26.08 Musita-Lumino-24h'!E33,'28.08Musita-Lumino'!E33)</f>
        <v>0.42857142857142855</v>
      </c>
      <c r="F33" s="49">
        <f>AVERAGE('22.08 Musita-Lumino'!F33,'24.08 Musita-Lumino'!F33,'25.08 Musita-Lumino'!F33,'27.08 Musita-Lumino'!F33,'23.08 Musita-Lumino-24h'!F33,'26.08 Musita-Lumino-24h'!F33,'28.08Musita-Lumino'!F33)</f>
        <v>2</v>
      </c>
      <c r="G33" s="49">
        <f>AVERAGE('22.08 Musita-Lumino'!G33,'24.08 Musita-Lumino'!G33,'25.08 Musita-Lumino'!G33,'27.08 Musita-Lumino'!G33,'23.08 Musita-Lumino-24h'!G33,'26.08 Musita-Lumino-24h'!G33,'28.08Musita-Lumino'!G33)</f>
        <v>0</v>
      </c>
      <c r="H33" s="49">
        <f>AVERAGE('22.08 Musita-Lumino'!H33,'24.08 Musita-Lumino'!H33,'25.08 Musita-Lumino'!H33,'27.08 Musita-Lumino'!H33,'23.08 Musita-Lumino-24h'!H33,'26.08 Musita-Lumino-24h'!H33,'28.08Musita-Lumino'!H33)</f>
        <v>0</v>
      </c>
      <c r="I33" s="49">
        <f>AVERAGE('22.08 Musita-Lumino'!I33,'24.08 Musita-Lumino'!I33,'25.08 Musita-Lumino'!I33,'27.08 Musita-Lumino'!I33,'23.08 Musita-Lumino-24h'!I33,'26.08 Musita-Lumino-24h'!I33,'28.08Musita-Lumino'!I33)</f>
        <v>1.5714285714285714</v>
      </c>
      <c r="J33" s="49">
        <f>AVERAGE('22.08 Musita-Lumino'!J33,'24.08 Musita-Lumino'!J33,'25.08 Musita-Lumino'!J33,'27.08 Musita-Lumino'!J33,'23.08 Musita-Lumino-24h'!J33,'26.08 Musita-Lumino-24h'!J33,'28.08Musita-Lumino'!J33)</f>
        <v>0.8571428571428571</v>
      </c>
      <c r="K33" s="49">
        <f>AVERAGE('22.08 Musita-Lumino'!K33,'24.08 Musita-Lumino'!K33,'25.08 Musita-Lumino'!K33,'27.08 Musita-Lumino'!K33,'23.08 Musita-Lumino-24h'!K33,'26.08 Musita-Lumino-24h'!K33,'28.08Musita-Lumino'!K33)</f>
        <v>0.14285714285714285</v>
      </c>
      <c r="L33" s="49">
        <f>AVERAGE('22.08 Musita-Lumino'!L33,'24.08 Musita-Lumino'!L33,'25.08 Musita-Lumino'!L33,'27.08 Musita-Lumino'!L33,'23.08 Musita-Lumino-24h'!L33,'26.08 Musita-Lumino-24h'!L33,'28.08Musita-Lumino'!L33)</f>
        <v>1</v>
      </c>
      <c r="M33" s="49">
        <f>AVERAGE('22.08 Musita-Lumino'!M33,'24.08 Musita-Lumino'!M33,'25.08 Musita-Lumino'!M33,'27.08 Musita-Lumino'!M33,'23.08 Musita-Lumino-24h'!M33,'26.08 Musita-Lumino-24h'!M33,'28.08Musita-Lumino'!M33)</f>
        <v>45.857142857142854</v>
      </c>
      <c r="N33" s="49">
        <f>AVERAGE('22.08 Musita-Lumino'!N33,'24.08 Musita-Lumino'!N33,'25.08 Musita-Lumino'!N33,'27.08 Musita-Lumino'!N33,'23.08 Musita-Lumino-24h'!N33,'26.08 Musita-Lumino-24h'!N33,'28.08Musita-Lumino'!N33)</f>
        <v>0.2857142857142857</v>
      </c>
      <c r="O33" s="15">
        <f t="shared" si="0"/>
        <v>11.000000000000002</v>
      </c>
      <c r="P33" s="15">
        <f t="shared" si="1"/>
        <v>56.857142857142854</v>
      </c>
      <c r="R33" s="1" t="s">
        <v>157</v>
      </c>
      <c r="S33" s="34">
        <f>SUM(C102:C105)</f>
        <v>6.5</v>
      </c>
      <c r="T33" s="34">
        <f t="shared" ref="T33:AF33" si="25">SUM(D102:D105)</f>
        <v>2.5</v>
      </c>
      <c r="U33" s="34">
        <f t="shared" si="25"/>
        <v>2</v>
      </c>
      <c r="V33" s="34">
        <f t="shared" si="25"/>
        <v>5</v>
      </c>
      <c r="W33" s="34">
        <f t="shared" si="25"/>
        <v>1.5</v>
      </c>
      <c r="X33" s="34">
        <f t="shared" si="25"/>
        <v>0</v>
      </c>
      <c r="Y33" s="34">
        <f t="shared" si="25"/>
        <v>5.5</v>
      </c>
      <c r="Z33" s="34">
        <f t="shared" si="25"/>
        <v>8</v>
      </c>
      <c r="AA33" s="34">
        <f t="shared" si="25"/>
        <v>2</v>
      </c>
      <c r="AB33" s="34">
        <f t="shared" si="25"/>
        <v>2.5</v>
      </c>
      <c r="AC33" s="34">
        <f t="shared" si="25"/>
        <v>55</v>
      </c>
      <c r="AD33" s="34">
        <f t="shared" si="25"/>
        <v>1.5</v>
      </c>
      <c r="AE33" s="31">
        <f t="shared" si="25"/>
        <v>37</v>
      </c>
      <c r="AF33" s="31">
        <f t="shared" si="25"/>
        <v>92</v>
      </c>
    </row>
    <row r="34" spans="2:32" ht="23.1" customHeight="1" x14ac:dyDescent="0.25">
      <c r="B34" s="24" t="s">
        <v>61</v>
      </c>
      <c r="C34" s="49">
        <f>AVERAGE('22.08 Musita-Lumino'!C34,'24.08 Musita-Lumino'!C34,'25.08 Musita-Lumino'!C34,'27.08 Musita-Lumino'!C34,'23.08 Musita-Lumino-24h'!C34,'26.08 Musita-Lumino-24h'!C34,'28.08Musita-Lumino'!C34)</f>
        <v>6.2857142857142856</v>
      </c>
      <c r="D34" s="49">
        <f>AVERAGE('22.08 Musita-Lumino'!D34,'24.08 Musita-Lumino'!D34,'25.08 Musita-Lumino'!D34,'27.08 Musita-Lumino'!D34,'23.08 Musita-Lumino-24h'!D34,'26.08 Musita-Lumino-24h'!D34,'28.08Musita-Lumino'!D34)</f>
        <v>0.8571428571428571</v>
      </c>
      <c r="E34" s="49">
        <f>AVERAGE('22.08 Musita-Lumino'!E34,'24.08 Musita-Lumino'!E34,'25.08 Musita-Lumino'!E34,'27.08 Musita-Lumino'!E34,'23.08 Musita-Lumino-24h'!E34,'26.08 Musita-Lumino-24h'!E34,'28.08Musita-Lumino'!E34)</f>
        <v>0.8571428571428571</v>
      </c>
      <c r="F34" s="49">
        <f>AVERAGE('22.08 Musita-Lumino'!F34,'24.08 Musita-Lumino'!F34,'25.08 Musita-Lumino'!F34,'27.08 Musita-Lumino'!F34,'23.08 Musita-Lumino-24h'!F34,'26.08 Musita-Lumino-24h'!F34,'28.08Musita-Lumino'!F34)</f>
        <v>1.8571428571428572</v>
      </c>
      <c r="G34" s="49">
        <f>AVERAGE('22.08 Musita-Lumino'!G34,'24.08 Musita-Lumino'!G34,'25.08 Musita-Lumino'!G34,'27.08 Musita-Lumino'!G34,'23.08 Musita-Lumino-24h'!G34,'26.08 Musita-Lumino-24h'!G34,'28.08Musita-Lumino'!G34)</f>
        <v>0.5714285714285714</v>
      </c>
      <c r="H34" s="49">
        <f>AVERAGE('22.08 Musita-Lumino'!H34,'24.08 Musita-Lumino'!H34,'25.08 Musita-Lumino'!H34,'27.08 Musita-Lumino'!H34,'23.08 Musita-Lumino-24h'!H34,'26.08 Musita-Lumino-24h'!H34,'28.08Musita-Lumino'!H34)</f>
        <v>0</v>
      </c>
      <c r="I34" s="49">
        <f>AVERAGE('22.08 Musita-Lumino'!I34,'24.08 Musita-Lumino'!I34,'25.08 Musita-Lumino'!I34,'27.08 Musita-Lumino'!I34,'23.08 Musita-Lumino-24h'!I34,'26.08 Musita-Lumino-24h'!I34,'28.08Musita-Lumino'!I34)</f>
        <v>3</v>
      </c>
      <c r="J34" s="49">
        <f>AVERAGE('22.08 Musita-Lumino'!J34,'24.08 Musita-Lumino'!J34,'25.08 Musita-Lumino'!J34,'27.08 Musita-Lumino'!J34,'23.08 Musita-Lumino-24h'!J34,'26.08 Musita-Lumino-24h'!J34,'28.08Musita-Lumino'!J34)</f>
        <v>3.1428571428571428</v>
      </c>
      <c r="K34" s="49">
        <f>AVERAGE('22.08 Musita-Lumino'!K34,'24.08 Musita-Lumino'!K34,'25.08 Musita-Lumino'!K34,'27.08 Musita-Lumino'!K34,'23.08 Musita-Lumino-24h'!K34,'26.08 Musita-Lumino-24h'!K34,'28.08Musita-Lumino'!K34)</f>
        <v>0.42857142857142855</v>
      </c>
      <c r="L34" s="49">
        <f>AVERAGE('22.08 Musita-Lumino'!L34,'24.08 Musita-Lumino'!L34,'25.08 Musita-Lumino'!L34,'27.08 Musita-Lumino'!L34,'23.08 Musita-Lumino-24h'!L34,'26.08 Musita-Lumino-24h'!L34,'28.08Musita-Lumino'!L34)</f>
        <v>0.5714285714285714</v>
      </c>
      <c r="M34" s="49">
        <f>AVERAGE('22.08 Musita-Lumino'!M34,'24.08 Musita-Lumino'!M34,'25.08 Musita-Lumino'!M34,'27.08 Musita-Lumino'!M34,'23.08 Musita-Lumino-24h'!M34,'26.08 Musita-Lumino-24h'!M34,'28.08Musita-Lumino'!M34)</f>
        <v>40.714285714285715</v>
      </c>
      <c r="N34" s="49">
        <f>AVERAGE('22.08 Musita-Lumino'!N34,'24.08 Musita-Lumino'!N34,'25.08 Musita-Lumino'!N34,'27.08 Musita-Lumino'!N34,'23.08 Musita-Lumino-24h'!N34,'26.08 Musita-Lumino-24h'!N34,'28.08Musita-Lumino'!N34)</f>
        <v>0.2857142857142857</v>
      </c>
      <c r="O34" s="15">
        <f t="shared" si="0"/>
        <v>17.857142857142854</v>
      </c>
      <c r="P34" s="15">
        <f t="shared" si="1"/>
        <v>58.571428571428569</v>
      </c>
      <c r="R34" s="38" t="s">
        <v>90</v>
      </c>
      <c r="S34" s="39">
        <f t="shared" ref="S34:AF34" si="26">MAX(S10:S12)</f>
        <v>14.142857142857142</v>
      </c>
      <c r="T34" s="39">
        <f t="shared" si="26"/>
        <v>6.1428571428571423</v>
      </c>
      <c r="U34" s="39">
        <f t="shared" si="26"/>
        <v>3</v>
      </c>
      <c r="V34" s="39">
        <f t="shared" si="26"/>
        <v>3.1428571428571428</v>
      </c>
      <c r="W34" s="39">
        <f t="shared" si="26"/>
        <v>0.5714285714285714</v>
      </c>
      <c r="X34" s="39">
        <f t="shared" si="26"/>
        <v>0</v>
      </c>
      <c r="Y34" s="39">
        <f t="shared" si="26"/>
        <v>8.7142857142857153</v>
      </c>
      <c r="Z34" s="39">
        <f t="shared" si="26"/>
        <v>12</v>
      </c>
      <c r="AA34" s="39">
        <f t="shared" si="26"/>
        <v>7.7142857142857135</v>
      </c>
      <c r="AB34" s="39">
        <f t="shared" si="26"/>
        <v>1.4285714285714286</v>
      </c>
      <c r="AC34" s="39">
        <f t="shared" si="26"/>
        <v>150.28571428571428</v>
      </c>
      <c r="AD34" s="39">
        <f t="shared" si="26"/>
        <v>1.1428571428571428</v>
      </c>
      <c r="AE34" s="40">
        <f t="shared" si="26"/>
        <v>51</v>
      </c>
      <c r="AF34" s="40">
        <f t="shared" si="26"/>
        <v>193</v>
      </c>
    </row>
    <row r="35" spans="2:32" ht="23.1" customHeight="1" x14ac:dyDescent="0.25">
      <c r="B35" s="24" t="s">
        <v>62</v>
      </c>
      <c r="C35" s="49">
        <f>AVERAGE('22.08 Musita-Lumino'!C35,'24.08 Musita-Lumino'!C35,'25.08 Musita-Lumino'!C35,'27.08 Musita-Lumino'!C35,'23.08 Musita-Lumino-24h'!C35,'26.08 Musita-Lumino-24h'!C35,'28.08Musita-Lumino'!C35)</f>
        <v>4.1428571428571432</v>
      </c>
      <c r="D35" s="49">
        <f>AVERAGE('22.08 Musita-Lumino'!D35,'24.08 Musita-Lumino'!D35,'25.08 Musita-Lumino'!D35,'27.08 Musita-Lumino'!D35,'23.08 Musita-Lumino-24h'!D35,'26.08 Musita-Lumino-24h'!D35,'28.08Musita-Lumino'!D35)</f>
        <v>1</v>
      </c>
      <c r="E35" s="49">
        <f>AVERAGE('22.08 Musita-Lumino'!E35,'24.08 Musita-Lumino'!E35,'25.08 Musita-Lumino'!E35,'27.08 Musita-Lumino'!E35,'23.08 Musita-Lumino-24h'!E35,'26.08 Musita-Lumino-24h'!E35,'28.08Musita-Lumino'!E35)</f>
        <v>1.2857142857142858</v>
      </c>
      <c r="F35" s="49">
        <f>AVERAGE('22.08 Musita-Lumino'!F35,'24.08 Musita-Lumino'!F35,'25.08 Musita-Lumino'!F35,'27.08 Musita-Lumino'!F35,'23.08 Musita-Lumino-24h'!F35,'26.08 Musita-Lumino-24h'!F35,'28.08Musita-Lumino'!F35)</f>
        <v>2</v>
      </c>
      <c r="G35" s="49">
        <f>AVERAGE('22.08 Musita-Lumino'!G35,'24.08 Musita-Lumino'!G35,'25.08 Musita-Lumino'!G35,'27.08 Musita-Lumino'!G35,'23.08 Musita-Lumino-24h'!G35,'26.08 Musita-Lumino-24h'!G35,'28.08Musita-Lumino'!G35)</f>
        <v>0.2857142857142857</v>
      </c>
      <c r="H35" s="49">
        <f>AVERAGE('22.08 Musita-Lumino'!H35,'24.08 Musita-Lumino'!H35,'25.08 Musita-Lumino'!H35,'27.08 Musita-Lumino'!H35,'23.08 Musita-Lumino-24h'!H35,'26.08 Musita-Lumino-24h'!H35,'28.08Musita-Lumino'!H35)</f>
        <v>0</v>
      </c>
      <c r="I35" s="49">
        <f>AVERAGE('22.08 Musita-Lumino'!I35,'24.08 Musita-Lumino'!I35,'25.08 Musita-Lumino'!I35,'27.08 Musita-Lumino'!I35,'23.08 Musita-Lumino-24h'!I35,'26.08 Musita-Lumino-24h'!I35,'28.08Musita-Lumino'!I35)</f>
        <v>1</v>
      </c>
      <c r="J35" s="49">
        <f>AVERAGE('22.08 Musita-Lumino'!J35,'24.08 Musita-Lumino'!J35,'25.08 Musita-Lumino'!J35,'27.08 Musita-Lumino'!J35,'23.08 Musita-Lumino-24h'!J35,'26.08 Musita-Lumino-24h'!J35,'28.08Musita-Lumino'!J35)</f>
        <v>1.8571428571428572</v>
      </c>
      <c r="K35" s="49">
        <f>AVERAGE('22.08 Musita-Lumino'!K35,'24.08 Musita-Lumino'!K35,'25.08 Musita-Lumino'!K35,'27.08 Musita-Lumino'!K35,'23.08 Musita-Lumino-24h'!K35,'26.08 Musita-Lumino-24h'!K35,'28.08Musita-Lumino'!K35)</f>
        <v>0.7142857142857143</v>
      </c>
      <c r="L35" s="49">
        <f>AVERAGE('22.08 Musita-Lumino'!L35,'24.08 Musita-Lumino'!L35,'25.08 Musita-Lumino'!L35,'27.08 Musita-Lumino'!L35,'23.08 Musita-Lumino-24h'!L35,'26.08 Musita-Lumino-24h'!L35,'28.08Musita-Lumino'!L35)</f>
        <v>0.42857142857142855</v>
      </c>
      <c r="M35" s="49">
        <f>AVERAGE('22.08 Musita-Lumino'!M35,'24.08 Musita-Lumino'!M35,'25.08 Musita-Lumino'!M35,'27.08 Musita-Lumino'!M35,'23.08 Musita-Lumino-24h'!M35,'26.08 Musita-Lumino-24h'!M35,'28.08Musita-Lumino'!M35)</f>
        <v>37.285714285714285</v>
      </c>
      <c r="N35" s="49">
        <f>AVERAGE('22.08 Musita-Lumino'!N35,'24.08 Musita-Lumino'!N35,'25.08 Musita-Lumino'!N35,'27.08 Musita-Lumino'!N35,'23.08 Musita-Lumino-24h'!N35,'26.08 Musita-Lumino-24h'!N35,'28.08Musita-Lumino'!N35)</f>
        <v>0.14285714285714285</v>
      </c>
      <c r="O35" s="15">
        <f t="shared" si="0"/>
        <v>12.857142857142858</v>
      </c>
      <c r="P35" s="15">
        <f t="shared" si="1"/>
        <v>50.142857142857146</v>
      </c>
      <c r="R35" s="38" t="s">
        <v>91</v>
      </c>
      <c r="S35" s="39">
        <f t="shared" ref="S35:AF35" si="27">MAX(S13:S18)</f>
        <v>19.142857142857142</v>
      </c>
      <c r="T35" s="39">
        <f t="shared" si="27"/>
        <v>6.2857142857142865</v>
      </c>
      <c r="U35" s="39">
        <f t="shared" si="27"/>
        <v>5.1428571428571432</v>
      </c>
      <c r="V35" s="39">
        <f t="shared" si="27"/>
        <v>8.1428571428571423</v>
      </c>
      <c r="W35" s="39">
        <f t="shared" si="27"/>
        <v>1.1428571428571428</v>
      </c>
      <c r="X35" s="39">
        <f t="shared" si="27"/>
        <v>0.42857142857142855</v>
      </c>
      <c r="Y35" s="39">
        <f t="shared" si="27"/>
        <v>8.8571428571428577</v>
      </c>
      <c r="Z35" s="39">
        <f t="shared" si="27"/>
        <v>16</v>
      </c>
      <c r="AA35" s="39">
        <f t="shared" si="27"/>
        <v>2.9999999999999996</v>
      </c>
      <c r="AB35" s="39">
        <f t="shared" si="27"/>
        <v>2.4285714285714288</v>
      </c>
      <c r="AC35" s="39">
        <f t="shared" si="27"/>
        <v>200.71428571428572</v>
      </c>
      <c r="AD35" s="39">
        <f t="shared" si="27"/>
        <v>0.85714285714285698</v>
      </c>
      <c r="AE35" s="40">
        <f t="shared" si="27"/>
        <v>55.857142857142854</v>
      </c>
      <c r="AF35" s="40">
        <f t="shared" si="27"/>
        <v>252</v>
      </c>
    </row>
    <row r="36" spans="2:32" ht="23.1" customHeight="1" x14ac:dyDescent="0.25">
      <c r="B36" s="24" t="s">
        <v>63</v>
      </c>
      <c r="C36" s="49">
        <f>AVERAGE('22.08 Musita-Lumino'!C36,'24.08 Musita-Lumino'!C36,'25.08 Musita-Lumino'!C36,'27.08 Musita-Lumino'!C36,'23.08 Musita-Lumino-24h'!C36,'26.08 Musita-Lumino-24h'!C36,'28.08Musita-Lumino'!C36)</f>
        <v>4.4285714285714288</v>
      </c>
      <c r="D36" s="49">
        <f>AVERAGE('22.08 Musita-Lumino'!D36,'24.08 Musita-Lumino'!D36,'25.08 Musita-Lumino'!D36,'27.08 Musita-Lumino'!D36,'23.08 Musita-Lumino-24h'!D36,'26.08 Musita-Lumino-24h'!D36,'28.08Musita-Lumino'!D36)</f>
        <v>0.8571428571428571</v>
      </c>
      <c r="E36" s="49">
        <f>AVERAGE('22.08 Musita-Lumino'!E36,'24.08 Musita-Lumino'!E36,'25.08 Musita-Lumino'!E36,'27.08 Musita-Lumino'!E36,'23.08 Musita-Lumino-24h'!E36,'26.08 Musita-Lumino-24h'!E36,'28.08Musita-Lumino'!E36)</f>
        <v>1.1428571428571428</v>
      </c>
      <c r="F36" s="49">
        <f>AVERAGE('22.08 Musita-Lumino'!F36,'24.08 Musita-Lumino'!F36,'25.08 Musita-Lumino'!F36,'27.08 Musita-Lumino'!F36,'23.08 Musita-Lumino-24h'!F36,'26.08 Musita-Lumino-24h'!F36,'28.08Musita-Lumino'!F36)</f>
        <v>1.4285714285714286</v>
      </c>
      <c r="G36" s="49">
        <f>AVERAGE('22.08 Musita-Lumino'!G36,'24.08 Musita-Lumino'!G36,'25.08 Musita-Lumino'!G36,'27.08 Musita-Lumino'!G36,'23.08 Musita-Lumino-24h'!G36,'26.08 Musita-Lumino-24h'!G36,'28.08Musita-Lumino'!G36)</f>
        <v>0.2857142857142857</v>
      </c>
      <c r="H36" s="49">
        <f>AVERAGE('22.08 Musita-Lumino'!H36,'24.08 Musita-Lumino'!H36,'25.08 Musita-Lumino'!H36,'27.08 Musita-Lumino'!H36,'23.08 Musita-Lumino-24h'!H36,'26.08 Musita-Lumino-24h'!H36,'28.08Musita-Lumino'!H36)</f>
        <v>0.14285714285714285</v>
      </c>
      <c r="I36" s="49">
        <f>AVERAGE('22.08 Musita-Lumino'!I36,'24.08 Musita-Lumino'!I36,'25.08 Musita-Lumino'!I36,'27.08 Musita-Lumino'!I36,'23.08 Musita-Lumino-24h'!I36,'26.08 Musita-Lumino-24h'!I36,'28.08Musita-Lumino'!I36)</f>
        <v>2.4285714285714284</v>
      </c>
      <c r="J36" s="49">
        <f>AVERAGE('22.08 Musita-Lumino'!J36,'24.08 Musita-Lumino'!J36,'25.08 Musita-Lumino'!J36,'27.08 Musita-Lumino'!J36,'23.08 Musita-Lumino-24h'!J36,'26.08 Musita-Lumino-24h'!J36,'28.08Musita-Lumino'!J36)</f>
        <v>2</v>
      </c>
      <c r="K36" s="49">
        <f>AVERAGE('22.08 Musita-Lumino'!K36,'24.08 Musita-Lumino'!K36,'25.08 Musita-Lumino'!K36,'27.08 Musita-Lumino'!K36,'23.08 Musita-Lumino-24h'!K36,'26.08 Musita-Lumino-24h'!K36,'28.08Musita-Lumino'!K36)</f>
        <v>0.42857142857142855</v>
      </c>
      <c r="L36" s="49">
        <f>AVERAGE('22.08 Musita-Lumino'!L36,'24.08 Musita-Lumino'!L36,'25.08 Musita-Lumino'!L36,'27.08 Musita-Lumino'!L36,'23.08 Musita-Lumino-24h'!L36,'26.08 Musita-Lumino-24h'!L36,'28.08Musita-Lumino'!L36)</f>
        <v>0.8571428571428571</v>
      </c>
      <c r="M36" s="49">
        <f>AVERAGE('22.08 Musita-Lumino'!M36,'24.08 Musita-Lumino'!M36,'25.08 Musita-Lumino'!M36,'27.08 Musita-Lumino'!M36,'23.08 Musita-Lumino-24h'!M36,'26.08 Musita-Lumino-24h'!M36,'28.08Musita-Lumino'!M36)</f>
        <v>42.857142857142854</v>
      </c>
      <c r="N36" s="49">
        <f>AVERAGE('22.08 Musita-Lumino'!N36,'24.08 Musita-Lumino'!N36,'25.08 Musita-Lumino'!N36,'27.08 Musita-Lumino'!N36,'23.08 Musita-Lumino-24h'!N36,'26.08 Musita-Lumino-24h'!N36,'28.08Musita-Lumino'!N36)</f>
        <v>0.2857142857142857</v>
      </c>
      <c r="O36" s="15">
        <f t="shared" si="0"/>
        <v>14.285714285714288</v>
      </c>
      <c r="P36" s="15">
        <f t="shared" si="1"/>
        <v>57.142857142857139</v>
      </c>
      <c r="R36" s="38" t="s">
        <v>92</v>
      </c>
      <c r="S36" s="39">
        <f t="shared" ref="S36:AF36" si="28">MAX(S19:S21)</f>
        <v>19</v>
      </c>
      <c r="T36" s="39">
        <f t="shared" si="28"/>
        <v>6.5714285714285712</v>
      </c>
      <c r="U36" s="39">
        <f t="shared" si="28"/>
        <v>4.2857142857142856</v>
      </c>
      <c r="V36" s="39">
        <f t="shared" si="28"/>
        <v>8.8571428571428577</v>
      </c>
      <c r="W36" s="39">
        <f t="shared" si="28"/>
        <v>1.1428571428571428</v>
      </c>
      <c r="X36" s="39">
        <f t="shared" si="28"/>
        <v>0.14285714285714285</v>
      </c>
      <c r="Y36" s="39">
        <f t="shared" si="28"/>
        <v>11.428571428571429</v>
      </c>
      <c r="Z36" s="39">
        <f t="shared" si="28"/>
        <v>13.285714285714285</v>
      </c>
      <c r="AA36" s="39">
        <f t="shared" si="28"/>
        <v>4</v>
      </c>
      <c r="AB36" s="39">
        <f t="shared" si="28"/>
        <v>1</v>
      </c>
      <c r="AC36" s="39">
        <f t="shared" si="28"/>
        <v>173.85714285714286</v>
      </c>
      <c r="AD36" s="39">
        <f t="shared" si="28"/>
        <v>0.8571428571428571</v>
      </c>
      <c r="AE36" s="40">
        <f t="shared" si="28"/>
        <v>60.571428571428569</v>
      </c>
      <c r="AF36" s="40">
        <f t="shared" si="28"/>
        <v>227.28571428571431</v>
      </c>
    </row>
    <row r="37" spans="2:32" ht="23.1" customHeight="1" x14ac:dyDescent="0.25">
      <c r="B37" s="23" t="s">
        <v>64</v>
      </c>
      <c r="C37" s="49">
        <f>AVERAGE('22.08 Musita-Lumino'!C37,'24.08 Musita-Lumino'!C37,'25.08 Musita-Lumino'!C37,'27.08 Musita-Lumino'!C37,'23.08 Musita-Lumino-24h'!C37,'26.08 Musita-Lumino-24h'!C37,'28.08Musita-Lumino'!C37)</f>
        <v>4.2857142857142856</v>
      </c>
      <c r="D37" s="49">
        <f>AVERAGE('22.08 Musita-Lumino'!D37,'24.08 Musita-Lumino'!D37,'25.08 Musita-Lumino'!D37,'27.08 Musita-Lumino'!D37,'23.08 Musita-Lumino-24h'!D37,'26.08 Musita-Lumino-24h'!D37,'28.08Musita-Lumino'!D37)</f>
        <v>0.42857142857142855</v>
      </c>
      <c r="E37" s="49">
        <f>AVERAGE('22.08 Musita-Lumino'!E37,'24.08 Musita-Lumino'!E37,'25.08 Musita-Lumino'!E37,'27.08 Musita-Lumino'!E37,'23.08 Musita-Lumino-24h'!E37,'26.08 Musita-Lumino-24h'!E37,'28.08Musita-Lumino'!E37)</f>
        <v>0.2857142857142857</v>
      </c>
      <c r="F37" s="49">
        <f>AVERAGE('22.08 Musita-Lumino'!F37,'24.08 Musita-Lumino'!F37,'25.08 Musita-Lumino'!F37,'27.08 Musita-Lumino'!F37,'23.08 Musita-Lumino-24h'!F37,'26.08 Musita-Lumino-24h'!F37,'28.08Musita-Lumino'!F37)</f>
        <v>1.2857142857142858</v>
      </c>
      <c r="G37" s="49">
        <f>AVERAGE('22.08 Musita-Lumino'!G37,'24.08 Musita-Lumino'!G37,'25.08 Musita-Lumino'!G37,'27.08 Musita-Lumino'!G37,'23.08 Musita-Lumino-24h'!G37,'26.08 Musita-Lumino-24h'!G37,'28.08Musita-Lumino'!G37)</f>
        <v>0</v>
      </c>
      <c r="H37" s="49">
        <f>AVERAGE('22.08 Musita-Lumino'!H37,'24.08 Musita-Lumino'!H37,'25.08 Musita-Lumino'!H37,'27.08 Musita-Lumino'!H37,'23.08 Musita-Lumino-24h'!H37,'26.08 Musita-Lumino-24h'!H37,'28.08Musita-Lumino'!H37)</f>
        <v>0.2857142857142857</v>
      </c>
      <c r="I37" s="49">
        <f>AVERAGE('22.08 Musita-Lumino'!I37,'24.08 Musita-Lumino'!I37,'25.08 Musita-Lumino'!I37,'27.08 Musita-Lumino'!I37,'23.08 Musita-Lumino-24h'!I37,'26.08 Musita-Lumino-24h'!I37,'28.08Musita-Lumino'!I37)</f>
        <v>1.8571428571428572</v>
      </c>
      <c r="J37" s="49">
        <f>AVERAGE('22.08 Musita-Lumino'!J37,'24.08 Musita-Lumino'!J37,'25.08 Musita-Lumino'!J37,'27.08 Musita-Lumino'!J37,'23.08 Musita-Lumino-24h'!J37,'26.08 Musita-Lumino-24h'!J37,'28.08Musita-Lumino'!J37)</f>
        <v>1.7142857142857142</v>
      </c>
      <c r="K37" s="49">
        <f>AVERAGE('22.08 Musita-Lumino'!K37,'24.08 Musita-Lumino'!K37,'25.08 Musita-Lumino'!K37,'27.08 Musita-Lumino'!K37,'23.08 Musita-Lumino-24h'!K37,'26.08 Musita-Lumino-24h'!K37,'28.08Musita-Lumino'!K37)</f>
        <v>0</v>
      </c>
      <c r="L37" s="49">
        <f>AVERAGE('22.08 Musita-Lumino'!L37,'24.08 Musita-Lumino'!L37,'25.08 Musita-Lumino'!L37,'27.08 Musita-Lumino'!L37,'23.08 Musita-Lumino-24h'!L37,'26.08 Musita-Lumino-24h'!L37,'28.08Musita-Lumino'!L37)</f>
        <v>0.5714285714285714</v>
      </c>
      <c r="M37" s="49">
        <f>AVERAGE('22.08 Musita-Lumino'!M37,'24.08 Musita-Lumino'!M37,'25.08 Musita-Lumino'!M37,'27.08 Musita-Lumino'!M37,'23.08 Musita-Lumino-24h'!M37,'26.08 Musita-Lumino-24h'!M37,'28.08Musita-Lumino'!M37)</f>
        <v>37</v>
      </c>
      <c r="N37" s="49">
        <f>AVERAGE('22.08 Musita-Lumino'!N37,'24.08 Musita-Lumino'!N37,'25.08 Musita-Lumino'!N37,'27.08 Musita-Lumino'!N37,'23.08 Musita-Lumino-24h'!N37,'26.08 Musita-Lumino-24h'!N37,'28.08Musita-Lumino'!N37)</f>
        <v>0.14285714285714285</v>
      </c>
      <c r="O37" s="15">
        <f t="shared" si="0"/>
        <v>10.857142857142856</v>
      </c>
      <c r="P37" s="15">
        <f t="shared" si="1"/>
        <v>47.857142857142861</v>
      </c>
      <c r="R37" s="37" t="s">
        <v>85</v>
      </c>
      <c r="S37" s="35">
        <f t="shared" ref="S37:AF37" si="29">SUM(S10:S12)</f>
        <v>35.571428571428569</v>
      </c>
      <c r="T37" s="16">
        <f t="shared" si="29"/>
        <v>16.285714285714285</v>
      </c>
      <c r="U37" s="16">
        <f t="shared" si="29"/>
        <v>8.571428571428573</v>
      </c>
      <c r="V37" s="16">
        <f t="shared" si="29"/>
        <v>8.1428571428571423</v>
      </c>
      <c r="W37" s="16">
        <f t="shared" si="29"/>
        <v>1.1428571428571428</v>
      </c>
      <c r="X37" s="16">
        <f t="shared" si="29"/>
        <v>0</v>
      </c>
      <c r="Y37" s="16">
        <f t="shared" si="29"/>
        <v>21.714285714285715</v>
      </c>
      <c r="Z37" s="16">
        <f t="shared" si="29"/>
        <v>28.285714285714285</v>
      </c>
      <c r="AA37" s="16">
        <f t="shared" si="29"/>
        <v>13.142857142857142</v>
      </c>
      <c r="AB37" s="16">
        <f t="shared" si="29"/>
        <v>3.1428571428571432</v>
      </c>
      <c r="AC37" s="16">
        <f t="shared" si="29"/>
        <v>422.42857142857144</v>
      </c>
      <c r="AD37" s="16">
        <f t="shared" si="29"/>
        <v>1.8571428571428572</v>
      </c>
      <c r="AE37" s="32">
        <f t="shared" si="29"/>
        <v>137.85714285714283</v>
      </c>
      <c r="AF37" s="32">
        <f t="shared" si="29"/>
        <v>560.28571428571433</v>
      </c>
    </row>
    <row r="38" spans="2:32" ht="23.1" customHeight="1" x14ac:dyDescent="0.25">
      <c r="B38" s="24" t="s">
        <v>65</v>
      </c>
      <c r="C38" s="49">
        <f>AVERAGE('22.08 Musita-Lumino'!C38,'24.08 Musita-Lumino'!C38,'25.08 Musita-Lumino'!C38,'27.08 Musita-Lumino'!C38,'23.08 Musita-Lumino-24h'!C38,'26.08 Musita-Lumino-24h'!C38,'28.08Musita-Lumino'!C38)</f>
        <v>2.4285714285714284</v>
      </c>
      <c r="D38" s="49">
        <f>AVERAGE('22.08 Musita-Lumino'!D38,'24.08 Musita-Lumino'!D38,'25.08 Musita-Lumino'!D38,'27.08 Musita-Lumino'!D38,'23.08 Musita-Lumino-24h'!D38,'26.08 Musita-Lumino-24h'!D38,'28.08Musita-Lumino'!D38)</f>
        <v>1.5714285714285714</v>
      </c>
      <c r="E38" s="49">
        <f>AVERAGE('22.08 Musita-Lumino'!E38,'24.08 Musita-Lumino'!E38,'25.08 Musita-Lumino'!E38,'27.08 Musita-Lumino'!E38,'23.08 Musita-Lumino-24h'!E38,'26.08 Musita-Lumino-24h'!E38,'28.08Musita-Lumino'!E38)</f>
        <v>1</v>
      </c>
      <c r="F38" s="49">
        <f>AVERAGE('22.08 Musita-Lumino'!F38,'24.08 Musita-Lumino'!F38,'25.08 Musita-Lumino'!F38,'27.08 Musita-Lumino'!F38,'23.08 Musita-Lumino-24h'!F38,'26.08 Musita-Lumino-24h'!F38,'28.08Musita-Lumino'!F38)</f>
        <v>1.4285714285714286</v>
      </c>
      <c r="G38" s="49">
        <f>AVERAGE('22.08 Musita-Lumino'!G38,'24.08 Musita-Lumino'!G38,'25.08 Musita-Lumino'!G38,'27.08 Musita-Lumino'!G38,'23.08 Musita-Lumino-24h'!G38,'26.08 Musita-Lumino-24h'!G38,'28.08Musita-Lumino'!G38)</f>
        <v>0.14285714285714285</v>
      </c>
      <c r="H38" s="49">
        <f>AVERAGE('22.08 Musita-Lumino'!H38,'24.08 Musita-Lumino'!H38,'25.08 Musita-Lumino'!H38,'27.08 Musita-Lumino'!H38,'23.08 Musita-Lumino-24h'!H38,'26.08 Musita-Lumino-24h'!H38,'28.08Musita-Lumino'!H38)</f>
        <v>0.14285714285714285</v>
      </c>
      <c r="I38" s="49">
        <f>AVERAGE('22.08 Musita-Lumino'!I38,'24.08 Musita-Lumino'!I38,'25.08 Musita-Lumino'!I38,'27.08 Musita-Lumino'!I38,'23.08 Musita-Lumino-24h'!I38,'26.08 Musita-Lumino-24h'!I38,'28.08Musita-Lumino'!I38)</f>
        <v>2.7142857142857144</v>
      </c>
      <c r="J38" s="49">
        <f>AVERAGE('22.08 Musita-Lumino'!J38,'24.08 Musita-Lumino'!J38,'25.08 Musita-Lumino'!J38,'27.08 Musita-Lumino'!J38,'23.08 Musita-Lumino-24h'!J38,'26.08 Musita-Lumino-24h'!J38,'28.08Musita-Lumino'!J38)</f>
        <v>2.7142857142857144</v>
      </c>
      <c r="K38" s="49">
        <f>AVERAGE('22.08 Musita-Lumino'!K38,'24.08 Musita-Lumino'!K38,'25.08 Musita-Lumino'!K38,'27.08 Musita-Lumino'!K38,'23.08 Musita-Lumino-24h'!K38,'26.08 Musita-Lumino-24h'!K38,'28.08Musita-Lumino'!K38)</f>
        <v>0.5714285714285714</v>
      </c>
      <c r="L38" s="49">
        <f>AVERAGE('22.08 Musita-Lumino'!L38,'24.08 Musita-Lumino'!L38,'25.08 Musita-Lumino'!L38,'27.08 Musita-Lumino'!L38,'23.08 Musita-Lumino-24h'!L38,'26.08 Musita-Lumino-24h'!L38,'28.08Musita-Lumino'!L38)</f>
        <v>0.14285714285714285</v>
      </c>
      <c r="M38" s="49">
        <f>AVERAGE('22.08 Musita-Lumino'!M38,'24.08 Musita-Lumino'!M38,'25.08 Musita-Lumino'!M38,'27.08 Musita-Lumino'!M38,'23.08 Musita-Lumino-24h'!M38,'26.08 Musita-Lumino-24h'!M38,'28.08Musita-Lumino'!M38)</f>
        <v>34.428571428571431</v>
      </c>
      <c r="N38" s="49">
        <f>AVERAGE('22.08 Musita-Lumino'!N38,'24.08 Musita-Lumino'!N38,'25.08 Musita-Lumino'!N38,'27.08 Musita-Lumino'!N38,'23.08 Musita-Lumino-24h'!N38,'26.08 Musita-Lumino-24h'!N38,'28.08Musita-Lumino'!N38)</f>
        <v>0.14285714285714285</v>
      </c>
      <c r="O38" s="15">
        <f t="shared" si="0"/>
        <v>13.000000000000002</v>
      </c>
      <c r="P38" s="15">
        <f t="shared" si="1"/>
        <v>47.428571428571438</v>
      </c>
      <c r="R38" s="28" t="s">
        <v>86</v>
      </c>
      <c r="S38" s="16">
        <f t="shared" ref="S38:AF38" si="30">SUM(S13:S18)</f>
        <v>103.28571428571428</v>
      </c>
      <c r="T38" s="16">
        <f t="shared" si="30"/>
        <v>28.428571428571431</v>
      </c>
      <c r="U38" s="16">
        <f t="shared" si="30"/>
        <v>21.571428571428569</v>
      </c>
      <c r="V38" s="16">
        <f t="shared" si="30"/>
        <v>42.142857142857146</v>
      </c>
      <c r="W38" s="16">
        <f t="shared" si="30"/>
        <v>3.714285714285714</v>
      </c>
      <c r="X38" s="16">
        <f t="shared" si="30"/>
        <v>1.4285714285714284</v>
      </c>
      <c r="Y38" s="16">
        <f t="shared" si="30"/>
        <v>44.000000000000007</v>
      </c>
      <c r="Z38" s="16">
        <f t="shared" si="30"/>
        <v>55.571428571428569</v>
      </c>
      <c r="AA38" s="16">
        <f t="shared" si="30"/>
        <v>11.999999999999998</v>
      </c>
      <c r="AB38" s="16">
        <f t="shared" si="30"/>
        <v>8.4285714285714288</v>
      </c>
      <c r="AC38" s="16">
        <f t="shared" si="30"/>
        <v>986.85714285714289</v>
      </c>
      <c r="AD38" s="16">
        <f t="shared" si="30"/>
        <v>2.714285714285714</v>
      </c>
      <c r="AE38" s="32">
        <f t="shared" si="30"/>
        <v>323.28571428571428</v>
      </c>
      <c r="AF38" s="32">
        <f t="shared" si="30"/>
        <v>1310.1428571428571</v>
      </c>
    </row>
    <row r="39" spans="2:32" ht="23.1" customHeight="1" x14ac:dyDescent="0.25">
      <c r="B39" s="24" t="s">
        <v>66</v>
      </c>
      <c r="C39" s="49">
        <f>AVERAGE('22.08 Musita-Lumino'!C39,'24.08 Musita-Lumino'!C39,'25.08 Musita-Lumino'!C39,'27.08 Musita-Lumino'!C39,'23.08 Musita-Lumino-24h'!C39,'26.08 Musita-Lumino-24h'!C39,'28.08Musita-Lumino'!C39)</f>
        <v>4.8571428571428568</v>
      </c>
      <c r="D39" s="49">
        <f>AVERAGE('22.08 Musita-Lumino'!D39,'24.08 Musita-Lumino'!D39,'25.08 Musita-Lumino'!D39,'27.08 Musita-Lumino'!D39,'23.08 Musita-Lumino-24h'!D39,'26.08 Musita-Lumino-24h'!D39,'28.08Musita-Lumino'!D39)</f>
        <v>0.7142857142857143</v>
      </c>
      <c r="E39" s="49">
        <f>AVERAGE('22.08 Musita-Lumino'!E39,'24.08 Musita-Lumino'!E39,'25.08 Musita-Lumino'!E39,'27.08 Musita-Lumino'!E39,'23.08 Musita-Lumino-24h'!E39,'26.08 Musita-Lumino-24h'!E39,'28.08Musita-Lumino'!E39)</f>
        <v>0.7142857142857143</v>
      </c>
      <c r="F39" s="49">
        <f>AVERAGE('22.08 Musita-Lumino'!F39,'24.08 Musita-Lumino'!F39,'25.08 Musita-Lumino'!F39,'27.08 Musita-Lumino'!F39,'23.08 Musita-Lumino-24h'!F39,'26.08 Musita-Lumino-24h'!F39,'28.08Musita-Lumino'!F39)</f>
        <v>2</v>
      </c>
      <c r="G39" s="49">
        <f>AVERAGE('22.08 Musita-Lumino'!G39,'24.08 Musita-Lumino'!G39,'25.08 Musita-Lumino'!G39,'27.08 Musita-Lumino'!G39,'23.08 Musita-Lumino-24h'!G39,'26.08 Musita-Lumino-24h'!G39,'28.08Musita-Lumino'!G39)</f>
        <v>0</v>
      </c>
      <c r="H39" s="49">
        <f>AVERAGE('22.08 Musita-Lumino'!H39,'24.08 Musita-Lumino'!H39,'25.08 Musita-Lumino'!H39,'27.08 Musita-Lumino'!H39,'23.08 Musita-Lumino-24h'!H39,'26.08 Musita-Lumino-24h'!H39,'28.08Musita-Lumino'!H39)</f>
        <v>0</v>
      </c>
      <c r="I39" s="49">
        <f>AVERAGE('22.08 Musita-Lumino'!I39,'24.08 Musita-Lumino'!I39,'25.08 Musita-Lumino'!I39,'27.08 Musita-Lumino'!I39,'23.08 Musita-Lumino-24h'!I39,'26.08 Musita-Lumino-24h'!I39,'28.08Musita-Lumino'!I39)</f>
        <v>1.1428571428571428</v>
      </c>
      <c r="J39" s="49">
        <f>AVERAGE('22.08 Musita-Lumino'!J39,'24.08 Musita-Lumino'!J39,'25.08 Musita-Lumino'!J39,'27.08 Musita-Lumino'!J39,'23.08 Musita-Lumino-24h'!J39,'26.08 Musita-Lumino-24h'!J39,'28.08Musita-Lumino'!J39)</f>
        <v>1.5714285714285714</v>
      </c>
      <c r="K39" s="49">
        <f>AVERAGE('22.08 Musita-Lumino'!K39,'24.08 Musita-Lumino'!K39,'25.08 Musita-Lumino'!K39,'27.08 Musita-Lumino'!K39,'23.08 Musita-Lumino-24h'!K39,'26.08 Musita-Lumino-24h'!K39,'28.08Musita-Lumino'!K39)</f>
        <v>0.5714285714285714</v>
      </c>
      <c r="L39" s="49">
        <f>AVERAGE('22.08 Musita-Lumino'!L39,'24.08 Musita-Lumino'!L39,'25.08 Musita-Lumino'!L39,'27.08 Musita-Lumino'!L39,'23.08 Musita-Lumino-24h'!L39,'26.08 Musita-Lumino-24h'!L39,'28.08Musita-Lumino'!L39)</f>
        <v>0.2857142857142857</v>
      </c>
      <c r="M39" s="49">
        <f>AVERAGE('22.08 Musita-Lumino'!M39,'24.08 Musita-Lumino'!M39,'25.08 Musita-Lumino'!M39,'27.08 Musita-Lumino'!M39,'23.08 Musita-Lumino-24h'!M39,'26.08 Musita-Lumino-24h'!M39,'28.08Musita-Lumino'!M39)</f>
        <v>34.428571428571431</v>
      </c>
      <c r="N39" s="49">
        <f>AVERAGE('22.08 Musita-Lumino'!N39,'24.08 Musita-Lumino'!N39,'25.08 Musita-Lumino'!N39,'27.08 Musita-Lumino'!N39,'23.08 Musita-Lumino-24h'!N39,'26.08 Musita-Lumino-24h'!N39,'28.08Musita-Lumino'!N39)</f>
        <v>0</v>
      </c>
      <c r="O39" s="15">
        <f t="shared" si="0"/>
        <v>11.857142857142856</v>
      </c>
      <c r="P39" s="15">
        <f t="shared" si="1"/>
        <v>46.285714285714285</v>
      </c>
      <c r="R39" s="29" t="s">
        <v>87</v>
      </c>
      <c r="S39" s="16">
        <f t="shared" ref="S39:AF39" si="31">SUM(S19:S21)</f>
        <v>45.428571428571431</v>
      </c>
      <c r="T39" s="16">
        <f t="shared" si="31"/>
        <v>15.142857142857142</v>
      </c>
      <c r="U39" s="16">
        <f t="shared" si="31"/>
        <v>9.5714285714285712</v>
      </c>
      <c r="V39" s="16">
        <f t="shared" si="31"/>
        <v>21.142857142857142</v>
      </c>
      <c r="W39" s="16">
        <f t="shared" si="31"/>
        <v>1.2857142857142856</v>
      </c>
      <c r="X39" s="16">
        <f t="shared" si="31"/>
        <v>0.14285714285714285</v>
      </c>
      <c r="Y39" s="16">
        <f t="shared" si="31"/>
        <v>23.571428571428569</v>
      </c>
      <c r="Z39" s="16">
        <f t="shared" si="31"/>
        <v>31.142857142857142</v>
      </c>
      <c r="AA39" s="16">
        <f t="shared" si="31"/>
        <v>8</v>
      </c>
      <c r="AB39" s="16">
        <f t="shared" si="31"/>
        <v>2.7142857142857144</v>
      </c>
      <c r="AC39" s="16">
        <f t="shared" si="31"/>
        <v>499.28571428571428</v>
      </c>
      <c r="AD39" s="16">
        <f t="shared" si="31"/>
        <v>2</v>
      </c>
      <c r="AE39" s="32">
        <f t="shared" si="31"/>
        <v>160.14285714285714</v>
      </c>
      <c r="AF39" s="32">
        <f t="shared" si="31"/>
        <v>659.42857142857144</v>
      </c>
    </row>
    <row r="40" spans="2:32" ht="23.1" customHeight="1" x14ac:dyDescent="0.25">
      <c r="B40" s="24" t="s">
        <v>67</v>
      </c>
      <c r="C40" s="49">
        <f>AVERAGE('22.08 Musita-Lumino'!C40,'24.08 Musita-Lumino'!C40,'25.08 Musita-Lumino'!C40,'27.08 Musita-Lumino'!C40,'23.08 Musita-Lumino-24h'!C40,'26.08 Musita-Lumino-24h'!C40,'28.08Musita-Lumino'!C40)</f>
        <v>5.1428571428571432</v>
      </c>
      <c r="D40" s="49">
        <f>AVERAGE('22.08 Musita-Lumino'!D40,'24.08 Musita-Lumino'!D40,'25.08 Musita-Lumino'!D40,'27.08 Musita-Lumino'!D40,'23.08 Musita-Lumino-24h'!D40,'26.08 Musita-Lumino-24h'!D40,'28.08Musita-Lumino'!D40)</f>
        <v>1.5714285714285714</v>
      </c>
      <c r="E40" s="49">
        <f>AVERAGE('22.08 Musita-Lumino'!E40,'24.08 Musita-Lumino'!E40,'25.08 Musita-Lumino'!E40,'27.08 Musita-Lumino'!E40,'23.08 Musita-Lumino-24h'!E40,'26.08 Musita-Lumino-24h'!E40,'28.08Musita-Lumino'!E40)</f>
        <v>0.2857142857142857</v>
      </c>
      <c r="F40" s="49">
        <f>AVERAGE('22.08 Musita-Lumino'!F40,'24.08 Musita-Lumino'!F40,'25.08 Musita-Lumino'!F40,'27.08 Musita-Lumino'!F40,'23.08 Musita-Lumino-24h'!F40,'26.08 Musita-Lumino-24h'!F40,'28.08Musita-Lumino'!F40)</f>
        <v>3</v>
      </c>
      <c r="G40" s="49">
        <f>AVERAGE('22.08 Musita-Lumino'!G40,'24.08 Musita-Lumino'!G40,'25.08 Musita-Lumino'!G40,'27.08 Musita-Lumino'!G40,'23.08 Musita-Lumino-24h'!G40,'26.08 Musita-Lumino-24h'!G40,'28.08Musita-Lumino'!G40)</f>
        <v>0.14285714285714285</v>
      </c>
      <c r="H40" s="49">
        <f>AVERAGE('22.08 Musita-Lumino'!H40,'24.08 Musita-Lumino'!H40,'25.08 Musita-Lumino'!H40,'27.08 Musita-Lumino'!H40,'23.08 Musita-Lumino-24h'!H40,'26.08 Musita-Lumino-24h'!H40,'28.08Musita-Lumino'!H40)</f>
        <v>0.14285714285714285</v>
      </c>
      <c r="I40" s="49">
        <f>AVERAGE('22.08 Musita-Lumino'!I40,'24.08 Musita-Lumino'!I40,'25.08 Musita-Lumino'!I40,'27.08 Musita-Lumino'!I40,'23.08 Musita-Lumino-24h'!I40,'26.08 Musita-Lumino-24h'!I40,'28.08Musita-Lumino'!I40)</f>
        <v>2</v>
      </c>
      <c r="J40" s="49">
        <f>AVERAGE('22.08 Musita-Lumino'!J40,'24.08 Musita-Lumino'!J40,'25.08 Musita-Lumino'!J40,'27.08 Musita-Lumino'!J40,'23.08 Musita-Lumino-24h'!J40,'26.08 Musita-Lumino-24h'!J40,'28.08Musita-Lumino'!J40)</f>
        <v>2.5714285714285716</v>
      </c>
      <c r="K40" s="49">
        <f>AVERAGE('22.08 Musita-Lumino'!K40,'24.08 Musita-Lumino'!K40,'25.08 Musita-Lumino'!K40,'27.08 Musita-Lumino'!K40,'23.08 Musita-Lumino-24h'!K40,'26.08 Musita-Lumino-24h'!K40,'28.08Musita-Lumino'!K40)</f>
        <v>0.8571428571428571</v>
      </c>
      <c r="L40" s="49">
        <f>AVERAGE('22.08 Musita-Lumino'!L40,'24.08 Musita-Lumino'!L40,'25.08 Musita-Lumino'!L40,'27.08 Musita-Lumino'!L40,'23.08 Musita-Lumino-24h'!L40,'26.08 Musita-Lumino-24h'!L40,'28.08Musita-Lumino'!L40)</f>
        <v>0.14285714285714285</v>
      </c>
      <c r="M40" s="49">
        <f>AVERAGE('22.08 Musita-Lumino'!M40,'24.08 Musita-Lumino'!M40,'25.08 Musita-Lumino'!M40,'27.08 Musita-Lumino'!M40,'23.08 Musita-Lumino-24h'!M40,'26.08 Musita-Lumino-24h'!M40,'28.08Musita-Lumino'!M40)</f>
        <v>36.428571428571431</v>
      </c>
      <c r="N40" s="49">
        <f>AVERAGE('22.08 Musita-Lumino'!N40,'24.08 Musita-Lumino'!N40,'25.08 Musita-Lumino'!N40,'27.08 Musita-Lumino'!N40,'23.08 Musita-Lumino-24h'!N40,'26.08 Musita-Lumino-24h'!N40,'28.08Musita-Lumino'!N40)</f>
        <v>0.42857142857142855</v>
      </c>
      <c r="O40" s="15">
        <f t="shared" si="0"/>
        <v>16.285714285714285</v>
      </c>
      <c r="P40" s="15">
        <f t="shared" si="1"/>
        <v>52.714285714285715</v>
      </c>
      <c r="R40" s="5" t="s">
        <v>17</v>
      </c>
      <c r="S40" s="16">
        <f t="shared" ref="S40:AF40" si="32">SUM(S10:S21)</f>
        <v>184.28571428571431</v>
      </c>
      <c r="T40" s="16">
        <f t="shared" si="32"/>
        <v>59.857142857142847</v>
      </c>
      <c r="U40" s="16">
        <f t="shared" si="32"/>
        <v>39.714285714285715</v>
      </c>
      <c r="V40" s="16">
        <f t="shared" si="32"/>
        <v>71.428571428571431</v>
      </c>
      <c r="W40" s="16">
        <f t="shared" si="32"/>
        <v>6.1428571428571423</v>
      </c>
      <c r="X40" s="16">
        <f t="shared" si="32"/>
        <v>1.5714285714285712</v>
      </c>
      <c r="Y40" s="16">
        <f t="shared" si="32"/>
        <v>89.285714285714292</v>
      </c>
      <c r="Z40" s="16">
        <f t="shared" si="32"/>
        <v>115</v>
      </c>
      <c r="AA40" s="16">
        <f t="shared" si="32"/>
        <v>33.142857142857139</v>
      </c>
      <c r="AB40" s="16">
        <f t="shared" si="32"/>
        <v>14.285714285714286</v>
      </c>
      <c r="AC40" s="16">
        <f t="shared" si="32"/>
        <v>1908.5714285714289</v>
      </c>
      <c r="AD40" s="16">
        <f t="shared" si="32"/>
        <v>6.5714285714285703</v>
      </c>
      <c r="AE40" s="32">
        <f t="shared" si="32"/>
        <v>621.28571428571422</v>
      </c>
      <c r="AF40" s="32">
        <f t="shared" si="32"/>
        <v>2529.8571428571436</v>
      </c>
    </row>
    <row r="41" spans="2:32" ht="23.1" customHeight="1" x14ac:dyDescent="0.25">
      <c r="B41" s="23" t="s">
        <v>68</v>
      </c>
      <c r="C41" s="49">
        <f>AVERAGE('22.08 Musita-Lumino'!C41,'24.08 Musita-Lumino'!C41,'25.08 Musita-Lumino'!C41,'27.08 Musita-Lumino'!C41,'23.08 Musita-Lumino-24h'!C41,'26.08 Musita-Lumino-24h'!C41,'28.08Musita-Lumino'!C41)</f>
        <v>3.8571428571428572</v>
      </c>
      <c r="D41" s="49">
        <f>AVERAGE('22.08 Musita-Lumino'!D41,'24.08 Musita-Lumino'!D41,'25.08 Musita-Lumino'!D41,'27.08 Musita-Lumino'!D41,'23.08 Musita-Lumino-24h'!D41,'26.08 Musita-Lumino-24h'!D41,'28.08Musita-Lumino'!D41)</f>
        <v>1.2857142857142858</v>
      </c>
      <c r="E41" s="49">
        <f>AVERAGE('22.08 Musita-Lumino'!E41,'24.08 Musita-Lumino'!E41,'25.08 Musita-Lumino'!E41,'27.08 Musita-Lumino'!E41,'23.08 Musita-Lumino-24h'!E41,'26.08 Musita-Lumino-24h'!E41,'28.08Musita-Lumino'!E41)</f>
        <v>0.7142857142857143</v>
      </c>
      <c r="F41" s="49">
        <f>AVERAGE('22.08 Musita-Lumino'!F41,'24.08 Musita-Lumino'!F41,'25.08 Musita-Lumino'!F41,'27.08 Musita-Lumino'!F41,'23.08 Musita-Lumino-24h'!F41,'26.08 Musita-Lumino-24h'!F41,'28.08Musita-Lumino'!F41)</f>
        <v>1.7142857142857142</v>
      </c>
      <c r="G41" s="49">
        <f>AVERAGE('22.08 Musita-Lumino'!G41,'24.08 Musita-Lumino'!G41,'25.08 Musita-Lumino'!G41,'27.08 Musita-Lumino'!G41,'23.08 Musita-Lumino-24h'!G41,'26.08 Musita-Lumino-24h'!G41,'28.08Musita-Lumino'!G41)</f>
        <v>0.5714285714285714</v>
      </c>
      <c r="H41" s="49">
        <f>AVERAGE('22.08 Musita-Lumino'!H41,'24.08 Musita-Lumino'!H41,'25.08 Musita-Lumino'!H41,'27.08 Musita-Lumino'!H41,'23.08 Musita-Lumino-24h'!H41,'26.08 Musita-Lumino-24h'!H41,'28.08Musita-Lumino'!H41)</f>
        <v>0</v>
      </c>
      <c r="I41" s="49">
        <f>AVERAGE('22.08 Musita-Lumino'!I41,'24.08 Musita-Lumino'!I41,'25.08 Musita-Lumino'!I41,'27.08 Musita-Lumino'!I41,'23.08 Musita-Lumino-24h'!I41,'26.08 Musita-Lumino-24h'!I41,'28.08Musita-Lumino'!I41)</f>
        <v>1.5714285714285714</v>
      </c>
      <c r="J41" s="49">
        <f>AVERAGE('22.08 Musita-Lumino'!J41,'24.08 Musita-Lumino'!J41,'25.08 Musita-Lumino'!J41,'27.08 Musita-Lumino'!J41,'23.08 Musita-Lumino-24h'!J41,'26.08 Musita-Lumino-24h'!J41,'28.08Musita-Lumino'!J41)</f>
        <v>2.7142857142857144</v>
      </c>
      <c r="K41" s="49">
        <f>AVERAGE('22.08 Musita-Lumino'!K41,'24.08 Musita-Lumino'!K41,'25.08 Musita-Lumino'!K41,'27.08 Musita-Lumino'!K41,'23.08 Musita-Lumino-24h'!K41,'26.08 Musita-Lumino-24h'!K41,'28.08Musita-Lumino'!K41)</f>
        <v>0.8571428571428571</v>
      </c>
      <c r="L41" s="49">
        <f>AVERAGE('22.08 Musita-Lumino'!L41,'24.08 Musita-Lumino'!L41,'25.08 Musita-Lumino'!L41,'27.08 Musita-Lumino'!L41,'23.08 Musita-Lumino-24h'!L41,'26.08 Musita-Lumino-24h'!L41,'28.08Musita-Lumino'!L41)</f>
        <v>0.14285714285714285</v>
      </c>
      <c r="M41" s="49">
        <f>AVERAGE('22.08 Musita-Lumino'!M41,'24.08 Musita-Lumino'!M41,'25.08 Musita-Lumino'!M41,'27.08 Musita-Lumino'!M41,'23.08 Musita-Lumino-24h'!M41,'26.08 Musita-Lumino-24h'!M41,'28.08Musita-Lumino'!M41)</f>
        <v>34.428571428571431</v>
      </c>
      <c r="N41" s="49">
        <f>AVERAGE('22.08 Musita-Lumino'!N41,'24.08 Musita-Lumino'!N41,'25.08 Musita-Lumino'!N41,'27.08 Musita-Lumino'!N41,'23.08 Musita-Lumino-24h'!N41,'26.08 Musita-Lumino-24h'!N41,'28.08Musita-Lumino'!N41)</f>
        <v>0.14285714285714285</v>
      </c>
      <c r="O41" s="15">
        <f t="shared" si="0"/>
        <v>13.571428571428573</v>
      </c>
      <c r="P41" s="15">
        <f t="shared" si="1"/>
        <v>48.000000000000007</v>
      </c>
      <c r="R41" s="5" t="s">
        <v>176</v>
      </c>
      <c r="S41" s="16">
        <f>SUM(S10:S33)</f>
        <v>259.78571428571433</v>
      </c>
      <c r="T41" s="16">
        <f t="shared" ref="T41:AD41" si="33">SUM(T10:T33)</f>
        <v>83.857142857142847</v>
      </c>
      <c r="U41" s="16">
        <f t="shared" si="33"/>
        <v>53.214285714285715</v>
      </c>
      <c r="V41" s="16">
        <f t="shared" si="33"/>
        <v>107.42857142857143</v>
      </c>
      <c r="W41" s="16">
        <f t="shared" si="33"/>
        <v>12.142857142857142</v>
      </c>
      <c r="X41" s="16">
        <f t="shared" si="33"/>
        <v>2.0714285714285712</v>
      </c>
      <c r="Y41" s="16">
        <f t="shared" si="33"/>
        <v>119.78571428571429</v>
      </c>
      <c r="Z41" s="16">
        <f t="shared" si="33"/>
        <v>186</v>
      </c>
      <c r="AA41" s="16">
        <f t="shared" si="33"/>
        <v>54.142857142857139</v>
      </c>
      <c r="AB41" s="16">
        <f t="shared" si="33"/>
        <v>41.785714285714285</v>
      </c>
      <c r="AC41" s="16">
        <f t="shared" si="33"/>
        <v>2381.5714285714289</v>
      </c>
      <c r="AD41" s="16">
        <f t="shared" si="33"/>
        <v>11.571428571428569</v>
      </c>
      <c r="AE41" s="32">
        <f>SUM(AE10:AE33)</f>
        <v>931.78571428571422</v>
      </c>
      <c r="AF41" s="32">
        <f>SUM(AF10:AF33)</f>
        <v>3313.3571428571436</v>
      </c>
    </row>
    <row r="42" spans="2:32" ht="23.1" customHeight="1" x14ac:dyDescent="0.25">
      <c r="B42" s="24" t="s">
        <v>69</v>
      </c>
      <c r="C42" s="49">
        <f>AVERAGE('22.08 Musita-Lumino'!C42,'24.08 Musita-Lumino'!C42,'25.08 Musita-Lumino'!C42,'27.08 Musita-Lumino'!C42,'23.08 Musita-Lumino-24h'!C42,'26.08 Musita-Lumino-24h'!C42,'28.08Musita-Lumino'!C42)</f>
        <v>3.2857142857142856</v>
      </c>
      <c r="D42" s="49">
        <f>AVERAGE('22.08 Musita-Lumino'!D42,'24.08 Musita-Lumino'!D42,'25.08 Musita-Lumino'!D42,'27.08 Musita-Lumino'!D42,'23.08 Musita-Lumino-24h'!D42,'26.08 Musita-Lumino-24h'!D42,'28.08Musita-Lumino'!D42)</f>
        <v>1</v>
      </c>
      <c r="E42" s="49">
        <f>AVERAGE('22.08 Musita-Lumino'!E42,'24.08 Musita-Lumino'!E42,'25.08 Musita-Lumino'!E42,'27.08 Musita-Lumino'!E42,'23.08 Musita-Lumino-24h'!E42,'26.08 Musita-Lumino-24h'!E42,'28.08Musita-Lumino'!E42)</f>
        <v>1.2857142857142858</v>
      </c>
      <c r="F42" s="49">
        <f>AVERAGE('22.08 Musita-Lumino'!F42,'24.08 Musita-Lumino'!F42,'25.08 Musita-Lumino'!F42,'27.08 Musita-Lumino'!F42,'23.08 Musita-Lumino-24h'!F42,'26.08 Musita-Lumino-24h'!F42,'28.08Musita-Lumino'!F42)</f>
        <v>1.4285714285714286</v>
      </c>
      <c r="G42" s="49">
        <f>AVERAGE('22.08 Musita-Lumino'!G42,'24.08 Musita-Lumino'!G42,'25.08 Musita-Lumino'!G42,'27.08 Musita-Lumino'!G42,'23.08 Musita-Lumino-24h'!G42,'26.08 Musita-Lumino-24h'!G42,'28.08Musita-Lumino'!G42)</f>
        <v>0</v>
      </c>
      <c r="H42" s="49">
        <f>AVERAGE('22.08 Musita-Lumino'!H42,'24.08 Musita-Lumino'!H42,'25.08 Musita-Lumino'!H42,'27.08 Musita-Lumino'!H42,'23.08 Musita-Lumino-24h'!H42,'26.08 Musita-Lumino-24h'!H42,'28.08Musita-Lumino'!H42)</f>
        <v>0</v>
      </c>
      <c r="I42" s="49">
        <f>AVERAGE('22.08 Musita-Lumino'!I42,'24.08 Musita-Lumino'!I42,'25.08 Musita-Lumino'!I42,'27.08 Musita-Lumino'!I42,'23.08 Musita-Lumino-24h'!I42,'26.08 Musita-Lumino-24h'!I42,'28.08Musita-Lumino'!I42)</f>
        <v>1.2857142857142858</v>
      </c>
      <c r="J42" s="49">
        <f>AVERAGE('22.08 Musita-Lumino'!J42,'24.08 Musita-Lumino'!J42,'25.08 Musita-Lumino'!J42,'27.08 Musita-Lumino'!J42,'23.08 Musita-Lumino-24h'!J42,'26.08 Musita-Lumino-24h'!J42,'28.08Musita-Lumino'!J42)</f>
        <v>3.2857142857142856</v>
      </c>
      <c r="K42" s="49">
        <f>AVERAGE('22.08 Musita-Lumino'!K42,'24.08 Musita-Lumino'!K42,'25.08 Musita-Lumino'!K42,'27.08 Musita-Lumino'!K42,'23.08 Musita-Lumino-24h'!K42,'26.08 Musita-Lumino-24h'!K42,'28.08Musita-Lumino'!K42)</f>
        <v>0.5714285714285714</v>
      </c>
      <c r="L42" s="49">
        <f>AVERAGE('22.08 Musita-Lumino'!L42,'24.08 Musita-Lumino'!L42,'25.08 Musita-Lumino'!L42,'27.08 Musita-Lumino'!L42,'23.08 Musita-Lumino-24h'!L42,'26.08 Musita-Lumino-24h'!L42,'28.08Musita-Lumino'!L42)</f>
        <v>0</v>
      </c>
      <c r="M42" s="49">
        <f>AVERAGE('22.08 Musita-Lumino'!M42,'24.08 Musita-Lumino'!M42,'25.08 Musita-Lumino'!M42,'27.08 Musita-Lumino'!M42,'23.08 Musita-Lumino-24h'!M42,'26.08 Musita-Lumino-24h'!M42,'28.08Musita-Lumino'!M42)</f>
        <v>33.142857142857146</v>
      </c>
      <c r="N42" s="49">
        <f>AVERAGE('22.08 Musita-Lumino'!N42,'24.08 Musita-Lumino'!N42,'25.08 Musita-Lumino'!N42,'27.08 Musita-Lumino'!N42,'23.08 Musita-Lumino-24h'!N42,'26.08 Musita-Lumino-24h'!N42,'28.08Musita-Lumino'!N42)</f>
        <v>0.14285714285714285</v>
      </c>
      <c r="O42" s="15">
        <f t="shared" si="0"/>
        <v>12.285714285714286</v>
      </c>
      <c r="P42" s="15">
        <f t="shared" si="1"/>
        <v>45.428571428571438</v>
      </c>
      <c r="R42" s="5" t="s">
        <v>160</v>
      </c>
      <c r="S42" s="48">
        <f>S41/S40</f>
        <v>1.4096899224806203</v>
      </c>
      <c r="T42" s="48">
        <f t="shared" ref="T42:AF42" si="34">T41/T40</f>
        <v>1.4009546539379476</v>
      </c>
      <c r="U42" s="48">
        <f t="shared" si="34"/>
        <v>1.3399280575539567</v>
      </c>
      <c r="V42" s="48">
        <f t="shared" si="34"/>
        <v>1.504</v>
      </c>
      <c r="W42" s="48">
        <f t="shared" si="34"/>
        <v>1.9767441860465118</v>
      </c>
      <c r="X42" s="48">
        <f t="shared" si="34"/>
        <v>1.3181818181818183</v>
      </c>
      <c r="Y42" s="48">
        <f t="shared" si="34"/>
        <v>1.3415999999999999</v>
      </c>
      <c r="Z42" s="48">
        <f t="shared" si="34"/>
        <v>1.6173913043478261</v>
      </c>
      <c r="AA42" s="48">
        <f t="shared" si="34"/>
        <v>1.6336206896551726</v>
      </c>
      <c r="AB42" s="48">
        <f t="shared" si="34"/>
        <v>2.9249999999999998</v>
      </c>
      <c r="AC42" s="48">
        <f t="shared" si="34"/>
        <v>1.2478293413173653</v>
      </c>
      <c r="AD42" s="48">
        <f t="shared" si="34"/>
        <v>1.7608695652173914</v>
      </c>
      <c r="AE42" s="51">
        <f t="shared" si="34"/>
        <v>1.4997700620832375</v>
      </c>
      <c r="AF42" s="51">
        <f t="shared" si="34"/>
        <v>1.3097012818340956</v>
      </c>
    </row>
    <row r="43" spans="2:32" ht="23.1" customHeight="1" x14ac:dyDescent="0.25">
      <c r="B43" s="23" t="s">
        <v>70</v>
      </c>
      <c r="C43" s="49">
        <f>AVERAGE('22.08 Musita-Lumino'!C43,'24.08 Musita-Lumino'!C43,'25.08 Musita-Lumino'!C43,'27.08 Musita-Lumino'!C43,'23.08 Musita-Lumino-24h'!C43,'26.08 Musita-Lumino-24h'!C43,'28.08Musita-Lumino'!C43)</f>
        <v>3.8571428571428572</v>
      </c>
      <c r="D43" s="49">
        <f>AVERAGE('22.08 Musita-Lumino'!D43,'24.08 Musita-Lumino'!D43,'25.08 Musita-Lumino'!D43,'27.08 Musita-Lumino'!D43,'23.08 Musita-Lumino-24h'!D43,'26.08 Musita-Lumino-24h'!D43,'28.08Musita-Lumino'!D43)</f>
        <v>1.8571428571428572</v>
      </c>
      <c r="E43" s="49">
        <f>AVERAGE('22.08 Musita-Lumino'!E43,'24.08 Musita-Lumino'!E43,'25.08 Musita-Lumino'!E43,'27.08 Musita-Lumino'!E43,'23.08 Musita-Lumino-24h'!E43,'26.08 Musita-Lumino-24h'!E43,'28.08Musita-Lumino'!E43)</f>
        <v>1</v>
      </c>
      <c r="F43" s="49">
        <f>AVERAGE('22.08 Musita-Lumino'!F43,'24.08 Musita-Lumino'!F43,'25.08 Musita-Lumino'!F43,'27.08 Musita-Lumino'!F43,'23.08 Musita-Lumino-24h'!F43,'26.08 Musita-Lumino-24h'!F43,'28.08Musita-Lumino'!F43)</f>
        <v>1.8571428571428572</v>
      </c>
      <c r="G43" s="49">
        <f>AVERAGE('22.08 Musita-Lumino'!G43,'24.08 Musita-Lumino'!G43,'25.08 Musita-Lumino'!G43,'27.08 Musita-Lumino'!G43,'23.08 Musita-Lumino-24h'!G43,'26.08 Musita-Lumino-24h'!G43,'28.08Musita-Lumino'!G43)</f>
        <v>0.2857142857142857</v>
      </c>
      <c r="H43" s="49">
        <f>AVERAGE('22.08 Musita-Lumino'!H43,'24.08 Musita-Lumino'!H43,'25.08 Musita-Lumino'!H43,'27.08 Musita-Lumino'!H43,'23.08 Musita-Lumino-24h'!H43,'26.08 Musita-Lumino-24h'!H43,'28.08Musita-Lumino'!H43)</f>
        <v>0.2857142857142857</v>
      </c>
      <c r="I43" s="49">
        <f>AVERAGE('22.08 Musita-Lumino'!I43,'24.08 Musita-Lumino'!I43,'25.08 Musita-Lumino'!I43,'27.08 Musita-Lumino'!I43,'23.08 Musita-Lumino-24h'!I43,'26.08 Musita-Lumino-24h'!I43,'28.08Musita-Lumino'!I43)</f>
        <v>1.4285714285714286</v>
      </c>
      <c r="J43" s="49">
        <f>AVERAGE('22.08 Musita-Lumino'!J43,'24.08 Musita-Lumino'!J43,'25.08 Musita-Lumino'!J43,'27.08 Musita-Lumino'!J43,'23.08 Musita-Lumino-24h'!J43,'26.08 Musita-Lumino-24h'!J43,'28.08Musita-Lumino'!J43)</f>
        <v>5.1428571428571432</v>
      </c>
      <c r="K43" s="49">
        <f>AVERAGE('22.08 Musita-Lumino'!K43,'24.08 Musita-Lumino'!K43,'25.08 Musita-Lumino'!K43,'27.08 Musita-Lumino'!K43,'23.08 Musita-Lumino-24h'!K43,'26.08 Musita-Lumino-24h'!K43,'28.08Musita-Lumino'!K43)</f>
        <v>0.14285714285714285</v>
      </c>
      <c r="L43" s="49">
        <f>AVERAGE('22.08 Musita-Lumino'!L43,'24.08 Musita-Lumino'!L43,'25.08 Musita-Lumino'!L43,'27.08 Musita-Lumino'!L43,'23.08 Musita-Lumino-24h'!L43,'26.08 Musita-Lumino-24h'!L43,'28.08Musita-Lumino'!L43)</f>
        <v>0.42857142857142855</v>
      </c>
      <c r="M43" s="49">
        <f>AVERAGE('22.08 Musita-Lumino'!M43,'24.08 Musita-Lumino'!M43,'25.08 Musita-Lumino'!M43,'27.08 Musita-Lumino'!M43,'23.08 Musita-Lumino-24h'!M43,'26.08 Musita-Lumino-24h'!M43,'28.08Musita-Lumino'!M43)</f>
        <v>35.857142857142854</v>
      </c>
      <c r="N43" s="49">
        <f>AVERAGE('22.08 Musita-Lumino'!N43,'24.08 Musita-Lumino'!N43,'25.08 Musita-Lumino'!N43,'27.08 Musita-Lumino'!N43,'23.08 Musita-Lumino-24h'!N43,'26.08 Musita-Lumino-24h'!N43,'28.08Musita-Lumino'!N43)</f>
        <v>0</v>
      </c>
      <c r="O43" s="15">
        <f t="shared" si="0"/>
        <v>16.285714285714285</v>
      </c>
      <c r="P43" s="15">
        <f t="shared" si="1"/>
        <v>52.142857142857139</v>
      </c>
    </row>
    <row r="44" spans="2:32" ht="23.1" customHeight="1" x14ac:dyDescent="0.25">
      <c r="B44" s="25" t="s">
        <v>71</v>
      </c>
      <c r="C44" s="49">
        <f>AVERAGE('22.08 Musita-Lumino'!C44,'24.08 Musita-Lumino'!C44,'25.08 Musita-Lumino'!C44,'27.08 Musita-Lumino'!C44,'23.08 Musita-Lumino-24h'!C44,'26.08 Musita-Lumino-24h'!C44,'28.08Musita-Lumino'!C44)</f>
        <v>3</v>
      </c>
      <c r="D44" s="49">
        <f>AVERAGE('22.08 Musita-Lumino'!D44,'24.08 Musita-Lumino'!D44,'25.08 Musita-Lumino'!D44,'27.08 Musita-Lumino'!D44,'23.08 Musita-Lumino-24h'!D44,'26.08 Musita-Lumino-24h'!D44,'28.08Musita-Lumino'!D44)</f>
        <v>1.5714285714285714</v>
      </c>
      <c r="E44" s="49">
        <f>AVERAGE('22.08 Musita-Lumino'!E44,'24.08 Musita-Lumino'!E44,'25.08 Musita-Lumino'!E44,'27.08 Musita-Lumino'!E44,'23.08 Musita-Lumino-24h'!E44,'26.08 Musita-Lumino-24h'!E44,'28.08Musita-Lumino'!E44)</f>
        <v>1.1428571428571428</v>
      </c>
      <c r="F44" s="49">
        <f>AVERAGE('22.08 Musita-Lumino'!F44,'24.08 Musita-Lumino'!F44,'25.08 Musita-Lumino'!F44,'27.08 Musita-Lumino'!F44,'23.08 Musita-Lumino-24h'!F44,'26.08 Musita-Lumino-24h'!F44,'28.08Musita-Lumino'!F44)</f>
        <v>2.1428571428571428</v>
      </c>
      <c r="G44" s="49">
        <f>AVERAGE('22.08 Musita-Lumino'!G44,'24.08 Musita-Lumino'!G44,'25.08 Musita-Lumino'!G44,'27.08 Musita-Lumino'!G44,'23.08 Musita-Lumino-24h'!G44,'26.08 Musita-Lumino-24h'!G44,'28.08Musita-Lumino'!G44)</f>
        <v>0</v>
      </c>
      <c r="H44" s="49">
        <f>AVERAGE('22.08 Musita-Lumino'!H44,'24.08 Musita-Lumino'!H44,'25.08 Musita-Lumino'!H44,'27.08 Musita-Lumino'!H44,'23.08 Musita-Lumino-24h'!H44,'26.08 Musita-Lumino-24h'!H44,'28.08Musita-Lumino'!H44)</f>
        <v>0</v>
      </c>
      <c r="I44" s="49">
        <f>AVERAGE('22.08 Musita-Lumino'!I44,'24.08 Musita-Lumino'!I44,'25.08 Musita-Lumino'!I44,'27.08 Musita-Lumino'!I44,'23.08 Musita-Lumino-24h'!I44,'26.08 Musita-Lumino-24h'!I44,'28.08Musita-Lumino'!I44)</f>
        <v>0.8571428571428571</v>
      </c>
      <c r="J44" s="49">
        <f>AVERAGE('22.08 Musita-Lumino'!J44,'24.08 Musita-Lumino'!J44,'25.08 Musita-Lumino'!J44,'27.08 Musita-Lumino'!J44,'23.08 Musita-Lumino-24h'!J44,'26.08 Musita-Lumino-24h'!J44,'28.08Musita-Lumino'!J44)</f>
        <v>4.5714285714285712</v>
      </c>
      <c r="K44" s="49">
        <f>AVERAGE('22.08 Musita-Lumino'!K44,'24.08 Musita-Lumino'!K44,'25.08 Musita-Lumino'!K44,'27.08 Musita-Lumino'!K44,'23.08 Musita-Lumino-24h'!K44,'26.08 Musita-Lumino-24h'!K44,'28.08Musita-Lumino'!K44)</f>
        <v>0.2857142857142857</v>
      </c>
      <c r="L44" s="49">
        <f>AVERAGE('22.08 Musita-Lumino'!L44,'24.08 Musita-Lumino'!L44,'25.08 Musita-Lumino'!L44,'27.08 Musita-Lumino'!L44,'23.08 Musita-Lumino-24h'!L44,'26.08 Musita-Lumino-24h'!L44,'28.08Musita-Lumino'!L44)</f>
        <v>0.42857142857142855</v>
      </c>
      <c r="M44" s="49">
        <f>AVERAGE('22.08 Musita-Lumino'!M44,'24.08 Musita-Lumino'!M44,'25.08 Musita-Lumino'!M44,'27.08 Musita-Lumino'!M44,'23.08 Musita-Lumino-24h'!M44,'26.08 Musita-Lumino-24h'!M44,'28.08Musita-Lumino'!M44)</f>
        <v>37.857142857142854</v>
      </c>
      <c r="N44" s="49">
        <f>AVERAGE('22.08 Musita-Lumino'!N44,'24.08 Musita-Lumino'!N44,'25.08 Musita-Lumino'!N44,'27.08 Musita-Lumino'!N44,'23.08 Musita-Lumino-24h'!N44,'26.08 Musita-Lumino-24h'!N44,'28.08Musita-Lumino'!N44)</f>
        <v>0</v>
      </c>
      <c r="O44" s="15">
        <f t="shared" si="0"/>
        <v>14</v>
      </c>
      <c r="P44" s="15">
        <f t="shared" si="1"/>
        <v>51.857142857142854</v>
      </c>
    </row>
    <row r="45" spans="2:32" ht="23.1" customHeight="1" x14ac:dyDescent="0.25">
      <c r="B45" s="23" t="s">
        <v>72</v>
      </c>
      <c r="C45" s="49">
        <f>AVERAGE('22.08 Musita-Lumino'!C45,'24.08 Musita-Lumino'!C45,'25.08 Musita-Lumino'!C45,'27.08 Musita-Lumino'!C45,'23.08 Musita-Lumino-24h'!C45,'26.08 Musita-Lumino-24h'!C45,'28.08Musita-Lumino'!C45)</f>
        <v>3.7142857142857144</v>
      </c>
      <c r="D45" s="49">
        <f>AVERAGE('22.08 Musita-Lumino'!D45,'24.08 Musita-Lumino'!D45,'25.08 Musita-Lumino'!D45,'27.08 Musita-Lumino'!D45,'23.08 Musita-Lumino-24h'!D45,'26.08 Musita-Lumino-24h'!D45,'28.08Musita-Lumino'!D45)</f>
        <v>0.14285714285714285</v>
      </c>
      <c r="E45" s="49">
        <f>AVERAGE('22.08 Musita-Lumino'!E45,'24.08 Musita-Lumino'!E45,'25.08 Musita-Lumino'!E45,'27.08 Musita-Lumino'!E45,'23.08 Musita-Lumino-24h'!E45,'26.08 Musita-Lumino-24h'!E45,'28.08Musita-Lumino'!E45)</f>
        <v>0.8571428571428571</v>
      </c>
      <c r="F45" s="49">
        <f>AVERAGE('22.08 Musita-Lumino'!F45,'24.08 Musita-Lumino'!F45,'25.08 Musita-Lumino'!F45,'27.08 Musita-Lumino'!F45,'23.08 Musita-Lumino-24h'!F45,'26.08 Musita-Lumino-24h'!F45,'28.08Musita-Lumino'!F45)</f>
        <v>1.7142857142857142</v>
      </c>
      <c r="G45" s="49">
        <f>AVERAGE('22.08 Musita-Lumino'!G45,'24.08 Musita-Lumino'!G45,'25.08 Musita-Lumino'!G45,'27.08 Musita-Lumino'!G45,'23.08 Musita-Lumino-24h'!G45,'26.08 Musita-Lumino-24h'!G45,'28.08Musita-Lumino'!G45)</f>
        <v>0.14285714285714285</v>
      </c>
      <c r="H45" s="49">
        <f>AVERAGE('22.08 Musita-Lumino'!H45,'24.08 Musita-Lumino'!H45,'25.08 Musita-Lumino'!H45,'27.08 Musita-Lumino'!H45,'23.08 Musita-Lumino-24h'!H45,'26.08 Musita-Lumino-24h'!H45,'28.08Musita-Lumino'!H45)</f>
        <v>0.14285714285714285</v>
      </c>
      <c r="I45" s="49">
        <f>AVERAGE('22.08 Musita-Lumino'!I45,'24.08 Musita-Lumino'!I45,'25.08 Musita-Lumino'!I45,'27.08 Musita-Lumino'!I45,'23.08 Musita-Lumino-24h'!I45,'26.08 Musita-Lumino-24h'!I45,'28.08Musita-Lumino'!I45)</f>
        <v>2.5714285714285716</v>
      </c>
      <c r="J45" s="49">
        <f>AVERAGE('22.08 Musita-Lumino'!J45,'24.08 Musita-Lumino'!J45,'25.08 Musita-Lumino'!J45,'27.08 Musita-Lumino'!J45,'23.08 Musita-Lumino-24h'!J45,'26.08 Musita-Lumino-24h'!J45,'28.08Musita-Lumino'!J45)</f>
        <v>3</v>
      </c>
      <c r="K45" s="49">
        <f>AVERAGE('22.08 Musita-Lumino'!K45,'24.08 Musita-Lumino'!K45,'25.08 Musita-Lumino'!K45,'27.08 Musita-Lumino'!K45,'23.08 Musita-Lumino-24h'!K45,'26.08 Musita-Lumino-24h'!K45,'28.08Musita-Lumino'!K45)</f>
        <v>0.14285714285714285</v>
      </c>
      <c r="L45" s="49">
        <f>AVERAGE('22.08 Musita-Lumino'!L45,'24.08 Musita-Lumino'!L45,'25.08 Musita-Lumino'!L45,'27.08 Musita-Lumino'!L45,'23.08 Musita-Lumino-24h'!L45,'26.08 Musita-Lumino-24h'!L45,'28.08Musita-Lumino'!L45)</f>
        <v>0.2857142857142857</v>
      </c>
      <c r="M45" s="49">
        <f>AVERAGE('22.08 Musita-Lumino'!M45,'24.08 Musita-Lumino'!M45,'25.08 Musita-Lumino'!M45,'27.08 Musita-Lumino'!M45,'23.08 Musita-Lumino-24h'!M45,'26.08 Musita-Lumino-24h'!M45,'28.08Musita-Lumino'!M45)</f>
        <v>44</v>
      </c>
      <c r="N45" s="49">
        <f>AVERAGE('22.08 Musita-Lumino'!N45,'24.08 Musita-Lumino'!N45,'25.08 Musita-Lumino'!N45,'27.08 Musita-Lumino'!N45,'23.08 Musita-Lumino-24h'!N45,'26.08 Musita-Lumino-24h'!N45,'28.08Musita-Lumino'!N45)</f>
        <v>0</v>
      </c>
      <c r="O45" s="15">
        <f t="shared" si="0"/>
        <v>12.714285714285715</v>
      </c>
      <c r="P45" s="15">
        <f t="shared" si="1"/>
        <v>56.714285714285715</v>
      </c>
    </row>
    <row r="46" spans="2:32" ht="23.1" customHeight="1" x14ac:dyDescent="0.25">
      <c r="B46" s="24" t="s">
        <v>73</v>
      </c>
      <c r="C46" s="49">
        <f>AVERAGE('22.08 Musita-Lumino'!C46,'24.08 Musita-Lumino'!C46,'25.08 Musita-Lumino'!C46,'27.08 Musita-Lumino'!C46,'23.08 Musita-Lumino-24h'!C46,'26.08 Musita-Lumino-24h'!C46,'28.08Musita-Lumino'!C46)</f>
        <v>4.8571428571428568</v>
      </c>
      <c r="D46" s="49">
        <f>AVERAGE('22.08 Musita-Lumino'!D46,'24.08 Musita-Lumino'!D46,'25.08 Musita-Lumino'!D46,'27.08 Musita-Lumino'!D46,'23.08 Musita-Lumino-24h'!D46,'26.08 Musita-Lumino-24h'!D46,'28.08Musita-Lumino'!D46)</f>
        <v>1.2857142857142858</v>
      </c>
      <c r="E46" s="49">
        <f>AVERAGE('22.08 Musita-Lumino'!E46,'24.08 Musita-Lumino'!E46,'25.08 Musita-Lumino'!E46,'27.08 Musita-Lumino'!E46,'23.08 Musita-Lumino-24h'!E46,'26.08 Musita-Lumino-24h'!E46,'28.08Musita-Lumino'!E46)</f>
        <v>0.2857142857142857</v>
      </c>
      <c r="F46" s="49">
        <f>AVERAGE('22.08 Musita-Lumino'!F46,'24.08 Musita-Lumino'!F46,'25.08 Musita-Lumino'!F46,'27.08 Musita-Lumino'!F46,'23.08 Musita-Lumino-24h'!F46,'26.08 Musita-Lumino-24h'!F46,'28.08Musita-Lumino'!F46)</f>
        <v>1</v>
      </c>
      <c r="G46" s="49">
        <f>AVERAGE('22.08 Musita-Lumino'!G46,'24.08 Musita-Lumino'!G46,'25.08 Musita-Lumino'!G46,'27.08 Musita-Lumino'!G46,'23.08 Musita-Lumino-24h'!G46,'26.08 Musita-Lumino-24h'!G46,'28.08Musita-Lumino'!G46)</f>
        <v>0</v>
      </c>
      <c r="H46" s="49">
        <f>AVERAGE('22.08 Musita-Lumino'!H46,'24.08 Musita-Lumino'!H46,'25.08 Musita-Lumino'!H46,'27.08 Musita-Lumino'!H46,'23.08 Musita-Lumino-24h'!H46,'26.08 Musita-Lumino-24h'!H46,'28.08Musita-Lumino'!H46)</f>
        <v>0</v>
      </c>
      <c r="I46" s="49">
        <f>AVERAGE('22.08 Musita-Lumino'!I46,'24.08 Musita-Lumino'!I46,'25.08 Musita-Lumino'!I46,'27.08 Musita-Lumino'!I46,'23.08 Musita-Lumino-24h'!I46,'26.08 Musita-Lumino-24h'!I46,'28.08Musita-Lumino'!I46)</f>
        <v>3.5714285714285716</v>
      </c>
      <c r="J46" s="49">
        <f>AVERAGE('22.08 Musita-Lumino'!J46,'24.08 Musita-Lumino'!J46,'25.08 Musita-Lumino'!J46,'27.08 Musita-Lumino'!J46,'23.08 Musita-Lumino-24h'!J46,'26.08 Musita-Lumino-24h'!J46,'28.08Musita-Lumino'!J46)</f>
        <v>2.2857142857142856</v>
      </c>
      <c r="K46" s="49">
        <f>AVERAGE('22.08 Musita-Lumino'!K46,'24.08 Musita-Lumino'!K46,'25.08 Musita-Lumino'!K46,'27.08 Musita-Lumino'!K46,'23.08 Musita-Lumino-24h'!K46,'26.08 Musita-Lumino-24h'!K46,'28.08Musita-Lumino'!K46)</f>
        <v>0.14285714285714285</v>
      </c>
      <c r="L46" s="49">
        <f>AVERAGE('22.08 Musita-Lumino'!L46,'24.08 Musita-Lumino'!L46,'25.08 Musita-Lumino'!L46,'27.08 Musita-Lumino'!L46,'23.08 Musita-Lumino-24h'!L46,'26.08 Musita-Lumino-24h'!L46,'28.08Musita-Lumino'!L46)</f>
        <v>0</v>
      </c>
      <c r="M46" s="49">
        <f>AVERAGE('22.08 Musita-Lumino'!M46,'24.08 Musita-Lumino'!M46,'25.08 Musita-Lumino'!M46,'27.08 Musita-Lumino'!M46,'23.08 Musita-Lumino-24h'!M46,'26.08 Musita-Lumino-24h'!M46,'28.08Musita-Lumino'!M46)</f>
        <v>43.142857142857146</v>
      </c>
      <c r="N46" s="49">
        <f>AVERAGE('22.08 Musita-Lumino'!N46,'24.08 Musita-Lumino'!N46,'25.08 Musita-Lumino'!N46,'27.08 Musita-Lumino'!N46,'23.08 Musita-Lumino-24h'!N46,'26.08 Musita-Lumino-24h'!N46,'28.08Musita-Lumino'!N46)</f>
        <v>0</v>
      </c>
      <c r="O46" s="15">
        <f t="shared" si="0"/>
        <v>13.428571428571427</v>
      </c>
      <c r="P46" s="15">
        <f t="shared" si="1"/>
        <v>56.571428571428569</v>
      </c>
      <c r="R46" s="8"/>
      <c r="T46"/>
    </row>
    <row r="47" spans="2:32" ht="23.1" customHeight="1" x14ac:dyDescent="0.25">
      <c r="B47" s="24" t="s">
        <v>74</v>
      </c>
      <c r="C47" s="49">
        <f>AVERAGE('22.08 Musita-Lumino'!C47,'24.08 Musita-Lumino'!C47,'25.08 Musita-Lumino'!C47,'27.08 Musita-Lumino'!C47,'23.08 Musita-Lumino-24h'!C47,'26.08 Musita-Lumino-24h'!C47,'28.08Musita-Lumino'!C47)</f>
        <v>5.1428571428571432</v>
      </c>
      <c r="D47" s="49">
        <f>AVERAGE('22.08 Musita-Lumino'!D47,'24.08 Musita-Lumino'!D47,'25.08 Musita-Lumino'!D47,'27.08 Musita-Lumino'!D47,'23.08 Musita-Lumino-24h'!D47,'26.08 Musita-Lumino-24h'!D47,'28.08Musita-Lumino'!D47)</f>
        <v>1</v>
      </c>
      <c r="E47" s="49">
        <f>AVERAGE('22.08 Musita-Lumino'!E47,'24.08 Musita-Lumino'!E47,'25.08 Musita-Lumino'!E47,'27.08 Musita-Lumino'!E47,'23.08 Musita-Lumino-24h'!E47,'26.08 Musita-Lumino-24h'!E47,'28.08Musita-Lumino'!E47)</f>
        <v>0.7142857142857143</v>
      </c>
      <c r="F47" s="49">
        <f>AVERAGE('22.08 Musita-Lumino'!F47,'24.08 Musita-Lumino'!F47,'25.08 Musita-Lumino'!F47,'27.08 Musita-Lumino'!F47,'23.08 Musita-Lumino-24h'!F47,'26.08 Musita-Lumino-24h'!F47,'28.08Musita-Lumino'!F47)</f>
        <v>2.2857142857142856</v>
      </c>
      <c r="G47" s="49">
        <f>AVERAGE('22.08 Musita-Lumino'!G47,'24.08 Musita-Lumino'!G47,'25.08 Musita-Lumino'!G47,'27.08 Musita-Lumino'!G47,'23.08 Musita-Lumino-24h'!G47,'26.08 Musita-Lumino-24h'!G47,'28.08Musita-Lumino'!G47)</f>
        <v>0</v>
      </c>
      <c r="H47" s="49">
        <f>AVERAGE('22.08 Musita-Lumino'!H47,'24.08 Musita-Lumino'!H47,'25.08 Musita-Lumino'!H47,'27.08 Musita-Lumino'!H47,'23.08 Musita-Lumino-24h'!H47,'26.08 Musita-Lumino-24h'!H47,'28.08Musita-Lumino'!H47)</f>
        <v>0</v>
      </c>
      <c r="I47" s="49">
        <f>AVERAGE('22.08 Musita-Lumino'!I47,'24.08 Musita-Lumino'!I47,'25.08 Musita-Lumino'!I47,'27.08 Musita-Lumino'!I47,'23.08 Musita-Lumino-24h'!I47,'26.08 Musita-Lumino-24h'!I47,'28.08Musita-Lumino'!I47)</f>
        <v>2.8571428571428572</v>
      </c>
      <c r="J47" s="49">
        <f>AVERAGE('22.08 Musita-Lumino'!J47,'24.08 Musita-Lumino'!J47,'25.08 Musita-Lumino'!J47,'27.08 Musita-Lumino'!J47,'23.08 Musita-Lumino-24h'!J47,'26.08 Musita-Lumino-24h'!J47,'28.08Musita-Lumino'!J47)</f>
        <v>1.7142857142857142</v>
      </c>
      <c r="K47" s="49">
        <f>AVERAGE('22.08 Musita-Lumino'!K47,'24.08 Musita-Lumino'!K47,'25.08 Musita-Lumino'!K47,'27.08 Musita-Lumino'!K47,'23.08 Musita-Lumino-24h'!K47,'26.08 Musita-Lumino-24h'!K47,'28.08Musita-Lumino'!K47)</f>
        <v>0.42857142857142855</v>
      </c>
      <c r="L47" s="49">
        <f>AVERAGE('22.08 Musita-Lumino'!L47,'24.08 Musita-Lumino'!L47,'25.08 Musita-Lumino'!L47,'27.08 Musita-Lumino'!L47,'23.08 Musita-Lumino-24h'!L47,'26.08 Musita-Lumino-24h'!L47,'28.08Musita-Lumino'!L47)</f>
        <v>0</v>
      </c>
      <c r="M47" s="49">
        <f>AVERAGE('22.08 Musita-Lumino'!M47,'24.08 Musita-Lumino'!M47,'25.08 Musita-Lumino'!M47,'27.08 Musita-Lumino'!M47,'23.08 Musita-Lumino-24h'!M47,'26.08 Musita-Lumino-24h'!M47,'28.08Musita-Lumino'!M47)</f>
        <v>44.857142857142854</v>
      </c>
      <c r="N47" s="49">
        <f>AVERAGE('22.08 Musita-Lumino'!N47,'24.08 Musita-Lumino'!N47,'25.08 Musita-Lumino'!N47,'27.08 Musita-Lumino'!N47,'23.08 Musita-Lumino-24h'!N47,'26.08 Musita-Lumino-24h'!N47,'28.08Musita-Lumino'!N47)</f>
        <v>0.14285714285714285</v>
      </c>
      <c r="O47" s="15">
        <f t="shared" si="0"/>
        <v>14.285714285714285</v>
      </c>
      <c r="P47" s="15">
        <f t="shared" si="1"/>
        <v>59.142857142857146</v>
      </c>
      <c r="R47" s="8"/>
      <c r="T47"/>
    </row>
    <row r="48" spans="2:32" ht="23.1" customHeight="1" x14ac:dyDescent="0.25">
      <c r="B48" s="24" t="s">
        <v>75</v>
      </c>
      <c r="C48" s="49">
        <f>AVERAGE('22.08 Musita-Lumino'!C48,'24.08 Musita-Lumino'!C48,'25.08 Musita-Lumino'!C48,'27.08 Musita-Lumino'!C48,'23.08 Musita-Lumino-24h'!C48,'26.08 Musita-Lumino-24h'!C48,'28.08Musita-Lumino'!C48)</f>
        <v>4.1428571428571432</v>
      </c>
      <c r="D48" s="49">
        <f>AVERAGE('22.08 Musita-Lumino'!D48,'24.08 Musita-Lumino'!D48,'25.08 Musita-Lumino'!D48,'27.08 Musita-Lumino'!D48,'23.08 Musita-Lumino-24h'!D48,'26.08 Musita-Lumino-24h'!D48,'28.08Musita-Lumino'!D48)</f>
        <v>0.8571428571428571</v>
      </c>
      <c r="E48" s="49">
        <f>AVERAGE('22.08 Musita-Lumino'!E48,'24.08 Musita-Lumino'!E48,'25.08 Musita-Lumino'!E48,'27.08 Musita-Lumino'!E48,'23.08 Musita-Lumino-24h'!E48,'26.08 Musita-Lumino-24h'!E48,'28.08Musita-Lumino'!E48)</f>
        <v>0.7142857142857143</v>
      </c>
      <c r="F48" s="49">
        <f>AVERAGE('22.08 Musita-Lumino'!F48,'24.08 Musita-Lumino'!F48,'25.08 Musita-Lumino'!F48,'27.08 Musita-Lumino'!F48,'23.08 Musita-Lumino-24h'!F48,'26.08 Musita-Lumino-24h'!F48,'28.08Musita-Lumino'!F48)</f>
        <v>1.7142857142857142</v>
      </c>
      <c r="G48" s="49">
        <f>AVERAGE('22.08 Musita-Lumino'!G48,'24.08 Musita-Lumino'!G48,'25.08 Musita-Lumino'!G48,'27.08 Musita-Lumino'!G48,'23.08 Musita-Lumino-24h'!G48,'26.08 Musita-Lumino-24h'!G48,'28.08Musita-Lumino'!G48)</f>
        <v>0</v>
      </c>
      <c r="H48" s="49">
        <f>AVERAGE('22.08 Musita-Lumino'!H48,'24.08 Musita-Lumino'!H48,'25.08 Musita-Lumino'!H48,'27.08 Musita-Lumino'!H48,'23.08 Musita-Lumino-24h'!H48,'26.08 Musita-Lumino-24h'!H48,'28.08Musita-Lumino'!H48)</f>
        <v>0</v>
      </c>
      <c r="I48" s="49">
        <f>AVERAGE('22.08 Musita-Lumino'!I48,'24.08 Musita-Lumino'!I48,'25.08 Musita-Lumino'!I48,'27.08 Musita-Lumino'!I48,'23.08 Musita-Lumino-24h'!I48,'26.08 Musita-Lumino-24h'!I48,'28.08Musita-Lumino'!I48)</f>
        <v>2.1428571428571428</v>
      </c>
      <c r="J48" s="49">
        <f>AVERAGE('22.08 Musita-Lumino'!J48,'24.08 Musita-Lumino'!J48,'25.08 Musita-Lumino'!J48,'27.08 Musita-Lumino'!J48,'23.08 Musita-Lumino-24h'!J48,'26.08 Musita-Lumino-24h'!J48,'28.08Musita-Lumino'!J48)</f>
        <v>2</v>
      </c>
      <c r="K48" s="49">
        <f>AVERAGE('22.08 Musita-Lumino'!K48,'24.08 Musita-Lumino'!K48,'25.08 Musita-Lumino'!K48,'27.08 Musita-Lumino'!K48,'23.08 Musita-Lumino-24h'!K48,'26.08 Musita-Lumino-24h'!K48,'28.08Musita-Lumino'!K48)</f>
        <v>0.5714285714285714</v>
      </c>
      <c r="L48" s="49">
        <f>AVERAGE('22.08 Musita-Lumino'!L48,'24.08 Musita-Lumino'!L48,'25.08 Musita-Lumino'!L48,'27.08 Musita-Lumino'!L48,'23.08 Musita-Lumino-24h'!L48,'26.08 Musita-Lumino-24h'!L48,'28.08Musita-Lumino'!L48)</f>
        <v>0.5714285714285714</v>
      </c>
      <c r="M48" s="49">
        <f>AVERAGE('22.08 Musita-Lumino'!M48,'24.08 Musita-Lumino'!M48,'25.08 Musita-Lumino'!M48,'27.08 Musita-Lumino'!M48,'23.08 Musita-Lumino-24h'!M48,'26.08 Musita-Lumino-24h'!M48,'28.08Musita-Lumino'!M48)</f>
        <v>43.714285714285715</v>
      </c>
      <c r="N48" s="49">
        <f>AVERAGE('22.08 Musita-Lumino'!N48,'24.08 Musita-Lumino'!N48,'25.08 Musita-Lumino'!N48,'27.08 Musita-Lumino'!N48,'23.08 Musita-Lumino-24h'!N48,'26.08 Musita-Lumino-24h'!N48,'28.08Musita-Lumino'!N48)</f>
        <v>0.42857142857142855</v>
      </c>
      <c r="O48" s="15">
        <f t="shared" si="0"/>
        <v>13.142857142857142</v>
      </c>
      <c r="P48" s="15">
        <f t="shared" si="1"/>
        <v>56.857142857142861</v>
      </c>
      <c r="R48" s="8"/>
      <c r="T48"/>
    </row>
    <row r="49" spans="2:20" ht="23.1" customHeight="1" x14ac:dyDescent="0.25">
      <c r="B49" s="23" t="s">
        <v>76</v>
      </c>
      <c r="C49" s="49">
        <f>AVERAGE('22.08 Musita-Lumino'!C49,'24.08 Musita-Lumino'!C49,'25.08 Musita-Lumino'!C49,'27.08 Musita-Lumino'!C49,'23.08 Musita-Lumino-24h'!C49,'26.08 Musita-Lumino-24h'!C49,'28.08Musita-Lumino'!C49)</f>
        <v>4.8571428571428568</v>
      </c>
      <c r="D49" s="49">
        <f>AVERAGE('22.08 Musita-Lumino'!D49,'24.08 Musita-Lumino'!D49,'25.08 Musita-Lumino'!D49,'27.08 Musita-Lumino'!D49,'23.08 Musita-Lumino-24h'!D49,'26.08 Musita-Lumino-24h'!D49,'28.08Musita-Lumino'!D49)</f>
        <v>0.42857142857142855</v>
      </c>
      <c r="E49" s="49">
        <f>AVERAGE('22.08 Musita-Lumino'!E49,'24.08 Musita-Lumino'!E49,'25.08 Musita-Lumino'!E49,'27.08 Musita-Lumino'!E49,'23.08 Musita-Lumino-24h'!E49,'26.08 Musita-Lumino-24h'!E49,'28.08Musita-Lumino'!E49)</f>
        <v>0.5714285714285714</v>
      </c>
      <c r="F49" s="49">
        <f>AVERAGE('22.08 Musita-Lumino'!F49,'24.08 Musita-Lumino'!F49,'25.08 Musita-Lumino'!F49,'27.08 Musita-Lumino'!F49,'23.08 Musita-Lumino-24h'!F49,'26.08 Musita-Lumino-24h'!F49,'28.08Musita-Lumino'!F49)</f>
        <v>1.2857142857142858</v>
      </c>
      <c r="G49" s="49">
        <f>AVERAGE('22.08 Musita-Lumino'!G49,'24.08 Musita-Lumino'!G49,'25.08 Musita-Lumino'!G49,'27.08 Musita-Lumino'!G49,'23.08 Musita-Lumino-24h'!G49,'26.08 Musita-Lumino-24h'!G49,'28.08Musita-Lumino'!G49)</f>
        <v>0</v>
      </c>
      <c r="H49" s="49">
        <f>AVERAGE('22.08 Musita-Lumino'!H49,'24.08 Musita-Lumino'!H49,'25.08 Musita-Lumino'!H49,'27.08 Musita-Lumino'!H49,'23.08 Musita-Lumino-24h'!H49,'26.08 Musita-Lumino-24h'!H49,'28.08Musita-Lumino'!H49)</f>
        <v>0</v>
      </c>
      <c r="I49" s="49">
        <f>AVERAGE('22.08 Musita-Lumino'!I49,'24.08 Musita-Lumino'!I49,'25.08 Musita-Lumino'!I49,'27.08 Musita-Lumino'!I49,'23.08 Musita-Lumino-24h'!I49,'26.08 Musita-Lumino-24h'!I49,'28.08Musita-Lumino'!I49)</f>
        <v>2.8571428571428572</v>
      </c>
      <c r="J49" s="49">
        <f>AVERAGE('22.08 Musita-Lumino'!J49,'24.08 Musita-Lumino'!J49,'25.08 Musita-Lumino'!J49,'27.08 Musita-Lumino'!J49,'23.08 Musita-Lumino-24h'!J49,'26.08 Musita-Lumino-24h'!J49,'28.08Musita-Lumino'!J49)</f>
        <v>2</v>
      </c>
      <c r="K49" s="49">
        <f>AVERAGE('22.08 Musita-Lumino'!K49,'24.08 Musita-Lumino'!K49,'25.08 Musita-Lumino'!K49,'27.08 Musita-Lumino'!K49,'23.08 Musita-Lumino-24h'!K49,'26.08 Musita-Lumino-24h'!K49,'28.08Musita-Lumino'!K49)</f>
        <v>0.2857142857142857</v>
      </c>
      <c r="L49" s="49">
        <f>AVERAGE('22.08 Musita-Lumino'!L49,'24.08 Musita-Lumino'!L49,'25.08 Musita-Lumino'!L49,'27.08 Musita-Lumino'!L49,'23.08 Musita-Lumino-24h'!L49,'26.08 Musita-Lumino-24h'!L49,'28.08Musita-Lumino'!L49)</f>
        <v>0.2857142857142857</v>
      </c>
      <c r="M49" s="49">
        <f>AVERAGE('22.08 Musita-Lumino'!M49,'24.08 Musita-Lumino'!M49,'25.08 Musita-Lumino'!M49,'27.08 Musita-Lumino'!M49,'23.08 Musita-Lumino-24h'!M49,'26.08 Musita-Lumino-24h'!M49,'28.08Musita-Lumino'!M49)</f>
        <v>42.142857142857146</v>
      </c>
      <c r="N49" s="49">
        <f>AVERAGE('22.08 Musita-Lumino'!N49,'24.08 Musita-Lumino'!N49,'25.08 Musita-Lumino'!N49,'27.08 Musita-Lumino'!N49,'23.08 Musita-Lumino-24h'!N49,'26.08 Musita-Lumino-24h'!N49,'28.08Musita-Lumino'!N49)</f>
        <v>0</v>
      </c>
      <c r="O49" s="15">
        <f t="shared" si="0"/>
        <v>12.571428571428573</v>
      </c>
      <c r="P49" s="15">
        <f t="shared" si="1"/>
        <v>54.714285714285722</v>
      </c>
      <c r="R49" s="8"/>
      <c r="T49"/>
    </row>
    <row r="50" spans="2:20" ht="23.1" customHeight="1" x14ac:dyDescent="0.25">
      <c r="B50" s="24" t="s">
        <v>77</v>
      </c>
      <c r="C50" s="49">
        <f>AVERAGE('22.08 Musita-Lumino'!C50,'24.08 Musita-Lumino'!C50,'25.08 Musita-Lumino'!C50,'27.08 Musita-Lumino'!C50,'23.08 Musita-Lumino-24h'!C50,'26.08 Musita-Lumino-24h'!C50,'28.08Musita-Lumino'!C50)</f>
        <v>2.8571428571428572</v>
      </c>
      <c r="D50" s="49">
        <f>AVERAGE('22.08 Musita-Lumino'!D50,'24.08 Musita-Lumino'!D50,'25.08 Musita-Lumino'!D50,'27.08 Musita-Lumino'!D50,'23.08 Musita-Lumino-24h'!D50,'26.08 Musita-Lumino-24h'!D50,'28.08Musita-Lumino'!D50)</f>
        <v>0.8571428571428571</v>
      </c>
      <c r="E50" s="49">
        <f>AVERAGE('22.08 Musita-Lumino'!E50,'24.08 Musita-Lumino'!E50,'25.08 Musita-Lumino'!E50,'27.08 Musita-Lumino'!E50,'23.08 Musita-Lumino-24h'!E50,'26.08 Musita-Lumino-24h'!E50,'28.08Musita-Lumino'!E50)</f>
        <v>0.8571428571428571</v>
      </c>
      <c r="F50" s="49">
        <f>AVERAGE('22.08 Musita-Lumino'!F50,'24.08 Musita-Lumino'!F50,'25.08 Musita-Lumino'!F50,'27.08 Musita-Lumino'!F50,'23.08 Musita-Lumino-24h'!F50,'26.08 Musita-Lumino-24h'!F50,'28.08Musita-Lumino'!F50)</f>
        <v>1.4285714285714286</v>
      </c>
      <c r="G50" s="49">
        <f>AVERAGE('22.08 Musita-Lumino'!G50,'24.08 Musita-Lumino'!G50,'25.08 Musita-Lumino'!G50,'27.08 Musita-Lumino'!G50,'23.08 Musita-Lumino-24h'!G50,'26.08 Musita-Lumino-24h'!G50,'28.08Musita-Lumino'!G50)</f>
        <v>0</v>
      </c>
      <c r="H50" s="49">
        <f>AVERAGE('22.08 Musita-Lumino'!H50,'24.08 Musita-Lumino'!H50,'25.08 Musita-Lumino'!H50,'27.08 Musita-Lumino'!H50,'23.08 Musita-Lumino-24h'!H50,'26.08 Musita-Lumino-24h'!H50,'28.08Musita-Lumino'!H50)</f>
        <v>0</v>
      </c>
      <c r="I50" s="49">
        <f>AVERAGE('22.08 Musita-Lumino'!I50,'24.08 Musita-Lumino'!I50,'25.08 Musita-Lumino'!I50,'27.08 Musita-Lumino'!I50,'23.08 Musita-Lumino-24h'!I50,'26.08 Musita-Lumino-24h'!I50,'28.08Musita-Lumino'!I50)</f>
        <v>2.1428571428571428</v>
      </c>
      <c r="J50" s="49">
        <f>AVERAGE('22.08 Musita-Lumino'!J50,'24.08 Musita-Lumino'!J50,'25.08 Musita-Lumino'!J50,'27.08 Musita-Lumino'!J50,'23.08 Musita-Lumino-24h'!J50,'26.08 Musita-Lumino-24h'!J50,'28.08Musita-Lumino'!J50)</f>
        <v>3</v>
      </c>
      <c r="K50" s="49">
        <f>AVERAGE('22.08 Musita-Lumino'!K50,'24.08 Musita-Lumino'!K50,'25.08 Musita-Lumino'!K50,'27.08 Musita-Lumino'!K50,'23.08 Musita-Lumino-24h'!K50,'26.08 Musita-Lumino-24h'!K50,'28.08Musita-Lumino'!K50)</f>
        <v>0.14285714285714285</v>
      </c>
      <c r="L50" s="49">
        <f>AVERAGE('22.08 Musita-Lumino'!L50,'24.08 Musita-Lumino'!L50,'25.08 Musita-Lumino'!L50,'27.08 Musita-Lumino'!L50,'23.08 Musita-Lumino-24h'!L50,'26.08 Musita-Lumino-24h'!L50,'28.08Musita-Lumino'!L50)</f>
        <v>0.14285714285714285</v>
      </c>
      <c r="M50" s="49">
        <f>AVERAGE('22.08 Musita-Lumino'!M50,'24.08 Musita-Lumino'!M50,'25.08 Musita-Lumino'!M50,'27.08 Musita-Lumino'!M50,'23.08 Musita-Lumino-24h'!M50,'26.08 Musita-Lumino-24h'!M50,'28.08Musita-Lumino'!M50)</f>
        <v>38.285714285714285</v>
      </c>
      <c r="N50" s="49">
        <f>AVERAGE('22.08 Musita-Lumino'!N50,'24.08 Musita-Lumino'!N50,'25.08 Musita-Lumino'!N50,'27.08 Musita-Lumino'!N50,'23.08 Musita-Lumino-24h'!N50,'26.08 Musita-Lumino-24h'!N50,'28.08Musita-Lumino'!N50)</f>
        <v>0.2857142857142857</v>
      </c>
      <c r="O50" s="15">
        <f t="shared" si="0"/>
        <v>11.714285714285714</v>
      </c>
      <c r="P50" s="15">
        <f t="shared" si="1"/>
        <v>49.999999999999993</v>
      </c>
      <c r="R50" s="8"/>
      <c r="T50"/>
    </row>
    <row r="51" spans="2:20" ht="23.1" customHeight="1" x14ac:dyDescent="0.25">
      <c r="B51" s="24" t="s">
        <v>78</v>
      </c>
      <c r="C51" s="49">
        <f>AVERAGE('22.08 Musita-Lumino'!C51,'24.08 Musita-Lumino'!C51,'25.08 Musita-Lumino'!C51,'27.08 Musita-Lumino'!C51,'23.08 Musita-Lumino-24h'!C51,'26.08 Musita-Lumino-24h'!C51,'28.08Musita-Lumino'!C51)</f>
        <v>2</v>
      </c>
      <c r="D51" s="49">
        <f>AVERAGE('22.08 Musita-Lumino'!D51,'24.08 Musita-Lumino'!D51,'25.08 Musita-Lumino'!D51,'27.08 Musita-Lumino'!D51,'23.08 Musita-Lumino-24h'!D51,'26.08 Musita-Lumino-24h'!D51,'28.08Musita-Lumino'!D51)</f>
        <v>0.8571428571428571</v>
      </c>
      <c r="E51" s="49">
        <f>AVERAGE('22.08 Musita-Lumino'!E51,'24.08 Musita-Lumino'!E51,'25.08 Musita-Lumino'!E51,'27.08 Musita-Lumino'!E51,'23.08 Musita-Lumino-24h'!E51,'26.08 Musita-Lumino-24h'!E51,'28.08Musita-Lumino'!E51)</f>
        <v>1</v>
      </c>
      <c r="F51" s="49">
        <f>AVERAGE('22.08 Musita-Lumino'!F51,'24.08 Musita-Lumino'!F51,'25.08 Musita-Lumino'!F51,'27.08 Musita-Lumino'!F51,'23.08 Musita-Lumino-24h'!F51,'26.08 Musita-Lumino-24h'!F51,'28.08Musita-Lumino'!F51)</f>
        <v>1.5714285714285714</v>
      </c>
      <c r="G51" s="49">
        <f>AVERAGE('22.08 Musita-Lumino'!G51,'24.08 Musita-Lumino'!G51,'25.08 Musita-Lumino'!G51,'27.08 Musita-Lumino'!G51,'23.08 Musita-Lumino-24h'!G51,'26.08 Musita-Lumino-24h'!G51,'28.08Musita-Lumino'!G51)</f>
        <v>0</v>
      </c>
      <c r="H51" s="49">
        <f>AVERAGE('22.08 Musita-Lumino'!H51,'24.08 Musita-Lumino'!H51,'25.08 Musita-Lumino'!H51,'27.08 Musita-Lumino'!H51,'23.08 Musita-Lumino-24h'!H51,'26.08 Musita-Lumino-24h'!H51,'28.08Musita-Lumino'!H51)</f>
        <v>0</v>
      </c>
      <c r="I51" s="49">
        <f>AVERAGE('22.08 Musita-Lumino'!I51,'24.08 Musita-Lumino'!I51,'25.08 Musita-Lumino'!I51,'27.08 Musita-Lumino'!I51,'23.08 Musita-Lumino-24h'!I51,'26.08 Musita-Lumino-24h'!I51,'28.08Musita-Lumino'!I51)</f>
        <v>1.4285714285714286</v>
      </c>
      <c r="J51" s="49">
        <f>AVERAGE('22.08 Musita-Lumino'!J51,'24.08 Musita-Lumino'!J51,'25.08 Musita-Lumino'!J51,'27.08 Musita-Lumino'!J51,'23.08 Musita-Lumino-24h'!J51,'26.08 Musita-Lumino-24h'!J51,'28.08Musita-Lumino'!J51)</f>
        <v>2.8571428571428572</v>
      </c>
      <c r="K51" s="49">
        <f>AVERAGE('22.08 Musita-Lumino'!K51,'24.08 Musita-Lumino'!K51,'25.08 Musita-Lumino'!K51,'27.08 Musita-Lumino'!K51,'23.08 Musita-Lumino-24h'!K51,'26.08 Musita-Lumino-24h'!K51,'28.08Musita-Lumino'!K51)</f>
        <v>0</v>
      </c>
      <c r="L51" s="49">
        <f>AVERAGE('22.08 Musita-Lumino'!L51,'24.08 Musita-Lumino'!L51,'25.08 Musita-Lumino'!L51,'27.08 Musita-Lumino'!L51,'23.08 Musita-Lumino-24h'!L51,'26.08 Musita-Lumino-24h'!L51,'28.08Musita-Lumino'!L51)</f>
        <v>0.2857142857142857</v>
      </c>
      <c r="M51" s="49">
        <f>AVERAGE('22.08 Musita-Lumino'!M51,'24.08 Musita-Lumino'!M51,'25.08 Musita-Lumino'!M51,'27.08 Musita-Lumino'!M51,'23.08 Musita-Lumino-24h'!M51,'26.08 Musita-Lumino-24h'!M51,'28.08Musita-Lumino'!M51)</f>
        <v>44</v>
      </c>
      <c r="N51" s="49">
        <f>AVERAGE('22.08 Musita-Lumino'!N51,'24.08 Musita-Lumino'!N51,'25.08 Musita-Lumino'!N51,'27.08 Musita-Lumino'!N51,'23.08 Musita-Lumino-24h'!N51,'26.08 Musita-Lumino-24h'!N51,'28.08Musita-Lumino'!N51)</f>
        <v>0</v>
      </c>
      <c r="O51" s="15">
        <f t="shared" si="0"/>
        <v>10.000000000000002</v>
      </c>
      <c r="P51" s="15">
        <f t="shared" si="1"/>
        <v>54</v>
      </c>
      <c r="R51" s="8"/>
      <c r="T51"/>
    </row>
    <row r="52" spans="2:20" ht="23.1" customHeight="1" x14ac:dyDescent="0.25">
      <c r="B52" s="24" t="s">
        <v>79</v>
      </c>
      <c r="C52" s="49">
        <f>AVERAGE('22.08 Musita-Lumino'!C52,'24.08 Musita-Lumino'!C52,'25.08 Musita-Lumino'!C52,'27.08 Musita-Lumino'!C52,'23.08 Musita-Lumino-24h'!C52,'26.08 Musita-Lumino-24h'!C52,'28.08Musita-Lumino'!C52)</f>
        <v>3.4285714285714284</v>
      </c>
      <c r="D52" s="49">
        <f>AVERAGE('22.08 Musita-Lumino'!D52,'24.08 Musita-Lumino'!D52,'25.08 Musita-Lumino'!D52,'27.08 Musita-Lumino'!D52,'23.08 Musita-Lumino-24h'!D52,'26.08 Musita-Lumino-24h'!D52,'28.08Musita-Lumino'!D52)</f>
        <v>1.7142857142857142</v>
      </c>
      <c r="E52" s="49">
        <f>AVERAGE('22.08 Musita-Lumino'!E52,'24.08 Musita-Lumino'!E52,'25.08 Musita-Lumino'!E52,'27.08 Musita-Lumino'!E52,'23.08 Musita-Lumino-24h'!E52,'26.08 Musita-Lumino-24h'!E52,'28.08Musita-Lumino'!E52)</f>
        <v>0.7142857142857143</v>
      </c>
      <c r="F52" s="49">
        <f>AVERAGE('22.08 Musita-Lumino'!F52,'24.08 Musita-Lumino'!F52,'25.08 Musita-Lumino'!F52,'27.08 Musita-Lumino'!F52,'23.08 Musita-Lumino-24h'!F52,'26.08 Musita-Lumino-24h'!F52,'28.08Musita-Lumino'!F52)</f>
        <v>1.2857142857142858</v>
      </c>
      <c r="G52" s="49">
        <f>AVERAGE('22.08 Musita-Lumino'!G52,'24.08 Musita-Lumino'!G52,'25.08 Musita-Lumino'!G52,'27.08 Musita-Lumino'!G52,'23.08 Musita-Lumino-24h'!G52,'26.08 Musita-Lumino-24h'!G52,'28.08Musita-Lumino'!G52)</f>
        <v>0</v>
      </c>
      <c r="H52" s="49">
        <f>AVERAGE('22.08 Musita-Lumino'!H52,'24.08 Musita-Lumino'!H52,'25.08 Musita-Lumino'!H52,'27.08 Musita-Lumino'!H52,'23.08 Musita-Lumino-24h'!H52,'26.08 Musita-Lumino-24h'!H52,'28.08Musita-Lumino'!H52)</f>
        <v>0</v>
      </c>
      <c r="I52" s="49">
        <f>AVERAGE('22.08 Musita-Lumino'!I52,'24.08 Musita-Lumino'!I52,'25.08 Musita-Lumino'!I52,'27.08 Musita-Lumino'!I52,'23.08 Musita-Lumino-24h'!I52,'26.08 Musita-Lumino-24h'!I52,'28.08Musita-Lumino'!I52)</f>
        <v>0.8571428571428571</v>
      </c>
      <c r="J52" s="49">
        <f>AVERAGE('22.08 Musita-Lumino'!J52,'24.08 Musita-Lumino'!J52,'25.08 Musita-Lumino'!J52,'27.08 Musita-Lumino'!J52,'23.08 Musita-Lumino-24h'!J52,'26.08 Musita-Lumino-24h'!J52,'28.08Musita-Lumino'!J52)</f>
        <v>2.5714285714285716</v>
      </c>
      <c r="K52" s="49">
        <f>AVERAGE('22.08 Musita-Lumino'!K52,'24.08 Musita-Lumino'!K52,'25.08 Musita-Lumino'!K52,'27.08 Musita-Lumino'!K52,'23.08 Musita-Lumino-24h'!K52,'26.08 Musita-Lumino-24h'!K52,'28.08Musita-Lumino'!K52)</f>
        <v>0.7142857142857143</v>
      </c>
      <c r="L52" s="49">
        <f>AVERAGE('22.08 Musita-Lumino'!L52,'24.08 Musita-Lumino'!L52,'25.08 Musita-Lumino'!L52,'27.08 Musita-Lumino'!L52,'23.08 Musita-Lumino-24h'!L52,'26.08 Musita-Lumino-24h'!L52,'28.08Musita-Lumino'!L52)</f>
        <v>0</v>
      </c>
      <c r="M52" s="49">
        <f>AVERAGE('22.08 Musita-Lumino'!M52,'24.08 Musita-Lumino'!M52,'25.08 Musita-Lumino'!M52,'27.08 Musita-Lumino'!M52,'23.08 Musita-Lumino-24h'!M52,'26.08 Musita-Lumino-24h'!M52,'28.08Musita-Lumino'!M52)</f>
        <v>44.857142857142854</v>
      </c>
      <c r="N52" s="49">
        <f>AVERAGE('22.08 Musita-Lumino'!N52,'24.08 Musita-Lumino'!N52,'25.08 Musita-Lumino'!N52,'27.08 Musita-Lumino'!N52,'23.08 Musita-Lumino-24h'!N52,'26.08 Musita-Lumino-24h'!N52,'28.08Musita-Lumino'!N52)</f>
        <v>0.14285714285714285</v>
      </c>
      <c r="O52" s="15">
        <f t="shared" si="0"/>
        <v>11.428571428571427</v>
      </c>
      <c r="P52" s="15">
        <f t="shared" si="1"/>
        <v>56.285714285714285</v>
      </c>
      <c r="R52" s="8"/>
      <c r="T52"/>
    </row>
    <row r="53" spans="2:20" ht="23.1" customHeight="1" x14ac:dyDescent="0.25">
      <c r="B53" s="23" t="s">
        <v>80</v>
      </c>
      <c r="C53" s="49">
        <f>AVERAGE('22.08 Musita-Lumino'!C53,'24.08 Musita-Lumino'!C53,'25.08 Musita-Lumino'!C53,'27.08 Musita-Lumino'!C53,'23.08 Musita-Lumino-24h'!C53,'26.08 Musita-Lumino-24h'!C53,'28.08Musita-Lumino'!C53)</f>
        <v>3.5714285714285716</v>
      </c>
      <c r="D53" s="49">
        <f>AVERAGE('22.08 Musita-Lumino'!D53,'24.08 Musita-Lumino'!D53,'25.08 Musita-Lumino'!D53,'27.08 Musita-Lumino'!D53,'23.08 Musita-Lumino-24h'!D53,'26.08 Musita-Lumino-24h'!D53,'28.08Musita-Lumino'!D53)</f>
        <v>1.5714285714285714</v>
      </c>
      <c r="E53" s="49">
        <f>AVERAGE('22.08 Musita-Lumino'!E53,'24.08 Musita-Lumino'!E53,'25.08 Musita-Lumino'!E53,'27.08 Musita-Lumino'!E53,'23.08 Musita-Lumino-24h'!E53,'26.08 Musita-Lumino-24h'!E53,'28.08Musita-Lumino'!E53)</f>
        <v>0.42857142857142855</v>
      </c>
      <c r="F53" s="49">
        <f>AVERAGE('22.08 Musita-Lumino'!F53,'24.08 Musita-Lumino'!F53,'25.08 Musita-Lumino'!F53,'27.08 Musita-Lumino'!F53,'23.08 Musita-Lumino-24h'!F53,'26.08 Musita-Lumino-24h'!F53,'28.08Musita-Lumino'!F53)</f>
        <v>1.7142857142857142</v>
      </c>
      <c r="G53" s="49">
        <f>AVERAGE('22.08 Musita-Lumino'!G53,'24.08 Musita-Lumino'!G53,'25.08 Musita-Lumino'!G53,'27.08 Musita-Lumino'!G53,'23.08 Musita-Lumino-24h'!G53,'26.08 Musita-Lumino-24h'!G53,'28.08Musita-Lumino'!G53)</f>
        <v>0.14285714285714285</v>
      </c>
      <c r="H53" s="49">
        <f>AVERAGE('22.08 Musita-Lumino'!H53,'24.08 Musita-Lumino'!H53,'25.08 Musita-Lumino'!H53,'27.08 Musita-Lumino'!H53,'23.08 Musita-Lumino-24h'!H53,'26.08 Musita-Lumino-24h'!H53,'28.08Musita-Lumino'!H53)</f>
        <v>0.14285714285714285</v>
      </c>
      <c r="I53" s="49">
        <f>AVERAGE('22.08 Musita-Lumino'!I53,'24.08 Musita-Lumino'!I53,'25.08 Musita-Lumino'!I53,'27.08 Musita-Lumino'!I53,'23.08 Musita-Lumino-24h'!I53,'26.08 Musita-Lumino-24h'!I53,'28.08Musita-Lumino'!I53)</f>
        <v>1.7142857142857142</v>
      </c>
      <c r="J53" s="49">
        <f>AVERAGE('22.08 Musita-Lumino'!J53,'24.08 Musita-Lumino'!J53,'25.08 Musita-Lumino'!J53,'27.08 Musita-Lumino'!J53,'23.08 Musita-Lumino-24h'!J53,'26.08 Musita-Lumino-24h'!J53,'28.08Musita-Lumino'!J53)</f>
        <v>1.4285714285714286</v>
      </c>
      <c r="K53" s="49">
        <f>AVERAGE('22.08 Musita-Lumino'!K53,'24.08 Musita-Lumino'!K53,'25.08 Musita-Lumino'!K53,'27.08 Musita-Lumino'!K53,'23.08 Musita-Lumino-24h'!K53,'26.08 Musita-Lumino-24h'!K53,'28.08Musita-Lumino'!K53)</f>
        <v>1.7142857142857142</v>
      </c>
      <c r="L53" s="49">
        <f>AVERAGE('22.08 Musita-Lumino'!L53,'24.08 Musita-Lumino'!L53,'25.08 Musita-Lumino'!L53,'27.08 Musita-Lumino'!L53,'23.08 Musita-Lumino-24h'!L53,'26.08 Musita-Lumino-24h'!L53,'28.08Musita-Lumino'!L53)</f>
        <v>0.42857142857142855</v>
      </c>
      <c r="M53" s="49">
        <f>AVERAGE('22.08 Musita-Lumino'!M53,'24.08 Musita-Lumino'!M53,'25.08 Musita-Lumino'!M53,'27.08 Musita-Lumino'!M53,'23.08 Musita-Lumino-24h'!M53,'26.08 Musita-Lumino-24h'!M53,'28.08Musita-Lumino'!M53)</f>
        <v>41.714285714285715</v>
      </c>
      <c r="N53" s="49">
        <f>AVERAGE('22.08 Musita-Lumino'!N53,'24.08 Musita-Lumino'!N53,'25.08 Musita-Lumino'!N53,'27.08 Musita-Lumino'!N53,'23.08 Musita-Lumino-24h'!N53,'26.08 Musita-Lumino-24h'!N53,'28.08Musita-Lumino'!N53)</f>
        <v>0.14285714285714285</v>
      </c>
      <c r="O53" s="15">
        <f t="shared" si="0"/>
        <v>13</v>
      </c>
      <c r="P53" s="15">
        <f t="shared" si="1"/>
        <v>54.714285714285715</v>
      </c>
      <c r="R53" s="8"/>
      <c r="T53"/>
    </row>
    <row r="54" spans="2:20" ht="23.1" customHeight="1" x14ac:dyDescent="0.25">
      <c r="B54" s="23" t="s">
        <v>81</v>
      </c>
      <c r="C54" s="49">
        <f>AVERAGE('22.08 Musita-Lumino'!C54,'24.08 Musita-Lumino'!C54,'25.08 Musita-Lumino'!C54,'27.08 Musita-Lumino'!C54,'23.08 Musita-Lumino-24h'!C54,'26.08 Musita-Lumino-24h'!C54,'28.08Musita-Lumino'!C54)</f>
        <v>4.4285714285714288</v>
      </c>
      <c r="D54" s="49">
        <f>AVERAGE('22.08 Musita-Lumino'!D54,'24.08 Musita-Lumino'!D54,'25.08 Musita-Lumino'!D54,'27.08 Musita-Lumino'!D54,'23.08 Musita-Lumino-24h'!D54,'26.08 Musita-Lumino-24h'!D54,'28.08Musita-Lumino'!D54)</f>
        <v>2.2857142857142856</v>
      </c>
      <c r="E54" s="49">
        <f>AVERAGE('22.08 Musita-Lumino'!E54,'24.08 Musita-Lumino'!E54,'25.08 Musita-Lumino'!E54,'27.08 Musita-Lumino'!E54,'23.08 Musita-Lumino-24h'!E54,'26.08 Musita-Lumino-24h'!E54,'28.08Musita-Lumino'!E54)</f>
        <v>1</v>
      </c>
      <c r="F54" s="49">
        <f>AVERAGE('22.08 Musita-Lumino'!F54,'24.08 Musita-Lumino'!F54,'25.08 Musita-Lumino'!F54,'27.08 Musita-Lumino'!F54,'23.08 Musita-Lumino-24h'!F54,'26.08 Musita-Lumino-24h'!F54,'28.08Musita-Lumino'!F54)</f>
        <v>2.7142857142857144</v>
      </c>
      <c r="G54" s="49">
        <f>AVERAGE('22.08 Musita-Lumino'!G54,'24.08 Musita-Lumino'!G54,'25.08 Musita-Lumino'!G54,'27.08 Musita-Lumino'!G54,'23.08 Musita-Lumino-24h'!G54,'26.08 Musita-Lumino-24h'!G54,'28.08Musita-Lumino'!G54)</f>
        <v>0</v>
      </c>
      <c r="H54" s="49">
        <f>AVERAGE('22.08 Musita-Lumino'!H54,'24.08 Musita-Lumino'!H54,'25.08 Musita-Lumino'!H54,'27.08 Musita-Lumino'!H54,'23.08 Musita-Lumino-24h'!H54,'26.08 Musita-Lumino-24h'!H54,'28.08Musita-Lumino'!H54)</f>
        <v>0</v>
      </c>
      <c r="I54" s="49">
        <f>AVERAGE('22.08 Musita-Lumino'!I54,'24.08 Musita-Lumino'!I54,'25.08 Musita-Lumino'!I54,'27.08 Musita-Lumino'!I54,'23.08 Musita-Lumino-24h'!I54,'26.08 Musita-Lumino-24h'!I54,'28.08Musita-Lumino'!I54)</f>
        <v>2</v>
      </c>
      <c r="J54" s="49">
        <f>AVERAGE('22.08 Musita-Lumino'!J54,'24.08 Musita-Lumino'!J54,'25.08 Musita-Lumino'!J54,'27.08 Musita-Lumino'!J54,'23.08 Musita-Lumino-24h'!J54,'26.08 Musita-Lumino-24h'!J54,'28.08Musita-Lumino'!J54)</f>
        <v>3.8571428571428572</v>
      </c>
      <c r="K54" s="49">
        <f>AVERAGE('22.08 Musita-Lumino'!K54,'24.08 Musita-Lumino'!K54,'25.08 Musita-Lumino'!K54,'27.08 Musita-Lumino'!K54,'23.08 Musita-Lumino-24h'!K54,'26.08 Musita-Lumino-24h'!K54,'28.08Musita-Lumino'!K54)</f>
        <v>1.8571428571428572</v>
      </c>
      <c r="L54" s="49">
        <f>AVERAGE('22.08 Musita-Lumino'!L54,'24.08 Musita-Lumino'!L54,'25.08 Musita-Lumino'!L54,'27.08 Musita-Lumino'!L54,'23.08 Musita-Lumino-24h'!L54,'26.08 Musita-Lumino-24h'!L54,'28.08Musita-Lumino'!L54)</f>
        <v>0.14285714285714285</v>
      </c>
      <c r="M54" s="49">
        <f>AVERAGE('22.08 Musita-Lumino'!M54,'24.08 Musita-Lumino'!M54,'25.08 Musita-Lumino'!M54,'27.08 Musita-Lumino'!M54,'23.08 Musita-Lumino-24h'!M54,'26.08 Musita-Lumino-24h'!M54,'28.08Musita-Lumino'!M54)</f>
        <v>42.857142857142854</v>
      </c>
      <c r="N54" s="49">
        <f>AVERAGE('22.08 Musita-Lumino'!N54,'24.08 Musita-Lumino'!N54,'25.08 Musita-Lumino'!N54,'27.08 Musita-Lumino'!N54,'23.08 Musita-Lumino-24h'!N54,'26.08 Musita-Lumino-24h'!N54,'28.08Musita-Lumino'!N54)</f>
        <v>0.14285714285714285</v>
      </c>
      <c r="O54" s="15">
        <f t="shared" si="0"/>
        <v>18.428571428571427</v>
      </c>
      <c r="P54" s="15">
        <f t="shared" si="1"/>
        <v>61.285714285714285</v>
      </c>
      <c r="R54" s="8"/>
      <c r="T54"/>
    </row>
    <row r="55" spans="2:20" ht="23.1" customHeight="1" x14ac:dyDescent="0.25">
      <c r="B55" s="23" t="s">
        <v>82</v>
      </c>
      <c r="C55" s="49">
        <f>AVERAGE('22.08 Musita-Lumino'!C55,'24.08 Musita-Lumino'!C55,'25.08 Musita-Lumino'!C55,'27.08 Musita-Lumino'!C55,'23.08 Musita-Lumino-24h'!C55,'26.08 Musita-Lumino-24h'!C55,'28.08Musita-Lumino'!C55)</f>
        <v>4.2857142857142856</v>
      </c>
      <c r="D55" s="49">
        <f>AVERAGE('22.08 Musita-Lumino'!D55,'24.08 Musita-Lumino'!D55,'25.08 Musita-Lumino'!D55,'27.08 Musita-Lumino'!D55,'23.08 Musita-Lumino-24h'!D55,'26.08 Musita-Lumino-24h'!D55,'28.08Musita-Lumino'!D55)</f>
        <v>2.2857142857142856</v>
      </c>
      <c r="E55" s="49">
        <f>AVERAGE('22.08 Musita-Lumino'!E55,'24.08 Musita-Lumino'!E55,'25.08 Musita-Lumino'!E55,'27.08 Musita-Lumino'!E55,'23.08 Musita-Lumino-24h'!E55,'26.08 Musita-Lumino-24h'!E55,'28.08Musita-Lumino'!E55)</f>
        <v>1.1428571428571428</v>
      </c>
      <c r="F55" s="49">
        <f>AVERAGE('22.08 Musita-Lumino'!F55,'24.08 Musita-Lumino'!F55,'25.08 Musita-Lumino'!F55,'27.08 Musita-Lumino'!F55,'23.08 Musita-Lumino-24h'!F55,'26.08 Musita-Lumino-24h'!F55,'28.08Musita-Lumino'!F55)</f>
        <v>1.4285714285714286</v>
      </c>
      <c r="G55" s="49">
        <f>AVERAGE('22.08 Musita-Lumino'!G55,'24.08 Musita-Lumino'!G55,'25.08 Musita-Lumino'!G55,'27.08 Musita-Lumino'!G55,'23.08 Musita-Lumino-24h'!G55,'26.08 Musita-Lumino-24h'!G55,'28.08Musita-Lumino'!G55)</f>
        <v>0</v>
      </c>
      <c r="H55" s="49">
        <f>AVERAGE('22.08 Musita-Lumino'!H55,'24.08 Musita-Lumino'!H55,'25.08 Musita-Lumino'!H55,'27.08 Musita-Lumino'!H55,'23.08 Musita-Lumino-24h'!H55,'26.08 Musita-Lumino-24h'!H55,'28.08Musita-Lumino'!H55)</f>
        <v>0</v>
      </c>
      <c r="I55" s="49">
        <f>AVERAGE('22.08 Musita-Lumino'!I55,'24.08 Musita-Lumino'!I55,'25.08 Musita-Lumino'!I55,'27.08 Musita-Lumino'!I55,'23.08 Musita-Lumino-24h'!I55,'26.08 Musita-Lumino-24h'!I55,'28.08Musita-Lumino'!I55)</f>
        <v>1.8571428571428572</v>
      </c>
      <c r="J55" s="49">
        <f>AVERAGE('22.08 Musita-Lumino'!J55,'24.08 Musita-Lumino'!J55,'25.08 Musita-Lumino'!J55,'27.08 Musita-Lumino'!J55,'23.08 Musita-Lumino-24h'!J55,'26.08 Musita-Lumino-24h'!J55,'28.08Musita-Lumino'!J55)</f>
        <v>3.1428571428571428</v>
      </c>
      <c r="K55" s="49">
        <f>AVERAGE('22.08 Musita-Lumino'!K55,'24.08 Musita-Lumino'!K55,'25.08 Musita-Lumino'!K55,'27.08 Musita-Lumino'!K55,'23.08 Musita-Lumino-24h'!K55,'26.08 Musita-Lumino-24h'!K55,'28.08Musita-Lumino'!K55)</f>
        <v>0.2857142857142857</v>
      </c>
      <c r="L55" s="49">
        <f>AVERAGE('22.08 Musita-Lumino'!L55,'24.08 Musita-Lumino'!L55,'25.08 Musita-Lumino'!L55,'27.08 Musita-Lumino'!L55,'23.08 Musita-Lumino-24h'!L55,'26.08 Musita-Lumino-24h'!L55,'28.08Musita-Lumino'!L55)</f>
        <v>0</v>
      </c>
      <c r="M55" s="49">
        <f>AVERAGE('22.08 Musita-Lumino'!M55,'24.08 Musita-Lumino'!M55,'25.08 Musita-Lumino'!M55,'27.08 Musita-Lumino'!M55,'23.08 Musita-Lumino-24h'!M55,'26.08 Musita-Lumino-24h'!M55,'28.08Musita-Lumino'!M55)</f>
        <v>39.714285714285715</v>
      </c>
      <c r="N55" s="49">
        <f>AVERAGE('22.08 Musita-Lumino'!N55,'24.08 Musita-Lumino'!N55,'25.08 Musita-Lumino'!N55,'27.08 Musita-Lumino'!N55,'23.08 Musita-Lumino-24h'!N55,'26.08 Musita-Lumino-24h'!N55,'28.08Musita-Lumino'!N55)</f>
        <v>0.2857142857142857</v>
      </c>
      <c r="O55" s="15">
        <f t="shared" si="0"/>
        <v>14.714285714285715</v>
      </c>
      <c r="P55" s="15">
        <f t="shared" si="1"/>
        <v>54.428571428571431</v>
      </c>
      <c r="R55" s="8"/>
      <c r="T55"/>
    </row>
    <row r="56" spans="2:20" ht="23.1" customHeight="1" x14ac:dyDescent="0.25">
      <c r="B56" s="23" t="s">
        <v>83</v>
      </c>
      <c r="C56" s="49">
        <f>AVERAGE('22.08 Musita-Lumino'!C56,'24.08 Musita-Lumino'!C56,'25.08 Musita-Lumino'!C56,'27.08 Musita-Lumino'!C56,'23.08 Musita-Lumino-24h'!C56,'26.08 Musita-Lumino-24h'!C56,'28.08Musita-Lumino'!C56)</f>
        <v>3.5714285714285716</v>
      </c>
      <c r="D56" s="49">
        <f>AVERAGE('22.08 Musita-Lumino'!D56,'24.08 Musita-Lumino'!D56,'25.08 Musita-Lumino'!D56,'27.08 Musita-Lumino'!D56,'23.08 Musita-Lumino-24h'!D56,'26.08 Musita-Lumino-24h'!D56,'28.08Musita-Lumino'!D56)</f>
        <v>0.5714285714285714</v>
      </c>
      <c r="E56" s="49">
        <f>AVERAGE('22.08 Musita-Lumino'!E56,'24.08 Musita-Lumino'!E56,'25.08 Musita-Lumino'!E56,'27.08 Musita-Lumino'!E56,'23.08 Musita-Lumino-24h'!E56,'26.08 Musita-Lumino-24h'!E56,'28.08Musita-Lumino'!E56)</f>
        <v>1.4285714285714286</v>
      </c>
      <c r="F56" s="49">
        <f>AVERAGE('22.08 Musita-Lumino'!F56,'24.08 Musita-Lumino'!F56,'25.08 Musita-Lumino'!F56,'27.08 Musita-Lumino'!F56,'23.08 Musita-Lumino-24h'!F56,'26.08 Musita-Lumino-24h'!F56,'28.08Musita-Lumino'!F56)</f>
        <v>3.4285714285714284</v>
      </c>
      <c r="G56" s="49">
        <f>AVERAGE('22.08 Musita-Lumino'!G56,'24.08 Musita-Lumino'!G56,'25.08 Musita-Lumino'!G56,'27.08 Musita-Lumino'!G56,'23.08 Musita-Lumino-24h'!G56,'26.08 Musita-Lumino-24h'!G56,'28.08Musita-Lumino'!G56)</f>
        <v>0.14285714285714285</v>
      </c>
      <c r="H56" s="49">
        <f>AVERAGE('22.08 Musita-Lumino'!H56,'24.08 Musita-Lumino'!H56,'25.08 Musita-Lumino'!H56,'27.08 Musita-Lumino'!H56,'23.08 Musita-Lumino-24h'!H56,'26.08 Musita-Lumino-24h'!H56,'28.08Musita-Lumino'!H56)</f>
        <v>0</v>
      </c>
      <c r="I56" s="49">
        <f>AVERAGE('22.08 Musita-Lumino'!I56,'24.08 Musita-Lumino'!I56,'25.08 Musita-Lumino'!I56,'27.08 Musita-Lumino'!I56,'23.08 Musita-Lumino-24h'!I56,'26.08 Musita-Lumino-24h'!I56,'28.08Musita-Lumino'!I56)</f>
        <v>1.1428571428571428</v>
      </c>
      <c r="J56" s="49">
        <f>AVERAGE('22.08 Musita-Lumino'!J56,'24.08 Musita-Lumino'!J56,'25.08 Musita-Lumino'!J56,'27.08 Musita-Lumino'!J56,'23.08 Musita-Lumino-24h'!J56,'26.08 Musita-Lumino-24h'!J56,'28.08Musita-Lumino'!J56)</f>
        <v>3.1428571428571428</v>
      </c>
      <c r="K56" s="49">
        <f>AVERAGE('22.08 Musita-Lumino'!K56,'24.08 Musita-Lumino'!K56,'25.08 Musita-Lumino'!K56,'27.08 Musita-Lumino'!K56,'23.08 Musita-Lumino-24h'!K56,'26.08 Musita-Lumino-24h'!K56,'28.08Musita-Lumino'!K56)</f>
        <v>1</v>
      </c>
      <c r="L56" s="49">
        <f>AVERAGE('22.08 Musita-Lumino'!L56,'24.08 Musita-Lumino'!L56,'25.08 Musita-Lumino'!L56,'27.08 Musita-Lumino'!L56,'23.08 Musita-Lumino-24h'!L56,'26.08 Musita-Lumino-24h'!L56,'28.08Musita-Lumino'!L56)</f>
        <v>0.42857142857142855</v>
      </c>
      <c r="M56" s="49">
        <f>AVERAGE('22.08 Musita-Lumino'!M56,'24.08 Musita-Lumino'!M56,'25.08 Musita-Lumino'!M56,'27.08 Musita-Lumino'!M56,'23.08 Musita-Lumino-24h'!M56,'26.08 Musita-Lumino-24h'!M56,'28.08Musita-Lumino'!M56)</f>
        <v>43</v>
      </c>
      <c r="N56" s="49">
        <f>AVERAGE('22.08 Musita-Lumino'!N56,'24.08 Musita-Lumino'!N56,'25.08 Musita-Lumino'!N56,'27.08 Musita-Lumino'!N56,'23.08 Musita-Lumino-24h'!N56,'26.08 Musita-Lumino-24h'!N56,'28.08Musita-Lumino'!N56)</f>
        <v>0.42857142857142855</v>
      </c>
      <c r="O56" s="15">
        <f t="shared" si="0"/>
        <v>15.285714285714285</v>
      </c>
      <c r="P56" s="15">
        <f t="shared" si="1"/>
        <v>58.285714285714285</v>
      </c>
      <c r="R56" s="8"/>
      <c r="T56"/>
    </row>
    <row r="57" spans="2:20" ht="23.1" customHeight="1" x14ac:dyDescent="0.25">
      <c r="B57" s="23" t="s">
        <v>84</v>
      </c>
      <c r="C57" s="49">
        <f>AVERAGE('22.08 Musita-Lumino'!C57,'24.08 Musita-Lumino'!C57,'25.08 Musita-Lumino'!C57,'27.08 Musita-Lumino'!C57,'23.08 Musita-Lumino-24h'!C57,'26.08 Musita-Lumino-24h'!C57,'28.08Musita-Lumino'!C57)</f>
        <v>2.2857142857142856</v>
      </c>
      <c r="D57" s="49">
        <f>AVERAGE('22.08 Musita-Lumino'!D57,'24.08 Musita-Lumino'!D57,'25.08 Musita-Lumino'!D57,'27.08 Musita-Lumino'!D57,'23.08 Musita-Lumino-24h'!D57,'26.08 Musita-Lumino-24h'!D57,'28.08Musita-Lumino'!D57)</f>
        <v>1.4285714285714286</v>
      </c>
      <c r="E57" s="49">
        <f>AVERAGE('22.08 Musita-Lumino'!E57,'24.08 Musita-Lumino'!E57,'25.08 Musita-Lumino'!E57,'27.08 Musita-Lumino'!E57,'23.08 Musita-Lumino-24h'!E57,'26.08 Musita-Lumino-24h'!E57,'28.08Musita-Lumino'!E57)</f>
        <v>0.7142857142857143</v>
      </c>
      <c r="F57" s="49">
        <f>AVERAGE('22.08 Musita-Lumino'!F57,'24.08 Musita-Lumino'!F57,'25.08 Musita-Lumino'!F57,'27.08 Musita-Lumino'!F57,'23.08 Musita-Lumino-24h'!F57,'26.08 Musita-Lumino-24h'!F57,'28.08Musita-Lumino'!F57)</f>
        <v>1.2857142857142858</v>
      </c>
      <c r="G57" s="49">
        <f>AVERAGE('22.08 Musita-Lumino'!G57,'24.08 Musita-Lumino'!G57,'25.08 Musita-Lumino'!G57,'27.08 Musita-Lumino'!G57,'23.08 Musita-Lumino-24h'!G57,'26.08 Musita-Lumino-24h'!G57,'28.08Musita-Lumino'!G57)</f>
        <v>1</v>
      </c>
      <c r="H57" s="49">
        <f>AVERAGE('22.08 Musita-Lumino'!H57,'24.08 Musita-Lumino'!H57,'25.08 Musita-Lumino'!H57,'27.08 Musita-Lumino'!H57,'23.08 Musita-Lumino-24h'!H57,'26.08 Musita-Lumino-24h'!H57,'28.08Musita-Lumino'!H57)</f>
        <v>0</v>
      </c>
      <c r="I57" s="49">
        <f>AVERAGE('22.08 Musita-Lumino'!I57,'24.08 Musita-Lumino'!I57,'25.08 Musita-Lumino'!I57,'27.08 Musita-Lumino'!I57,'23.08 Musita-Lumino-24h'!I57,'26.08 Musita-Lumino-24h'!I57,'28.08Musita-Lumino'!I57)</f>
        <v>1</v>
      </c>
      <c r="J57" s="49">
        <f>AVERAGE('22.08 Musita-Lumino'!J57,'24.08 Musita-Lumino'!J57,'25.08 Musita-Lumino'!J57,'27.08 Musita-Lumino'!J57,'23.08 Musita-Lumino-24h'!J57,'26.08 Musita-Lumino-24h'!J57,'28.08Musita-Lumino'!J57)</f>
        <v>3.1428571428571428</v>
      </c>
      <c r="K57" s="49">
        <f>AVERAGE('22.08 Musita-Lumino'!K57,'24.08 Musita-Lumino'!K57,'25.08 Musita-Lumino'!K57,'27.08 Musita-Lumino'!K57,'23.08 Musita-Lumino-24h'!K57,'26.08 Musita-Lumino-24h'!K57,'28.08Musita-Lumino'!K57)</f>
        <v>0.8571428571428571</v>
      </c>
      <c r="L57" s="49">
        <f>AVERAGE('22.08 Musita-Lumino'!L57,'24.08 Musita-Lumino'!L57,'25.08 Musita-Lumino'!L57,'27.08 Musita-Lumino'!L57,'23.08 Musita-Lumino-24h'!L57,'26.08 Musita-Lumino-24h'!L57,'28.08Musita-Lumino'!L57)</f>
        <v>0.42857142857142855</v>
      </c>
      <c r="M57" s="49">
        <f>AVERAGE('22.08 Musita-Lumino'!M57,'24.08 Musita-Lumino'!M57,'25.08 Musita-Lumino'!M57,'27.08 Musita-Lumino'!M57,'23.08 Musita-Lumino-24h'!M57,'26.08 Musita-Lumino-24h'!M57,'28.08Musita-Lumino'!M57)</f>
        <v>31</v>
      </c>
      <c r="N57" s="49">
        <f>AVERAGE('22.08 Musita-Lumino'!N57,'24.08 Musita-Lumino'!N57,'25.08 Musita-Lumino'!N57,'27.08 Musita-Lumino'!N57,'23.08 Musita-Lumino-24h'!N57,'26.08 Musita-Lumino-24h'!N57,'28.08Musita-Lumino'!N57)</f>
        <v>0</v>
      </c>
      <c r="O57" s="15">
        <f t="shared" si="0"/>
        <v>12.142857142857144</v>
      </c>
      <c r="P57" s="15">
        <f t="shared" si="1"/>
        <v>43.142857142857146</v>
      </c>
      <c r="R57" s="8"/>
      <c r="T57"/>
    </row>
    <row r="58" spans="2:20" ht="23.1" customHeight="1" x14ac:dyDescent="0.25">
      <c r="B58" s="23" t="s">
        <v>99</v>
      </c>
      <c r="C58" s="49">
        <f>AVERAGE('23.08 Musita-Lumino-24h'!C58,'26.08 Musita-Lumino-24h'!C58)</f>
        <v>5</v>
      </c>
      <c r="D58" s="49">
        <f>AVERAGE('23.08 Musita-Lumino-24h'!D58,'26.08 Musita-Lumino-24h'!D58)</f>
        <v>2.5</v>
      </c>
      <c r="E58" s="49">
        <f>AVERAGE('23.08 Musita-Lumino-24h'!E58,'26.08 Musita-Lumino-24h'!E58)</f>
        <v>1</v>
      </c>
      <c r="F58" s="49">
        <f>AVERAGE('23.08 Musita-Lumino-24h'!F58,'26.08 Musita-Lumino-24h'!F58)</f>
        <v>4.5</v>
      </c>
      <c r="G58" s="49">
        <f>AVERAGE('23.08 Musita-Lumino-24h'!G58,'26.08 Musita-Lumino-24h'!G58)</f>
        <v>0.5</v>
      </c>
      <c r="H58" s="49">
        <f>AVERAGE('23.08 Musita-Lumino-24h'!H58,'26.08 Musita-Lumino-24h'!H58)</f>
        <v>0</v>
      </c>
      <c r="I58" s="49">
        <f>AVERAGE('23.08 Musita-Lumino-24h'!I58,'26.08 Musita-Lumino-24h'!I58)</f>
        <v>3</v>
      </c>
      <c r="J58" s="49">
        <f>AVERAGE('23.08 Musita-Lumino-24h'!J58,'26.08 Musita-Lumino-24h'!J58)</f>
        <v>3.5</v>
      </c>
      <c r="K58" s="49">
        <f>AVERAGE('23.08 Musita-Lumino-24h'!K58,'26.08 Musita-Lumino-24h'!K58)</f>
        <v>1.5</v>
      </c>
      <c r="L58" s="49">
        <f>AVERAGE('23.08 Musita-Lumino-24h'!L58,'26.08 Musita-Lumino-24h'!L58)</f>
        <v>1</v>
      </c>
      <c r="M58" s="49">
        <f>AVERAGE('23.08 Musita-Lumino-24h'!M58,'26.08 Musita-Lumino-24h'!M58)</f>
        <v>42.5</v>
      </c>
      <c r="N58" s="49">
        <f>AVERAGE('23.08 Musita-Lumino-24h'!N58,'26.08 Musita-Lumino-24h'!N58)</f>
        <v>0.5</v>
      </c>
      <c r="O58" s="15">
        <f t="shared" si="0"/>
        <v>23</v>
      </c>
      <c r="P58" s="15">
        <f t="shared" si="1"/>
        <v>65.5</v>
      </c>
      <c r="R58" s="8"/>
      <c r="T58"/>
    </row>
    <row r="59" spans="2:20" ht="23.1" customHeight="1" x14ac:dyDescent="0.25">
      <c r="B59" s="23" t="s">
        <v>100</v>
      </c>
      <c r="C59" s="49">
        <f>AVERAGE('23.08 Musita-Lumino-24h'!C59,'26.08 Musita-Lumino-24h'!C59)</f>
        <v>8.5</v>
      </c>
      <c r="D59" s="49">
        <f>AVERAGE('23.08 Musita-Lumino-24h'!D59,'26.08 Musita-Lumino-24h'!D59)</f>
        <v>1</v>
      </c>
      <c r="E59" s="49">
        <f>AVERAGE('23.08 Musita-Lumino-24h'!E59,'26.08 Musita-Lumino-24h'!E59)</f>
        <v>0.5</v>
      </c>
      <c r="F59" s="49">
        <f>AVERAGE('23.08 Musita-Lumino-24h'!F59,'26.08 Musita-Lumino-24h'!F59)</f>
        <v>3</v>
      </c>
      <c r="G59" s="49">
        <f>AVERAGE('23.08 Musita-Lumino-24h'!G59,'26.08 Musita-Lumino-24h'!G59)</f>
        <v>1</v>
      </c>
      <c r="H59" s="49">
        <f>AVERAGE('23.08 Musita-Lumino-24h'!H59,'26.08 Musita-Lumino-24h'!H59)</f>
        <v>0</v>
      </c>
      <c r="I59" s="49">
        <f>AVERAGE('23.08 Musita-Lumino-24h'!I59,'26.08 Musita-Lumino-24h'!I59)</f>
        <v>2</v>
      </c>
      <c r="J59" s="49">
        <f>AVERAGE('23.08 Musita-Lumino-24h'!J59,'26.08 Musita-Lumino-24h'!J59)</f>
        <v>4</v>
      </c>
      <c r="K59" s="49">
        <f>AVERAGE('23.08 Musita-Lumino-24h'!K59,'26.08 Musita-Lumino-24h'!K59)</f>
        <v>2</v>
      </c>
      <c r="L59" s="49">
        <f>AVERAGE('23.08 Musita-Lumino-24h'!L59,'26.08 Musita-Lumino-24h'!L59)</f>
        <v>1</v>
      </c>
      <c r="M59" s="49">
        <f>AVERAGE('23.08 Musita-Lumino-24h'!M59,'26.08 Musita-Lumino-24h'!M59)</f>
        <v>38</v>
      </c>
      <c r="N59" s="49">
        <f>AVERAGE('23.08 Musita-Lumino-24h'!N59,'26.08 Musita-Lumino-24h'!N59)</f>
        <v>1.5</v>
      </c>
      <c r="O59" s="15">
        <f t="shared" si="0"/>
        <v>24.5</v>
      </c>
      <c r="P59" s="15">
        <f t="shared" si="1"/>
        <v>62.5</v>
      </c>
      <c r="R59" s="8"/>
      <c r="T59"/>
    </row>
    <row r="60" spans="2:20" ht="23.1" customHeight="1" x14ac:dyDescent="0.25">
      <c r="B60" s="23" t="s">
        <v>101</v>
      </c>
      <c r="C60" s="49">
        <f>AVERAGE('23.08 Musita-Lumino-24h'!C60,'26.08 Musita-Lumino-24h'!C60)</f>
        <v>5.5</v>
      </c>
      <c r="D60" s="49">
        <f>AVERAGE('23.08 Musita-Lumino-24h'!D60,'26.08 Musita-Lumino-24h'!D60)</f>
        <v>0</v>
      </c>
      <c r="E60" s="49">
        <f>AVERAGE('23.08 Musita-Lumino-24h'!E60,'26.08 Musita-Lumino-24h'!E60)</f>
        <v>1</v>
      </c>
      <c r="F60" s="49">
        <f>AVERAGE('23.08 Musita-Lumino-24h'!F60,'26.08 Musita-Lumino-24h'!F60)</f>
        <v>0.5</v>
      </c>
      <c r="G60" s="49">
        <f>AVERAGE('23.08 Musita-Lumino-24h'!G60,'26.08 Musita-Lumino-24h'!G60)</f>
        <v>0</v>
      </c>
      <c r="H60" s="49">
        <f>AVERAGE('23.08 Musita-Lumino-24h'!H60,'26.08 Musita-Lumino-24h'!H60)</f>
        <v>0</v>
      </c>
      <c r="I60" s="49">
        <f>AVERAGE('23.08 Musita-Lumino-24h'!I60,'26.08 Musita-Lumino-24h'!I60)</f>
        <v>1</v>
      </c>
      <c r="J60" s="49">
        <f>AVERAGE('23.08 Musita-Lumino-24h'!J60,'26.08 Musita-Lumino-24h'!J60)</f>
        <v>6.5</v>
      </c>
      <c r="K60" s="49">
        <f>AVERAGE('23.08 Musita-Lumino-24h'!K60,'26.08 Musita-Lumino-24h'!K60)</f>
        <v>0.5</v>
      </c>
      <c r="L60" s="49">
        <f>AVERAGE('23.08 Musita-Lumino-24h'!L60,'26.08 Musita-Lumino-24h'!L60)</f>
        <v>1.5</v>
      </c>
      <c r="M60" s="49">
        <f>AVERAGE('23.08 Musita-Lumino-24h'!M60,'26.08 Musita-Lumino-24h'!M60)</f>
        <v>39</v>
      </c>
      <c r="N60" s="49">
        <f>AVERAGE('23.08 Musita-Lumino-24h'!N60,'26.08 Musita-Lumino-24h'!N60)</f>
        <v>1</v>
      </c>
      <c r="O60" s="15">
        <f t="shared" si="0"/>
        <v>17.5</v>
      </c>
      <c r="P60" s="15">
        <f t="shared" si="1"/>
        <v>56.5</v>
      </c>
      <c r="R60" s="8"/>
      <c r="T60"/>
    </row>
    <row r="61" spans="2:20" ht="23.1" customHeight="1" x14ac:dyDescent="0.25">
      <c r="B61" s="23" t="s">
        <v>102</v>
      </c>
      <c r="C61" s="49">
        <f>AVERAGE('23.08 Musita-Lumino-24h'!C61,'26.08 Musita-Lumino-24h'!C61)</f>
        <v>3</v>
      </c>
      <c r="D61" s="49">
        <f>AVERAGE('23.08 Musita-Lumino-24h'!D61,'26.08 Musita-Lumino-24h'!D61)</f>
        <v>0.5</v>
      </c>
      <c r="E61" s="49">
        <f>AVERAGE('23.08 Musita-Lumino-24h'!E61,'26.08 Musita-Lumino-24h'!E61)</f>
        <v>1</v>
      </c>
      <c r="F61" s="49">
        <f>AVERAGE('23.08 Musita-Lumino-24h'!F61,'26.08 Musita-Lumino-24h'!F61)</f>
        <v>0.5</v>
      </c>
      <c r="G61" s="49">
        <f>AVERAGE('23.08 Musita-Lumino-24h'!G61,'26.08 Musita-Lumino-24h'!G61)</f>
        <v>0</v>
      </c>
      <c r="H61" s="49">
        <f>AVERAGE('23.08 Musita-Lumino-24h'!H61,'26.08 Musita-Lumino-24h'!H61)</f>
        <v>0</v>
      </c>
      <c r="I61" s="49">
        <f>AVERAGE('23.08 Musita-Lumino-24h'!I61,'26.08 Musita-Lumino-24h'!I61)</f>
        <v>1</v>
      </c>
      <c r="J61" s="49">
        <f>AVERAGE('23.08 Musita-Lumino-24h'!J61,'26.08 Musita-Lumino-24h'!J61)</f>
        <v>5.5</v>
      </c>
      <c r="K61" s="49">
        <f>AVERAGE('23.08 Musita-Lumino-24h'!K61,'26.08 Musita-Lumino-24h'!K61)</f>
        <v>0</v>
      </c>
      <c r="L61" s="49">
        <f>AVERAGE('23.08 Musita-Lumino-24h'!L61,'26.08 Musita-Lumino-24h'!L61)</f>
        <v>0</v>
      </c>
      <c r="M61" s="49">
        <f>AVERAGE('23.08 Musita-Lumino-24h'!M61,'26.08 Musita-Lumino-24h'!M61)</f>
        <v>36</v>
      </c>
      <c r="N61" s="49">
        <f>AVERAGE('23.08 Musita-Lumino-24h'!N61,'26.08 Musita-Lumino-24h'!N61)</f>
        <v>0.5</v>
      </c>
      <c r="O61" s="15">
        <f t="shared" si="0"/>
        <v>12</v>
      </c>
      <c r="P61" s="15">
        <f t="shared" si="1"/>
        <v>48</v>
      </c>
      <c r="R61" s="8"/>
      <c r="T61"/>
    </row>
    <row r="62" spans="2:20" ht="23.1" customHeight="1" x14ac:dyDescent="0.25">
      <c r="B62" s="23" t="s">
        <v>107</v>
      </c>
      <c r="C62" s="49">
        <f>AVERAGE('23.08 Musita-Lumino-24h'!C62,'26.08 Musita-Lumino-24h'!C62)</f>
        <v>4</v>
      </c>
      <c r="D62" s="49">
        <f>AVERAGE('23.08 Musita-Lumino-24h'!D62,'26.08 Musita-Lumino-24h'!D62)</f>
        <v>1</v>
      </c>
      <c r="E62" s="49">
        <f>AVERAGE('23.08 Musita-Lumino-24h'!E62,'26.08 Musita-Lumino-24h'!E62)</f>
        <v>1</v>
      </c>
      <c r="F62" s="49">
        <f>AVERAGE('23.08 Musita-Lumino-24h'!F62,'26.08 Musita-Lumino-24h'!F62)</f>
        <v>4.5</v>
      </c>
      <c r="G62" s="49">
        <f>AVERAGE('23.08 Musita-Lumino-24h'!G62,'26.08 Musita-Lumino-24h'!G62)</f>
        <v>0</v>
      </c>
      <c r="H62" s="49">
        <f>AVERAGE('23.08 Musita-Lumino-24h'!H62,'26.08 Musita-Lumino-24h'!H62)</f>
        <v>0</v>
      </c>
      <c r="I62" s="49">
        <f>AVERAGE('23.08 Musita-Lumino-24h'!I62,'26.08 Musita-Lumino-24h'!I62)</f>
        <v>1.5</v>
      </c>
      <c r="J62" s="49">
        <f>AVERAGE('23.08 Musita-Lumino-24h'!J62,'26.08 Musita-Lumino-24h'!J62)</f>
        <v>0.5</v>
      </c>
      <c r="K62" s="49">
        <f>AVERAGE('23.08 Musita-Lumino-24h'!K62,'26.08 Musita-Lumino-24h'!K62)</f>
        <v>0.5</v>
      </c>
      <c r="L62" s="49">
        <f>AVERAGE('23.08 Musita-Lumino-24h'!L62,'26.08 Musita-Lumino-24h'!L62)</f>
        <v>0</v>
      </c>
      <c r="M62" s="49">
        <f>AVERAGE('23.08 Musita-Lumino-24h'!M62,'26.08 Musita-Lumino-24h'!M62)</f>
        <v>47</v>
      </c>
      <c r="N62" s="49">
        <f>AVERAGE('23.08 Musita-Lumino-24h'!N62,'26.08 Musita-Lumino-24h'!N62)</f>
        <v>0</v>
      </c>
      <c r="O62" s="15">
        <f t="shared" si="0"/>
        <v>13</v>
      </c>
      <c r="P62" s="15">
        <f t="shared" si="1"/>
        <v>60</v>
      </c>
      <c r="R62" s="8"/>
      <c r="T62"/>
    </row>
    <row r="63" spans="2:20" ht="23.1" customHeight="1" x14ac:dyDescent="0.25">
      <c r="B63" s="23" t="s">
        <v>108</v>
      </c>
      <c r="C63" s="49">
        <f>AVERAGE('23.08 Musita-Lumino-24h'!C63,'26.08 Musita-Lumino-24h'!C63)</f>
        <v>5.5</v>
      </c>
      <c r="D63" s="49">
        <f>AVERAGE('23.08 Musita-Lumino-24h'!D63,'26.08 Musita-Lumino-24h'!D63)</f>
        <v>0.5</v>
      </c>
      <c r="E63" s="49">
        <f>AVERAGE('23.08 Musita-Lumino-24h'!E63,'26.08 Musita-Lumino-24h'!E63)</f>
        <v>0</v>
      </c>
      <c r="F63" s="49">
        <f>AVERAGE('23.08 Musita-Lumino-24h'!F63,'26.08 Musita-Lumino-24h'!F63)</f>
        <v>2.5</v>
      </c>
      <c r="G63" s="49">
        <f>AVERAGE('23.08 Musita-Lumino-24h'!G63,'26.08 Musita-Lumino-24h'!G63)</f>
        <v>0</v>
      </c>
      <c r="H63" s="49">
        <f>AVERAGE('23.08 Musita-Lumino-24h'!H63,'26.08 Musita-Lumino-24h'!H63)</f>
        <v>0</v>
      </c>
      <c r="I63" s="49">
        <f>AVERAGE('23.08 Musita-Lumino-24h'!I63,'26.08 Musita-Lumino-24h'!I63)</f>
        <v>1</v>
      </c>
      <c r="J63" s="49">
        <f>AVERAGE('23.08 Musita-Lumino-24h'!J63,'26.08 Musita-Lumino-24h'!J63)</f>
        <v>3</v>
      </c>
      <c r="K63" s="49">
        <f>AVERAGE('23.08 Musita-Lumino-24h'!K63,'26.08 Musita-Lumino-24h'!K63)</f>
        <v>0.5</v>
      </c>
      <c r="L63" s="49">
        <f>AVERAGE('23.08 Musita-Lumino-24h'!L63,'26.08 Musita-Lumino-24h'!L63)</f>
        <v>2.5</v>
      </c>
      <c r="M63" s="49">
        <f>AVERAGE('23.08 Musita-Lumino-24h'!M63,'26.08 Musita-Lumino-24h'!M63)</f>
        <v>31.5</v>
      </c>
      <c r="N63" s="49">
        <f>AVERAGE('23.08 Musita-Lumino-24h'!N63,'26.08 Musita-Lumino-24h'!N63)</f>
        <v>0</v>
      </c>
      <c r="O63" s="15">
        <f t="shared" si="0"/>
        <v>15.5</v>
      </c>
      <c r="P63" s="15">
        <f t="shared" si="1"/>
        <v>47</v>
      </c>
      <c r="R63" s="8"/>
      <c r="T63"/>
    </row>
    <row r="64" spans="2:20" ht="23.1" customHeight="1" x14ac:dyDescent="0.25">
      <c r="B64" s="23" t="s">
        <v>109</v>
      </c>
      <c r="C64" s="49">
        <f>AVERAGE('23.08 Musita-Lumino-24h'!C64,'26.08 Musita-Lumino-24h'!C64)</f>
        <v>1</v>
      </c>
      <c r="D64" s="49">
        <f>AVERAGE('23.08 Musita-Lumino-24h'!D64,'26.08 Musita-Lumino-24h'!D64)</f>
        <v>0</v>
      </c>
      <c r="E64" s="49">
        <f>AVERAGE('23.08 Musita-Lumino-24h'!E64,'26.08 Musita-Lumino-24h'!E64)</f>
        <v>0.5</v>
      </c>
      <c r="F64" s="49">
        <f>AVERAGE('23.08 Musita-Lumino-24h'!F64,'26.08 Musita-Lumino-24h'!F64)</f>
        <v>1</v>
      </c>
      <c r="G64" s="49">
        <f>AVERAGE('23.08 Musita-Lumino-24h'!G64,'26.08 Musita-Lumino-24h'!G64)</f>
        <v>0</v>
      </c>
      <c r="H64" s="49">
        <f>AVERAGE('23.08 Musita-Lumino-24h'!H64,'26.08 Musita-Lumino-24h'!H64)</f>
        <v>0</v>
      </c>
      <c r="I64" s="49">
        <f>AVERAGE('23.08 Musita-Lumino-24h'!I64,'26.08 Musita-Lumino-24h'!I64)</f>
        <v>1.5</v>
      </c>
      <c r="J64" s="49">
        <f>AVERAGE('23.08 Musita-Lumino-24h'!J64,'26.08 Musita-Lumino-24h'!J64)</f>
        <v>3</v>
      </c>
      <c r="K64" s="49">
        <f>AVERAGE('23.08 Musita-Lumino-24h'!K64,'26.08 Musita-Lumino-24h'!K64)</f>
        <v>0</v>
      </c>
      <c r="L64" s="49">
        <f>AVERAGE('23.08 Musita-Lumino-24h'!L64,'26.08 Musita-Lumino-24h'!L64)</f>
        <v>1.5</v>
      </c>
      <c r="M64" s="49">
        <f>AVERAGE('23.08 Musita-Lumino-24h'!M64,'26.08 Musita-Lumino-24h'!M64)</f>
        <v>24.5</v>
      </c>
      <c r="N64" s="49">
        <f>AVERAGE('23.08 Musita-Lumino-24h'!N64,'26.08 Musita-Lumino-24h'!N64)</f>
        <v>0</v>
      </c>
      <c r="O64" s="15">
        <f t="shared" si="0"/>
        <v>8.5</v>
      </c>
      <c r="P64" s="15">
        <f t="shared" si="1"/>
        <v>33</v>
      </c>
      <c r="R64" s="8"/>
      <c r="T64"/>
    </row>
    <row r="65" spans="2:20" ht="23.1" customHeight="1" x14ac:dyDescent="0.25">
      <c r="B65" s="23" t="s">
        <v>158</v>
      </c>
      <c r="C65" s="49">
        <f>AVERAGE('23.08 Musita-Lumino-24h'!C65,'26.08 Musita-Lumino-24h'!C65)</f>
        <v>5.5</v>
      </c>
      <c r="D65" s="49">
        <f>AVERAGE('23.08 Musita-Lumino-24h'!D65,'26.08 Musita-Lumino-24h'!D65)</f>
        <v>0.5</v>
      </c>
      <c r="E65" s="49">
        <f>AVERAGE('23.08 Musita-Lumino-24h'!E65,'26.08 Musita-Lumino-24h'!E65)</f>
        <v>0</v>
      </c>
      <c r="F65" s="49">
        <f>AVERAGE('23.08 Musita-Lumino-24h'!F65,'26.08 Musita-Lumino-24h'!F65)</f>
        <v>1</v>
      </c>
      <c r="G65" s="49">
        <f>AVERAGE('23.08 Musita-Lumino-24h'!G65,'26.08 Musita-Lumino-24h'!G65)</f>
        <v>0</v>
      </c>
      <c r="H65" s="49">
        <f>AVERAGE('23.08 Musita-Lumino-24h'!H65,'26.08 Musita-Lumino-24h'!H65)</f>
        <v>0</v>
      </c>
      <c r="I65" s="49">
        <f>AVERAGE('23.08 Musita-Lumino-24h'!I65,'26.08 Musita-Lumino-24h'!I65)</f>
        <v>2</v>
      </c>
      <c r="J65" s="49">
        <f>AVERAGE('23.08 Musita-Lumino-24h'!J65,'26.08 Musita-Lumino-24h'!J65)</f>
        <v>0</v>
      </c>
      <c r="K65" s="49">
        <f>AVERAGE('23.08 Musita-Lumino-24h'!K65,'26.08 Musita-Lumino-24h'!K65)</f>
        <v>0</v>
      </c>
      <c r="L65" s="49">
        <f>AVERAGE('23.08 Musita-Lumino-24h'!L65,'26.08 Musita-Lumino-24h'!L65)</f>
        <v>0</v>
      </c>
      <c r="M65" s="49">
        <f>AVERAGE('23.08 Musita-Lumino-24h'!M65,'26.08 Musita-Lumino-24h'!M65)</f>
        <v>28.5</v>
      </c>
      <c r="N65" s="49">
        <f>AVERAGE('23.08 Musita-Lumino-24h'!N65,'26.08 Musita-Lumino-24h'!N65)</f>
        <v>0</v>
      </c>
      <c r="O65" s="15">
        <f t="shared" si="0"/>
        <v>9</v>
      </c>
      <c r="P65" s="15">
        <f t="shared" si="1"/>
        <v>37.5</v>
      </c>
      <c r="R65" s="8"/>
      <c r="T65"/>
    </row>
    <row r="66" spans="2:20" ht="23.1" customHeight="1" x14ac:dyDescent="0.25">
      <c r="B66" s="23" t="s">
        <v>103</v>
      </c>
      <c r="C66" s="49">
        <f>AVERAGE('23.08 Musita-Lumino-24h'!C66,'26.08 Musita-Lumino-24h'!C66)</f>
        <v>1.5</v>
      </c>
      <c r="D66" s="49">
        <f>AVERAGE('23.08 Musita-Lumino-24h'!D66,'26.08 Musita-Lumino-24h'!D66)</f>
        <v>0</v>
      </c>
      <c r="E66" s="49">
        <f>AVERAGE('23.08 Musita-Lumino-24h'!E66,'26.08 Musita-Lumino-24h'!E66)</f>
        <v>0</v>
      </c>
      <c r="F66" s="49">
        <f>AVERAGE('23.08 Musita-Lumino-24h'!F66,'26.08 Musita-Lumino-24h'!F66)</f>
        <v>3.5</v>
      </c>
      <c r="G66" s="49">
        <f>AVERAGE('23.08 Musita-Lumino-24h'!G66,'26.08 Musita-Lumino-24h'!G66)</f>
        <v>1</v>
      </c>
      <c r="H66" s="49">
        <f>AVERAGE('23.08 Musita-Lumino-24h'!H66,'26.08 Musita-Lumino-24h'!H66)</f>
        <v>0</v>
      </c>
      <c r="I66" s="49">
        <f>AVERAGE('23.08 Musita-Lumino-24h'!I66,'26.08 Musita-Lumino-24h'!I66)</f>
        <v>0</v>
      </c>
      <c r="J66" s="49">
        <f>AVERAGE('23.08 Musita-Lumino-24h'!J66,'26.08 Musita-Lumino-24h'!J66)</f>
        <v>0.5</v>
      </c>
      <c r="K66" s="49">
        <f>AVERAGE('23.08 Musita-Lumino-24h'!K66,'26.08 Musita-Lumino-24h'!K66)</f>
        <v>0.5</v>
      </c>
      <c r="L66" s="49">
        <f>AVERAGE('23.08 Musita-Lumino-24h'!L66,'26.08 Musita-Lumino-24h'!L66)</f>
        <v>0.5</v>
      </c>
      <c r="M66" s="49">
        <f>AVERAGE('23.08 Musita-Lumino-24h'!M66,'26.08 Musita-Lumino-24h'!M66)</f>
        <v>14</v>
      </c>
      <c r="N66" s="49">
        <f>AVERAGE('23.08 Musita-Lumino-24h'!N66,'26.08 Musita-Lumino-24h'!N66)</f>
        <v>0</v>
      </c>
      <c r="O66" s="15">
        <f t="shared" si="0"/>
        <v>7.5</v>
      </c>
      <c r="P66" s="15">
        <f t="shared" si="1"/>
        <v>21.5</v>
      </c>
      <c r="R66" s="8"/>
      <c r="T66"/>
    </row>
    <row r="67" spans="2:20" ht="23.1" customHeight="1" x14ac:dyDescent="0.25">
      <c r="B67" s="23" t="s">
        <v>104</v>
      </c>
      <c r="C67" s="49">
        <f>AVERAGE('23.08 Musita-Lumino-24h'!C67,'26.08 Musita-Lumino-24h'!C67)</f>
        <v>2.5</v>
      </c>
      <c r="D67" s="49">
        <f>AVERAGE('23.08 Musita-Lumino-24h'!D67,'26.08 Musita-Lumino-24h'!D67)</f>
        <v>1.5</v>
      </c>
      <c r="E67" s="49">
        <f>AVERAGE('23.08 Musita-Lumino-24h'!E67,'26.08 Musita-Lumino-24h'!E67)</f>
        <v>0</v>
      </c>
      <c r="F67" s="49">
        <f>AVERAGE('23.08 Musita-Lumino-24h'!F67,'26.08 Musita-Lumino-24h'!F67)</f>
        <v>2.5</v>
      </c>
      <c r="G67" s="49">
        <f>AVERAGE('23.08 Musita-Lumino-24h'!G67,'26.08 Musita-Lumino-24h'!G67)</f>
        <v>0.5</v>
      </c>
      <c r="H67" s="49">
        <f>AVERAGE('23.08 Musita-Lumino-24h'!H67,'26.08 Musita-Lumino-24h'!H67)</f>
        <v>0</v>
      </c>
      <c r="I67" s="49">
        <f>AVERAGE('23.08 Musita-Lumino-24h'!I67,'26.08 Musita-Lumino-24h'!I67)</f>
        <v>0</v>
      </c>
      <c r="J67" s="49">
        <f>AVERAGE('23.08 Musita-Lumino-24h'!J67,'26.08 Musita-Lumino-24h'!J67)</f>
        <v>0</v>
      </c>
      <c r="K67" s="49">
        <f>AVERAGE('23.08 Musita-Lumino-24h'!K67,'26.08 Musita-Lumino-24h'!K67)</f>
        <v>0.5</v>
      </c>
      <c r="L67" s="49">
        <f>AVERAGE('23.08 Musita-Lumino-24h'!L67,'26.08 Musita-Lumino-24h'!L67)</f>
        <v>1.5</v>
      </c>
      <c r="M67" s="49">
        <f>AVERAGE('23.08 Musita-Lumino-24h'!M67,'26.08 Musita-Lumino-24h'!M67)</f>
        <v>8.5</v>
      </c>
      <c r="N67" s="49">
        <f>AVERAGE('23.08 Musita-Lumino-24h'!N67,'26.08 Musita-Lumino-24h'!N67)</f>
        <v>0</v>
      </c>
      <c r="O67" s="15">
        <f t="shared" si="0"/>
        <v>9</v>
      </c>
      <c r="P67" s="15">
        <f t="shared" si="1"/>
        <v>17.5</v>
      </c>
      <c r="R67" s="8"/>
      <c r="T67"/>
    </row>
    <row r="68" spans="2:20" ht="23.1" customHeight="1" x14ac:dyDescent="0.25">
      <c r="B68" s="23" t="s">
        <v>105</v>
      </c>
      <c r="C68" s="49">
        <f>AVERAGE('23.08 Musita-Lumino-24h'!C68,'26.08 Musita-Lumino-24h'!C68)</f>
        <v>1.5</v>
      </c>
      <c r="D68" s="49">
        <f>AVERAGE('23.08 Musita-Lumino-24h'!D68,'26.08 Musita-Lumino-24h'!D68)</f>
        <v>0</v>
      </c>
      <c r="E68" s="49">
        <f>AVERAGE('23.08 Musita-Lumino-24h'!E68,'26.08 Musita-Lumino-24h'!E68)</f>
        <v>0</v>
      </c>
      <c r="F68" s="49">
        <f>AVERAGE('23.08 Musita-Lumino-24h'!F68,'26.08 Musita-Lumino-24h'!F68)</f>
        <v>1</v>
      </c>
      <c r="G68" s="49">
        <f>AVERAGE('23.08 Musita-Lumino-24h'!G68,'26.08 Musita-Lumino-24h'!G68)</f>
        <v>0</v>
      </c>
      <c r="H68" s="49">
        <f>AVERAGE('23.08 Musita-Lumino-24h'!H68,'26.08 Musita-Lumino-24h'!H68)</f>
        <v>0.5</v>
      </c>
      <c r="I68" s="49">
        <f>AVERAGE('23.08 Musita-Lumino-24h'!I68,'26.08 Musita-Lumino-24h'!I68)</f>
        <v>1</v>
      </c>
      <c r="J68" s="49">
        <f>AVERAGE('23.08 Musita-Lumino-24h'!J68,'26.08 Musita-Lumino-24h'!J68)</f>
        <v>1.5</v>
      </c>
      <c r="K68" s="49">
        <f>AVERAGE('23.08 Musita-Lumino-24h'!K68,'26.08 Musita-Lumino-24h'!K68)</f>
        <v>0</v>
      </c>
      <c r="L68" s="49">
        <f>AVERAGE('23.08 Musita-Lumino-24h'!L68,'26.08 Musita-Lumino-24h'!L68)</f>
        <v>3.5</v>
      </c>
      <c r="M68" s="49">
        <f>AVERAGE('23.08 Musita-Lumino-24h'!M68,'26.08 Musita-Lumino-24h'!M68)</f>
        <v>7</v>
      </c>
      <c r="N68" s="49">
        <f>AVERAGE('23.08 Musita-Lumino-24h'!N68,'26.08 Musita-Lumino-24h'!N68)</f>
        <v>0</v>
      </c>
      <c r="O68" s="15">
        <f t="shared" si="0"/>
        <v>9</v>
      </c>
      <c r="P68" s="15">
        <f t="shared" si="1"/>
        <v>16</v>
      </c>
      <c r="R68" s="8"/>
      <c r="T68"/>
    </row>
    <row r="69" spans="2:20" ht="23.1" customHeight="1" x14ac:dyDescent="0.25">
      <c r="B69" s="23" t="s">
        <v>106</v>
      </c>
      <c r="C69" s="49">
        <f>AVERAGE('23.08 Musita-Lumino-24h'!C69,'26.08 Musita-Lumino-24h'!C69)</f>
        <v>0</v>
      </c>
      <c r="D69" s="49">
        <f>AVERAGE('23.08 Musita-Lumino-24h'!D69,'26.08 Musita-Lumino-24h'!D69)</f>
        <v>0</v>
      </c>
      <c r="E69" s="49">
        <f>AVERAGE('23.08 Musita-Lumino-24h'!E69,'26.08 Musita-Lumino-24h'!E69)</f>
        <v>0</v>
      </c>
      <c r="F69" s="49">
        <f>AVERAGE('23.08 Musita-Lumino-24h'!F69,'26.08 Musita-Lumino-24h'!F69)</f>
        <v>1.5</v>
      </c>
      <c r="G69" s="49">
        <f>AVERAGE('23.08 Musita-Lumino-24h'!G69,'26.08 Musita-Lumino-24h'!G69)</f>
        <v>0</v>
      </c>
      <c r="H69" s="49">
        <f>AVERAGE('23.08 Musita-Lumino-24h'!H69,'26.08 Musita-Lumino-24h'!H69)</f>
        <v>0</v>
      </c>
      <c r="I69" s="49">
        <f>AVERAGE('23.08 Musita-Lumino-24h'!I69,'26.08 Musita-Lumino-24h'!I69)</f>
        <v>0</v>
      </c>
      <c r="J69" s="49">
        <f>AVERAGE('23.08 Musita-Lumino-24h'!J69,'26.08 Musita-Lumino-24h'!J69)</f>
        <v>0</v>
      </c>
      <c r="K69" s="49">
        <f>AVERAGE('23.08 Musita-Lumino-24h'!K69,'26.08 Musita-Lumino-24h'!K69)</f>
        <v>0</v>
      </c>
      <c r="L69" s="49">
        <f>AVERAGE('23.08 Musita-Lumino-24h'!L69,'26.08 Musita-Lumino-24h'!L69)</f>
        <v>7.5</v>
      </c>
      <c r="M69" s="49">
        <f>AVERAGE('23.08 Musita-Lumino-24h'!M69,'26.08 Musita-Lumino-24h'!M69)</f>
        <v>12.5</v>
      </c>
      <c r="N69" s="49">
        <f>AVERAGE('23.08 Musita-Lumino-24h'!N69,'26.08 Musita-Lumino-24h'!N69)</f>
        <v>0</v>
      </c>
      <c r="O69" s="15">
        <f t="shared" si="0"/>
        <v>9</v>
      </c>
      <c r="P69" s="15">
        <f t="shared" si="1"/>
        <v>21.5</v>
      </c>
      <c r="R69" s="8"/>
      <c r="T69"/>
    </row>
    <row r="70" spans="2:20" ht="23.1" customHeight="1" x14ac:dyDescent="0.25">
      <c r="B70" s="23" t="s">
        <v>110</v>
      </c>
      <c r="C70" s="49">
        <f>AVERAGE('23.08 Musita-Lumino-24h'!C70,'26.08 Musita-Lumino-24h'!C70)</f>
        <v>0</v>
      </c>
      <c r="D70" s="49">
        <f>AVERAGE('23.08 Musita-Lumino-24h'!D70,'26.08 Musita-Lumino-24h'!D70)</f>
        <v>0</v>
      </c>
      <c r="E70" s="49">
        <f>AVERAGE('23.08 Musita-Lumino-24h'!E70,'26.08 Musita-Lumino-24h'!E70)</f>
        <v>0</v>
      </c>
      <c r="F70" s="49">
        <f>AVERAGE('23.08 Musita-Lumino-24h'!F70,'26.08 Musita-Lumino-24h'!F70)</f>
        <v>1</v>
      </c>
      <c r="G70" s="49">
        <f>AVERAGE('23.08 Musita-Lumino-24h'!G70,'26.08 Musita-Lumino-24h'!G70)</f>
        <v>1.5</v>
      </c>
      <c r="H70" s="49">
        <f>AVERAGE('23.08 Musita-Lumino-24h'!H70,'26.08 Musita-Lumino-24h'!H70)</f>
        <v>0</v>
      </c>
      <c r="I70" s="49">
        <f>AVERAGE('23.08 Musita-Lumino-24h'!I70,'26.08 Musita-Lumino-24h'!I70)</f>
        <v>1.5</v>
      </c>
      <c r="J70" s="49">
        <f>AVERAGE('23.08 Musita-Lumino-24h'!J70,'26.08 Musita-Lumino-24h'!J70)</f>
        <v>2.5</v>
      </c>
      <c r="K70" s="49">
        <f>AVERAGE('23.08 Musita-Lumino-24h'!K70,'26.08 Musita-Lumino-24h'!K70)</f>
        <v>1</v>
      </c>
      <c r="L70" s="49">
        <f>AVERAGE('23.08 Musita-Lumino-24h'!L70,'26.08 Musita-Lumino-24h'!L70)</f>
        <v>0</v>
      </c>
      <c r="M70" s="49">
        <f>AVERAGE('23.08 Musita-Lumino-24h'!M70,'26.08 Musita-Lumino-24h'!M70)</f>
        <v>6.5</v>
      </c>
      <c r="N70" s="49">
        <f>AVERAGE('23.08 Musita-Lumino-24h'!N70,'26.08 Musita-Lumino-24h'!N70)</f>
        <v>0</v>
      </c>
      <c r="O70" s="15">
        <f t="shared" si="0"/>
        <v>7.5</v>
      </c>
      <c r="P70" s="15">
        <f t="shared" si="1"/>
        <v>14</v>
      </c>
      <c r="R70" s="8"/>
      <c r="T70"/>
    </row>
    <row r="71" spans="2:20" ht="23.1" customHeight="1" x14ac:dyDescent="0.25">
      <c r="B71" s="23" t="s">
        <v>111</v>
      </c>
      <c r="C71" s="49">
        <f>AVERAGE('23.08 Musita-Lumino-24h'!C71,'26.08 Musita-Lumino-24h'!C71)</f>
        <v>2.5</v>
      </c>
      <c r="D71" s="49">
        <f>AVERAGE('23.08 Musita-Lumino-24h'!D71,'26.08 Musita-Lumino-24h'!D71)</f>
        <v>0</v>
      </c>
      <c r="E71" s="49">
        <f>AVERAGE('23.08 Musita-Lumino-24h'!E71,'26.08 Musita-Lumino-24h'!E71)</f>
        <v>0</v>
      </c>
      <c r="F71" s="49">
        <f>AVERAGE('23.08 Musita-Lumino-24h'!F71,'26.08 Musita-Lumino-24h'!F71)</f>
        <v>0</v>
      </c>
      <c r="G71" s="49">
        <f>AVERAGE('23.08 Musita-Lumino-24h'!G71,'26.08 Musita-Lumino-24h'!G71)</f>
        <v>0</v>
      </c>
      <c r="H71" s="49">
        <f>AVERAGE('23.08 Musita-Lumino-24h'!H71,'26.08 Musita-Lumino-24h'!H71)</f>
        <v>0</v>
      </c>
      <c r="I71" s="49">
        <f>AVERAGE('23.08 Musita-Lumino-24h'!I71,'26.08 Musita-Lumino-24h'!I71)</f>
        <v>0</v>
      </c>
      <c r="J71" s="49">
        <f>AVERAGE('23.08 Musita-Lumino-24h'!J71,'26.08 Musita-Lumino-24h'!J71)</f>
        <v>2</v>
      </c>
      <c r="K71" s="49">
        <f>AVERAGE('23.08 Musita-Lumino-24h'!K71,'26.08 Musita-Lumino-24h'!K71)</f>
        <v>0</v>
      </c>
      <c r="L71" s="49">
        <f>AVERAGE('23.08 Musita-Lumino-24h'!L71,'26.08 Musita-Lumino-24h'!L71)</f>
        <v>0</v>
      </c>
      <c r="M71" s="49">
        <f>AVERAGE('23.08 Musita-Lumino-24h'!M71,'26.08 Musita-Lumino-24h'!M71)</f>
        <v>10.5</v>
      </c>
      <c r="N71" s="49">
        <f>AVERAGE('23.08 Musita-Lumino-24h'!N71,'26.08 Musita-Lumino-24h'!N71)</f>
        <v>0</v>
      </c>
      <c r="O71" s="15">
        <f t="shared" si="0"/>
        <v>4.5</v>
      </c>
      <c r="P71" s="15">
        <f t="shared" si="1"/>
        <v>15</v>
      </c>
      <c r="R71" s="8"/>
      <c r="T71"/>
    </row>
    <row r="72" spans="2:20" ht="23.1" customHeight="1" x14ac:dyDescent="0.25">
      <c r="B72" s="23" t="s">
        <v>112</v>
      </c>
      <c r="C72" s="49">
        <f>AVERAGE('23.08 Musita-Lumino-24h'!C72,'26.08 Musita-Lumino-24h'!C72)</f>
        <v>3</v>
      </c>
      <c r="D72" s="49">
        <f>AVERAGE('23.08 Musita-Lumino-24h'!D72,'26.08 Musita-Lumino-24h'!D72)</f>
        <v>0</v>
      </c>
      <c r="E72" s="49">
        <f>AVERAGE('23.08 Musita-Lumino-24h'!E72,'26.08 Musita-Lumino-24h'!E72)</f>
        <v>0</v>
      </c>
      <c r="F72" s="49">
        <f>AVERAGE('23.08 Musita-Lumino-24h'!F72,'26.08 Musita-Lumino-24h'!F72)</f>
        <v>0</v>
      </c>
      <c r="G72" s="49">
        <f>AVERAGE('23.08 Musita-Lumino-24h'!G72,'26.08 Musita-Lumino-24h'!G72)</f>
        <v>0</v>
      </c>
      <c r="H72" s="49">
        <f>AVERAGE('23.08 Musita-Lumino-24h'!H72,'26.08 Musita-Lumino-24h'!H72)</f>
        <v>0</v>
      </c>
      <c r="I72" s="49">
        <f>AVERAGE('23.08 Musita-Lumino-24h'!I72,'26.08 Musita-Lumino-24h'!I72)</f>
        <v>0</v>
      </c>
      <c r="J72" s="49">
        <f>AVERAGE('23.08 Musita-Lumino-24h'!J72,'26.08 Musita-Lumino-24h'!J72)</f>
        <v>5</v>
      </c>
      <c r="K72" s="49">
        <f>AVERAGE('23.08 Musita-Lumino-24h'!K72,'26.08 Musita-Lumino-24h'!K72)</f>
        <v>1</v>
      </c>
      <c r="L72" s="49">
        <f>AVERAGE('23.08 Musita-Lumino-24h'!L72,'26.08 Musita-Lumino-24h'!L72)</f>
        <v>0</v>
      </c>
      <c r="M72" s="49">
        <f>AVERAGE('23.08 Musita-Lumino-24h'!M72,'26.08 Musita-Lumino-24h'!M72)</f>
        <v>6.5</v>
      </c>
      <c r="N72" s="49">
        <f>AVERAGE('23.08 Musita-Lumino-24h'!N72,'26.08 Musita-Lumino-24h'!N72)</f>
        <v>0</v>
      </c>
      <c r="O72" s="15">
        <f t="shared" si="0"/>
        <v>9</v>
      </c>
      <c r="P72" s="15">
        <f t="shared" si="1"/>
        <v>15.5</v>
      </c>
      <c r="R72" s="8"/>
      <c r="T72"/>
    </row>
    <row r="73" spans="2:20" ht="23.1" customHeight="1" x14ac:dyDescent="0.25">
      <c r="B73" s="23" t="s">
        <v>113</v>
      </c>
      <c r="C73" s="49">
        <f>AVERAGE('23.08 Musita-Lumino-24h'!C73,'26.08 Musita-Lumino-24h'!C73)</f>
        <v>7</v>
      </c>
      <c r="D73" s="49">
        <f>AVERAGE('23.08 Musita-Lumino-24h'!D73,'26.08 Musita-Lumino-24h'!D73)</f>
        <v>5</v>
      </c>
      <c r="E73" s="49">
        <f>AVERAGE('23.08 Musita-Lumino-24h'!E73,'26.08 Musita-Lumino-24h'!E73)</f>
        <v>0</v>
      </c>
      <c r="F73" s="49">
        <f>AVERAGE('23.08 Musita-Lumino-24h'!F73,'26.08 Musita-Lumino-24h'!F73)</f>
        <v>2.5</v>
      </c>
      <c r="G73" s="49">
        <f>AVERAGE('23.08 Musita-Lumino-24h'!G73,'26.08 Musita-Lumino-24h'!G73)</f>
        <v>0</v>
      </c>
      <c r="H73" s="49">
        <f>AVERAGE('23.08 Musita-Lumino-24h'!H73,'26.08 Musita-Lumino-24h'!H73)</f>
        <v>0</v>
      </c>
      <c r="I73" s="49">
        <f>AVERAGE('23.08 Musita-Lumino-24h'!I73,'26.08 Musita-Lumino-24h'!I73)</f>
        <v>0</v>
      </c>
      <c r="J73" s="49">
        <f>AVERAGE('23.08 Musita-Lumino-24h'!J73,'26.08 Musita-Lumino-24h'!J73)</f>
        <v>1</v>
      </c>
      <c r="K73" s="49">
        <f>AVERAGE('23.08 Musita-Lumino-24h'!K73,'26.08 Musita-Lumino-24h'!K73)</f>
        <v>0</v>
      </c>
      <c r="L73" s="49">
        <f>AVERAGE('23.08 Musita-Lumino-24h'!L73,'26.08 Musita-Lumino-24h'!L73)</f>
        <v>0</v>
      </c>
      <c r="M73" s="49">
        <f>AVERAGE('23.08 Musita-Lumino-24h'!M73,'26.08 Musita-Lumino-24h'!M73)</f>
        <v>9</v>
      </c>
      <c r="N73" s="49">
        <f>AVERAGE('23.08 Musita-Lumino-24h'!N73,'26.08 Musita-Lumino-24h'!N73)</f>
        <v>0</v>
      </c>
      <c r="O73" s="15">
        <f t="shared" si="0"/>
        <v>15.5</v>
      </c>
      <c r="P73" s="15">
        <f t="shared" si="1"/>
        <v>24.5</v>
      </c>
      <c r="R73" s="8"/>
      <c r="T73"/>
    </row>
    <row r="74" spans="2:20" ht="23.1" customHeight="1" x14ac:dyDescent="0.25">
      <c r="B74" s="23" t="s">
        <v>114</v>
      </c>
      <c r="C74" s="49">
        <f>AVERAGE('23.08 Musita-Lumino-24h'!C74,'26.08 Musita-Lumino-24h'!C74)</f>
        <v>1</v>
      </c>
      <c r="D74" s="49">
        <f>AVERAGE('23.08 Musita-Lumino-24h'!D74,'26.08 Musita-Lumino-24h'!D74)</f>
        <v>0</v>
      </c>
      <c r="E74" s="49">
        <f>AVERAGE('23.08 Musita-Lumino-24h'!E74,'26.08 Musita-Lumino-24h'!E74)</f>
        <v>0</v>
      </c>
      <c r="F74" s="49">
        <f>AVERAGE('23.08 Musita-Lumino-24h'!F74,'26.08 Musita-Lumino-24h'!F74)</f>
        <v>0</v>
      </c>
      <c r="G74" s="49">
        <f>AVERAGE('23.08 Musita-Lumino-24h'!G74,'26.08 Musita-Lumino-24h'!G74)</f>
        <v>0</v>
      </c>
      <c r="H74" s="49">
        <f>AVERAGE('23.08 Musita-Lumino-24h'!H74,'26.08 Musita-Lumino-24h'!H74)</f>
        <v>0</v>
      </c>
      <c r="I74" s="49">
        <f>AVERAGE('23.08 Musita-Lumino-24h'!I74,'26.08 Musita-Lumino-24h'!I74)</f>
        <v>0</v>
      </c>
      <c r="J74" s="49">
        <f>AVERAGE('23.08 Musita-Lumino-24h'!J74,'26.08 Musita-Lumino-24h'!J74)</f>
        <v>0.5</v>
      </c>
      <c r="K74" s="49">
        <f>AVERAGE('23.08 Musita-Lumino-24h'!K74,'26.08 Musita-Lumino-24h'!K74)</f>
        <v>0</v>
      </c>
      <c r="L74" s="49">
        <f>AVERAGE('23.08 Musita-Lumino-24h'!L74,'26.08 Musita-Lumino-24h'!L74)</f>
        <v>0</v>
      </c>
      <c r="M74" s="49">
        <f>AVERAGE('23.08 Musita-Lumino-24h'!M74,'26.08 Musita-Lumino-24h'!M74)</f>
        <v>12.5</v>
      </c>
      <c r="N74" s="49">
        <f>AVERAGE('23.08 Musita-Lumino-24h'!N74,'26.08 Musita-Lumino-24h'!N74)</f>
        <v>0</v>
      </c>
      <c r="O74" s="15">
        <f t="shared" ref="O74:O105" si="35">SUM(C74:L74,N74)</f>
        <v>1.5</v>
      </c>
      <c r="P74" s="15">
        <f t="shared" ref="P74:P105" si="36">SUM(C74:N74)</f>
        <v>14</v>
      </c>
      <c r="R74" s="8"/>
      <c r="T74"/>
    </row>
    <row r="75" spans="2:20" ht="23.1" customHeight="1" x14ac:dyDescent="0.25">
      <c r="B75" s="23" t="s">
        <v>115</v>
      </c>
      <c r="C75" s="49">
        <f>AVERAGE('23.08 Musita-Lumino-24h'!C75,'26.08 Musita-Lumino-24h'!C75)</f>
        <v>1</v>
      </c>
      <c r="D75" s="49">
        <f>AVERAGE('23.08 Musita-Lumino-24h'!D75,'26.08 Musita-Lumino-24h'!D75)</f>
        <v>3.5</v>
      </c>
      <c r="E75" s="49">
        <f>AVERAGE('23.08 Musita-Lumino-24h'!E75,'26.08 Musita-Lumino-24h'!E75)</f>
        <v>0</v>
      </c>
      <c r="F75" s="49">
        <f>AVERAGE('23.08 Musita-Lumino-24h'!F75,'26.08 Musita-Lumino-24h'!F75)</f>
        <v>0</v>
      </c>
      <c r="G75" s="49">
        <f>AVERAGE('23.08 Musita-Lumino-24h'!G75,'26.08 Musita-Lumino-24h'!G75)</f>
        <v>0</v>
      </c>
      <c r="H75" s="49">
        <f>AVERAGE('23.08 Musita-Lumino-24h'!H75,'26.08 Musita-Lumino-24h'!H75)</f>
        <v>0</v>
      </c>
      <c r="I75" s="49">
        <f>AVERAGE('23.08 Musita-Lumino-24h'!I75,'26.08 Musita-Lumino-24h'!I75)</f>
        <v>0</v>
      </c>
      <c r="J75" s="49">
        <f>AVERAGE('23.08 Musita-Lumino-24h'!J75,'26.08 Musita-Lumino-24h'!J75)</f>
        <v>2.5</v>
      </c>
      <c r="K75" s="49">
        <f>AVERAGE('23.08 Musita-Lumino-24h'!K75,'26.08 Musita-Lumino-24h'!K75)</f>
        <v>0</v>
      </c>
      <c r="L75" s="49">
        <f>AVERAGE('23.08 Musita-Lumino-24h'!L75,'26.08 Musita-Lumino-24h'!L75)</f>
        <v>0</v>
      </c>
      <c r="M75" s="49">
        <f>AVERAGE('23.08 Musita-Lumino-24h'!M75,'26.08 Musita-Lumino-24h'!M75)</f>
        <v>6</v>
      </c>
      <c r="N75" s="49">
        <f>AVERAGE('23.08 Musita-Lumino-24h'!N75,'26.08 Musita-Lumino-24h'!N75)</f>
        <v>0</v>
      </c>
      <c r="O75" s="15">
        <f t="shared" si="35"/>
        <v>7</v>
      </c>
      <c r="P75" s="15">
        <f t="shared" si="36"/>
        <v>13</v>
      </c>
      <c r="R75" s="8"/>
      <c r="T75"/>
    </row>
    <row r="76" spans="2:20" ht="23.1" customHeight="1" x14ac:dyDescent="0.25">
      <c r="B76" s="23" t="s">
        <v>116</v>
      </c>
      <c r="C76" s="49">
        <f>AVERAGE('23.08 Musita-Lumino-24h'!C76,'26.08 Musita-Lumino-24h'!C76)</f>
        <v>0</v>
      </c>
      <c r="D76" s="49">
        <f>AVERAGE('23.08 Musita-Lumino-24h'!D76,'26.08 Musita-Lumino-24h'!D76)</f>
        <v>0.5</v>
      </c>
      <c r="E76" s="49">
        <f>AVERAGE('23.08 Musita-Lumino-24h'!E76,'26.08 Musita-Lumino-24h'!E76)</f>
        <v>0</v>
      </c>
      <c r="F76" s="49">
        <f>AVERAGE('23.08 Musita-Lumino-24h'!F76,'26.08 Musita-Lumino-24h'!F76)</f>
        <v>0</v>
      </c>
      <c r="G76" s="49">
        <f>AVERAGE('23.08 Musita-Lumino-24h'!G76,'26.08 Musita-Lumino-24h'!G76)</f>
        <v>0</v>
      </c>
      <c r="H76" s="49">
        <f>AVERAGE('23.08 Musita-Lumino-24h'!H76,'26.08 Musita-Lumino-24h'!H76)</f>
        <v>0</v>
      </c>
      <c r="I76" s="49">
        <f>AVERAGE('23.08 Musita-Lumino-24h'!I76,'26.08 Musita-Lumino-24h'!I76)</f>
        <v>0</v>
      </c>
      <c r="J76" s="49">
        <f>AVERAGE('23.08 Musita-Lumino-24h'!J76,'26.08 Musita-Lumino-24h'!J76)</f>
        <v>0</v>
      </c>
      <c r="K76" s="49">
        <f>AVERAGE('23.08 Musita-Lumino-24h'!K76,'26.08 Musita-Lumino-24h'!K76)</f>
        <v>0</v>
      </c>
      <c r="L76" s="49">
        <f>AVERAGE('23.08 Musita-Lumino-24h'!L76,'26.08 Musita-Lumino-24h'!L76)</f>
        <v>0</v>
      </c>
      <c r="M76" s="49">
        <f>AVERAGE('23.08 Musita-Lumino-24h'!M76,'26.08 Musita-Lumino-24h'!M76)</f>
        <v>9.5</v>
      </c>
      <c r="N76" s="49">
        <f>AVERAGE('23.08 Musita-Lumino-24h'!N76,'26.08 Musita-Lumino-24h'!N76)</f>
        <v>0</v>
      </c>
      <c r="O76" s="15">
        <f t="shared" si="35"/>
        <v>0.5</v>
      </c>
      <c r="P76" s="15">
        <f t="shared" si="36"/>
        <v>10</v>
      </c>
      <c r="R76" s="8"/>
      <c r="T76"/>
    </row>
    <row r="77" spans="2:20" ht="23.1" customHeight="1" x14ac:dyDescent="0.25">
      <c r="B77" s="23" t="s">
        <v>117</v>
      </c>
      <c r="C77" s="49">
        <f>AVERAGE('23.08 Musita-Lumino-24h'!C77,'26.08 Musita-Lumino-24h'!C77)</f>
        <v>0</v>
      </c>
      <c r="D77" s="49">
        <f>AVERAGE('23.08 Musita-Lumino-24h'!D77,'26.08 Musita-Lumino-24h'!D77)</f>
        <v>1.5</v>
      </c>
      <c r="E77" s="49">
        <f>AVERAGE('23.08 Musita-Lumino-24h'!E77,'26.08 Musita-Lumino-24h'!E77)</f>
        <v>0</v>
      </c>
      <c r="F77" s="49">
        <f>AVERAGE('23.08 Musita-Lumino-24h'!F77,'26.08 Musita-Lumino-24h'!F77)</f>
        <v>0</v>
      </c>
      <c r="G77" s="49">
        <f>AVERAGE('23.08 Musita-Lumino-24h'!G77,'26.08 Musita-Lumino-24h'!G77)</f>
        <v>0</v>
      </c>
      <c r="H77" s="49">
        <f>AVERAGE('23.08 Musita-Lumino-24h'!H77,'26.08 Musita-Lumino-24h'!H77)</f>
        <v>0</v>
      </c>
      <c r="I77" s="49">
        <f>AVERAGE('23.08 Musita-Lumino-24h'!I77,'26.08 Musita-Lumino-24h'!I77)</f>
        <v>1</v>
      </c>
      <c r="J77" s="49">
        <f>AVERAGE('23.08 Musita-Lumino-24h'!J77,'26.08 Musita-Lumino-24h'!J77)</f>
        <v>0</v>
      </c>
      <c r="K77" s="49">
        <f>AVERAGE('23.08 Musita-Lumino-24h'!K77,'26.08 Musita-Lumino-24h'!K77)</f>
        <v>0</v>
      </c>
      <c r="L77" s="49">
        <f>AVERAGE('23.08 Musita-Lumino-24h'!L77,'26.08 Musita-Lumino-24h'!L77)</f>
        <v>0</v>
      </c>
      <c r="M77" s="49">
        <f>AVERAGE('23.08 Musita-Lumino-24h'!M77,'26.08 Musita-Lumino-24h'!M77)</f>
        <v>1.5</v>
      </c>
      <c r="N77" s="49">
        <f>AVERAGE('23.08 Musita-Lumino-24h'!N77,'26.08 Musita-Lumino-24h'!N77)</f>
        <v>0</v>
      </c>
      <c r="O77" s="15">
        <f t="shared" si="35"/>
        <v>2.5</v>
      </c>
      <c r="P77" s="15">
        <f t="shared" si="36"/>
        <v>4</v>
      </c>
      <c r="R77" s="8"/>
      <c r="T77"/>
    </row>
    <row r="78" spans="2:20" ht="23.1" customHeight="1" x14ac:dyDescent="0.25">
      <c r="B78" s="24" t="s">
        <v>118</v>
      </c>
      <c r="C78" s="49">
        <f>AVERAGE('23.08 Musita-Lumino-24h'!C78,'26.08 Musita-Lumino-24h'!C78)</f>
        <v>1</v>
      </c>
      <c r="D78" s="49">
        <f>AVERAGE('23.08 Musita-Lumino-24h'!D78,'26.08 Musita-Lumino-24h'!D78)</f>
        <v>0</v>
      </c>
      <c r="E78" s="49">
        <f>AVERAGE('23.08 Musita-Lumino-24h'!E78,'26.08 Musita-Lumino-24h'!E78)</f>
        <v>0</v>
      </c>
      <c r="F78" s="49">
        <f>AVERAGE('23.08 Musita-Lumino-24h'!F78,'26.08 Musita-Lumino-24h'!F78)</f>
        <v>0</v>
      </c>
      <c r="G78" s="49">
        <f>AVERAGE('23.08 Musita-Lumino-24h'!G78,'26.08 Musita-Lumino-24h'!G78)</f>
        <v>0</v>
      </c>
      <c r="H78" s="49">
        <f>AVERAGE('23.08 Musita-Lumino-24h'!H78,'26.08 Musita-Lumino-24h'!H78)</f>
        <v>0</v>
      </c>
      <c r="I78" s="49">
        <f>AVERAGE('23.08 Musita-Lumino-24h'!I78,'26.08 Musita-Lumino-24h'!I78)</f>
        <v>0</v>
      </c>
      <c r="J78" s="49">
        <f>AVERAGE('23.08 Musita-Lumino-24h'!J78,'26.08 Musita-Lumino-24h'!J78)</f>
        <v>3</v>
      </c>
      <c r="K78" s="49">
        <f>AVERAGE('23.08 Musita-Lumino-24h'!K78,'26.08 Musita-Lumino-24h'!K78)</f>
        <v>0</v>
      </c>
      <c r="L78" s="49">
        <f>AVERAGE('23.08 Musita-Lumino-24h'!L78,'26.08 Musita-Lumino-24h'!L78)</f>
        <v>0</v>
      </c>
      <c r="M78" s="49">
        <f>AVERAGE('23.08 Musita-Lumino-24h'!M78,'26.08 Musita-Lumino-24h'!M78)</f>
        <v>0</v>
      </c>
      <c r="N78" s="49">
        <f>AVERAGE('23.08 Musita-Lumino-24h'!N78,'26.08 Musita-Lumino-24h'!N78)</f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23" t="s">
        <v>119</v>
      </c>
      <c r="C79" s="49">
        <f>AVERAGE('23.08 Musita-Lumino-24h'!C79,'26.08 Musita-Lumino-24h'!C79)</f>
        <v>1</v>
      </c>
      <c r="D79" s="49">
        <f>AVERAGE('23.08 Musita-Lumino-24h'!D79,'26.08 Musita-Lumino-24h'!D79)</f>
        <v>0</v>
      </c>
      <c r="E79" s="49">
        <f>AVERAGE('23.08 Musita-Lumino-24h'!E79,'26.08 Musita-Lumino-24h'!E79)</f>
        <v>0</v>
      </c>
      <c r="F79" s="49">
        <f>AVERAGE('23.08 Musita-Lumino-24h'!F79,'26.08 Musita-Lumino-24h'!F79)</f>
        <v>0</v>
      </c>
      <c r="G79" s="49">
        <f>AVERAGE('23.08 Musita-Lumino-24h'!G79,'26.08 Musita-Lumino-24h'!G79)</f>
        <v>0</v>
      </c>
      <c r="H79" s="49">
        <f>AVERAGE('23.08 Musita-Lumino-24h'!H79,'26.08 Musita-Lumino-24h'!H79)</f>
        <v>0</v>
      </c>
      <c r="I79" s="49">
        <f>AVERAGE('23.08 Musita-Lumino-24h'!I79,'26.08 Musita-Lumino-24h'!I79)</f>
        <v>1.5</v>
      </c>
      <c r="J79" s="49">
        <f>AVERAGE('23.08 Musita-Lumino-24h'!J79,'26.08 Musita-Lumino-24h'!J79)</f>
        <v>0</v>
      </c>
      <c r="K79" s="49">
        <f>AVERAGE('23.08 Musita-Lumino-24h'!K79,'26.08 Musita-Lumino-24h'!K79)</f>
        <v>0</v>
      </c>
      <c r="L79" s="49">
        <f>AVERAGE('23.08 Musita-Lumino-24h'!L79,'26.08 Musita-Lumino-24h'!L79)</f>
        <v>0</v>
      </c>
      <c r="M79" s="49">
        <f>AVERAGE('23.08 Musita-Lumino-24h'!M79,'26.08 Musita-Lumino-24h'!M79)</f>
        <v>2</v>
      </c>
      <c r="N79" s="49">
        <f>AVERAGE('23.08 Musita-Lumino-24h'!N79,'26.08 Musita-Lumino-24h'!N79)</f>
        <v>0</v>
      </c>
      <c r="O79" s="15">
        <f t="shared" si="35"/>
        <v>2.5</v>
      </c>
      <c r="P79" s="15">
        <f t="shared" si="36"/>
        <v>4.5</v>
      </c>
      <c r="R79" s="8"/>
      <c r="T79"/>
    </row>
    <row r="80" spans="2:20" ht="23.1" customHeight="1" x14ac:dyDescent="0.25">
      <c r="B80" s="25" t="s">
        <v>120</v>
      </c>
      <c r="C80" s="49">
        <f>AVERAGE('23.08 Musita-Lumino-24h'!C80,'26.08 Musita-Lumino-24h'!C80)</f>
        <v>0</v>
      </c>
      <c r="D80" s="49">
        <f>AVERAGE('23.08 Musita-Lumino-24h'!D80,'26.08 Musita-Lumino-24h'!D80)</f>
        <v>0</v>
      </c>
      <c r="E80" s="49">
        <f>AVERAGE('23.08 Musita-Lumino-24h'!E80,'26.08 Musita-Lumino-24h'!E80)</f>
        <v>0</v>
      </c>
      <c r="F80" s="49">
        <f>AVERAGE('23.08 Musita-Lumino-24h'!F80,'26.08 Musita-Lumino-24h'!F80)</f>
        <v>0</v>
      </c>
      <c r="G80" s="49">
        <f>AVERAGE('23.08 Musita-Lumino-24h'!G80,'26.08 Musita-Lumino-24h'!G80)</f>
        <v>0</v>
      </c>
      <c r="H80" s="49">
        <f>AVERAGE('23.08 Musita-Lumino-24h'!H80,'26.08 Musita-Lumino-24h'!H80)</f>
        <v>0</v>
      </c>
      <c r="I80" s="49">
        <f>AVERAGE('23.08 Musita-Lumino-24h'!I80,'26.08 Musita-Lumino-24h'!I80)</f>
        <v>0.5</v>
      </c>
      <c r="J80" s="49">
        <f>AVERAGE('23.08 Musita-Lumino-24h'!J80,'26.08 Musita-Lumino-24h'!J80)</f>
        <v>1.5</v>
      </c>
      <c r="K80" s="49">
        <f>AVERAGE('23.08 Musita-Lumino-24h'!K80,'26.08 Musita-Lumino-24h'!K80)</f>
        <v>1</v>
      </c>
      <c r="L80" s="49">
        <f>AVERAGE('23.08 Musita-Lumino-24h'!L80,'26.08 Musita-Lumino-24h'!L80)</f>
        <v>0</v>
      </c>
      <c r="M80" s="49">
        <f>AVERAGE('23.08 Musita-Lumino-24h'!M80,'26.08 Musita-Lumino-24h'!M80)</f>
        <v>2</v>
      </c>
      <c r="N80" s="49">
        <f>AVERAGE('23.08 Musita-Lumino-24h'!N80,'26.08 Musita-Lumino-24h'!N80)</f>
        <v>0</v>
      </c>
      <c r="O80" s="15">
        <f t="shared" si="35"/>
        <v>3</v>
      </c>
      <c r="P80" s="15">
        <f t="shared" si="36"/>
        <v>5</v>
      </c>
      <c r="R80" s="8"/>
      <c r="T80"/>
    </row>
    <row r="81" spans="2:20" ht="23.1" customHeight="1" x14ac:dyDescent="0.25">
      <c r="B81" s="23" t="s">
        <v>121</v>
      </c>
      <c r="C81" s="49">
        <f>AVERAGE('23.08 Musita-Lumino-24h'!C81,'26.08 Musita-Lumino-24h'!C81)</f>
        <v>0</v>
      </c>
      <c r="D81" s="49">
        <f>AVERAGE('23.08 Musita-Lumino-24h'!D81,'26.08 Musita-Lumino-24h'!D81)</f>
        <v>0</v>
      </c>
      <c r="E81" s="49">
        <f>AVERAGE('23.08 Musita-Lumino-24h'!E81,'26.08 Musita-Lumino-24h'!E81)</f>
        <v>2</v>
      </c>
      <c r="F81" s="49">
        <f>AVERAGE('23.08 Musita-Lumino-24h'!F81,'26.08 Musita-Lumino-24h'!F81)</f>
        <v>0</v>
      </c>
      <c r="G81" s="49">
        <f>AVERAGE('23.08 Musita-Lumino-24h'!G81,'26.08 Musita-Lumino-24h'!G81)</f>
        <v>0</v>
      </c>
      <c r="H81" s="49">
        <f>AVERAGE('23.08 Musita-Lumino-24h'!H81,'26.08 Musita-Lumino-24h'!H81)</f>
        <v>0</v>
      </c>
      <c r="I81" s="49">
        <f>AVERAGE('23.08 Musita-Lumino-24h'!I81,'26.08 Musita-Lumino-24h'!I81)</f>
        <v>0</v>
      </c>
      <c r="J81" s="49">
        <f>AVERAGE('23.08 Musita-Lumino-24h'!J81,'26.08 Musita-Lumino-24h'!J81)</f>
        <v>0.5</v>
      </c>
      <c r="K81" s="49">
        <f>AVERAGE('23.08 Musita-Lumino-24h'!K81,'26.08 Musita-Lumino-24h'!K81)</f>
        <v>0.5</v>
      </c>
      <c r="L81" s="49">
        <f>AVERAGE('23.08 Musita-Lumino-24h'!L81,'26.08 Musita-Lumino-24h'!L81)</f>
        <v>0</v>
      </c>
      <c r="M81" s="49">
        <f>AVERAGE('23.08 Musita-Lumino-24h'!M81,'26.08 Musita-Lumino-24h'!M81)</f>
        <v>0</v>
      </c>
      <c r="N81" s="49">
        <f>AVERAGE('23.08 Musita-Lumino-24h'!N81,'26.08 Musita-Lumino-24h'!N81)</f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24" t="s">
        <v>122</v>
      </c>
      <c r="C82" s="49">
        <f>AVERAGE('23.08 Musita-Lumino-24h'!C82,'26.08 Musita-Lumino-24h'!C82)</f>
        <v>1.5</v>
      </c>
      <c r="D82" s="49">
        <f>AVERAGE('23.08 Musita-Lumino-24h'!D82,'26.08 Musita-Lumino-24h'!D82)</f>
        <v>0</v>
      </c>
      <c r="E82" s="49">
        <f>AVERAGE('23.08 Musita-Lumino-24h'!E82,'26.08 Musita-Lumino-24h'!E82)</f>
        <v>0</v>
      </c>
      <c r="F82" s="49">
        <f>AVERAGE('23.08 Musita-Lumino-24h'!F82,'26.08 Musita-Lumino-24h'!F82)</f>
        <v>0</v>
      </c>
      <c r="G82" s="49">
        <f>AVERAGE('23.08 Musita-Lumino-24h'!G82,'26.08 Musita-Lumino-24h'!G82)</f>
        <v>0</v>
      </c>
      <c r="H82" s="49">
        <f>AVERAGE('23.08 Musita-Lumino-24h'!H82,'26.08 Musita-Lumino-24h'!H82)</f>
        <v>0</v>
      </c>
      <c r="I82" s="49">
        <f>AVERAGE('23.08 Musita-Lumino-24h'!I82,'26.08 Musita-Lumino-24h'!I82)</f>
        <v>0</v>
      </c>
      <c r="J82" s="49">
        <f>AVERAGE('23.08 Musita-Lumino-24h'!J82,'26.08 Musita-Lumino-24h'!J82)</f>
        <v>0</v>
      </c>
      <c r="K82" s="49">
        <f>AVERAGE('23.08 Musita-Lumino-24h'!K82,'26.08 Musita-Lumino-24h'!K82)</f>
        <v>0</v>
      </c>
      <c r="L82" s="49">
        <f>AVERAGE('23.08 Musita-Lumino-24h'!L82,'26.08 Musita-Lumino-24h'!L82)</f>
        <v>0</v>
      </c>
      <c r="M82" s="49">
        <f>AVERAGE('23.08 Musita-Lumino-24h'!M82,'26.08 Musita-Lumino-24h'!M82)</f>
        <v>1</v>
      </c>
      <c r="N82" s="49">
        <f>AVERAGE('23.08 Musita-Lumino-24h'!N82,'26.08 Musita-Lumino-24h'!N82)</f>
        <v>0</v>
      </c>
      <c r="O82" s="15">
        <f t="shared" si="35"/>
        <v>1.5</v>
      </c>
      <c r="P82" s="15">
        <f t="shared" si="36"/>
        <v>2.5</v>
      </c>
      <c r="R82" s="8"/>
      <c r="T82"/>
    </row>
    <row r="83" spans="2:20" ht="23.1" customHeight="1" x14ac:dyDescent="0.25">
      <c r="B83" s="23" t="s">
        <v>123</v>
      </c>
      <c r="C83" s="49">
        <f>AVERAGE('23.08 Musita-Lumino-24h'!C83,'26.08 Musita-Lumino-24h'!C83)</f>
        <v>0</v>
      </c>
      <c r="D83" s="49">
        <f>AVERAGE('23.08 Musita-Lumino-24h'!D83,'26.08 Musita-Lumino-24h'!D83)</f>
        <v>1</v>
      </c>
      <c r="E83" s="49">
        <f>AVERAGE('23.08 Musita-Lumino-24h'!E83,'26.08 Musita-Lumino-24h'!E83)</f>
        <v>1</v>
      </c>
      <c r="F83" s="49">
        <f>AVERAGE('23.08 Musita-Lumino-24h'!F83,'26.08 Musita-Lumino-24h'!F83)</f>
        <v>0</v>
      </c>
      <c r="G83" s="49">
        <f>AVERAGE('23.08 Musita-Lumino-24h'!G83,'26.08 Musita-Lumino-24h'!G83)</f>
        <v>0</v>
      </c>
      <c r="H83" s="49">
        <f>AVERAGE('23.08 Musita-Lumino-24h'!H83,'26.08 Musita-Lumino-24h'!H83)</f>
        <v>0</v>
      </c>
      <c r="I83" s="49">
        <f>AVERAGE('23.08 Musita-Lumino-24h'!I83,'26.08 Musita-Lumino-24h'!I83)</f>
        <v>2</v>
      </c>
      <c r="J83" s="49">
        <f>AVERAGE('23.08 Musita-Lumino-24h'!J83,'26.08 Musita-Lumino-24h'!J83)</f>
        <v>1</v>
      </c>
      <c r="K83" s="49">
        <f>AVERAGE('23.08 Musita-Lumino-24h'!K83,'26.08 Musita-Lumino-24h'!K83)</f>
        <v>1</v>
      </c>
      <c r="L83" s="49">
        <f>AVERAGE('23.08 Musita-Lumino-24h'!L83,'26.08 Musita-Lumino-24h'!L83)</f>
        <v>0</v>
      </c>
      <c r="M83" s="49">
        <f>AVERAGE('23.08 Musita-Lumino-24h'!M83,'26.08 Musita-Lumino-24h'!M83)</f>
        <v>0</v>
      </c>
      <c r="N83" s="49">
        <f>AVERAGE('23.08 Musita-Lumino-24h'!N83,'26.08 Musita-Lumino-24h'!N83)</f>
        <v>0</v>
      </c>
      <c r="O83" s="15">
        <f t="shared" si="35"/>
        <v>6</v>
      </c>
      <c r="P83" s="15">
        <f t="shared" si="36"/>
        <v>6</v>
      </c>
      <c r="R83" s="8"/>
      <c r="T83"/>
    </row>
    <row r="84" spans="2:20" ht="23.1" customHeight="1" x14ac:dyDescent="0.25">
      <c r="B84" s="25" t="s">
        <v>124</v>
      </c>
      <c r="C84" s="49">
        <f>AVERAGE('23.08 Musita-Lumino-24h'!C84,'26.08 Musita-Lumino-24h'!C84)</f>
        <v>0.5</v>
      </c>
      <c r="D84" s="49">
        <f>AVERAGE('23.08 Musita-Lumino-24h'!D84,'26.08 Musita-Lumino-24h'!D84)</f>
        <v>1</v>
      </c>
      <c r="E84" s="49">
        <f>AVERAGE('23.08 Musita-Lumino-24h'!E84,'26.08 Musita-Lumino-24h'!E84)</f>
        <v>0.5</v>
      </c>
      <c r="F84" s="49">
        <f>AVERAGE('23.08 Musita-Lumino-24h'!F84,'26.08 Musita-Lumino-24h'!F84)</f>
        <v>0</v>
      </c>
      <c r="G84" s="49">
        <f>AVERAGE('23.08 Musita-Lumino-24h'!G84,'26.08 Musita-Lumino-24h'!G84)</f>
        <v>0</v>
      </c>
      <c r="H84" s="49">
        <f>AVERAGE('23.08 Musita-Lumino-24h'!H84,'26.08 Musita-Lumino-24h'!H84)</f>
        <v>0</v>
      </c>
      <c r="I84" s="49">
        <f>AVERAGE('23.08 Musita-Lumino-24h'!I84,'26.08 Musita-Lumino-24h'!I84)</f>
        <v>0</v>
      </c>
      <c r="J84" s="49">
        <f>AVERAGE('23.08 Musita-Lumino-24h'!J84,'26.08 Musita-Lumino-24h'!J84)</f>
        <v>0.5</v>
      </c>
      <c r="K84" s="49">
        <f>AVERAGE('23.08 Musita-Lumino-24h'!K84,'26.08 Musita-Lumino-24h'!K84)</f>
        <v>0.5</v>
      </c>
      <c r="L84" s="49">
        <f>AVERAGE('23.08 Musita-Lumino-24h'!L84,'26.08 Musita-Lumino-24h'!L84)</f>
        <v>0</v>
      </c>
      <c r="M84" s="49">
        <f>AVERAGE('23.08 Musita-Lumino-24h'!M84,'26.08 Musita-Lumino-24h'!M84)</f>
        <v>0</v>
      </c>
      <c r="N84" s="49">
        <f>AVERAGE('23.08 Musita-Lumino-24h'!N84,'26.08 Musita-Lumino-24h'!N84)</f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AVERAGE('23.08 Musita-Lumino-24h'!C85,'26.08 Musita-Lumino-24h'!C85)</f>
        <v>0</v>
      </c>
      <c r="D85" s="49">
        <f>AVERAGE('23.08 Musita-Lumino-24h'!D85,'26.08 Musita-Lumino-24h'!D85)</f>
        <v>0</v>
      </c>
      <c r="E85" s="49">
        <f>AVERAGE('23.08 Musita-Lumino-24h'!E85,'26.08 Musita-Lumino-24h'!E85)</f>
        <v>0</v>
      </c>
      <c r="F85" s="49">
        <f>AVERAGE('23.08 Musita-Lumino-24h'!F85,'26.08 Musita-Lumino-24h'!F85)</f>
        <v>0</v>
      </c>
      <c r="G85" s="49">
        <f>AVERAGE('23.08 Musita-Lumino-24h'!G85,'26.08 Musita-Lumino-24h'!G85)</f>
        <v>0</v>
      </c>
      <c r="H85" s="49">
        <f>AVERAGE('23.08 Musita-Lumino-24h'!H85,'26.08 Musita-Lumino-24h'!H85)</f>
        <v>0</v>
      </c>
      <c r="I85" s="49">
        <f>AVERAGE('23.08 Musita-Lumino-24h'!I85,'26.08 Musita-Lumino-24h'!I85)</f>
        <v>0</v>
      </c>
      <c r="J85" s="49">
        <f>AVERAGE('23.08 Musita-Lumino-24h'!J85,'26.08 Musita-Lumino-24h'!J85)</f>
        <v>0</v>
      </c>
      <c r="K85" s="49">
        <f>AVERAGE('23.08 Musita-Lumino-24h'!K85,'26.08 Musita-Lumino-24h'!K85)</f>
        <v>0</v>
      </c>
      <c r="L85" s="49">
        <f>AVERAGE('23.08 Musita-Lumino-24h'!L85,'26.08 Musita-Lumino-24h'!L85)</f>
        <v>1</v>
      </c>
      <c r="M85" s="49">
        <f>AVERAGE('23.08 Musita-Lumino-24h'!M85,'26.08 Musita-Lumino-24h'!M85)</f>
        <v>0</v>
      </c>
      <c r="N85" s="49">
        <f>AVERAGE('23.08 Musita-Lumino-24h'!N85,'26.08 Musita-Lumino-24h'!N85)</f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24" t="s">
        <v>126</v>
      </c>
      <c r="C86" s="49">
        <f>AVERAGE('23.08 Musita-Lumino-24h'!C86,'26.08 Musita-Lumino-24h'!C86)</f>
        <v>0</v>
      </c>
      <c r="D86" s="49">
        <f>AVERAGE('23.08 Musita-Lumino-24h'!D86,'26.08 Musita-Lumino-24h'!D86)</f>
        <v>0</v>
      </c>
      <c r="E86" s="49">
        <f>AVERAGE('23.08 Musita-Lumino-24h'!E86,'26.08 Musita-Lumino-24h'!E86)</f>
        <v>0</v>
      </c>
      <c r="F86" s="49">
        <f>AVERAGE('23.08 Musita-Lumino-24h'!F86,'26.08 Musita-Lumino-24h'!F86)</f>
        <v>0</v>
      </c>
      <c r="G86" s="49">
        <f>AVERAGE('23.08 Musita-Lumino-24h'!G86,'26.08 Musita-Lumino-24h'!G86)</f>
        <v>0</v>
      </c>
      <c r="H86" s="49">
        <f>AVERAGE('23.08 Musita-Lumino-24h'!H86,'26.08 Musita-Lumino-24h'!H86)</f>
        <v>0</v>
      </c>
      <c r="I86" s="49">
        <f>AVERAGE('23.08 Musita-Lumino-24h'!I86,'26.08 Musita-Lumino-24h'!I86)</f>
        <v>0</v>
      </c>
      <c r="J86" s="49">
        <f>AVERAGE('23.08 Musita-Lumino-24h'!J86,'26.08 Musita-Lumino-24h'!J86)</f>
        <v>0</v>
      </c>
      <c r="K86" s="49">
        <f>AVERAGE('23.08 Musita-Lumino-24h'!K86,'26.08 Musita-Lumino-24h'!K86)</f>
        <v>1</v>
      </c>
      <c r="L86" s="49">
        <f>AVERAGE('23.08 Musita-Lumino-24h'!L86,'26.08 Musita-Lumino-24h'!L86)</f>
        <v>0</v>
      </c>
      <c r="M86" s="49">
        <f>AVERAGE('23.08 Musita-Lumino-24h'!M86,'26.08 Musita-Lumino-24h'!M86)</f>
        <v>0</v>
      </c>
      <c r="N86" s="49">
        <f>AVERAGE('23.08 Musita-Lumino-24h'!N86,'26.08 Musita-Lumino-24h'!N86)</f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AVERAGE('23.08 Musita-Lumino-24h'!C87,'26.08 Musita-Lumino-24h'!C87)</f>
        <v>1</v>
      </c>
      <c r="D87" s="49">
        <f>AVERAGE('23.08 Musita-Lumino-24h'!D87,'26.08 Musita-Lumino-24h'!D87)</f>
        <v>0</v>
      </c>
      <c r="E87" s="49">
        <f>AVERAGE('23.08 Musita-Lumino-24h'!E87,'26.08 Musita-Lumino-24h'!E87)</f>
        <v>0</v>
      </c>
      <c r="F87" s="49">
        <f>AVERAGE('23.08 Musita-Lumino-24h'!F87,'26.08 Musita-Lumino-24h'!F87)</f>
        <v>0</v>
      </c>
      <c r="G87" s="49">
        <f>AVERAGE('23.08 Musita-Lumino-24h'!G87,'26.08 Musita-Lumino-24h'!G87)</f>
        <v>0</v>
      </c>
      <c r="H87" s="49">
        <f>AVERAGE('23.08 Musita-Lumino-24h'!H87,'26.08 Musita-Lumino-24h'!H87)</f>
        <v>0</v>
      </c>
      <c r="I87" s="49">
        <f>AVERAGE('23.08 Musita-Lumino-24h'!I87,'26.08 Musita-Lumino-24h'!I87)</f>
        <v>0</v>
      </c>
      <c r="J87" s="49">
        <f>AVERAGE('23.08 Musita-Lumino-24h'!J87,'26.08 Musita-Lumino-24h'!J87)</f>
        <v>0</v>
      </c>
      <c r="K87" s="49">
        <f>AVERAGE('23.08 Musita-Lumino-24h'!K87,'26.08 Musita-Lumino-24h'!K87)</f>
        <v>1</v>
      </c>
      <c r="L87" s="49">
        <f>AVERAGE('23.08 Musita-Lumino-24h'!L87,'26.08 Musita-Lumino-24h'!L87)</f>
        <v>2</v>
      </c>
      <c r="M87" s="49">
        <f>AVERAGE('23.08 Musita-Lumino-24h'!M87,'26.08 Musita-Lumino-24h'!M87)</f>
        <v>0</v>
      </c>
      <c r="N87" s="49">
        <f>AVERAGE('23.08 Musita-Lumino-24h'!N87,'26.08 Musita-Lumino-24h'!N87)</f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25" t="s">
        <v>128</v>
      </c>
      <c r="C88" s="49">
        <f>AVERAGE('23.08 Musita-Lumino-24h'!C88,'26.08 Musita-Lumino-24h'!C88)</f>
        <v>0</v>
      </c>
      <c r="D88" s="49">
        <f>AVERAGE('23.08 Musita-Lumino-24h'!D88,'26.08 Musita-Lumino-24h'!D88)</f>
        <v>0</v>
      </c>
      <c r="E88" s="49">
        <f>AVERAGE('23.08 Musita-Lumino-24h'!E88,'26.08 Musita-Lumino-24h'!E88)</f>
        <v>0</v>
      </c>
      <c r="F88" s="49">
        <f>AVERAGE('23.08 Musita-Lumino-24h'!F88,'26.08 Musita-Lumino-24h'!F88)</f>
        <v>0</v>
      </c>
      <c r="G88" s="49">
        <f>AVERAGE('23.08 Musita-Lumino-24h'!G88,'26.08 Musita-Lumino-24h'!G88)</f>
        <v>0</v>
      </c>
      <c r="H88" s="49">
        <f>AVERAGE('23.08 Musita-Lumino-24h'!H88,'26.08 Musita-Lumino-24h'!H88)</f>
        <v>0</v>
      </c>
      <c r="I88" s="49">
        <f>AVERAGE('23.08 Musita-Lumino-24h'!I88,'26.08 Musita-Lumino-24h'!I88)</f>
        <v>0</v>
      </c>
      <c r="J88" s="49">
        <f>AVERAGE('23.08 Musita-Lumino-24h'!J88,'26.08 Musita-Lumino-24h'!J88)</f>
        <v>1</v>
      </c>
      <c r="K88" s="49">
        <f>AVERAGE('23.08 Musita-Lumino-24h'!K88,'26.08 Musita-Lumino-24h'!K88)</f>
        <v>0</v>
      </c>
      <c r="L88" s="49">
        <f>AVERAGE('23.08 Musita-Lumino-24h'!L88,'26.08 Musita-Lumino-24h'!L88)</f>
        <v>1.5</v>
      </c>
      <c r="M88" s="49">
        <f>AVERAGE('23.08 Musita-Lumino-24h'!M88,'26.08 Musita-Lumino-24h'!M88)</f>
        <v>0</v>
      </c>
      <c r="N88" s="49">
        <f>AVERAGE('23.08 Musita-Lumino-24h'!N88,'26.08 Musita-Lumino-24h'!N88)</f>
        <v>0</v>
      </c>
      <c r="O88" s="15">
        <f t="shared" si="35"/>
        <v>2.5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AVERAGE('23.08 Musita-Lumino-24h'!C89,'26.08 Musita-Lumino-24h'!C89)</f>
        <v>0</v>
      </c>
      <c r="D89" s="49">
        <f>AVERAGE('23.08 Musita-Lumino-24h'!D89,'26.08 Musita-Lumino-24h'!D89)</f>
        <v>0</v>
      </c>
      <c r="E89" s="49">
        <f>AVERAGE('23.08 Musita-Lumino-24h'!E89,'26.08 Musita-Lumino-24h'!E89)</f>
        <v>0</v>
      </c>
      <c r="F89" s="49">
        <f>AVERAGE('23.08 Musita-Lumino-24h'!F89,'26.08 Musita-Lumino-24h'!F89)</f>
        <v>0</v>
      </c>
      <c r="G89" s="49">
        <f>AVERAGE('23.08 Musita-Lumino-24h'!G89,'26.08 Musita-Lumino-24h'!G89)</f>
        <v>0</v>
      </c>
      <c r="H89" s="49">
        <f>AVERAGE('23.08 Musita-Lumino-24h'!H89,'26.08 Musita-Lumino-24h'!H89)</f>
        <v>0</v>
      </c>
      <c r="I89" s="49">
        <f>AVERAGE('23.08 Musita-Lumino-24h'!I89,'26.08 Musita-Lumino-24h'!I89)</f>
        <v>0</v>
      </c>
      <c r="J89" s="49">
        <f>AVERAGE('23.08 Musita-Lumino-24h'!J89,'26.08 Musita-Lumino-24h'!J89)</f>
        <v>0</v>
      </c>
      <c r="K89" s="49">
        <f>AVERAGE('23.08 Musita-Lumino-24h'!K89,'26.08 Musita-Lumino-24h'!K89)</f>
        <v>0</v>
      </c>
      <c r="L89" s="49">
        <f>AVERAGE('23.08 Musita-Lumino-24h'!L89,'26.08 Musita-Lumino-24h'!L89)</f>
        <v>0</v>
      </c>
      <c r="M89" s="49">
        <f>AVERAGE('23.08 Musita-Lumino-24h'!M89,'26.08 Musita-Lumino-24h'!M89)</f>
        <v>0</v>
      </c>
      <c r="N89" s="49">
        <f>AVERAGE('23.08 Musita-Lumino-24h'!N89,'26.08 Musita-Lumino-24h'!N89)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AVERAGE('23.08 Musita-Lumino-24h'!C90,'26.08 Musita-Lumino-24h'!C90)</f>
        <v>0.5</v>
      </c>
      <c r="D90" s="49">
        <f>AVERAGE('23.08 Musita-Lumino-24h'!D90,'26.08 Musita-Lumino-24h'!D90)</f>
        <v>0</v>
      </c>
      <c r="E90" s="49">
        <f>AVERAGE('23.08 Musita-Lumino-24h'!E90,'26.08 Musita-Lumino-24h'!E90)</f>
        <v>0</v>
      </c>
      <c r="F90" s="49">
        <f>AVERAGE('23.08 Musita-Lumino-24h'!F90,'26.08 Musita-Lumino-24h'!F90)</f>
        <v>0</v>
      </c>
      <c r="G90" s="49">
        <f>AVERAGE('23.08 Musita-Lumino-24h'!G90,'26.08 Musita-Lumino-24h'!G90)</f>
        <v>0</v>
      </c>
      <c r="H90" s="49">
        <f>AVERAGE('23.08 Musita-Lumino-24h'!H90,'26.08 Musita-Lumino-24h'!H90)</f>
        <v>0</v>
      </c>
      <c r="I90" s="49">
        <f>AVERAGE('23.08 Musita-Lumino-24h'!I90,'26.08 Musita-Lumino-24h'!I90)</f>
        <v>1</v>
      </c>
      <c r="J90" s="49">
        <f>AVERAGE('23.08 Musita-Lumino-24h'!J90,'26.08 Musita-Lumino-24h'!J90)</f>
        <v>1.5</v>
      </c>
      <c r="K90" s="49">
        <f>AVERAGE('23.08 Musita-Lumino-24h'!K90,'26.08 Musita-Lumino-24h'!K90)</f>
        <v>1</v>
      </c>
      <c r="L90" s="49">
        <f>AVERAGE('23.08 Musita-Lumino-24h'!L90,'26.08 Musita-Lumino-24h'!L90)</f>
        <v>0</v>
      </c>
      <c r="M90" s="49">
        <f>AVERAGE('23.08 Musita-Lumino-24h'!M90,'26.08 Musita-Lumino-24h'!M90)</f>
        <v>0</v>
      </c>
      <c r="N90" s="49">
        <f>AVERAGE('23.08 Musita-Lumino-24h'!N90,'26.08 Musita-Lumino-24h'!N90)</f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AVERAGE('23.08 Musita-Lumino-24h'!C91,'26.08 Musita-Lumino-24h'!C91)</f>
        <v>0</v>
      </c>
      <c r="D91" s="49">
        <f>AVERAGE('23.08 Musita-Lumino-24h'!D91,'26.08 Musita-Lumino-24h'!D91)</f>
        <v>0</v>
      </c>
      <c r="E91" s="49">
        <f>AVERAGE('23.08 Musita-Lumino-24h'!E91,'26.08 Musita-Lumino-24h'!E91)</f>
        <v>0</v>
      </c>
      <c r="F91" s="49">
        <f>AVERAGE('23.08 Musita-Lumino-24h'!F91,'26.08 Musita-Lumino-24h'!F91)</f>
        <v>0</v>
      </c>
      <c r="G91" s="49">
        <f>AVERAGE('23.08 Musita-Lumino-24h'!G91,'26.08 Musita-Lumino-24h'!G91)</f>
        <v>0</v>
      </c>
      <c r="H91" s="49">
        <f>AVERAGE('23.08 Musita-Lumino-24h'!H91,'26.08 Musita-Lumino-24h'!H91)</f>
        <v>0</v>
      </c>
      <c r="I91" s="49">
        <f>AVERAGE('23.08 Musita-Lumino-24h'!I91,'26.08 Musita-Lumino-24h'!I91)</f>
        <v>1</v>
      </c>
      <c r="J91" s="49">
        <f>AVERAGE('23.08 Musita-Lumino-24h'!J91,'26.08 Musita-Lumino-24h'!J91)</f>
        <v>1</v>
      </c>
      <c r="K91" s="49">
        <f>AVERAGE('23.08 Musita-Lumino-24h'!K91,'26.08 Musita-Lumino-24h'!K91)</f>
        <v>0.5</v>
      </c>
      <c r="L91" s="49">
        <f>AVERAGE('23.08 Musita-Lumino-24h'!L91,'26.08 Musita-Lumino-24h'!L91)</f>
        <v>0</v>
      </c>
      <c r="M91" s="49">
        <f>AVERAGE('23.08 Musita-Lumino-24h'!M91,'26.08 Musita-Lumino-24h'!M91)</f>
        <v>0</v>
      </c>
      <c r="N91" s="49">
        <f>AVERAGE('23.08 Musita-Lumino-24h'!N91,'26.08 Musita-Lumino-24h'!N91)</f>
        <v>0</v>
      </c>
      <c r="O91" s="15">
        <f t="shared" si="35"/>
        <v>2.5</v>
      </c>
      <c r="P91" s="15">
        <f t="shared" si="36"/>
        <v>2.5</v>
      </c>
      <c r="R91" s="8"/>
      <c r="T91"/>
    </row>
    <row r="92" spans="2:20" ht="23.1" customHeight="1" x14ac:dyDescent="0.25">
      <c r="B92" s="25" t="s">
        <v>132</v>
      </c>
      <c r="C92" s="49">
        <f>AVERAGE('23.08 Musita-Lumino-24h'!C92,'26.08 Musita-Lumino-24h'!C92)</f>
        <v>0</v>
      </c>
      <c r="D92" s="49">
        <f>AVERAGE('23.08 Musita-Lumino-24h'!D92,'26.08 Musita-Lumino-24h'!D92)</f>
        <v>0</v>
      </c>
      <c r="E92" s="49">
        <f>AVERAGE('23.08 Musita-Lumino-24h'!E92,'26.08 Musita-Lumino-24h'!E92)</f>
        <v>0</v>
      </c>
      <c r="F92" s="49">
        <f>AVERAGE('23.08 Musita-Lumino-24h'!F92,'26.08 Musita-Lumino-24h'!F92)</f>
        <v>0</v>
      </c>
      <c r="G92" s="49">
        <f>AVERAGE('23.08 Musita-Lumino-24h'!G92,'26.08 Musita-Lumino-24h'!G92)</f>
        <v>0</v>
      </c>
      <c r="H92" s="49">
        <f>AVERAGE('23.08 Musita-Lumino-24h'!H92,'26.08 Musita-Lumino-24h'!H92)</f>
        <v>0</v>
      </c>
      <c r="I92" s="49">
        <f>AVERAGE('23.08 Musita-Lumino-24h'!I92,'26.08 Musita-Lumino-24h'!I92)</f>
        <v>0</v>
      </c>
      <c r="J92" s="49">
        <f>AVERAGE('23.08 Musita-Lumino-24h'!J92,'26.08 Musita-Lumino-24h'!J92)</f>
        <v>0.5</v>
      </c>
      <c r="K92" s="49">
        <f>AVERAGE('23.08 Musita-Lumino-24h'!K92,'26.08 Musita-Lumino-24h'!K92)</f>
        <v>0</v>
      </c>
      <c r="L92" s="49">
        <f>AVERAGE('23.08 Musita-Lumino-24h'!L92,'26.08 Musita-Lumino-24h'!L92)</f>
        <v>0</v>
      </c>
      <c r="M92" s="49">
        <f>AVERAGE('23.08 Musita-Lumino-24h'!M92,'26.08 Musita-Lumino-24h'!M92)</f>
        <v>0</v>
      </c>
      <c r="N92" s="49">
        <f>AVERAGE('23.08 Musita-Lumino-24h'!N92,'26.08 Musita-Lumino-24h'!N92)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AVERAGE('23.08 Musita-Lumino-24h'!C93,'26.08 Musita-Lumino-24h'!C93)</f>
        <v>0</v>
      </c>
      <c r="D93" s="49">
        <f>AVERAGE('23.08 Musita-Lumino-24h'!D93,'26.08 Musita-Lumino-24h'!D93)</f>
        <v>0</v>
      </c>
      <c r="E93" s="49">
        <f>AVERAGE('23.08 Musita-Lumino-24h'!E93,'26.08 Musita-Lumino-24h'!E93)</f>
        <v>1</v>
      </c>
      <c r="F93" s="49">
        <f>AVERAGE('23.08 Musita-Lumino-24h'!F93,'26.08 Musita-Lumino-24h'!F93)</f>
        <v>0</v>
      </c>
      <c r="G93" s="49">
        <f>AVERAGE('23.08 Musita-Lumino-24h'!G93,'26.08 Musita-Lumino-24h'!G93)</f>
        <v>0</v>
      </c>
      <c r="H93" s="49">
        <f>AVERAGE('23.08 Musita-Lumino-24h'!H93,'26.08 Musita-Lumino-24h'!H93)</f>
        <v>0</v>
      </c>
      <c r="I93" s="49">
        <f>AVERAGE('23.08 Musita-Lumino-24h'!I93,'26.08 Musita-Lumino-24h'!I93)</f>
        <v>0</v>
      </c>
      <c r="J93" s="49">
        <f>AVERAGE('23.08 Musita-Lumino-24h'!J93,'26.08 Musita-Lumino-24h'!J93)</f>
        <v>1</v>
      </c>
      <c r="K93" s="49">
        <f>AVERAGE('23.08 Musita-Lumino-24h'!K93,'26.08 Musita-Lumino-24h'!K93)</f>
        <v>0</v>
      </c>
      <c r="L93" s="49">
        <f>AVERAGE('23.08 Musita-Lumino-24h'!L93,'26.08 Musita-Lumino-24h'!L93)</f>
        <v>0</v>
      </c>
      <c r="M93" s="49">
        <f>AVERAGE('23.08 Musita-Lumino-24h'!M93,'26.08 Musita-Lumino-24h'!M93)</f>
        <v>0</v>
      </c>
      <c r="N93" s="49">
        <f>AVERAGE('23.08 Musita-Lumino-24h'!N93,'26.08 Musita-Lumino-24h'!N93)</f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AVERAGE('23.08 Musita-Lumino-24h'!C94,'26.08 Musita-Lumino-24h'!C94)</f>
        <v>1</v>
      </c>
      <c r="D94" s="49">
        <f>AVERAGE('23.08 Musita-Lumino-24h'!D94,'26.08 Musita-Lumino-24h'!D94)</f>
        <v>0</v>
      </c>
      <c r="E94" s="49">
        <f>AVERAGE('23.08 Musita-Lumino-24h'!E94,'26.08 Musita-Lumino-24h'!E94)</f>
        <v>0</v>
      </c>
      <c r="F94" s="49">
        <f>AVERAGE('23.08 Musita-Lumino-24h'!F94,'26.08 Musita-Lumino-24h'!F94)</f>
        <v>0</v>
      </c>
      <c r="G94" s="49">
        <f>AVERAGE('23.08 Musita-Lumino-24h'!G94,'26.08 Musita-Lumino-24h'!G94)</f>
        <v>0</v>
      </c>
      <c r="H94" s="49">
        <f>AVERAGE('23.08 Musita-Lumino-24h'!H94,'26.08 Musita-Lumino-24h'!H94)</f>
        <v>0</v>
      </c>
      <c r="I94" s="49">
        <f>AVERAGE('23.08 Musita-Lumino-24h'!I94,'26.08 Musita-Lumino-24h'!I94)</f>
        <v>1.5</v>
      </c>
      <c r="J94" s="49">
        <f>AVERAGE('23.08 Musita-Lumino-24h'!J94,'26.08 Musita-Lumino-24h'!J94)</f>
        <v>0</v>
      </c>
      <c r="K94" s="49">
        <f>AVERAGE('23.08 Musita-Lumino-24h'!K94,'26.08 Musita-Lumino-24h'!K94)</f>
        <v>0.5</v>
      </c>
      <c r="L94" s="49">
        <f>AVERAGE('23.08 Musita-Lumino-24h'!L94,'26.08 Musita-Lumino-24h'!L94)</f>
        <v>0</v>
      </c>
      <c r="M94" s="49">
        <f>AVERAGE('23.08 Musita-Lumino-24h'!M94,'26.08 Musita-Lumino-24h'!M94)</f>
        <v>1.5</v>
      </c>
      <c r="N94" s="49">
        <f>AVERAGE('23.08 Musita-Lumino-24h'!N94,'26.08 Musita-Lumino-24h'!N94)</f>
        <v>0</v>
      </c>
      <c r="O94" s="15">
        <f t="shared" si="35"/>
        <v>3</v>
      </c>
      <c r="P94" s="15">
        <f t="shared" si="36"/>
        <v>4.5</v>
      </c>
      <c r="R94" s="8"/>
      <c r="T94"/>
    </row>
    <row r="95" spans="2:20" ht="23.1" customHeight="1" x14ac:dyDescent="0.25">
      <c r="B95" s="23" t="s">
        <v>135</v>
      </c>
      <c r="C95" s="49">
        <f>AVERAGE('23.08 Musita-Lumino-24h'!C95,'26.08 Musita-Lumino-24h'!C95)</f>
        <v>1</v>
      </c>
      <c r="D95" s="49">
        <f>AVERAGE('23.08 Musita-Lumino-24h'!D95,'26.08 Musita-Lumino-24h'!D95)</f>
        <v>0.5</v>
      </c>
      <c r="E95" s="49">
        <f>AVERAGE('23.08 Musita-Lumino-24h'!E95,'26.08 Musita-Lumino-24h'!E95)</f>
        <v>0</v>
      </c>
      <c r="F95" s="49">
        <f>AVERAGE('23.08 Musita-Lumino-24h'!F95,'26.08 Musita-Lumino-24h'!F95)</f>
        <v>0</v>
      </c>
      <c r="G95" s="49">
        <f>AVERAGE('23.08 Musita-Lumino-24h'!G95,'26.08 Musita-Lumino-24h'!G95)</f>
        <v>0</v>
      </c>
      <c r="H95" s="49">
        <f>AVERAGE('23.08 Musita-Lumino-24h'!H95,'26.08 Musita-Lumino-24h'!H95)</f>
        <v>0</v>
      </c>
      <c r="I95" s="49">
        <f>AVERAGE('23.08 Musita-Lumino-24h'!I95,'26.08 Musita-Lumino-24h'!I95)</f>
        <v>0</v>
      </c>
      <c r="J95" s="49">
        <f>AVERAGE('23.08 Musita-Lumino-24h'!J95,'26.08 Musita-Lumino-24h'!J95)</f>
        <v>1.5</v>
      </c>
      <c r="K95" s="49">
        <f>AVERAGE('23.08 Musita-Lumino-24h'!K95,'26.08 Musita-Lumino-24h'!K95)</f>
        <v>0</v>
      </c>
      <c r="L95" s="49">
        <f>AVERAGE('23.08 Musita-Lumino-24h'!L95,'26.08 Musita-Lumino-24h'!L95)</f>
        <v>0</v>
      </c>
      <c r="M95" s="49">
        <f>AVERAGE('23.08 Musita-Lumino-24h'!M95,'26.08 Musita-Lumino-24h'!M95)</f>
        <v>3</v>
      </c>
      <c r="N95" s="49">
        <f>AVERAGE('23.08 Musita-Lumino-24h'!N95,'26.08 Musita-Lumino-24h'!N95)</f>
        <v>0</v>
      </c>
      <c r="O95" s="15">
        <f t="shared" si="35"/>
        <v>3</v>
      </c>
      <c r="P95" s="15">
        <f t="shared" si="36"/>
        <v>6</v>
      </c>
      <c r="R95" s="8"/>
      <c r="T95"/>
    </row>
    <row r="96" spans="2:20" ht="23.1" customHeight="1" x14ac:dyDescent="0.25">
      <c r="B96" s="25" t="s">
        <v>136</v>
      </c>
      <c r="C96" s="49">
        <f>AVERAGE('23.08 Musita-Lumino-24h'!C96,'26.08 Musita-Lumino-24h'!C96)</f>
        <v>0</v>
      </c>
      <c r="D96" s="49">
        <f>AVERAGE('23.08 Musita-Lumino-24h'!D96,'26.08 Musita-Lumino-24h'!D96)</f>
        <v>0</v>
      </c>
      <c r="E96" s="49">
        <f>AVERAGE('23.08 Musita-Lumino-24h'!E96,'26.08 Musita-Lumino-24h'!E96)</f>
        <v>0</v>
      </c>
      <c r="F96" s="49">
        <f>AVERAGE('23.08 Musita-Lumino-24h'!F96,'26.08 Musita-Lumino-24h'!F96)</f>
        <v>0.5</v>
      </c>
      <c r="G96" s="49">
        <f>AVERAGE('23.08 Musita-Lumino-24h'!G96,'26.08 Musita-Lumino-24h'!G96)</f>
        <v>0</v>
      </c>
      <c r="H96" s="49">
        <f>AVERAGE('23.08 Musita-Lumino-24h'!H96,'26.08 Musita-Lumino-24h'!H96)</f>
        <v>0</v>
      </c>
      <c r="I96" s="49">
        <f>AVERAGE('23.08 Musita-Lumino-24h'!I96,'26.08 Musita-Lumino-24h'!I96)</f>
        <v>1</v>
      </c>
      <c r="J96" s="49">
        <f>AVERAGE('23.08 Musita-Lumino-24h'!J96,'26.08 Musita-Lumino-24h'!J96)</f>
        <v>0</v>
      </c>
      <c r="K96" s="49">
        <f>AVERAGE('23.08 Musita-Lumino-24h'!K96,'26.08 Musita-Lumino-24h'!K96)</f>
        <v>0.5</v>
      </c>
      <c r="L96" s="49">
        <f>AVERAGE('23.08 Musita-Lumino-24h'!L96,'26.08 Musita-Lumino-24h'!L96)</f>
        <v>0</v>
      </c>
      <c r="M96" s="49">
        <f>AVERAGE('23.08 Musita-Lumino-24h'!M96,'26.08 Musita-Lumino-24h'!M96)</f>
        <v>2.5</v>
      </c>
      <c r="N96" s="49">
        <f>AVERAGE('23.08 Musita-Lumino-24h'!N96,'26.08 Musita-Lumino-24h'!N96)</f>
        <v>0</v>
      </c>
      <c r="O96" s="15">
        <f t="shared" si="35"/>
        <v>2</v>
      </c>
      <c r="P96" s="15">
        <f t="shared" si="36"/>
        <v>4.5</v>
      </c>
      <c r="R96" s="8"/>
      <c r="T96"/>
    </row>
    <row r="97" spans="2:20" ht="23.1" customHeight="1" x14ac:dyDescent="0.25">
      <c r="B97" s="23" t="s">
        <v>137</v>
      </c>
      <c r="C97" s="49">
        <f>AVERAGE('23.08 Musita-Lumino-24h'!C97,'26.08 Musita-Lumino-24h'!C97)</f>
        <v>0.5</v>
      </c>
      <c r="D97" s="49">
        <f>AVERAGE('23.08 Musita-Lumino-24h'!D97,'26.08 Musita-Lumino-24h'!D97)</f>
        <v>0</v>
      </c>
      <c r="E97" s="49">
        <f>AVERAGE('23.08 Musita-Lumino-24h'!E97,'26.08 Musita-Lumino-24h'!E97)</f>
        <v>0</v>
      </c>
      <c r="F97" s="49">
        <f>AVERAGE('23.08 Musita-Lumino-24h'!F97,'26.08 Musita-Lumino-24h'!F97)</f>
        <v>0</v>
      </c>
      <c r="G97" s="49">
        <f>AVERAGE('23.08 Musita-Lumino-24h'!G97,'26.08 Musita-Lumino-24h'!G97)</f>
        <v>0</v>
      </c>
      <c r="H97" s="49">
        <f>AVERAGE('23.08 Musita-Lumino-24h'!H97,'26.08 Musita-Lumino-24h'!H97)</f>
        <v>0</v>
      </c>
      <c r="I97" s="49">
        <f>AVERAGE('23.08 Musita-Lumino-24h'!I97,'26.08 Musita-Lumino-24h'!I97)</f>
        <v>0</v>
      </c>
      <c r="J97" s="49">
        <f>AVERAGE('23.08 Musita-Lumino-24h'!J97,'26.08 Musita-Lumino-24h'!J97)</f>
        <v>0.5</v>
      </c>
      <c r="K97" s="49">
        <f>AVERAGE('23.08 Musita-Lumino-24h'!K97,'26.08 Musita-Lumino-24h'!K97)</f>
        <v>0</v>
      </c>
      <c r="L97" s="49">
        <f>AVERAGE('23.08 Musita-Lumino-24h'!L97,'26.08 Musita-Lumino-24h'!L97)</f>
        <v>0</v>
      </c>
      <c r="M97" s="49">
        <f>AVERAGE('23.08 Musita-Lumino-24h'!M97,'26.08 Musita-Lumino-24h'!M97)</f>
        <v>0</v>
      </c>
      <c r="N97" s="49">
        <f>AVERAGE('23.08 Musita-Lumino-24h'!N97,'26.08 Musita-Lumino-24h'!N97)</f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AVERAGE('23.08 Musita-Lumino-24h'!C98,'26.08 Musita-Lumino-24h'!C98)</f>
        <v>1.5</v>
      </c>
      <c r="D98" s="49">
        <f>AVERAGE('23.08 Musita-Lumino-24h'!D98,'26.08 Musita-Lumino-24h'!D98)</f>
        <v>0</v>
      </c>
      <c r="E98" s="49">
        <f>AVERAGE('23.08 Musita-Lumino-24h'!E98,'26.08 Musita-Lumino-24h'!E98)</f>
        <v>0.5</v>
      </c>
      <c r="F98" s="49">
        <f>AVERAGE('23.08 Musita-Lumino-24h'!F98,'26.08 Musita-Lumino-24h'!F98)</f>
        <v>0</v>
      </c>
      <c r="G98" s="49">
        <f>AVERAGE('23.08 Musita-Lumino-24h'!G98,'26.08 Musita-Lumino-24h'!G98)</f>
        <v>0</v>
      </c>
      <c r="H98" s="49">
        <f>AVERAGE('23.08 Musita-Lumino-24h'!H98,'26.08 Musita-Lumino-24h'!H98)</f>
        <v>0</v>
      </c>
      <c r="I98" s="49">
        <f>AVERAGE('23.08 Musita-Lumino-24h'!I98,'26.08 Musita-Lumino-24h'!I98)</f>
        <v>0</v>
      </c>
      <c r="J98" s="49">
        <f>AVERAGE('23.08 Musita-Lumino-24h'!J98,'26.08 Musita-Lumino-24h'!J98)</f>
        <v>1.5</v>
      </c>
      <c r="K98" s="49">
        <f>AVERAGE('23.08 Musita-Lumino-24h'!K98,'26.08 Musita-Lumino-24h'!K98)</f>
        <v>0</v>
      </c>
      <c r="L98" s="49">
        <f>AVERAGE('23.08 Musita-Lumino-24h'!L98,'26.08 Musita-Lumino-24h'!L98)</f>
        <v>0</v>
      </c>
      <c r="M98" s="49">
        <f>AVERAGE('23.08 Musita-Lumino-24h'!M98,'26.08 Musita-Lumino-24h'!M98)</f>
        <v>1</v>
      </c>
      <c r="N98" s="49">
        <f>AVERAGE('23.08 Musita-Lumino-24h'!N98,'26.08 Musita-Lumino-24h'!N98)</f>
        <v>0</v>
      </c>
      <c r="O98" s="15">
        <f t="shared" si="35"/>
        <v>3.5</v>
      </c>
      <c r="P98" s="15">
        <f t="shared" si="36"/>
        <v>4.5</v>
      </c>
      <c r="R98" s="8"/>
      <c r="T98"/>
    </row>
    <row r="99" spans="2:20" ht="23.1" customHeight="1" x14ac:dyDescent="0.25">
      <c r="B99" s="23" t="s">
        <v>139</v>
      </c>
      <c r="C99" s="49">
        <f>AVERAGE('23.08 Musita-Lumino-24h'!C99,'26.08 Musita-Lumino-24h'!C99)</f>
        <v>0</v>
      </c>
      <c r="D99" s="49">
        <f>AVERAGE('23.08 Musita-Lumino-24h'!D99,'26.08 Musita-Lumino-24h'!D99)</f>
        <v>0.5</v>
      </c>
      <c r="E99" s="49">
        <f>AVERAGE('23.08 Musita-Lumino-24h'!E99,'26.08 Musita-Lumino-24h'!E99)</f>
        <v>0</v>
      </c>
      <c r="F99" s="49">
        <f>AVERAGE('23.08 Musita-Lumino-24h'!F99,'26.08 Musita-Lumino-24h'!F99)</f>
        <v>0</v>
      </c>
      <c r="G99" s="49">
        <f>AVERAGE('23.08 Musita-Lumino-24h'!G99,'26.08 Musita-Lumino-24h'!G99)</f>
        <v>0</v>
      </c>
      <c r="H99" s="49">
        <f>AVERAGE('23.08 Musita-Lumino-24h'!H99,'26.08 Musita-Lumino-24h'!H99)</f>
        <v>0</v>
      </c>
      <c r="I99" s="49">
        <f>AVERAGE('23.08 Musita-Lumino-24h'!I99,'26.08 Musita-Lumino-24h'!I99)</f>
        <v>0</v>
      </c>
      <c r="J99" s="49">
        <f>AVERAGE('23.08 Musita-Lumino-24h'!J99,'26.08 Musita-Lumino-24h'!J99)</f>
        <v>2</v>
      </c>
      <c r="K99" s="49">
        <f>AVERAGE('23.08 Musita-Lumino-24h'!K99,'26.08 Musita-Lumino-24h'!K99)</f>
        <v>1.5</v>
      </c>
      <c r="L99" s="49">
        <f>AVERAGE('23.08 Musita-Lumino-24h'!L99,'26.08 Musita-Lumino-24h'!L99)</f>
        <v>0</v>
      </c>
      <c r="M99" s="49">
        <f>AVERAGE('23.08 Musita-Lumino-24h'!M99,'26.08 Musita-Lumino-24h'!M99)</f>
        <v>3</v>
      </c>
      <c r="N99" s="49">
        <f>AVERAGE('23.08 Musita-Lumino-24h'!N99,'26.08 Musita-Lumino-24h'!N99)</f>
        <v>0</v>
      </c>
      <c r="O99" s="15">
        <f t="shared" si="35"/>
        <v>4</v>
      </c>
      <c r="P99" s="15">
        <f t="shared" si="36"/>
        <v>7</v>
      </c>
      <c r="R99" s="8"/>
      <c r="T99"/>
    </row>
    <row r="100" spans="2:20" ht="23.1" customHeight="1" x14ac:dyDescent="0.25">
      <c r="B100" s="25" t="s">
        <v>140</v>
      </c>
      <c r="C100" s="49">
        <f>AVERAGE('23.08 Musita-Lumino-24h'!C100,'26.08 Musita-Lumino-24h'!C100)</f>
        <v>1.5</v>
      </c>
      <c r="D100" s="49">
        <f>AVERAGE('23.08 Musita-Lumino-24h'!D100,'26.08 Musita-Lumino-24h'!D100)</f>
        <v>0</v>
      </c>
      <c r="E100" s="49">
        <f>AVERAGE('23.08 Musita-Lumino-24h'!E100,'26.08 Musita-Lumino-24h'!E100)</f>
        <v>1</v>
      </c>
      <c r="F100" s="49">
        <f>AVERAGE('23.08 Musita-Lumino-24h'!F100,'26.08 Musita-Lumino-24h'!F100)</f>
        <v>0.5</v>
      </c>
      <c r="G100" s="49">
        <f>AVERAGE('23.08 Musita-Lumino-24h'!G100,'26.08 Musita-Lumino-24h'!G100)</f>
        <v>0</v>
      </c>
      <c r="H100" s="49">
        <f>AVERAGE('23.08 Musita-Lumino-24h'!H100,'26.08 Musita-Lumino-24h'!H100)</f>
        <v>0</v>
      </c>
      <c r="I100" s="49">
        <f>AVERAGE('23.08 Musita-Lumino-24h'!I100,'26.08 Musita-Lumino-24h'!I100)</f>
        <v>0</v>
      </c>
      <c r="J100" s="49">
        <f>AVERAGE('23.08 Musita-Lumino-24h'!J100,'26.08 Musita-Lumino-24h'!J100)</f>
        <v>1.5</v>
      </c>
      <c r="K100" s="49">
        <f>AVERAGE('23.08 Musita-Lumino-24h'!K100,'26.08 Musita-Lumino-24h'!K100)</f>
        <v>1</v>
      </c>
      <c r="L100" s="49">
        <f>AVERAGE('23.08 Musita-Lumino-24h'!L100,'26.08 Musita-Lumino-24h'!L100)</f>
        <v>0</v>
      </c>
      <c r="M100" s="49">
        <f>AVERAGE('23.08 Musita-Lumino-24h'!M100,'26.08 Musita-Lumino-24h'!M100)</f>
        <v>4</v>
      </c>
      <c r="N100" s="49">
        <f>AVERAGE('23.08 Musita-Lumino-24h'!N100,'26.08 Musita-Lumino-24h'!N100)</f>
        <v>0</v>
      </c>
      <c r="O100" s="15">
        <f t="shared" si="35"/>
        <v>5.5</v>
      </c>
      <c r="P100" s="15">
        <f t="shared" si="36"/>
        <v>9.5</v>
      </c>
      <c r="R100" s="8"/>
      <c r="T100"/>
    </row>
    <row r="101" spans="2:20" ht="23.1" customHeight="1" x14ac:dyDescent="0.25">
      <c r="B101" s="23" t="s">
        <v>141</v>
      </c>
      <c r="C101" s="49">
        <f>AVERAGE('23.08 Musita-Lumino-24h'!C101,'26.08 Musita-Lumino-24h'!C101)</f>
        <v>0</v>
      </c>
      <c r="D101" s="49">
        <f>AVERAGE('23.08 Musita-Lumino-24h'!D101,'26.08 Musita-Lumino-24h'!D101)</f>
        <v>0.5</v>
      </c>
      <c r="E101" s="49">
        <f>AVERAGE('23.08 Musita-Lumino-24h'!E101,'26.08 Musita-Lumino-24h'!E101)</f>
        <v>0.5</v>
      </c>
      <c r="F101" s="49">
        <f>AVERAGE('23.08 Musita-Lumino-24h'!F101,'26.08 Musita-Lumino-24h'!F101)</f>
        <v>0.5</v>
      </c>
      <c r="G101" s="49">
        <f>AVERAGE('23.08 Musita-Lumino-24h'!G101,'26.08 Musita-Lumino-24h'!G101)</f>
        <v>0</v>
      </c>
      <c r="H101" s="49">
        <f>AVERAGE('23.08 Musita-Lumino-24h'!H101,'26.08 Musita-Lumino-24h'!H101)</f>
        <v>0</v>
      </c>
      <c r="I101" s="49">
        <f>AVERAGE('23.08 Musita-Lumino-24h'!I101,'26.08 Musita-Lumino-24h'!I101)</f>
        <v>0</v>
      </c>
      <c r="J101" s="49">
        <f>AVERAGE('23.08 Musita-Lumino-24h'!J101,'26.08 Musita-Lumino-24h'!J101)</f>
        <v>3</v>
      </c>
      <c r="K101" s="49">
        <f>AVERAGE('23.08 Musita-Lumino-24h'!K101,'26.08 Musita-Lumino-24h'!K101)</f>
        <v>1</v>
      </c>
      <c r="L101" s="49">
        <f>AVERAGE('23.08 Musita-Lumino-24h'!L101,'26.08 Musita-Lumino-24h'!L101)</f>
        <v>0</v>
      </c>
      <c r="M101" s="49">
        <f>AVERAGE('23.08 Musita-Lumino-24h'!M101,'26.08 Musita-Lumino-24h'!M101)</f>
        <v>7</v>
      </c>
      <c r="N101" s="49">
        <f>AVERAGE('23.08 Musita-Lumino-24h'!N101,'26.08 Musita-Lumino-24h'!N101)</f>
        <v>0</v>
      </c>
      <c r="O101" s="15">
        <f t="shared" si="35"/>
        <v>5.5</v>
      </c>
      <c r="P101" s="15">
        <f t="shared" si="36"/>
        <v>12.5</v>
      </c>
      <c r="R101" s="8"/>
      <c r="T101"/>
    </row>
    <row r="102" spans="2:20" ht="23.1" customHeight="1" x14ac:dyDescent="0.25">
      <c r="B102" s="24" t="s">
        <v>142</v>
      </c>
      <c r="C102" s="49">
        <f>AVERAGE('23.08 Musita-Lumino-24h'!C102,'26.08 Musita-Lumino-24h'!C102)</f>
        <v>2</v>
      </c>
      <c r="D102" s="49">
        <f>AVERAGE('23.08 Musita-Lumino-24h'!D102,'26.08 Musita-Lumino-24h'!D102)</f>
        <v>1</v>
      </c>
      <c r="E102" s="49">
        <f>AVERAGE('23.08 Musita-Lumino-24h'!E102,'26.08 Musita-Lumino-24h'!E102)</f>
        <v>0</v>
      </c>
      <c r="F102" s="49">
        <f>AVERAGE('23.08 Musita-Lumino-24h'!F102,'26.08 Musita-Lumino-24h'!F102)</f>
        <v>1.5</v>
      </c>
      <c r="G102" s="49">
        <f>AVERAGE('23.08 Musita-Lumino-24h'!G102,'26.08 Musita-Lumino-24h'!G102)</f>
        <v>1</v>
      </c>
      <c r="H102" s="49">
        <f>AVERAGE('23.08 Musita-Lumino-24h'!H102,'26.08 Musita-Lumino-24h'!H102)</f>
        <v>0</v>
      </c>
      <c r="I102" s="49">
        <f>AVERAGE('23.08 Musita-Lumino-24h'!I102,'26.08 Musita-Lumino-24h'!I102)</f>
        <v>0</v>
      </c>
      <c r="J102" s="49">
        <f>AVERAGE('23.08 Musita-Lumino-24h'!J102,'26.08 Musita-Lumino-24h'!J102)</f>
        <v>1</v>
      </c>
      <c r="K102" s="49">
        <f>AVERAGE('23.08 Musita-Lumino-24h'!K102,'26.08 Musita-Lumino-24h'!K102)</f>
        <v>2</v>
      </c>
      <c r="L102" s="49">
        <f>AVERAGE('23.08 Musita-Lumino-24h'!L102,'26.08 Musita-Lumino-24h'!L102)</f>
        <v>1</v>
      </c>
      <c r="M102" s="49">
        <f>AVERAGE('23.08 Musita-Lumino-24h'!M102,'26.08 Musita-Lumino-24h'!M102)</f>
        <v>16</v>
      </c>
      <c r="N102" s="49">
        <f>AVERAGE('23.08 Musita-Lumino-24h'!N102,'26.08 Musita-Lumino-24h'!N102)</f>
        <v>0</v>
      </c>
      <c r="O102" s="15">
        <f t="shared" si="35"/>
        <v>9.5</v>
      </c>
      <c r="P102" s="15">
        <f t="shared" si="36"/>
        <v>25.5</v>
      </c>
      <c r="R102" s="8"/>
      <c r="T102"/>
    </row>
    <row r="103" spans="2:20" ht="23.1" customHeight="1" x14ac:dyDescent="0.25">
      <c r="B103" s="23" t="s">
        <v>143</v>
      </c>
      <c r="C103" s="49">
        <f>AVERAGE('23.08 Musita-Lumino-24h'!C103,'26.08 Musita-Lumino-24h'!C103)</f>
        <v>0.5</v>
      </c>
      <c r="D103" s="49">
        <f>AVERAGE('23.08 Musita-Lumino-24h'!D103,'26.08 Musita-Lumino-24h'!D103)</f>
        <v>1.5</v>
      </c>
      <c r="E103" s="49">
        <f>AVERAGE('23.08 Musita-Lumino-24h'!E103,'26.08 Musita-Lumino-24h'!E103)</f>
        <v>1.5</v>
      </c>
      <c r="F103" s="49">
        <f>AVERAGE('23.08 Musita-Lumino-24h'!F103,'26.08 Musita-Lumino-24h'!F103)</f>
        <v>1.5</v>
      </c>
      <c r="G103" s="49">
        <f>AVERAGE('23.08 Musita-Lumino-24h'!G103,'26.08 Musita-Lumino-24h'!G103)</f>
        <v>0.5</v>
      </c>
      <c r="H103" s="49">
        <f>AVERAGE('23.08 Musita-Lumino-24h'!H103,'26.08 Musita-Lumino-24h'!H103)</f>
        <v>0</v>
      </c>
      <c r="I103" s="49">
        <f>AVERAGE('23.08 Musita-Lumino-24h'!I103,'26.08 Musita-Lumino-24h'!I103)</f>
        <v>0</v>
      </c>
      <c r="J103" s="49">
        <f>AVERAGE('23.08 Musita-Lumino-24h'!J103,'26.08 Musita-Lumino-24h'!J103)</f>
        <v>4</v>
      </c>
      <c r="K103" s="49">
        <f>AVERAGE('23.08 Musita-Lumino-24h'!K103,'26.08 Musita-Lumino-24h'!K103)</f>
        <v>0</v>
      </c>
      <c r="L103" s="49">
        <f>AVERAGE('23.08 Musita-Lumino-24h'!L103,'26.08 Musita-Lumino-24h'!L103)</f>
        <v>0</v>
      </c>
      <c r="M103" s="49">
        <f>AVERAGE('23.08 Musita-Lumino-24h'!M103,'26.08 Musita-Lumino-24h'!M103)</f>
        <v>13.5</v>
      </c>
      <c r="N103" s="49">
        <f>AVERAGE('23.08 Musita-Lumino-24h'!N103,'26.08 Musita-Lumino-24h'!N103)</f>
        <v>0</v>
      </c>
      <c r="O103" s="15">
        <f t="shared" si="35"/>
        <v>9.5</v>
      </c>
      <c r="P103" s="15">
        <f t="shared" si="36"/>
        <v>23</v>
      </c>
      <c r="R103" s="8"/>
      <c r="T103"/>
    </row>
    <row r="104" spans="2:20" ht="23.1" customHeight="1" x14ac:dyDescent="0.25">
      <c r="B104" s="25" t="s">
        <v>144</v>
      </c>
      <c r="C104" s="49">
        <f>AVERAGE('23.08 Musita-Lumino-24h'!C104,'26.08 Musita-Lumino-24h'!C104)</f>
        <v>1.5</v>
      </c>
      <c r="D104" s="49">
        <f>AVERAGE('23.08 Musita-Lumino-24h'!D104,'26.08 Musita-Lumino-24h'!D104)</f>
        <v>0</v>
      </c>
      <c r="E104" s="49">
        <f>AVERAGE('23.08 Musita-Lumino-24h'!E104,'26.08 Musita-Lumino-24h'!E104)</f>
        <v>0</v>
      </c>
      <c r="F104" s="49">
        <f>AVERAGE('23.08 Musita-Lumino-24h'!F104,'26.08 Musita-Lumino-24h'!F104)</f>
        <v>0</v>
      </c>
      <c r="G104" s="49">
        <f>AVERAGE('23.08 Musita-Lumino-24h'!G104,'26.08 Musita-Lumino-24h'!G104)</f>
        <v>0</v>
      </c>
      <c r="H104" s="49">
        <f>AVERAGE('23.08 Musita-Lumino-24h'!H104,'26.08 Musita-Lumino-24h'!H104)</f>
        <v>0</v>
      </c>
      <c r="I104" s="49">
        <f>AVERAGE('23.08 Musita-Lumino-24h'!I104,'26.08 Musita-Lumino-24h'!I104)</f>
        <v>1.5</v>
      </c>
      <c r="J104" s="49">
        <f>AVERAGE('23.08 Musita-Lumino-24h'!J104,'26.08 Musita-Lumino-24h'!J104)</f>
        <v>2</v>
      </c>
      <c r="K104" s="49">
        <f>AVERAGE('23.08 Musita-Lumino-24h'!K104,'26.08 Musita-Lumino-24h'!K104)</f>
        <v>0</v>
      </c>
      <c r="L104" s="49">
        <f>AVERAGE('23.08 Musita-Lumino-24h'!L104,'26.08 Musita-Lumino-24h'!L104)</f>
        <v>0</v>
      </c>
      <c r="M104" s="49">
        <f>AVERAGE('23.08 Musita-Lumino-24h'!M104,'26.08 Musita-Lumino-24h'!M104)</f>
        <v>12</v>
      </c>
      <c r="N104" s="49">
        <f>AVERAGE('23.08 Musita-Lumino-24h'!N104,'26.08 Musita-Lumino-24h'!N104)</f>
        <v>1</v>
      </c>
      <c r="O104" s="15">
        <f t="shared" si="35"/>
        <v>6</v>
      </c>
      <c r="P104" s="15">
        <f t="shared" si="36"/>
        <v>18</v>
      </c>
      <c r="R104" s="8"/>
      <c r="T104"/>
    </row>
    <row r="105" spans="2:20" ht="23.1" customHeight="1" x14ac:dyDescent="0.25">
      <c r="B105" s="23" t="s">
        <v>145</v>
      </c>
      <c r="C105" s="49">
        <f>AVERAGE('23.08 Musita-Lumino-24h'!C105,'26.08 Musita-Lumino-24h'!C105)</f>
        <v>2.5</v>
      </c>
      <c r="D105" s="49">
        <f>AVERAGE('23.08 Musita-Lumino-24h'!D105,'26.08 Musita-Lumino-24h'!D105)</f>
        <v>0</v>
      </c>
      <c r="E105" s="49">
        <f>AVERAGE('23.08 Musita-Lumino-24h'!E105,'26.08 Musita-Lumino-24h'!E105)</f>
        <v>0.5</v>
      </c>
      <c r="F105" s="49">
        <f>AVERAGE('23.08 Musita-Lumino-24h'!F105,'26.08 Musita-Lumino-24h'!F105)</f>
        <v>2</v>
      </c>
      <c r="G105" s="49">
        <f>AVERAGE('23.08 Musita-Lumino-24h'!G105,'26.08 Musita-Lumino-24h'!G105)</f>
        <v>0</v>
      </c>
      <c r="H105" s="49">
        <f>AVERAGE('23.08 Musita-Lumino-24h'!H105,'26.08 Musita-Lumino-24h'!H105)</f>
        <v>0</v>
      </c>
      <c r="I105" s="49">
        <f>AVERAGE('23.08 Musita-Lumino-24h'!I105,'26.08 Musita-Lumino-24h'!I105)</f>
        <v>4</v>
      </c>
      <c r="J105" s="49">
        <f>AVERAGE('23.08 Musita-Lumino-24h'!J105,'26.08 Musita-Lumino-24h'!J105)</f>
        <v>1</v>
      </c>
      <c r="K105" s="49">
        <f>AVERAGE('23.08 Musita-Lumino-24h'!K105,'26.08 Musita-Lumino-24h'!K105)</f>
        <v>0</v>
      </c>
      <c r="L105" s="49">
        <f>AVERAGE('23.08 Musita-Lumino-24h'!L105,'26.08 Musita-Lumino-24h'!L105)</f>
        <v>1.5</v>
      </c>
      <c r="M105" s="49">
        <f>AVERAGE('23.08 Musita-Lumino-24h'!M105,'26.08 Musita-Lumino-24h'!M105)</f>
        <v>13.5</v>
      </c>
      <c r="N105" s="49">
        <f>AVERAGE('23.08 Musita-Lumino-24h'!N105,'26.08 Musita-Lumino-24h'!N105)</f>
        <v>0.5</v>
      </c>
      <c r="O105" s="15">
        <f t="shared" si="35"/>
        <v>12</v>
      </c>
      <c r="P105" s="15">
        <f t="shared" si="36"/>
        <v>25.5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259.78571428571433</v>
      </c>
      <c r="D106" s="16">
        <f t="shared" ref="D106:P106" si="37">SUM(D10:D105)</f>
        <v>83.857142857142833</v>
      </c>
      <c r="E106" s="16">
        <f t="shared" si="37"/>
        <v>53.214285714285715</v>
      </c>
      <c r="F106" s="16">
        <f t="shared" si="37"/>
        <v>107.42857142857144</v>
      </c>
      <c r="G106" s="16">
        <f t="shared" si="37"/>
        <v>12.142857142857142</v>
      </c>
      <c r="H106" s="16">
        <f t="shared" si="37"/>
        <v>2.0714285714285712</v>
      </c>
      <c r="I106" s="16">
        <f t="shared" si="37"/>
        <v>119.78571428571429</v>
      </c>
      <c r="J106" s="16">
        <f t="shared" si="37"/>
        <v>186</v>
      </c>
      <c r="K106" s="16">
        <f t="shared" si="37"/>
        <v>54.142857142857146</v>
      </c>
      <c r="L106" s="16">
        <f t="shared" si="37"/>
        <v>41.785714285714285</v>
      </c>
      <c r="M106" s="16">
        <f t="shared" si="37"/>
        <v>2381.5714285714284</v>
      </c>
      <c r="N106" s="16">
        <f t="shared" si="37"/>
        <v>11.571428571428573</v>
      </c>
      <c r="O106" s="16">
        <f t="shared" si="37"/>
        <v>931.78571428571411</v>
      </c>
      <c r="P106" s="16">
        <f t="shared" si="37"/>
        <v>3313.3571428571431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7.8405587772436253E-2</v>
      </c>
      <c r="D107" s="43">
        <f t="shared" si="38"/>
        <v>2.5308814969711331E-2</v>
      </c>
      <c r="E107" s="43">
        <f t="shared" si="38"/>
        <v>1.606053420139263E-2</v>
      </c>
      <c r="F107" s="43">
        <f t="shared" si="38"/>
        <v>3.2422877099187272E-2</v>
      </c>
      <c r="G107" s="43">
        <f t="shared" si="38"/>
        <v>3.6648198848815397E-3</v>
      </c>
      <c r="H107" s="43">
        <f t="shared" si="38"/>
        <v>6.2517515683273316E-4</v>
      </c>
      <c r="I107" s="43">
        <f t="shared" si="38"/>
        <v>3.6152370276154956E-2</v>
      </c>
      <c r="J107" s="43">
        <f t="shared" si="38"/>
        <v>5.6136417530773704E-2</v>
      </c>
      <c r="K107" s="43">
        <f t="shared" si="38"/>
        <v>1.6340785133765925E-2</v>
      </c>
      <c r="L107" s="43">
        <f t="shared" si="38"/>
        <v>1.261129195679824E-2</v>
      </c>
      <c r="M107" s="43">
        <f t="shared" si="38"/>
        <v>0.71877896824541354</v>
      </c>
      <c r="N107" s="43">
        <f t="shared" si="38"/>
        <v>3.4923577726518207E-3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0.27880413951705646</v>
      </c>
      <c r="D108" s="44">
        <f t="shared" ref="D108:N108" si="39">D106/$O$106</f>
        <v>8.9996167113836706E-2</v>
      </c>
      <c r="E108" s="44">
        <f t="shared" si="39"/>
        <v>5.7110003832886176E-2</v>
      </c>
      <c r="F108" s="44">
        <f t="shared" si="39"/>
        <v>0.11529321579149103</v>
      </c>
      <c r="G108" s="44">
        <f t="shared" si="39"/>
        <v>1.3031812955155235E-2</v>
      </c>
      <c r="H108" s="44">
        <f t="shared" si="39"/>
        <v>2.2230739747029515E-3</v>
      </c>
      <c r="I108" s="44">
        <f t="shared" si="39"/>
        <v>0.12855500191644312</v>
      </c>
      <c r="J108" s="44">
        <f t="shared" si="39"/>
        <v>0.19961671138367193</v>
      </c>
      <c r="K108" s="44">
        <f t="shared" si="39"/>
        <v>5.8106554235339225E-2</v>
      </c>
      <c r="L108" s="44">
        <f t="shared" si="39"/>
        <v>4.484476811038713E-2</v>
      </c>
      <c r="M108" s="44"/>
      <c r="N108" s="44">
        <f t="shared" si="39"/>
        <v>1.2418551169030284E-2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zoomScale="60" workbookViewId="0">
      <selection activeCell="I38" sqref="I3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'28.08 Lumino-Musita'!C3:G3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'28.08 Lumino-Musita'!G5:H5</f>
        <v>Musita</v>
      </c>
      <c r="H5" s="64"/>
      <c r="I5" s="14"/>
      <c r="J5" s="2" t="s">
        <v>5</v>
      </c>
      <c r="K5" s="63" t="str">
        <f>'28.08 Lumino-Musita'!K5:L5</f>
        <v>Josephine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'28.08 Lumino-Musita'!D6:E6</f>
        <v>Lumino</v>
      </c>
      <c r="E6" s="64"/>
      <c r="F6" s="2" t="s">
        <v>2</v>
      </c>
      <c r="G6" s="63" t="str">
        <f>'28.08 Lumino-Musita'!G6:H6</f>
        <v>Musita</v>
      </c>
      <c r="H6" s="64"/>
      <c r="J6" s="2" t="s">
        <v>21</v>
      </c>
      <c r="K6" s="63" t="str">
        <f>'28.08 Lumino-Musita'!K6:L6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AVERAGE('22.08 Lumino-Musita'!C10,'24.08 Lumino-Musita'!C10,'25.08 Lumino-Musita'!C10,'27.08 Lumino-Musita'!C10,'23.08 Lumino-Musita-24h'!C10,'26.08 Lumino-Musita-24h'!C10,'28.08 Lumino-Musita'!C10)</f>
        <v>2.5714285714285716</v>
      </c>
      <c r="D10" s="49">
        <f>AVERAGE('22.08 Lumino-Musita'!D10,'24.08 Lumino-Musita'!D10,'25.08 Lumino-Musita'!D10,'27.08 Lumino-Musita'!D10,'23.08 Lumino-Musita-24h'!D10,'26.08 Lumino-Musita-24h'!D10,'28.08 Lumino-Musita'!D10)</f>
        <v>0.7142857142857143</v>
      </c>
      <c r="E10" s="49">
        <f>AVERAGE('22.08 Lumino-Musita'!E10,'24.08 Lumino-Musita'!E10,'25.08 Lumino-Musita'!E10,'27.08 Lumino-Musita'!E10,'23.08 Lumino-Musita-24h'!E10,'26.08 Lumino-Musita-24h'!E10,'28.08 Lumino-Musita'!E10)</f>
        <v>0.7142857142857143</v>
      </c>
      <c r="F10" s="49">
        <f>AVERAGE('22.08 Lumino-Musita'!F10,'24.08 Lumino-Musita'!F10,'25.08 Lumino-Musita'!F10,'27.08 Lumino-Musita'!F10,'23.08 Lumino-Musita-24h'!F10,'26.08 Lumino-Musita-24h'!F10,'28.08 Lumino-Musita'!F10)</f>
        <v>2.4285714285714284</v>
      </c>
      <c r="G10" s="49">
        <f>AVERAGE('22.08 Lumino-Musita'!G10,'24.08 Lumino-Musita'!G10,'25.08 Lumino-Musita'!G10,'27.08 Lumino-Musita'!G10,'23.08 Lumino-Musita-24h'!G10,'26.08 Lumino-Musita-24h'!G10,'28.08 Lumino-Musita'!G10)</f>
        <v>0.5714285714285714</v>
      </c>
      <c r="H10" s="49">
        <f>AVERAGE('22.08 Lumino-Musita'!H10,'24.08 Lumino-Musita'!H10,'25.08 Lumino-Musita'!H10,'27.08 Lumino-Musita'!H10,'23.08 Lumino-Musita-24h'!H10,'26.08 Lumino-Musita-24h'!H10,'28.08 Lumino-Musita'!H10)</f>
        <v>0.2857142857142857</v>
      </c>
      <c r="I10" s="49">
        <f>AVERAGE('22.08 Lumino-Musita'!I10,'24.08 Lumino-Musita'!I10,'25.08 Lumino-Musita'!I10,'27.08 Lumino-Musita'!I10,'23.08 Lumino-Musita-24h'!I10,'26.08 Lumino-Musita-24h'!I10,'28.08 Lumino-Musita'!I10)</f>
        <v>1.2857142857142858</v>
      </c>
      <c r="J10" s="49">
        <f>AVERAGE('22.08 Lumino-Musita'!J10,'24.08 Lumino-Musita'!J10,'25.08 Lumino-Musita'!J10,'27.08 Lumino-Musita'!J10,'23.08 Lumino-Musita-24h'!J10,'26.08 Lumino-Musita-24h'!J10,'28.08 Lumino-Musita'!J10)</f>
        <v>1.4285714285714286</v>
      </c>
      <c r="K10" s="49">
        <f>AVERAGE('22.08 Lumino-Musita'!K10,'24.08 Lumino-Musita'!K10,'25.08 Lumino-Musita'!K10,'27.08 Lumino-Musita'!K10,'23.08 Lumino-Musita-24h'!K10,'26.08 Lumino-Musita-24h'!K10,'28.08 Lumino-Musita'!K10)</f>
        <v>0.2857142857142857</v>
      </c>
      <c r="L10" s="49">
        <f>AVERAGE('22.08 Lumino-Musita'!L10,'24.08 Lumino-Musita'!L10,'25.08 Lumino-Musita'!L10,'27.08 Lumino-Musita'!L10,'23.08 Lumino-Musita-24h'!L10,'26.08 Lumino-Musita-24h'!L10,'28.08 Lumino-Musita'!L10)</f>
        <v>0.14285714285714285</v>
      </c>
      <c r="M10" s="49">
        <f>AVERAGE('22.08 Lumino-Musita'!M10,'24.08 Lumino-Musita'!M10,'25.08 Lumino-Musita'!M10,'27.08 Lumino-Musita'!M10,'23.08 Lumino-Musita-24h'!M10,'26.08 Lumino-Musita-24h'!M10,'28.08 Lumino-Musita'!M10)</f>
        <v>27.714285714285715</v>
      </c>
      <c r="N10" s="49">
        <f>AVERAGE('22.08 Lumino-Musita'!N10,'24.08 Lumino-Musita'!N10,'25.08 Lumino-Musita'!N10,'27.08 Lumino-Musita'!N10,'23.08 Lumino-Musita-24h'!N10,'26.08 Lumino-Musita-24h'!N10,'28.08 Lumino-Musita'!N10)</f>
        <v>0</v>
      </c>
      <c r="O10" s="15">
        <f t="shared" ref="O10:O73" si="0">SUM(C10:L10,N10)</f>
        <v>10.428571428571429</v>
      </c>
      <c r="P10" s="15">
        <f t="shared" ref="P10:P73" si="1">SUM(C10:N10)</f>
        <v>38.142857142857146</v>
      </c>
      <c r="R10" s="1" t="s">
        <v>6</v>
      </c>
      <c r="S10" s="17">
        <f t="shared" ref="S10:AF10" si="2">SUM(C10:C13)</f>
        <v>7.8571428571428568</v>
      </c>
      <c r="T10" s="17">
        <f t="shared" si="2"/>
        <v>1.9999999999999998</v>
      </c>
      <c r="U10" s="17">
        <f t="shared" si="2"/>
        <v>3.4285714285714288</v>
      </c>
      <c r="V10" s="17">
        <f t="shared" si="2"/>
        <v>6.5714285714285712</v>
      </c>
      <c r="W10" s="17">
        <f t="shared" si="2"/>
        <v>0.99999999999999989</v>
      </c>
      <c r="X10" s="17">
        <f t="shared" si="2"/>
        <v>0.5714285714285714</v>
      </c>
      <c r="Y10" s="17">
        <f t="shared" si="2"/>
        <v>3.4285714285714284</v>
      </c>
      <c r="Z10" s="17">
        <f t="shared" si="2"/>
        <v>4</v>
      </c>
      <c r="AA10" s="17">
        <f t="shared" si="2"/>
        <v>1.2857142857142856</v>
      </c>
      <c r="AB10" s="17">
        <f t="shared" si="2"/>
        <v>0.42857142857142855</v>
      </c>
      <c r="AC10" s="17">
        <f t="shared" si="2"/>
        <v>139.14285714285714</v>
      </c>
      <c r="AD10" s="17">
        <f t="shared" si="2"/>
        <v>0.2857142857142857</v>
      </c>
      <c r="AE10" s="31">
        <f t="shared" si="2"/>
        <v>30.857142857142861</v>
      </c>
      <c r="AF10" s="31">
        <f t="shared" si="2"/>
        <v>170</v>
      </c>
    </row>
    <row r="11" spans="2:32" s="6" customFormat="1" ht="23.1" customHeight="1" x14ac:dyDescent="0.25">
      <c r="B11" s="23" t="s">
        <v>38</v>
      </c>
      <c r="C11" s="49">
        <f>AVERAGE('22.08 Lumino-Musita'!C11,'24.08 Lumino-Musita'!C11,'25.08 Lumino-Musita'!C11,'27.08 Lumino-Musita'!C11,'23.08 Lumino-Musita-24h'!C11,'26.08 Lumino-Musita-24h'!C11,'28.08 Lumino-Musita'!C11)</f>
        <v>1.7142857142857142</v>
      </c>
      <c r="D11" s="49">
        <f>AVERAGE('22.08 Lumino-Musita'!D11,'24.08 Lumino-Musita'!D11,'25.08 Lumino-Musita'!D11,'27.08 Lumino-Musita'!D11,'23.08 Lumino-Musita-24h'!D11,'26.08 Lumino-Musita-24h'!D11,'28.08 Lumino-Musita'!D11)</f>
        <v>0.42857142857142855</v>
      </c>
      <c r="E11" s="49">
        <f>AVERAGE('22.08 Lumino-Musita'!E11,'24.08 Lumino-Musita'!E11,'25.08 Lumino-Musita'!E11,'27.08 Lumino-Musita'!E11,'23.08 Lumino-Musita-24h'!E11,'26.08 Lumino-Musita-24h'!E11,'28.08 Lumino-Musita'!E11)</f>
        <v>0.5714285714285714</v>
      </c>
      <c r="F11" s="49">
        <f>AVERAGE('22.08 Lumino-Musita'!F11,'24.08 Lumino-Musita'!F11,'25.08 Lumino-Musita'!F11,'27.08 Lumino-Musita'!F11,'23.08 Lumino-Musita-24h'!F11,'26.08 Lumino-Musita-24h'!F11,'28.08 Lumino-Musita'!F11)</f>
        <v>1.7142857142857142</v>
      </c>
      <c r="G11" s="49">
        <f>AVERAGE('22.08 Lumino-Musita'!G11,'24.08 Lumino-Musita'!G11,'25.08 Lumino-Musita'!G11,'27.08 Lumino-Musita'!G11,'23.08 Lumino-Musita-24h'!G11,'26.08 Lumino-Musita-24h'!G11,'28.08 Lumino-Musita'!G11)</f>
        <v>0</v>
      </c>
      <c r="H11" s="49">
        <f>AVERAGE('22.08 Lumino-Musita'!H11,'24.08 Lumino-Musita'!H11,'25.08 Lumino-Musita'!H11,'27.08 Lumino-Musita'!H11,'23.08 Lumino-Musita-24h'!H11,'26.08 Lumino-Musita-24h'!H11,'28.08 Lumino-Musita'!H11)</f>
        <v>0</v>
      </c>
      <c r="I11" s="49">
        <f>AVERAGE('22.08 Lumino-Musita'!I11,'24.08 Lumino-Musita'!I11,'25.08 Lumino-Musita'!I11,'27.08 Lumino-Musita'!I11,'23.08 Lumino-Musita-24h'!I11,'26.08 Lumino-Musita-24h'!I11,'28.08 Lumino-Musita'!I11)</f>
        <v>0.7142857142857143</v>
      </c>
      <c r="J11" s="49">
        <f>AVERAGE('22.08 Lumino-Musita'!J11,'24.08 Lumino-Musita'!J11,'25.08 Lumino-Musita'!J11,'27.08 Lumino-Musita'!J11,'23.08 Lumino-Musita-24h'!J11,'26.08 Lumino-Musita-24h'!J11,'28.08 Lumino-Musita'!J11)</f>
        <v>0.5714285714285714</v>
      </c>
      <c r="K11" s="49">
        <f>AVERAGE('22.08 Lumino-Musita'!K11,'24.08 Lumino-Musita'!K11,'25.08 Lumino-Musita'!K11,'27.08 Lumino-Musita'!K11,'23.08 Lumino-Musita-24h'!K11,'26.08 Lumino-Musita-24h'!K11,'28.08 Lumino-Musita'!K11)</f>
        <v>0.42857142857142855</v>
      </c>
      <c r="L11" s="49">
        <f>AVERAGE('22.08 Lumino-Musita'!L11,'24.08 Lumino-Musita'!L11,'25.08 Lumino-Musita'!L11,'27.08 Lumino-Musita'!L11,'23.08 Lumino-Musita-24h'!L11,'26.08 Lumino-Musita-24h'!L11,'28.08 Lumino-Musita'!L11)</f>
        <v>0</v>
      </c>
      <c r="M11" s="49">
        <f>AVERAGE('22.08 Lumino-Musita'!M11,'24.08 Lumino-Musita'!M11,'25.08 Lumino-Musita'!M11,'27.08 Lumino-Musita'!M11,'23.08 Lumino-Musita-24h'!M11,'26.08 Lumino-Musita-24h'!M11,'28.08 Lumino-Musita'!M11)</f>
        <v>27.857142857142858</v>
      </c>
      <c r="N11" s="49">
        <f>AVERAGE('22.08 Lumino-Musita'!N11,'24.08 Lumino-Musita'!N11,'25.08 Lumino-Musita'!N11,'27.08 Lumino-Musita'!N11,'23.08 Lumino-Musita-24h'!N11,'26.08 Lumino-Musita-24h'!N11,'28.08 Lumino-Musita'!N11)</f>
        <v>0</v>
      </c>
      <c r="O11" s="15">
        <f t="shared" si="0"/>
        <v>6.1428571428571432</v>
      </c>
      <c r="P11" s="15">
        <f t="shared" si="1"/>
        <v>34</v>
      </c>
      <c r="R11" s="1" t="s">
        <v>7</v>
      </c>
      <c r="S11" s="17">
        <f t="shared" ref="S11:AF11" si="3">SUM(C14:C17)</f>
        <v>11.428571428571429</v>
      </c>
      <c r="T11" s="17">
        <f t="shared" si="3"/>
        <v>4.1428571428571423</v>
      </c>
      <c r="U11" s="17">
        <f t="shared" si="3"/>
        <v>2.8571428571428572</v>
      </c>
      <c r="V11" s="17">
        <f t="shared" si="3"/>
        <v>5.2857142857142856</v>
      </c>
      <c r="W11" s="17">
        <f t="shared" si="3"/>
        <v>1</v>
      </c>
      <c r="X11" s="17">
        <f t="shared" si="3"/>
        <v>0.2857142857142857</v>
      </c>
      <c r="Y11" s="17">
        <f t="shared" si="3"/>
        <v>4</v>
      </c>
      <c r="Z11" s="17">
        <f t="shared" si="3"/>
        <v>5.8571428571428577</v>
      </c>
      <c r="AA11" s="17">
        <f t="shared" si="3"/>
        <v>0.14285714285714285</v>
      </c>
      <c r="AB11" s="17">
        <f t="shared" si="3"/>
        <v>0.5714285714285714</v>
      </c>
      <c r="AC11" s="17">
        <f t="shared" si="3"/>
        <v>150.28571428571428</v>
      </c>
      <c r="AD11" s="17">
        <f t="shared" si="3"/>
        <v>0.42857142857142855</v>
      </c>
      <c r="AE11" s="31">
        <f t="shared" si="3"/>
        <v>36</v>
      </c>
      <c r="AF11" s="31">
        <f t="shared" si="3"/>
        <v>186.28571428571428</v>
      </c>
    </row>
    <row r="12" spans="2:32" ht="23.1" customHeight="1" x14ac:dyDescent="0.25">
      <c r="B12" s="23" t="s">
        <v>39</v>
      </c>
      <c r="C12" s="49">
        <f>AVERAGE('22.08 Lumino-Musita'!C12,'24.08 Lumino-Musita'!C12,'25.08 Lumino-Musita'!C12,'27.08 Lumino-Musita'!C12,'23.08 Lumino-Musita-24h'!C12,'26.08 Lumino-Musita-24h'!C12,'28.08 Lumino-Musita'!C12)</f>
        <v>1.8571428571428572</v>
      </c>
      <c r="D12" s="49">
        <f>AVERAGE('22.08 Lumino-Musita'!D12,'24.08 Lumino-Musita'!D12,'25.08 Lumino-Musita'!D12,'27.08 Lumino-Musita'!D12,'23.08 Lumino-Musita-24h'!D12,'26.08 Lumino-Musita-24h'!D12,'28.08 Lumino-Musita'!D12)</f>
        <v>0.2857142857142857</v>
      </c>
      <c r="E12" s="49">
        <f>AVERAGE('22.08 Lumino-Musita'!E12,'24.08 Lumino-Musita'!E12,'25.08 Lumino-Musita'!E12,'27.08 Lumino-Musita'!E12,'23.08 Lumino-Musita-24h'!E12,'26.08 Lumino-Musita-24h'!E12,'28.08 Lumino-Musita'!E12)</f>
        <v>0.7142857142857143</v>
      </c>
      <c r="F12" s="49">
        <f>AVERAGE('22.08 Lumino-Musita'!F12,'24.08 Lumino-Musita'!F12,'25.08 Lumino-Musita'!F12,'27.08 Lumino-Musita'!F12,'23.08 Lumino-Musita-24h'!F12,'26.08 Lumino-Musita-24h'!F12,'28.08 Lumino-Musita'!F12)</f>
        <v>1.2857142857142858</v>
      </c>
      <c r="G12" s="49">
        <f>AVERAGE('22.08 Lumino-Musita'!G12,'24.08 Lumino-Musita'!G12,'25.08 Lumino-Musita'!G12,'27.08 Lumino-Musita'!G12,'23.08 Lumino-Musita-24h'!G12,'26.08 Lumino-Musita-24h'!G12,'28.08 Lumino-Musita'!G12)</f>
        <v>0.14285714285714285</v>
      </c>
      <c r="H12" s="49">
        <f>AVERAGE('22.08 Lumino-Musita'!H12,'24.08 Lumino-Musita'!H12,'25.08 Lumino-Musita'!H12,'27.08 Lumino-Musita'!H12,'23.08 Lumino-Musita-24h'!H12,'26.08 Lumino-Musita-24h'!H12,'28.08 Lumino-Musita'!H12)</f>
        <v>0.14285714285714285</v>
      </c>
      <c r="I12" s="49">
        <f>AVERAGE('22.08 Lumino-Musita'!I12,'24.08 Lumino-Musita'!I12,'25.08 Lumino-Musita'!I12,'27.08 Lumino-Musita'!I12,'23.08 Lumino-Musita-24h'!I12,'26.08 Lumino-Musita-24h'!I12,'28.08 Lumino-Musita'!I12)</f>
        <v>1</v>
      </c>
      <c r="J12" s="49">
        <f>AVERAGE('22.08 Lumino-Musita'!J12,'24.08 Lumino-Musita'!J12,'25.08 Lumino-Musita'!J12,'27.08 Lumino-Musita'!J12,'23.08 Lumino-Musita-24h'!J12,'26.08 Lumino-Musita-24h'!J12,'28.08 Lumino-Musita'!J12)</f>
        <v>0.8571428571428571</v>
      </c>
      <c r="K12" s="49">
        <f>AVERAGE('22.08 Lumino-Musita'!K12,'24.08 Lumino-Musita'!K12,'25.08 Lumino-Musita'!K12,'27.08 Lumino-Musita'!K12,'23.08 Lumino-Musita-24h'!K12,'26.08 Lumino-Musita-24h'!K12,'28.08 Lumino-Musita'!K12)</f>
        <v>0.42857142857142855</v>
      </c>
      <c r="L12" s="49">
        <f>AVERAGE('22.08 Lumino-Musita'!L12,'24.08 Lumino-Musita'!L12,'25.08 Lumino-Musita'!L12,'27.08 Lumino-Musita'!L12,'23.08 Lumino-Musita-24h'!L12,'26.08 Lumino-Musita-24h'!L12,'28.08 Lumino-Musita'!L12)</f>
        <v>0</v>
      </c>
      <c r="M12" s="49">
        <f>AVERAGE('22.08 Lumino-Musita'!M12,'24.08 Lumino-Musita'!M12,'25.08 Lumino-Musita'!M12,'27.08 Lumino-Musita'!M12,'23.08 Lumino-Musita-24h'!M12,'26.08 Lumino-Musita-24h'!M12,'28.08 Lumino-Musita'!M12)</f>
        <v>38.285714285714285</v>
      </c>
      <c r="N12" s="49">
        <f>AVERAGE('22.08 Lumino-Musita'!N12,'24.08 Lumino-Musita'!N12,'25.08 Lumino-Musita'!N12,'27.08 Lumino-Musita'!N12,'23.08 Lumino-Musita-24h'!N12,'26.08 Lumino-Musita-24h'!N12,'28.08 Lumino-Musita'!N12)</f>
        <v>0.14285714285714285</v>
      </c>
      <c r="O12" s="15">
        <f t="shared" si="0"/>
        <v>6.8571428571428585</v>
      </c>
      <c r="P12" s="15">
        <f t="shared" si="1"/>
        <v>45.142857142857146</v>
      </c>
      <c r="R12" s="1" t="s">
        <v>8</v>
      </c>
      <c r="S12" s="17">
        <f t="shared" ref="S12:AF12" si="4">SUM(C18:C21)</f>
        <v>12.285714285714286</v>
      </c>
      <c r="T12" s="17">
        <f t="shared" si="4"/>
        <v>2.7142857142857144</v>
      </c>
      <c r="U12" s="17">
        <f t="shared" si="4"/>
        <v>2.2857142857142856</v>
      </c>
      <c r="V12" s="17">
        <f t="shared" si="4"/>
        <v>4.8571428571428577</v>
      </c>
      <c r="W12" s="17">
        <f t="shared" si="4"/>
        <v>0.42857142857142855</v>
      </c>
      <c r="X12" s="17">
        <f t="shared" si="4"/>
        <v>0</v>
      </c>
      <c r="Y12" s="17">
        <f t="shared" si="4"/>
        <v>4</v>
      </c>
      <c r="Z12" s="17">
        <f t="shared" si="4"/>
        <v>4.8571428571428568</v>
      </c>
      <c r="AA12" s="17">
        <f t="shared" si="4"/>
        <v>1.2857142857142856</v>
      </c>
      <c r="AB12" s="17">
        <f t="shared" si="4"/>
        <v>0.42857142857142855</v>
      </c>
      <c r="AC12" s="17">
        <f t="shared" si="4"/>
        <v>145.42857142857142</v>
      </c>
      <c r="AD12" s="17">
        <f t="shared" si="4"/>
        <v>0.71428571428571419</v>
      </c>
      <c r="AE12" s="31">
        <f t="shared" si="4"/>
        <v>33.857142857142854</v>
      </c>
      <c r="AF12" s="31">
        <f t="shared" si="4"/>
        <v>179.28571428571431</v>
      </c>
    </row>
    <row r="13" spans="2:32" ht="23.1" customHeight="1" x14ac:dyDescent="0.25">
      <c r="B13" s="23" t="s">
        <v>40</v>
      </c>
      <c r="C13" s="49">
        <f>AVERAGE('22.08 Lumino-Musita'!C13,'24.08 Lumino-Musita'!C13,'25.08 Lumino-Musita'!C13,'27.08 Lumino-Musita'!C13,'23.08 Lumino-Musita-24h'!C13,'26.08 Lumino-Musita-24h'!C13,'28.08 Lumino-Musita'!C13)</f>
        <v>1.7142857142857142</v>
      </c>
      <c r="D13" s="49">
        <f>AVERAGE('22.08 Lumino-Musita'!D13,'24.08 Lumino-Musita'!D13,'25.08 Lumino-Musita'!D13,'27.08 Lumino-Musita'!D13,'23.08 Lumino-Musita-24h'!D13,'26.08 Lumino-Musita-24h'!D13,'28.08 Lumino-Musita'!D13)</f>
        <v>0.5714285714285714</v>
      </c>
      <c r="E13" s="49">
        <f>AVERAGE('22.08 Lumino-Musita'!E13,'24.08 Lumino-Musita'!E13,'25.08 Lumino-Musita'!E13,'27.08 Lumino-Musita'!E13,'23.08 Lumino-Musita-24h'!E13,'26.08 Lumino-Musita-24h'!E13,'28.08 Lumino-Musita'!E13)</f>
        <v>1.4285714285714286</v>
      </c>
      <c r="F13" s="49">
        <f>AVERAGE('22.08 Lumino-Musita'!F13,'24.08 Lumino-Musita'!F13,'25.08 Lumino-Musita'!F13,'27.08 Lumino-Musita'!F13,'23.08 Lumino-Musita-24h'!F13,'26.08 Lumino-Musita-24h'!F13,'28.08 Lumino-Musita'!F13)</f>
        <v>1.1428571428571428</v>
      </c>
      <c r="G13" s="49">
        <f>AVERAGE('22.08 Lumino-Musita'!G13,'24.08 Lumino-Musita'!G13,'25.08 Lumino-Musita'!G13,'27.08 Lumino-Musita'!G13,'23.08 Lumino-Musita-24h'!G13,'26.08 Lumino-Musita-24h'!G13,'28.08 Lumino-Musita'!G13)</f>
        <v>0.2857142857142857</v>
      </c>
      <c r="H13" s="49">
        <f>AVERAGE('22.08 Lumino-Musita'!H13,'24.08 Lumino-Musita'!H13,'25.08 Lumino-Musita'!H13,'27.08 Lumino-Musita'!H13,'23.08 Lumino-Musita-24h'!H13,'26.08 Lumino-Musita-24h'!H13,'28.08 Lumino-Musita'!H13)</f>
        <v>0.14285714285714285</v>
      </c>
      <c r="I13" s="49">
        <f>AVERAGE('22.08 Lumino-Musita'!I13,'24.08 Lumino-Musita'!I13,'25.08 Lumino-Musita'!I13,'27.08 Lumino-Musita'!I13,'23.08 Lumino-Musita-24h'!I13,'26.08 Lumino-Musita-24h'!I13,'28.08 Lumino-Musita'!I13)</f>
        <v>0.42857142857142855</v>
      </c>
      <c r="J13" s="49">
        <f>AVERAGE('22.08 Lumino-Musita'!J13,'24.08 Lumino-Musita'!J13,'25.08 Lumino-Musita'!J13,'27.08 Lumino-Musita'!J13,'23.08 Lumino-Musita-24h'!J13,'26.08 Lumino-Musita-24h'!J13,'28.08 Lumino-Musita'!J13)</f>
        <v>1.1428571428571428</v>
      </c>
      <c r="K13" s="49">
        <f>AVERAGE('22.08 Lumino-Musita'!K13,'24.08 Lumino-Musita'!K13,'25.08 Lumino-Musita'!K13,'27.08 Lumino-Musita'!K13,'23.08 Lumino-Musita-24h'!K13,'26.08 Lumino-Musita-24h'!K13,'28.08 Lumino-Musita'!K13)</f>
        <v>0.14285714285714285</v>
      </c>
      <c r="L13" s="49">
        <f>AVERAGE('22.08 Lumino-Musita'!L13,'24.08 Lumino-Musita'!L13,'25.08 Lumino-Musita'!L13,'27.08 Lumino-Musita'!L13,'23.08 Lumino-Musita-24h'!L13,'26.08 Lumino-Musita-24h'!L13,'28.08 Lumino-Musita'!L13)</f>
        <v>0.2857142857142857</v>
      </c>
      <c r="M13" s="49">
        <f>AVERAGE('22.08 Lumino-Musita'!M13,'24.08 Lumino-Musita'!M13,'25.08 Lumino-Musita'!M13,'27.08 Lumino-Musita'!M13,'23.08 Lumino-Musita-24h'!M13,'26.08 Lumino-Musita-24h'!M13,'28.08 Lumino-Musita'!M13)</f>
        <v>45.285714285714285</v>
      </c>
      <c r="N13" s="49">
        <f>AVERAGE('22.08 Lumino-Musita'!N13,'24.08 Lumino-Musita'!N13,'25.08 Lumino-Musita'!N13,'27.08 Lumino-Musita'!N13,'23.08 Lumino-Musita-24h'!N13,'26.08 Lumino-Musita-24h'!N13,'28.08 Lumino-Musita'!N13)</f>
        <v>0.14285714285714285</v>
      </c>
      <c r="O13" s="15">
        <f t="shared" si="0"/>
        <v>7.4285714285714297</v>
      </c>
      <c r="P13" s="15">
        <f t="shared" si="1"/>
        <v>52.714285714285715</v>
      </c>
      <c r="R13" s="1" t="s">
        <v>9</v>
      </c>
      <c r="S13" s="17">
        <f t="shared" ref="S13:AF13" si="5">SUM(C22:C25)</f>
        <v>12.571428571428571</v>
      </c>
      <c r="T13" s="17">
        <f t="shared" si="5"/>
        <v>3.285714285714286</v>
      </c>
      <c r="U13" s="17">
        <f t="shared" si="5"/>
        <v>3</v>
      </c>
      <c r="V13" s="17">
        <f t="shared" si="5"/>
        <v>7</v>
      </c>
      <c r="W13" s="17">
        <f t="shared" si="5"/>
        <v>0.2857142857142857</v>
      </c>
      <c r="X13" s="17">
        <f t="shared" si="5"/>
        <v>0</v>
      </c>
      <c r="Y13" s="17">
        <f t="shared" si="5"/>
        <v>7</v>
      </c>
      <c r="Z13" s="17">
        <f t="shared" si="5"/>
        <v>7.4285714285714288</v>
      </c>
      <c r="AA13" s="17">
        <f t="shared" si="5"/>
        <v>0.71428571428571419</v>
      </c>
      <c r="AB13" s="17">
        <f t="shared" si="5"/>
        <v>0.71428571428571419</v>
      </c>
      <c r="AC13" s="17">
        <f t="shared" si="5"/>
        <v>156.14285714285714</v>
      </c>
      <c r="AD13" s="17">
        <f t="shared" si="5"/>
        <v>0.5714285714285714</v>
      </c>
      <c r="AE13" s="31">
        <f t="shared" si="5"/>
        <v>42.571428571428569</v>
      </c>
      <c r="AF13" s="31">
        <f t="shared" si="5"/>
        <v>198.71428571428572</v>
      </c>
    </row>
    <row r="14" spans="2:32" ht="23.1" customHeight="1" x14ac:dyDescent="0.25">
      <c r="B14" s="23" t="s">
        <v>41</v>
      </c>
      <c r="C14" s="49">
        <f>AVERAGE('22.08 Lumino-Musita'!C14,'24.08 Lumino-Musita'!C14,'25.08 Lumino-Musita'!C14,'27.08 Lumino-Musita'!C14,'23.08 Lumino-Musita-24h'!C14,'26.08 Lumino-Musita-24h'!C14,'28.08 Lumino-Musita'!C14)</f>
        <v>2.8571428571428572</v>
      </c>
      <c r="D14" s="49">
        <f>AVERAGE('22.08 Lumino-Musita'!D14,'24.08 Lumino-Musita'!D14,'25.08 Lumino-Musita'!D14,'27.08 Lumino-Musita'!D14,'23.08 Lumino-Musita-24h'!D14,'26.08 Lumino-Musita-24h'!D14,'28.08 Lumino-Musita'!D14)</f>
        <v>0.7142857142857143</v>
      </c>
      <c r="E14" s="49">
        <f>AVERAGE('22.08 Lumino-Musita'!E14,'24.08 Lumino-Musita'!E14,'25.08 Lumino-Musita'!E14,'27.08 Lumino-Musita'!E14,'23.08 Lumino-Musita-24h'!E14,'26.08 Lumino-Musita-24h'!E14,'28.08 Lumino-Musita'!E14)</f>
        <v>0.7142857142857143</v>
      </c>
      <c r="F14" s="49">
        <f>AVERAGE('22.08 Lumino-Musita'!F14,'24.08 Lumino-Musita'!F14,'25.08 Lumino-Musita'!F14,'27.08 Lumino-Musita'!F14,'23.08 Lumino-Musita-24h'!F14,'26.08 Lumino-Musita-24h'!F14,'28.08 Lumino-Musita'!F14)</f>
        <v>1.5714285714285714</v>
      </c>
      <c r="G14" s="49">
        <f>AVERAGE('22.08 Lumino-Musita'!G14,'24.08 Lumino-Musita'!G14,'25.08 Lumino-Musita'!G14,'27.08 Lumino-Musita'!G14,'23.08 Lumino-Musita-24h'!G14,'26.08 Lumino-Musita-24h'!G14,'28.08 Lumino-Musita'!G14)</f>
        <v>0</v>
      </c>
      <c r="H14" s="49">
        <f>AVERAGE('22.08 Lumino-Musita'!H14,'24.08 Lumino-Musita'!H14,'25.08 Lumino-Musita'!H14,'27.08 Lumino-Musita'!H14,'23.08 Lumino-Musita-24h'!H14,'26.08 Lumino-Musita-24h'!H14,'28.08 Lumino-Musita'!H14)</f>
        <v>0</v>
      </c>
      <c r="I14" s="49">
        <f>AVERAGE('22.08 Lumino-Musita'!I14,'24.08 Lumino-Musita'!I14,'25.08 Lumino-Musita'!I14,'27.08 Lumino-Musita'!I14,'23.08 Lumino-Musita-24h'!I14,'26.08 Lumino-Musita-24h'!I14,'28.08 Lumino-Musita'!I14)</f>
        <v>1.2857142857142858</v>
      </c>
      <c r="J14" s="49">
        <f>AVERAGE('22.08 Lumino-Musita'!J14,'24.08 Lumino-Musita'!J14,'25.08 Lumino-Musita'!J14,'27.08 Lumino-Musita'!J14,'23.08 Lumino-Musita-24h'!J14,'26.08 Lumino-Musita-24h'!J14,'28.08 Lumino-Musita'!J14)</f>
        <v>1.4285714285714286</v>
      </c>
      <c r="K14" s="49">
        <f>AVERAGE('22.08 Lumino-Musita'!K14,'24.08 Lumino-Musita'!K14,'25.08 Lumino-Musita'!K14,'27.08 Lumino-Musita'!K14,'23.08 Lumino-Musita-24h'!K14,'26.08 Lumino-Musita-24h'!K14,'28.08 Lumino-Musita'!K14)</f>
        <v>0</v>
      </c>
      <c r="L14" s="49">
        <f>AVERAGE('22.08 Lumino-Musita'!L14,'24.08 Lumino-Musita'!L14,'25.08 Lumino-Musita'!L14,'27.08 Lumino-Musita'!L14,'23.08 Lumino-Musita-24h'!L14,'26.08 Lumino-Musita-24h'!L14,'28.08 Lumino-Musita'!L14)</f>
        <v>0.14285714285714285</v>
      </c>
      <c r="M14" s="49">
        <f>AVERAGE('22.08 Lumino-Musita'!M14,'24.08 Lumino-Musita'!M14,'25.08 Lumino-Musita'!M14,'27.08 Lumino-Musita'!M14,'23.08 Lumino-Musita-24h'!M14,'26.08 Lumino-Musita-24h'!M14,'28.08 Lumino-Musita'!M14)</f>
        <v>32.285714285714285</v>
      </c>
      <c r="N14" s="49">
        <f>AVERAGE('22.08 Lumino-Musita'!N14,'24.08 Lumino-Musita'!N14,'25.08 Lumino-Musita'!N14,'27.08 Lumino-Musita'!N14,'23.08 Lumino-Musita-24h'!N14,'26.08 Lumino-Musita-24h'!N14,'28.08 Lumino-Musita'!N14)</f>
        <v>0.14285714285714285</v>
      </c>
      <c r="O14" s="15">
        <f t="shared" si="0"/>
        <v>8.8571428571428559</v>
      </c>
      <c r="P14" s="15">
        <f t="shared" si="1"/>
        <v>41.142857142857146</v>
      </c>
      <c r="R14" s="1" t="s">
        <v>10</v>
      </c>
      <c r="S14" s="17">
        <f t="shared" ref="S14:AF14" si="6">SUM(C26:C29)</f>
        <v>14.428571428571429</v>
      </c>
      <c r="T14" s="17">
        <f t="shared" si="6"/>
        <v>3.714285714285714</v>
      </c>
      <c r="U14" s="17">
        <f t="shared" si="6"/>
        <v>1.7142857142857142</v>
      </c>
      <c r="V14" s="17">
        <f t="shared" si="6"/>
        <v>7.2857142857142856</v>
      </c>
      <c r="W14" s="17">
        <f t="shared" si="6"/>
        <v>0.14285714285714285</v>
      </c>
      <c r="X14" s="17">
        <f t="shared" si="6"/>
        <v>0.14285714285714285</v>
      </c>
      <c r="Y14" s="17">
        <f t="shared" si="6"/>
        <v>8.5714285714285712</v>
      </c>
      <c r="Z14" s="17">
        <f t="shared" si="6"/>
        <v>6.5714285714285712</v>
      </c>
      <c r="AA14" s="17">
        <f t="shared" si="6"/>
        <v>2.1428571428571428</v>
      </c>
      <c r="AB14" s="17">
        <f t="shared" si="6"/>
        <v>1.5714285714285714</v>
      </c>
      <c r="AC14" s="17">
        <f t="shared" si="6"/>
        <v>182.57142857142856</v>
      </c>
      <c r="AD14" s="17">
        <f t="shared" si="6"/>
        <v>0.14285714285714285</v>
      </c>
      <c r="AE14" s="31">
        <f t="shared" si="6"/>
        <v>46.428571428571431</v>
      </c>
      <c r="AF14" s="31">
        <f t="shared" si="6"/>
        <v>229</v>
      </c>
    </row>
    <row r="15" spans="2:32" ht="23.1" customHeight="1" x14ac:dyDescent="0.25">
      <c r="B15" s="23" t="s">
        <v>42</v>
      </c>
      <c r="C15" s="49">
        <f>AVERAGE('22.08 Lumino-Musita'!C15,'24.08 Lumino-Musita'!C15,'25.08 Lumino-Musita'!C15,'27.08 Lumino-Musita'!C15,'23.08 Lumino-Musita-24h'!C15,'26.08 Lumino-Musita-24h'!C15,'28.08 Lumino-Musita'!C15)</f>
        <v>2.5714285714285716</v>
      </c>
      <c r="D15" s="49">
        <f>AVERAGE('22.08 Lumino-Musita'!D15,'24.08 Lumino-Musita'!D15,'25.08 Lumino-Musita'!D15,'27.08 Lumino-Musita'!D15,'23.08 Lumino-Musita-24h'!D15,'26.08 Lumino-Musita-24h'!D15,'28.08 Lumino-Musita'!D15)</f>
        <v>1.4285714285714286</v>
      </c>
      <c r="E15" s="49">
        <f>AVERAGE('22.08 Lumino-Musita'!E15,'24.08 Lumino-Musita'!E15,'25.08 Lumino-Musita'!E15,'27.08 Lumino-Musita'!E15,'23.08 Lumino-Musita-24h'!E15,'26.08 Lumino-Musita-24h'!E15,'28.08 Lumino-Musita'!E15)</f>
        <v>0.42857142857142855</v>
      </c>
      <c r="F15" s="49">
        <f>AVERAGE('22.08 Lumino-Musita'!F15,'24.08 Lumino-Musita'!F15,'25.08 Lumino-Musita'!F15,'27.08 Lumino-Musita'!F15,'23.08 Lumino-Musita-24h'!F15,'26.08 Lumino-Musita-24h'!F15,'28.08 Lumino-Musita'!F15)</f>
        <v>1.1428571428571428</v>
      </c>
      <c r="G15" s="49">
        <f>AVERAGE('22.08 Lumino-Musita'!G15,'24.08 Lumino-Musita'!G15,'25.08 Lumino-Musita'!G15,'27.08 Lumino-Musita'!G15,'23.08 Lumino-Musita-24h'!G15,'26.08 Lumino-Musita-24h'!G15,'28.08 Lumino-Musita'!G15)</f>
        <v>0.5714285714285714</v>
      </c>
      <c r="H15" s="49">
        <f>AVERAGE('22.08 Lumino-Musita'!H15,'24.08 Lumino-Musita'!H15,'25.08 Lumino-Musita'!H15,'27.08 Lumino-Musita'!H15,'23.08 Lumino-Musita-24h'!H15,'26.08 Lumino-Musita-24h'!H15,'28.08 Lumino-Musita'!H15)</f>
        <v>0.2857142857142857</v>
      </c>
      <c r="I15" s="49">
        <f>AVERAGE('22.08 Lumino-Musita'!I15,'24.08 Lumino-Musita'!I15,'25.08 Lumino-Musita'!I15,'27.08 Lumino-Musita'!I15,'23.08 Lumino-Musita-24h'!I15,'26.08 Lumino-Musita-24h'!I15,'28.08 Lumino-Musita'!I15)</f>
        <v>0.42857142857142855</v>
      </c>
      <c r="J15" s="49">
        <f>AVERAGE('22.08 Lumino-Musita'!J15,'24.08 Lumino-Musita'!J15,'25.08 Lumino-Musita'!J15,'27.08 Lumino-Musita'!J15,'23.08 Lumino-Musita-24h'!J15,'26.08 Lumino-Musita-24h'!J15,'28.08 Lumino-Musita'!J15)</f>
        <v>1.4285714285714286</v>
      </c>
      <c r="K15" s="49">
        <f>AVERAGE('22.08 Lumino-Musita'!K15,'24.08 Lumino-Musita'!K15,'25.08 Lumino-Musita'!K15,'27.08 Lumino-Musita'!K15,'23.08 Lumino-Musita-24h'!K15,'26.08 Lumino-Musita-24h'!K15,'28.08 Lumino-Musita'!K15)</f>
        <v>0</v>
      </c>
      <c r="L15" s="49">
        <f>AVERAGE('22.08 Lumino-Musita'!L15,'24.08 Lumino-Musita'!L15,'25.08 Lumino-Musita'!L15,'27.08 Lumino-Musita'!L15,'23.08 Lumino-Musita-24h'!L15,'26.08 Lumino-Musita-24h'!L15,'28.08 Lumino-Musita'!L15)</f>
        <v>0.2857142857142857</v>
      </c>
      <c r="M15" s="49">
        <f>AVERAGE('22.08 Lumino-Musita'!M15,'24.08 Lumino-Musita'!M15,'25.08 Lumino-Musita'!M15,'27.08 Lumino-Musita'!M15,'23.08 Lumino-Musita-24h'!M15,'26.08 Lumino-Musita-24h'!M15,'28.08 Lumino-Musita'!M15)</f>
        <v>37.714285714285715</v>
      </c>
      <c r="N15" s="49">
        <f>AVERAGE('22.08 Lumino-Musita'!N15,'24.08 Lumino-Musita'!N15,'25.08 Lumino-Musita'!N15,'27.08 Lumino-Musita'!N15,'23.08 Lumino-Musita-24h'!N15,'26.08 Lumino-Musita-24h'!N15,'28.08 Lumino-Musita'!N15)</f>
        <v>0</v>
      </c>
      <c r="O15" s="15">
        <f t="shared" si="0"/>
        <v>8.5714285714285712</v>
      </c>
      <c r="P15" s="15">
        <f t="shared" si="1"/>
        <v>46.285714285714285</v>
      </c>
      <c r="R15" s="1" t="s">
        <v>11</v>
      </c>
      <c r="S15" s="17">
        <f t="shared" ref="S15:AF15" si="7">SUM(C30:C33)</f>
        <v>19.428571428571427</v>
      </c>
      <c r="T15" s="17">
        <f t="shared" si="7"/>
        <v>4.1428571428571432</v>
      </c>
      <c r="U15" s="17">
        <f t="shared" si="7"/>
        <v>2.8571428571428568</v>
      </c>
      <c r="V15" s="17">
        <f t="shared" si="7"/>
        <v>6.4285714285714279</v>
      </c>
      <c r="W15" s="17">
        <f t="shared" si="7"/>
        <v>0.71428571428571419</v>
      </c>
      <c r="X15" s="17">
        <f t="shared" si="7"/>
        <v>0</v>
      </c>
      <c r="Y15" s="17">
        <f t="shared" si="7"/>
        <v>8</v>
      </c>
      <c r="Z15" s="17">
        <f t="shared" si="7"/>
        <v>6.5714285714285712</v>
      </c>
      <c r="AA15" s="17">
        <f t="shared" si="7"/>
        <v>1.7142857142857142</v>
      </c>
      <c r="AB15" s="17">
        <f t="shared" si="7"/>
        <v>1.7142857142857144</v>
      </c>
      <c r="AC15" s="17">
        <f t="shared" si="7"/>
        <v>171.42857142857144</v>
      </c>
      <c r="AD15" s="17">
        <f t="shared" si="7"/>
        <v>0.14285714285714285</v>
      </c>
      <c r="AE15" s="31">
        <f t="shared" si="7"/>
        <v>51.714285714285715</v>
      </c>
      <c r="AF15" s="31">
        <f t="shared" si="7"/>
        <v>223.14285714285714</v>
      </c>
    </row>
    <row r="16" spans="2:32" ht="23.1" customHeight="1" x14ac:dyDescent="0.25">
      <c r="B16" s="23" t="s">
        <v>43</v>
      </c>
      <c r="C16" s="49">
        <f>AVERAGE('22.08 Lumino-Musita'!C16,'24.08 Lumino-Musita'!C16,'25.08 Lumino-Musita'!C16,'27.08 Lumino-Musita'!C16,'23.08 Lumino-Musita-24h'!C16,'26.08 Lumino-Musita-24h'!C16,'28.08 Lumino-Musita'!C16)</f>
        <v>2.8571428571428572</v>
      </c>
      <c r="D16" s="49">
        <f>AVERAGE('22.08 Lumino-Musita'!D16,'24.08 Lumino-Musita'!D16,'25.08 Lumino-Musita'!D16,'27.08 Lumino-Musita'!D16,'23.08 Lumino-Musita-24h'!D16,'26.08 Lumino-Musita-24h'!D16,'28.08 Lumino-Musita'!D16)</f>
        <v>1</v>
      </c>
      <c r="E16" s="49">
        <f>AVERAGE('22.08 Lumino-Musita'!E16,'24.08 Lumino-Musita'!E16,'25.08 Lumino-Musita'!E16,'27.08 Lumino-Musita'!E16,'23.08 Lumino-Musita-24h'!E16,'26.08 Lumino-Musita-24h'!E16,'28.08 Lumino-Musita'!E16)</f>
        <v>0.8571428571428571</v>
      </c>
      <c r="F16" s="49">
        <f>AVERAGE('22.08 Lumino-Musita'!F16,'24.08 Lumino-Musita'!F16,'25.08 Lumino-Musita'!F16,'27.08 Lumino-Musita'!F16,'23.08 Lumino-Musita-24h'!F16,'26.08 Lumino-Musita-24h'!F16,'28.08 Lumino-Musita'!F16)</f>
        <v>1.7142857142857142</v>
      </c>
      <c r="G16" s="49">
        <f>AVERAGE('22.08 Lumino-Musita'!G16,'24.08 Lumino-Musita'!G16,'25.08 Lumino-Musita'!G16,'27.08 Lumino-Musita'!G16,'23.08 Lumino-Musita-24h'!G16,'26.08 Lumino-Musita-24h'!G16,'28.08 Lumino-Musita'!G16)</f>
        <v>0.2857142857142857</v>
      </c>
      <c r="H16" s="49">
        <f>AVERAGE('22.08 Lumino-Musita'!H16,'24.08 Lumino-Musita'!H16,'25.08 Lumino-Musita'!H16,'27.08 Lumino-Musita'!H16,'23.08 Lumino-Musita-24h'!H16,'26.08 Lumino-Musita-24h'!H16,'28.08 Lumino-Musita'!H16)</f>
        <v>0</v>
      </c>
      <c r="I16" s="49">
        <f>AVERAGE('22.08 Lumino-Musita'!I16,'24.08 Lumino-Musita'!I16,'25.08 Lumino-Musita'!I16,'27.08 Lumino-Musita'!I16,'23.08 Lumino-Musita-24h'!I16,'26.08 Lumino-Musita-24h'!I16,'28.08 Lumino-Musita'!I16)</f>
        <v>1.4285714285714286</v>
      </c>
      <c r="J16" s="49">
        <f>AVERAGE('22.08 Lumino-Musita'!J16,'24.08 Lumino-Musita'!J16,'25.08 Lumino-Musita'!J16,'27.08 Lumino-Musita'!J16,'23.08 Lumino-Musita-24h'!J16,'26.08 Lumino-Musita-24h'!J16,'28.08 Lumino-Musita'!J16)</f>
        <v>1.8571428571428572</v>
      </c>
      <c r="K16" s="49">
        <f>AVERAGE('22.08 Lumino-Musita'!K16,'24.08 Lumino-Musita'!K16,'25.08 Lumino-Musita'!K16,'27.08 Lumino-Musita'!K16,'23.08 Lumino-Musita-24h'!K16,'26.08 Lumino-Musita-24h'!K16,'28.08 Lumino-Musita'!K16)</f>
        <v>0</v>
      </c>
      <c r="L16" s="49">
        <f>AVERAGE('22.08 Lumino-Musita'!L16,'24.08 Lumino-Musita'!L16,'25.08 Lumino-Musita'!L16,'27.08 Lumino-Musita'!L16,'23.08 Lumino-Musita-24h'!L16,'26.08 Lumino-Musita-24h'!L16,'28.08 Lumino-Musita'!L16)</f>
        <v>0</v>
      </c>
      <c r="M16" s="49">
        <f>AVERAGE('22.08 Lumino-Musita'!M16,'24.08 Lumino-Musita'!M16,'25.08 Lumino-Musita'!M16,'27.08 Lumino-Musita'!M16,'23.08 Lumino-Musita-24h'!M16,'26.08 Lumino-Musita-24h'!M16,'28.08 Lumino-Musita'!M16)</f>
        <v>40.142857142857146</v>
      </c>
      <c r="N16" s="49">
        <f>AVERAGE('22.08 Lumino-Musita'!N16,'24.08 Lumino-Musita'!N16,'25.08 Lumino-Musita'!N16,'27.08 Lumino-Musita'!N16,'23.08 Lumino-Musita-24h'!N16,'26.08 Lumino-Musita-24h'!N16,'28.08 Lumino-Musita'!N16)</f>
        <v>0.2857142857142857</v>
      </c>
      <c r="O16" s="15">
        <f t="shared" si="0"/>
        <v>10.285714285714286</v>
      </c>
      <c r="P16" s="15">
        <f t="shared" si="1"/>
        <v>50.428571428571431</v>
      </c>
      <c r="R16" s="1" t="s">
        <v>12</v>
      </c>
      <c r="S16" s="17">
        <f t="shared" ref="S16:AF16" si="8">SUM(C34:C37)</f>
        <v>17.428571428571431</v>
      </c>
      <c r="T16" s="17">
        <f t="shared" si="8"/>
        <v>2.1428571428571428</v>
      </c>
      <c r="U16" s="17">
        <f t="shared" si="8"/>
        <v>2.4285714285714284</v>
      </c>
      <c r="V16" s="17">
        <f t="shared" si="8"/>
        <v>5.7142857142857144</v>
      </c>
      <c r="W16" s="17">
        <f t="shared" si="8"/>
        <v>0.14285714285714285</v>
      </c>
      <c r="X16" s="17">
        <f t="shared" si="8"/>
        <v>0</v>
      </c>
      <c r="Y16" s="17">
        <f t="shared" si="8"/>
        <v>7.7142857142857144</v>
      </c>
      <c r="Z16" s="17">
        <f t="shared" si="8"/>
        <v>6.5714285714285712</v>
      </c>
      <c r="AA16" s="17">
        <f t="shared" si="8"/>
        <v>0.71428571428571419</v>
      </c>
      <c r="AB16" s="17">
        <f t="shared" si="8"/>
        <v>2.8571428571428568</v>
      </c>
      <c r="AC16" s="17">
        <f t="shared" si="8"/>
        <v>159.57142857142856</v>
      </c>
      <c r="AD16" s="17">
        <f t="shared" si="8"/>
        <v>0.14285714285714285</v>
      </c>
      <c r="AE16" s="31">
        <f t="shared" si="8"/>
        <v>45.857142857142861</v>
      </c>
      <c r="AF16" s="31">
        <f t="shared" si="8"/>
        <v>205.42857142857142</v>
      </c>
    </row>
    <row r="17" spans="2:32" ht="23.1" customHeight="1" x14ac:dyDescent="0.25">
      <c r="B17" s="23" t="s">
        <v>44</v>
      </c>
      <c r="C17" s="49">
        <f>AVERAGE('22.08 Lumino-Musita'!C17,'24.08 Lumino-Musita'!C17,'25.08 Lumino-Musita'!C17,'27.08 Lumino-Musita'!C17,'23.08 Lumino-Musita-24h'!C17,'26.08 Lumino-Musita-24h'!C17,'28.08 Lumino-Musita'!C17)</f>
        <v>3.1428571428571428</v>
      </c>
      <c r="D17" s="49">
        <f>AVERAGE('22.08 Lumino-Musita'!D17,'24.08 Lumino-Musita'!D17,'25.08 Lumino-Musita'!D17,'27.08 Lumino-Musita'!D17,'23.08 Lumino-Musita-24h'!D17,'26.08 Lumino-Musita-24h'!D17,'28.08 Lumino-Musita'!D17)</f>
        <v>1</v>
      </c>
      <c r="E17" s="49">
        <f>AVERAGE('22.08 Lumino-Musita'!E17,'24.08 Lumino-Musita'!E17,'25.08 Lumino-Musita'!E17,'27.08 Lumino-Musita'!E17,'23.08 Lumino-Musita-24h'!E17,'26.08 Lumino-Musita-24h'!E17,'28.08 Lumino-Musita'!E17)</f>
        <v>0.8571428571428571</v>
      </c>
      <c r="F17" s="49">
        <f>AVERAGE('22.08 Lumino-Musita'!F17,'24.08 Lumino-Musita'!F17,'25.08 Lumino-Musita'!F17,'27.08 Lumino-Musita'!F17,'23.08 Lumino-Musita-24h'!F17,'26.08 Lumino-Musita-24h'!F17,'28.08 Lumino-Musita'!F17)</f>
        <v>0.8571428571428571</v>
      </c>
      <c r="G17" s="49">
        <f>AVERAGE('22.08 Lumino-Musita'!G17,'24.08 Lumino-Musita'!G17,'25.08 Lumino-Musita'!G17,'27.08 Lumino-Musita'!G17,'23.08 Lumino-Musita-24h'!G17,'26.08 Lumino-Musita-24h'!G17,'28.08 Lumino-Musita'!G17)</f>
        <v>0.14285714285714285</v>
      </c>
      <c r="H17" s="49">
        <f>AVERAGE('22.08 Lumino-Musita'!H17,'24.08 Lumino-Musita'!H17,'25.08 Lumino-Musita'!H17,'27.08 Lumino-Musita'!H17,'23.08 Lumino-Musita-24h'!H17,'26.08 Lumino-Musita-24h'!H17,'28.08 Lumino-Musita'!H17)</f>
        <v>0</v>
      </c>
      <c r="I17" s="49">
        <f>AVERAGE('22.08 Lumino-Musita'!I17,'24.08 Lumino-Musita'!I17,'25.08 Lumino-Musita'!I17,'27.08 Lumino-Musita'!I17,'23.08 Lumino-Musita-24h'!I17,'26.08 Lumino-Musita-24h'!I17,'28.08 Lumino-Musita'!I17)</f>
        <v>0.8571428571428571</v>
      </c>
      <c r="J17" s="49">
        <f>AVERAGE('22.08 Lumino-Musita'!J17,'24.08 Lumino-Musita'!J17,'25.08 Lumino-Musita'!J17,'27.08 Lumino-Musita'!J17,'23.08 Lumino-Musita-24h'!J17,'26.08 Lumino-Musita-24h'!J17,'28.08 Lumino-Musita'!J17)</f>
        <v>1.1428571428571428</v>
      </c>
      <c r="K17" s="49">
        <f>AVERAGE('22.08 Lumino-Musita'!K17,'24.08 Lumino-Musita'!K17,'25.08 Lumino-Musita'!K17,'27.08 Lumino-Musita'!K17,'23.08 Lumino-Musita-24h'!K17,'26.08 Lumino-Musita-24h'!K17,'28.08 Lumino-Musita'!K17)</f>
        <v>0.14285714285714285</v>
      </c>
      <c r="L17" s="49">
        <f>AVERAGE('22.08 Lumino-Musita'!L17,'24.08 Lumino-Musita'!L17,'25.08 Lumino-Musita'!L17,'27.08 Lumino-Musita'!L17,'23.08 Lumino-Musita-24h'!L17,'26.08 Lumino-Musita-24h'!L17,'28.08 Lumino-Musita'!L17)</f>
        <v>0.14285714285714285</v>
      </c>
      <c r="M17" s="49">
        <f>AVERAGE('22.08 Lumino-Musita'!M17,'24.08 Lumino-Musita'!M17,'25.08 Lumino-Musita'!M17,'27.08 Lumino-Musita'!M17,'23.08 Lumino-Musita-24h'!M17,'26.08 Lumino-Musita-24h'!M17,'28.08 Lumino-Musita'!M17)</f>
        <v>40.142857142857146</v>
      </c>
      <c r="N17" s="49">
        <f>AVERAGE('22.08 Lumino-Musita'!N17,'24.08 Lumino-Musita'!N17,'25.08 Lumino-Musita'!N17,'27.08 Lumino-Musita'!N17,'23.08 Lumino-Musita-24h'!N17,'26.08 Lumino-Musita-24h'!N17,'28.08 Lumino-Musita'!N17)</f>
        <v>0</v>
      </c>
      <c r="O17" s="15">
        <f t="shared" si="0"/>
        <v>8.2857142857142829</v>
      </c>
      <c r="P17" s="15">
        <f t="shared" si="1"/>
        <v>48.428571428571431</v>
      </c>
      <c r="R17" s="1" t="s">
        <v>13</v>
      </c>
      <c r="S17" s="17">
        <f t="shared" ref="S17:AF17" si="9">SUM(C38:C41)</f>
        <v>16</v>
      </c>
      <c r="T17" s="17">
        <f t="shared" si="9"/>
        <v>4.4285714285714288</v>
      </c>
      <c r="U17" s="17">
        <f t="shared" si="9"/>
        <v>3</v>
      </c>
      <c r="V17" s="17">
        <f t="shared" si="9"/>
        <v>7.2857142857142865</v>
      </c>
      <c r="W17" s="17">
        <f t="shared" si="9"/>
        <v>0.2857142857142857</v>
      </c>
      <c r="X17" s="17">
        <f t="shared" si="9"/>
        <v>0.14285714285714285</v>
      </c>
      <c r="Y17" s="17">
        <f t="shared" si="9"/>
        <v>7.2857142857142865</v>
      </c>
      <c r="Z17" s="17">
        <f t="shared" si="9"/>
        <v>7</v>
      </c>
      <c r="AA17" s="17">
        <f t="shared" si="9"/>
        <v>0.8571428571428571</v>
      </c>
      <c r="AB17" s="17">
        <f t="shared" si="9"/>
        <v>1.714285714285714</v>
      </c>
      <c r="AC17" s="17">
        <f t="shared" si="9"/>
        <v>135.42857142857142</v>
      </c>
      <c r="AD17" s="17">
        <f t="shared" si="9"/>
        <v>0</v>
      </c>
      <c r="AE17" s="31">
        <f t="shared" si="9"/>
        <v>48</v>
      </c>
      <c r="AF17" s="31">
        <f t="shared" si="9"/>
        <v>183.42857142857144</v>
      </c>
    </row>
    <row r="18" spans="2:32" ht="23.1" customHeight="1" x14ac:dyDescent="0.25">
      <c r="B18" s="23" t="s">
        <v>45</v>
      </c>
      <c r="C18" s="49">
        <f>AVERAGE('22.08 Lumino-Musita'!C18,'24.08 Lumino-Musita'!C18,'25.08 Lumino-Musita'!C18,'27.08 Lumino-Musita'!C18,'23.08 Lumino-Musita-24h'!C18,'26.08 Lumino-Musita-24h'!C18,'28.08 Lumino-Musita'!C18)</f>
        <v>2.4285714285714284</v>
      </c>
      <c r="D18" s="49">
        <f>AVERAGE('22.08 Lumino-Musita'!D18,'24.08 Lumino-Musita'!D18,'25.08 Lumino-Musita'!D18,'27.08 Lumino-Musita'!D18,'23.08 Lumino-Musita-24h'!D18,'26.08 Lumino-Musita-24h'!D18,'28.08 Lumino-Musita'!D18)</f>
        <v>1.2857142857142858</v>
      </c>
      <c r="E18" s="49">
        <f>AVERAGE('22.08 Lumino-Musita'!E18,'24.08 Lumino-Musita'!E18,'25.08 Lumino-Musita'!E18,'27.08 Lumino-Musita'!E18,'23.08 Lumino-Musita-24h'!E18,'26.08 Lumino-Musita-24h'!E18,'28.08 Lumino-Musita'!E18)</f>
        <v>0.5714285714285714</v>
      </c>
      <c r="F18" s="49">
        <f>AVERAGE('22.08 Lumino-Musita'!F18,'24.08 Lumino-Musita'!F18,'25.08 Lumino-Musita'!F18,'27.08 Lumino-Musita'!F18,'23.08 Lumino-Musita-24h'!F18,'26.08 Lumino-Musita-24h'!F18,'28.08 Lumino-Musita'!F18)</f>
        <v>0.8571428571428571</v>
      </c>
      <c r="G18" s="49">
        <f>AVERAGE('22.08 Lumino-Musita'!G18,'24.08 Lumino-Musita'!G18,'25.08 Lumino-Musita'!G18,'27.08 Lumino-Musita'!G18,'23.08 Lumino-Musita-24h'!G18,'26.08 Lumino-Musita-24h'!G18,'28.08 Lumino-Musita'!G18)</f>
        <v>0.14285714285714285</v>
      </c>
      <c r="H18" s="49">
        <f>AVERAGE('22.08 Lumino-Musita'!H18,'24.08 Lumino-Musita'!H18,'25.08 Lumino-Musita'!H18,'27.08 Lumino-Musita'!H18,'23.08 Lumino-Musita-24h'!H18,'26.08 Lumino-Musita-24h'!H18,'28.08 Lumino-Musita'!H18)</f>
        <v>0</v>
      </c>
      <c r="I18" s="49">
        <f>AVERAGE('22.08 Lumino-Musita'!I18,'24.08 Lumino-Musita'!I18,'25.08 Lumino-Musita'!I18,'27.08 Lumino-Musita'!I18,'23.08 Lumino-Musita-24h'!I18,'26.08 Lumino-Musita-24h'!I18,'28.08 Lumino-Musita'!I18)</f>
        <v>0.7142857142857143</v>
      </c>
      <c r="J18" s="49">
        <f>AVERAGE('22.08 Lumino-Musita'!J18,'24.08 Lumino-Musita'!J18,'25.08 Lumino-Musita'!J18,'27.08 Lumino-Musita'!J18,'23.08 Lumino-Musita-24h'!J18,'26.08 Lumino-Musita-24h'!J18,'28.08 Lumino-Musita'!J18)</f>
        <v>2.1428571428571428</v>
      </c>
      <c r="K18" s="49">
        <f>AVERAGE('22.08 Lumino-Musita'!K18,'24.08 Lumino-Musita'!K18,'25.08 Lumino-Musita'!K18,'27.08 Lumino-Musita'!K18,'23.08 Lumino-Musita-24h'!K18,'26.08 Lumino-Musita-24h'!K18,'28.08 Lumino-Musita'!K18)</f>
        <v>0</v>
      </c>
      <c r="L18" s="49">
        <f>AVERAGE('22.08 Lumino-Musita'!L18,'24.08 Lumino-Musita'!L18,'25.08 Lumino-Musita'!L18,'27.08 Lumino-Musita'!L18,'23.08 Lumino-Musita-24h'!L18,'26.08 Lumino-Musita-24h'!L18,'28.08 Lumino-Musita'!L18)</f>
        <v>0.14285714285714285</v>
      </c>
      <c r="M18" s="49">
        <f>AVERAGE('22.08 Lumino-Musita'!M18,'24.08 Lumino-Musita'!M18,'25.08 Lumino-Musita'!M18,'27.08 Lumino-Musita'!M18,'23.08 Lumino-Musita-24h'!M18,'26.08 Lumino-Musita-24h'!M18,'28.08 Lumino-Musita'!M18)</f>
        <v>32.857142857142854</v>
      </c>
      <c r="N18" s="49">
        <f>AVERAGE('22.08 Lumino-Musita'!N18,'24.08 Lumino-Musita'!N18,'25.08 Lumino-Musita'!N18,'27.08 Lumino-Musita'!N18,'23.08 Lumino-Musita-24h'!N18,'26.08 Lumino-Musita-24h'!N18,'28.08 Lumino-Musita'!N18)</f>
        <v>0.14285714285714285</v>
      </c>
      <c r="O18" s="15">
        <f t="shared" si="0"/>
        <v>8.428571428571427</v>
      </c>
      <c r="P18" s="15">
        <f t="shared" si="1"/>
        <v>41.285714285714285</v>
      </c>
      <c r="R18" s="1" t="s">
        <v>14</v>
      </c>
      <c r="S18" s="17">
        <f t="shared" ref="S18:AF18" si="10">SUM(C42:C45)</f>
        <v>17.571428571428573</v>
      </c>
      <c r="T18" s="17">
        <f t="shared" si="10"/>
        <v>7.2857142857142856</v>
      </c>
      <c r="U18" s="17">
        <f t="shared" si="10"/>
        <v>4.1428571428571423</v>
      </c>
      <c r="V18" s="17">
        <f t="shared" si="10"/>
        <v>5.8571428571428577</v>
      </c>
      <c r="W18" s="17">
        <f t="shared" si="10"/>
        <v>0.2857142857142857</v>
      </c>
      <c r="X18" s="17">
        <f t="shared" si="10"/>
        <v>0</v>
      </c>
      <c r="Y18" s="17">
        <f t="shared" si="10"/>
        <v>7.2857142857142856</v>
      </c>
      <c r="Z18" s="17">
        <f t="shared" si="10"/>
        <v>7.2857142857142856</v>
      </c>
      <c r="AA18" s="17">
        <f t="shared" si="10"/>
        <v>1.5714285714285714</v>
      </c>
      <c r="AB18" s="17">
        <f t="shared" si="10"/>
        <v>3.1428571428571432</v>
      </c>
      <c r="AC18" s="17">
        <f t="shared" si="10"/>
        <v>162.57142857142856</v>
      </c>
      <c r="AD18" s="17">
        <f t="shared" si="10"/>
        <v>0.5714285714285714</v>
      </c>
      <c r="AE18" s="31">
        <f t="shared" si="10"/>
        <v>55</v>
      </c>
      <c r="AF18" s="31">
        <f t="shared" si="10"/>
        <v>217.57142857142858</v>
      </c>
    </row>
    <row r="19" spans="2:32" ht="23.1" customHeight="1" x14ac:dyDescent="0.25">
      <c r="B19" s="23" t="s">
        <v>46</v>
      </c>
      <c r="C19" s="49">
        <f>AVERAGE('22.08 Lumino-Musita'!C19,'24.08 Lumino-Musita'!C19,'25.08 Lumino-Musita'!C19,'27.08 Lumino-Musita'!C19,'23.08 Lumino-Musita-24h'!C19,'26.08 Lumino-Musita-24h'!C19,'28.08 Lumino-Musita'!C19)</f>
        <v>2.5714285714285716</v>
      </c>
      <c r="D19" s="49">
        <f>AVERAGE('22.08 Lumino-Musita'!D19,'24.08 Lumino-Musita'!D19,'25.08 Lumino-Musita'!D19,'27.08 Lumino-Musita'!D19,'23.08 Lumino-Musita-24h'!D19,'26.08 Lumino-Musita-24h'!D19,'28.08 Lumino-Musita'!D19)</f>
        <v>0.2857142857142857</v>
      </c>
      <c r="E19" s="49">
        <f>AVERAGE('22.08 Lumino-Musita'!E19,'24.08 Lumino-Musita'!E19,'25.08 Lumino-Musita'!E19,'27.08 Lumino-Musita'!E19,'23.08 Lumino-Musita-24h'!E19,'26.08 Lumino-Musita-24h'!E19,'28.08 Lumino-Musita'!E19)</f>
        <v>0.42857142857142855</v>
      </c>
      <c r="F19" s="49">
        <f>AVERAGE('22.08 Lumino-Musita'!F19,'24.08 Lumino-Musita'!F19,'25.08 Lumino-Musita'!F19,'27.08 Lumino-Musita'!F19,'23.08 Lumino-Musita-24h'!F19,'26.08 Lumino-Musita-24h'!F19,'28.08 Lumino-Musita'!F19)</f>
        <v>1.8571428571428572</v>
      </c>
      <c r="G19" s="49">
        <f>AVERAGE('22.08 Lumino-Musita'!G19,'24.08 Lumino-Musita'!G19,'25.08 Lumino-Musita'!G19,'27.08 Lumino-Musita'!G19,'23.08 Lumino-Musita-24h'!G19,'26.08 Lumino-Musita-24h'!G19,'28.08 Lumino-Musita'!G19)</f>
        <v>0.14285714285714285</v>
      </c>
      <c r="H19" s="49">
        <f>AVERAGE('22.08 Lumino-Musita'!H19,'24.08 Lumino-Musita'!H19,'25.08 Lumino-Musita'!H19,'27.08 Lumino-Musita'!H19,'23.08 Lumino-Musita-24h'!H19,'26.08 Lumino-Musita-24h'!H19,'28.08 Lumino-Musita'!H19)</f>
        <v>0</v>
      </c>
      <c r="I19" s="49">
        <f>AVERAGE('22.08 Lumino-Musita'!I19,'24.08 Lumino-Musita'!I19,'25.08 Lumino-Musita'!I19,'27.08 Lumino-Musita'!I19,'23.08 Lumino-Musita-24h'!I19,'26.08 Lumino-Musita-24h'!I19,'28.08 Lumino-Musita'!I19)</f>
        <v>1</v>
      </c>
      <c r="J19" s="49">
        <f>AVERAGE('22.08 Lumino-Musita'!J19,'24.08 Lumino-Musita'!J19,'25.08 Lumino-Musita'!J19,'27.08 Lumino-Musita'!J19,'23.08 Lumino-Musita-24h'!J19,'26.08 Lumino-Musita-24h'!J19,'28.08 Lumino-Musita'!J19)</f>
        <v>0.8571428571428571</v>
      </c>
      <c r="K19" s="49">
        <f>AVERAGE('22.08 Lumino-Musita'!K19,'24.08 Lumino-Musita'!K19,'25.08 Lumino-Musita'!K19,'27.08 Lumino-Musita'!K19,'23.08 Lumino-Musita-24h'!K19,'26.08 Lumino-Musita-24h'!K19,'28.08 Lumino-Musita'!K19)</f>
        <v>0</v>
      </c>
      <c r="L19" s="49">
        <f>AVERAGE('22.08 Lumino-Musita'!L19,'24.08 Lumino-Musita'!L19,'25.08 Lumino-Musita'!L19,'27.08 Lumino-Musita'!L19,'23.08 Lumino-Musita-24h'!L19,'26.08 Lumino-Musita-24h'!L19,'28.08 Lumino-Musita'!L19)</f>
        <v>0</v>
      </c>
      <c r="M19" s="49">
        <f>AVERAGE('22.08 Lumino-Musita'!M19,'24.08 Lumino-Musita'!M19,'25.08 Lumino-Musita'!M19,'27.08 Lumino-Musita'!M19,'23.08 Lumino-Musita-24h'!M19,'26.08 Lumino-Musita-24h'!M19,'28.08 Lumino-Musita'!M19)</f>
        <v>38.714285714285715</v>
      </c>
      <c r="N19" s="49">
        <f>AVERAGE('22.08 Lumino-Musita'!N19,'24.08 Lumino-Musita'!N19,'25.08 Lumino-Musita'!N19,'27.08 Lumino-Musita'!N19,'23.08 Lumino-Musita-24h'!N19,'26.08 Lumino-Musita-24h'!N19,'28.08 Lumino-Musita'!N19)</f>
        <v>0.14285714285714285</v>
      </c>
      <c r="O19" s="15">
        <f t="shared" si="0"/>
        <v>7.2857142857142856</v>
      </c>
      <c r="P19" s="15">
        <f t="shared" si="1"/>
        <v>46.000000000000007</v>
      </c>
      <c r="R19" s="1" t="s">
        <v>15</v>
      </c>
      <c r="S19" s="17">
        <f t="shared" ref="S19:AF19" si="11">SUM(C46:C49)</f>
        <v>18.142857142857142</v>
      </c>
      <c r="T19" s="17">
        <f t="shared" si="11"/>
        <v>5.2857142857142856</v>
      </c>
      <c r="U19" s="17">
        <f t="shared" si="11"/>
        <v>5.4285714285714279</v>
      </c>
      <c r="V19" s="17">
        <f t="shared" si="11"/>
        <v>7.2857142857142847</v>
      </c>
      <c r="W19" s="17">
        <f t="shared" si="11"/>
        <v>0.42857142857142855</v>
      </c>
      <c r="X19" s="17">
        <f t="shared" si="11"/>
        <v>0</v>
      </c>
      <c r="Y19" s="17">
        <f t="shared" si="11"/>
        <v>12.142857142857144</v>
      </c>
      <c r="Z19" s="17">
        <f t="shared" si="11"/>
        <v>6.8571428571428577</v>
      </c>
      <c r="AA19" s="17">
        <f t="shared" si="11"/>
        <v>1.2857142857142856</v>
      </c>
      <c r="AB19" s="17">
        <f t="shared" si="11"/>
        <v>3.1428571428571423</v>
      </c>
      <c r="AC19" s="17">
        <f t="shared" si="11"/>
        <v>190.42857142857144</v>
      </c>
      <c r="AD19" s="17">
        <f t="shared" si="11"/>
        <v>0.14285714285714285</v>
      </c>
      <c r="AE19" s="31">
        <f t="shared" si="11"/>
        <v>60.142857142857146</v>
      </c>
      <c r="AF19" s="31">
        <f t="shared" si="11"/>
        <v>250.57142857142858</v>
      </c>
    </row>
    <row r="20" spans="2:32" ht="23.1" customHeight="1" x14ac:dyDescent="0.25">
      <c r="B20" s="23" t="s">
        <v>47</v>
      </c>
      <c r="C20" s="49">
        <f>AVERAGE('22.08 Lumino-Musita'!C20,'24.08 Lumino-Musita'!C20,'25.08 Lumino-Musita'!C20,'27.08 Lumino-Musita'!C20,'23.08 Lumino-Musita-24h'!C20,'26.08 Lumino-Musita-24h'!C20,'28.08 Lumino-Musita'!C20)</f>
        <v>2.8571428571428572</v>
      </c>
      <c r="D20" s="49">
        <f>AVERAGE('22.08 Lumino-Musita'!D20,'24.08 Lumino-Musita'!D20,'25.08 Lumino-Musita'!D20,'27.08 Lumino-Musita'!D20,'23.08 Lumino-Musita-24h'!D20,'26.08 Lumino-Musita-24h'!D20,'28.08 Lumino-Musita'!D20)</f>
        <v>0.14285714285714285</v>
      </c>
      <c r="E20" s="49">
        <f>AVERAGE('22.08 Lumino-Musita'!E20,'24.08 Lumino-Musita'!E20,'25.08 Lumino-Musita'!E20,'27.08 Lumino-Musita'!E20,'23.08 Lumino-Musita-24h'!E20,'26.08 Lumino-Musita-24h'!E20,'28.08 Lumino-Musita'!E20)</f>
        <v>0.42857142857142855</v>
      </c>
      <c r="F20" s="49">
        <f>AVERAGE('22.08 Lumino-Musita'!F20,'24.08 Lumino-Musita'!F20,'25.08 Lumino-Musita'!F20,'27.08 Lumino-Musita'!F20,'23.08 Lumino-Musita-24h'!F20,'26.08 Lumino-Musita-24h'!F20,'28.08 Lumino-Musita'!F20)</f>
        <v>0.8571428571428571</v>
      </c>
      <c r="G20" s="49">
        <f>AVERAGE('22.08 Lumino-Musita'!G20,'24.08 Lumino-Musita'!G20,'25.08 Lumino-Musita'!G20,'27.08 Lumino-Musita'!G20,'23.08 Lumino-Musita-24h'!G20,'26.08 Lumino-Musita-24h'!G20,'28.08 Lumino-Musita'!G20)</f>
        <v>0.14285714285714285</v>
      </c>
      <c r="H20" s="49">
        <f>AVERAGE('22.08 Lumino-Musita'!H20,'24.08 Lumino-Musita'!H20,'25.08 Lumino-Musita'!H20,'27.08 Lumino-Musita'!H20,'23.08 Lumino-Musita-24h'!H20,'26.08 Lumino-Musita-24h'!H20,'28.08 Lumino-Musita'!H20)</f>
        <v>0</v>
      </c>
      <c r="I20" s="49">
        <f>AVERAGE('22.08 Lumino-Musita'!I20,'24.08 Lumino-Musita'!I20,'25.08 Lumino-Musita'!I20,'27.08 Lumino-Musita'!I20,'23.08 Lumino-Musita-24h'!I20,'26.08 Lumino-Musita-24h'!I20,'28.08 Lumino-Musita'!I20)</f>
        <v>0.8571428571428571</v>
      </c>
      <c r="J20" s="49">
        <f>AVERAGE('22.08 Lumino-Musita'!J20,'24.08 Lumino-Musita'!J20,'25.08 Lumino-Musita'!J20,'27.08 Lumino-Musita'!J20,'23.08 Lumino-Musita-24h'!J20,'26.08 Lumino-Musita-24h'!J20,'28.08 Lumino-Musita'!J20)</f>
        <v>1</v>
      </c>
      <c r="K20" s="49">
        <f>AVERAGE('22.08 Lumino-Musita'!K20,'24.08 Lumino-Musita'!K20,'25.08 Lumino-Musita'!K20,'27.08 Lumino-Musita'!K20,'23.08 Lumino-Musita-24h'!K20,'26.08 Lumino-Musita-24h'!K20,'28.08 Lumino-Musita'!K20)</f>
        <v>0.42857142857142855</v>
      </c>
      <c r="L20" s="49">
        <f>AVERAGE('22.08 Lumino-Musita'!L20,'24.08 Lumino-Musita'!L20,'25.08 Lumino-Musita'!L20,'27.08 Lumino-Musita'!L20,'23.08 Lumino-Musita-24h'!L20,'26.08 Lumino-Musita-24h'!L20,'28.08 Lumino-Musita'!L20)</f>
        <v>0.2857142857142857</v>
      </c>
      <c r="M20" s="49">
        <f>AVERAGE('22.08 Lumino-Musita'!M20,'24.08 Lumino-Musita'!M20,'25.08 Lumino-Musita'!M20,'27.08 Lumino-Musita'!M20,'23.08 Lumino-Musita-24h'!M20,'26.08 Lumino-Musita-24h'!M20,'28.08 Lumino-Musita'!M20)</f>
        <v>36.714285714285715</v>
      </c>
      <c r="N20" s="49">
        <f>AVERAGE('22.08 Lumino-Musita'!N20,'24.08 Lumino-Musita'!N20,'25.08 Lumino-Musita'!N20,'27.08 Lumino-Musita'!N20,'23.08 Lumino-Musita-24h'!N20,'26.08 Lumino-Musita-24h'!N20,'28.08 Lumino-Musita'!N20)</f>
        <v>0.42857142857142855</v>
      </c>
      <c r="O20" s="15">
        <f t="shared" si="0"/>
        <v>7.4285714285714288</v>
      </c>
      <c r="P20" s="15">
        <f t="shared" si="1"/>
        <v>44.142857142857146</v>
      </c>
      <c r="R20" s="1" t="s">
        <v>16</v>
      </c>
      <c r="S20" s="17">
        <f t="shared" ref="S20:AF20" si="12">SUM(C50:C53)</f>
        <v>19.142857142857146</v>
      </c>
      <c r="T20" s="17">
        <f t="shared" si="12"/>
        <v>9.7142857142857153</v>
      </c>
      <c r="U20" s="17">
        <f t="shared" si="12"/>
        <v>4.4285714285714279</v>
      </c>
      <c r="V20" s="17">
        <f t="shared" si="12"/>
        <v>8</v>
      </c>
      <c r="W20" s="17">
        <f t="shared" si="12"/>
        <v>0.99999999999999989</v>
      </c>
      <c r="X20" s="17">
        <f t="shared" si="12"/>
        <v>0.14285714285714285</v>
      </c>
      <c r="Y20" s="17">
        <f t="shared" si="12"/>
        <v>12.571428571428573</v>
      </c>
      <c r="Z20" s="17">
        <f t="shared" si="12"/>
        <v>7.8571428571428568</v>
      </c>
      <c r="AA20" s="17">
        <f t="shared" si="12"/>
        <v>1.4285714285714286</v>
      </c>
      <c r="AB20" s="17">
        <f t="shared" si="12"/>
        <v>2.5714285714285712</v>
      </c>
      <c r="AC20" s="17">
        <f t="shared" si="12"/>
        <v>199.28571428571428</v>
      </c>
      <c r="AD20" s="17">
        <f t="shared" si="12"/>
        <v>0.14285714285714285</v>
      </c>
      <c r="AE20" s="31">
        <f t="shared" si="12"/>
        <v>67</v>
      </c>
      <c r="AF20" s="31">
        <f t="shared" si="12"/>
        <v>266.28571428571428</v>
      </c>
    </row>
    <row r="21" spans="2:32" ht="23.1" customHeight="1" x14ac:dyDescent="0.25">
      <c r="B21" s="23" t="s">
        <v>48</v>
      </c>
      <c r="C21" s="49">
        <f>AVERAGE('22.08 Lumino-Musita'!C21,'24.08 Lumino-Musita'!C21,'25.08 Lumino-Musita'!C21,'27.08 Lumino-Musita'!C21,'23.08 Lumino-Musita-24h'!C21,'26.08 Lumino-Musita-24h'!C21,'28.08 Lumino-Musita'!C21)</f>
        <v>4.4285714285714288</v>
      </c>
      <c r="D21" s="49">
        <f>AVERAGE('22.08 Lumino-Musita'!D21,'24.08 Lumino-Musita'!D21,'25.08 Lumino-Musita'!D21,'27.08 Lumino-Musita'!D21,'23.08 Lumino-Musita-24h'!D21,'26.08 Lumino-Musita-24h'!D21,'28.08 Lumino-Musita'!D21)</f>
        <v>1</v>
      </c>
      <c r="E21" s="49">
        <f>AVERAGE('22.08 Lumino-Musita'!E21,'24.08 Lumino-Musita'!E21,'25.08 Lumino-Musita'!E21,'27.08 Lumino-Musita'!E21,'23.08 Lumino-Musita-24h'!E21,'26.08 Lumino-Musita-24h'!E21,'28.08 Lumino-Musita'!E21)</f>
        <v>0.8571428571428571</v>
      </c>
      <c r="F21" s="49">
        <f>AVERAGE('22.08 Lumino-Musita'!F21,'24.08 Lumino-Musita'!F21,'25.08 Lumino-Musita'!F21,'27.08 Lumino-Musita'!F21,'23.08 Lumino-Musita-24h'!F21,'26.08 Lumino-Musita-24h'!F21,'28.08 Lumino-Musita'!F21)</f>
        <v>1.2857142857142858</v>
      </c>
      <c r="G21" s="49">
        <f>AVERAGE('22.08 Lumino-Musita'!G21,'24.08 Lumino-Musita'!G21,'25.08 Lumino-Musita'!G21,'27.08 Lumino-Musita'!G21,'23.08 Lumino-Musita-24h'!G21,'26.08 Lumino-Musita-24h'!G21,'28.08 Lumino-Musita'!G21)</f>
        <v>0</v>
      </c>
      <c r="H21" s="49">
        <f>AVERAGE('22.08 Lumino-Musita'!H21,'24.08 Lumino-Musita'!H21,'25.08 Lumino-Musita'!H21,'27.08 Lumino-Musita'!H21,'23.08 Lumino-Musita-24h'!H21,'26.08 Lumino-Musita-24h'!H21,'28.08 Lumino-Musita'!H21)</f>
        <v>0</v>
      </c>
      <c r="I21" s="49">
        <f>AVERAGE('22.08 Lumino-Musita'!I21,'24.08 Lumino-Musita'!I21,'25.08 Lumino-Musita'!I21,'27.08 Lumino-Musita'!I21,'23.08 Lumino-Musita-24h'!I21,'26.08 Lumino-Musita-24h'!I21,'28.08 Lumino-Musita'!I21)</f>
        <v>1.4285714285714286</v>
      </c>
      <c r="J21" s="49">
        <f>AVERAGE('22.08 Lumino-Musita'!J21,'24.08 Lumino-Musita'!J21,'25.08 Lumino-Musita'!J21,'27.08 Lumino-Musita'!J21,'23.08 Lumino-Musita-24h'!J21,'26.08 Lumino-Musita-24h'!J21,'28.08 Lumino-Musita'!J21)</f>
        <v>0.8571428571428571</v>
      </c>
      <c r="K21" s="49">
        <f>AVERAGE('22.08 Lumino-Musita'!K21,'24.08 Lumino-Musita'!K21,'25.08 Lumino-Musita'!K21,'27.08 Lumino-Musita'!K21,'23.08 Lumino-Musita-24h'!K21,'26.08 Lumino-Musita-24h'!K21,'28.08 Lumino-Musita'!K21)</f>
        <v>0.8571428571428571</v>
      </c>
      <c r="L21" s="49">
        <f>AVERAGE('22.08 Lumino-Musita'!L21,'24.08 Lumino-Musita'!L21,'25.08 Lumino-Musita'!L21,'27.08 Lumino-Musita'!L21,'23.08 Lumino-Musita-24h'!L21,'26.08 Lumino-Musita-24h'!L21,'28.08 Lumino-Musita'!L21)</f>
        <v>0</v>
      </c>
      <c r="M21" s="49">
        <f>AVERAGE('22.08 Lumino-Musita'!M21,'24.08 Lumino-Musita'!M21,'25.08 Lumino-Musita'!M21,'27.08 Lumino-Musita'!M21,'23.08 Lumino-Musita-24h'!M21,'26.08 Lumino-Musita-24h'!M21,'28.08 Lumino-Musita'!M21)</f>
        <v>37.142857142857146</v>
      </c>
      <c r="N21" s="49">
        <f>AVERAGE('22.08 Lumino-Musita'!N21,'24.08 Lumino-Musita'!N21,'25.08 Lumino-Musita'!N21,'27.08 Lumino-Musita'!N21,'23.08 Lumino-Musita-24h'!N21,'26.08 Lumino-Musita-24h'!N21,'28.08 Lumino-Musita'!N21)</f>
        <v>0</v>
      </c>
      <c r="O21" s="15">
        <f t="shared" si="0"/>
        <v>10.714285714285715</v>
      </c>
      <c r="P21" s="15">
        <f t="shared" si="1"/>
        <v>47.857142857142861</v>
      </c>
      <c r="R21" s="36" t="s">
        <v>20</v>
      </c>
      <c r="S21" s="34">
        <f t="shared" ref="S21:AF21" si="13">SUM(C54:C57)</f>
        <v>26.285714285714285</v>
      </c>
      <c r="T21" s="17">
        <f t="shared" si="13"/>
        <v>8.0000000000000018</v>
      </c>
      <c r="U21" s="17">
        <f t="shared" si="13"/>
        <v>5</v>
      </c>
      <c r="V21" s="17">
        <f t="shared" si="13"/>
        <v>9</v>
      </c>
      <c r="W21" s="17">
        <f t="shared" si="13"/>
        <v>0.85714285714285698</v>
      </c>
      <c r="X21" s="17">
        <f t="shared" si="13"/>
        <v>0.14285714285714285</v>
      </c>
      <c r="Y21" s="17">
        <f t="shared" si="13"/>
        <v>10.142857142857142</v>
      </c>
      <c r="Z21" s="17">
        <f t="shared" si="13"/>
        <v>10.285714285714285</v>
      </c>
      <c r="AA21" s="17">
        <f t="shared" si="13"/>
        <v>1</v>
      </c>
      <c r="AB21" s="17">
        <f t="shared" si="13"/>
        <v>2.2857142857142856</v>
      </c>
      <c r="AC21" s="17">
        <f t="shared" si="13"/>
        <v>172.85714285714286</v>
      </c>
      <c r="AD21" s="17">
        <f t="shared" si="13"/>
        <v>0.42857142857142855</v>
      </c>
      <c r="AE21" s="31">
        <f t="shared" si="13"/>
        <v>73.428571428571416</v>
      </c>
      <c r="AF21" s="31">
        <f t="shared" si="13"/>
        <v>246.28571428571428</v>
      </c>
    </row>
    <row r="22" spans="2:32" ht="23.1" customHeight="1" x14ac:dyDescent="0.25">
      <c r="B22" s="23" t="s">
        <v>49</v>
      </c>
      <c r="C22" s="49">
        <f>AVERAGE('22.08 Lumino-Musita'!C22,'24.08 Lumino-Musita'!C22,'25.08 Lumino-Musita'!C22,'27.08 Lumino-Musita'!C22,'23.08 Lumino-Musita-24h'!C22,'26.08 Lumino-Musita-24h'!C22,'28.08 Lumino-Musita'!C22)</f>
        <v>4</v>
      </c>
      <c r="D22" s="49">
        <f>AVERAGE('22.08 Lumino-Musita'!D22,'24.08 Lumino-Musita'!D22,'25.08 Lumino-Musita'!D22,'27.08 Lumino-Musita'!D22,'23.08 Lumino-Musita-24h'!D22,'26.08 Lumino-Musita-24h'!D22,'28.08 Lumino-Musita'!D22)</f>
        <v>0.5714285714285714</v>
      </c>
      <c r="E22" s="49">
        <f>AVERAGE('22.08 Lumino-Musita'!E22,'24.08 Lumino-Musita'!E22,'25.08 Lumino-Musita'!E22,'27.08 Lumino-Musita'!E22,'23.08 Lumino-Musita-24h'!E22,'26.08 Lumino-Musita-24h'!E22,'28.08 Lumino-Musita'!E22)</f>
        <v>0.42857142857142855</v>
      </c>
      <c r="F22" s="49">
        <f>AVERAGE('22.08 Lumino-Musita'!F22,'24.08 Lumino-Musita'!F22,'25.08 Lumino-Musita'!F22,'27.08 Lumino-Musita'!F22,'23.08 Lumino-Musita-24h'!F22,'26.08 Lumino-Musita-24h'!F22,'28.08 Lumino-Musita'!F22)</f>
        <v>1.7142857142857142</v>
      </c>
      <c r="G22" s="49">
        <f>AVERAGE('22.08 Lumino-Musita'!G22,'24.08 Lumino-Musita'!G22,'25.08 Lumino-Musita'!G22,'27.08 Lumino-Musita'!G22,'23.08 Lumino-Musita-24h'!G22,'26.08 Lumino-Musita-24h'!G22,'28.08 Lumino-Musita'!G22)</f>
        <v>0.2857142857142857</v>
      </c>
      <c r="H22" s="49">
        <f>AVERAGE('22.08 Lumino-Musita'!H22,'24.08 Lumino-Musita'!H22,'25.08 Lumino-Musita'!H22,'27.08 Lumino-Musita'!H22,'23.08 Lumino-Musita-24h'!H22,'26.08 Lumino-Musita-24h'!H22,'28.08 Lumino-Musita'!H22)</f>
        <v>0</v>
      </c>
      <c r="I22" s="49">
        <f>AVERAGE('22.08 Lumino-Musita'!I22,'24.08 Lumino-Musita'!I22,'25.08 Lumino-Musita'!I22,'27.08 Lumino-Musita'!I22,'23.08 Lumino-Musita-24h'!I22,'26.08 Lumino-Musita-24h'!I22,'28.08 Lumino-Musita'!I22)</f>
        <v>2</v>
      </c>
      <c r="J22" s="49">
        <f>AVERAGE('22.08 Lumino-Musita'!J22,'24.08 Lumino-Musita'!J22,'25.08 Lumino-Musita'!J22,'27.08 Lumino-Musita'!J22,'23.08 Lumino-Musita-24h'!J22,'26.08 Lumino-Musita-24h'!J22,'28.08 Lumino-Musita'!J22)</f>
        <v>2</v>
      </c>
      <c r="K22" s="49">
        <f>AVERAGE('22.08 Lumino-Musita'!K22,'24.08 Lumino-Musita'!K22,'25.08 Lumino-Musita'!K22,'27.08 Lumino-Musita'!K22,'23.08 Lumino-Musita-24h'!K22,'26.08 Lumino-Musita-24h'!K22,'28.08 Lumino-Musita'!K22)</f>
        <v>0.2857142857142857</v>
      </c>
      <c r="L22" s="49">
        <f>AVERAGE('22.08 Lumino-Musita'!L22,'24.08 Lumino-Musita'!L22,'25.08 Lumino-Musita'!L22,'27.08 Lumino-Musita'!L22,'23.08 Lumino-Musita-24h'!L22,'26.08 Lumino-Musita-24h'!L22,'28.08 Lumino-Musita'!L22)</f>
        <v>0.14285714285714285</v>
      </c>
      <c r="M22" s="49">
        <f>AVERAGE('22.08 Lumino-Musita'!M22,'24.08 Lumino-Musita'!M22,'25.08 Lumino-Musita'!M22,'27.08 Lumino-Musita'!M22,'23.08 Lumino-Musita-24h'!M22,'26.08 Lumino-Musita-24h'!M22,'28.08 Lumino-Musita'!M22)</f>
        <v>40</v>
      </c>
      <c r="N22" s="49">
        <f>AVERAGE('22.08 Lumino-Musita'!N22,'24.08 Lumino-Musita'!N22,'25.08 Lumino-Musita'!N22,'27.08 Lumino-Musita'!N22,'23.08 Lumino-Musita-24h'!N22,'26.08 Lumino-Musita-24h'!N22,'28.08 Lumino-Musita'!N22)</f>
        <v>0.42857142857142855</v>
      </c>
      <c r="O22" s="15">
        <f t="shared" si="0"/>
        <v>11.857142857142858</v>
      </c>
      <c r="P22" s="15">
        <f t="shared" si="1"/>
        <v>51.857142857142861</v>
      </c>
      <c r="R22" s="1" t="s">
        <v>146</v>
      </c>
      <c r="S22" s="34">
        <f>SUM(C58:C61)</f>
        <v>26.5</v>
      </c>
      <c r="T22" s="34">
        <f t="shared" ref="T22:AF22" si="14">SUM(D58:D61)</f>
        <v>3.5</v>
      </c>
      <c r="U22" s="34">
        <f t="shared" si="14"/>
        <v>4.5</v>
      </c>
      <c r="V22" s="34">
        <f t="shared" si="14"/>
        <v>9</v>
      </c>
      <c r="W22" s="34">
        <f t="shared" si="14"/>
        <v>1</v>
      </c>
      <c r="X22" s="34">
        <f t="shared" si="14"/>
        <v>1.5</v>
      </c>
      <c r="Y22" s="34">
        <f t="shared" si="14"/>
        <v>9.5</v>
      </c>
      <c r="Z22" s="34">
        <f t="shared" si="14"/>
        <v>7.5</v>
      </c>
      <c r="AA22" s="34">
        <f t="shared" si="14"/>
        <v>4</v>
      </c>
      <c r="AB22" s="34">
        <f t="shared" si="14"/>
        <v>3</v>
      </c>
      <c r="AC22" s="34">
        <f t="shared" si="14"/>
        <v>163.5</v>
      </c>
      <c r="AD22" s="34">
        <f t="shared" si="14"/>
        <v>1.5</v>
      </c>
      <c r="AE22" s="31">
        <f t="shared" si="14"/>
        <v>71.5</v>
      </c>
      <c r="AF22" s="31">
        <f t="shared" si="14"/>
        <v>235</v>
      </c>
    </row>
    <row r="23" spans="2:32" ht="23.1" customHeight="1" x14ac:dyDescent="0.25">
      <c r="B23" s="23" t="s">
        <v>50</v>
      </c>
      <c r="C23" s="49">
        <f>AVERAGE('22.08 Lumino-Musita'!C23,'24.08 Lumino-Musita'!C23,'25.08 Lumino-Musita'!C23,'27.08 Lumino-Musita'!C23,'23.08 Lumino-Musita-24h'!C23,'26.08 Lumino-Musita-24h'!C23,'28.08 Lumino-Musita'!C23)</f>
        <v>2.2857142857142856</v>
      </c>
      <c r="D23" s="49">
        <f>AVERAGE('22.08 Lumino-Musita'!D23,'24.08 Lumino-Musita'!D23,'25.08 Lumino-Musita'!D23,'27.08 Lumino-Musita'!D23,'23.08 Lumino-Musita-24h'!D23,'26.08 Lumino-Musita-24h'!D23,'28.08 Lumino-Musita'!D23)</f>
        <v>0.5714285714285714</v>
      </c>
      <c r="E23" s="49">
        <f>AVERAGE('22.08 Lumino-Musita'!E23,'24.08 Lumino-Musita'!E23,'25.08 Lumino-Musita'!E23,'27.08 Lumino-Musita'!E23,'23.08 Lumino-Musita-24h'!E23,'26.08 Lumino-Musita-24h'!E23,'28.08 Lumino-Musita'!E23)</f>
        <v>0.5714285714285714</v>
      </c>
      <c r="F23" s="49">
        <f>AVERAGE('22.08 Lumino-Musita'!F23,'24.08 Lumino-Musita'!F23,'25.08 Lumino-Musita'!F23,'27.08 Lumino-Musita'!F23,'23.08 Lumino-Musita-24h'!F23,'26.08 Lumino-Musita-24h'!F23,'28.08 Lumino-Musita'!F23)</f>
        <v>1.7142857142857142</v>
      </c>
      <c r="G23" s="49">
        <f>AVERAGE('22.08 Lumino-Musita'!G23,'24.08 Lumino-Musita'!G23,'25.08 Lumino-Musita'!G23,'27.08 Lumino-Musita'!G23,'23.08 Lumino-Musita-24h'!G23,'26.08 Lumino-Musita-24h'!G23,'28.08 Lumino-Musita'!G23)</f>
        <v>0</v>
      </c>
      <c r="H23" s="49">
        <f>AVERAGE('22.08 Lumino-Musita'!H23,'24.08 Lumino-Musita'!H23,'25.08 Lumino-Musita'!H23,'27.08 Lumino-Musita'!H23,'23.08 Lumino-Musita-24h'!H23,'26.08 Lumino-Musita-24h'!H23,'28.08 Lumino-Musita'!H23)</f>
        <v>0</v>
      </c>
      <c r="I23" s="49">
        <f>AVERAGE('22.08 Lumino-Musita'!I23,'24.08 Lumino-Musita'!I23,'25.08 Lumino-Musita'!I23,'27.08 Lumino-Musita'!I23,'23.08 Lumino-Musita-24h'!I23,'26.08 Lumino-Musita-24h'!I23,'28.08 Lumino-Musita'!I23)</f>
        <v>1.2857142857142858</v>
      </c>
      <c r="J23" s="49">
        <f>AVERAGE('22.08 Lumino-Musita'!J23,'24.08 Lumino-Musita'!J23,'25.08 Lumino-Musita'!J23,'27.08 Lumino-Musita'!J23,'23.08 Lumino-Musita-24h'!J23,'26.08 Lumino-Musita-24h'!J23,'28.08 Lumino-Musita'!J23)</f>
        <v>1.8571428571428572</v>
      </c>
      <c r="K23" s="49">
        <f>AVERAGE('22.08 Lumino-Musita'!K23,'24.08 Lumino-Musita'!K23,'25.08 Lumino-Musita'!K23,'27.08 Lumino-Musita'!K23,'23.08 Lumino-Musita-24h'!K23,'26.08 Lumino-Musita-24h'!K23,'28.08 Lumino-Musita'!K23)</f>
        <v>0.2857142857142857</v>
      </c>
      <c r="L23" s="49">
        <f>AVERAGE('22.08 Lumino-Musita'!L23,'24.08 Lumino-Musita'!L23,'25.08 Lumino-Musita'!L23,'27.08 Lumino-Musita'!L23,'23.08 Lumino-Musita-24h'!L23,'26.08 Lumino-Musita-24h'!L23,'28.08 Lumino-Musita'!L23)</f>
        <v>0.2857142857142857</v>
      </c>
      <c r="M23" s="49">
        <f>AVERAGE('22.08 Lumino-Musita'!M23,'24.08 Lumino-Musita'!M23,'25.08 Lumino-Musita'!M23,'27.08 Lumino-Musita'!M23,'23.08 Lumino-Musita-24h'!M23,'26.08 Lumino-Musita-24h'!M23,'28.08 Lumino-Musita'!M23)</f>
        <v>35.571428571428569</v>
      </c>
      <c r="N23" s="49">
        <f>AVERAGE('22.08 Lumino-Musita'!N23,'24.08 Lumino-Musita'!N23,'25.08 Lumino-Musita'!N23,'27.08 Lumino-Musita'!N23,'23.08 Lumino-Musita-24h'!N23,'26.08 Lumino-Musita-24h'!N23,'28.08 Lumino-Musita'!N23)</f>
        <v>0.14285714285714285</v>
      </c>
      <c r="O23" s="15">
        <f t="shared" si="0"/>
        <v>9</v>
      </c>
      <c r="P23" s="15">
        <f t="shared" si="1"/>
        <v>44.571428571428577</v>
      </c>
      <c r="R23" s="1" t="s">
        <v>147</v>
      </c>
      <c r="S23" s="34">
        <f>SUM(C62:C65)</f>
        <v>23</v>
      </c>
      <c r="T23" s="34">
        <f t="shared" ref="T23:AF23" si="15">SUM(D62:D65)</f>
        <v>1</v>
      </c>
      <c r="U23" s="34">
        <f t="shared" si="15"/>
        <v>2.5</v>
      </c>
      <c r="V23" s="34">
        <f t="shared" si="15"/>
        <v>1.5</v>
      </c>
      <c r="W23" s="34">
        <f t="shared" si="15"/>
        <v>0</v>
      </c>
      <c r="X23" s="34">
        <f t="shared" si="15"/>
        <v>0</v>
      </c>
      <c r="Y23" s="34">
        <f t="shared" si="15"/>
        <v>8.5</v>
      </c>
      <c r="Z23" s="34">
        <f t="shared" si="15"/>
        <v>3</v>
      </c>
      <c r="AA23" s="34">
        <f t="shared" si="15"/>
        <v>1.5</v>
      </c>
      <c r="AB23" s="34">
        <f t="shared" si="15"/>
        <v>7</v>
      </c>
      <c r="AC23" s="34">
        <f t="shared" si="15"/>
        <v>136.5</v>
      </c>
      <c r="AD23" s="34">
        <f t="shared" si="15"/>
        <v>0</v>
      </c>
      <c r="AE23" s="31">
        <f t="shared" si="15"/>
        <v>48</v>
      </c>
      <c r="AF23" s="31">
        <f t="shared" si="15"/>
        <v>184.5</v>
      </c>
    </row>
    <row r="24" spans="2:32" ht="23.1" customHeight="1" x14ac:dyDescent="0.25">
      <c r="B24" s="23" t="s">
        <v>51</v>
      </c>
      <c r="C24" s="49">
        <f>AVERAGE('22.08 Lumino-Musita'!C24,'24.08 Lumino-Musita'!C24,'25.08 Lumino-Musita'!C24,'27.08 Lumino-Musita'!C24,'23.08 Lumino-Musita-24h'!C24,'26.08 Lumino-Musita-24h'!C24,'28.08 Lumino-Musita'!C24)</f>
        <v>2.8571428571428572</v>
      </c>
      <c r="D24" s="49">
        <f>AVERAGE('22.08 Lumino-Musita'!D24,'24.08 Lumino-Musita'!D24,'25.08 Lumino-Musita'!D24,'27.08 Lumino-Musita'!D24,'23.08 Lumino-Musita-24h'!D24,'26.08 Lumino-Musita-24h'!D24,'28.08 Lumino-Musita'!D24)</f>
        <v>1.2857142857142858</v>
      </c>
      <c r="E24" s="49">
        <f>AVERAGE('22.08 Lumino-Musita'!E24,'24.08 Lumino-Musita'!E24,'25.08 Lumino-Musita'!E24,'27.08 Lumino-Musita'!E24,'23.08 Lumino-Musita-24h'!E24,'26.08 Lumino-Musita-24h'!E24,'28.08 Lumino-Musita'!E24)</f>
        <v>0.8571428571428571</v>
      </c>
      <c r="F24" s="49">
        <f>AVERAGE('22.08 Lumino-Musita'!F24,'24.08 Lumino-Musita'!F24,'25.08 Lumino-Musita'!F24,'27.08 Lumino-Musita'!F24,'23.08 Lumino-Musita-24h'!F24,'26.08 Lumino-Musita-24h'!F24,'28.08 Lumino-Musita'!F24)</f>
        <v>1.8571428571428572</v>
      </c>
      <c r="G24" s="49">
        <f>AVERAGE('22.08 Lumino-Musita'!G24,'24.08 Lumino-Musita'!G24,'25.08 Lumino-Musita'!G24,'27.08 Lumino-Musita'!G24,'23.08 Lumino-Musita-24h'!G24,'26.08 Lumino-Musita-24h'!G24,'28.08 Lumino-Musita'!G24)</f>
        <v>0</v>
      </c>
      <c r="H24" s="49">
        <f>AVERAGE('22.08 Lumino-Musita'!H24,'24.08 Lumino-Musita'!H24,'25.08 Lumino-Musita'!H24,'27.08 Lumino-Musita'!H24,'23.08 Lumino-Musita-24h'!H24,'26.08 Lumino-Musita-24h'!H24,'28.08 Lumino-Musita'!H24)</f>
        <v>0</v>
      </c>
      <c r="I24" s="49">
        <f>AVERAGE('22.08 Lumino-Musita'!I24,'24.08 Lumino-Musita'!I24,'25.08 Lumino-Musita'!I24,'27.08 Lumino-Musita'!I24,'23.08 Lumino-Musita-24h'!I24,'26.08 Lumino-Musita-24h'!I24,'28.08 Lumino-Musita'!I24)</f>
        <v>1.4285714285714286</v>
      </c>
      <c r="J24" s="49">
        <f>AVERAGE('22.08 Lumino-Musita'!J24,'24.08 Lumino-Musita'!J24,'25.08 Lumino-Musita'!J24,'27.08 Lumino-Musita'!J24,'23.08 Lumino-Musita-24h'!J24,'26.08 Lumino-Musita-24h'!J24,'28.08 Lumino-Musita'!J24)</f>
        <v>1.5714285714285714</v>
      </c>
      <c r="K24" s="49">
        <f>AVERAGE('22.08 Lumino-Musita'!K24,'24.08 Lumino-Musita'!K24,'25.08 Lumino-Musita'!K24,'27.08 Lumino-Musita'!K24,'23.08 Lumino-Musita-24h'!K24,'26.08 Lumino-Musita-24h'!K24,'28.08 Lumino-Musita'!K24)</f>
        <v>0</v>
      </c>
      <c r="L24" s="49">
        <f>AVERAGE('22.08 Lumino-Musita'!L24,'24.08 Lumino-Musita'!L24,'25.08 Lumino-Musita'!L24,'27.08 Lumino-Musita'!L24,'23.08 Lumino-Musita-24h'!L24,'26.08 Lumino-Musita-24h'!L24,'28.08 Lumino-Musita'!L24)</f>
        <v>0.14285714285714285</v>
      </c>
      <c r="M24" s="49">
        <f>AVERAGE('22.08 Lumino-Musita'!M24,'24.08 Lumino-Musita'!M24,'25.08 Lumino-Musita'!M24,'27.08 Lumino-Musita'!M24,'23.08 Lumino-Musita-24h'!M24,'26.08 Lumino-Musita-24h'!M24,'28.08 Lumino-Musita'!M24)</f>
        <v>41.285714285714285</v>
      </c>
      <c r="N24" s="49">
        <f>AVERAGE('22.08 Lumino-Musita'!N24,'24.08 Lumino-Musita'!N24,'25.08 Lumino-Musita'!N24,'27.08 Lumino-Musita'!N24,'23.08 Lumino-Musita-24h'!N24,'26.08 Lumino-Musita-24h'!N24,'28.08 Lumino-Musita'!N24)</f>
        <v>0</v>
      </c>
      <c r="O24" s="15">
        <f t="shared" si="0"/>
        <v>10</v>
      </c>
      <c r="P24" s="15">
        <f t="shared" si="1"/>
        <v>51.285714285714285</v>
      </c>
      <c r="R24" s="1" t="s">
        <v>148</v>
      </c>
      <c r="S24" s="34">
        <f>SUM(C66:C69)</f>
        <v>10.5</v>
      </c>
      <c r="T24" s="34">
        <f t="shared" ref="T24:AF24" si="16">SUM(D66:D69)</f>
        <v>0.5</v>
      </c>
      <c r="U24" s="34">
        <f t="shared" si="16"/>
        <v>0.5</v>
      </c>
      <c r="V24" s="34">
        <f t="shared" si="16"/>
        <v>3</v>
      </c>
      <c r="W24" s="34">
        <f t="shared" si="16"/>
        <v>0.5</v>
      </c>
      <c r="X24" s="34">
        <f t="shared" si="16"/>
        <v>0</v>
      </c>
      <c r="Y24" s="34">
        <f t="shared" si="16"/>
        <v>3</v>
      </c>
      <c r="Z24" s="34">
        <f t="shared" si="16"/>
        <v>7.5</v>
      </c>
      <c r="AA24" s="34">
        <f t="shared" si="16"/>
        <v>1.5</v>
      </c>
      <c r="AB24" s="34">
        <f t="shared" si="16"/>
        <v>2</v>
      </c>
      <c r="AC24" s="34">
        <f t="shared" si="16"/>
        <v>40.5</v>
      </c>
      <c r="AD24" s="34">
        <f t="shared" si="16"/>
        <v>0.5</v>
      </c>
      <c r="AE24" s="31">
        <f t="shared" si="16"/>
        <v>29.5</v>
      </c>
      <c r="AF24" s="31">
        <f t="shared" si="16"/>
        <v>70</v>
      </c>
    </row>
    <row r="25" spans="2:32" ht="23.1" customHeight="1" x14ac:dyDescent="0.25">
      <c r="B25" s="23" t="s">
        <v>52</v>
      </c>
      <c r="C25" s="49">
        <f>AVERAGE('22.08 Lumino-Musita'!C25,'24.08 Lumino-Musita'!C25,'25.08 Lumino-Musita'!C25,'27.08 Lumino-Musita'!C25,'23.08 Lumino-Musita-24h'!C25,'26.08 Lumino-Musita-24h'!C25,'28.08 Lumino-Musita'!C25)</f>
        <v>3.4285714285714284</v>
      </c>
      <c r="D25" s="49">
        <f>AVERAGE('22.08 Lumino-Musita'!D25,'24.08 Lumino-Musita'!D25,'25.08 Lumino-Musita'!D25,'27.08 Lumino-Musita'!D25,'23.08 Lumino-Musita-24h'!D25,'26.08 Lumino-Musita-24h'!D25,'28.08 Lumino-Musita'!D25)</f>
        <v>0.8571428571428571</v>
      </c>
      <c r="E25" s="49">
        <f>AVERAGE('22.08 Lumino-Musita'!E25,'24.08 Lumino-Musita'!E25,'25.08 Lumino-Musita'!E25,'27.08 Lumino-Musita'!E25,'23.08 Lumino-Musita-24h'!E25,'26.08 Lumino-Musita-24h'!E25,'28.08 Lumino-Musita'!E25)</f>
        <v>1.1428571428571428</v>
      </c>
      <c r="F25" s="49">
        <f>AVERAGE('22.08 Lumino-Musita'!F25,'24.08 Lumino-Musita'!F25,'25.08 Lumino-Musita'!F25,'27.08 Lumino-Musita'!F25,'23.08 Lumino-Musita-24h'!F25,'26.08 Lumino-Musita-24h'!F25,'28.08 Lumino-Musita'!F25)</f>
        <v>1.7142857142857142</v>
      </c>
      <c r="G25" s="49">
        <f>AVERAGE('22.08 Lumino-Musita'!G25,'24.08 Lumino-Musita'!G25,'25.08 Lumino-Musita'!G25,'27.08 Lumino-Musita'!G25,'23.08 Lumino-Musita-24h'!G25,'26.08 Lumino-Musita-24h'!G25,'28.08 Lumino-Musita'!G25)</f>
        <v>0</v>
      </c>
      <c r="H25" s="49">
        <f>AVERAGE('22.08 Lumino-Musita'!H25,'24.08 Lumino-Musita'!H25,'25.08 Lumino-Musita'!H25,'27.08 Lumino-Musita'!H25,'23.08 Lumino-Musita-24h'!H25,'26.08 Lumino-Musita-24h'!H25,'28.08 Lumino-Musita'!H25)</f>
        <v>0</v>
      </c>
      <c r="I25" s="49">
        <f>AVERAGE('22.08 Lumino-Musita'!I25,'24.08 Lumino-Musita'!I25,'25.08 Lumino-Musita'!I25,'27.08 Lumino-Musita'!I25,'23.08 Lumino-Musita-24h'!I25,'26.08 Lumino-Musita-24h'!I25,'28.08 Lumino-Musita'!I25)</f>
        <v>2.2857142857142856</v>
      </c>
      <c r="J25" s="49">
        <f>AVERAGE('22.08 Lumino-Musita'!J25,'24.08 Lumino-Musita'!J25,'25.08 Lumino-Musita'!J25,'27.08 Lumino-Musita'!J25,'23.08 Lumino-Musita-24h'!J25,'26.08 Lumino-Musita-24h'!J25,'28.08 Lumino-Musita'!J25)</f>
        <v>2</v>
      </c>
      <c r="K25" s="49">
        <f>AVERAGE('22.08 Lumino-Musita'!K25,'24.08 Lumino-Musita'!K25,'25.08 Lumino-Musita'!K25,'27.08 Lumino-Musita'!K25,'23.08 Lumino-Musita-24h'!K25,'26.08 Lumino-Musita-24h'!K25,'28.08 Lumino-Musita'!K25)</f>
        <v>0.14285714285714285</v>
      </c>
      <c r="L25" s="49">
        <f>AVERAGE('22.08 Lumino-Musita'!L25,'24.08 Lumino-Musita'!L25,'25.08 Lumino-Musita'!L25,'27.08 Lumino-Musita'!L25,'23.08 Lumino-Musita-24h'!L25,'26.08 Lumino-Musita-24h'!L25,'28.08 Lumino-Musita'!L25)</f>
        <v>0.14285714285714285</v>
      </c>
      <c r="M25" s="49">
        <f>AVERAGE('22.08 Lumino-Musita'!M25,'24.08 Lumino-Musita'!M25,'25.08 Lumino-Musita'!M25,'27.08 Lumino-Musita'!M25,'23.08 Lumino-Musita-24h'!M25,'26.08 Lumino-Musita-24h'!M25,'28.08 Lumino-Musita'!M25)</f>
        <v>39.285714285714285</v>
      </c>
      <c r="N25" s="49">
        <f>AVERAGE('22.08 Lumino-Musita'!N25,'24.08 Lumino-Musita'!N25,'25.08 Lumino-Musita'!N25,'27.08 Lumino-Musita'!N25,'23.08 Lumino-Musita-24h'!N25,'26.08 Lumino-Musita-24h'!N25,'28.08 Lumino-Musita'!N25)</f>
        <v>0</v>
      </c>
      <c r="O25" s="15">
        <f t="shared" si="0"/>
        <v>11.714285714285714</v>
      </c>
      <c r="P25" s="15">
        <f t="shared" si="1"/>
        <v>51</v>
      </c>
      <c r="R25" s="1" t="s">
        <v>149</v>
      </c>
      <c r="S25" s="34">
        <f>SUM(C70:C73)</f>
        <v>7.5</v>
      </c>
      <c r="T25" s="34">
        <f t="shared" ref="T25:AF25" si="17">SUM(D70:D73)</f>
        <v>1.5</v>
      </c>
      <c r="U25" s="34">
        <f t="shared" si="17"/>
        <v>1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8.5</v>
      </c>
      <c r="Z25" s="34">
        <f t="shared" si="17"/>
        <v>4.5</v>
      </c>
      <c r="AA25" s="34">
        <f t="shared" si="17"/>
        <v>1.5</v>
      </c>
      <c r="AB25" s="34">
        <f t="shared" si="17"/>
        <v>2</v>
      </c>
      <c r="AC25" s="34">
        <f t="shared" si="17"/>
        <v>26</v>
      </c>
      <c r="AD25" s="34">
        <f t="shared" si="17"/>
        <v>0</v>
      </c>
      <c r="AE25" s="31">
        <f t="shared" si="17"/>
        <v>27</v>
      </c>
      <c r="AF25" s="31">
        <f t="shared" si="17"/>
        <v>53</v>
      </c>
    </row>
    <row r="26" spans="2:32" ht="23.1" customHeight="1" x14ac:dyDescent="0.25">
      <c r="B26" s="23" t="s">
        <v>53</v>
      </c>
      <c r="C26" s="49">
        <f>AVERAGE('22.08 Lumino-Musita'!C26,'24.08 Lumino-Musita'!C26,'25.08 Lumino-Musita'!C26,'27.08 Lumino-Musita'!C26,'23.08 Lumino-Musita-24h'!C26,'26.08 Lumino-Musita-24h'!C26,'28.08 Lumino-Musita'!C26)</f>
        <v>3.4285714285714284</v>
      </c>
      <c r="D26" s="49">
        <f>AVERAGE('22.08 Lumino-Musita'!D26,'24.08 Lumino-Musita'!D26,'25.08 Lumino-Musita'!D26,'27.08 Lumino-Musita'!D26,'23.08 Lumino-Musita-24h'!D26,'26.08 Lumino-Musita-24h'!D26,'28.08 Lumino-Musita'!D26)</f>
        <v>0.5714285714285714</v>
      </c>
      <c r="E26" s="49">
        <f>AVERAGE('22.08 Lumino-Musita'!E26,'24.08 Lumino-Musita'!E26,'25.08 Lumino-Musita'!E26,'27.08 Lumino-Musita'!E26,'23.08 Lumino-Musita-24h'!E26,'26.08 Lumino-Musita-24h'!E26,'28.08 Lumino-Musita'!E26)</f>
        <v>0.2857142857142857</v>
      </c>
      <c r="F26" s="49">
        <f>AVERAGE('22.08 Lumino-Musita'!F26,'24.08 Lumino-Musita'!F26,'25.08 Lumino-Musita'!F26,'27.08 Lumino-Musita'!F26,'23.08 Lumino-Musita-24h'!F26,'26.08 Lumino-Musita-24h'!F26,'28.08 Lumino-Musita'!F26)</f>
        <v>2.1428571428571428</v>
      </c>
      <c r="G26" s="49">
        <f>AVERAGE('22.08 Lumino-Musita'!G26,'24.08 Lumino-Musita'!G26,'25.08 Lumino-Musita'!G26,'27.08 Lumino-Musita'!G26,'23.08 Lumino-Musita-24h'!G26,'26.08 Lumino-Musita-24h'!G26,'28.08 Lumino-Musita'!G26)</f>
        <v>0</v>
      </c>
      <c r="H26" s="49">
        <f>AVERAGE('22.08 Lumino-Musita'!H26,'24.08 Lumino-Musita'!H26,'25.08 Lumino-Musita'!H26,'27.08 Lumino-Musita'!H26,'23.08 Lumino-Musita-24h'!H26,'26.08 Lumino-Musita-24h'!H26,'28.08 Lumino-Musita'!H26)</f>
        <v>0</v>
      </c>
      <c r="I26" s="49">
        <f>AVERAGE('22.08 Lumino-Musita'!I26,'24.08 Lumino-Musita'!I26,'25.08 Lumino-Musita'!I26,'27.08 Lumino-Musita'!I26,'23.08 Lumino-Musita-24h'!I26,'26.08 Lumino-Musita-24h'!I26,'28.08 Lumino-Musita'!I26)</f>
        <v>2.5714285714285716</v>
      </c>
      <c r="J26" s="49">
        <f>AVERAGE('22.08 Lumino-Musita'!J26,'24.08 Lumino-Musita'!J26,'25.08 Lumino-Musita'!J26,'27.08 Lumino-Musita'!J26,'23.08 Lumino-Musita-24h'!J26,'26.08 Lumino-Musita-24h'!J26,'28.08 Lumino-Musita'!J26)</f>
        <v>1.2857142857142858</v>
      </c>
      <c r="K26" s="49">
        <f>AVERAGE('22.08 Lumino-Musita'!K26,'24.08 Lumino-Musita'!K26,'25.08 Lumino-Musita'!K26,'27.08 Lumino-Musita'!K26,'23.08 Lumino-Musita-24h'!K26,'26.08 Lumino-Musita-24h'!K26,'28.08 Lumino-Musita'!K26)</f>
        <v>0.14285714285714285</v>
      </c>
      <c r="L26" s="49">
        <f>AVERAGE('22.08 Lumino-Musita'!L26,'24.08 Lumino-Musita'!L26,'25.08 Lumino-Musita'!L26,'27.08 Lumino-Musita'!L26,'23.08 Lumino-Musita-24h'!L26,'26.08 Lumino-Musita-24h'!L26,'28.08 Lumino-Musita'!L26)</f>
        <v>0</v>
      </c>
      <c r="M26" s="49">
        <f>AVERAGE('22.08 Lumino-Musita'!M26,'24.08 Lumino-Musita'!M26,'25.08 Lumino-Musita'!M26,'27.08 Lumino-Musita'!M26,'23.08 Lumino-Musita-24h'!M26,'26.08 Lumino-Musita-24h'!M26,'28.08 Lumino-Musita'!M26)</f>
        <v>48.714285714285715</v>
      </c>
      <c r="N26" s="49">
        <f>AVERAGE('22.08 Lumino-Musita'!N26,'24.08 Lumino-Musita'!N26,'25.08 Lumino-Musita'!N26,'27.08 Lumino-Musita'!N26,'23.08 Lumino-Musita-24h'!N26,'26.08 Lumino-Musita-24h'!N26,'28.08 Lumino-Musita'!N26)</f>
        <v>0</v>
      </c>
      <c r="O26" s="15">
        <f t="shared" si="0"/>
        <v>10.428571428571429</v>
      </c>
      <c r="P26" s="15">
        <f t="shared" si="1"/>
        <v>59.142857142857146</v>
      </c>
      <c r="R26" s="1" t="s">
        <v>150</v>
      </c>
      <c r="S26" s="34">
        <f>SUM(C74:C77)</f>
        <v>7.5</v>
      </c>
      <c r="T26" s="34">
        <f t="shared" ref="T26:AF26" si="18">SUM(D74:D77)</f>
        <v>0.5</v>
      </c>
      <c r="U26" s="34">
        <f t="shared" si="18"/>
        <v>1.5</v>
      </c>
      <c r="V26" s="34">
        <f t="shared" si="18"/>
        <v>1.5</v>
      </c>
      <c r="W26" s="34">
        <f t="shared" si="18"/>
        <v>0</v>
      </c>
      <c r="X26" s="34">
        <f t="shared" si="18"/>
        <v>0</v>
      </c>
      <c r="Y26" s="34">
        <f t="shared" si="18"/>
        <v>3.5</v>
      </c>
      <c r="Z26" s="34">
        <f t="shared" si="18"/>
        <v>2.5</v>
      </c>
      <c r="AA26" s="34">
        <f t="shared" si="18"/>
        <v>1</v>
      </c>
      <c r="AB26" s="34">
        <f t="shared" si="18"/>
        <v>4</v>
      </c>
      <c r="AC26" s="34">
        <f t="shared" si="18"/>
        <v>22.5</v>
      </c>
      <c r="AD26" s="34">
        <f t="shared" si="18"/>
        <v>0</v>
      </c>
      <c r="AE26" s="31">
        <f t="shared" si="18"/>
        <v>22</v>
      </c>
      <c r="AF26" s="31">
        <f t="shared" si="18"/>
        <v>44.5</v>
      </c>
    </row>
    <row r="27" spans="2:32" ht="23.1" customHeight="1" x14ac:dyDescent="0.25">
      <c r="B27" s="23" t="s">
        <v>54</v>
      </c>
      <c r="C27" s="49">
        <f>AVERAGE('22.08 Lumino-Musita'!C27,'24.08 Lumino-Musita'!C27,'25.08 Lumino-Musita'!C27,'27.08 Lumino-Musita'!C27,'23.08 Lumino-Musita-24h'!C27,'26.08 Lumino-Musita-24h'!C27,'28.08 Lumino-Musita'!C27)</f>
        <v>3.4285714285714284</v>
      </c>
      <c r="D27" s="49">
        <f>AVERAGE('22.08 Lumino-Musita'!D27,'24.08 Lumino-Musita'!D27,'25.08 Lumino-Musita'!D27,'27.08 Lumino-Musita'!D27,'23.08 Lumino-Musita-24h'!D27,'26.08 Lumino-Musita-24h'!D27,'28.08 Lumino-Musita'!D27)</f>
        <v>0.8571428571428571</v>
      </c>
      <c r="E27" s="49">
        <f>AVERAGE('22.08 Lumino-Musita'!E27,'24.08 Lumino-Musita'!E27,'25.08 Lumino-Musita'!E27,'27.08 Lumino-Musita'!E27,'23.08 Lumino-Musita-24h'!E27,'26.08 Lumino-Musita-24h'!E27,'28.08 Lumino-Musita'!E27)</f>
        <v>0.42857142857142855</v>
      </c>
      <c r="F27" s="49">
        <f>AVERAGE('22.08 Lumino-Musita'!F27,'24.08 Lumino-Musita'!F27,'25.08 Lumino-Musita'!F27,'27.08 Lumino-Musita'!F27,'23.08 Lumino-Musita-24h'!F27,'26.08 Lumino-Musita-24h'!F27,'28.08 Lumino-Musita'!F27)</f>
        <v>1.2857142857142858</v>
      </c>
      <c r="G27" s="49">
        <f>AVERAGE('22.08 Lumino-Musita'!G27,'24.08 Lumino-Musita'!G27,'25.08 Lumino-Musita'!G27,'27.08 Lumino-Musita'!G27,'23.08 Lumino-Musita-24h'!G27,'26.08 Lumino-Musita-24h'!G27,'28.08 Lumino-Musita'!G27)</f>
        <v>0.14285714285714285</v>
      </c>
      <c r="H27" s="49">
        <f>AVERAGE('22.08 Lumino-Musita'!H27,'24.08 Lumino-Musita'!H27,'25.08 Lumino-Musita'!H27,'27.08 Lumino-Musita'!H27,'23.08 Lumino-Musita-24h'!H27,'26.08 Lumino-Musita-24h'!H27,'28.08 Lumino-Musita'!H27)</f>
        <v>0</v>
      </c>
      <c r="I27" s="49">
        <f>AVERAGE('22.08 Lumino-Musita'!I27,'24.08 Lumino-Musita'!I27,'25.08 Lumino-Musita'!I27,'27.08 Lumino-Musita'!I27,'23.08 Lumino-Musita-24h'!I27,'26.08 Lumino-Musita-24h'!I27,'28.08 Lumino-Musita'!I27)</f>
        <v>2</v>
      </c>
      <c r="J27" s="49">
        <f>AVERAGE('22.08 Lumino-Musita'!J27,'24.08 Lumino-Musita'!J27,'25.08 Lumino-Musita'!J27,'27.08 Lumino-Musita'!J27,'23.08 Lumino-Musita-24h'!J27,'26.08 Lumino-Musita-24h'!J27,'28.08 Lumino-Musita'!J27)</f>
        <v>1.7142857142857142</v>
      </c>
      <c r="K27" s="49">
        <f>AVERAGE('22.08 Lumino-Musita'!K27,'24.08 Lumino-Musita'!K27,'25.08 Lumino-Musita'!K27,'27.08 Lumino-Musita'!K27,'23.08 Lumino-Musita-24h'!K27,'26.08 Lumino-Musita-24h'!K27,'28.08 Lumino-Musita'!K27)</f>
        <v>0.7142857142857143</v>
      </c>
      <c r="L27" s="49">
        <f>AVERAGE('22.08 Lumino-Musita'!L27,'24.08 Lumino-Musita'!L27,'25.08 Lumino-Musita'!L27,'27.08 Lumino-Musita'!L27,'23.08 Lumino-Musita-24h'!L27,'26.08 Lumino-Musita-24h'!L27,'28.08 Lumino-Musita'!L27)</f>
        <v>0.2857142857142857</v>
      </c>
      <c r="M27" s="49">
        <f>AVERAGE('22.08 Lumino-Musita'!M27,'24.08 Lumino-Musita'!M27,'25.08 Lumino-Musita'!M27,'27.08 Lumino-Musita'!M27,'23.08 Lumino-Musita-24h'!M27,'26.08 Lumino-Musita-24h'!M27,'28.08 Lumino-Musita'!M27)</f>
        <v>45.142857142857146</v>
      </c>
      <c r="N27" s="49">
        <f>AVERAGE('22.08 Lumino-Musita'!N27,'24.08 Lumino-Musita'!N27,'25.08 Lumino-Musita'!N27,'27.08 Lumino-Musita'!N27,'23.08 Lumino-Musita-24h'!N27,'26.08 Lumino-Musita-24h'!N27,'28.08 Lumino-Musita'!N27)</f>
        <v>0</v>
      </c>
      <c r="O27" s="15">
        <f t="shared" si="0"/>
        <v>10.857142857142856</v>
      </c>
      <c r="P27" s="15">
        <f t="shared" si="1"/>
        <v>56</v>
      </c>
      <c r="R27" s="1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0.5</v>
      </c>
      <c r="X27" s="34">
        <f t="shared" si="19"/>
        <v>1</v>
      </c>
      <c r="Y27" s="34">
        <f t="shared" si="19"/>
        <v>2</v>
      </c>
      <c r="Z27" s="34">
        <f t="shared" si="19"/>
        <v>1.5</v>
      </c>
      <c r="AA27" s="34">
        <f t="shared" si="19"/>
        <v>2.5</v>
      </c>
      <c r="AB27" s="34">
        <f t="shared" si="19"/>
        <v>5</v>
      </c>
      <c r="AC27" s="34">
        <f t="shared" si="19"/>
        <v>3.5</v>
      </c>
      <c r="AD27" s="34">
        <f t="shared" si="19"/>
        <v>0</v>
      </c>
      <c r="AE27" s="31">
        <f t="shared" si="19"/>
        <v>16.5</v>
      </c>
      <c r="AF27" s="31">
        <f t="shared" si="19"/>
        <v>20</v>
      </c>
    </row>
    <row r="28" spans="2:32" ht="23.1" customHeight="1" x14ac:dyDescent="0.25">
      <c r="B28" s="23" t="s">
        <v>55</v>
      </c>
      <c r="C28" s="49">
        <f>AVERAGE('22.08 Lumino-Musita'!C28,'24.08 Lumino-Musita'!C28,'25.08 Lumino-Musita'!C28,'27.08 Lumino-Musita'!C28,'23.08 Lumino-Musita-24h'!C28,'26.08 Lumino-Musita-24h'!C28,'28.08 Lumino-Musita'!C28)</f>
        <v>4</v>
      </c>
      <c r="D28" s="49">
        <f>AVERAGE('22.08 Lumino-Musita'!D28,'24.08 Lumino-Musita'!D28,'25.08 Lumino-Musita'!D28,'27.08 Lumino-Musita'!D28,'23.08 Lumino-Musita-24h'!D28,'26.08 Lumino-Musita-24h'!D28,'28.08 Lumino-Musita'!D28)</f>
        <v>1.8571428571428572</v>
      </c>
      <c r="E28" s="49">
        <f>AVERAGE('22.08 Lumino-Musita'!E28,'24.08 Lumino-Musita'!E28,'25.08 Lumino-Musita'!E28,'27.08 Lumino-Musita'!E28,'23.08 Lumino-Musita-24h'!E28,'26.08 Lumino-Musita-24h'!E28,'28.08 Lumino-Musita'!E28)</f>
        <v>0.42857142857142855</v>
      </c>
      <c r="F28" s="49">
        <f>AVERAGE('22.08 Lumino-Musita'!F28,'24.08 Lumino-Musita'!F28,'25.08 Lumino-Musita'!F28,'27.08 Lumino-Musita'!F28,'23.08 Lumino-Musita-24h'!F28,'26.08 Lumino-Musita-24h'!F28,'28.08 Lumino-Musita'!F28)</f>
        <v>2.2857142857142856</v>
      </c>
      <c r="G28" s="49">
        <f>AVERAGE('22.08 Lumino-Musita'!G28,'24.08 Lumino-Musita'!G28,'25.08 Lumino-Musita'!G28,'27.08 Lumino-Musita'!G28,'23.08 Lumino-Musita-24h'!G28,'26.08 Lumino-Musita-24h'!G28,'28.08 Lumino-Musita'!G28)</f>
        <v>0</v>
      </c>
      <c r="H28" s="49">
        <f>AVERAGE('22.08 Lumino-Musita'!H28,'24.08 Lumino-Musita'!H28,'25.08 Lumino-Musita'!H28,'27.08 Lumino-Musita'!H28,'23.08 Lumino-Musita-24h'!H28,'26.08 Lumino-Musita-24h'!H28,'28.08 Lumino-Musita'!H28)</f>
        <v>0.14285714285714285</v>
      </c>
      <c r="I28" s="49">
        <f>AVERAGE('22.08 Lumino-Musita'!I28,'24.08 Lumino-Musita'!I28,'25.08 Lumino-Musita'!I28,'27.08 Lumino-Musita'!I28,'23.08 Lumino-Musita-24h'!I28,'26.08 Lumino-Musita-24h'!I28,'28.08 Lumino-Musita'!I28)</f>
        <v>1.7142857142857142</v>
      </c>
      <c r="J28" s="49">
        <f>AVERAGE('22.08 Lumino-Musita'!J28,'24.08 Lumino-Musita'!J28,'25.08 Lumino-Musita'!J28,'27.08 Lumino-Musita'!J28,'23.08 Lumino-Musita-24h'!J28,'26.08 Lumino-Musita-24h'!J28,'28.08 Lumino-Musita'!J28)</f>
        <v>2.1428571428571428</v>
      </c>
      <c r="K28" s="49">
        <f>AVERAGE('22.08 Lumino-Musita'!K28,'24.08 Lumino-Musita'!K28,'25.08 Lumino-Musita'!K28,'27.08 Lumino-Musita'!K28,'23.08 Lumino-Musita-24h'!K28,'26.08 Lumino-Musita-24h'!K28,'28.08 Lumino-Musita'!K28)</f>
        <v>0.2857142857142857</v>
      </c>
      <c r="L28" s="49">
        <f>AVERAGE('22.08 Lumino-Musita'!L28,'24.08 Lumino-Musita'!L28,'25.08 Lumino-Musita'!L28,'27.08 Lumino-Musita'!L28,'23.08 Lumino-Musita-24h'!L28,'26.08 Lumino-Musita-24h'!L28,'28.08 Lumino-Musita'!L28)</f>
        <v>0.7142857142857143</v>
      </c>
      <c r="M28" s="49">
        <f>AVERAGE('22.08 Lumino-Musita'!M28,'24.08 Lumino-Musita'!M28,'25.08 Lumino-Musita'!M28,'27.08 Lumino-Musita'!M28,'23.08 Lumino-Musita-24h'!M28,'26.08 Lumino-Musita-24h'!M28,'28.08 Lumino-Musita'!M28)</f>
        <v>44.285714285714285</v>
      </c>
      <c r="N28" s="49">
        <f>AVERAGE('22.08 Lumino-Musita'!N28,'24.08 Lumino-Musita'!N28,'25.08 Lumino-Musita'!N28,'27.08 Lumino-Musita'!N28,'23.08 Lumino-Musita-24h'!N28,'26.08 Lumino-Musita-24h'!N28,'28.08 Lumino-Musita'!N28)</f>
        <v>0.14285714285714285</v>
      </c>
      <c r="O28" s="15">
        <f t="shared" si="0"/>
        <v>13.714285714285714</v>
      </c>
      <c r="P28" s="15">
        <f t="shared" si="1"/>
        <v>58</v>
      </c>
      <c r="R28" s="1" t="s">
        <v>152</v>
      </c>
      <c r="S28" s="34">
        <f>SUM(C82:C85)</f>
        <v>2</v>
      </c>
      <c r="T28" s="34">
        <f t="shared" ref="T28:AF28" si="20">SUM(D82:D85)</f>
        <v>1.5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1.5</v>
      </c>
      <c r="AA28" s="34">
        <f t="shared" si="20"/>
        <v>1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10.5</v>
      </c>
      <c r="AF28" s="31">
        <f t="shared" si="20"/>
        <v>10.5</v>
      </c>
    </row>
    <row r="29" spans="2:32" ht="23.1" customHeight="1" x14ac:dyDescent="0.25">
      <c r="B29" s="23" t="s">
        <v>56</v>
      </c>
      <c r="C29" s="49">
        <f>AVERAGE('22.08 Lumino-Musita'!C29,'24.08 Lumino-Musita'!C29,'25.08 Lumino-Musita'!C29,'27.08 Lumino-Musita'!C29,'23.08 Lumino-Musita-24h'!C29,'26.08 Lumino-Musita-24h'!C29,'28.08 Lumino-Musita'!C29)</f>
        <v>3.5714285714285716</v>
      </c>
      <c r="D29" s="49">
        <f>AVERAGE('22.08 Lumino-Musita'!D29,'24.08 Lumino-Musita'!D29,'25.08 Lumino-Musita'!D29,'27.08 Lumino-Musita'!D29,'23.08 Lumino-Musita-24h'!D29,'26.08 Lumino-Musita-24h'!D29,'28.08 Lumino-Musita'!D29)</f>
        <v>0.42857142857142855</v>
      </c>
      <c r="E29" s="49">
        <f>AVERAGE('22.08 Lumino-Musita'!E29,'24.08 Lumino-Musita'!E29,'25.08 Lumino-Musita'!E29,'27.08 Lumino-Musita'!E29,'23.08 Lumino-Musita-24h'!E29,'26.08 Lumino-Musita-24h'!E29,'28.08 Lumino-Musita'!E29)</f>
        <v>0.5714285714285714</v>
      </c>
      <c r="F29" s="49">
        <f>AVERAGE('22.08 Lumino-Musita'!F29,'24.08 Lumino-Musita'!F29,'25.08 Lumino-Musita'!F29,'27.08 Lumino-Musita'!F29,'23.08 Lumino-Musita-24h'!F29,'26.08 Lumino-Musita-24h'!F29,'28.08 Lumino-Musita'!F29)</f>
        <v>1.5714285714285714</v>
      </c>
      <c r="G29" s="49">
        <f>AVERAGE('22.08 Lumino-Musita'!G29,'24.08 Lumino-Musita'!G29,'25.08 Lumino-Musita'!G29,'27.08 Lumino-Musita'!G29,'23.08 Lumino-Musita-24h'!G29,'26.08 Lumino-Musita-24h'!G29,'28.08 Lumino-Musita'!G29)</f>
        <v>0</v>
      </c>
      <c r="H29" s="49">
        <f>AVERAGE('22.08 Lumino-Musita'!H29,'24.08 Lumino-Musita'!H29,'25.08 Lumino-Musita'!H29,'27.08 Lumino-Musita'!H29,'23.08 Lumino-Musita-24h'!H29,'26.08 Lumino-Musita-24h'!H29,'28.08 Lumino-Musita'!H29)</f>
        <v>0</v>
      </c>
      <c r="I29" s="49">
        <f>AVERAGE('22.08 Lumino-Musita'!I29,'24.08 Lumino-Musita'!I29,'25.08 Lumino-Musita'!I29,'27.08 Lumino-Musita'!I29,'23.08 Lumino-Musita-24h'!I29,'26.08 Lumino-Musita-24h'!I29,'28.08 Lumino-Musita'!I29)</f>
        <v>2.2857142857142856</v>
      </c>
      <c r="J29" s="49">
        <f>AVERAGE('22.08 Lumino-Musita'!J29,'24.08 Lumino-Musita'!J29,'25.08 Lumino-Musita'!J29,'27.08 Lumino-Musita'!J29,'23.08 Lumino-Musita-24h'!J29,'26.08 Lumino-Musita-24h'!J29,'28.08 Lumino-Musita'!J29)</f>
        <v>1.4285714285714286</v>
      </c>
      <c r="K29" s="49">
        <f>AVERAGE('22.08 Lumino-Musita'!K29,'24.08 Lumino-Musita'!K29,'25.08 Lumino-Musita'!K29,'27.08 Lumino-Musita'!K29,'23.08 Lumino-Musita-24h'!K29,'26.08 Lumino-Musita-24h'!K29,'28.08 Lumino-Musita'!K29)</f>
        <v>1</v>
      </c>
      <c r="L29" s="49">
        <f>AVERAGE('22.08 Lumino-Musita'!L29,'24.08 Lumino-Musita'!L29,'25.08 Lumino-Musita'!L29,'27.08 Lumino-Musita'!L29,'23.08 Lumino-Musita-24h'!L29,'26.08 Lumino-Musita-24h'!L29,'28.08 Lumino-Musita'!L29)</f>
        <v>0.5714285714285714</v>
      </c>
      <c r="M29" s="49">
        <f>AVERAGE('22.08 Lumino-Musita'!M29,'24.08 Lumino-Musita'!M29,'25.08 Lumino-Musita'!M29,'27.08 Lumino-Musita'!M29,'23.08 Lumino-Musita-24h'!M29,'26.08 Lumino-Musita-24h'!M29,'28.08 Lumino-Musita'!M29)</f>
        <v>44.428571428571431</v>
      </c>
      <c r="N29" s="49">
        <f>AVERAGE('22.08 Lumino-Musita'!N29,'24.08 Lumino-Musita'!N29,'25.08 Lumino-Musita'!N29,'27.08 Lumino-Musita'!N29,'23.08 Lumino-Musita-24h'!N29,'26.08 Lumino-Musita-24h'!N29,'28.08 Lumino-Musita'!N29)</f>
        <v>0</v>
      </c>
      <c r="O29" s="15">
        <f t="shared" si="0"/>
        <v>11.428571428571427</v>
      </c>
      <c r="P29" s="15">
        <f t="shared" si="1"/>
        <v>55.857142857142861</v>
      </c>
      <c r="R29" s="1" t="s">
        <v>153</v>
      </c>
      <c r="S29" s="34">
        <f>SUM(C86:C89)</f>
        <v>1</v>
      </c>
      <c r="T29" s="34">
        <f t="shared" ref="T29:AF29" si="21">SUM(D86:D89)</f>
        <v>1</v>
      </c>
      <c r="U29" s="34">
        <f t="shared" si="21"/>
        <v>0.5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0.5</v>
      </c>
      <c r="AA29" s="34">
        <f t="shared" si="21"/>
        <v>3.5</v>
      </c>
      <c r="AB29" s="34">
        <f t="shared" si="21"/>
        <v>1.5</v>
      </c>
      <c r="AC29" s="34">
        <f t="shared" si="21"/>
        <v>1</v>
      </c>
      <c r="AD29" s="34">
        <f t="shared" si="21"/>
        <v>0</v>
      </c>
      <c r="AE29" s="31">
        <f t="shared" si="21"/>
        <v>10</v>
      </c>
      <c r="AF29" s="31">
        <f t="shared" si="21"/>
        <v>11</v>
      </c>
    </row>
    <row r="30" spans="2:32" ht="23.1" customHeight="1" x14ac:dyDescent="0.25">
      <c r="B30" s="23" t="s">
        <v>57</v>
      </c>
      <c r="C30" s="49">
        <f>AVERAGE('22.08 Lumino-Musita'!C30,'24.08 Lumino-Musita'!C30,'25.08 Lumino-Musita'!C30,'27.08 Lumino-Musita'!C30,'23.08 Lumino-Musita-24h'!C30,'26.08 Lumino-Musita-24h'!C30,'28.08 Lumino-Musita'!C30)</f>
        <v>4.8571428571428568</v>
      </c>
      <c r="D30" s="49">
        <f>AVERAGE('22.08 Lumino-Musita'!D30,'24.08 Lumino-Musita'!D30,'25.08 Lumino-Musita'!D30,'27.08 Lumino-Musita'!D30,'23.08 Lumino-Musita-24h'!D30,'26.08 Lumino-Musita-24h'!D30,'28.08 Lumino-Musita'!D30)</f>
        <v>1.2857142857142858</v>
      </c>
      <c r="E30" s="49">
        <f>AVERAGE('22.08 Lumino-Musita'!E30,'24.08 Lumino-Musita'!E30,'25.08 Lumino-Musita'!E30,'27.08 Lumino-Musita'!E30,'23.08 Lumino-Musita-24h'!E30,'26.08 Lumino-Musita-24h'!E30,'28.08 Lumino-Musita'!E30)</f>
        <v>1.1428571428571428</v>
      </c>
      <c r="F30" s="49">
        <f>AVERAGE('22.08 Lumino-Musita'!F30,'24.08 Lumino-Musita'!F30,'25.08 Lumino-Musita'!F30,'27.08 Lumino-Musita'!F30,'23.08 Lumino-Musita-24h'!F30,'26.08 Lumino-Musita-24h'!F30,'28.08 Lumino-Musita'!F30)</f>
        <v>1.7142857142857142</v>
      </c>
      <c r="G30" s="49">
        <f>AVERAGE('22.08 Lumino-Musita'!G30,'24.08 Lumino-Musita'!G30,'25.08 Lumino-Musita'!G30,'27.08 Lumino-Musita'!G30,'23.08 Lumino-Musita-24h'!G30,'26.08 Lumino-Musita-24h'!G30,'28.08 Lumino-Musita'!G30)</f>
        <v>0</v>
      </c>
      <c r="H30" s="49">
        <f>AVERAGE('22.08 Lumino-Musita'!H30,'24.08 Lumino-Musita'!H30,'25.08 Lumino-Musita'!H30,'27.08 Lumino-Musita'!H30,'23.08 Lumino-Musita-24h'!H30,'26.08 Lumino-Musita-24h'!H30,'28.08 Lumino-Musita'!H30)</f>
        <v>0</v>
      </c>
      <c r="I30" s="49">
        <f>AVERAGE('22.08 Lumino-Musita'!I30,'24.08 Lumino-Musita'!I30,'25.08 Lumino-Musita'!I30,'27.08 Lumino-Musita'!I30,'23.08 Lumino-Musita-24h'!I30,'26.08 Lumino-Musita-24h'!I30,'28.08 Lumino-Musita'!I30)</f>
        <v>2.5714285714285716</v>
      </c>
      <c r="J30" s="49">
        <f>AVERAGE('22.08 Lumino-Musita'!J30,'24.08 Lumino-Musita'!J30,'25.08 Lumino-Musita'!J30,'27.08 Lumino-Musita'!J30,'23.08 Lumino-Musita-24h'!J30,'26.08 Lumino-Musita-24h'!J30,'28.08 Lumino-Musita'!J30)</f>
        <v>2.2857142857142856</v>
      </c>
      <c r="K30" s="49">
        <f>AVERAGE('22.08 Lumino-Musita'!K30,'24.08 Lumino-Musita'!K30,'25.08 Lumino-Musita'!K30,'27.08 Lumino-Musita'!K30,'23.08 Lumino-Musita-24h'!K30,'26.08 Lumino-Musita-24h'!K30,'28.08 Lumino-Musita'!K30)</f>
        <v>0.8571428571428571</v>
      </c>
      <c r="L30" s="49">
        <f>AVERAGE('22.08 Lumino-Musita'!L30,'24.08 Lumino-Musita'!L30,'25.08 Lumino-Musita'!L30,'27.08 Lumino-Musita'!L30,'23.08 Lumino-Musita-24h'!L30,'26.08 Lumino-Musita-24h'!L30,'28.08 Lumino-Musita'!L30)</f>
        <v>0</v>
      </c>
      <c r="M30" s="49">
        <f>AVERAGE('22.08 Lumino-Musita'!M30,'24.08 Lumino-Musita'!M30,'25.08 Lumino-Musita'!M30,'27.08 Lumino-Musita'!M30,'23.08 Lumino-Musita-24h'!M30,'26.08 Lumino-Musita-24h'!M30,'28.08 Lumino-Musita'!M30)</f>
        <v>47.285714285714285</v>
      </c>
      <c r="N30" s="49">
        <f>AVERAGE('22.08 Lumino-Musita'!N30,'24.08 Lumino-Musita'!N30,'25.08 Lumino-Musita'!N30,'27.08 Lumino-Musita'!N30,'23.08 Lumino-Musita-24h'!N30,'26.08 Lumino-Musita-24h'!N30,'28.08 Lumino-Musita'!N30)</f>
        <v>0</v>
      </c>
      <c r="O30" s="15">
        <f t="shared" si="0"/>
        <v>14.714285714285712</v>
      </c>
      <c r="P30" s="15">
        <f t="shared" si="1"/>
        <v>62</v>
      </c>
      <c r="R30" s="1" t="s">
        <v>154</v>
      </c>
      <c r="S30" s="34">
        <f>SUM(C90:C93)</f>
        <v>2</v>
      </c>
      <c r="T30" s="34">
        <f t="shared" ref="T30:AF30" si="22">SUM(D90:D93)</f>
        <v>2.5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0.5</v>
      </c>
      <c r="Y30" s="34">
        <f t="shared" si="22"/>
        <v>1</v>
      </c>
      <c r="Z30" s="34">
        <f t="shared" si="22"/>
        <v>1</v>
      </c>
      <c r="AA30" s="34">
        <f t="shared" si="22"/>
        <v>1.5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11.5</v>
      </c>
      <c r="AF30" s="31">
        <f t="shared" si="22"/>
        <v>11.5</v>
      </c>
    </row>
    <row r="31" spans="2:32" ht="23.1" customHeight="1" x14ac:dyDescent="0.25">
      <c r="B31" s="24" t="s">
        <v>58</v>
      </c>
      <c r="C31" s="49">
        <f>AVERAGE('22.08 Lumino-Musita'!C31,'24.08 Lumino-Musita'!C31,'25.08 Lumino-Musita'!C31,'27.08 Lumino-Musita'!C31,'23.08 Lumino-Musita-24h'!C31,'26.08 Lumino-Musita-24h'!C31,'28.08 Lumino-Musita'!C31)</f>
        <v>5.1428571428571432</v>
      </c>
      <c r="D31" s="49">
        <f>AVERAGE('22.08 Lumino-Musita'!D31,'24.08 Lumino-Musita'!D31,'25.08 Lumino-Musita'!D31,'27.08 Lumino-Musita'!D31,'23.08 Lumino-Musita-24h'!D31,'26.08 Lumino-Musita-24h'!D31,'28.08 Lumino-Musita'!D31)</f>
        <v>1</v>
      </c>
      <c r="E31" s="49">
        <f>AVERAGE('22.08 Lumino-Musita'!E31,'24.08 Lumino-Musita'!E31,'25.08 Lumino-Musita'!E31,'27.08 Lumino-Musita'!E31,'23.08 Lumino-Musita-24h'!E31,'26.08 Lumino-Musita-24h'!E31,'28.08 Lumino-Musita'!E31)</f>
        <v>0.5714285714285714</v>
      </c>
      <c r="F31" s="49">
        <f>AVERAGE('22.08 Lumino-Musita'!F31,'24.08 Lumino-Musita'!F31,'25.08 Lumino-Musita'!F31,'27.08 Lumino-Musita'!F31,'23.08 Lumino-Musita-24h'!F31,'26.08 Lumino-Musita-24h'!F31,'28.08 Lumino-Musita'!F31)</f>
        <v>1.1428571428571428</v>
      </c>
      <c r="G31" s="49">
        <f>AVERAGE('22.08 Lumino-Musita'!G31,'24.08 Lumino-Musita'!G31,'25.08 Lumino-Musita'!G31,'27.08 Lumino-Musita'!G31,'23.08 Lumino-Musita-24h'!G31,'26.08 Lumino-Musita-24h'!G31,'28.08 Lumino-Musita'!G31)</f>
        <v>0</v>
      </c>
      <c r="H31" s="49">
        <f>AVERAGE('22.08 Lumino-Musita'!H31,'24.08 Lumino-Musita'!H31,'25.08 Lumino-Musita'!H31,'27.08 Lumino-Musita'!H31,'23.08 Lumino-Musita-24h'!H31,'26.08 Lumino-Musita-24h'!H31,'28.08 Lumino-Musita'!H31)</f>
        <v>0</v>
      </c>
      <c r="I31" s="49">
        <f>AVERAGE('22.08 Lumino-Musita'!I31,'24.08 Lumino-Musita'!I31,'25.08 Lumino-Musita'!I31,'27.08 Lumino-Musita'!I31,'23.08 Lumino-Musita-24h'!I31,'26.08 Lumino-Musita-24h'!I31,'28.08 Lumino-Musita'!I31)</f>
        <v>1.5714285714285714</v>
      </c>
      <c r="J31" s="49">
        <f>AVERAGE('22.08 Lumino-Musita'!J31,'24.08 Lumino-Musita'!J31,'25.08 Lumino-Musita'!J31,'27.08 Lumino-Musita'!J31,'23.08 Lumino-Musita-24h'!J31,'26.08 Lumino-Musita-24h'!J31,'28.08 Lumino-Musita'!J31)</f>
        <v>1</v>
      </c>
      <c r="K31" s="49">
        <f>AVERAGE('22.08 Lumino-Musita'!K31,'24.08 Lumino-Musita'!K31,'25.08 Lumino-Musita'!K31,'27.08 Lumino-Musita'!K31,'23.08 Lumino-Musita-24h'!K31,'26.08 Lumino-Musita-24h'!K31,'28.08 Lumino-Musita'!K31)</f>
        <v>0.14285714285714285</v>
      </c>
      <c r="L31" s="49">
        <f>AVERAGE('22.08 Lumino-Musita'!L31,'24.08 Lumino-Musita'!L31,'25.08 Lumino-Musita'!L31,'27.08 Lumino-Musita'!L31,'23.08 Lumino-Musita-24h'!L31,'26.08 Lumino-Musita-24h'!L31,'28.08 Lumino-Musita'!L31)</f>
        <v>0.5714285714285714</v>
      </c>
      <c r="M31" s="49">
        <f>AVERAGE('22.08 Lumino-Musita'!M31,'24.08 Lumino-Musita'!M31,'25.08 Lumino-Musita'!M31,'27.08 Lumino-Musita'!M31,'23.08 Lumino-Musita-24h'!M31,'26.08 Lumino-Musita-24h'!M31,'28.08 Lumino-Musita'!M31)</f>
        <v>41.142857142857146</v>
      </c>
      <c r="N31" s="49">
        <f>AVERAGE('22.08 Lumino-Musita'!N31,'24.08 Lumino-Musita'!N31,'25.08 Lumino-Musita'!N31,'27.08 Lumino-Musita'!N31,'23.08 Lumino-Musita-24h'!N31,'26.08 Lumino-Musita-24h'!N31,'28.08 Lumino-Musita'!N31)</f>
        <v>0</v>
      </c>
      <c r="O31" s="15">
        <f t="shared" si="0"/>
        <v>11.142857142857142</v>
      </c>
      <c r="P31" s="15">
        <f t="shared" si="1"/>
        <v>52.285714285714292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1.5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2.5</v>
      </c>
      <c r="Z31" s="34">
        <f t="shared" si="23"/>
        <v>2</v>
      </c>
      <c r="AA31" s="34">
        <f t="shared" si="23"/>
        <v>1.5</v>
      </c>
      <c r="AB31" s="34">
        <f t="shared" si="23"/>
        <v>1</v>
      </c>
      <c r="AC31" s="34">
        <f t="shared" si="23"/>
        <v>6.5</v>
      </c>
      <c r="AD31" s="34">
        <f t="shared" si="23"/>
        <v>0</v>
      </c>
      <c r="AE31" s="31">
        <f t="shared" si="23"/>
        <v>13.5</v>
      </c>
      <c r="AF31" s="31">
        <f t="shared" si="23"/>
        <v>20</v>
      </c>
    </row>
    <row r="32" spans="2:32" ht="23.1" customHeight="1" x14ac:dyDescent="0.25">
      <c r="B32" s="24" t="s">
        <v>59</v>
      </c>
      <c r="C32" s="49">
        <f>AVERAGE('22.08 Lumino-Musita'!C32,'24.08 Lumino-Musita'!C32,'25.08 Lumino-Musita'!C32,'27.08 Lumino-Musita'!C32,'23.08 Lumino-Musita-24h'!C32,'26.08 Lumino-Musita-24h'!C32,'28.08 Lumino-Musita'!C32)</f>
        <v>4.2857142857142856</v>
      </c>
      <c r="D32" s="49">
        <f>AVERAGE('22.08 Lumino-Musita'!D32,'24.08 Lumino-Musita'!D32,'25.08 Lumino-Musita'!D32,'27.08 Lumino-Musita'!D32,'23.08 Lumino-Musita-24h'!D32,'26.08 Lumino-Musita-24h'!D32,'28.08 Lumino-Musita'!D32)</f>
        <v>1.4285714285714286</v>
      </c>
      <c r="E32" s="49">
        <f>AVERAGE('22.08 Lumino-Musita'!E32,'24.08 Lumino-Musita'!E32,'25.08 Lumino-Musita'!E32,'27.08 Lumino-Musita'!E32,'23.08 Lumino-Musita-24h'!E32,'26.08 Lumino-Musita-24h'!E32,'28.08 Lumino-Musita'!E32)</f>
        <v>0.7142857142857143</v>
      </c>
      <c r="F32" s="49">
        <f>AVERAGE('22.08 Lumino-Musita'!F32,'24.08 Lumino-Musita'!F32,'25.08 Lumino-Musita'!F32,'27.08 Lumino-Musita'!F32,'23.08 Lumino-Musita-24h'!F32,'26.08 Lumino-Musita-24h'!F32,'28.08 Lumino-Musita'!F32)</f>
        <v>2</v>
      </c>
      <c r="G32" s="49">
        <f>AVERAGE('22.08 Lumino-Musita'!G32,'24.08 Lumino-Musita'!G32,'25.08 Lumino-Musita'!G32,'27.08 Lumino-Musita'!G32,'23.08 Lumino-Musita-24h'!G32,'26.08 Lumino-Musita-24h'!G32,'28.08 Lumino-Musita'!G32)</f>
        <v>0.5714285714285714</v>
      </c>
      <c r="H32" s="49">
        <f>AVERAGE('22.08 Lumino-Musita'!H32,'24.08 Lumino-Musita'!H32,'25.08 Lumino-Musita'!H32,'27.08 Lumino-Musita'!H32,'23.08 Lumino-Musita-24h'!H32,'26.08 Lumino-Musita-24h'!H32,'28.08 Lumino-Musita'!H32)</f>
        <v>0</v>
      </c>
      <c r="I32" s="49">
        <f>AVERAGE('22.08 Lumino-Musita'!I32,'24.08 Lumino-Musita'!I32,'25.08 Lumino-Musita'!I32,'27.08 Lumino-Musita'!I32,'23.08 Lumino-Musita-24h'!I32,'26.08 Lumino-Musita-24h'!I32,'28.08 Lumino-Musita'!I32)</f>
        <v>1.7142857142857142</v>
      </c>
      <c r="J32" s="49">
        <f>AVERAGE('22.08 Lumino-Musita'!J32,'24.08 Lumino-Musita'!J32,'25.08 Lumino-Musita'!J32,'27.08 Lumino-Musita'!J32,'23.08 Lumino-Musita-24h'!J32,'26.08 Lumino-Musita-24h'!J32,'28.08 Lumino-Musita'!J32)</f>
        <v>1.8571428571428572</v>
      </c>
      <c r="K32" s="49">
        <f>AVERAGE('22.08 Lumino-Musita'!K32,'24.08 Lumino-Musita'!K32,'25.08 Lumino-Musita'!K32,'27.08 Lumino-Musita'!K32,'23.08 Lumino-Musita-24h'!K32,'26.08 Lumino-Musita-24h'!K32,'28.08 Lumino-Musita'!K32)</f>
        <v>0.14285714285714285</v>
      </c>
      <c r="L32" s="49">
        <f>AVERAGE('22.08 Lumino-Musita'!L32,'24.08 Lumino-Musita'!L32,'25.08 Lumino-Musita'!L32,'27.08 Lumino-Musita'!L32,'23.08 Lumino-Musita-24h'!L32,'26.08 Lumino-Musita-24h'!L32,'28.08 Lumino-Musita'!L32)</f>
        <v>0.42857142857142855</v>
      </c>
      <c r="M32" s="49">
        <f>AVERAGE('22.08 Lumino-Musita'!M32,'24.08 Lumino-Musita'!M32,'25.08 Lumino-Musita'!M32,'27.08 Lumino-Musita'!M32,'23.08 Lumino-Musita-24h'!M32,'26.08 Lumino-Musita-24h'!M32,'28.08 Lumino-Musita'!M32)</f>
        <v>42.428571428571431</v>
      </c>
      <c r="N32" s="49">
        <f>AVERAGE('22.08 Lumino-Musita'!N32,'24.08 Lumino-Musita'!N32,'25.08 Lumino-Musita'!N32,'27.08 Lumino-Musita'!N32,'23.08 Lumino-Musita-24h'!N32,'26.08 Lumino-Musita-24h'!N32,'28.08 Lumino-Musita'!N32)</f>
        <v>0</v>
      </c>
      <c r="O32" s="15">
        <f t="shared" si="0"/>
        <v>13.142857142857142</v>
      </c>
      <c r="P32" s="15">
        <f t="shared" si="1"/>
        <v>55.571428571428569</v>
      </c>
      <c r="R32" s="1" t="s">
        <v>156</v>
      </c>
      <c r="S32" s="34">
        <f>SUM(C98:C101)</f>
        <v>3</v>
      </c>
      <c r="T32" s="34">
        <f t="shared" ref="T32:AF32" si="24">SUM(D98:D101)</f>
        <v>1.5</v>
      </c>
      <c r="U32" s="34">
        <f t="shared" si="24"/>
        <v>3</v>
      </c>
      <c r="V32" s="34">
        <f t="shared" si="24"/>
        <v>4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2</v>
      </c>
      <c r="AA32" s="34">
        <f t="shared" si="24"/>
        <v>1.5</v>
      </c>
      <c r="AB32" s="34">
        <f t="shared" si="24"/>
        <v>1.5</v>
      </c>
      <c r="AC32" s="34">
        <f t="shared" si="24"/>
        <v>19.5</v>
      </c>
      <c r="AD32" s="34">
        <f t="shared" si="24"/>
        <v>0</v>
      </c>
      <c r="AE32" s="31">
        <f t="shared" si="24"/>
        <v>17.5</v>
      </c>
      <c r="AF32" s="31">
        <f t="shared" si="24"/>
        <v>37</v>
      </c>
    </row>
    <row r="33" spans="2:32" ht="23.1" customHeight="1" x14ac:dyDescent="0.25">
      <c r="B33" s="23" t="s">
        <v>60</v>
      </c>
      <c r="C33" s="49">
        <f>AVERAGE('22.08 Lumino-Musita'!C33,'24.08 Lumino-Musita'!C33,'25.08 Lumino-Musita'!C33,'27.08 Lumino-Musita'!C33,'23.08 Lumino-Musita-24h'!C33,'26.08 Lumino-Musita-24h'!C33,'28.08 Lumino-Musita'!C33)</f>
        <v>5.1428571428571432</v>
      </c>
      <c r="D33" s="49">
        <f>AVERAGE('22.08 Lumino-Musita'!D33,'24.08 Lumino-Musita'!D33,'25.08 Lumino-Musita'!D33,'27.08 Lumino-Musita'!D33,'23.08 Lumino-Musita-24h'!D33,'26.08 Lumino-Musita-24h'!D33,'28.08 Lumino-Musita'!D33)</f>
        <v>0.42857142857142855</v>
      </c>
      <c r="E33" s="49">
        <f>AVERAGE('22.08 Lumino-Musita'!E33,'24.08 Lumino-Musita'!E33,'25.08 Lumino-Musita'!E33,'27.08 Lumino-Musita'!E33,'23.08 Lumino-Musita-24h'!E33,'26.08 Lumino-Musita-24h'!E33,'28.08 Lumino-Musita'!E33)</f>
        <v>0.42857142857142855</v>
      </c>
      <c r="F33" s="49">
        <f>AVERAGE('22.08 Lumino-Musita'!F33,'24.08 Lumino-Musita'!F33,'25.08 Lumino-Musita'!F33,'27.08 Lumino-Musita'!F33,'23.08 Lumino-Musita-24h'!F33,'26.08 Lumino-Musita-24h'!F33,'28.08 Lumino-Musita'!F33)</f>
        <v>1.5714285714285714</v>
      </c>
      <c r="G33" s="49">
        <f>AVERAGE('22.08 Lumino-Musita'!G33,'24.08 Lumino-Musita'!G33,'25.08 Lumino-Musita'!G33,'27.08 Lumino-Musita'!G33,'23.08 Lumino-Musita-24h'!G33,'26.08 Lumino-Musita-24h'!G33,'28.08 Lumino-Musita'!G33)</f>
        <v>0.14285714285714285</v>
      </c>
      <c r="H33" s="49">
        <f>AVERAGE('22.08 Lumino-Musita'!H33,'24.08 Lumino-Musita'!H33,'25.08 Lumino-Musita'!H33,'27.08 Lumino-Musita'!H33,'23.08 Lumino-Musita-24h'!H33,'26.08 Lumino-Musita-24h'!H33,'28.08 Lumino-Musita'!H33)</f>
        <v>0</v>
      </c>
      <c r="I33" s="49">
        <f>AVERAGE('22.08 Lumino-Musita'!I33,'24.08 Lumino-Musita'!I33,'25.08 Lumino-Musita'!I33,'27.08 Lumino-Musita'!I33,'23.08 Lumino-Musita-24h'!I33,'26.08 Lumino-Musita-24h'!I33,'28.08 Lumino-Musita'!I33)</f>
        <v>2.1428571428571428</v>
      </c>
      <c r="J33" s="49">
        <f>AVERAGE('22.08 Lumino-Musita'!J33,'24.08 Lumino-Musita'!J33,'25.08 Lumino-Musita'!J33,'27.08 Lumino-Musita'!J33,'23.08 Lumino-Musita-24h'!J33,'26.08 Lumino-Musita-24h'!J33,'28.08 Lumino-Musita'!J33)</f>
        <v>1.4285714285714286</v>
      </c>
      <c r="K33" s="49">
        <f>AVERAGE('22.08 Lumino-Musita'!K33,'24.08 Lumino-Musita'!K33,'25.08 Lumino-Musita'!K33,'27.08 Lumino-Musita'!K33,'23.08 Lumino-Musita-24h'!K33,'26.08 Lumino-Musita-24h'!K33,'28.08 Lumino-Musita'!K33)</f>
        <v>0.5714285714285714</v>
      </c>
      <c r="L33" s="49">
        <f>AVERAGE('22.08 Lumino-Musita'!L33,'24.08 Lumino-Musita'!L33,'25.08 Lumino-Musita'!L33,'27.08 Lumino-Musita'!L33,'23.08 Lumino-Musita-24h'!L33,'26.08 Lumino-Musita-24h'!L33,'28.08 Lumino-Musita'!L33)</f>
        <v>0.7142857142857143</v>
      </c>
      <c r="M33" s="49">
        <f>AVERAGE('22.08 Lumino-Musita'!M33,'24.08 Lumino-Musita'!M33,'25.08 Lumino-Musita'!M33,'27.08 Lumino-Musita'!M33,'23.08 Lumino-Musita-24h'!M33,'26.08 Lumino-Musita-24h'!M33,'28.08 Lumino-Musita'!M33)</f>
        <v>40.571428571428569</v>
      </c>
      <c r="N33" s="49">
        <f>AVERAGE('22.08 Lumino-Musita'!N33,'24.08 Lumino-Musita'!N33,'25.08 Lumino-Musita'!N33,'27.08 Lumino-Musita'!N33,'23.08 Lumino-Musita-24h'!N33,'26.08 Lumino-Musita-24h'!N33,'28.08 Lumino-Musita'!N33)</f>
        <v>0.14285714285714285</v>
      </c>
      <c r="O33" s="15">
        <f t="shared" si="0"/>
        <v>12.714285714285714</v>
      </c>
      <c r="P33" s="15">
        <f t="shared" si="1"/>
        <v>53.285714285714285</v>
      </c>
      <c r="R33" s="1" t="s">
        <v>157</v>
      </c>
      <c r="S33" s="34">
        <f>SUM(C102:C105)</f>
        <v>10</v>
      </c>
      <c r="T33" s="34">
        <f t="shared" ref="T33:AF33" si="25">SUM(D102:D105)</f>
        <v>2</v>
      </c>
      <c r="U33" s="34">
        <f t="shared" si="25"/>
        <v>3</v>
      </c>
      <c r="V33" s="34">
        <f t="shared" si="25"/>
        <v>7.5</v>
      </c>
      <c r="W33" s="34">
        <f t="shared" si="25"/>
        <v>1</v>
      </c>
      <c r="X33" s="34">
        <f t="shared" si="25"/>
        <v>1</v>
      </c>
      <c r="Y33" s="34">
        <f t="shared" si="25"/>
        <v>4</v>
      </c>
      <c r="Z33" s="34">
        <f t="shared" si="25"/>
        <v>5</v>
      </c>
      <c r="AA33" s="34">
        <f t="shared" si="25"/>
        <v>2.5</v>
      </c>
      <c r="AB33" s="34">
        <f t="shared" si="25"/>
        <v>1.5</v>
      </c>
      <c r="AC33" s="34">
        <f t="shared" si="25"/>
        <v>56.5</v>
      </c>
      <c r="AD33" s="34">
        <f t="shared" si="25"/>
        <v>0.5</v>
      </c>
      <c r="AE33" s="31">
        <f t="shared" si="25"/>
        <v>38</v>
      </c>
      <c r="AF33" s="31">
        <f t="shared" si="25"/>
        <v>94.5</v>
      </c>
    </row>
    <row r="34" spans="2:32" ht="23.1" customHeight="1" x14ac:dyDescent="0.25">
      <c r="B34" s="24" t="s">
        <v>61</v>
      </c>
      <c r="C34" s="49">
        <f>AVERAGE('22.08 Lumino-Musita'!C34,'24.08 Lumino-Musita'!C34,'25.08 Lumino-Musita'!C34,'27.08 Lumino-Musita'!C34,'23.08 Lumino-Musita-24h'!C34,'26.08 Lumino-Musita-24h'!C34,'28.08 Lumino-Musita'!C34)</f>
        <v>6</v>
      </c>
      <c r="D34" s="49">
        <f>AVERAGE('22.08 Lumino-Musita'!D34,'24.08 Lumino-Musita'!D34,'25.08 Lumino-Musita'!D34,'27.08 Lumino-Musita'!D34,'23.08 Lumino-Musita-24h'!D34,'26.08 Lumino-Musita-24h'!D34,'28.08 Lumino-Musita'!D34)</f>
        <v>0.2857142857142857</v>
      </c>
      <c r="E34" s="49">
        <f>AVERAGE('22.08 Lumino-Musita'!E34,'24.08 Lumino-Musita'!E34,'25.08 Lumino-Musita'!E34,'27.08 Lumino-Musita'!E34,'23.08 Lumino-Musita-24h'!E34,'26.08 Lumino-Musita-24h'!E34,'28.08 Lumino-Musita'!E34)</f>
        <v>0.7142857142857143</v>
      </c>
      <c r="F34" s="49">
        <f>AVERAGE('22.08 Lumino-Musita'!F34,'24.08 Lumino-Musita'!F34,'25.08 Lumino-Musita'!F34,'27.08 Lumino-Musita'!F34,'23.08 Lumino-Musita-24h'!F34,'26.08 Lumino-Musita-24h'!F34,'28.08 Lumino-Musita'!F34)</f>
        <v>1.8571428571428572</v>
      </c>
      <c r="G34" s="49">
        <f>AVERAGE('22.08 Lumino-Musita'!G34,'24.08 Lumino-Musita'!G34,'25.08 Lumino-Musita'!G34,'27.08 Lumino-Musita'!G34,'23.08 Lumino-Musita-24h'!G34,'26.08 Lumino-Musita-24h'!G34,'28.08 Lumino-Musita'!G34)</f>
        <v>0</v>
      </c>
      <c r="H34" s="49">
        <f>AVERAGE('22.08 Lumino-Musita'!H34,'24.08 Lumino-Musita'!H34,'25.08 Lumino-Musita'!H34,'27.08 Lumino-Musita'!H34,'23.08 Lumino-Musita-24h'!H34,'26.08 Lumino-Musita-24h'!H34,'28.08 Lumino-Musita'!H34)</f>
        <v>0</v>
      </c>
      <c r="I34" s="49">
        <f>AVERAGE('22.08 Lumino-Musita'!I34,'24.08 Lumino-Musita'!I34,'25.08 Lumino-Musita'!I34,'27.08 Lumino-Musita'!I34,'23.08 Lumino-Musita-24h'!I34,'26.08 Lumino-Musita-24h'!I34,'28.08 Lumino-Musita'!I34)</f>
        <v>2.7142857142857144</v>
      </c>
      <c r="J34" s="49">
        <f>AVERAGE('22.08 Lumino-Musita'!J34,'24.08 Lumino-Musita'!J34,'25.08 Lumino-Musita'!J34,'27.08 Lumino-Musita'!J34,'23.08 Lumino-Musita-24h'!J34,'26.08 Lumino-Musita-24h'!J34,'28.08 Lumino-Musita'!J34)</f>
        <v>1.4285714285714286</v>
      </c>
      <c r="K34" s="49">
        <f>AVERAGE('22.08 Lumino-Musita'!K34,'24.08 Lumino-Musita'!K34,'25.08 Lumino-Musita'!K34,'27.08 Lumino-Musita'!K34,'23.08 Lumino-Musita-24h'!K34,'26.08 Lumino-Musita-24h'!K34,'28.08 Lumino-Musita'!K34)</f>
        <v>0.14285714285714285</v>
      </c>
      <c r="L34" s="49">
        <f>AVERAGE('22.08 Lumino-Musita'!L34,'24.08 Lumino-Musita'!L34,'25.08 Lumino-Musita'!L34,'27.08 Lumino-Musita'!L34,'23.08 Lumino-Musita-24h'!L34,'26.08 Lumino-Musita-24h'!L34,'28.08 Lumino-Musita'!L34)</f>
        <v>0.7142857142857143</v>
      </c>
      <c r="M34" s="49">
        <f>AVERAGE('22.08 Lumino-Musita'!M34,'24.08 Lumino-Musita'!M34,'25.08 Lumino-Musita'!M34,'27.08 Lumino-Musita'!M34,'23.08 Lumino-Musita-24h'!M34,'26.08 Lumino-Musita-24h'!M34,'28.08 Lumino-Musita'!M34)</f>
        <v>36.428571428571431</v>
      </c>
      <c r="N34" s="49">
        <f>AVERAGE('22.08 Lumino-Musita'!N34,'24.08 Lumino-Musita'!N34,'25.08 Lumino-Musita'!N34,'27.08 Lumino-Musita'!N34,'23.08 Lumino-Musita-24h'!N34,'26.08 Lumino-Musita-24h'!N34,'28.08 Lumino-Musita'!N34)</f>
        <v>0</v>
      </c>
      <c r="O34" s="15">
        <f t="shared" si="0"/>
        <v>13.857142857142858</v>
      </c>
      <c r="P34" s="15">
        <f t="shared" si="1"/>
        <v>50.285714285714292</v>
      </c>
      <c r="R34" s="38" t="s">
        <v>90</v>
      </c>
      <c r="S34" s="39">
        <f t="shared" ref="S34:AF34" si="26">MAX(S10:S12)</f>
        <v>12.285714285714286</v>
      </c>
      <c r="T34" s="39">
        <f t="shared" si="26"/>
        <v>4.1428571428571423</v>
      </c>
      <c r="U34" s="39">
        <f t="shared" si="26"/>
        <v>3.4285714285714288</v>
      </c>
      <c r="V34" s="39">
        <f t="shared" si="26"/>
        <v>6.5714285714285712</v>
      </c>
      <c r="W34" s="39">
        <f t="shared" si="26"/>
        <v>1</v>
      </c>
      <c r="X34" s="39">
        <f t="shared" si="26"/>
        <v>0.5714285714285714</v>
      </c>
      <c r="Y34" s="39">
        <f t="shared" si="26"/>
        <v>4</v>
      </c>
      <c r="Z34" s="39">
        <f t="shared" si="26"/>
        <v>5.8571428571428577</v>
      </c>
      <c r="AA34" s="39">
        <f t="shared" si="26"/>
        <v>1.2857142857142856</v>
      </c>
      <c r="AB34" s="39">
        <f t="shared" si="26"/>
        <v>0.5714285714285714</v>
      </c>
      <c r="AC34" s="39">
        <f t="shared" si="26"/>
        <v>150.28571428571428</v>
      </c>
      <c r="AD34" s="39">
        <f t="shared" si="26"/>
        <v>0.71428571428571419</v>
      </c>
      <c r="AE34" s="40">
        <f t="shared" si="26"/>
        <v>36</v>
      </c>
      <c r="AF34" s="40">
        <f t="shared" si="26"/>
        <v>186.28571428571428</v>
      </c>
    </row>
    <row r="35" spans="2:32" ht="23.1" customHeight="1" x14ac:dyDescent="0.25">
      <c r="B35" s="24" t="s">
        <v>62</v>
      </c>
      <c r="C35" s="49">
        <f>AVERAGE('22.08 Lumino-Musita'!C35,'24.08 Lumino-Musita'!C35,'25.08 Lumino-Musita'!C35,'27.08 Lumino-Musita'!C35,'23.08 Lumino-Musita-24h'!C35,'26.08 Lumino-Musita-24h'!C35,'28.08 Lumino-Musita'!C35)</f>
        <v>3.5714285714285716</v>
      </c>
      <c r="D35" s="49">
        <f>AVERAGE('22.08 Lumino-Musita'!D35,'24.08 Lumino-Musita'!D35,'25.08 Lumino-Musita'!D35,'27.08 Lumino-Musita'!D35,'23.08 Lumino-Musita-24h'!D35,'26.08 Lumino-Musita-24h'!D35,'28.08 Lumino-Musita'!D35)</f>
        <v>1</v>
      </c>
      <c r="E35" s="49">
        <f>AVERAGE('22.08 Lumino-Musita'!E35,'24.08 Lumino-Musita'!E35,'25.08 Lumino-Musita'!E35,'27.08 Lumino-Musita'!E35,'23.08 Lumino-Musita-24h'!E35,'26.08 Lumino-Musita-24h'!E35,'28.08 Lumino-Musita'!E35)</f>
        <v>0.5714285714285714</v>
      </c>
      <c r="F35" s="49">
        <f>AVERAGE('22.08 Lumino-Musita'!F35,'24.08 Lumino-Musita'!F35,'25.08 Lumino-Musita'!F35,'27.08 Lumino-Musita'!F35,'23.08 Lumino-Musita-24h'!F35,'26.08 Lumino-Musita-24h'!F35,'28.08 Lumino-Musita'!F35)</f>
        <v>1</v>
      </c>
      <c r="G35" s="49">
        <f>AVERAGE('22.08 Lumino-Musita'!G35,'24.08 Lumino-Musita'!G35,'25.08 Lumino-Musita'!G35,'27.08 Lumino-Musita'!G35,'23.08 Lumino-Musita-24h'!G35,'26.08 Lumino-Musita-24h'!G35,'28.08 Lumino-Musita'!G35)</f>
        <v>0</v>
      </c>
      <c r="H35" s="49">
        <f>AVERAGE('22.08 Lumino-Musita'!H35,'24.08 Lumino-Musita'!H35,'25.08 Lumino-Musita'!H35,'27.08 Lumino-Musita'!H35,'23.08 Lumino-Musita-24h'!H35,'26.08 Lumino-Musita-24h'!H35,'28.08 Lumino-Musita'!H35)</f>
        <v>0</v>
      </c>
      <c r="I35" s="49">
        <f>AVERAGE('22.08 Lumino-Musita'!I35,'24.08 Lumino-Musita'!I35,'25.08 Lumino-Musita'!I35,'27.08 Lumino-Musita'!I35,'23.08 Lumino-Musita-24h'!I35,'26.08 Lumino-Musita-24h'!I35,'28.08 Lumino-Musita'!I35)</f>
        <v>1.1428571428571428</v>
      </c>
      <c r="J35" s="49">
        <f>AVERAGE('22.08 Lumino-Musita'!J35,'24.08 Lumino-Musita'!J35,'25.08 Lumino-Musita'!J35,'27.08 Lumino-Musita'!J35,'23.08 Lumino-Musita-24h'!J35,'26.08 Lumino-Musita-24h'!J35,'28.08 Lumino-Musita'!J35)</f>
        <v>1.8571428571428572</v>
      </c>
      <c r="K35" s="49">
        <f>AVERAGE('22.08 Lumino-Musita'!K35,'24.08 Lumino-Musita'!K35,'25.08 Lumino-Musita'!K35,'27.08 Lumino-Musita'!K35,'23.08 Lumino-Musita-24h'!K35,'26.08 Lumino-Musita-24h'!K35,'28.08 Lumino-Musita'!K35)</f>
        <v>0.14285714285714285</v>
      </c>
      <c r="L35" s="49">
        <f>AVERAGE('22.08 Lumino-Musita'!L35,'24.08 Lumino-Musita'!L35,'25.08 Lumino-Musita'!L35,'27.08 Lumino-Musita'!L35,'23.08 Lumino-Musita-24h'!L35,'26.08 Lumino-Musita-24h'!L35,'28.08 Lumino-Musita'!L35)</f>
        <v>0.5714285714285714</v>
      </c>
      <c r="M35" s="49">
        <f>AVERAGE('22.08 Lumino-Musita'!M35,'24.08 Lumino-Musita'!M35,'25.08 Lumino-Musita'!M35,'27.08 Lumino-Musita'!M35,'23.08 Lumino-Musita-24h'!M35,'26.08 Lumino-Musita-24h'!M35,'28.08 Lumino-Musita'!M35)</f>
        <v>37.285714285714285</v>
      </c>
      <c r="N35" s="49">
        <f>AVERAGE('22.08 Lumino-Musita'!N35,'24.08 Lumino-Musita'!N35,'25.08 Lumino-Musita'!N35,'27.08 Lumino-Musita'!N35,'23.08 Lumino-Musita-24h'!N35,'26.08 Lumino-Musita-24h'!N35,'28.08 Lumino-Musita'!N35)</f>
        <v>0</v>
      </c>
      <c r="O35" s="15">
        <f t="shared" si="0"/>
        <v>9.8571428571428559</v>
      </c>
      <c r="P35" s="15">
        <f t="shared" si="1"/>
        <v>47.142857142857139</v>
      </c>
      <c r="R35" s="38" t="s">
        <v>91</v>
      </c>
      <c r="S35" s="39">
        <f t="shared" ref="S35:AF35" si="27">MAX(S13:S18)</f>
        <v>19.428571428571427</v>
      </c>
      <c r="T35" s="39">
        <f t="shared" si="27"/>
        <v>7.2857142857142856</v>
      </c>
      <c r="U35" s="39">
        <f t="shared" si="27"/>
        <v>4.1428571428571423</v>
      </c>
      <c r="V35" s="39">
        <f t="shared" si="27"/>
        <v>7.2857142857142865</v>
      </c>
      <c r="W35" s="39">
        <f t="shared" si="27"/>
        <v>0.71428571428571419</v>
      </c>
      <c r="X35" s="39">
        <f t="shared" si="27"/>
        <v>0.14285714285714285</v>
      </c>
      <c r="Y35" s="39">
        <f t="shared" si="27"/>
        <v>8.5714285714285712</v>
      </c>
      <c r="Z35" s="39">
        <f t="shared" si="27"/>
        <v>7.4285714285714288</v>
      </c>
      <c r="AA35" s="39">
        <f t="shared" si="27"/>
        <v>2.1428571428571428</v>
      </c>
      <c r="AB35" s="39">
        <f t="shared" si="27"/>
        <v>3.1428571428571432</v>
      </c>
      <c r="AC35" s="39">
        <f t="shared" si="27"/>
        <v>182.57142857142856</v>
      </c>
      <c r="AD35" s="39">
        <f t="shared" si="27"/>
        <v>0.5714285714285714</v>
      </c>
      <c r="AE35" s="40">
        <f t="shared" si="27"/>
        <v>55</v>
      </c>
      <c r="AF35" s="40">
        <f t="shared" si="27"/>
        <v>229</v>
      </c>
    </row>
    <row r="36" spans="2:32" ht="23.1" customHeight="1" x14ac:dyDescent="0.25">
      <c r="B36" s="24" t="s">
        <v>63</v>
      </c>
      <c r="C36" s="49">
        <f>AVERAGE('22.08 Lumino-Musita'!C36,'24.08 Lumino-Musita'!C36,'25.08 Lumino-Musita'!C36,'27.08 Lumino-Musita'!C36,'23.08 Lumino-Musita-24h'!C36,'26.08 Lumino-Musita-24h'!C36,'28.08 Lumino-Musita'!C36)</f>
        <v>4.2857142857142856</v>
      </c>
      <c r="D36" s="49">
        <f>AVERAGE('22.08 Lumino-Musita'!D36,'24.08 Lumino-Musita'!D36,'25.08 Lumino-Musita'!D36,'27.08 Lumino-Musita'!D36,'23.08 Lumino-Musita-24h'!D36,'26.08 Lumino-Musita-24h'!D36,'28.08 Lumino-Musita'!D36)</f>
        <v>0.42857142857142855</v>
      </c>
      <c r="E36" s="49">
        <f>AVERAGE('22.08 Lumino-Musita'!E36,'24.08 Lumino-Musita'!E36,'25.08 Lumino-Musita'!E36,'27.08 Lumino-Musita'!E36,'23.08 Lumino-Musita-24h'!E36,'26.08 Lumino-Musita-24h'!E36,'28.08 Lumino-Musita'!E36)</f>
        <v>0.5714285714285714</v>
      </c>
      <c r="F36" s="49">
        <f>AVERAGE('22.08 Lumino-Musita'!F36,'24.08 Lumino-Musita'!F36,'25.08 Lumino-Musita'!F36,'27.08 Lumino-Musita'!F36,'23.08 Lumino-Musita-24h'!F36,'26.08 Lumino-Musita-24h'!F36,'28.08 Lumino-Musita'!F36)</f>
        <v>1.2857142857142858</v>
      </c>
      <c r="G36" s="49">
        <f>AVERAGE('22.08 Lumino-Musita'!G36,'24.08 Lumino-Musita'!G36,'25.08 Lumino-Musita'!G36,'27.08 Lumino-Musita'!G36,'23.08 Lumino-Musita-24h'!G36,'26.08 Lumino-Musita-24h'!G36,'28.08 Lumino-Musita'!G36)</f>
        <v>0.14285714285714285</v>
      </c>
      <c r="H36" s="49">
        <f>AVERAGE('22.08 Lumino-Musita'!H36,'24.08 Lumino-Musita'!H36,'25.08 Lumino-Musita'!H36,'27.08 Lumino-Musita'!H36,'23.08 Lumino-Musita-24h'!H36,'26.08 Lumino-Musita-24h'!H36,'28.08 Lumino-Musita'!H36)</f>
        <v>0</v>
      </c>
      <c r="I36" s="49">
        <f>AVERAGE('22.08 Lumino-Musita'!I36,'24.08 Lumino-Musita'!I36,'25.08 Lumino-Musita'!I36,'27.08 Lumino-Musita'!I36,'23.08 Lumino-Musita-24h'!I36,'26.08 Lumino-Musita-24h'!I36,'28.08 Lumino-Musita'!I36)</f>
        <v>2.1428571428571428</v>
      </c>
      <c r="J36" s="49">
        <f>AVERAGE('22.08 Lumino-Musita'!J36,'24.08 Lumino-Musita'!J36,'25.08 Lumino-Musita'!J36,'27.08 Lumino-Musita'!J36,'23.08 Lumino-Musita-24h'!J36,'26.08 Lumino-Musita-24h'!J36,'28.08 Lumino-Musita'!J36)</f>
        <v>1.1428571428571428</v>
      </c>
      <c r="K36" s="49">
        <f>AVERAGE('22.08 Lumino-Musita'!K36,'24.08 Lumino-Musita'!K36,'25.08 Lumino-Musita'!K36,'27.08 Lumino-Musita'!K36,'23.08 Lumino-Musita-24h'!K36,'26.08 Lumino-Musita-24h'!K36,'28.08 Lumino-Musita'!K36)</f>
        <v>0.14285714285714285</v>
      </c>
      <c r="L36" s="49">
        <f>AVERAGE('22.08 Lumino-Musita'!L36,'24.08 Lumino-Musita'!L36,'25.08 Lumino-Musita'!L36,'27.08 Lumino-Musita'!L36,'23.08 Lumino-Musita-24h'!L36,'26.08 Lumino-Musita-24h'!L36,'28.08 Lumino-Musita'!L36)</f>
        <v>0.2857142857142857</v>
      </c>
      <c r="M36" s="49">
        <f>AVERAGE('22.08 Lumino-Musita'!M36,'24.08 Lumino-Musita'!M36,'25.08 Lumino-Musita'!M36,'27.08 Lumino-Musita'!M36,'23.08 Lumino-Musita-24h'!M36,'26.08 Lumino-Musita-24h'!M36,'28.08 Lumino-Musita'!M36)</f>
        <v>41.285714285714285</v>
      </c>
      <c r="N36" s="49">
        <f>AVERAGE('22.08 Lumino-Musita'!N36,'24.08 Lumino-Musita'!N36,'25.08 Lumino-Musita'!N36,'27.08 Lumino-Musita'!N36,'23.08 Lumino-Musita-24h'!N36,'26.08 Lumino-Musita-24h'!N36,'28.08 Lumino-Musita'!N36)</f>
        <v>0.14285714285714285</v>
      </c>
      <c r="O36" s="15">
        <f t="shared" si="0"/>
        <v>10.571428571428571</v>
      </c>
      <c r="P36" s="15">
        <f t="shared" si="1"/>
        <v>51.857142857142861</v>
      </c>
      <c r="R36" s="38" t="s">
        <v>92</v>
      </c>
      <c r="S36" s="39">
        <f t="shared" ref="S36:AF36" si="28">MAX(S19:S21)</f>
        <v>26.285714285714285</v>
      </c>
      <c r="T36" s="39">
        <f t="shared" si="28"/>
        <v>9.7142857142857153</v>
      </c>
      <c r="U36" s="39">
        <f t="shared" si="28"/>
        <v>5.4285714285714279</v>
      </c>
      <c r="V36" s="39">
        <f t="shared" si="28"/>
        <v>9</v>
      </c>
      <c r="W36" s="39">
        <f t="shared" si="28"/>
        <v>0.99999999999999989</v>
      </c>
      <c r="X36" s="39">
        <f t="shared" si="28"/>
        <v>0.14285714285714285</v>
      </c>
      <c r="Y36" s="39">
        <f t="shared" si="28"/>
        <v>12.571428571428573</v>
      </c>
      <c r="Z36" s="39">
        <f t="shared" si="28"/>
        <v>10.285714285714285</v>
      </c>
      <c r="AA36" s="39">
        <f t="shared" si="28"/>
        <v>1.4285714285714286</v>
      </c>
      <c r="AB36" s="39">
        <f t="shared" si="28"/>
        <v>3.1428571428571423</v>
      </c>
      <c r="AC36" s="39">
        <f t="shared" si="28"/>
        <v>199.28571428571428</v>
      </c>
      <c r="AD36" s="39">
        <f t="shared" si="28"/>
        <v>0.42857142857142855</v>
      </c>
      <c r="AE36" s="40">
        <f t="shared" si="28"/>
        <v>73.428571428571416</v>
      </c>
      <c r="AF36" s="40">
        <f t="shared" si="28"/>
        <v>266.28571428571428</v>
      </c>
    </row>
    <row r="37" spans="2:32" ht="23.1" customHeight="1" x14ac:dyDescent="0.25">
      <c r="B37" s="23" t="s">
        <v>64</v>
      </c>
      <c r="C37" s="49">
        <f>AVERAGE('22.08 Lumino-Musita'!C37,'24.08 Lumino-Musita'!C37,'25.08 Lumino-Musita'!C37,'27.08 Lumino-Musita'!C37,'23.08 Lumino-Musita-24h'!C37,'26.08 Lumino-Musita-24h'!C37,'28.08 Lumino-Musita'!C37)</f>
        <v>3.5714285714285716</v>
      </c>
      <c r="D37" s="49">
        <f>AVERAGE('22.08 Lumino-Musita'!D37,'24.08 Lumino-Musita'!D37,'25.08 Lumino-Musita'!D37,'27.08 Lumino-Musita'!D37,'23.08 Lumino-Musita-24h'!D37,'26.08 Lumino-Musita-24h'!D37,'28.08 Lumino-Musita'!D37)</f>
        <v>0.42857142857142855</v>
      </c>
      <c r="E37" s="49">
        <f>AVERAGE('22.08 Lumino-Musita'!E37,'24.08 Lumino-Musita'!E37,'25.08 Lumino-Musita'!E37,'27.08 Lumino-Musita'!E37,'23.08 Lumino-Musita-24h'!E37,'26.08 Lumino-Musita-24h'!E37,'28.08 Lumino-Musita'!E37)</f>
        <v>0.5714285714285714</v>
      </c>
      <c r="F37" s="49">
        <f>AVERAGE('22.08 Lumino-Musita'!F37,'24.08 Lumino-Musita'!F37,'25.08 Lumino-Musita'!F37,'27.08 Lumino-Musita'!F37,'23.08 Lumino-Musita-24h'!F37,'26.08 Lumino-Musita-24h'!F37,'28.08 Lumino-Musita'!F37)</f>
        <v>1.5714285714285714</v>
      </c>
      <c r="G37" s="49">
        <f>AVERAGE('22.08 Lumino-Musita'!G37,'24.08 Lumino-Musita'!G37,'25.08 Lumino-Musita'!G37,'27.08 Lumino-Musita'!G37,'23.08 Lumino-Musita-24h'!G37,'26.08 Lumino-Musita-24h'!G37,'28.08 Lumino-Musita'!G37)</f>
        <v>0</v>
      </c>
      <c r="H37" s="49">
        <f>AVERAGE('22.08 Lumino-Musita'!H37,'24.08 Lumino-Musita'!H37,'25.08 Lumino-Musita'!H37,'27.08 Lumino-Musita'!H37,'23.08 Lumino-Musita-24h'!H37,'26.08 Lumino-Musita-24h'!H37,'28.08 Lumino-Musita'!H37)</f>
        <v>0</v>
      </c>
      <c r="I37" s="49">
        <f>AVERAGE('22.08 Lumino-Musita'!I37,'24.08 Lumino-Musita'!I37,'25.08 Lumino-Musita'!I37,'27.08 Lumino-Musita'!I37,'23.08 Lumino-Musita-24h'!I37,'26.08 Lumino-Musita-24h'!I37,'28.08 Lumino-Musita'!I37)</f>
        <v>1.7142857142857142</v>
      </c>
      <c r="J37" s="49">
        <f>AVERAGE('22.08 Lumino-Musita'!J37,'24.08 Lumino-Musita'!J37,'25.08 Lumino-Musita'!J37,'27.08 Lumino-Musita'!J37,'23.08 Lumino-Musita-24h'!J37,'26.08 Lumino-Musita-24h'!J37,'28.08 Lumino-Musita'!J37)</f>
        <v>2.1428571428571428</v>
      </c>
      <c r="K37" s="49">
        <f>AVERAGE('22.08 Lumino-Musita'!K37,'24.08 Lumino-Musita'!K37,'25.08 Lumino-Musita'!K37,'27.08 Lumino-Musita'!K37,'23.08 Lumino-Musita-24h'!K37,'26.08 Lumino-Musita-24h'!K37,'28.08 Lumino-Musita'!K37)</f>
        <v>0.2857142857142857</v>
      </c>
      <c r="L37" s="49">
        <f>AVERAGE('22.08 Lumino-Musita'!L37,'24.08 Lumino-Musita'!L37,'25.08 Lumino-Musita'!L37,'27.08 Lumino-Musita'!L37,'23.08 Lumino-Musita-24h'!L37,'26.08 Lumino-Musita-24h'!L37,'28.08 Lumino-Musita'!L37)</f>
        <v>1.2857142857142858</v>
      </c>
      <c r="M37" s="49">
        <f>AVERAGE('22.08 Lumino-Musita'!M37,'24.08 Lumino-Musita'!M37,'25.08 Lumino-Musita'!M37,'27.08 Lumino-Musita'!M37,'23.08 Lumino-Musita-24h'!M37,'26.08 Lumino-Musita-24h'!M37,'28.08 Lumino-Musita'!M37)</f>
        <v>44.571428571428569</v>
      </c>
      <c r="N37" s="49">
        <f>AVERAGE('22.08 Lumino-Musita'!N37,'24.08 Lumino-Musita'!N37,'25.08 Lumino-Musita'!N37,'27.08 Lumino-Musita'!N37,'23.08 Lumino-Musita-24h'!N37,'26.08 Lumino-Musita-24h'!N37,'28.08 Lumino-Musita'!N37)</f>
        <v>0</v>
      </c>
      <c r="O37" s="15">
        <f t="shared" si="0"/>
        <v>11.571428571428573</v>
      </c>
      <c r="P37" s="15">
        <f t="shared" si="1"/>
        <v>56.142857142857139</v>
      </c>
      <c r="R37" s="37" t="s">
        <v>85</v>
      </c>
      <c r="S37" s="35">
        <f t="shared" ref="S37:AF37" si="29">SUM(S10:S12)</f>
        <v>31.571428571428569</v>
      </c>
      <c r="T37" s="16">
        <f t="shared" si="29"/>
        <v>8.8571428571428577</v>
      </c>
      <c r="U37" s="16">
        <f t="shared" si="29"/>
        <v>8.571428571428573</v>
      </c>
      <c r="V37" s="16">
        <f t="shared" si="29"/>
        <v>16.714285714285715</v>
      </c>
      <c r="W37" s="16">
        <f t="shared" si="29"/>
        <v>2.4285714285714284</v>
      </c>
      <c r="X37" s="16">
        <f t="shared" si="29"/>
        <v>0.8571428571428571</v>
      </c>
      <c r="Y37" s="16">
        <f t="shared" si="29"/>
        <v>11.428571428571429</v>
      </c>
      <c r="Z37" s="16">
        <f t="shared" si="29"/>
        <v>14.714285714285715</v>
      </c>
      <c r="AA37" s="16">
        <f t="shared" si="29"/>
        <v>2.714285714285714</v>
      </c>
      <c r="AB37" s="16">
        <f t="shared" si="29"/>
        <v>1.4285714285714286</v>
      </c>
      <c r="AC37" s="16">
        <f t="shared" si="29"/>
        <v>434.85714285714289</v>
      </c>
      <c r="AD37" s="16">
        <f t="shared" si="29"/>
        <v>1.4285714285714284</v>
      </c>
      <c r="AE37" s="32">
        <f t="shared" si="29"/>
        <v>100.71428571428572</v>
      </c>
      <c r="AF37" s="32">
        <f t="shared" si="29"/>
        <v>535.57142857142856</v>
      </c>
    </row>
    <row r="38" spans="2:32" ht="23.1" customHeight="1" x14ac:dyDescent="0.25">
      <c r="B38" s="24" t="s">
        <v>65</v>
      </c>
      <c r="C38" s="49">
        <f>AVERAGE('22.08 Lumino-Musita'!C38,'24.08 Lumino-Musita'!C38,'25.08 Lumino-Musita'!C38,'27.08 Lumino-Musita'!C38,'23.08 Lumino-Musita-24h'!C38,'26.08 Lumino-Musita-24h'!C38,'28.08 Lumino-Musita'!C38)</f>
        <v>5.1428571428571432</v>
      </c>
      <c r="D38" s="49">
        <f>AVERAGE('22.08 Lumino-Musita'!D38,'24.08 Lumino-Musita'!D38,'25.08 Lumino-Musita'!D38,'27.08 Lumino-Musita'!D38,'23.08 Lumino-Musita-24h'!D38,'26.08 Lumino-Musita-24h'!D38,'28.08 Lumino-Musita'!D38)</f>
        <v>1.1428571428571428</v>
      </c>
      <c r="E38" s="49">
        <f>AVERAGE('22.08 Lumino-Musita'!E38,'24.08 Lumino-Musita'!E38,'25.08 Lumino-Musita'!E38,'27.08 Lumino-Musita'!E38,'23.08 Lumino-Musita-24h'!E38,'26.08 Lumino-Musita-24h'!E38,'28.08 Lumino-Musita'!E38)</f>
        <v>1.2857142857142858</v>
      </c>
      <c r="F38" s="49">
        <f>AVERAGE('22.08 Lumino-Musita'!F38,'24.08 Lumino-Musita'!F38,'25.08 Lumino-Musita'!F38,'27.08 Lumino-Musita'!F38,'23.08 Lumino-Musita-24h'!F38,'26.08 Lumino-Musita-24h'!F38,'28.08 Lumino-Musita'!F38)</f>
        <v>2.5714285714285716</v>
      </c>
      <c r="G38" s="49">
        <f>AVERAGE('22.08 Lumino-Musita'!G38,'24.08 Lumino-Musita'!G38,'25.08 Lumino-Musita'!G38,'27.08 Lumino-Musita'!G38,'23.08 Lumino-Musita-24h'!G38,'26.08 Lumino-Musita-24h'!G38,'28.08 Lumino-Musita'!G38)</f>
        <v>0</v>
      </c>
      <c r="H38" s="49">
        <f>AVERAGE('22.08 Lumino-Musita'!H38,'24.08 Lumino-Musita'!H38,'25.08 Lumino-Musita'!H38,'27.08 Lumino-Musita'!H38,'23.08 Lumino-Musita-24h'!H38,'26.08 Lumino-Musita-24h'!H38,'28.08 Lumino-Musita'!H38)</f>
        <v>0</v>
      </c>
      <c r="I38" s="49">
        <f>AVERAGE('22.08 Lumino-Musita'!I38,'24.08 Lumino-Musita'!I38,'25.08 Lumino-Musita'!I38,'27.08 Lumino-Musita'!I38,'23.08 Lumino-Musita-24h'!I38,'26.08 Lumino-Musita-24h'!I38,'28.08 Lumino-Musita'!I38)</f>
        <v>1.8571428571428572</v>
      </c>
      <c r="J38" s="49">
        <f>AVERAGE('22.08 Lumino-Musita'!J38,'24.08 Lumino-Musita'!J38,'25.08 Lumino-Musita'!J38,'27.08 Lumino-Musita'!J38,'23.08 Lumino-Musita-24h'!J38,'26.08 Lumino-Musita-24h'!J38,'28.08 Lumino-Musita'!J38)</f>
        <v>1.7142857142857142</v>
      </c>
      <c r="K38" s="49">
        <f>AVERAGE('22.08 Lumino-Musita'!K38,'24.08 Lumino-Musita'!K38,'25.08 Lumino-Musita'!K38,'27.08 Lumino-Musita'!K38,'23.08 Lumino-Musita-24h'!K38,'26.08 Lumino-Musita-24h'!K38,'28.08 Lumino-Musita'!K38)</f>
        <v>0</v>
      </c>
      <c r="L38" s="49">
        <f>AVERAGE('22.08 Lumino-Musita'!L38,'24.08 Lumino-Musita'!L38,'25.08 Lumino-Musita'!L38,'27.08 Lumino-Musita'!L38,'23.08 Lumino-Musita-24h'!L38,'26.08 Lumino-Musita-24h'!L38,'28.08 Lumino-Musita'!L38)</f>
        <v>0.42857142857142855</v>
      </c>
      <c r="M38" s="49">
        <f>AVERAGE('22.08 Lumino-Musita'!M38,'24.08 Lumino-Musita'!M38,'25.08 Lumino-Musita'!M38,'27.08 Lumino-Musita'!M38,'23.08 Lumino-Musita-24h'!M38,'26.08 Lumino-Musita-24h'!M38,'28.08 Lumino-Musita'!M38)</f>
        <v>32.428571428571431</v>
      </c>
      <c r="N38" s="49">
        <f>AVERAGE('22.08 Lumino-Musita'!N38,'24.08 Lumino-Musita'!N38,'25.08 Lumino-Musita'!N38,'27.08 Lumino-Musita'!N38,'23.08 Lumino-Musita-24h'!N38,'26.08 Lumino-Musita-24h'!N38,'28.08 Lumino-Musita'!N38)</f>
        <v>0</v>
      </c>
      <c r="O38" s="15">
        <f t="shared" si="0"/>
        <v>14.142857142857144</v>
      </c>
      <c r="P38" s="15">
        <f t="shared" si="1"/>
        <v>46.571428571428577</v>
      </c>
      <c r="R38" s="28" t="s">
        <v>86</v>
      </c>
      <c r="S38" s="16">
        <f t="shared" ref="S38:AF38" si="30">SUM(S13:S18)</f>
        <v>97.428571428571431</v>
      </c>
      <c r="T38" s="16">
        <f t="shared" si="30"/>
        <v>25</v>
      </c>
      <c r="U38" s="16">
        <f t="shared" si="30"/>
        <v>17.142857142857142</v>
      </c>
      <c r="V38" s="16">
        <f t="shared" si="30"/>
        <v>39.571428571428569</v>
      </c>
      <c r="W38" s="16">
        <f t="shared" si="30"/>
        <v>1.8571428571428568</v>
      </c>
      <c r="X38" s="16">
        <f t="shared" si="30"/>
        <v>0.2857142857142857</v>
      </c>
      <c r="Y38" s="16">
        <f t="shared" si="30"/>
        <v>45.857142857142854</v>
      </c>
      <c r="Z38" s="16">
        <f t="shared" si="30"/>
        <v>41.428571428571423</v>
      </c>
      <c r="AA38" s="16">
        <f t="shared" si="30"/>
        <v>7.7142857142857135</v>
      </c>
      <c r="AB38" s="16">
        <f t="shared" si="30"/>
        <v>11.714285714285715</v>
      </c>
      <c r="AC38" s="16">
        <f t="shared" si="30"/>
        <v>967.71428571428567</v>
      </c>
      <c r="AD38" s="16">
        <f t="shared" si="30"/>
        <v>1.5714285714285712</v>
      </c>
      <c r="AE38" s="32">
        <f t="shared" si="30"/>
        <v>289.57142857142856</v>
      </c>
      <c r="AF38" s="32">
        <f t="shared" si="30"/>
        <v>1257.2857142857144</v>
      </c>
    </row>
    <row r="39" spans="2:32" ht="23.1" customHeight="1" x14ac:dyDescent="0.25">
      <c r="B39" s="24" t="s">
        <v>66</v>
      </c>
      <c r="C39" s="49">
        <f>AVERAGE('22.08 Lumino-Musita'!C39,'24.08 Lumino-Musita'!C39,'25.08 Lumino-Musita'!C39,'27.08 Lumino-Musita'!C39,'23.08 Lumino-Musita-24h'!C39,'26.08 Lumino-Musita-24h'!C39,'28.08 Lumino-Musita'!C39)</f>
        <v>3.1428571428571428</v>
      </c>
      <c r="D39" s="49">
        <f>AVERAGE('22.08 Lumino-Musita'!D39,'24.08 Lumino-Musita'!D39,'25.08 Lumino-Musita'!D39,'27.08 Lumino-Musita'!D39,'23.08 Lumino-Musita-24h'!D39,'26.08 Lumino-Musita-24h'!D39,'28.08 Lumino-Musita'!D39)</f>
        <v>1.1428571428571428</v>
      </c>
      <c r="E39" s="49">
        <f>AVERAGE('22.08 Lumino-Musita'!E39,'24.08 Lumino-Musita'!E39,'25.08 Lumino-Musita'!E39,'27.08 Lumino-Musita'!E39,'23.08 Lumino-Musita-24h'!E39,'26.08 Lumino-Musita-24h'!E39,'28.08 Lumino-Musita'!E39)</f>
        <v>0.42857142857142855</v>
      </c>
      <c r="F39" s="49">
        <f>AVERAGE('22.08 Lumino-Musita'!F39,'24.08 Lumino-Musita'!F39,'25.08 Lumino-Musita'!F39,'27.08 Lumino-Musita'!F39,'23.08 Lumino-Musita-24h'!F39,'26.08 Lumino-Musita-24h'!F39,'28.08 Lumino-Musita'!F39)</f>
        <v>1.7142857142857142</v>
      </c>
      <c r="G39" s="49">
        <f>AVERAGE('22.08 Lumino-Musita'!G39,'24.08 Lumino-Musita'!G39,'25.08 Lumino-Musita'!G39,'27.08 Lumino-Musita'!G39,'23.08 Lumino-Musita-24h'!G39,'26.08 Lumino-Musita-24h'!G39,'28.08 Lumino-Musita'!G39)</f>
        <v>0.14285714285714285</v>
      </c>
      <c r="H39" s="49">
        <f>AVERAGE('22.08 Lumino-Musita'!H39,'24.08 Lumino-Musita'!H39,'25.08 Lumino-Musita'!H39,'27.08 Lumino-Musita'!H39,'23.08 Lumino-Musita-24h'!H39,'26.08 Lumino-Musita-24h'!H39,'28.08 Lumino-Musita'!H39)</f>
        <v>0</v>
      </c>
      <c r="I39" s="49">
        <f>AVERAGE('22.08 Lumino-Musita'!I39,'24.08 Lumino-Musita'!I39,'25.08 Lumino-Musita'!I39,'27.08 Lumino-Musita'!I39,'23.08 Lumino-Musita-24h'!I39,'26.08 Lumino-Musita-24h'!I39,'28.08 Lumino-Musita'!I39)</f>
        <v>1.2857142857142858</v>
      </c>
      <c r="J39" s="49">
        <f>AVERAGE('22.08 Lumino-Musita'!J39,'24.08 Lumino-Musita'!J39,'25.08 Lumino-Musita'!J39,'27.08 Lumino-Musita'!J39,'23.08 Lumino-Musita-24h'!J39,'26.08 Lumino-Musita-24h'!J39,'28.08 Lumino-Musita'!J39)</f>
        <v>0.8571428571428571</v>
      </c>
      <c r="K39" s="49">
        <f>AVERAGE('22.08 Lumino-Musita'!K39,'24.08 Lumino-Musita'!K39,'25.08 Lumino-Musita'!K39,'27.08 Lumino-Musita'!K39,'23.08 Lumino-Musita-24h'!K39,'26.08 Lumino-Musita-24h'!K39,'28.08 Lumino-Musita'!K39)</f>
        <v>0.14285714285714285</v>
      </c>
      <c r="L39" s="49">
        <f>AVERAGE('22.08 Lumino-Musita'!L39,'24.08 Lumino-Musita'!L39,'25.08 Lumino-Musita'!L39,'27.08 Lumino-Musita'!L39,'23.08 Lumino-Musita-24h'!L39,'26.08 Lumino-Musita-24h'!L39,'28.08 Lumino-Musita'!L39)</f>
        <v>0.2857142857142857</v>
      </c>
      <c r="M39" s="49">
        <f>AVERAGE('22.08 Lumino-Musita'!M39,'24.08 Lumino-Musita'!M39,'25.08 Lumino-Musita'!M39,'27.08 Lumino-Musita'!M39,'23.08 Lumino-Musita-24h'!M39,'26.08 Lumino-Musita-24h'!M39,'28.08 Lumino-Musita'!M39)</f>
        <v>33.857142857142854</v>
      </c>
      <c r="N39" s="49">
        <f>AVERAGE('22.08 Lumino-Musita'!N39,'24.08 Lumino-Musita'!N39,'25.08 Lumino-Musita'!N39,'27.08 Lumino-Musita'!N39,'23.08 Lumino-Musita-24h'!N39,'26.08 Lumino-Musita-24h'!N39,'28.08 Lumino-Musita'!N39)</f>
        <v>0</v>
      </c>
      <c r="O39" s="15">
        <f t="shared" si="0"/>
        <v>9.1428571428571441</v>
      </c>
      <c r="P39" s="15">
        <f t="shared" si="1"/>
        <v>43</v>
      </c>
      <c r="R39" s="29" t="s">
        <v>87</v>
      </c>
      <c r="S39" s="16">
        <f t="shared" ref="S39:AF39" si="31">SUM(S19:S21)</f>
        <v>63.571428571428577</v>
      </c>
      <c r="T39" s="16">
        <f t="shared" si="31"/>
        <v>23</v>
      </c>
      <c r="U39" s="16">
        <f t="shared" si="31"/>
        <v>14.857142857142856</v>
      </c>
      <c r="V39" s="16">
        <f t="shared" si="31"/>
        <v>24.285714285714285</v>
      </c>
      <c r="W39" s="16">
        <f t="shared" si="31"/>
        <v>2.2857142857142856</v>
      </c>
      <c r="X39" s="16">
        <f t="shared" si="31"/>
        <v>0.2857142857142857</v>
      </c>
      <c r="Y39" s="16">
        <f t="shared" si="31"/>
        <v>34.857142857142861</v>
      </c>
      <c r="Z39" s="16">
        <f t="shared" si="31"/>
        <v>25</v>
      </c>
      <c r="AA39" s="16">
        <f t="shared" si="31"/>
        <v>3.7142857142857144</v>
      </c>
      <c r="AB39" s="16">
        <f t="shared" si="31"/>
        <v>7.9999999999999991</v>
      </c>
      <c r="AC39" s="16">
        <f t="shared" si="31"/>
        <v>562.57142857142856</v>
      </c>
      <c r="AD39" s="16">
        <f t="shared" si="31"/>
        <v>0.71428571428571419</v>
      </c>
      <c r="AE39" s="32">
        <f t="shared" si="31"/>
        <v>200.57142857142856</v>
      </c>
      <c r="AF39" s="32">
        <f t="shared" si="31"/>
        <v>763.14285714285711</v>
      </c>
    </row>
    <row r="40" spans="2:32" ht="23.1" customHeight="1" x14ac:dyDescent="0.25">
      <c r="B40" s="24" t="s">
        <v>67</v>
      </c>
      <c r="C40" s="49">
        <f>AVERAGE('22.08 Lumino-Musita'!C40,'24.08 Lumino-Musita'!C40,'25.08 Lumino-Musita'!C40,'27.08 Lumino-Musita'!C40,'23.08 Lumino-Musita-24h'!C40,'26.08 Lumino-Musita-24h'!C40,'28.08 Lumino-Musita'!C40)</f>
        <v>3.8571428571428572</v>
      </c>
      <c r="D40" s="49">
        <f>AVERAGE('22.08 Lumino-Musita'!D40,'24.08 Lumino-Musita'!D40,'25.08 Lumino-Musita'!D40,'27.08 Lumino-Musita'!D40,'23.08 Lumino-Musita-24h'!D40,'26.08 Lumino-Musita-24h'!D40,'28.08 Lumino-Musita'!D40)</f>
        <v>1</v>
      </c>
      <c r="E40" s="49">
        <f>AVERAGE('22.08 Lumino-Musita'!E40,'24.08 Lumino-Musita'!E40,'25.08 Lumino-Musita'!E40,'27.08 Lumino-Musita'!E40,'23.08 Lumino-Musita-24h'!E40,'26.08 Lumino-Musita-24h'!E40,'28.08 Lumino-Musita'!E40)</f>
        <v>1.1428571428571428</v>
      </c>
      <c r="F40" s="49">
        <f>AVERAGE('22.08 Lumino-Musita'!F40,'24.08 Lumino-Musita'!F40,'25.08 Lumino-Musita'!F40,'27.08 Lumino-Musita'!F40,'23.08 Lumino-Musita-24h'!F40,'26.08 Lumino-Musita-24h'!F40,'28.08 Lumino-Musita'!F40)</f>
        <v>1.1428571428571428</v>
      </c>
      <c r="G40" s="49">
        <f>AVERAGE('22.08 Lumino-Musita'!G40,'24.08 Lumino-Musita'!G40,'25.08 Lumino-Musita'!G40,'27.08 Lumino-Musita'!G40,'23.08 Lumino-Musita-24h'!G40,'26.08 Lumino-Musita-24h'!G40,'28.08 Lumino-Musita'!G40)</f>
        <v>0</v>
      </c>
      <c r="H40" s="49">
        <f>AVERAGE('22.08 Lumino-Musita'!H40,'24.08 Lumino-Musita'!H40,'25.08 Lumino-Musita'!H40,'27.08 Lumino-Musita'!H40,'23.08 Lumino-Musita-24h'!H40,'26.08 Lumino-Musita-24h'!H40,'28.08 Lumino-Musita'!H40)</f>
        <v>0</v>
      </c>
      <c r="I40" s="49">
        <f>AVERAGE('22.08 Lumino-Musita'!I40,'24.08 Lumino-Musita'!I40,'25.08 Lumino-Musita'!I40,'27.08 Lumino-Musita'!I40,'23.08 Lumino-Musita-24h'!I40,'26.08 Lumino-Musita-24h'!I40,'28.08 Lumino-Musita'!I40)</f>
        <v>2.1428571428571428</v>
      </c>
      <c r="J40" s="49">
        <f>AVERAGE('22.08 Lumino-Musita'!J40,'24.08 Lumino-Musita'!J40,'25.08 Lumino-Musita'!J40,'27.08 Lumino-Musita'!J40,'23.08 Lumino-Musita-24h'!J40,'26.08 Lumino-Musita-24h'!J40,'28.08 Lumino-Musita'!J40)</f>
        <v>1.7142857142857142</v>
      </c>
      <c r="K40" s="49">
        <f>AVERAGE('22.08 Lumino-Musita'!K40,'24.08 Lumino-Musita'!K40,'25.08 Lumino-Musita'!K40,'27.08 Lumino-Musita'!K40,'23.08 Lumino-Musita-24h'!K40,'26.08 Lumino-Musita-24h'!K40,'28.08 Lumino-Musita'!K40)</f>
        <v>0.2857142857142857</v>
      </c>
      <c r="L40" s="49">
        <f>AVERAGE('22.08 Lumino-Musita'!L40,'24.08 Lumino-Musita'!L40,'25.08 Lumino-Musita'!L40,'27.08 Lumino-Musita'!L40,'23.08 Lumino-Musita-24h'!L40,'26.08 Lumino-Musita-24h'!L40,'28.08 Lumino-Musita'!L40)</f>
        <v>0.7142857142857143</v>
      </c>
      <c r="M40" s="49">
        <f>AVERAGE('22.08 Lumino-Musita'!M40,'24.08 Lumino-Musita'!M40,'25.08 Lumino-Musita'!M40,'27.08 Lumino-Musita'!M40,'23.08 Lumino-Musita-24h'!M40,'26.08 Lumino-Musita-24h'!M40,'28.08 Lumino-Musita'!M40)</f>
        <v>38.142857142857146</v>
      </c>
      <c r="N40" s="49">
        <f>AVERAGE('22.08 Lumino-Musita'!N40,'24.08 Lumino-Musita'!N40,'25.08 Lumino-Musita'!N40,'27.08 Lumino-Musita'!N40,'23.08 Lumino-Musita-24h'!N40,'26.08 Lumino-Musita-24h'!N40,'28.08 Lumino-Musita'!N40)</f>
        <v>0</v>
      </c>
      <c r="O40" s="15">
        <f t="shared" si="0"/>
        <v>11.999999999999998</v>
      </c>
      <c r="P40" s="15">
        <f t="shared" si="1"/>
        <v>50.142857142857146</v>
      </c>
      <c r="R40" s="5" t="s">
        <v>17</v>
      </c>
      <c r="S40" s="16">
        <f t="shared" ref="S40:AF40" si="32">SUM(S10:S21)</f>
        <v>192.57142857142856</v>
      </c>
      <c r="T40" s="16">
        <f t="shared" si="32"/>
        <v>56.857142857142854</v>
      </c>
      <c r="U40" s="16">
        <f t="shared" si="32"/>
        <v>40.571428571428569</v>
      </c>
      <c r="V40" s="16">
        <f t="shared" si="32"/>
        <v>80.571428571428584</v>
      </c>
      <c r="W40" s="16">
        <f t="shared" si="32"/>
        <v>6.5714285714285712</v>
      </c>
      <c r="X40" s="16">
        <f t="shared" si="32"/>
        <v>1.4285714285714284</v>
      </c>
      <c r="Y40" s="16">
        <f t="shared" si="32"/>
        <v>92.142857142857139</v>
      </c>
      <c r="Z40" s="16">
        <f t="shared" si="32"/>
        <v>81.142857142857139</v>
      </c>
      <c r="AA40" s="16">
        <f t="shared" si="32"/>
        <v>14.142857142857144</v>
      </c>
      <c r="AB40" s="16">
        <f t="shared" si="32"/>
        <v>21.142857142857139</v>
      </c>
      <c r="AC40" s="16">
        <f t="shared" si="32"/>
        <v>1965.1428571428571</v>
      </c>
      <c r="AD40" s="16">
        <f t="shared" si="32"/>
        <v>3.714285714285714</v>
      </c>
      <c r="AE40" s="32">
        <f t="shared" si="32"/>
        <v>590.857142857143</v>
      </c>
      <c r="AF40" s="32">
        <f t="shared" si="32"/>
        <v>2556</v>
      </c>
    </row>
    <row r="41" spans="2:32" ht="23.1" customHeight="1" x14ac:dyDescent="0.25">
      <c r="B41" s="23" t="s">
        <v>68</v>
      </c>
      <c r="C41" s="49">
        <f>AVERAGE('22.08 Lumino-Musita'!C41,'24.08 Lumino-Musita'!C41,'25.08 Lumino-Musita'!C41,'27.08 Lumino-Musita'!C41,'23.08 Lumino-Musita-24h'!C41,'26.08 Lumino-Musita-24h'!C41,'28.08 Lumino-Musita'!C41)</f>
        <v>3.8571428571428572</v>
      </c>
      <c r="D41" s="49">
        <f>AVERAGE('22.08 Lumino-Musita'!D41,'24.08 Lumino-Musita'!D41,'25.08 Lumino-Musita'!D41,'27.08 Lumino-Musita'!D41,'23.08 Lumino-Musita-24h'!D41,'26.08 Lumino-Musita-24h'!D41,'28.08 Lumino-Musita'!D41)</f>
        <v>1.1428571428571428</v>
      </c>
      <c r="E41" s="49">
        <f>AVERAGE('22.08 Lumino-Musita'!E41,'24.08 Lumino-Musita'!E41,'25.08 Lumino-Musita'!E41,'27.08 Lumino-Musita'!E41,'23.08 Lumino-Musita-24h'!E41,'26.08 Lumino-Musita-24h'!E41,'28.08 Lumino-Musita'!E41)</f>
        <v>0.14285714285714285</v>
      </c>
      <c r="F41" s="49">
        <f>AVERAGE('22.08 Lumino-Musita'!F41,'24.08 Lumino-Musita'!F41,'25.08 Lumino-Musita'!F41,'27.08 Lumino-Musita'!F41,'23.08 Lumino-Musita-24h'!F41,'26.08 Lumino-Musita-24h'!F41,'28.08 Lumino-Musita'!F41)</f>
        <v>1.8571428571428572</v>
      </c>
      <c r="G41" s="49">
        <f>AVERAGE('22.08 Lumino-Musita'!G41,'24.08 Lumino-Musita'!G41,'25.08 Lumino-Musita'!G41,'27.08 Lumino-Musita'!G41,'23.08 Lumino-Musita-24h'!G41,'26.08 Lumino-Musita-24h'!G41,'28.08 Lumino-Musita'!G41)</f>
        <v>0.14285714285714285</v>
      </c>
      <c r="H41" s="49">
        <f>AVERAGE('22.08 Lumino-Musita'!H41,'24.08 Lumino-Musita'!H41,'25.08 Lumino-Musita'!H41,'27.08 Lumino-Musita'!H41,'23.08 Lumino-Musita-24h'!H41,'26.08 Lumino-Musita-24h'!H41,'28.08 Lumino-Musita'!H41)</f>
        <v>0.14285714285714285</v>
      </c>
      <c r="I41" s="49">
        <f>AVERAGE('22.08 Lumino-Musita'!I41,'24.08 Lumino-Musita'!I41,'25.08 Lumino-Musita'!I41,'27.08 Lumino-Musita'!I41,'23.08 Lumino-Musita-24h'!I41,'26.08 Lumino-Musita-24h'!I41,'28.08 Lumino-Musita'!I41)</f>
        <v>2</v>
      </c>
      <c r="J41" s="49">
        <f>AVERAGE('22.08 Lumino-Musita'!J41,'24.08 Lumino-Musita'!J41,'25.08 Lumino-Musita'!J41,'27.08 Lumino-Musita'!J41,'23.08 Lumino-Musita-24h'!J41,'26.08 Lumino-Musita-24h'!J41,'28.08 Lumino-Musita'!J41)</f>
        <v>2.7142857142857144</v>
      </c>
      <c r="K41" s="49">
        <f>AVERAGE('22.08 Lumino-Musita'!K41,'24.08 Lumino-Musita'!K41,'25.08 Lumino-Musita'!K41,'27.08 Lumino-Musita'!K41,'23.08 Lumino-Musita-24h'!K41,'26.08 Lumino-Musita-24h'!K41,'28.08 Lumino-Musita'!K41)</f>
        <v>0.42857142857142855</v>
      </c>
      <c r="L41" s="49">
        <f>AVERAGE('22.08 Lumino-Musita'!L41,'24.08 Lumino-Musita'!L41,'25.08 Lumino-Musita'!L41,'27.08 Lumino-Musita'!L41,'23.08 Lumino-Musita-24h'!L41,'26.08 Lumino-Musita-24h'!L41,'28.08 Lumino-Musita'!L41)</f>
        <v>0.2857142857142857</v>
      </c>
      <c r="M41" s="49">
        <f>AVERAGE('22.08 Lumino-Musita'!M41,'24.08 Lumino-Musita'!M41,'25.08 Lumino-Musita'!M41,'27.08 Lumino-Musita'!M41,'23.08 Lumino-Musita-24h'!M41,'26.08 Lumino-Musita-24h'!M41,'28.08 Lumino-Musita'!M41)</f>
        <v>31</v>
      </c>
      <c r="N41" s="49">
        <f>AVERAGE('22.08 Lumino-Musita'!N41,'24.08 Lumino-Musita'!N41,'25.08 Lumino-Musita'!N41,'27.08 Lumino-Musita'!N41,'23.08 Lumino-Musita-24h'!N41,'26.08 Lumino-Musita-24h'!N41,'28.08 Lumino-Musita'!N41)</f>
        <v>0</v>
      </c>
      <c r="O41" s="15">
        <f t="shared" si="0"/>
        <v>12.714285714285715</v>
      </c>
      <c r="P41" s="15">
        <f t="shared" si="1"/>
        <v>43.714285714285715</v>
      </c>
      <c r="R41" s="5" t="s">
        <v>176</v>
      </c>
      <c r="S41" s="52">
        <f>SUM(S10:S33)</f>
        <v>289.57142857142856</v>
      </c>
      <c r="T41" s="52">
        <f t="shared" ref="T41:AD41" si="33">SUM(T10:T33)</f>
        <v>72.357142857142861</v>
      </c>
      <c r="U41" s="52">
        <f t="shared" si="33"/>
        <v>62.071428571428569</v>
      </c>
      <c r="V41" s="52">
        <f t="shared" si="33"/>
        <v>112.57142857142858</v>
      </c>
      <c r="W41" s="52">
        <f t="shared" si="33"/>
        <v>9.5714285714285712</v>
      </c>
      <c r="X41" s="52">
        <f t="shared" si="33"/>
        <v>5.4285714285714288</v>
      </c>
      <c r="Y41" s="52">
        <f t="shared" si="33"/>
        <v>138.64285714285714</v>
      </c>
      <c r="Z41" s="52">
        <f t="shared" si="33"/>
        <v>119.64285714285714</v>
      </c>
      <c r="AA41" s="52">
        <f t="shared" si="33"/>
        <v>37.642857142857146</v>
      </c>
      <c r="AB41" s="52">
        <f t="shared" si="33"/>
        <v>52.642857142857139</v>
      </c>
      <c r="AC41" s="52">
        <f t="shared" si="33"/>
        <v>2441.1428571428569</v>
      </c>
      <c r="AD41" s="52">
        <f t="shared" si="33"/>
        <v>6.2142857142857135</v>
      </c>
      <c r="AE41" s="53">
        <f>SUM(AE10:AE33)</f>
        <v>906.357142857143</v>
      </c>
      <c r="AF41" s="53">
        <f>SUM(AF10:AF33)</f>
        <v>3347.5</v>
      </c>
    </row>
    <row r="42" spans="2:32" ht="23.1" customHeight="1" x14ac:dyDescent="0.25">
      <c r="B42" s="24" t="s">
        <v>69</v>
      </c>
      <c r="C42" s="49">
        <f>AVERAGE('22.08 Lumino-Musita'!C42,'24.08 Lumino-Musita'!C42,'25.08 Lumino-Musita'!C42,'27.08 Lumino-Musita'!C42,'23.08 Lumino-Musita-24h'!C42,'26.08 Lumino-Musita-24h'!C42,'28.08 Lumino-Musita'!C42)</f>
        <v>4.1428571428571432</v>
      </c>
      <c r="D42" s="49">
        <f>AVERAGE('22.08 Lumino-Musita'!D42,'24.08 Lumino-Musita'!D42,'25.08 Lumino-Musita'!D42,'27.08 Lumino-Musita'!D42,'23.08 Lumino-Musita-24h'!D42,'26.08 Lumino-Musita-24h'!D42,'28.08 Lumino-Musita'!D42)</f>
        <v>1.1428571428571428</v>
      </c>
      <c r="E42" s="49">
        <f>AVERAGE('22.08 Lumino-Musita'!E42,'24.08 Lumino-Musita'!E42,'25.08 Lumino-Musita'!E42,'27.08 Lumino-Musita'!E42,'23.08 Lumino-Musita-24h'!E42,'26.08 Lumino-Musita-24h'!E42,'28.08 Lumino-Musita'!E42)</f>
        <v>1.4285714285714286</v>
      </c>
      <c r="F42" s="49">
        <f>AVERAGE('22.08 Lumino-Musita'!F42,'24.08 Lumino-Musita'!F42,'25.08 Lumino-Musita'!F42,'27.08 Lumino-Musita'!F42,'23.08 Lumino-Musita-24h'!F42,'26.08 Lumino-Musita-24h'!F42,'28.08 Lumino-Musita'!F42)</f>
        <v>2</v>
      </c>
      <c r="G42" s="49">
        <f>AVERAGE('22.08 Lumino-Musita'!G42,'24.08 Lumino-Musita'!G42,'25.08 Lumino-Musita'!G42,'27.08 Lumino-Musita'!G42,'23.08 Lumino-Musita-24h'!G42,'26.08 Lumino-Musita-24h'!G42,'28.08 Lumino-Musita'!G42)</f>
        <v>0.14285714285714285</v>
      </c>
      <c r="H42" s="49">
        <f>AVERAGE('22.08 Lumino-Musita'!H42,'24.08 Lumino-Musita'!H42,'25.08 Lumino-Musita'!H42,'27.08 Lumino-Musita'!H42,'23.08 Lumino-Musita-24h'!H42,'26.08 Lumino-Musita-24h'!H42,'28.08 Lumino-Musita'!H42)</f>
        <v>0</v>
      </c>
      <c r="I42" s="49">
        <f>AVERAGE('22.08 Lumino-Musita'!I42,'24.08 Lumino-Musita'!I42,'25.08 Lumino-Musita'!I42,'27.08 Lumino-Musita'!I42,'23.08 Lumino-Musita-24h'!I42,'26.08 Lumino-Musita-24h'!I42,'28.08 Lumino-Musita'!I42)</f>
        <v>1.5714285714285714</v>
      </c>
      <c r="J42" s="49">
        <f>AVERAGE('22.08 Lumino-Musita'!J42,'24.08 Lumino-Musita'!J42,'25.08 Lumino-Musita'!J42,'27.08 Lumino-Musita'!J42,'23.08 Lumino-Musita-24h'!J42,'26.08 Lumino-Musita-24h'!J42,'28.08 Lumino-Musita'!J42)</f>
        <v>1.2857142857142858</v>
      </c>
      <c r="K42" s="49">
        <f>AVERAGE('22.08 Lumino-Musita'!K42,'24.08 Lumino-Musita'!K42,'25.08 Lumino-Musita'!K42,'27.08 Lumino-Musita'!K42,'23.08 Lumino-Musita-24h'!K42,'26.08 Lumino-Musita-24h'!K42,'28.08 Lumino-Musita'!K42)</f>
        <v>0.14285714285714285</v>
      </c>
      <c r="L42" s="49">
        <f>AVERAGE('22.08 Lumino-Musita'!L42,'24.08 Lumino-Musita'!L42,'25.08 Lumino-Musita'!L42,'27.08 Lumino-Musita'!L42,'23.08 Lumino-Musita-24h'!L42,'26.08 Lumino-Musita-24h'!L42,'28.08 Lumino-Musita'!L42)</f>
        <v>0.5714285714285714</v>
      </c>
      <c r="M42" s="49">
        <f>AVERAGE('22.08 Lumino-Musita'!M42,'24.08 Lumino-Musita'!M42,'25.08 Lumino-Musita'!M42,'27.08 Lumino-Musita'!M42,'23.08 Lumino-Musita-24h'!M42,'26.08 Lumino-Musita-24h'!M42,'28.08 Lumino-Musita'!M42)</f>
        <v>38.142857142857146</v>
      </c>
      <c r="N42" s="49">
        <f>AVERAGE('22.08 Lumino-Musita'!N42,'24.08 Lumino-Musita'!N42,'25.08 Lumino-Musita'!N42,'27.08 Lumino-Musita'!N42,'23.08 Lumino-Musita-24h'!N42,'26.08 Lumino-Musita-24h'!N42,'28.08 Lumino-Musita'!N42)</f>
        <v>0</v>
      </c>
      <c r="O42" s="15">
        <f t="shared" si="0"/>
        <v>12.428571428571429</v>
      </c>
      <c r="P42" s="15">
        <f t="shared" si="1"/>
        <v>50.571428571428577</v>
      </c>
      <c r="R42" s="5" t="s">
        <v>160</v>
      </c>
      <c r="S42" s="48">
        <f>S41/S40</f>
        <v>1.5037091988130564</v>
      </c>
      <c r="T42" s="48">
        <f t="shared" ref="T42:AF42" si="34">T41/T40</f>
        <v>1.2726130653266332</v>
      </c>
      <c r="U42" s="48">
        <f t="shared" si="34"/>
        <v>1.5299295774647887</v>
      </c>
      <c r="V42" s="48">
        <f t="shared" si="34"/>
        <v>1.3971631205673758</v>
      </c>
      <c r="W42" s="48">
        <f t="shared" si="34"/>
        <v>1.4565217391304348</v>
      </c>
      <c r="X42" s="48">
        <f t="shared" si="34"/>
        <v>3.8000000000000007</v>
      </c>
      <c r="Y42" s="48">
        <f t="shared" si="34"/>
        <v>1.5046511627906978</v>
      </c>
      <c r="Z42" s="48">
        <f t="shared" si="34"/>
        <v>1.4744718309859155</v>
      </c>
      <c r="AA42" s="48">
        <f t="shared" si="34"/>
        <v>2.6616161616161618</v>
      </c>
      <c r="AB42" s="48">
        <f t="shared" si="34"/>
        <v>2.4898648648648654</v>
      </c>
      <c r="AC42" s="48">
        <f t="shared" si="34"/>
        <v>1.2422215760395463</v>
      </c>
      <c r="AD42" s="48">
        <f t="shared" si="34"/>
        <v>1.6730769230769229</v>
      </c>
      <c r="AE42" s="51">
        <f t="shared" si="34"/>
        <v>1.5339700193423595</v>
      </c>
      <c r="AF42" s="51">
        <f t="shared" si="34"/>
        <v>1.3096635367762128</v>
      </c>
    </row>
    <row r="43" spans="2:32" ht="23.1" customHeight="1" x14ac:dyDescent="0.25">
      <c r="B43" s="23" t="s">
        <v>70</v>
      </c>
      <c r="C43" s="49">
        <f>AVERAGE('22.08 Lumino-Musita'!C43,'24.08 Lumino-Musita'!C43,'25.08 Lumino-Musita'!C43,'27.08 Lumino-Musita'!C43,'23.08 Lumino-Musita-24h'!C43,'26.08 Lumino-Musita-24h'!C43,'28.08 Lumino-Musita'!C43)</f>
        <v>4.1428571428571432</v>
      </c>
      <c r="D43" s="49">
        <f>AVERAGE('22.08 Lumino-Musita'!D43,'24.08 Lumino-Musita'!D43,'25.08 Lumino-Musita'!D43,'27.08 Lumino-Musita'!D43,'23.08 Lumino-Musita-24h'!D43,'26.08 Lumino-Musita-24h'!D43,'28.08 Lumino-Musita'!D43)</f>
        <v>2.5714285714285716</v>
      </c>
      <c r="E43" s="49">
        <f>AVERAGE('22.08 Lumino-Musita'!E43,'24.08 Lumino-Musita'!E43,'25.08 Lumino-Musita'!E43,'27.08 Lumino-Musita'!E43,'23.08 Lumino-Musita-24h'!E43,'26.08 Lumino-Musita-24h'!E43,'28.08 Lumino-Musita'!E43)</f>
        <v>0.8571428571428571</v>
      </c>
      <c r="F43" s="49">
        <f>AVERAGE('22.08 Lumino-Musita'!F43,'24.08 Lumino-Musita'!F43,'25.08 Lumino-Musita'!F43,'27.08 Lumino-Musita'!F43,'23.08 Lumino-Musita-24h'!F43,'26.08 Lumino-Musita-24h'!F43,'28.08 Lumino-Musita'!F43)</f>
        <v>0.8571428571428571</v>
      </c>
      <c r="G43" s="49">
        <f>AVERAGE('22.08 Lumino-Musita'!G43,'24.08 Lumino-Musita'!G43,'25.08 Lumino-Musita'!G43,'27.08 Lumino-Musita'!G43,'23.08 Lumino-Musita-24h'!G43,'26.08 Lumino-Musita-24h'!G43,'28.08 Lumino-Musita'!G43)</f>
        <v>0</v>
      </c>
      <c r="H43" s="49">
        <f>AVERAGE('22.08 Lumino-Musita'!H43,'24.08 Lumino-Musita'!H43,'25.08 Lumino-Musita'!H43,'27.08 Lumino-Musita'!H43,'23.08 Lumino-Musita-24h'!H43,'26.08 Lumino-Musita-24h'!H43,'28.08 Lumino-Musita'!H43)</f>
        <v>0</v>
      </c>
      <c r="I43" s="49">
        <f>AVERAGE('22.08 Lumino-Musita'!I43,'24.08 Lumino-Musita'!I43,'25.08 Lumino-Musita'!I43,'27.08 Lumino-Musita'!I43,'23.08 Lumino-Musita-24h'!I43,'26.08 Lumino-Musita-24h'!I43,'28.08 Lumino-Musita'!I43)</f>
        <v>2.4285714285714284</v>
      </c>
      <c r="J43" s="49">
        <f>AVERAGE('22.08 Lumino-Musita'!J43,'24.08 Lumino-Musita'!J43,'25.08 Lumino-Musita'!J43,'27.08 Lumino-Musita'!J43,'23.08 Lumino-Musita-24h'!J43,'26.08 Lumino-Musita-24h'!J43,'28.08 Lumino-Musita'!J43)</f>
        <v>1.5714285714285714</v>
      </c>
      <c r="K43" s="49">
        <f>AVERAGE('22.08 Lumino-Musita'!K43,'24.08 Lumino-Musita'!K43,'25.08 Lumino-Musita'!K43,'27.08 Lumino-Musita'!K43,'23.08 Lumino-Musita-24h'!K43,'26.08 Lumino-Musita-24h'!K43,'28.08 Lumino-Musita'!K43)</f>
        <v>0.42857142857142855</v>
      </c>
      <c r="L43" s="49">
        <f>AVERAGE('22.08 Lumino-Musita'!L43,'24.08 Lumino-Musita'!L43,'25.08 Lumino-Musita'!L43,'27.08 Lumino-Musita'!L43,'23.08 Lumino-Musita-24h'!L43,'26.08 Lumino-Musita-24h'!L43,'28.08 Lumino-Musita'!L43)</f>
        <v>0.5714285714285714</v>
      </c>
      <c r="M43" s="49">
        <f>AVERAGE('22.08 Lumino-Musita'!M43,'24.08 Lumino-Musita'!M43,'25.08 Lumino-Musita'!M43,'27.08 Lumino-Musita'!M43,'23.08 Lumino-Musita-24h'!M43,'26.08 Lumino-Musita-24h'!M43,'28.08 Lumino-Musita'!M43)</f>
        <v>39.571428571428569</v>
      </c>
      <c r="N43" s="49">
        <f>AVERAGE('22.08 Lumino-Musita'!N43,'24.08 Lumino-Musita'!N43,'25.08 Lumino-Musita'!N43,'27.08 Lumino-Musita'!N43,'23.08 Lumino-Musita-24h'!N43,'26.08 Lumino-Musita-24h'!N43,'28.08 Lumino-Musita'!N43)</f>
        <v>0</v>
      </c>
      <c r="O43" s="15">
        <f t="shared" si="0"/>
        <v>13.428571428571429</v>
      </c>
      <c r="P43" s="15">
        <f t="shared" si="1"/>
        <v>53</v>
      </c>
    </row>
    <row r="44" spans="2:32" ht="23.1" customHeight="1" x14ac:dyDescent="0.25">
      <c r="B44" s="25" t="s">
        <v>71</v>
      </c>
      <c r="C44" s="49">
        <f>AVERAGE('22.08 Lumino-Musita'!C44,'24.08 Lumino-Musita'!C44,'25.08 Lumino-Musita'!C44,'27.08 Lumino-Musita'!C44,'23.08 Lumino-Musita-24h'!C44,'26.08 Lumino-Musita-24h'!C44,'28.08 Lumino-Musita'!C44)</f>
        <v>4.5714285714285712</v>
      </c>
      <c r="D44" s="49">
        <f>AVERAGE('22.08 Lumino-Musita'!D44,'24.08 Lumino-Musita'!D44,'25.08 Lumino-Musita'!D44,'27.08 Lumino-Musita'!D44,'23.08 Lumino-Musita-24h'!D44,'26.08 Lumino-Musita-24h'!D44,'28.08 Lumino-Musita'!D44)</f>
        <v>2</v>
      </c>
      <c r="E44" s="49">
        <f>AVERAGE('22.08 Lumino-Musita'!E44,'24.08 Lumino-Musita'!E44,'25.08 Lumino-Musita'!E44,'27.08 Lumino-Musita'!E44,'23.08 Lumino-Musita-24h'!E44,'26.08 Lumino-Musita-24h'!E44,'28.08 Lumino-Musita'!E44)</f>
        <v>1.2857142857142858</v>
      </c>
      <c r="F44" s="49">
        <f>AVERAGE('22.08 Lumino-Musita'!F44,'24.08 Lumino-Musita'!F44,'25.08 Lumino-Musita'!F44,'27.08 Lumino-Musita'!F44,'23.08 Lumino-Musita-24h'!F44,'26.08 Lumino-Musita-24h'!F44,'28.08 Lumino-Musita'!F44)</f>
        <v>1.5714285714285714</v>
      </c>
      <c r="G44" s="49">
        <f>AVERAGE('22.08 Lumino-Musita'!G44,'24.08 Lumino-Musita'!G44,'25.08 Lumino-Musita'!G44,'27.08 Lumino-Musita'!G44,'23.08 Lumino-Musita-24h'!G44,'26.08 Lumino-Musita-24h'!G44,'28.08 Lumino-Musita'!G44)</f>
        <v>0.14285714285714285</v>
      </c>
      <c r="H44" s="49">
        <f>AVERAGE('22.08 Lumino-Musita'!H44,'24.08 Lumino-Musita'!H44,'25.08 Lumino-Musita'!H44,'27.08 Lumino-Musita'!H44,'23.08 Lumino-Musita-24h'!H44,'26.08 Lumino-Musita-24h'!H44,'28.08 Lumino-Musita'!H44)</f>
        <v>0</v>
      </c>
      <c r="I44" s="49">
        <f>AVERAGE('22.08 Lumino-Musita'!I44,'24.08 Lumino-Musita'!I44,'25.08 Lumino-Musita'!I44,'27.08 Lumino-Musita'!I44,'23.08 Lumino-Musita-24h'!I44,'26.08 Lumino-Musita-24h'!I44,'28.08 Lumino-Musita'!I44)</f>
        <v>1.5714285714285714</v>
      </c>
      <c r="J44" s="49">
        <f>AVERAGE('22.08 Lumino-Musita'!J44,'24.08 Lumino-Musita'!J44,'25.08 Lumino-Musita'!J44,'27.08 Lumino-Musita'!J44,'23.08 Lumino-Musita-24h'!J44,'26.08 Lumino-Musita-24h'!J44,'28.08 Lumino-Musita'!J44)</f>
        <v>2.4285714285714284</v>
      </c>
      <c r="K44" s="49">
        <f>AVERAGE('22.08 Lumino-Musita'!K44,'24.08 Lumino-Musita'!K44,'25.08 Lumino-Musita'!K44,'27.08 Lumino-Musita'!K44,'23.08 Lumino-Musita-24h'!K44,'26.08 Lumino-Musita-24h'!K44,'28.08 Lumino-Musita'!K44)</f>
        <v>0.2857142857142857</v>
      </c>
      <c r="L44" s="49">
        <f>AVERAGE('22.08 Lumino-Musita'!L44,'24.08 Lumino-Musita'!L44,'25.08 Lumino-Musita'!L44,'27.08 Lumino-Musita'!L44,'23.08 Lumino-Musita-24h'!L44,'26.08 Lumino-Musita-24h'!L44,'28.08 Lumino-Musita'!L44)</f>
        <v>0.7142857142857143</v>
      </c>
      <c r="M44" s="49">
        <f>AVERAGE('22.08 Lumino-Musita'!M44,'24.08 Lumino-Musita'!M44,'25.08 Lumino-Musita'!M44,'27.08 Lumino-Musita'!M44,'23.08 Lumino-Musita-24h'!M44,'26.08 Lumino-Musita-24h'!M44,'28.08 Lumino-Musita'!M44)</f>
        <v>42.285714285714285</v>
      </c>
      <c r="N44" s="49">
        <f>AVERAGE('22.08 Lumino-Musita'!N44,'24.08 Lumino-Musita'!N44,'25.08 Lumino-Musita'!N44,'27.08 Lumino-Musita'!N44,'23.08 Lumino-Musita-24h'!N44,'26.08 Lumino-Musita-24h'!N44,'28.08 Lumino-Musita'!N44)</f>
        <v>0.42857142857142855</v>
      </c>
      <c r="O44" s="15">
        <f t="shared" si="0"/>
        <v>15</v>
      </c>
      <c r="P44" s="15">
        <f t="shared" si="1"/>
        <v>57.285714285714285</v>
      </c>
    </row>
    <row r="45" spans="2:32" ht="23.1" customHeight="1" x14ac:dyDescent="0.25">
      <c r="B45" s="23" t="s">
        <v>72</v>
      </c>
      <c r="C45" s="49">
        <f>AVERAGE('22.08 Lumino-Musita'!C45,'24.08 Lumino-Musita'!C45,'25.08 Lumino-Musita'!C45,'27.08 Lumino-Musita'!C45,'23.08 Lumino-Musita-24h'!C45,'26.08 Lumino-Musita-24h'!C45,'28.08 Lumino-Musita'!C45)</f>
        <v>4.7142857142857144</v>
      </c>
      <c r="D45" s="49">
        <f>AVERAGE('22.08 Lumino-Musita'!D45,'24.08 Lumino-Musita'!D45,'25.08 Lumino-Musita'!D45,'27.08 Lumino-Musita'!D45,'23.08 Lumino-Musita-24h'!D45,'26.08 Lumino-Musita-24h'!D45,'28.08 Lumino-Musita'!D45)</f>
        <v>1.5714285714285714</v>
      </c>
      <c r="E45" s="49">
        <f>AVERAGE('22.08 Lumino-Musita'!E45,'24.08 Lumino-Musita'!E45,'25.08 Lumino-Musita'!E45,'27.08 Lumino-Musita'!E45,'23.08 Lumino-Musita-24h'!E45,'26.08 Lumino-Musita-24h'!E45,'28.08 Lumino-Musita'!E45)</f>
        <v>0.5714285714285714</v>
      </c>
      <c r="F45" s="49">
        <f>AVERAGE('22.08 Lumino-Musita'!F45,'24.08 Lumino-Musita'!F45,'25.08 Lumino-Musita'!F45,'27.08 Lumino-Musita'!F45,'23.08 Lumino-Musita-24h'!F45,'26.08 Lumino-Musita-24h'!F45,'28.08 Lumino-Musita'!F45)</f>
        <v>1.4285714285714286</v>
      </c>
      <c r="G45" s="49">
        <f>AVERAGE('22.08 Lumino-Musita'!G45,'24.08 Lumino-Musita'!G45,'25.08 Lumino-Musita'!G45,'27.08 Lumino-Musita'!G45,'23.08 Lumino-Musita-24h'!G45,'26.08 Lumino-Musita-24h'!G45,'28.08 Lumino-Musita'!G45)</f>
        <v>0</v>
      </c>
      <c r="H45" s="49">
        <f>AVERAGE('22.08 Lumino-Musita'!H45,'24.08 Lumino-Musita'!H45,'25.08 Lumino-Musita'!H45,'27.08 Lumino-Musita'!H45,'23.08 Lumino-Musita-24h'!H45,'26.08 Lumino-Musita-24h'!H45,'28.08 Lumino-Musita'!H45)</f>
        <v>0</v>
      </c>
      <c r="I45" s="49">
        <f>AVERAGE('22.08 Lumino-Musita'!I45,'24.08 Lumino-Musita'!I45,'25.08 Lumino-Musita'!I45,'27.08 Lumino-Musita'!I45,'23.08 Lumino-Musita-24h'!I45,'26.08 Lumino-Musita-24h'!I45,'28.08 Lumino-Musita'!I45)</f>
        <v>1.7142857142857142</v>
      </c>
      <c r="J45" s="49">
        <f>AVERAGE('22.08 Lumino-Musita'!J45,'24.08 Lumino-Musita'!J45,'25.08 Lumino-Musita'!J45,'27.08 Lumino-Musita'!J45,'23.08 Lumino-Musita-24h'!J45,'26.08 Lumino-Musita-24h'!J45,'28.08 Lumino-Musita'!J45)</f>
        <v>2</v>
      </c>
      <c r="K45" s="49">
        <f>AVERAGE('22.08 Lumino-Musita'!K45,'24.08 Lumino-Musita'!K45,'25.08 Lumino-Musita'!K45,'27.08 Lumino-Musita'!K45,'23.08 Lumino-Musita-24h'!K45,'26.08 Lumino-Musita-24h'!K45,'28.08 Lumino-Musita'!K45)</f>
        <v>0.7142857142857143</v>
      </c>
      <c r="L45" s="49">
        <f>AVERAGE('22.08 Lumino-Musita'!L45,'24.08 Lumino-Musita'!L45,'25.08 Lumino-Musita'!L45,'27.08 Lumino-Musita'!L45,'23.08 Lumino-Musita-24h'!L45,'26.08 Lumino-Musita-24h'!L45,'28.08 Lumino-Musita'!L45)</f>
        <v>1.2857142857142858</v>
      </c>
      <c r="M45" s="49">
        <f>AVERAGE('22.08 Lumino-Musita'!M45,'24.08 Lumino-Musita'!M45,'25.08 Lumino-Musita'!M45,'27.08 Lumino-Musita'!M45,'23.08 Lumino-Musita-24h'!M45,'26.08 Lumino-Musita-24h'!M45,'28.08 Lumino-Musita'!M45)</f>
        <v>42.571428571428569</v>
      </c>
      <c r="N45" s="49">
        <f>AVERAGE('22.08 Lumino-Musita'!N45,'24.08 Lumino-Musita'!N45,'25.08 Lumino-Musita'!N45,'27.08 Lumino-Musita'!N45,'23.08 Lumino-Musita-24h'!N45,'26.08 Lumino-Musita-24h'!N45,'28.08 Lumino-Musita'!N45)</f>
        <v>0.14285714285714285</v>
      </c>
      <c r="O45" s="15">
        <f t="shared" si="0"/>
        <v>14.142857142857141</v>
      </c>
      <c r="P45" s="15">
        <f t="shared" si="1"/>
        <v>56.714285714285715</v>
      </c>
    </row>
    <row r="46" spans="2:32" ht="23.1" customHeight="1" x14ac:dyDescent="0.25">
      <c r="B46" s="24" t="s">
        <v>73</v>
      </c>
      <c r="C46" s="49">
        <f>AVERAGE('22.08 Lumino-Musita'!C46,'24.08 Lumino-Musita'!C46,'25.08 Lumino-Musita'!C46,'27.08 Lumino-Musita'!C46,'23.08 Lumino-Musita-24h'!C46,'26.08 Lumino-Musita-24h'!C46,'28.08 Lumino-Musita'!C46)</f>
        <v>3.5714285714285716</v>
      </c>
      <c r="D46" s="49">
        <f>AVERAGE('22.08 Lumino-Musita'!D46,'24.08 Lumino-Musita'!D46,'25.08 Lumino-Musita'!D46,'27.08 Lumino-Musita'!D46,'23.08 Lumino-Musita-24h'!D46,'26.08 Lumino-Musita-24h'!D46,'28.08 Lumino-Musita'!D46)</f>
        <v>0.8571428571428571</v>
      </c>
      <c r="E46" s="49">
        <f>AVERAGE('22.08 Lumino-Musita'!E46,'24.08 Lumino-Musita'!E46,'25.08 Lumino-Musita'!E46,'27.08 Lumino-Musita'!E46,'23.08 Lumino-Musita-24h'!E46,'26.08 Lumino-Musita-24h'!E46,'28.08 Lumino-Musita'!E46)</f>
        <v>0.8571428571428571</v>
      </c>
      <c r="F46" s="49">
        <f>AVERAGE('22.08 Lumino-Musita'!F46,'24.08 Lumino-Musita'!F46,'25.08 Lumino-Musita'!F46,'27.08 Lumino-Musita'!F46,'23.08 Lumino-Musita-24h'!F46,'26.08 Lumino-Musita-24h'!F46,'28.08 Lumino-Musita'!F46)</f>
        <v>1.5714285714285714</v>
      </c>
      <c r="G46" s="49">
        <f>AVERAGE('22.08 Lumino-Musita'!G46,'24.08 Lumino-Musita'!G46,'25.08 Lumino-Musita'!G46,'27.08 Lumino-Musita'!G46,'23.08 Lumino-Musita-24h'!G46,'26.08 Lumino-Musita-24h'!G46,'28.08 Lumino-Musita'!G46)</f>
        <v>0</v>
      </c>
      <c r="H46" s="49">
        <f>AVERAGE('22.08 Lumino-Musita'!H46,'24.08 Lumino-Musita'!H46,'25.08 Lumino-Musita'!H46,'27.08 Lumino-Musita'!H46,'23.08 Lumino-Musita-24h'!H46,'26.08 Lumino-Musita-24h'!H46,'28.08 Lumino-Musita'!H46)</f>
        <v>0</v>
      </c>
      <c r="I46" s="49">
        <f>AVERAGE('22.08 Lumino-Musita'!I46,'24.08 Lumino-Musita'!I46,'25.08 Lumino-Musita'!I46,'27.08 Lumino-Musita'!I46,'23.08 Lumino-Musita-24h'!I46,'26.08 Lumino-Musita-24h'!I46,'28.08 Lumino-Musita'!I46)</f>
        <v>2.5714285714285716</v>
      </c>
      <c r="J46" s="49">
        <f>AVERAGE('22.08 Lumino-Musita'!J46,'24.08 Lumino-Musita'!J46,'25.08 Lumino-Musita'!J46,'27.08 Lumino-Musita'!J46,'23.08 Lumino-Musita-24h'!J46,'26.08 Lumino-Musita-24h'!J46,'28.08 Lumino-Musita'!J46)</f>
        <v>1.1428571428571428</v>
      </c>
      <c r="K46" s="49">
        <f>AVERAGE('22.08 Lumino-Musita'!K46,'24.08 Lumino-Musita'!K46,'25.08 Lumino-Musita'!K46,'27.08 Lumino-Musita'!K46,'23.08 Lumino-Musita-24h'!K46,'26.08 Lumino-Musita-24h'!K46,'28.08 Lumino-Musita'!K46)</f>
        <v>0.2857142857142857</v>
      </c>
      <c r="L46" s="49">
        <f>AVERAGE('22.08 Lumino-Musita'!L46,'24.08 Lumino-Musita'!L46,'25.08 Lumino-Musita'!L46,'27.08 Lumino-Musita'!L46,'23.08 Lumino-Musita-24h'!L46,'26.08 Lumino-Musita-24h'!L46,'28.08 Lumino-Musita'!L46)</f>
        <v>1</v>
      </c>
      <c r="M46" s="49">
        <f>AVERAGE('22.08 Lumino-Musita'!M46,'24.08 Lumino-Musita'!M46,'25.08 Lumino-Musita'!M46,'27.08 Lumino-Musita'!M46,'23.08 Lumino-Musita-24h'!M46,'26.08 Lumino-Musita-24h'!M46,'28.08 Lumino-Musita'!M46)</f>
        <v>42.428571428571431</v>
      </c>
      <c r="N46" s="49">
        <f>AVERAGE('22.08 Lumino-Musita'!N46,'24.08 Lumino-Musita'!N46,'25.08 Lumino-Musita'!N46,'27.08 Lumino-Musita'!N46,'23.08 Lumino-Musita-24h'!N46,'26.08 Lumino-Musita-24h'!N46,'28.08 Lumino-Musita'!N46)</f>
        <v>0.14285714285714285</v>
      </c>
      <c r="O46" s="15">
        <f t="shared" si="0"/>
        <v>12</v>
      </c>
      <c r="P46" s="15">
        <f t="shared" si="1"/>
        <v>54.428571428571438</v>
      </c>
      <c r="R46" s="8"/>
      <c r="T46"/>
    </row>
    <row r="47" spans="2:32" ht="23.1" customHeight="1" x14ac:dyDescent="0.25">
      <c r="B47" s="24" t="s">
        <v>74</v>
      </c>
      <c r="C47" s="49">
        <f>AVERAGE('22.08 Lumino-Musita'!C47,'24.08 Lumino-Musita'!C47,'25.08 Lumino-Musita'!C47,'27.08 Lumino-Musita'!C47,'23.08 Lumino-Musita-24h'!C47,'26.08 Lumino-Musita-24h'!C47,'28.08 Lumino-Musita'!C47)</f>
        <v>4.7142857142857144</v>
      </c>
      <c r="D47" s="49">
        <f>AVERAGE('22.08 Lumino-Musita'!D47,'24.08 Lumino-Musita'!D47,'25.08 Lumino-Musita'!D47,'27.08 Lumino-Musita'!D47,'23.08 Lumino-Musita-24h'!D47,'26.08 Lumino-Musita-24h'!D47,'28.08 Lumino-Musita'!D47)</f>
        <v>1.1428571428571428</v>
      </c>
      <c r="E47" s="49">
        <f>AVERAGE('22.08 Lumino-Musita'!E47,'24.08 Lumino-Musita'!E47,'25.08 Lumino-Musita'!E47,'27.08 Lumino-Musita'!E47,'23.08 Lumino-Musita-24h'!E47,'26.08 Lumino-Musita-24h'!E47,'28.08 Lumino-Musita'!E47)</f>
        <v>2</v>
      </c>
      <c r="F47" s="49">
        <f>AVERAGE('22.08 Lumino-Musita'!F47,'24.08 Lumino-Musita'!F47,'25.08 Lumino-Musita'!F47,'27.08 Lumino-Musita'!F47,'23.08 Lumino-Musita-24h'!F47,'26.08 Lumino-Musita-24h'!F47,'28.08 Lumino-Musita'!F47)</f>
        <v>2</v>
      </c>
      <c r="G47" s="49">
        <f>AVERAGE('22.08 Lumino-Musita'!G47,'24.08 Lumino-Musita'!G47,'25.08 Lumino-Musita'!G47,'27.08 Lumino-Musita'!G47,'23.08 Lumino-Musita-24h'!G47,'26.08 Lumino-Musita-24h'!G47,'28.08 Lumino-Musita'!G47)</f>
        <v>0.2857142857142857</v>
      </c>
      <c r="H47" s="49">
        <f>AVERAGE('22.08 Lumino-Musita'!H47,'24.08 Lumino-Musita'!H47,'25.08 Lumino-Musita'!H47,'27.08 Lumino-Musita'!H47,'23.08 Lumino-Musita-24h'!H47,'26.08 Lumino-Musita-24h'!H47,'28.08 Lumino-Musita'!H47)</f>
        <v>0</v>
      </c>
      <c r="I47" s="49">
        <f>AVERAGE('22.08 Lumino-Musita'!I47,'24.08 Lumino-Musita'!I47,'25.08 Lumino-Musita'!I47,'27.08 Lumino-Musita'!I47,'23.08 Lumino-Musita-24h'!I47,'26.08 Lumino-Musita-24h'!I47,'28.08 Lumino-Musita'!I47)</f>
        <v>2.7142857142857144</v>
      </c>
      <c r="J47" s="49">
        <f>AVERAGE('22.08 Lumino-Musita'!J47,'24.08 Lumino-Musita'!J47,'25.08 Lumino-Musita'!J47,'27.08 Lumino-Musita'!J47,'23.08 Lumino-Musita-24h'!J47,'26.08 Lumino-Musita-24h'!J47,'28.08 Lumino-Musita'!J47)</f>
        <v>2.2857142857142856</v>
      </c>
      <c r="K47" s="49">
        <f>AVERAGE('22.08 Lumino-Musita'!K47,'24.08 Lumino-Musita'!K47,'25.08 Lumino-Musita'!K47,'27.08 Lumino-Musita'!K47,'23.08 Lumino-Musita-24h'!K47,'26.08 Lumino-Musita-24h'!K47,'28.08 Lumino-Musita'!K47)</f>
        <v>0.2857142857142857</v>
      </c>
      <c r="L47" s="49">
        <f>AVERAGE('22.08 Lumino-Musita'!L47,'24.08 Lumino-Musita'!L47,'25.08 Lumino-Musita'!L47,'27.08 Lumino-Musita'!L47,'23.08 Lumino-Musita-24h'!L47,'26.08 Lumino-Musita-24h'!L47,'28.08 Lumino-Musita'!L47)</f>
        <v>1.1428571428571428</v>
      </c>
      <c r="M47" s="49">
        <f>AVERAGE('22.08 Lumino-Musita'!M47,'24.08 Lumino-Musita'!M47,'25.08 Lumino-Musita'!M47,'27.08 Lumino-Musita'!M47,'23.08 Lumino-Musita-24h'!M47,'26.08 Lumino-Musita-24h'!M47,'28.08 Lumino-Musita'!M47)</f>
        <v>50.285714285714285</v>
      </c>
      <c r="N47" s="49">
        <f>AVERAGE('22.08 Lumino-Musita'!N47,'24.08 Lumino-Musita'!N47,'25.08 Lumino-Musita'!N47,'27.08 Lumino-Musita'!N47,'23.08 Lumino-Musita-24h'!N47,'26.08 Lumino-Musita-24h'!N47,'28.08 Lumino-Musita'!N47)</f>
        <v>0</v>
      </c>
      <c r="O47" s="15">
        <f t="shared" si="0"/>
        <v>16.571428571428573</v>
      </c>
      <c r="P47" s="15">
        <f t="shared" si="1"/>
        <v>66.857142857142861</v>
      </c>
      <c r="R47" s="8"/>
      <c r="T47"/>
    </row>
    <row r="48" spans="2:32" ht="23.1" customHeight="1" x14ac:dyDescent="0.25">
      <c r="B48" s="24" t="s">
        <v>75</v>
      </c>
      <c r="C48" s="49">
        <f>AVERAGE('22.08 Lumino-Musita'!C48,'24.08 Lumino-Musita'!C48,'25.08 Lumino-Musita'!C48,'27.08 Lumino-Musita'!C48,'23.08 Lumino-Musita-24h'!C48,'26.08 Lumino-Musita-24h'!C48,'28.08 Lumino-Musita'!C48)</f>
        <v>4.8571428571428568</v>
      </c>
      <c r="D48" s="49">
        <f>AVERAGE('22.08 Lumino-Musita'!D48,'24.08 Lumino-Musita'!D48,'25.08 Lumino-Musita'!D48,'27.08 Lumino-Musita'!D48,'23.08 Lumino-Musita-24h'!D48,'26.08 Lumino-Musita-24h'!D48,'28.08 Lumino-Musita'!D48)</f>
        <v>1.2857142857142858</v>
      </c>
      <c r="E48" s="49">
        <f>AVERAGE('22.08 Lumino-Musita'!E48,'24.08 Lumino-Musita'!E48,'25.08 Lumino-Musita'!E48,'27.08 Lumino-Musita'!E48,'23.08 Lumino-Musita-24h'!E48,'26.08 Lumino-Musita-24h'!E48,'28.08 Lumino-Musita'!E48)</f>
        <v>1.7142857142857142</v>
      </c>
      <c r="F48" s="49">
        <f>AVERAGE('22.08 Lumino-Musita'!F48,'24.08 Lumino-Musita'!F48,'25.08 Lumino-Musita'!F48,'27.08 Lumino-Musita'!F48,'23.08 Lumino-Musita-24h'!F48,'26.08 Lumino-Musita-24h'!F48,'28.08 Lumino-Musita'!F48)</f>
        <v>1.2857142857142858</v>
      </c>
      <c r="G48" s="49">
        <f>AVERAGE('22.08 Lumino-Musita'!G48,'24.08 Lumino-Musita'!G48,'25.08 Lumino-Musita'!G48,'27.08 Lumino-Musita'!G48,'23.08 Lumino-Musita-24h'!G48,'26.08 Lumino-Musita-24h'!G48,'28.08 Lumino-Musita'!G48)</f>
        <v>0.14285714285714285</v>
      </c>
      <c r="H48" s="49">
        <f>AVERAGE('22.08 Lumino-Musita'!H48,'24.08 Lumino-Musita'!H48,'25.08 Lumino-Musita'!H48,'27.08 Lumino-Musita'!H48,'23.08 Lumino-Musita-24h'!H48,'26.08 Lumino-Musita-24h'!H48,'28.08 Lumino-Musita'!H48)</f>
        <v>0</v>
      </c>
      <c r="I48" s="49">
        <f>AVERAGE('22.08 Lumino-Musita'!I48,'24.08 Lumino-Musita'!I48,'25.08 Lumino-Musita'!I48,'27.08 Lumino-Musita'!I48,'23.08 Lumino-Musita-24h'!I48,'26.08 Lumino-Musita-24h'!I48,'28.08 Lumino-Musita'!I48)</f>
        <v>2.8571428571428572</v>
      </c>
      <c r="J48" s="49">
        <f>AVERAGE('22.08 Lumino-Musita'!J48,'24.08 Lumino-Musita'!J48,'25.08 Lumino-Musita'!J48,'27.08 Lumino-Musita'!J48,'23.08 Lumino-Musita-24h'!J48,'26.08 Lumino-Musita-24h'!J48,'28.08 Lumino-Musita'!J48)</f>
        <v>1.5714285714285714</v>
      </c>
      <c r="K48" s="49">
        <f>AVERAGE('22.08 Lumino-Musita'!K48,'24.08 Lumino-Musita'!K48,'25.08 Lumino-Musita'!K48,'27.08 Lumino-Musita'!K48,'23.08 Lumino-Musita-24h'!K48,'26.08 Lumino-Musita-24h'!K48,'28.08 Lumino-Musita'!K48)</f>
        <v>0</v>
      </c>
      <c r="L48" s="49">
        <f>AVERAGE('22.08 Lumino-Musita'!L48,'24.08 Lumino-Musita'!L48,'25.08 Lumino-Musita'!L48,'27.08 Lumino-Musita'!L48,'23.08 Lumino-Musita-24h'!L48,'26.08 Lumino-Musita-24h'!L48,'28.08 Lumino-Musita'!L48)</f>
        <v>0.42857142857142855</v>
      </c>
      <c r="M48" s="49">
        <f>AVERAGE('22.08 Lumino-Musita'!M48,'24.08 Lumino-Musita'!M48,'25.08 Lumino-Musita'!M48,'27.08 Lumino-Musita'!M48,'23.08 Lumino-Musita-24h'!M48,'26.08 Lumino-Musita-24h'!M48,'28.08 Lumino-Musita'!M48)</f>
        <v>47.857142857142854</v>
      </c>
      <c r="N48" s="49">
        <f>AVERAGE('22.08 Lumino-Musita'!N48,'24.08 Lumino-Musita'!N48,'25.08 Lumino-Musita'!N48,'27.08 Lumino-Musita'!N48,'23.08 Lumino-Musita-24h'!N48,'26.08 Lumino-Musita-24h'!N48,'28.08 Lumino-Musita'!N48)</f>
        <v>0</v>
      </c>
      <c r="O48" s="15">
        <f t="shared" si="0"/>
        <v>14.142857142857142</v>
      </c>
      <c r="P48" s="15">
        <f t="shared" si="1"/>
        <v>62</v>
      </c>
      <c r="R48" s="8"/>
      <c r="T48"/>
    </row>
    <row r="49" spans="2:20" ht="23.1" customHeight="1" x14ac:dyDescent="0.25">
      <c r="B49" s="23" t="s">
        <v>76</v>
      </c>
      <c r="C49" s="49">
        <f>AVERAGE('22.08 Lumino-Musita'!C49,'24.08 Lumino-Musita'!C49,'25.08 Lumino-Musita'!C49,'27.08 Lumino-Musita'!C49,'23.08 Lumino-Musita-24h'!C49,'26.08 Lumino-Musita-24h'!C49,'28.08 Lumino-Musita'!C49)</f>
        <v>5</v>
      </c>
      <c r="D49" s="49">
        <f>AVERAGE('22.08 Lumino-Musita'!D49,'24.08 Lumino-Musita'!D49,'25.08 Lumino-Musita'!D49,'27.08 Lumino-Musita'!D49,'23.08 Lumino-Musita-24h'!D49,'26.08 Lumino-Musita-24h'!D49,'28.08 Lumino-Musita'!D49)</f>
        <v>2</v>
      </c>
      <c r="E49" s="49">
        <f>AVERAGE('22.08 Lumino-Musita'!E49,'24.08 Lumino-Musita'!E49,'25.08 Lumino-Musita'!E49,'27.08 Lumino-Musita'!E49,'23.08 Lumino-Musita-24h'!E49,'26.08 Lumino-Musita-24h'!E49,'28.08 Lumino-Musita'!E49)</f>
        <v>0.8571428571428571</v>
      </c>
      <c r="F49" s="49">
        <f>AVERAGE('22.08 Lumino-Musita'!F49,'24.08 Lumino-Musita'!F49,'25.08 Lumino-Musita'!F49,'27.08 Lumino-Musita'!F49,'23.08 Lumino-Musita-24h'!F49,'26.08 Lumino-Musita-24h'!F49,'28.08 Lumino-Musita'!F49)</f>
        <v>2.4285714285714284</v>
      </c>
      <c r="G49" s="49">
        <f>AVERAGE('22.08 Lumino-Musita'!G49,'24.08 Lumino-Musita'!G49,'25.08 Lumino-Musita'!G49,'27.08 Lumino-Musita'!G49,'23.08 Lumino-Musita-24h'!G49,'26.08 Lumino-Musita-24h'!G49,'28.08 Lumino-Musita'!G49)</f>
        <v>0</v>
      </c>
      <c r="H49" s="49">
        <f>AVERAGE('22.08 Lumino-Musita'!H49,'24.08 Lumino-Musita'!H49,'25.08 Lumino-Musita'!H49,'27.08 Lumino-Musita'!H49,'23.08 Lumino-Musita-24h'!H49,'26.08 Lumino-Musita-24h'!H49,'28.08 Lumino-Musita'!H49)</f>
        <v>0</v>
      </c>
      <c r="I49" s="49">
        <f>AVERAGE('22.08 Lumino-Musita'!I49,'24.08 Lumino-Musita'!I49,'25.08 Lumino-Musita'!I49,'27.08 Lumino-Musita'!I49,'23.08 Lumino-Musita-24h'!I49,'26.08 Lumino-Musita-24h'!I49,'28.08 Lumino-Musita'!I49)</f>
        <v>4</v>
      </c>
      <c r="J49" s="49">
        <f>AVERAGE('22.08 Lumino-Musita'!J49,'24.08 Lumino-Musita'!J49,'25.08 Lumino-Musita'!J49,'27.08 Lumino-Musita'!J49,'23.08 Lumino-Musita-24h'!J49,'26.08 Lumino-Musita-24h'!J49,'28.08 Lumino-Musita'!J49)</f>
        <v>1.8571428571428572</v>
      </c>
      <c r="K49" s="49">
        <f>AVERAGE('22.08 Lumino-Musita'!K49,'24.08 Lumino-Musita'!K49,'25.08 Lumino-Musita'!K49,'27.08 Lumino-Musita'!K49,'23.08 Lumino-Musita-24h'!K49,'26.08 Lumino-Musita-24h'!K49,'28.08 Lumino-Musita'!K49)</f>
        <v>0.7142857142857143</v>
      </c>
      <c r="L49" s="49">
        <f>AVERAGE('22.08 Lumino-Musita'!L49,'24.08 Lumino-Musita'!L49,'25.08 Lumino-Musita'!L49,'27.08 Lumino-Musita'!L49,'23.08 Lumino-Musita-24h'!L49,'26.08 Lumino-Musita-24h'!L49,'28.08 Lumino-Musita'!L49)</f>
        <v>0.5714285714285714</v>
      </c>
      <c r="M49" s="49">
        <f>AVERAGE('22.08 Lumino-Musita'!M49,'24.08 Lumino-Musita'!M49,'25.08 Lumino-Musita'!M49,'27.08 Lumino-Musita'!M49,'23.08 Lumino-Musita-24h'!M49,'26.08 Lumino-Musita-24h'!M49,'28.08 Lumino-Musita'!M49)</f>
        <v>49.857142857142854</v>
      </c>
      <c r="N49" s="49">
        <f>AVERAGE('22.08 Lumino-Musita'!N49,'24.08 Lumino-Musita'!N49,'25.08 Lumino-Musita'!N49,'27.08 Lumino-Musita'!N49,'23.08 Lumino-Musita-24h'!N49,'26.08 Lumino-Musita-24h'!N49,'28.08 Lumino-Musita'!N49)</f>
        <v>0</v>
      </c>
      <c r="O49" s="15">
        <f t="shared" si="0"/>
        <v>17.428571428571431</v>
      </c>
      <c r="P49" s="15">
        <f t="shared" si="1"/>
        <v>67.285714285714278</v>
      </c>
      <c r="R49" s="8"/>
      <c r="T49"/>
    </row>
    <row r="50" spans="2:20" ht="23.1" customHeight="1" x14ac:dyDescent="0.25">
      <c r="B50" s="24" t="s">
        <v>77</v>
      </c>
      <c r="C50" s="49">
        <f>AVERAGE('22.08 Lumino-Musita'!C50,'24.08 Lumino-Musita'!C50,'25.08 Lumino-Musita'!C50,'27.08 Lumino-Musita'!C50,'23.08 Lumino-Musita-24h'!C50,'26.08 Lumino-Musita-24h'!C50,'28.08 Lumino-Musita'!C50)</f>
        <v>5.4285714285714288</v>
      </c>
      <c r="D50" s="49">
        <f>AVERAGE('22.08 Lumino-Musita'!D50,'24.08 Lumino-Musita'!D50,'25.08 Lumino-Musita'!D50,'27.08 Lumino-Musita'!D50,'23.08 Lumino-Musita-24h'!D50,'26.08 Lumino-Musita-24h'!D50,'28.08 Lumino-Musita'!D50)</f>
        <v>2</v>
      </c>
      <c r="E50" s="49">
        <f>AVERAGE('22.08 Lumino-Musita'!E50,'24.08 Lumino-Musita'!E50,'25.08 Lumino-Musita'!E50,'27.08 Lumino-Musita'!E50,'23.08 Lumino-Musita-24h'!E50,'26.08 Lumino-Musita-24h'!E50,'28.08 Lumino-Musita'!E50)</f>
        <v>0.5714285714285714</v>
      </c>
      <c r="F50" s="49">
        <f>AVERAGE('22.08 Lumino-Musita'!F50,'24.08 Lumino-Musita'!F50,'25.08 Lumino-Musita'!F50,'27.08 Lumino-Musita'!F50,'23.08 Lumino-Musita-24h'!F50,'26.08 Lumino-Musita-24h'!F50,'28.08 Lumino-Musita'!F50)</f>
        <v>2.1428571428571428</v>
      </c>
      <c r="G50" s="49">
        <f>AVERAGE('22.08 Lumino-Musita'!G50,'24.08 Lumino-Musita'!G50,'25.08 Lumino-Musita'!G50,'27.08 Lumino-Musita'!G50,'23.08 Lumino-Musita-24h'!G50,'26.08 Lumino-Musita-24h'!G50,'28.08 Lumino-Musita'!G50)</f>
        <v>0.14285714285714285</v>
      </c>
      <c r="H50" s="49">
        <f>AVERAGE('22.08 Lumino-Musita'!H50,'24.08 Lumino-Musita'!H50,'25.08 Lumino-Musita'!H50,'27.08 Lumino-Musita'!H50,'23.08 Lumino-Musita-24h'!H50,'26.08 Lumino-Musita-24h'!H50,'28.08 Lumino-Musita'!H50)</f>
        <v>0</v>
      </c>
      <c r="I50" s="49">
        <f>AVERAGE('22.08 Lumino-Musita'!I50,'24.08 Lumino-Musita'!I50,'25.08 Lumino-Musita'!I50,'27.08 Lumino-Musita'!I50,'23.08 Lumino-Musita-24h'!I50,'26.08 Lumino-Musita-24h'!I50,'28.08 Lumino-Musita'!I50)</f>
        <v>3.4285714285714284</v>
      </c>
      <c r="J50" s="49">
        <f>AVERAGE('22.08 Lumino-Musita'!J50,'24.08 Lumino-Musita'!J50,'25.08 Lumino-Musita'!J50,'27.08 Lumino-Musita'!J50,'23.08 Lumino-Musita-24h'!J50,'26.08 Lumino-Musita-24h'!J50,'28.08 Lumino-Musita'!J50)</f>
        <v>0.8571428571428571</v>
      </c>
      <c r="K50" s="49">
        <f>AVERAGE('22.08 Lumino-Musita'!K50,'24.08 Lumino-Musita'!K50,'25.08 Lumino-Musita'!K50,'27.08 Lumino-Musita'!K50,'23.08 Lumino-Musita-24h'!K50,'26.08 Lumino-Musita-24h'!K50,'28.08 Lumino-Musita'!K50)</f>
        <v>0.2857142857142857</v>
      </c>
      <c r="L50" s="49">
        <f>AVERAGE('22.08 Lumino-Musita'!L50,'24.08 Lumino-Musita'!L50,'25.08 Lumino-Musita'!L50,'27.08 Lumino-Musita'!L50,'23.08 Lumino-Musita-24h'!L50,'26.08 Lumino-Musita-24h'!L50,'28.08 Lumino-Musita'!L50)</f>
        <v>1.1428571428571428</v>
      </c>
      <c r="M50" s="49">
        <f>AVERAGE('22.08 Lumino-Musita'!M50,'24.08 Lumino-Musita'!M50,'25.08 Lumino-Musita'!M50,'27.08 Lumino-Musita'!M50,'23.08 Lumino-Musita-24h'!M50,'26.08 Lumino-Musita-24h'!M50,'28.08 Lumino-Musita'!M50)</f>
        <v>45.428571428571431</v>
      </c>
      <c r="N50" s="49">
        <f>AVERAGE('22.08 Lumino-Musita'!N50,'24.08 Lumino-Musita'!N50,'25.08 Lumino-Musita'!N50,'27.08 Lumino-Musita'!N50,'23.08 Lumino-Musita-24h'!N50,'26.08 Lumino-Musita-24h'!N50,'28.08 Lumino-Musita'!N50)</f>
        <v>0</v>
      </c>
      <c r="O50" s="15">
        <f t="shared" si="0"/>
        <v>16</v>
      </c>
      <c r="P50" s="15">
        <f t="shared" si="1"/>
        <v>61.428571428571431</v>
      </c>
      <c r="R50" s="8"/>
      <c r="T50"/>
    </row>
    <row r="51" spans="2:20" ht="23.1" customHeight="1" x14ac:dyDescent="0.25">
      <c r="B51" s="24" t="s">
        <v>78</v>
      </c>
      <c r="C51" s="49">
        <f>AVERAGE('22.08 Lumino-Musita'!C51,'24.08 Lumino-Musita'!C51,'25.08 Lumino-Musita'!C51,'27.08 Lumino-Musita'!C51,'23.08 Lumino-Musita-24h'!C51,'26.08 Lumino-Musita-24h'!C51,'28.08 Lumino-Musita'!C51)</f>
        <v>4.5714285714285712</v>
      </c>
      <c r="D51" s="49">
        <f>AVERAGE('22.08 Lumino-Musita'!D51,'24.08 Lumino-Musita'!D51,'25.08 Lumino-Musita'!D51,'27.08 Lumino-Musita'!D51,'23.08 Lumino-Musita-24h'!D51,'26.08 Lumino-Musita-24h'!D51,'28.08 Lumino-Musita'!D51)</f>
        <v>2.7142857142857144</v>
      </c>
      <c r="E51" s="49">
        <f>AVERAGE('22.08 Lumino-Musita'!E51,'24.08 Lumino-Musita'!E51,'25.08 Lumino-Musita'!E51,'27.08 Lumino-Musita'!E51,'23.08 Lumino-Musita-24h'!E51,'26.08 Lumino-Musita-24h'!E51,'28.08 Lumino-Musita'!E51)</f>
        <v>1.4285714285714286</v>
      </c>
      <c r="F51" s="49">
        <f>AVERAGE('22.08 Lumino-Musita'!F51,'24.08 Lumino-Musita'!F51,'25.08 Lumino-Musita'!F51,'27.08 Lumino-Musita'!F51,'23.08 Lumino-Musita-24h'!F51,'26.08 Lumino-Musita-24h'!F51,'28.08 Lumino-Musita'!F51)</f>
        <v>1.2857142857142858</v>
      </c>
      <c r="G51" s="49">
        <f>AVERAGE('22.08 Lumino-Musita'!G51,'24.08 Lumino-Musita'!G51,'25.08 Lumino-Musita'!G51,'27.08 Lumino-Musita'!G51,'23.08 Lumino-Musita-24h'!G51,'26.08 Lumino-Musita-24h'!G51,'28.08 Lumino-Musita'!G51)</f>
        <v>0.5714285714285714</v>
      </c>
      <c r="H51" s="49">
        <f>AVERAGE('22.08 Lumino-Musita'!H51,'24.08 Lumino-Musita'!H51,'25.08 Lumino-Musita'!H51,'27.08 Lumino-Musita'!H51,'23.08 Lumino-Musita-24h'!H51,'26.08 Lumino-Musita-24h'!H51,'28.08 Lumino-Musita'!H51)</f>
        <v>0</v>
      </c>
      <c r="I51" s="49">
        <f>AVERAGE('22.08 Lumino-Musita'!I51,'24.08 Lumino-Musita'!I51,'25.08 Lumino-Musita'!I51,'27.08 Lumino-Musita'!I51,'23.08 Lumino-Musita-24h'!I51,'26.08 Lumino-Musita-24h'!I51,'28.08 Lumino-Musita'!I51)</f>
        <v>3</v>
      </c>
      <c r="J51" s="49">
        <f>AVERAGE('22.08 Lumino-Musita'!J51,'24.08 Lumino-Musita'!J51,'25.08 Lumino-Musita'!J51,'27.08 Lumino-Musita'!J51,'23.08 Lumino-Musita-24h'!J51,'26.08 Lumino-Musita-24h'!J51,'28.08 Lumino-Musita'!J51)</f>
        <v>1</v>
      </c>
      <c r="K51" s="49">
        <f>AVERAGE('22.08 Lumino-Musita'!K51,'24.08 Lumino-Musita'!K51,'25.08 Lumino-Musita'!K51,'27.08 Lumino-Musita'!K51,'23.08 Lumino-Musita-24h'!K51,'26.08 Lumino-Musita-24h'!K51,'28.08 Lumino-Musita'!K51)</f>
        <v>0</v>
      </c>
      <c r="L51" s="49">
        <f>AVERAGE('22.08 Lumino-Musita'!L51,'24.08 Lumino-Musita'!L51,'25.08 Lumino-Musita'!L51,'27.08 Lumino-Musita'!L51,'23.08 Lumino-Musita-24h'!L51,'26.08 Lumino-Musita-24h'!L51,'28.08 Lumino-Musita'!L51)</f>
        <v>0.5714285714285714</v>
      </c>
      <c r="M51" s="49">
        <f>AVERAGE('22.08 Lumino-Musita'!M51,'24.08 Lumino-Musita'!M51,'25.08 Lumino-Musita'!M51,'27.08 Lumino-Musita'!M51,'23.08 Lumino-Musita-24h'!M51,'26.08 Lumino-Musita-24h'!M51,'28.08 Lumino-Musita'!M51)</f>
        <v>47.714285714285715</v>
      </c>
      <c r="N51" s="49">
        <f>AVERAGE('22.08 Lumino-Musita'!N51,'24.08 Lumino-Musita'!N51,'25.08 Lumino-Musita'!N51,'27.08 Lumino-Musita'!N51,'23.08 Lumino-Musita-24h'!N51,'26.08 Lumino-Musita-24h'!N51,'28.08 Lumino-Musita'!N51)</f>
        <v>0</v>
      </c>
      <c r="O51" s="15">
        <f t="shared" si="0"/>
        <v>15.142857142857142</v>
      </c>
      <c r="P51" s="15">
        <f t="shared" si="1"/>
        <v>62.857142857142861</v>
      </c>
      <c r="R51" s="8"/>
      <c r="T51"/>
    </row>
    <row r="52" spans="2:20" ht="23.1" customHeight="1" x14ac:dyDescent="0.25">
      <c r="B52" s="24" t="s">
        <v>79</v>
      </c>
      <c r="C52" s="49">
        <f>AVERAGE('22.08 Lumino-Musita'!C52,'24.08 Lumino-Musita'!C52,'25.08 Lumino-Musita'!C52,'27.08 Lumino-Musita'!C52,'23.08 Lumino-Musita-24h'!C52,'26.08 Lumino-Musita-24h'!C52,'28.08 Lumino-Musita'!C52)</f>
        <v>3.7142857142857144</v>
      </c>
      <c r="D52" s="49">
        <f>AVERAGE('22.08 Lumino-Musita'!D52,'24.08 Lumino-Musita'!D52,'25.08 Lumino-Musita'!D52,'27.08 Lumino-Musita'!D52,'23.08 Lumino-Musita-24h'!D52,'26.08 Lumino-Musita-24h'!D52,'28.08 Lumino-Musita'!D52)</f>
        <v>2.5714285714285716</v>
      </c>
      <c r="E52" s="49">
        <f>AVERAGE('22.08 Lumino-Musita'!E52,'24.08 Lumino-Musita'!E52,'25.08 Lumino-Musita'!E52,'27.08 Lumino-Musita'!E52,'23.08 Lumino-Musita-24h'!E52,'26.08 Lumino-Musita-24h'!E52,'28.08 Lumino-Musita'!E52)</f>
        <v>1.5714285714285714</v>
      </c>
      <c r="F52" s="49">
        <f>AVERAGE('22.08 Lumino-Musita'!F52,'24.08 Lumino-Musita'!F52,'25.08 Lumino-Musita'!F52,'27.08 Lumino-Musita'!F52,'23.08 Lumino-Musita-24h'!F52,'26.08 Lumino-Musita-24h'!F52,'28.08 Lumino-Musita'!F52)</f>
        <v>1.8571428571428572</v>
      </c>
      <c r="G52" s="49">
        <f>AVERAGE('22.08 Lumino-Musita'!G52,'24.08 Lumino-Musita'!G52,'25.08 Lumino-Musita'!G52,'27.08 Lumino-Musita'!G52,'23.08 Lumino-Musita-24h'!G52,'26.08 Lumino-Musita-24h'!G52,'28.08 Lumino-Musita'!G52)</f>
        <v>0</v>
      </c>
      <c r="H52" s="49">
        <f>AVERAGE('22.08 Lumino-Musita'!H52,'24.08 Lumino-Musita'!H52,'25.08 Lumino-Musita'!H52,'27.08 Lumino-Musita'!H52,'23.08 Lumino-Musita-24h'!H52,'26.08 Lumino-Musita-24h'!H52,'28.08 Lumino-Musita'!H52)</f>
        <v>0.14285714285714285</v>
      </c>
      <c r="I52" s="49">
        <f>AVERAGE('22.08 Lumino-Musita'!I52,'24.08 Lumino-Musita'!I52,'25.08 Lumino-Musita'!I52,'27.08 Lumino-Musita'!I52,'23.08 Lumino-Musita-24h'!I52,'26.08 Lumino-Musita-24h'!I52,'28.08 Lumino-Musita'!I52)</f>
        <v>3.2857142857142856</v>
      </c>
      <c r="J52" s="49">
        <f>AVERAGE('22.08 Lumino-Musita'!J52,'24.08 Lumino-Musita'!J52,'25.08 Lumino-Musita'!J52,'27.08 Lumino-Musita'!J52,'23.08 Lumino-Musita-24h'!J52,'26.08 Lumino-Musita-24h'!J52,'28.08 Lumino-Musita'!J52)</f>
        <v>3.2857142857142856</v>
      </c>
      <c r="K52" s="49">
        <f>AVERAGE('22.08 Lumino-Musita'!K52,'24.08 Lumino-Musita'!K52,'25.08 Lumino-Musita'!K52,'27.08 Lumino-Musita'!K52,'23.08 Lumino-Musita-24h'!K52,'26.08 Lumino-Musita-24h'!K52,'28.08 Lumino-Musita'!K52)</f>
        <v>0.7142857142857143</v>
      </c>
      <c r="L52" s="49">
        <f>AVERAGE('22.08 Lumino-Musita'!L52,'24.08 Lumino-Musita'!L52,'25.08 Lumino-Musita'!L52,'27.08 Lumino-Musita'!L52,'23.08 Lumino-Musita-24h'!L52,'26.08 Lumino-Musita-24h'!L52,'28.08 Lumino-Musita'!L52)</f>
        <v>0.14285714285714285</v>
      </c>
      <c r="M52" s="49">
        <f>AVERAGE('22.08 Lumino-Musita'!M52,'24.08 Lumino-Musita'!M52,'25.08 Lumino-Musita'!M52,'27.08 Lumino-Musita'!M52,'23.08 Lumino-Musita-24h'!M52,'26.08 Lumino-Musita-24h'!M52,'28.08 Lumino-Musita'!M52)</f>
        <v>53.285714285714285</v>
      </c>
      <c r="N52" s="49">
        <f>AVERAGE('22.08 Lumino-Musita'!N52,'24.08 Lumino-Musita'!N52,'25.08 Lumino-Musita'!N52,'27.08 Lumino-Musita'!N52,'23.08 Lumino-Musita-24h'!N52,'26.08 Lumino-Musita-24h'!N52,'28.08 Lumino-Musita'!N52)</f>
        <v>0</v>
      </c>
      <c r="O52" s="15">
        <f t="shared" si="0"/>
        <v>17.285714285714285</v>
      </c>
      <c r="P52" s="15">
        <f t="shared" si="1"/>
        <v>70.571428571428569</v>
      </c>
      <c r="R52" s="8"/>
      <c r="T52"/>
    </row>
    <row r="53" spans="2:20" ht="23.1" customHeight="1" x14ac:dyDescent="0.25">
      <c r="B53" s="23" t="s">
        <v>80</v>
      </c>
      <c r="C53" s="49">
        <f>AVERAGE('22.08 Lumino-Musita'!C53,'24.08 Lumino-Musita'!C53,'25.08 Lumino-Musita'!C53,'27.08 Lumino-Musita'!C53,'23.08 Lumino-Musita-24h'!C53,'26.08 Lumino-Musita-24h'!C53,'28.08 Lumino-Musita'!C53)</f>
        <v>5.4285714285714288</v>
      </c>
      <c r="D53" s="49">
        <f>AVERAGE('22.08 Lumino-Musita'!D53,'24.08 Lumino-Musita'!D53,'25.08 Lumino-Musita'!D53,'27.08 Lumino-Musita'!D53,'23.08 Lumino-Musita-24h'!D53,'26.08 Lumino-Musita-24h'!D53,'28.08 Lumino-Musita'!D53)</f>
        <v>2.4285714285714284</v>
      </c>
      <c r="E53" s="49">
        <f>AVERAGE('22.08 Lumino-Musita'!E53,'24.08 Lumino-Musita'!E53,'25.08 Lumino-Musita'!E53,'27.08 Lumino-Musita'!E53,'23.08 Lumino-Musita-24h'!E53,'26.08 Lumino-Musita-24h'!E53,'28.08 Lumino-Musita'!E53)</f>
        <v>0.8571428571428571</v>
      </c>
      <c r="F53" s="49">
        <f>AVERAGE('22.08 Lumino-Musita'!F53,'24.08 Lumino-Musita'!F53,'25.08 Lumino-Musita'!F53,'27.08 Lumino-Musita'!F53,'23.08 Lumino-Musita-24h'!F53,'26.08 Lumino-Musita-24h'!F53,'28.08 Lumino-Musita'!F53)</f>
        <v>2.7142857142857144</v>
      </c>
      <c r="G53" s="49">
        <f>AVERAGE('22.08 Lumino-Musita'!G53,'24.08 Lumino-Musita'!G53,'25.08 Lumino-Musita'!G53,'27.08 Lumino-Musita'!G53,'23.08 Lumino-Musita-24h'!G53,'26.08 Lumino-Musita-24h'!G53,'28.08 Lumino-Musita'!G53)</f>
        <v>0.2857142857142857</v>
      </c>
      <c r="H53" s="49">
        <f>AVERAGE('22.08 Lumino-Musita'!H53,'24.08 Lumino-Musita'!H53,'25.08 Lumino-Musita'!H53,'27.08 Lumino-Musita'!H53,'23.08 Lumino-Musita-24h'!H53,'26.08 Lumino-Musita-24h'!H53,'28.08 Lumino-Musita'!H53)</f>
        <v>0</v>
      </c>
      <c r="I53" s="49">
        <f>AVERAGE('22.08 Lumino-Musita'!I53,'24.08 Lumino-Musita'!I53,'25.08 Lumino-Musita'!I53,'27.08 Lumino-Musita'!I53,'23.08 Lumino-Musita-24h'!I53,'26.08 Lumino-Musita-24h'!I53,'28.08 Lumino-Musita'!I53)</f>
        <v>2.8571428571428572</v>
      </c>
      <c r="J53" s="49">
        <f>AVERAGE('22.08 Lumino-Musita'!J53,'24.08 Lumino-Musita'!J53,'25.08 Lumino-Musita'!J53,'27.08 Lumino-Musita'!J53,'23.08 Lumino-Musita-24h'!J53,'26.08 Lumino-Musita-24h'!J53,'28.08 Lumino-Musita'!J53)</f>
        <v>2.7142857142857144</v>
      </c>
      <c r="K53" s="49">
        <f>AVERAGE('22.08 Lumino-Musita'!K53,'24.08 Lumino-Musita'!K53,'25.08 Lumino-Musita'!K53,'27.08 Lumino-Musita'!K53,'23.08 Lumino-Musita-24h'!K53,'26.08 Lumino-Musita-24h'!K53,'28.08 Lumino-Musita'!K53)</f>
        <v>0.42857142857142855</v>
      </c>
      <c r="L53" s="49">
        <f>AVERAGE('22.08 Lumino-Musita'!L53,'24.08 Lumino-Musita'!L53,'25.08 Lumino-Musita'!L53,'27.08 Lumino-Musita'!L53,'23.08 Lumino-Musita-24h'!L53,'26.08 Lumino-Musita-24h'!L53,'28.08 Lumino-Musita'!L53)</f>
        <v>0.7142857142857143</v>
      </c>
      <c r="M53" s="49">
        <f>AVERAGE('22.08 Lumino-Musita'!M53,'24.08 Lumino-Musita'!M53,'25.08 Lumino-Musita'!M53,'27.08 Lumino-Musita'!M53,'23.08 Lumino-Musita-24h'!M53,'26.08 Lumino-Musita-24h'!M53,'28.08 Lumino-Musita'!M53)</f>
        <v>52.857142857142854</v>
      </c>
      <c r="N53" s="49">
        <f>AVERAGE('22.08 Lumino-Musita'!N53,'24.08 Lumino-Musita'!N53,'25.08 Lumino-Musita'!N53,'27.08 Lumino-Musita'!N53,'23.08 Lumino-Musita-24h'!N53,'26.08 Lumino-Musita-24h'!N53,'28.08 Lumino-Musita'!N53)</f>
        <v>0.14285714285714285</v>
      </c>
      <c r="O53" s="15">
        <f t="shared" si="0"/>
        <v>18.571428571428573</v>
      </c>
      <c r="P53" s="15">
        <f t="shared" si="1"/>
        <v>71.428571428571416</v>
      </c>
      <c r="R53" s="8"/>
      <c r="T53"/>
    </row>
    <row r="54" spans="2:20" ht="23.1" customHeight="1" x14ac:dyDescent="0.25">
      <c r="B54" s="23" t="s">
        <v>81</v>
      </c>
      <c r="C54" s="49">
        <f>AVERAGE('22.08 Lumino-Musita'!C54,'24.08 Lumino-Musita'!C54,'25.08 Lumino-Musita'!C54,'27.08 Lumino-Musita'!C54,'23.08 Lumino-Musita-24h'!C54,'26.08 Lumino-Musita-24h'!C54,'28.08 Lumino-Musita'!C54)</f>
        <v>6.5714285714285712</v>
      </c>
      <c r="D54" s="49">
        <f>AVERAGE('22.08 Lumino-Musita'!D54,'24.08 Lumino-Musita'!D54,'25.08 Lumino-Musita'!D54,'27.08 Lumino-Musita'!D54,'23.08 Lumino-Musita-24h'!D54,'26.08 Lumino-Musita-24h'!D54,'28.08 Lumino-Musita'!D54)</f>
        <v>2.7142857142857144</v>
      </c>
      <c r="E54" s="49">
        <f>AVERAGE('22.08 Lumino-Musita'!E54,'24.08 Lumino-Musita'!E54,'25.08 Lumino-Musita'!E54,'27.08 Lumino-Musita'!E54,'23.08 Lumino-Musita-24h'!E54,'26.08 Lumino-Musita-24h'!E54,'28.08 Lumino-Musita'!E54)</f>
        <v>1</v>
      </c>
      <c r="F54" s="49">
        <f>AVERAGE('22.08 Lumino-Musita'!F54,'24.08 Lumino-Musita'!F54,'25.08 Lumino-Musita'!F54,'27.08 Lumino-Musita'!F54,'23.08 Lumino-Musita-24h'!F54,'26.08 Lumino-Musita-24h'!F54,'28.08 Lumino-Musita'!F54)</f>
        <v>2.1428571428571428</v>
      </c>
      <c r="G54" s="49">
        <f>AVERAGE('22.08 Lumino-Musita'!G54,'24.08 Lumino-Musita'!G54,'25.08 Lumino-Musita'!G54,'27.08 Lumino-Musita'!G54,'23.08 Lumino-Musita-24h'!G54,'26.08 Lumino-Musita-24h'!G54,'28.08 Lumino-Musita'!G54)</f>
        <v>0.42857142857142855</v>
      </c>
      <c r="H54" s="49">
        <f>AVERAGE('22.08 Lumino-Musita'!H54,'24.08 Lumino-Musita'!H54,'25.08 Lumino-Musita'!H54,'27.08 Lumino-Musita'!H54,'23.08 Lumino-Musita-24h'!H54,'26.08 Lumino-Musita-24h'!H54,'28.08 Lumino-Musita'!H54)</f>
        <v>0</v>
      </c>
      <c r="I54" s="49">
        <f>AVERAGE('22.08 Lumino-Musita'!I54,'24.08 Lumino-Musita'!I54,'25.08 Lumino-Musita'!I54,'27.08 Lumino-Musita'!I54,'23.08 Lumino-Musita-24h'!I54,'26.08 Lumino-Musita-24h'!I54,'28.08 Lumino-Musita'!I54)</f>
        <v>3</v>
      </c>
      <c r="J54" s="49">
        <f>AVERAGE('22.08 Lumino-Musita'!J54,'24.08 Lumino-Musita'!J54,'25.08 Lumino-Musita'!J54,'27.08 Lumino-Musita'!J54,'23.08 Lumino-Musita-24h'!J54,'26.08 Lumino-Musita-24h'!J54,'28.08 Lumino-Musita'!J54)</f>
        <v>2</v>
      </c>
      <c r="K54" s="49">
        <f>AVERAGE('22.08 Lumino-Musita'!K54,'24.08 Lumino-Musita'!K54,'25.08 Lumino-Musita'!K54,'27.08 Lumino-Musita'!K54,'23.08 Lumino-Musita-24h'!K54,'26.08 Lumino-Musita-24h'!K54,'28.08 Lumino-Musita'!K54)</f>
        <v>0.14285714285714285</v>
      </c>
      <c r="L54" s="49">
        <f>AVERAGE('22.08 Lumino-Musita'!L54,'24.08 Lumino-Musita'!L54,'25.08 Lumino-Musita'!L54,'27.08 Lumino-Musita'!L54,'23.08 Lumino-Musita-24h'!L54,'26.08 Lumino-Musita-24h'!L54,'28.08 Lumino-Musita'!L54)</f>
        <v>0.5714285714285714</v>
      </c>
      <c r="M54" s="49">
        <f>AVERAGE('22.08 Lumino-Musita'!M54,'24.08 Lumino-Musita'!M54,'25.08 Lumino-Musita'!M54,'27.08 Lumino-Musita'!M54,'23.08 Lumino-Musita-24h'!M54,'26.08 Lumino-Musita-24h'!M54,'28.08 Lumino-Musita'!M54)</f>
        <v>43.714285714285715</v>
      </c>
      <c r="N54" s="49">
        <f>AVERAGE('22.08 Lumino-Musita'!N54,'24.08 Lumino-Musita'!N54,'25.08 Lumino-Musita'!N54,'27.08 Lumino-Musita'!N54,'23.08 Lumino-Musita-24h'!N54,'26.08 Lumino-Musita-24h'!N54,'28.08 Lumino-Musita'!N54)</f>
        <v>0</v>
      </c>
      <c r="O54" s="15">
        <f t="shared" si="0"/>
        <v>18.571428571428569</v>
      </c>
      <c r="P54" s="15">
        <f t="shared" si="1"/>
        <v>62.285714285714285</v>
      </c>
      <c r="R54" s="8"/>
      <c r="T54"/>
    </row>
    <row r="55" spans="2:20" ht="23.1" customHeight="1" x14ac:dyDescent="0.25">
      <c r="B55" s="23" t="s">
        <v>82</v>
      </c>
      <c r="C55" s="49">
        <f>AVERAGE('22.08 Lumino-Musita'!C55,'24.08 Lumino-Musita'!C55,'25.08 Lumino-Musita'!C55,'27.08 Lumino-Musita'!C55,'23.08 Lumino-Musita-24h'!C55,'26.08 Lumino-Musita-24h'!C55,'28.08 Lumino-Musita'!C55)</f>
        <v>5</v>
      </c>
      <c r="D55" s="49">
        <f>AVERAGE('22.08 Lumino-Musita'!D55,'24.08 Lumino-Musita'!D55,'25.08 Lumino-Musita'!D55,'27.08 Lumino-Musita'!D55,'23.08 Lumino-Musita-24h'!D55,'26.08 Lumino-Musita-24h'!D55,'28.08 Lumino-Musita'!D55)</f>
        <v>2.1428571428571428</v>
      </c>
      <c r="E55" s="49">
        <f>AVERAGE('22.08 Lumino-Musita'!E55,'24.08 Lumino-Musita'!E55,'25.08 Lumino-Musita'!E55,'27.08 Lumino-Musita'!E55,'23.08 Lumino-Musita-24h'!E55,'26.08 Lumino-Musita-24h'!E55,'28.08 Lumino-Musita'!E55)</f>
        <v>0.7142857142857143</v>
      </c>
      <c r="F55" s="49">
        <f>AVERAGE('22.08 Lumino-Musita'!F55,'24.08 Lumino-Musita'!F55,'25.08 Lumino-Musita'!F55,'27.08 Lumino-Musita'!F55,'23.08 Lumino-Musita-24h'!F55,'26.08 Lumino-Musita-24h'!F55,'28.08 Lumino-Musita'!F55)</f>
        <v>2.5714285714285716</v>
      </c>
      <c r="G55" s="49">
        <f>AVERAGE('22.08 Lumino-Musita'!G55,'24.08 Lumino-Musita'!G55,'25.08 Lumino-Musita'!G55,'27.08 Lumino-Musita'!G55,'23.08 Lumino-Musita-24h'!G55,'26.08 Lumino-Musita-24h'!G55,'28.08 Lumino-Musita'!G55)</f>
        <v>0.2857142857142857</v>
      </c>
      <c r="H55" s="49">
        <f>AVERAGE('22.08 Lumino-Musita'!H55,'24.08 Lumino-Musita'!H55,'25.08 Lumino-Musita'!H55,'27.08 Lumino-Musita'!H55,'23.08 Lumino-Musita-24h'!H55,'26.08 Lumino-Musita-24h'!H55,'28.08 Lumino-Musita'!H55)</f>
        <v>0</v>
      </c>
      <c r="I55" s="49">
        <f>AVERAGE('22.08 Lumino-Musita'!I55,'24.08 Lumino-Musita'!I55,'25.08 Lumino-Musita'!I55,'27.08 Lumino-Musita'!I55,'23.08 Lumino-Musita-24h'!I55,'26.08 Lumino-Musita-24h'!I55,'28.08 Lumino-Musita'!I55)</f>
        <v>2.4285714285714284</v>
      </c>
      <c r="J55" s="49">
        <f>AVERAGE('22.08 Lumino-Musita'!J55,'24.08 Lumino-Musita'!J55,'25.08 Lumino-Musita'!J55,'27.08 Lumino-Musita'!J55,'23.08 Lumino-Musita-24h'!J55,'26.08 Lumino-Musita-24h'!J55,'28.08 Lumino-Musita'!J55)</f>
        <v>2.5714285714285716</v>
      </c>
      <c r="K55" s="49">
        <f>AVERAGE('22.08 Lumino-Musita'!K55,'24.08 Lumino-Musita'!K55,'25.08 Lumino-Musita'!K55,'27.08 Lumino-Musita'!K55,'23.08 Lumino-Musita-24h'!K55,'26.08 Lumino-Musita-24h'!K55,'28.08 Lumino-Musita'!K55)</f>
        <v>0.14285714285714285</v>
      </c>
      <c r="L55" s="49">
        <f>AVERAGE('22.08 Lumino-Musita'!L55,'24.08 Lumino-Musita'!L55,'25.08 Lumino-Musita'!L55,'27.08 Lumino-Musita'!L55,'23.08 Lumino-Musita-24h'!L55,'26.08 Lumino-Musita-24h'!L55,'28.08 Lumino-Musita'!L55)</f>
        <v>0.42857142857142855</v>
      </c>
      <c r="M55" s="49">
        <f>AVERAGE('22.08 Lumino-Musita'!M55,'24.08 Lumino-Musita'!M55,'25.08 Lumino-Musita'!M55,'27.08 Lumino-Musita'!M55,'23.08 Lumino-Musita-24h'!M55,'26.08 Lumino-Musita-24h'!M55,'28.08 Lumino-Musita'!M55)</f>
        <v>40.142857142857146</v>
      </c>
      <c r="N55" s="49">
        <f>AVERAGE('22.08 Lumino-Musita'!N55,'24.08 Lumino-Musita'!N55,'25.08 Lumino-Musita'!N55,'27.08 Lumino-Musita'!N55,'23.08 Lumino-Musita-24h'!N55,'26.08 Lumino-Musita-24h'!N55,'28.08 Lumino-Musita'!N55)</f>
        <v>0.2857142857142857</v>
      </c>
      <c r="O55" s="15">
        <f t="shared" si="0"/>
        <v>16.571428571428569</v>
      </c>
      <c r="P55" s="15">
        <f t="shared" si="1"/>
        <v>56.714285714285715</v>
      </c>
      <c r="R55" s="8"/>
      <c r="T55"/>
    </row>
    <row r="56" spans="2:20" ht="23.1" customHeight="1" x14ac:dyDescent="0.25">
      <c r="B56" s="23" t="s">
        <v>83</v>
      </c>
      <c r="C56" s="49">
        <f>AVERAGE('22.08 Lumino-Musita'!C56,'24.08 Lumino-Musita'!C56,'25.08 Lumino-Musita'!C56,'27.08 Lumino-Musita'!C56,'23.08 Lumino-Musita-24h'!C56,'26.08 Lumino-Musita-24h'!C56,'28.08 Lumino-Musita'!C56)</f>
        <v>6.7142857142857144</v>
      </c>
      <c r="D56" s="49">
        <f>AVERAGE('22.08 Lumino-Musita'!D56,'24.08 Lumino-Musita'!D56,'25.08 Lumino-Musita'!D56,'27.08 Lumino-Musita'!D56,'23.08 Lumino-Musita-24h'!D56,'26.08 Lumino-Musita-24h'!D56,'28.08 Lumino-Musita'!D56)</f>
        <v>1.8571428571428572</v>
      </c>
      <c r="E56" s="49">
        <f>AVERAGE('22.08 Lumino-Musita'!E56,'24.08 Lumino-Musita'!E56,'25.08 Lumino-Musita'!E56,'27.08 Lumino-Musita'!E56,'23.08 Lumino-Musita-24h'!E56,'26.08 Lumino-Musita-24h'!E56,'28.08 Lumino-Musita'!E56)</f>
        <v>1.5714285714285714</v>
      </c>
      <c r="F56" s="49">
        <f>AVERAGE('22.08 Lumino-Musita'!F56,'24.08 Lumino-Musita'!F56,'25.08 Lumino-Musita'!F56,'27.08 Lumino-Musita'!F56,'23.08 Lumino-Musita-24h'!F56,'26.08 Lumino-Musita-24h'!F56,'28.08 Lumino-Musita'!F56)</f>
        <v>2</v>
      </c>
      <c r="G56" s="49">
        <f>AVERAGE('22.08 Lumino-Musita'!G56,'24.08 Lumino-Musita'!G56,'25.08 Lumino-Musita'!G56,'27.08 Lumino-Musita'!G56,'23.08 Lumino-Musita-24h'!G56,'26.08 Lumino-Musita-24h'!G56,'28.08 Lumino-Musita'!G56)</f>
        <v>0.14285714285714285</v>
      </c>
      <c r="H56" s="49">
        <f>AVERAGE('22.08 Lumino-Musita'!H56,'24.08 Lumino-Musita'!H56,'25.08 Lumino-Musita'!H56,'27.08 Lumino-Musita'!H56,'23.08 Lumino-Musita-24h'!H56,'26.08 Lumino-Musita-24h'!H56,'28.08 Lumino-Musita'!H56)</f>
        <v>0</v>
      </c>
      <c r="I56" s="49">
        <f>AVERAGE('22.08 Lumino-Musita'!I56,'24.08 Lumino-Musita'!I56,'25.08 Lumino-Musita'!I56,'27.08 Lumino-Musita'!I56,'23.08 Lumino-Musita-24h'!I56,'26.08 Lumino-Musita-24h'!I56,'28.08 Lumino-Musita'!I56)</f>
        <v>2</v>
      </c>
      <c r="J56" s="49">
        <f>AVERAGE('22.08 Lumino-Musita'!J56,'24.08 Lumino-Musita'!J56,'25.08 Lumino-Musita'!J56,'27.08 Lumino-Musita'!J56,'23.08 Lumino-Musita-24h'!J56,'26.08 Lumino-Musita-24h'!J56,'28.08 Lumino-Musita'!J56)</f>
        <v>2.7142857142857144</v>
      </c>
      <c r="K56" s="49">
        <f>AVERAGE('22.08 Lumino-Musita'!K56,'24.08 Lumino-Musita'!K56,'25.08 Lumino-Musita'!K56,'27.08 Lumino-Musita'!K56,'23.08 Lumino-Musita-24h'!K56,'26.08 Lumino-Musita-24h'!K56,'28.08 Lumino-Musita'!K56)</f>
        <v>0.2857142857142857</v>
      </c>
      <c r="L56" s="49">
        <f>AVERAGE('22.08 Lumino-Musita'!L56,'24.08 Lumino-Musita'!L56,'25.08 Lumino-Musita'!L56,'27.08 Lumino-Musita'!L56,'23.08 Lumino-Musita-24h'!L56,'26.08 Lumino-Musita-24h'!L56,'28.08 Lumino-Musita'!L56)</f>
        <v>0.2857142857142857</v>
      </c>
      <c r="M56" s="49">
        <f>AVERAGE('22.08 Lumino-Musita'!M56,'24.08 Lumino-Musita'!M56,'25.08 Lumino-Musita'!M56,'27.08 Lumino-Musita'!M56,'23.08 Lumino-Musita-24h'!M56,'26.08 Lumino-Musita-24h'!M56,'28.08 Lumino-Musita'!M56)</f>
        <v>45.857142857142854</v>
      </c>
      <c r="N56" s="49">
        <f>AVERAGE('22.08 Lumino-Musita'!N56,'24.08 Lumino-Musita'!N56,'25.08 Lumino-Musita'!N56,'27.08 Lumino-Musita'!N56,'23.08 Lumino-Musita-24h'!N56,'26.08 Lumino-Musita-24h'!N56,'28.08 Lumino-Musita'!N56)</f>
        <v>0.14285714285714285</v>
      </c>
      <c r="O56" s="15">
        <f t="shared" si="0"/>
        <v>17.714285714285712</v>
      </c>
      <c r="P56" s="15">
        <f t="shared" si="1"/>
        <v>63.571428571428569</v>
      </c>
      <c r="R56" s="8"/>
      <c r="T56"/>
    </row>
    <row r="57" spans="2:20" ht="23.1" customHeight="1" x14ac:dyDescent="0.25">
      <c r="B57" s="23" t="s">
        <v>84</v>
      </c>
      <c r="C57" s="49">
        <f>AVERAGE('22.08 Lumino-Musita'!C57,'24.08 Lumino-Musita'!C57,'25.08 Lumino-Musita'!C57,'27.08 Lumino-Musita'!C57,'23.08 Lumino-Musita-24h'!C57,'26.08 Lumino-Musita-24h'!C57,'28.08 Lumino-Musita'!C57)</f>
        <v>8</v>
      </c>
      <c r="D57" s="49">
        <f>AVERAGE('22.08 Lumino-Musita'!D57,'24.08 Lumino-Musita'!D57,'25.08 Lumino-Musita'!D57,'27.08 Lumino-Musita'!D57,'23.08 Lumino-Musita-24h'!D57,'26.08 Lumino-Musita-24h'!D57,'28.08 Lumino-Musita'!D57)</f>
        <v>1.2857142857142858</v>
      </c>
      <c r="E57" s="49">
        <f>AVERAGE('22.08 Lumino-Musita'!E57,'24.08 Lumino-Musita'!E57,'25.08 Lumino-Musita'!E57,'27.08 Lumino-Musita'!E57,'23.08 Lumino-Musita-24h'!E57,'26.08 Lumino-Musita-24h'!E57,'28.08 Lumino-Musita'!E57)</f>
        <v>1.7142857142857142</v>
      </c>
      <c r="F57" s="49">
        <f>AVERAGE('22.08 Lumino-Musita'!F57,'24.08 Lumino-Musita'!F57,'25.08 Lumino-Musita'!F57,'27.08 Lumino-Musita'!F57,'23.08 Lumino-Musita-24h'!F57,'26.08 Lumino-Musita-24h'!F57,'28.08 Lumino-Musita'!F57)</f>
        <v>2.2857142857142856</v>
      </c>
      <c r="G57" s="49">
        <f>AVERAGE('22.08 Lumino-Musita'!G57,'24.08 Lumino-Musita'!G57,'25.08 Lumino-Musita'!G57,'27.08 Lumino-Musita'!G57,'23.08 Lumino-Musita-24h'!G57,'26.08 Lumino-Musita-24h'!G57,'28.08 Lumino-Musita'!G57)</f>
        <v>0</v>
      </c>
      <c r="H57" s="49">
        <f>AVERAGE('22.08 Lumino-Musita'!H57,'24.08 Lumino-Musita'!H57,'25.08 Lumino-Musita'!H57,'27.08 Lumino-Musita'!H57,'23.08 Lumino-Musita-24h'!H57,'26.08 Lumino-Musita-24h'!H57,'28.08 Lumino-Musita'!H57)</f>
        <v>0.14285714285714285</v>
      </c>
      <c r="I57" s="49">
        <f>AVERAGE('22.08 Lumino-Musita'!I57,'24.08 Lumino-Musita'!I57,'25.08 Lumino-Musita'!I57,'27.08 Lumino-Musita'!I57,'23.08 Lumino-Musita-24h'!I57,'26.08 Lumino-Musita-24h'!I57,'28.08 Lumino-Musita'!I57)</f>
        <v>2.7142857142857144</v>
      </c>
      <c r="J57" s="49">
        <f>AVERAGE('22.08 Lumino-Musita'!J57,'24.08 Lumino-Musita'!J57,'25.08 Lumino-Musita'!J57,'27.08 Lumino-Musita'!J57,'23.08 Lumino-Musita-24h'!J57,'26.08 Lumino-Musita-24h'!J57,'28.08 Lumino-Musita'!J57)</f>
        <v>3</v>
      </c>
      <c r="K57" s="49">
        <f>AVERAGE('22.08 Lumino-Musita'!K57,'24.08 Lumino-Musita'!K57,'25.08 Lumino-Musita'!K57,'27.08 Lumino-Musita'!K57,'23.08 Lumino-Musita-24h'!K57,'26.08 Lumino-Musita-24h'!K57,'28.08 Lumino-Musita'!K57)</f>
        <v>0.42857142857142855</v>
      </c>
      <c r="L57" s="49">
        <f>AVERAGE('22.08 Lumino-Musita'!L57,'24.08 Lumino-Musita'!L57,'25.08 Lumino-Musita'!L57,'27.08 Lumino-Musita'!L57,'23.08 Lumino-Musita-24h'!L57,'26.08 Lumino-Musita-24h'!L57,'28.08 Lumino-Musita'!L57)</f>
        <v>1</v>
      </c>
      <c r="M57" s="49">
        <f>AVERAGE('22.08 Lumino-Musita'!M57,'24.08 Lumino-Musita'!M57,'25.08 Lumino-Musita'!M57,'27.08 Lumino-Musita'!M57,'23.08 Lumino-Musita-24h'!M57,'26.08 Lumino-Musita-24h'!M57,'28.08 Lumino-Musita'!M57)</f>
        <v>43.142857142857146</v>
      </c>
      <c r="N57" s="49">
        <f>AVERAGE('22.08 Lumino-Musita'!N57,'24.08 Lumino-Musita'!N57,'25.08 Lumino-Musita'!N57,'27.08 Lumino-Musita'!N57,'23.08 Lumino-Musita-24h'!N57,'26.08 Lumino-Musita-24h'!N57,'28.08 Lumino-Musita'!N57)</f>
        <v>0</v>
      </c>
      <c r="O57" s="15">
        <f t="shared" si="0"/>
        <v>20.571428571428569</v>
      </c>
      <c r="P57" s="15">
        <f t="shared" si="1"/>
        <v>63.714285714285715</v>
      </c>
      <c r="R57" s="8"/>
      <c r="T57"/>
    </row>
    <row r="58" spans="2:20" ht="23.1" customHeight="1" x14ac:dyDescent="0.25">
      <c r="B58" s="23" t="s">
        <v>99</v>
      </c>
      <c r="C58" s="49">
        <f>AVERAGE('23.08 Lumino-Musita-24h'!C58,'26.08 Lumino-Musita-24h'!C58)</f>
        <v>7.5</v>
      </c>
      <c r="D58" s="49">
        <f>AVERAGE('23.08 Lumino-Musita-24h'!D58,'26.08 Lumino-Musita-24h'!D58)</f>
        <v>1.5</v>
      </c>
      <c r="E58" s="49">
        <f>AVERAGE('23.08 Lumino-Musita-24h'!E58,'26.08 Lumino-Musita-24h'!E58)</f>
        <v>1</v>
      </c>
      <c r="F58" s="49">
        <f>AVERAGE('23.08 Lumino-Musita-24h'!F58,'26.08 Lumino-Musita-24h'!F58)</f>
        <v>3</v>
      </c>
      <c r="G58" s="49">
        <f>AVERAGE('23.08 Lumino-Musita-24h'!G58,'26.08 Lumino-Musita-24h'!G58)</f>
        <v>1</v>
      </c>
      <c r="H58" s="49">
        <f>AVERAGE('23.08 Lumino-Musita-24h'!H58,'26.08 Lumino-Musita-24h'!H58)</f>
        <v>0.5</v>
      </c>
      <c r="I58" s="49">
        <f>AVERAGE('23.08 Lumino-Musita-24h'!I58,'26.08 Lumino-Musita-24h'!I58)</f>
        <v>2.5</v>
      </c>
      <c r="J58" s="49">
        <f>AVERAGE('23.08 Lumino-Musita-24h'!J58,'26.08 Lumino-Musita-24h'!J58)</f>
        <v>1.5</v>
      </c>
      <c r="K58" s="49">
        <f>AVERAGE('23.08 Lumino-Musita-24h'!K58,'26.08 Lumino-Musita-24h'!K58)</f>
        <v>1.5</v>
      </c>
      <c r="L58" s="49">
        <f>AVERAGE('23.08 Lumino-Musita-24h'!L58,'26.08 Lumino-Musita-24h'!L58)</f>
        <v>0.5</v>
      </c>
      <c r="M58" s="49">
        <f>AVERAGE('23.08 Lumino-Musita-24h'!M58,'26.08 Lumino-Musita-24h'!M58)</f>
        <v>43</v>
      </c>
      <c r="N58" s="49">
        <f>AVERAGE('23.08 Lumino-Musita-24h'!N58,'26.08 Lumino-Musita-24h'!N58)</f>
        <v>1</v>
      </c>
      <c r="O58" s="15">
        <f t="shared" si="0"/>
        <v>21.5</v>
      </c>
      <c r="P58" s="15">
        <f t="shared" si="1"/>
        <v>64.5</v>
      </c>
      <c r="R58" s="8"/>
      <c r="T58"/>
    </row>
    <row r="59" spans="2:20" ht="23.1" customHeight="1" x14ac:dyDescent="0.25">
      <c r="B59" s="23" t="s">
        <v>100</v>
      </c>
      <c r="C59" s="49">
        <f>AVERAGE('23.08 Lumino-Musita-24h'!C59,'26.08 Lumino-Musita-24h'!C59)</f>
        <v>8</v>
      </c>
      <c r="D59" s="49">
        <f>AVERAGE('23.08 Lumino-Musita-24h'!D59,'26.08 Lumino-Musita-24h'!D59)</f>
        <v>1</v>
      </c>
      <c r="E59" s="49">
        <f>AVERAGE('23.08 Lumino-Musita-24h'!E59,'26.08 Lumino-Musita-24h'!E59)</f>
        <v>1.5</v>
      </c>
      <c r="F59" s="49">
        <f>AVERAGE('23.08 Lumino-Musita-24h'!F59,'26.08 Lumino-Musita-24h'!F59)</f>
        <v>3</v>
      </c>
      <c r="G59" s="49">
        <f>AVERAGE('23.08 Lumino-Musita-24h'!G59,'26.08 Lumino-Musita-24h'!G59)</f>
        <v>0</v>
      </c>
      <c r="H59" s="49">
        <f>AVERAGE('23.08 Lumino-Musita-24h'!H59,'26.08 Lumino-Musita-24h'!H59)</f>
        <v>0</v>
      </c>
      <c r="I59" s="49">
        <f>AVERAGE('23.08 Lumino-Musita-24h'!I59,'26.08 Lumino-Musita-24h'!I59)</f>
        <v>2.5</v>
      </c>
      <c r="J59" s="49">
        <f>AVERAGE('23.08 Lumino-Musita-24h'!J59,'26.08 Lumino-Musita-24h'!J59)</f>
        <v>2.5</v>
      </c>
      <c r="K59" s="49">
        <f>AVERAGE('23.08 Lumino-Musita-24h'!K59,'26.08 Lumino-Musita-24h'!K59)</f>
        <v>2</v>
      </c>
      <c r="L59" s="49">
        <f>AVERAGE('23.08 Lumino-Musita-24h'!L59,'26.08 Lumino-Musita-24h'!L59)</f>
        <v>0.5</v>
      </c>
      <c r="M59" s="49">
        <f>AVERAGE('23.08 Lumino-Musita-24h'!M59,'26.08 Lumino-Musita-24h'!M59)</f>
        <v>44</v>
      </c>
      <c r="N59" s="49">
        <f>AVERAGE('23.08 Lumino-Musita-24h'!N59,'26.08 Lumino-Musita-24h'!N59)</f>
        <v>0</v>
      </c>
      <c r="O59" s="15">
        <f t="shared" si="0"/>
        <v>21</v>
      </c>
      <c r="P59" s="15">
        <f t="shared" si="1"/>
        <v>65</v>
      </c>
      <c r="R59" s="8"/>
      <c r="T59"/>
    </row>
    <row r="60" spans="2:20" ht="23.1" customHeight="1" x14ac:dyDescent="0.25">
      <c r="B60" s="23" t="s">
        <v>101</v>
      </c>
      <c r="C60" s="49">
        <f>AVERAGE('23.08 Lumino-Musita-24h'!C60,'26.08 Lumino-Musita-24h'!C60)</f>
        <v>5.5</v>
      </c>
      <c r="D60" s="49">
        <f>AVERAGE('23.08 Lumino-Musita-24h'!D60,'26.08 Lumino-Musita-24h'!D60)</f>
        <v>1</v>
      </c>
      <c r="E60" s="49">
        <f>AVERAGE('23.08 Lumino-Musita-24h'!E60,'26.08 Lumino-Musita-24h'!E60)</f>
        <v>0</v>
      </c>
      <c r="F60" s="49">
        <f>AVERAGE('23.08 Lumino-Musita-24h'!F60,'26.08 Lumino-Musita-24h'!F60)</f>
        <v>3</v>
      </c>
      <c r="G60" s="49">
        <f>AVERAGE('23.08 Lumino-Musita-24h'!G60,'26.08 Lumino-Musita-24h'!G60)</f>
        <v>0</v>
      </c>
      <c r="H60" s="49">
        <f>AVERAGE('23.08 Lumino-Musita-24h'!H60,'26.08 Lumino-Musita-24h'!H60)</f>
        <v>0</v>
      </c>
      <c r="I60" s="49">
        <f>AVERAGE('23.08 Lumino-Musita-24h'!I60,'26.08 Lumino-Musita-24h'!I60)</f>
        <v>2.5</v>
      </c>
      <c r="J60" s="49">
        <f>AVERAGE('23.08 Lumino-Musita-24h'!J60,'26.08 Lumino-Musita-24h'!J60)</f>
        <v>2</v>
      </c>
      <c r="K60" s="49">
        <f>AVERAGE('23.08 Lumino-Musita-24h'!K60,'26.08 Lumino-Musita-24h'!K60)</f>
        <v>0.5</v>
      </c>
      <c r="L60" s="49">
        <f>AVERAGE('23.08 Lumino-Musita-24h'!L60,'26.08 Lumino-Musita-24h'!L60)</f>
        <v>1.5</v>
      </c>
      <c r="M60" s="49">
        <f>AVERAGE('23.08 Lumino-Musita-24h'!M60,'26.08 Lumino-Musita-24h'!M60)</f>
        <v>43</v>
      </c>
      <c r="N60" s="49">
        <f>AVERAGE('23.08 Lumino-Musita-24h'!N60,'26.08 Lumino-Musita-24h'!N60)</f>
        <v>0.5</v>
      </c>
      <c r="O60" s="15">
        <f t="shared" si="0"/>
        <v>16.5</v>
      </c>
      <c r="P60" s="15">
        <f t="shared" si="1"/>
        <v>59.5</v>
      </c>
      <c r="R60" s="8"/>
      <c r="T60"/>
    </row>
    <row r="61" spans="2:20" ht="23.1" customHeight="1" x14ac:dyDescent="0.25">
      <c r="B61" s="23" t="s">
        <v>102</v>
      </c>
      <c r="C61" s="49">
        <f>AVERAGE('23.08 Lumino-Musita-24h'!C61,'26.08 Lumino-Musita-24h'!C61)</f>
        <v>5.5</v>
      </c>
      <c r="D61" s="49">
        <f>AVERAGE('23.08 Lumino-Musita-24h'!D61,'26.08 Lumino-Musita-24h'!D61)</f>
        <v>0</v>
      </c>
      <c r="E61" s="49">
        <f>AVERAGE('23.08 Lumino-Musita-24h'!E61,'26.08 Lumino-Musita-24h'!E61)</f>
        <v>2</v>
      </c>
      <c r="F61" s="49">
        <f>AVERAGE('23.08 Lumino-Musita-24h'!F61,'26.08 Lumino-Musita-24h'!F61)</f>
        <v>0</v>
      </c>
      <c r="G61" s="49">
        <f>AVERAGE('23.08 Lumino-Musita-24h'!G61,'26.08 Lumino-Musita-24h'!G61)</f>
        <v>0</v>
      </c>
      <c r="H61" s="49">
        <f>AVERAGE('23.08 Lumino-Musita-24h'!H61,'26.08 Lumino-Musita-24h'!H61)</f>
        <v>1</v>
      </c>
      <c r="I61" s="49">
        <f>AVERAGE('23.08 Lumino-Musita-24h'!I61,'26.08 Lumino-Musita-24h'!I61)</f>
        <v>2</v>
      </c>
      <c r="J61" s="49">
        <f>AVERAGE('23.08 Lumino-Musita-24h'!J61,'26.08 Lumino-Musita-24h'!J61)</f>
        <v>1.5</v>
      </c>
      <c r="K61" s="49">
        <f>AVERAGE('23.08 Lumino-Musita-24h'!K61,'26.08 Lumino-Musita-24h'!K61)</f>
        <v>0</v>
      </c>
      <c r="L61" s="49">
        <f>AVERAGE('23.08 Lumino-Musita-24h'!L61,'26.08 Lumino-Musita-24h'!L61)</f>
        <v>0.5</v>
      </c>
      <c r="M61" s="49">
        <f>AVERAGE('23.08 Lumino-Musita-24h'!M61,'26.08 Lumino-Musita-24h'!M61)</f>
        <v>33.5</v>
      </c>
      <c r="N61" s="49">
        <f>AVERAGE('23.08 Lumino-Musita-24h'!N61,'26.08 Lumino-Musita-24h'!N61)</f>
        <v>0</v>
      </c>
      <c r="O61" s="15">
        <f t="shared" si="0"/>
        <v>12.5</v>
      </c>
      <c r="P61" s="15">
        <f t="shared" si="1"/>
        <v>46</v>
      </c>
      <c r="R61" s="8"/>
      <c r="T61"/>
    </row>
    <row r="62" spans="2:20" ht="23.1" customHeight="1" x14ac:dyDescent="0.25">
      <c r="B62" s="23" t="s">
        <v>107</v>
      </c>
      <c r="C62" s="49">
        <f>AVERAGE('23.08 Lumino-Musita-24h'!C62,'26.08 Lumino-Musita-24h'!C62)</f>
        <v>6</v>
      </c>
      <c r="D62" s="49">
        <f>AVERAGE('23.08 Lumino-Musita-24h'!D62,'26.08 Lumino-Musita-24h'!D62)</f>
        <v>0.5</v>
      </c>
      <c r="E62" s="49">
        <f>AVERAGE('23.08 Lumino-Musita-24h'!E62,'26.08 Lumino-Musita-24h'!E62)</f>
        <v>1</v>
      </c>
      <c r="F62" s="49">
        <f>AVERAGE('23.08 Lumino-Musita-24h'!F62,'26.08 Lumino-Musita-24h'!F62)</f>
        <v>1</v>
      </c>
      <c r="G62" s="49">
        <f>AVERAGE('23.08 Lumino-Musita-24h'!G62,'26.08 Lumino-Musita-24h'!G62)</f>
        <v>0</v>
      </c>
      <c r="H62" s="49">
        <f>AVERAGE('23.08 Lumino-Musita-24h'!H62,'26.08 Lumino-Musita-24h'!H62)</f>
        <v>0</v>
      </c>
      <c r="I62" s="49">
        <f>AVERAGE('23.08 Lumino-Musita-24h'!I62,'26.08 Lumino-Musita-24h'!I62)</f>
        <v>2</v>
      </c>
      <c r="J62" s="49">
        <f>AVERAGE('23.08 Lumino-Musita-24h'!J62,'26.08 Lumino-Musita-24h'!J62)</f>
        <v>1</v>
      </c>
      <c r="K62" s="49">
        <f>AVERAGE('23.08 Lumino-Musita-24h'!K62,'26.08 Lumino-Musita-24h'!K62)</f>
        <v>0.5</v>
      </c>
      <c r="L62" s="49">
        <f>AVERAGE('23.08 Lumino-Musita-24h'!L62,'26.08 Lumino-Musita-24h'!L62)</f>
        <v>2.5</v>
      </c>
      <c r="M62" s="49">
        <f>AVERAGE('23.08 Lumino-Musita-24h'!M62,'26.08 Lumino-Musita-24h'!M62)</f>
        <v>44.5</v>
      </c>
      <c r="N62" s="49">
        <f>AVERAGE('23.08 Lumino-Musita-24h'!N62,'26.08 Lumino-Musita-24h'!N62)</f>
        <v>0</v>
      </c>
      <c r="O62" s="15">
        <f t="shared" si="0"/>
        <v>14.5</v>
      </c>
      <c r="P62" s="15">
        <f t="shared" si="1"/>
        <v>59</v>
      </c>
      <c r="R62" s="8"/>
      <c r="T62"/>
    </row>
    <row r="63" spans="2:20" ht="23.1" customHeight="1" x14ac:dyDescent="0.25">
      <c r="B63" s="23" t="s">
        <v>108</v>
      </c>
      <c r="C63" s="49">
        <f>AVERAGE('23.08 Lumino-Musita-24h'!C63,'26.08 Lumino-Musita-24h'!C63)</f>
        <v>0</v>
      </c>
      <c r="D63" s="49">
        <f>AVERAGE('23.08 Lumino-Musita-24h'!D63,'26.08 Lumino-Musita-24h'!D63)</f>
        <v>0</v>
      </c>
      <c r="E63" s="49">
        <f>AVERAGE('23.08 Lumino-Musita-24h'!E63,'26.08 Lumino-Musita-24h'!E63)</f>
        <v>0</v>
      </c>
      <c r="F63" s="49">
        <f>AVERAGE('23.08 Lumino-Musita-24h'!F63,'26.08 Lumino-Musita-24h'!F63)</f>
        <v>0</v>
      </c>
      <c r="G63" s="49">
        <f>AVERAGE('23.08 Lumino-Musita-24h'!G63,'26.08 Lumino-Musita-24h'!G63)</f>
        <v>0</v>
      </c>
      <c r="H63" s="49">
        <f>AVERAGE('23.08 Lumino-Musita-24h'!H63,'26.08 Lumino-Musita-24h'!H63)</f>
        <v>0</v>
      </c>
      <c r="I63" s="49">
        <f>AVERAGE('23.08 Lumino-Musita-24h'!I63,'26.08 Lumino-Musita-24h'!I63)</f>
        <v>2</v>
      </c>
      <c r="J63" s="49">
        <f>AVERAGE('23.08 Lumino-Musita-24h'!J63,'26.08 Lumino-Musita-24h'!J63)</f>
        <v>1.5</v>
      </c>
      <c r="K63" s="49">
        <f>AVERAGE('23.08 Lumino-Musita-24h'!K63,'26.08 Lumino-Musita-24h'!K63)</f>
        <v>1</v>
      </c>
      <c r="L63" s="49">
        <f>AVERAGE('23.08 Lumino-Musita-24h'!L63,'26.08 Lumino-Musita-24h'!L63)</f>
        <v>0</v>
      </c>
      <c r="M63" s="49">
        <f>AVERAGE('23.08 Lumino-Musita-24h'!M63,'26.08 Lumino-Musita-24h'!M63)</f>
        <v>27</v>
      </c>
      <c r="N63" s="49">
        <f>AVERAGE('23.08 Lumino-Musita-24h'!N63,'26.08 Lumino-Musita-24h'!N63)</f>
        <v>0</v>
      </c>
      <c r="O63" s="15">
        <f t="shared" si="0"/>
        <v>4.5</v>
      </c>
      <c r="P63" s="15">
        <f t="shared" si="1"/>
        <v>31.5</v>
      </c>
      <c r="R63" s="8"/>
      <c r="T63"/>
    </row>
    <row r="64" spans="2:20" ht="23.1" customHeight="1" x14ac:dyDescent="0.25">
      <c r="B64" s="23" t="s">
        <v>109</v>
      </c>
      <c r="C64" s="49">
        <f>AVERAGE('23.08 Lumino-Musita-24h'!C64,'26.08 Lumino-Musita-24h'!C64)</f>
        <v>6</v>
      </c>
      <c r="D64" s="49">
        <f>AVERAGE('23.08 Lumino-Musita-24h'!D64,'26.08 Lumino-Musita-24h'!D64)</f>
        <v>0.5</v>
      </c>
      <c r="E64" s="49">
        <f>AVERAGE('23.08 Lumino-Musita-24h'!E64,'26.08 Lumino-Musita-24h'!E64)</f>
        <v>0.5</v>
      </c>
      <c r="F64" s="49">
        <f>AVERAGE('23.08 Lumino-Musita-24h'!F64,'26.08 Lumino-Musita-24h'!F64)</f>
        <v>0.5</v>
      </c>
      <c r="G64" s="49">
        <f>AVERAGE('23.08 Lumino-Musita-24h'!G64,'26.08 Lumino-Musita-24h'!G64)</f>
        <v>0</v>
      </c>
      <c r="H64" s="49">
        <f>AVERAGE('23.08 Lumino-Musita-24h'!H64,'26.08 Lumino-Musita-24h'!H64)</f>
        <v>0</v>
      </c>
      <c r="I64" s="49">
        <f>AVERAGE('23.08 Lumino-Musita-24h'!I64,'26.08 Lumino-Musita-24h'!I64)</f>
        <v>1</v>
      </c>
      <c r="J64" s="49">
        <f>AVERAGE('23.08 Lumino-Musita-24h'!J64,'26.08 Lumino-Musita-24h'!J64)</f>
        <v>0</v>
      </c>
      <c r="K64" s="49">
        <f>AVERAGE('23.08 Lumino-Musita-24h'!K64,'26.08 Lumino-Musita-24h'!K64)</f>
        <v>0</v>
      </c>
      <c r="L64" s="49">
        <f>AVERAGE('23.08 Lumino-Musita-24h'!L64,'26.08 Lumino-Musita-24h'!L64)</f>
        <v>0</v>
      </c>
      <c r="M64" s="49">
        <f>AVERAGE('23.08 Lumino-Musita-24h'!M64,'26.08 Lumino-Musita-24h'!M64)</f>
        <v>30</v>
      </c>
      <c r="N64" s="49">
        <f>AVERAGE('23.08 Lumino-Musita-24h'!N64,'26.08 Lumino-Musita-24h'!N64)</f>
        <v>0</v>
      </c>
      <c r="O64" s="15">
        <f t="shared" si="0"/>
        <v>8.5</v>
      </c>
      <c r="P64" s="15">
        <f t="shared" si="1"/>
        <v>38.5</v>
      </c>
      <c r="R64" s="8"/>
      <c r="T64"/>
    </row>
    <row r="65" spans="2:20" ht="23.1" customHeight="1" x14ac:dyDescent="0.25">
      <c r="B65" s="23" t="s">
        <v>158</v>
      </c>
      <c r="C65" s="49">
        <f>AVERAGE('23.08 Lumino-Musita-24h'!C65,'26.08 Lumino-Musita-24h'!C65)</f>
        <v>11</v>
      </c>
      <c r="D65" s="49">
        <f>AVERAGE('23.08 Lumino-Musita-24h'!D65,'26.08 Lumino-Musita-24h'!D65)</f>
        <v>0</v>
      </c>
      <c r="E65" s="49">
        <f>AVERAGE('23.08 Lumino-Musita-24h'!E65,'26.08 Lumino-Musita-24h'!E65)</f>
        <v>1</v>
      </c>
      <c r="F65" s="49">
        <f>AVERAGE('23.08 Lumino-Musita-24h'!F65,'26.08 Lumino-Musita-24h'!F65)</f>
        <v>0</v>
      </c>
      <c r="G65" s="49">
        <f>AVERAGE('23.08 Lumino-Musita-24h'!G65,'26.08 Lumino-Musita-24h'!G65)</f>
        <v>0</v>
      </c>
      <c r="H65" s="49">
        <f>AVERAGE('23.08 Lumino-Musita-24h'!H65,'26.08 Lumino-Musita-24h'!H65)</f>
        <v>0</v>
      </c>
      <c r="I65" s="49">
        <f>AVERAGE('23.08 Lumino-Musita-24h'!I65,'26.08 Lumino-Musita-24h'!I65)</f>
        <v>3.5</v>
      </c>
      <c r="J65" s="49">
        <f>AVERAGE('23.08 Lumino-Musita-24h'!J65,'26.08 Lumino-Musita-24h'!J65)</f>
        <v>0.5</v>
      </c>
      <c r="K65" s="49">
        <f>AVERAGE('23.08 Lumino-Musita-24h'!K65,'26.08 Lumino-Musita-24h'!K65)</f>
        <v>0</v>
      </c>
      <c r="L65" s="49">
        <f>AVERAGE('23.08 Lumino-Musita-24h'!L65,'26.08 Lumino-Musita-24h'!L65)</f>
        <v>4.5</v>
      </c>
      <c r="M65" s="49">
        <f>AVERAGE('23.08 Lumino-Musita-24h'!M65,'26.08 Lumino-Musita-24h'!M65)</f>
        <v>35</v>
      </c>
      <c r="N65" s="49">
        <f>AVERAGE('23.08 Lumino-Musita-24h'!N65,'26.08 Lumino-Musita-24h'!N65)</f>
        <v>0</v>
      </c>
      <c r="O65" s="15">
        <f t="shared" si="0"/>
        <v>20.5</v>
      </c>
      <c r="P65" s="15">
        <f t="shared" si="1"/>
        <v>55.5</v>
      </c>
      <c r="R65" s="8"/>
      <c r="T65"/>
    </row>
    <row r="66" spans="2:20" ht="23.1" customHeight="1" x14ac:dyDescent="0.25">
      <c r="B66" s="23" t="s">
        <v>103</v>
      </c>
      <c r="C66" s="49">
        <f>AVERAGE('23.08 Lumino-Musita-24h'!C66,'26.08 Lumino-Musita-24h'!C66)</f>
        <v>2.5</v>
      </c>
      <c r="D66" s="49">
        <f>AVERAGE('23.08 Lumino-Musita-24h'!D66,'26.08 Lumino-Musita-24h'!D66)</f>
        <v>0.5</v>
      </c>
      <c r="E66" s="49">
        <f>AVERAGE('23.08 Lumino-Musita-24h'!E66,'26.08 Lumino-Musita-24h'!E66)</f>
        <v>0.5</v>
      </c>
      <c r="F66" s="49">
        <f>AVERAGE('23.08 Lumino-Musita-24h'!F66,'26.08 Lumino-Musita-24h'!F66)</f>
        <v>1</v>
      </c>
      <c r="G66" s="49">
        <f>AVERAGE('23.08 Lumino-Musita-24h'!G66,'26.08 Lumino-Musita-24h'!G66)</f>
        <v>0</v>
      </c>
      <c r="H66" s="49">
        <f>AVERAGE('23.08 Lumino-Musita-24h'!H66,'26.08 Lumino-Musita-24h'!H66)</f>
        <v>0</v>
      </c>
      <c r="I66" s="49">
        <f>AVERAGE('23.08 Lumino-Musita-24h'!I66,'26.08 Lumino-Musita-24h'!I66)</f>
        <v>2</v>
      </c>
      <c r="J66" s="49">
        <f>AVERAGE('23.08 Lumino-Musita-24h'!J66,'26.08 Lumino-Musita-24h'!J66)</f>
        <v>3</v>
      </c>
      <c r="K66" s="49">
        <f>AVERAGE('23.08 Lumino-Musita-24h'!K66,'26.08 Lumino-Musita-24h'!K66)</f>
        <v>0</v>
      </c>
      <c r="L66" s="49">
        <f>AVERAGE('23.08 Lumino-Musita-24h'!L66,'26.08 Lumino-Musita-24h'!L66)</f>
        <v>1</v>
      </c>
      <c r="M66" s="49">
        <f>AVERAGE('23.08 Lumino-Musita-24h'!M66,'26.08 Lumino-Musita-24h'!M66)</f>
        <v>11.5</v>
      </c>
      <c r="N66" s="49">
        <f>AVERAGE('23.08 Lumino-Musita-24h'!N66,'26.08 Lumino-Musita-24h'!N66)</f>
        <v>0.5</v>
      </c>
      <c r="O66" s="15">
        <f t="shared" si="0"/>
        <v>11</v>
      </c>
      <c r="P66" s="15">
        <f t="shared" si="1"/>
        <v>22.5</v>
      </c>
      <c r="R66" s="8"/>
      <c r="T66"/>
    </row>
    <row r="67" spans="2:20" ht="23.1" customHeight="1" x14ac:dyDescent="0.25">
      <c r="B67" s="23" t="s">
        <v>104</v>
      </c>
      <c r="C67" s="49">
        <f>AVERAGE('23.08 Lumino-Musita-24h'!C67,'26.08 Lumino-Musita-24h'!C67)</f>
        <v>3</v>
      </c>
      <c r="D67" s="49">
        <f>AVERAGE('23.08 Lumino-Musita-24h'!D67,'26.08 Lumino-Musita-24h'!D67)</f>
        <v>0</v>
      </c>
      <c r="E67" s="49">
        <f>AVERAGE('23.08 Lumino-Musita-24h'!E67,'26.08 Lumino-Musita-24h'!E67)</f>
        <v>0</v>
      </c>
      <c r="F67" s="49">
        <f>AVERAGE('23.08 Lumino-Musita-24h'!F67,'26.08 Lumino-Musita-24h'!F67)</f>
        <v>1.5</v>
      </c>
      <c r="G67" s="49">
        <f>AVERAGE('23.08 Lumino-Musita-24h'!G67,'26.08 Lumino-Musita-24h'!G67)</f>
        <v>0</v>
      </c>
      <c r="H67" s="49">
        <f>AVERAGE('23.08 Lumino-Musita-24h'!H67,'26.08 Lumino-Musita-24h'!H67)</f>
        <v>0</v>
      </c>
      <c r="I67" s="49">
        <f>AVERAGE('23.08 Lumino-Musita-24h'!I67,'26.08 Lumino-Musita-24h'!I67)</f>
        <v>0</v>
      </c>
      <c r="J67" s="49">
        <f>AVERAGE('23.08 Lumino-Musita-24h'!J67,'26.08 Lumino-Musita-24h'!J67)</f>
        <v>1.5</v>
      </c>
      <c r="K67" s="49">
        <f>AVERAGE('23.08 Lumino-Musita-24h'!K67,'26.08 Lumino-Musita-24h'!K67)</f>
        <v>0.5</v>
      </c>
      <c r="L67" s="49">
        <f>AVERAGE('23.08 Lumino-Musita-24h'!L67,'26.08 Lumino-Musita-24h'!L67)</f>
        <v>0</v>
      </c>
      <c r="M67" s="49">
        <f>AVERAGE('23.08 Lumino-Musita-24h'!M67,'26.08 Lumino-Musita-24h'!M67)</f>
        <v>10</v>
      </c>
      <c r="N67" s="49">
        <f>AVERAGE('23.08 Lumino-Musita-24h'!N67,'26.08 Lumino-Musita-24h'!N67)</f>
        <v>0</v>
      </c>
      <c r="O67" s="15">
        <f t="shared" si="0"/>
        <v>6.5</v>
      </c>
      <c r="P67" s="15">
        <f t="shared" si="1"/>
        <v>16.5</v>
      </c>
      <c r="R67" s="8"/>
      <c r="T67"/>
    </row>
    <row r="68" spans="2:20" ht="23.1" customHeight="1" x14ac:dyDescent="0.25">
      <c r="B68" s="23" t="s">
        <v>105</v>
      </c>
      <c r="C68" s="49">
        <f>AVERAGE('23.08 Lumino-Musita-24h'!C68,'26.08 Lumino-Musita-24h'!C68)</f>
        <v>3</v>
      </c>
      <c r="D68" s="49">
        <f>AVERAGE('23.08 Lumino-Musita-24h'!D68,'26.08 Lumino-Musita-24h'!D68)</f>
        <v>0</v>
      </c>
      <c r="E68" s="49">
        <f>AVERAGE('23.08 Lumino-Musita-24h'!E68,'26.08 Lumino-Musita-24h'!E68)</f>
        <v>0</v>
      </c>
      <c r="F68" s="49">
        <f>AVERAGE('23.08 Lumino-Musita-24h'!F68,'26.08 Lumino-Musita-24h'!F68)</f>
        <v>0.5</v>
      </c>
      <c r="G68" s="49">
        <f>AVERAGE('23.08 Lumino-Musita-24h'!G68,'26.08 Lumino-Musita-24h'!G68)</f>
        <v>0.5</v>
      </c>
      <c r="H68" s="49">
        <f>AVERAGE('23.08 Lumino-Musita-24h'!H68,'26.08 Lumino-Musita-24h'!H68)</f>
        <v>0</v>
      </c>
      <c r="I68" s="49">
        <f>AVERAGE('23.08 Lumino-Musita-24h'!I68,'26.08 Lumino-Musita-24h'!I68)</f>
        <v>0</v>
      </c>
      <c r="J68" s="49">
        <f>AVERAGE('23.08 Lumino-Musita-24h'!J68,'26.08 Lumino-Musita-24h'!J68)</f>
        <v>0</v>
      </c>
      <c r="K68" s="49">
        <f>AVERAGE('23.08 Lumino-Musita-24h'!K68,'26.08 Lumino-Musita-24h'!K68)</f>
        <v>0.5</v>
      </c>
      <c r="L68" s="49">
        <f>AVERAGE('23.08 Lumino-Musita-24h'!L68,'26.08 Lumino-Musita-24h'!L68)</f>
        <v>0.5</v>
      </c>
      <c r="M68" s="49">
        <f>AVERAGE('23.08 Lumino-Musita-24h'!M68,'26.08 Lumino-Musita-24h'!M68)</f>
        <v>10.5</v>
      </c>
      <c r="N68" s="49">
        <f>AVERAGE('23.08 Lumino-Musita-24h'!N68,'26.08 Lumino-Musita-24h'!N68)</f>
        <v>0</v>
      </c>
      <c r="O68" s="15">
        <f t="shared" si="0"/>
        <v>5</v>
      </c>
      <c r="P68" s="15">
        <f t="shared" si="1"/>
        <v>15.5</v>
      </c>
      <c r="R68" s="8"/>
      <c r="T68"/>
    </row>
    <row r="69" spans="2:20" ht="23.1" customHeight="1" x14ac:dyDescent="0.25">
      <c r="B69" s="23" t="s">
        <v>106</v>
      </c>
      <c r="C69" s="49">
        <f>AVERAGE('23.08 Lumino-Musita-24h'!C69,'26.08 Lumino-Musita-24h'!C69)</f>
        <v>2</v>
      </c>
      <c r="D69" s="49">
        <f>AVERAGE('23.08 Lumino-Musita-24h'!D69,'26.08 Lumino-Musita-24h'!D69)</f>
        <v>0</v>
      </c>
      <c r="E69" s="49">
        <f>AVERAGE('23.08 Lumino-Musita-24h'!E69,'26.08 Lumino-Musita-24h'!E69)</f>
        <v>0</v>
      </c>
      <c r="F69" s="49">
        <f>AVERAGE('23.08 Lumino-Musita-24h'!F69,'26.08 Lumino-Musita-24h'!F69)</f>
        <v>0</v>
      </c>
      <c r="G69" s="49">
        <f>AVERAGE('23.08 Lumino-Musita-24h'!G69,'26.08 Lumino-Musita-24h'!G69)</f>
        <v>0</v>
      </c>
      <c r="H69" s="49">
        <f>AVERAGE('23.08 Lumino-Musita-24h'!H69,'26.08 Lumino-Musita-24h'!H69)</f>
        <v>0</v>
      </c>
      <c r="I69" s="49">
        <f>AVERAGE('23.08 Lumino-Musita-24h'!I69,'26.08 Lumino-Musita-24h'!I69)</f>
        <v>1</v>
      </c>
      <c r="J69" s="49">
        <f>AVERAGE('23.08 Lumino-Musita-24h'!J69,'26.08 Lumino-Musita-24h'!J69)</f>
        <v>3</v>
      </c>
      <c r="K69" s="49">
        <f>AVERAGE('23.08 Lumino-Musita-24h'!K69,'26.08 Lumino-Musita-24h'!K69)</f>
        <v>0.5</v>
      </c>
      <c r="L69" s="49">
        <f>AVERAGE('23.08 Lumino-Musita-24h'!L69,'26.08 Lumino-Musita-24h'!L69)</f>
        <v>0.5</v>
      </c>
      <c r="M69" s="49">
        <f>AVERAGE('23.08 Lumino-Musita-24h'!M69,'26.08 Lumino-Musita-24h'!M69)</f>
        <v>8.5</v>
      </c>
      <c r="N69" s="49">
        <f>AVERAGE('23.08 Lumino-Musita-24h'!N69,'26.08 Lumino-Musita-24h'!N69)</f>
        <v>0</v>
      </c>
      <c r="O69" s="15">
        <f t="shared" si="0"/>
        <v>7</v>
      </c>
      <c r="P69" s="15">
        <f t="shared" si="1"/>
        <v>15.5</v>
      </c>
      <c r="R69" s="8"/>
      <c r="T69"/>
    </row>
    <row r="70" spans="2:20" ht="23.1" customHeight="1" x14ac:dyDescent="0.25">
      <c r="B70" s="23" t="s">
        <v>110</v>
      </c>
      <c r="C70" s="49">
        <f>AVERAGE('23.08 Lumino-Musita-24h'!C70,'26.08 Lumino-Musita-24h'!C70)</f>
        <v>4.5</v>
      </c>
      <c r="D70" s="49">
        <f>AVERAGE('23.08 Lumino-Musita-24h'!D70,'26.08 Lumino-Musita-24h'!D70)</f>
        <v>0.5</v>
      </c>
      <c r="E70" s="49">
        <f>AVERAGE('23.08 Lumino-Musita-24h'!E70,'26.08 Lumino-Musita-24h'!E70)</f>
        <v>1</v>
      </c>
      <c r="F70" s="49">
        <f>AVERAGE('23.08 Lumino-Musita-24h'!F70,'26.08 Lumino-Musita-24h'!F70)</f>
        <v>0</v>
      </c>
      <c r="G70" s="49">
        <f>AVERAGE('23.08 Lumino-Musita-24h'!G70,'26.08 Lumino-Musita-24h'!G70)</f>
        <v>0</v>
      </c>
      <c r="H70" s="49">
        <f>AVERAGE('23.08 Lumino-Musita-24h'!H70,'26.08 Lumino-Musita-24h'!H70)</f>
        <v>0</v>
      </c>
      <c r="I70" s="49">
        <f>AVERAGE('23.08 Lumino-Musita-24h'!I70,'26.08 Lumino-Musita-24h'!I70)</f>
        <v>4</v>
      </c>
      <c r="J70" s="49">
        <f>AVERAGE('23.08 Lumino-Musita-24h'!J70,'26.08 Lumino-Musita-24h'!J70)</f>
        <v>1.5</v>
      </c>
      <c r="K70" s="49">
        <f>AVERAGE('23.08 Lumino-Musita-24h'!K70,'26.08 Lumino-Musita-24h'!K70)</f>
        <v>0</v>
      </c>
      <c r="L70" s="49">
        <f>AVERAGE('23.08 Lumino-Musita-24h'!L70,'26.08 Lumino-Musita-24h'!L70)</f>
        <v>0.5</v>
      </c>
      <c r="M70" s="49">
        <f>AVERAGE('23.08 Lumino-Musita-24h'!M70,'26.08 Lumino-Musita-24h'!M70)</f>
        <v>9.5</v>
      </c>
      <c r="N70" s="49">
        <f>AVERAGE('23.08 Lumino-Musita-24h'!N70,'26.08 Lumino-Musita-24h'!N70)</f>
        <v>0</v>
      </c>
      <c r="O70" s="15">
        <f t="shared" si="0"/>
        <v>12</v>
      </c>
      <c r="P70" s="15">
        <f t="shared" si="1"/>
        <v>21.5</v>
      </c>
      <c r="R70" s="8"/>
      <c r="T70"/>
    </row>
    <row r="71" spans="2:20" ht="23.1" customHeight="1" x14ac:dyDescent="0.25">
      <c r="B71" s="23" t="s">
        <v>111</v>
      </c>
      <c r="C71" s="49">
        <f>AVERAGE('23.08 Lumino-Musita-24h'!C71,'26.08 Lumino-Musita-24h'!C71)</f>
        <v>0</v>
      </c>
      <c r="D71" s="49">
        <f>AVERAGE('23.08 Lumino-Musita-24h'!D71,'26.08 Lumino-Musita-24h'!D71)</f>
        <v>0</v>
      </c>
      <c r="E71" s="49">
        <f>AVERAGE('23.08 Lumino-Musita-24h'!E71,'26.08 Lumino-Musita-24h'!E71)</f>
        <v>0</v>
      </c>
      <c r="F71" s="49">
        <f>AVERAGE('23.08 Lumino-Musita-24h'!F71,'26.08 Lumino-Musita-24h'!F71)</f>
        <v>0.5</v>
      </c>
      <c r="G71" s="49">
        <f>AVERAGE('23.08 Lumino-Musita-24h'!G71,'26.08 Lumino-Musita-24h'!G71)</f>
        <v>0</v>
      </c>
      <c r="H71" s="49">
        <f>AVERAGE('23.08 Lumino-Musita-24h'!H71,'26.08 Lumino-Musita-24h'!H71)</f>
        <v>0</v>
      </c>
      <c r="I71" s="49">
        <f>AVERAGE('23.08 Lumino-Musita-24h'!I71,'26.08 Lumino-Musita-24h'!I71)</f>
        <v>2.5</v>
      </c>
      <c r="J71" s="49">
        <f>AVERAGE('23.08 Lumino-Musita-24h'!J71,'26.08 Lumino-Musita-24h'!J71)</f>
        <v>1.5</v>
      </c>
      <c r="K71" s="49">
        <f>AVERAGE('23.08 Lumino-Musita-24h'!K71,'26.08 Lumino-Musita-24h'!K71)</f>
        <v>0.5</v>
      </c>
      <c r="L71" s="49">
        <f>AVERAGE('23.08 Lumino-Musita-24h'!L71,'26.08 Lumino-Musita-24h'!L71)</f>
        <v>0.5</v>
      </c>
      <c r="M71" s="49">
        <f>AVERAGE('23.08 Lumino-Musita-24h'!M71,'26.08 Lumino-Musita-24h'!M71)</f>
        <v>6</v>
      </c>
      <c r="N71" s="49">
        <f>AVERAGE('23.08 Lumino-Musita-24h'!N71,'26.08 Lumino-Musita-24h'!N71)</f>
        <v>0</v>
      </c>
      <c r="O71" s="15">
        <f t="shared" si="0"/>
        <v>5.5</v>
      </c>
      <c r="P71" s="15">
        <f t="shared" si="1"/>
        <v>11.5</v>
      </c>
      <c r="R71" s="8"/>
      <c r="T71"/>
    </row>
    <row r="72" spans="2:20" ht="23.1" customHeight="1" x14ac:dyDescent="0.25">
      <c r="B72" s="23" t="s">
        <v>112</v>
      </c>
      <c r="C72" s="49">
        <f>AVERAGE('23.08 Lumino-Musita-24h'!C72,'26.08 Lumino-Musita-24h'!C72)</f>
        <v>1.5</v>
      </c>
      <c r="D72" s="49">
        <f>AVERAGE('23.08 Lumino-Musita-24h'!D72,'26.08 Lumino-Musita-24h'!D72)</f>
        <v>0</v>
      </c>
      <c r="E72" s="49">
        <f>AVERAGE('23.08 Lumino-Musita-24h'!E72,'26.08 Lumino-Musita-24h'!E72)</f>
        <v>0</v>
      </c>
      <c r="F72" s="49">
        <f>AVERAGE('23.08 Lumino-Musita-24h'!F72,'26.08 Lumino-Musita-24h'!F72)</f>
        <v>0</v>
      </c>
      <c r="G72" s="49">
        <f>AVERAGE('23.08 Lumino-Musita-24h'!G72,'26.08 Lumino-Musita-24h'!G72)</f>
        <v>0</v>
      </c>
      <c r="H72" s="49">
        <f>AVERAGE('23.08 Lumino-Musita-24h'!H72,'26.08 Lumino-Musita-24h'!H72)</f>
        <v>0</v>
      </c>
      <c r="I72" s="49">
        <f>AVERAGE('23.08 Lumino-Musita-24h'!I72,'26.08 Lumino-Musita-24h'!I72)</f>
        <v>0.5</v>
      </c>
      <c r="J72" s="49">
        <f>AVERAGE('23.08 Lumino-Musita-24h'!J72,'26.08 Lumino-Musita-24h'!J72)</f>
        <v>1</v>
      </c>
      <c r="K72" s="49">
        <f>AVERAGE('23.08 Lumino-Musita-24h'!K72,'26.08 Lumino-Musita-24h'!K72)</f>
        <v>1</v>
      </c>
      <c r="L72" s="49">
        <f>AVERAGE('23.08 Lumino-Musita-24h'!L72,'26.08 Lumino-Musita-24h'!L72)</f>
        <v>0</v>
      </c>
      <c r="M72" s="49">
        <f>AVERAGE('23.08 Lumino-Musita-24h'!M72,'26.08 Lumino-Musita-24h'!M72)</f>
        <v>5</v>
      </c>
      <c r="N72" s="49">
        <f>AVERAGE('23.08 Lumino-Musita-24h'!N72,'26.08 Lumino-Musita-24h'!N72)</f>
        <v>0</v>
      </c>
      <c r="O72" s="15">
        <f t="shared" si="0"/>
        <v>4</v>
      </c>
      <c r="P72" s="15">
        <f t="shared" si="1"/>
        <v>9</v>
      </c>
      <c r="R72" s="8"/>
      <c r="T72"/>
    </row>
    <row r="73" spans="2:20" ht="23.1" customHeight="1" x14ac:dyDescent="0.25">
      <c r="B73" s="23" t="s">
        <v>113</v>
      </c>
      <c r="C73" s="49">
        <f>AVERAGE('23.08 Lumino-Musita-24h'!C73,'26.08 Lumino-Musita-24h'!C73)</f>
        <v>1.5</v>
      </c>
      <c r="D73" s="49">
        <f>AVERAGE('23.08 Lumino-Musita-24h'!D73,'26.08 Lumino-Musita-24h'!D73)</f>
        <v>1</v>
      </c>
      <c r="E73" s="49">
        <f>AVERAGE('23.08 Lumino-Musita-24h'!E73,'26.08 Lumino-Musita-24h'!E73)</f>
        <v>0</v>
      </c>
      <c r="F73" s="49">
        <f>AVERAGE('23.08 Lumino-Musita-24h'!F73,'26.08 Lumino-Musita-24h'!F73)</f>
        <v>0</v>
      </c>
      <c r="G73" s="49">
        <f>AVERAGE('23.08 Lumino-Musita-24h'!G73,'26.08 Lumino-Musita-24h'!G73)</f>
        <v>0</v>
      </c>
      <c r="H73" s="49">
        <f>AVERAGE('23.08 Lumino-Musita-24h'!H73,'26.08 Lumino-Musita-24h'!H73)</f>
        <v>0</v>
      </c>
      <c r="I73" s="49">
        <f>AVERAGE('23.08 Lumino-Musita-24h'!I73,'26.08 Lumino-Musita-24h'!I73)</f>
        <v>1.5</v>
      </c>
      <c r="J73" s="49">
        <f>AVERAGE('23.08 Lumino-Musita-24h'!J73,'26.08 Lumino-Musita-24h'!J73)</f>
        <v>0.5</v>
      </c>
      <c r="K73" s="49">
        <f>AVERAGE('23.08 Lumino-Musita-24h'!K73,'26.08 Lumino-Musita-24h'!K73)</f>
        <v>0</v>
      </c>
      <c r="L73" s="49">
        <f>AVERAGE('23.08 Lumino-Musita-24h'!L73,'26.08 Lumino-Musita-24h'!L73)</f>
        <v>1</v>
      </c>
      <c r="M73" s="49">
        <f>AVERAGE('23.08 Lumino-Musita-24h'!M73,'26.08 Lumino-Musita-24h'!M73)</f>
        <v>5.5</v>
      </c>
      <c r="N73" s="49">
        <f>AVERAGE('23.08 Lumino-Musita-24h'!N73,'26.08 Lumino-Musita-24h'!N73)</f>
        <v>0</v>
      </c>
      <c r="O73" s="15">
        <f t="shared" si="0"/>
        <v>5.5</v>
      </c>
      <c r="P73" s="15">
        <f t="shared" si="1"/>
        <v>11</v>
      </c>
      <c r="R73" s="8"/>
      <c r="T73"/>
    </row>
    <row r="74" spans="2:20" ht="23.1" customHeight="1" x14ac:dyDescent="0.25">
      <c r="B74" s="23" t="s">
        <v>114</v>
      </c>
      <c r="C74" s="49">
        <f>AVERAGE('23.08 Lumino-Musita-24h'!C74,'26.08 Lumino-Musita-24h'!C74)</f>
        <v>2.5</v>
      </c>
      <c r="D74" s="49">
        <f>AVERAGE('23.08 Lumino-Musita-24h'!D74,'26.08 Lumino-Musita-24h'!D74)</f>
        <v>0.5</v>
      </c>
      <c r="E74" s="49">
        <f>AVERAGE('23.08 Lumino-Musita-24h'!E74,'26.08 Lumino-Musita-24h'!E74)</f>
        <v>0.5</v>
      </c>
      <c r="F74" s="49">
        <f>AVERAGE('23.08 Lumino-Musita-24h'!F74,'26.08 Lumino-Musita-24h'!F74)</f>
        <v>0</v>
      </c>
      <c r="G74" s="49">
        <f>AVERAGE('23.08 Lumino-Musita-24h'!G74,'26.08 Lumino-Musita-24h'!G74)</f>
        <v>0</v>
      </c>
      <c r="H74" s="49">
        <f>AVERAGE('23.08 Lumino-Musita-24h'!H74,'26.08 Lumino-Musita-24h'!H74)</f>
        <v>0</v>
      </c>
      <c r="I74" s="49">
        <f>AVERAGE('23.08 Lumino-Musita-24h'!I74,'26.08 Lumino-Musita-24h'!I74)</f>
        <v>0.5</v>
      </c>
      <c r="J74" s="49">
        <f>AVERAGE('23.08 Lumino-Musita-24h'!J74,'26.08 Lumino-Musita-24h'!J74)</f>
        <v>0</v>
      </c>
      <c r="K74" s="49">
        <f>AVERAGE('23.08 Lumino-Musita-24h'!K74,'26.08 Lumino-Musita-24h'!K74)</f>
        <v>0</v>
      </c>
      <c r="L74" s="49">
        <f>AVERAGE('23.08 Lumino-Musita-24h'!L74,'26.08 Lumino-Musita-24h'!L74)</f>
        <v>1</v>
      </c>
      <c r="M74" s="49">
        <f>AVERAGE('23.08 Lumino-Musita-24h'!M74,'26.08 Lumino-Musita-24h'!M74)</f>
        <v>6.5</v>
      </c>
      <c r="N74" s="49">
        <f>AVERAGE('23.08 Lumino-Musita-24h'!N74,'26.08 Lumino-Musita-24h'!N74)</f>
        <v>0</v>
      </c>
      <c r="O74" s="15">
        <f t="shared" ref="O74:O105" si="35">SUM(C74:L74,N74)</f>
        <v>5</v>
      </c>
      <c r="P74" s="15">
        <f t="shared" ref="P74:P105" si="36">SUM(C74:N74)</f>
        <v>11.5</v>
      </c>
      <c r="R74" s="8"/>
      <c r="T74"/>
    </row>
    <row r="75" spans="2:20" ht="23.1" customHeight="1" x14ac:dyDescent="0.25">
      <c r="B75" s="23" t="s">
        <v>115</v>
      </c>
      <c r="C75" s="49">
        <f>AVERAGE('23.08 Lumino-Musita-24h'!C75,'26.08 Lumino-Musita-24h'!C75)</f>
        <v>0.5</v>
      </c>
      <c r="D75" s="49">
        <f>AVERAGE('23.08 Lumino-Musita-24h'!D75,'26.08 Lumino-Musita-24h'!D75)</f>
        <v>0</v>
      </c>
      <c r="E75" s="49">
        <f>AVERAGE('23.08 Lumino-Musita-24h'!E75,'26.08 Lumino-Musita-24h'!E75)</f>
        <v>0</v>
      </c>
      <c r="F75" s="49">
        <f>AVERAGE('23.08 Lumino-Musita-24h'!F75,'26.08 Lumino-Musita-24h'!F75)</f>
        <v>1</v>
      </c>
      <c r="G75" s="49">
        <f>AVERAGE('23.08 Lumino-Musita-24h'!G75,'26.08 Lumino-Musita-24h'!G75)</f>
        <v>0</v>
      </c>
      <c r="H75" s="49">
        <f>AVERAGE('23.08 Lumino-Musita-24h'!H75,'26.08 Lumino-Musita-24h'!H75)</f>
        <v>0</v>
      </c>
      <c r="I75" s="49">
        <f>AVERAGE('23.08 Lumino-Musita-24h'!I75,'26.08 Lumino-Musita-24h'!I75)</f>
        <v>0.5</v>
      </c>
      <c r="J75" s="49">
        <f>AVERAGE('23.08 Lumino-Musita-24h'!J75,'26.08 Lumino-Musita-24h'!J75)</f>
        <v>0</v>
      </c>
      <c r="K75" s="49">
        <f>AVERAGE('23.08 Lumino-Musita-24h'!K75,'26.08 Lumino-Musita-24h'!K75)</f>
        <v>0</v>
      </c>
      <c r="L75" s="49">
        <f>AVERAGE('23.08 Lumino-Musita-24h'!L75,'26.08 Lumino-Musita-24h'!L75)</f>
        <v>1</v>
      </c>
      <c r="M75" s="49">
        <f>AVERAGE('23.08 Lumino-Musita-24h'!M75,'26.08 Lumino-Musita-24h'!M75)</f>
        <v>4</v>
      </c>
      <c r="N75" s="49">
        <f>AVERAGE('23.08 Lumino-Musita-24h'!N75,'26.08 Lumino-Musita-24h'!N75)</f>
        <v>0</v>
      </c>
      <c r="O75" s="15">
        <f t="shared" si="35"/>
        <v>3</v>
      </c>
      <c r="P75" s="15">
        <f t="shared" si="36"/>
        <v>7</v>
      </c>
      <c r="R75" s="8"/>
      <c r="T75"/>
    </row>
    <row r="76" spans="2:20" ht="23.1" customHeight="1" x14ac:dyDescent="0.25">
      <c r="B76" s="23" t="s">
        <v>116</v>
      </c>
      <c r="C76" s="49">
        <f>AVERAGE('23.08 Lumino-Musita-24h'!C76,'26.08 Lumino-Musita-24h'!C76)</f>
        <v>3</v>
      </c>
      <c r="D76" s="49">
        <f>AVERAGE('23.08 Lumino-Musita-24h'!D76,'26.08 Lumino-Musita-24h'!D76)</f>
        <v>0</v>
      </c>
      <c r="E76" s="49">
        <f>AVERAGE('23.08 Lumino-Musita-24h'!E76,'26.08 Lumino-Musita-24h'!E76)</f>
        <v>1</v>
      </c>
      <c r="F76" s="49">
        <f>AVERAGE('23.08 Lumino-Musita-24h'!F76,'26.08 Lumino-Musita-24h'!F76)</f>
        <v>0</v>
      </c>
      <c r="G76" s="49">
        <f>AVERAGE('23.08 Lumino-Musita-24h'!G76,'26.08 Lumino-Musita-24h'!G76)</f>
        <v>0</v>
      </c>
      <c r="H76" s="49">
        <f>AVERAGE('23.08 Lumino-Musita-24h'!H76,'26.08 Lumino-Musita-24h'!H76)</f>
        <v>0</v>
      </c>
      <c r="I76" s="49">
        <f>AVERAGE('23.08 Lumino-Musita-24h'!I76,'26.08 Lumino-Musita-24h'!I76)</f>
        <v>1</v>
      </c>
      <c r="J76" s="49">
        <f>AVERAGE('23.08 Lumino-Musita-24h'!J76,'26.08 Lumino-Musita-24h'!J76)</f>
        <v>1.5</v>
      </c>
      <c r="K76" s="49">
        <f>AVERAGE('23.08 Lumino-Musita-24h'!K76,'26.08 Lumino-Musita-24h'!K76)</f>
        <v>0</v>
      </c>
      <c r="L76" s="49">
        <f>AVERAGE('23.08 Lumino-Musita-24h'!L76,'26.08 Lumino-Musita-24h'!L76)</f>
        <v>0</v>
      </c>
      <c r="M76" s="49">
        <f>AVERAGE('23.08 Lumino-Musita-24h'!M76,'26.08 Lumino-Musita-24h'!M76)</f>
        <v>6</v>
      </c>
      <c r="N76" s="49">
        <f>AVERAGE('23.08 Lumino-Musita-24h'!N76,'26.08 Lumino-Musita-24h'!N76)</f>
        <v>0</v>
      </c>
      <c r="O76" s="15">
        <f t="shared" si="35"/>
        <v>6.5</v>
      </c>
      <c r="P76" s="15">
        <f t="shared" si="36"/>
        <v>12.5</v>
      </c>
      <c r="R76" s="8"/>
      <c r="T76"/>
    </row>
    <row r="77" spans="2:20" ht="23.1" customHeight="1" x14ac:dyDescent="0.25">
      <c r="B77" s="23" t="s">
        <v>117</v>
      </c>
      <c r="C77" s="49">
        <f>AVERAGE('23.08 Lumino-Musita-24h'!C77,'26.08 Lumino-Musita-24h'!C77)</f>
        <v>1.5</v>
      </c>
      <c r="D77" s="49">
        <f>AVERAGE('23.08 Lumino-Musita-24h'!D77,'26.08 Lumino-Musita-24h'!D77)</f>
        <v>0</v>
      </c>
      <c r="E77" s="49">
        <f>AVERAGE('23.08 Lumino-Musita-24h'!E77,'26.08 Lumino-Musita-24h'!E77)</f>
        <v>0</v>
      </c>
      <c r="F77" s="49">
        <f>AVERAGE('23.08 Lumino-Musita-24h'!F77,'26.08 Lumino-Musita-24h'!F77)</f>
        <v>0.5</v>
      </c>
      <c r="G77" s="49">
        <f>AVERAGE('23.08 Lumino-Musita-24h'!G77,'26.08 Lumino-Musita-24h'!G77)</f>
        <v>0</v>
      </c>
      <c r="H77" s="49">
        <f>AVERAGE('23.08 Lumino-Musita-24h'!H77,'26.08 Lumino-Musita-24h'!H77)</f>
        <v>0</v>
      </c>
      <c r="I77" s="49">
        <f>AVERAGE('23.08 Lumino-Musita-24h'!I77,'26.08 Lumino-Musita-24h'!I77)</f>
        <v>1.5</v>
      </c>
      <c r="J77" s="49">
        <f>AVERAGE('23.08 Lumino-Musita-24h'!J77,'26.08 Lumino-Musita-24h'!J77)</f>
        <v>1</v>
      </c>
      <c r="K77" s="49">
        <f>AVERAGE('23.08 Lumino-Musita-24h'!K77,'26.08 Lumino-Musita-24h'!K77)</f>
        <v>1</v>
      </c>
      <c r="L77" s="49">
        <f>AVERAGE('23.08 Lumino-Musita-24h'!L77,'26.08 Lumino-Musita-24h'!L77)</f>
        <v>2</v>
      </c>
      <c r="M77" s="49">
        <f>AVERAGE('23.08 Lumino-Musita-24h'!M77,'26.08 Lumino-Musita-24h'!M77)</f>
        <v>6</v>
      </c>
      <c r="N77" s="49">
        <f>AVERAGE('23.08 Lumino-Musita-24h'!N77,'26.08 Lumino-Musita-24h'!N77)</f>
        <v>0</v>
      </c>
      <c r="O77" s="15">
        <f t="shared" si="35"/>
        <v>7.5</v>
      </c>
      <c r="P77" s="15">
        <f t="shared" si="36"/>
        <v>13.5</v>
      </c>
      <c r="R77" s="8"/>
      <c r="T77"/>
    </row>
    <row r="78" spans="2:20" ht="23.1" customHeight="1" x14ac:dyDescent="0.25">
      <c r="B78" s="24" t="s">
        <v>118</v>
      </c>
      <c r="C78" s="49">
        <f>AVERAGE('23.08 Lumino-Musita-24h'!C78,'26.08 Lumino-Musita-24h'!C78)</f>
        <v>0</v>
      </c>
      <c r="D78" s="49">
        <f>AVERAGE('23.08 Lumino-Musita-24h'!D78,'26.08 Lumino-Musita-24h'!D78)</f>
        <v>0</v>
      </c>
      <c r="E78" s="49">
        <f>AVERAGE('23.08 Lumino-Musita-24h'!E78,'26.08 Lumino-Musita-24h'!E78)</f>
        <v>0</v>
      </c>
      <c r="F78" s="49">
        <f>AVERAGE('23.08 Lumino-Musita-24h'!F78,'26.08 Lumino-Musita-24h'!F78)</f>
        <v>0</v>
      </c>
      <c r="G78" s="49">
        <f>AVERAGE('23.08 Lumino-Musita-24h'!G78,'26.08 Lumino-Musita-24h'!G78)</f>
        <v>0.5</v>
      </c>
      <c r="H78" s="49">
        <f>AVERAGE('23.08 Lumino-Musita-24h'!H78,'26.08 Lumino-Musita-24h'!H78)</f>
        <v>1</v>
      </c>
      <c r="I78" s="49">
        <f>AVERAGE('23.08 Lumino-Musita-24h'!I78,'26.08 Lumino-Musita-24h'!I78)</f>
        <v>0.5</v>
      </c>
      <c r="J78" s="49">
        <f>AVERAGE('23.08 Lumino-Musita-24h'!J78,'26.08 Lumino-Musita-24h'!J78)</f>
        <v>1</v>
      </c>
      <c r="K78" s="49">
        <f>AVERAGE('23.08 Lumino-Musita-24h'!K78,'26.08 Lumino-Musita-24h'!K78)</f>
        <v>0.5</v>
      </c>
      <c r="L78" s="49">
        <f>AVERAGE('23.08 Lumino-Musita-24h'!L78,'26.08 Lumino-Musita-24h'!L78)</f>
        <v>0.5</v>
      </c>
      <c r="M78" s="49">
        <f>AVERAGE('23.08 Lumino-Musita-24h'!M78,'26.08 Lumino-Musita-24h'!M78)</f>
        <v>2.5</v>
      </c>
      <c r="N78" s="49">
        <f>AVERAGE('23.08 Lumino-Musita-24h'!N78,'26.08 Lumino-Musita-24h'!N78)</f>
        <v>0</v>
      </c>
      <c r="O78" s="15">
        <f t="shared" si="35"/>
        <v>4</v>
      </c>
      <c r="P78" s="15">
        <f t="shared" si="36"/>
        <v>6.5</v>
      </c>
      <c r="R78" s="8"/>
      <c r="T78"/>
    </row>
    <row r="79" spans="2:20" ht="23.1" customHeight="1" x14ac:dyDescent="0.25">
      <c r="B79" s="23" t="s">
        <v>119</v>
      </c>
      <c r="C79" s="49">
        <f>AVERAGE('23.08 Lumino-Musita-24h'!C79,'26.08 Lumino-Musita-24h'!C79)</f>
        <v>0.5</v>
      </c>
      <c r="D79" s="49">
        <f>AVERAGE('23.08 Lumino-Musita-24h'!D79,'26.08 Lumino-Musita-24h'!D79)</f>
        <v>0</v>
      </c>
      <c r="E79" s="49">
        <f>AVERAGE('23.08 Lumino-Musita-24h'!E79,'26.08 Lumino-Musita-24h'!E79)</f>
        <v>1.5</v>
      </c>
      <c r="F79" s="49">
        <f>AVERAGE('23.08 Lumino-Musita-24h'!F79,'26.08 Lumino-Musita-24h'!F79)</f>
        <v>0</v>
      </c>
      <c r="G79" s="49">
        <f>AVERAGE('23.08 Lumino-Musita-24h'!G79,'26.08 Lumino-Musita-24h'!G79)</f>
        <v>0</v>
      </c>
      <c r="H79" s="49">
        <f>AVERAGE('23.08 Lumino-Musita-24h'!H79,'26.08 Lumino-Musita-24h'!H79)</f>
        <v>0</v>
      </c>
      <c r="I79" s="49">
        <f>AVERAGE('23.08 Lumino-Musita-24h'!I79,'26.08 Lumino-Musita-24h'!I79)</f>
        <v>0</v>
      </c>
      <c r="J79" s="49">
        <f>AVERAGE('23.08 Lumino-Musita-24h'!J79,'26.08 Lumino-Musita-24h'!J79)</f>
        <v>0</v>
      </c>
      <c r="K79" s="49">
        <f>AVERAGE('23.08 Lumino-Musita-24h'!K79,'26.08 Lumino-Musita-24h'!K79)</f>
        <v>1</v>
      </c>
      <c r="L79" s="49">
        <f>AVERAGE('23.08 Lumino-Musita-24h'!L79,'26.08 Lumino-Musita-24h'!L79)</f>
        <v>2</v>
      </c>
      <c r="M79" s="49">
        <f>AVERAGE('23.08 Lumino-Musita-24h'!M79,'26.08 Lumino-Musita-24h'!M79)</f>
        <v>1</v>
      </c>
      <c r="N79" s="49">
        <f>AVERAGE('23.08 Lumino-Musita-24h'!N79,'26.08 Lumino-Musita-24h'!N79)</f>
        <v>0</v>
      </c>
      <c r="O79" s="15">
        <f t="shared" si="35"/>
        <v>5</v>
      </c>
      <c r="P79" s="15">
        <f t="shared" si="36"/>
        <v>6</v>
      </c>
      <c r="R79" s="8"/>
      <c r="T79"/>
    </row>
    <row r="80" spans="2:20" ht="23.1" customHeight="1" x14ac:dyDescent="0.25">
      <c r="B80" s="25" t="s">
        <v>120</v>
      </c>
      <c r="C80" s="49">
        <f>AVERAGE('23.08 Lumino-Musita-24h'!C80,'26.08 Lumino-Musita-24h'!C80)</f>
        <v>0</v>
      </c>
      <c r="D80" s="49">
        <f>AVERAGE('23.08 Lumino-Musita-24h'!D80,'26.08 Lumino-Musita-24h'!D80)</f>
        <v>0</v>
      </c>
      <c r="E80" s="49">
        <f>AVERAGE('23.08 Lumino-Musita-24h'!E80,'26.08 Lumino-Musita-24h'!E80)</f>
        <v>0.5</v>
      </c>
      <c r="F80" s="49">
        <f>AVERAGE('23.08 Lumino-Musita-24h'!F80,'26.08 Lumino-Musita-24h'!F80)</f>
        <v>0</v>
      </c>
      <c r="G80" s="49">
        <f>AVERAGE('23.08 Lumino-Musita-24h'!G80,'26.08 Lumino-Musita-24h'!G80)</f>
        <v>0</v>
      </c>
      <c r="H80" s="49">
        <f>AVERAGE('23.08 Lumino-Musita-24h'!H80,'26.08 Lumino-Musita-24h'!H80)</f>
        <v>0</v>
      </c>
      <c r="I80" s="49">
        <f>AVERAGE('23.08 Lumino-Musita-24h'!I80,'26.08 Lumino-Musita-24h'!I80)</f>
        <v>1</v>
      </c>
      <c r="J80" s="49">
        <f>AVERAGE('23.08 Lumino-Musita-24h'!J80,'26.08 Lumino-Musita-24h'!J80)</f>
        <v>0.5</v>
      </c>
      <c r="K80" s="49">
        <f>AVERAGE('23.08 Lumino-Musita-24h'!K80,'26.08 Lumino-Musita-24h'!K80)</f>
        <v>1</v>
      </c>
      <c r="L80" s="49">
        <f>AVERAGE('23.08 Lumino-Musita-24h'!L80,'26.08 Lumino-Musita-24h'!L80)</f>
        <v>1.5</v>
      </c>
      <c r="M80" s="49">
        <f>AVERAGE('23.08 Lumino-Musita-24h'!M80,'26.08 Lumino-Musita-24h'!M80)</f>
        <v>0</v>
      </c>
      <c r="N80" s="49">
        <f>AVERAGE('23.08 Lumino-Musita-24h'!N80,'26.08 Lumino-Musita-24h'!N80)</f>
        <v>0</v>
      </c>
      <c r="O80" s="15">
        <f t="shared" si="35"/>
        <v>4.5</v>
      </c>
      <c r="P80" s="15">
        <f t="shared" si="36"/>
        <v>4.5</v>
      </c>
      <c r="R80" s="8"/>
      <c r="T80"/>
    </row>
    <row r="81" spans="2:20" ht="23.1" customHeight="1" x14ac:dyDescent="0.25">
      <c r="B81" s="23" t="s">
        <v>121</v>
      </c>
      <c r="C81" s="49">
        <f>AVERAGE('23.08 Lumino-Musita-24h'!C81,'26.08 Lumino-Musita-24h'!C81)</f>
        <v>1.5</v>
      </c>
      <c r="D81" s="49">
        <f>AVERAGE('23.08 Lumino-Musita-24h'!D81,'26.08 Lumino-Musita-24h'!D81)</f>
        <v>0</v>
      </c>
      <c r="E81" s="49">
        <f>AVERAGE('23.08 Lumino-Musita-24h'!E81,'26.08 Lumino-Musita-24h'!E81)</f>
        <v>0</v>
      </c>
      <c r="F81" s="49">
        <f>AVERAGE('23.08 Lumino-Musita-24h'!F81,'26.08 Lumino-Musita-24h'!F81)</f>
        <v>0</v>
      </c>
      <c r="G81" s="49">
        <f>AVERAGE('23.08 Lumino-Musita-24h'!G81,'26.08 Lumino-Musita-24h'!G81)</f>
        <v>0</v>
      </c>
      <c r="H81" s="49">
        <f>AVERAGE('23.08 Lumino-Musita-24h'!H81,'26.08 Lumino-Musita-24h'!H81)</f>
        <v>0</v>
      </c>
      <c r="I81" s="49">
        <f>AVERAGE('23.08 Lumino-Musita-24h'!I81,'26.08 Lumino-Musita-24h'!I81)</f>
        <v>0.5</v>
      </c>
      <c r="J81" s="49">
        <f>AVERAGE('23.08 Lumino-Musita-24h'!J81,'26.08 Lumino-Musita-24h'!J81)</f>
        <v>0</v>
      </c>
      <c r="K81" s="49">
        <f>AVERAGE('23.08 Lumino-Musita-24h'!K81,'26.08 Lumino-Musita-24h'!K81)</f>
        <v>0</v>
      </c>
      <c r="L81" s="49">
        <f>AVERAGE('23.08 Lumino-Musita-24h'!L81,'26.08 Lumino-Musita-24h'!L81)</f>
        <v>1</v>
      </c>
      <c r="M81" s="49">
        <f>AVERAGE('23.08 Lumino-Musita-24h'!M81,'26.08 Lumino-Musita-24h'!M81)</f>
        <v>0</v>
      </c>
      <c r="N81" s="49">
        <f>AVERAGE('23.08 Lumino-Musita-24h'!N81,'26.08 Lumino-Musita-24h'!N81)</f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24" t="s">
        <v>122</v>
      </c>
      <c r="C82" s="49">
        <f>AVERAGE('23.08 Lumino-Musita-24h'!C82,'26.08 Lumino-Musita-24h'!C82)</f>
        <v>2</v>
      </c>
      <c r="D82" s="49">
        <f>AVERAGE('23.08 Lumino-Musita-24h'!D82,'26.08 Lumino-Musita-24h'!D82)</f>
        <v>0.5</v>
      </c>
      <c r="E82" s="49">
        <f>AVERAGE('23.08 Lumino-Musita-24h'!E82,'26.08 Lumino-Musita-24h'!E82)</f>
        <v>0</v>
      </c>
      <c r="F82" s="49">
        <f>AVERAGE('23.08 Lumino-Musita-24h'!F82,'26.08 Lumino-Musita-24h'!F82)</f>
        <v>0</v>
      </c>
      <c r="G82" s="49">
        <f>AVERAGE('23.08 Lumino-Musita-24h'!G82,'26.08 Lumino-Musita-24h'!G82)</f>
        <v>0</v>
      </c>
      <c r="H82" s="49">
        <f>AVERAGE('23.08 Lumino-Musita-24h'!H82,'26.08 Lumino-Musita-24h'!H82)</f>
        <v>0</v>
      </c>
      <c r="I82" s="49">
        <f>AVERAGE('23.08 Lumino-Musita-24h'!I82,'26.08 Lumino-Musita-24h'!I82)</f>
        <v>0</v>
      </c>
      <c r="J82" s="49">
        <f>AVERAGE('23.08 Lumino-Musita-24h'!J82,'26.08 Lumino-Musita-24h'!J82)</f>
        <v>1</v>
      </c>
      <c r="K82" s="49">
        <f>AVERAGE('23.08 Lumino-Musita-24h'!K82,'26.08 Lumino-Musita-24h'!K82)</f>
        <v>0.5</v>
      </c>
      <c r="L82" s="49">
        <f>AVERAGE('23.08 Lumino-Musita-24h'!L82,'26.08 Lumino-Musita-24h'!L82)</f>
        <v>0.5</v>
      </c>
      <c r="M82" s="49">
        <f>AVERAGE('23.08 Lumino-Musita-24h'!M82,'26.08 Lumino-Musita-24h'!M82)</f>
        <v>0</v>
      </c>
      <c r="N82" s="49">
        <f>AVERAGE('23.08 Lumino-Musita-24h'!N82,'26.08 Lumino-Musita-24h'!N82)</f>
        <v>0</v>
      </c>
      <c r="O82" s="15">
        <f t="shared" si="35"/>
        <v>4.5</v>
      </c>
      <c r="P82" s="15">
        <f t="shared" si="36"/>
        <v>4.5</v>
      </c>
      <c r="R82" s="8"/>
      <c r="T82"/>
    </row>
    <row r="83" spans="2:20" ht="23.1" customHeight="1" x14ac:dyDescent="0.25">
      <c r="B83" s="23" t="s">
        <v>123</v>
      </c>
      <c r="C83" s="49">
        <f>AVERAGE('23.08 Lumino-Musita-24h'!C83,'26.08 Lumino-Musita-24h'!C83)</f>
        <v>0</v>
      </c>
      <c r="D83" s="49">
        <f>AVERAGE('23.08 Lumino-Musita-24h'!D83,'26.08 Lumino-Musita-24h'!D83)</f>
        <v>1</v>
      </c>
      <c r="E83" s="49">
        <f>AVERAGE('23.08 Lumino-Musita-24h'!E83,'26.08 Lumino-Musita-24h'!E83)</f>
        <v>0</v>
      </c>
      <c r="F83" s="49">
        <f>AVERAGE('23.08 Lumino-Musita-24h'!F83,'26.08 Lumino-Musita-24h'!F83)</f>
        <v>0</v>
      </c>
      <c r="G83" s="49">
        <f>AVERAGE('23.08 Lumino-Musita-24h'!G83,'26.08 Lumino-Musita-24h'!G83)</f>
        <v>0</v>
      </c>
      <c r="H83" s="49">
        <f>AVERAGE('23.08 Lumino-Musita-24h'!H83,'26.08 Lumino-Musita-24h'!H83)</f>
        <v>0</v>
      </c>
      <c r="I83" s="49">
        <f>AVERAGE('23.08 Lumino-Musita-24h'!I83,'26.08 Lumino-Musita-24h'!I83)</f>
        <v>0</v>
      </c>
      <c r="J83" s="49">
        <f>AVERAGE('23.08 Lumino-Musita-24h'!J83,'26.08 Lumino-Musita-24h'!J83)</f>
        <v>0</v>
      </c>
      <c r="K83" s="49">
        <f>AVERAGE('23.08 Lumino-Musita-24h'!K83,'26.08 Lumino-Musita-24h'!K83)</f>
        <v>0.5</v>
      </c>
      <c r="L83" s="49">
        <f>AVERAGE('23.08 Lumino-Musita-24h'!L83,'26.08 Lumino-Musita-24h'!L83)</f>
        <v>0.5</v>
      </c>
      <c r="M83" s="49">
        <f>AVERAGE('23.08 Lumino-Musita-24h'!M83,'26.08 Lumino-Musita-24h'!M83)</f>
        <v>0</v>
      </c>
      <c r="N83" s="49">
        <f>AVERAGE('23.08 Lumino-Musita-24h'!N83,'26.08 Lumino-Musita-24h'!N83)</f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AVERAGE('23.08 Lumino-Musita-24h'!C84,'26.08 Lumino-Musita-24h'!C84)</f>
        <v>0</v>
      </c>
      <c r="D84" s="49">
        <f>AVERAGE('23.08 Lumino-Musita-24h'!D84,'26.08 Lumino-Musita-24h'!D84)</f>
        <v>0</v>
      </c>
      <c r="E84" s="49">
        <f>AVERAGE('23.08 Lumino-Musita-24h'!E84,'26.08 Lumino-Musita-24h'!E84)</f>
        <v>0</v>
      </c>
      <c r="F84" s="49">
        <f>AVERAGE('23.08 Lumino-Musita-24h'!F84,'26.08 Lumino-Musita-24h'!F84)</f>
        <v>0</v>
      </c>
      <c r="G84" s="49">
        <f>AVERAGE('23.08 Lumino-Musita-24h'!G84,'26.08 Lumino-Musita-24h'!G84)</f>
        <v>0</v>
      </c>
      <c r="H84" s="49">
        <f>AVERAGE('23.08 Lumino-Musita-24h'!H84,'26.08 Lumino-Musita-24h'!H84)</f>
        <v>0</v>
      </c>
      <c r="I84" s="49">
        <f>AVERAGE('23.08 Lumino-Musita-24h'!I84,'26.08 Lumino-Musita-24h'!I84)</f>
        <v>2</v>
      </c>
      <c r="J84" s="49">
        <f>AVERAGE('23.08 Lumino-Musita-24h'!J84,'26.08 Lumino-Musita-24h'!J84)</f>
        <v>0</v>
      </c>
      <c r="K84" s="49">
        <f>AVERAGE('23.08 Lumino-Musita-24h'!K84,'26.08 Lumino-Musita-24h'!K84)</f>
        <v>0</v>
      </c>
      <c r="L84" s="49">
        <f>AVERAGE('23.08 Lumino-Musita-24h'!L84,'26.08 Lumino-Musita-24h'!L84)</f>
        <v>1</v>
      </c>
      <c r="M84" s="49">
        <f>AVERAGE('23.08 Lumino-Musita-24h'!M84,'26.08 Lumino-Musita-24h'!M84)</f>
        <v>0</v>
      </c>
      <c r="N84" s="49">
        <f>AVERAGE('23.08 Lumino-Musita-24h'!N84,'26.08 Lumino-Musita-24h'!N84)</f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AVERAGE('23.08 Lumino-Musita-24h'!C85,'26.08 Lumino-Musita-24h'!C85)</f>
        <v>0</v>
      </c>
      <c r="D85" s="49">
        <f>AVERAGE('23.08 Lumino-Musita-24h'!D85,'26.08 Lumino-Musita-24h'!D85)</f>
        <v>0</v>
      </c>
      <c r="E85" s="49">
        <f>AVERAGE('23.08 Lumino-Musita-24h'!E85,'26.08 Lumino-Musita-24h'!E85)</f>
        <v>0.5</v>
      </c>
      <c r="F85" s="49">
        <f>AVERAGE('23.08 Lumino-Musita-24h'!F85,'26.08 Lumino-Musita-24h'!F85)</f>
        <v>0</v>
      </c>
      <c r="G85" s="49">
        <f>AVERAGE('23.08 Lumino-Musita-24h'!G85,'26.08 Lumino-Musita-24h'!G85)</f>
        <v>0</v>
      </c>
      <c r="H85" s="49">
        <f>AVERAGE('23.08 Lumino-Musita-24h'!H85,'26.08 Lumino-Musita-24h'!H85)</f>
        <v>0</v>
      </c>
      <c r="I85" s="49">
        <f>AVERAGE('23.08 Lumino-Musita-24h'!I85,'26.08 Lumino-Musita-24h'!I85)</f>
        <v>0</v>
      </c>
      <c r="J85" s="49">
        <f>AVERAGE('23.08 Lumino-Musita-24h'!J85,'26.08 Lumino-Musita-24h'!J85)</f>
        <v>0.5</v>
      </c>
      <c r="K85" s="49">
        <f>AVERAGE('23.08 Lumino-Musita-24h'!K85,'26.08 Lumino-Musita-24h'!K85)</f>
        <v>0</v>
      </c>
      <c r="L85" s="49">
        <f>AVERAGE('23.08 Lumino-Musita-24h'!L85,'26.08 Lumino-Musita-24h'!L85)</f>
        <v>0</v>
      </c>
      <c r="M85" s="49">
        <f>AVERAGE('23.08 Lumino-Musita-24h'!M85,'26.08 Lumino-Musita-24h'!M85)</f>
        <v>0</v>
      </c>
      <c r="N85" s="49">
        <f>AVERAGE('23.08 Lumino-Musita-24h'!N85,'26.08 Lumino-Musita-24h'!N85)</f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24" t="s">
        <v>126</v>
      </c>
      <c r="C86" s="49">
        <f>AVERAGE('23.08 Lumino-Musita-24h'!C86,'26.08 Lumino-Musita-24h'!C86)</f>
        <v>1</v>
      </c>
      <c r="D86" s="49">
        <f>AVERAGE('23.08 Lumino-Musita-24h'!D86,'26.08 Lumino-Musita-24h'!D86)</f>
        <v>0</v>
      </c>
      <c r="E86" s="49">
        <f>AVERAGE('23.08 Lumino-Musita-24h'!E86,'26.08 Lumino-Musita-24h'!E86)</f>
        <v>0</v>
      </c>
      <c r="F86" s="49">
        <f>AVERAGE('23.08 Lumino-Musita-24h'!F86,'26.08 Lumino-Musita-24h'!F86)</f>
        <v>0</v>
      </c>
      <c r="G86" s="49">
        <f>AVERAGE('23.08 Lumino-Musita-24h'!G86,'26.08 Lumino-Musita-24h'!G86)</f>
        <v>0</v>
      </c>
      <c r="H86" s="49">
        <f>AVERAGE('23.08 Lumino-Musita-24h'!H86,'26.08 Lumino-Musita-24h'!H86)</f>
        <v>0</v>
      </c>
      <c r="I86" s="49">
        <f>AVERAGE('23.08 Lumino-Musita-24h'!I86,'26.08 Lumino-Musita-24h'!I86)</f>
        <v>0</v>
      </c>
      <c r="J86" s="49">
        <f>AVERAGE('23.08 Lumino-Musita-24h'!J86,'26.08 Lumino-Musita-24h'!J86)</f>
        <v>0</v>
      </c>
      <c r="K86" s="49">
        <f>AVERAGE('23.08 Lumino-Musita-24h'!K86,'26.08 Lumino-Musita-24h'!K86)</f>
        <v>1</v>
      </c>
      <c r="L86" s="49">
        <f>AVERAGE('23.08 Lumino-Musita-24h'!L86,'26.08 Lumino-Musita-24h'!L86)</f>
        <v>0.5</v>
      </c>
      <c r="M86" s="49">
        <f>AVERAGE('23.08 Lumino-Musita-24h'!M86,'26.08 Lumino-Musita-24h'!M86)</f>
        <v>0</v>
      </c>
      <c r="N86" s="49">
        <f>AVERAGE('23.08 Lumino-Musita-24h'!N86,'26.08 Lumino-Musita-24h'!N86)</f>
        <v>0</v>
      </c>
      <c r="O86" s="15">
        <f t="shared" si="35"/>
        <v>2.5</v>
      </c>
      <c r="P86" s="15">
        <f t="shared" si="36"/>
        <v>2.5</v>
      </c>
      <c r="R86" s="8"/>
      <c r="T86"/>
    </row>
    <row r="87" spans="2:20" ht="23.1" customHeight="1" x14ac:dyDescent="0.25">
      <c r="B87" s="23" t="s">
        <v>127</v>
      </c>
      <c r="C87" s="49">
        <f>AVERAGE('23.08 Lumino-Musita-24h'!C87,'26.08 Lumino-Musita-24h'!C87)</f>
        <v>0</v>
      </c>
      <c r="D87" s="49">
        <f>AVERAGE('23.08 Lumino-Musita-24h'!D87,'26.08 Lumino-Musita-24h'!D87)</f>
        <v>1</v>
      </c>
      <c r="E87" s="49">
        <f>AVERAGE('23.08 Lumino-Musita-24h'!E87,'26.08 Lumino-Musita-24h'!E87)</f>
        <v>0.5</v>
      </c>
      <c r="F87" s="49">
        <f>AVERAGE('23.08 Lumino-Musita-24h'!F87,'26.08 Lumino-Musita-24h'!F87)</f>
        <v>0</v>
      </c>
      <c r="G87" s="49">
        <f>AVERAGE('23.08 Lumino-Musita-24h'!G87,'26.08 Lumino-Musita-24h'!G87)</f>
        <v>0</v>
      </c>
      <c r="H87" s="49">
        <f>AVERAGE('23.08 Lumino-Musita-24h'!H87,'26.08 Lumino-Musita-24h'!H87)</f>
        <v>0</v>
      </c>
      <c r="I87" s="49">
        <f>AVERAGE('23.08 Lumino-Musita-24h'!I87,'26.08 Lumino-Musita-24h'!I87)</f>
        <v>0</v>
      </c>
      <c r="J87" s="49">
        <f>AVERAGE('23.08 Lumino-Musita-24h'!J87,'26.08 Lumino-Musita-24h'!J87)</f>
        <v>0</v>
      </c>
      <c r="K87" s="49">
        <f>AVERAGE('23.08 Lumino-Musita-24h'!K87,'26.08 Lumino-Musita-24h'!K87)</f>
        <v>0</v>
      </c>
      <c r="L87" s="49">
        <f>AVERAGE('23.08 Lumino-Musita-24h'!L87,'26.08 Lumino-Musita-24h'!L87)</f>
        <v>0</v>
      </c>
      <c r="M87" s="49">
        <f>AVERAGE('23.08 Lumino-Musita-24h'!M87,'26.08 Lumino-Musita-24h'!M87)</f>
        <v>0</v>
      </c>
      <c r="N87" s="49">
        <f>AVERAGE('23.08 Lumino-Musita-24h'!N87,'26.08 Lumino-Musita-24h'!N87)</f>
        <v>0</v>
      </c>
      <c r="O87" s="15">
        <f t="shared" si="35"/>
        <v>1.5</v>
      </c>
      <c r="P87" s="15">
        <f t="shared" si="36"/>
        <v>1.5</v>
      </c>
      <c r="R87" s="8"/>
      <c r="T87"/>
    </row>
    <row r="88" spans="2:20" ht="23.1" customHeight="1" x14ac:dyDescent="0.25">
      <c r="B88" s="25" t="s">
        <v>128</v>
      </c>
      <c r="C88" s="49">
        <f>AVERAGE('23.08 Lumino-Musita-24h'!C88,'26.08 Lumino-Musita-24h'!C88)</f>
        <v>0</v>
      </c>
      <c r="D88" s="49">
        <f>AVERAGE('23.08 Lumino-Musita-24h'!D88,'26.08 Lumino-Musita-24h'!D88)</f>
        <v>0</v>
      </c>
      <c r="E88" s="49">
        <f>AVERAGE('23.08 Lumino-Musita-24h'!E88,'26.08 Lumino-Musita-24h'!E88)</f>
        <v>0</v>
      </c>
      <c r="F88" s="49">
        <f>AVERAGE('23.08 Lumino-Musita-24h'!F88,'26.08 Lumino-Musita-24h'!F88)</f>
        <v>0</v>
      </c>
      <c r="G88" s="49">
        <f>AVERAGE('23.08 Lumino-Musita-24h'!G88,'26.08 Lumino-Musita-24h'!G88)</f>
        <v>0</v>
      </c>
      <c r="H88" s="49">
        <f>AVERAGE('23.08 Lumino-Musita-24h'!H88,'26.08 Lumino-Musita-24h'!H88)</f>
        <v>0</v>
      </c>
      <c r="I88" s="49">
        <f>AVERAGE('23.08 Lumino-Musita-24h'!I88,'26.08 Lumino-Musita-24h'!I88)</f>
        <v>0</v>
      </c>
      <c r="J88" s="49">
        <f>AVERAGE('23.08 Lumino-Musita-24h'!J88,'26.08 Lumino-Musita-24h'!J88)</f>
        <v>0.5</v>
      </c>
      <c r="K88" s="49">
        <f>AVERAGE('23.08 Lumino-Musita-24h'!K88,'26.08 Lumino-Musita-24h'!K88)</f>
        <v>1</v>
      </c>
      <c r="L88" s="49">
        <f>AVERAGE('23.08 Lumino-Musita-24h'!L88,'26.08 Lumino-Musita-24h'!L88)</f>
        <v>1</v>
      </c>
      <c r="M88" s="49">
        <f>AVERAGE('23.08 Lumino-Musita-24h'!M88,'26.08 Lumino-Musita-24h'!M88)</f>
        <v>1</v>
      </c>
      <c r="N88" s="49">
        <f>AVERAGE('23.08 Lumino-Musita-24h'!N88,'26.08 Lumino-Musita-24h'!N88)</f>
        <v>0</v>
      </c>
      <c r="O88" s="15">
        <f t="shared" si="35"/>
        <v>2.5</v>
      </c>
      <c r="P88" s="15">
        <f t="shared" si="36"/>
        <v>3.5</v>
      </c>
      <c r="R88" s="8"/>
      <c r="T88"/>
    </row>
    <row r="89" spans="2:20" ht="23.1" customHeight="1" x14ac:dyDescent="0.25">
      <c r="B89" s="23" t="s">
        <v>129</v>
      </c>
      <c r="C89" s="49">
        <f>AVERAGE('23.08 Lumino-Musita-24h'!C89,'26.08 Lumino-Musita-24h'!C89)</f>
        <v>0</v>
      </c>
      <c r="D89" s="49">
        <f>AVERAGE('23.08 Lumino-Musita-24h'!D89,'26.08 Lumino-Musita-24h'!D89)</f>
        <v>0</v>
      </c>
      <c r="E89" s="49">
        <f>AVERAGE('23.08 Lumino-Musita-24h'!E89,'26.08 Lumino-Musita-24h'!E89)</f>
        <v>0</v>
      </c>
      <c r="F89" s="49">
        <f>AVERAGE('23.08 Lumino-Musita-24h'!F89,'26.08 Lumino-Musita-24h'!F89)</f>
        <v>1</v>
      </c>
      <c r="G89" s="49">
        <f>AVERAGE('23.08 Lumino-Musita-24h'!G89,'26.08 Lumino-Musita-24h'!G89)</f>
        <v>0</v>
      </c>
      <c r="H89" s="49">
        <f>AVERAGE('23.08 Lumino-Musita-24h'!H89,'26.08 Lumino-Musita-24h'!H89)</f>
        <v>0</v>
      </c>
      <c r="I89" s="49">
        <f>AVERAGE('23.08 Lumino-Musita-24h'!I89,'26.08 Lumino-Musita-24h'!I89)</f>
        <v>1</v>
      </c>
      <c r="J89" s="49">
        <f>AVERAGE('23.08 Lumino-Musita-24h'!J89,'26.08 Lumino-Musita-24h'!J89)</f>
        <v>0</v>
      </c>
      <c r="K89" s="49">
        <f>AVERAGE('23.08 Lumino-Musita-24h'!K89,'26.08 Lumino-Musita-24h'!K89)</f>
        <v>1.5</v>
      </c>
      <c r="L89" s="49">
        <f>AVERAGE('23.08 Lumino-Musita-24h'!L89,'26.08 Lumino-Musita-24h'!L89)</f>
        <v>0</v>
      </c>
      <c r="M89" s="49">
        <f>AVERAGE('23.08 Lumino-Musita-24h'!M89,'26.08 Lumino-Musita-24h'!M89)</f>
        <v>0</v>
      </c>
      <c r="N89" s="49">
        <f>AVERAGE('23.08 Lumino-Musita-24h'!N89,'26.08 Lumino-Musita-24h'!N89)</f>
        <v>0</v>
      </c>
      <c r="O89" s="15">
        <f t="shared" si="35"/>
        <v>3.5</v>
      </c>
      <c r="P89" s="15">
        <f t="shared" si="36"/>
        <v>3.5</v>
      </c>
      <c r="R89" s="8"/>
      <c r="T89"/>
    </row>
    <row r="90" spans="2:20" ht="23.1" customHeight="1" x14ac:dyDescent="0.25">
      <c r="B90" s="24" t="s">
        <v>130</v>
      </c>
      <c r="C90" s="49">
        <f>AVERAGE('23.08 Lumino-Musita-24h'!C90,'26.08 Lumino-Musita-24h'!C90)</f>
        <v>0</v>
      </c>
      <c r="D90" s="49">
        <f>AVERAGE('23.08 Lumino-Musita-24h'!D90,'26.08 Lumino-Musita-24h'!D90)</f>
        <v>0</v>
      </c>
      <c r="E90" s="49">
        <f>AVERAGE('23.08 Lumino-Musita-24h'!E90,'26.08 Lumino-Musita-24h'!E90)</f>
        <v>0</v>
      </c>
      <c r="F90" s="49">
        <f>AVERAGE('23.08 Lumino-Musita-24h'!F90,'26.08 Lumino-Musita-24h'!F90)</f>
        <v>0</v>
      </c>
      <c r="G90" s="49">
        <f>AVERAGE('23.08 Lumino-Musita-24h'!G90,'26.08 Lumino-Musita-24h'!G90)</f>
        <v>0</v>
      </c>
      <c r="H90" s="49">
        <f>AVERAGE('23.08 Lumino-Musita-24h'!H90,'26.08 Lumino-Musita-24h'!H90)</f>
        <v>0</v>
      </c>
      <c r="I90" s="49">
        <f>AVERAGE('23.08 Lumino-Musita-24h'!I90,'26.08 Lumino-Musita-24h'!I90)</f>
        <v>0</v>
      </c>
      <c r="J90" s="49">
        <f>AVERAGE('23.08 Lumino-Musita-24h'!J90,'26.08 Lumino-Musita-24h'!J90)</f>
        <v>0</v>
      </c>
      <c r="K90" s="49">
        <f>AVERAGE('23.08 Lumino-Musita-24h'!K90,'26.08 Lumino-Musita-24h'!K90)</f>
        <v>0</v>
      </c>
      <c r="L90" s="49">
        <f>AVERAGE('23.08 Lumino-Musita-24h'!L90,'26.08 Lumino-Musita-24h'!L90)</f>
        <v>0.5</v>
      </c>
      <c r="M90" s="49">
        <f>AVERAGE('23.08 Lumino-Musita-24h'!M90,'26.08 Lumino-Musita-24h'!M90)</f>
        <v>0</v>
      </c>
      <c r="N90" s="49">
        <f>AVERAGE('23.08 Lumino-Musita-24h'!N90,'26.08 Lumino-Musita-24h'!N90)</f>
        <v>0</v>
      </c>
      <c r="O90" s="15">
        <f t="shared" si="35"/>
        <v>0.5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AVERAGE('23.08 Lumino-Musita-24h'!C91,'26.08 Lumino-Musita-24h'!C91)</f>
        <v>0.5</v>
      </c>
      <c r="D91" s="49">
        <f>AVERAGE('23.08 Lumino-Musita-24h'!D91,'26.08 Lumino-Musita-24h'!D91)</f>
        <v>1</v>
      </c>
      <c r="E91" s="49">
        <f>AVERAGE('23.08 Lumino-Musita-24h'!E91,'26.08 Lumino-Musita-24h'!E91)</f>
        <v>0</v>
      </c>
      <c r="F91" s="49">
        <f>AVERAGE('23.08 Lumino-Musita-24h'!F91,'26.08 Lumino-Musita-24h'!F91)</f>
        <v>0</v>
      </c>
      <c r="G91" s="49">
        <f>AVERAGE('23.08 Lumino-Musita-24h'!G91,'26.08 Lumino-Musita-24h'!G91)</f>
        <v>0</v>
      </c>
      <c r="H91" s="49">
        <f>AVERAGE('23.08 Lumino-Musita-24h'!H91,'26.08 Lumino-Musita-24h'!H91)</f>
        <v>0</v>
      </c>
      <c r="I91" s="49">
        <f>AVERAGE('23.08 Lumino-Musita-24h'!I91,'26.08 Lumino-Musita-24h'!I91)</f>
        <v>0</v>
      </c>
      <c r="J91" s="49">
        <f>AVERAGE('23.08 Lumino-Musita-24h'!J91,'26.08 Lumino-Musita-24h'!J91)</f>
        <v>0</v>
      </c>
      <c r="K91" s="49">
        <f>AVERAGE('23.08 Lumino-Musita-24h'!K91,'26.08 Lumino-Musita-24h'!K91)</f>
        <v>0</v>
      </c>
      <c r="L91" s="49">
        <f>AVERAGE('23.08 Lumino-Musita-24h'!L91,'26.08 Lumino-Musita-24h'!L91)</f>
        <v>0</v>
      </c>
      <c r="M91" s="49">
        <f>AVERAGE('23.08 Lumino-Musita-24h'!M91,'26.08 Lumino-Musita-24h'!M91)</f>
        <v>0</v>
      </c>
      <c r="N91" s="49">
        <f>AVERAGE('23.08 Lumino-Musita-24h'!N91,'26.08 Lumino-Musita-24h'!N91)</f>
        <v>0</v>
      </c>
      <c r="O91" s="15">
        <f t="shared" si="35"/>
        <v>1.5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AVERAGE('23.08 Lumino-Musita-24h'!C92,'26.08 Lumino-Musita-24h'!C92)</f>
        <v>0.5</v>
      </c>
      <c r="D92" s="49">
        <f>AVERAGE('23.08 Lumino-Musita-24h'!D92,'26.08 Lumino-Musita-24h'!D92)</f>
        <v>0.5</v>
      </c>
      <c r="E92" s="49">
        <f>AVERAGE('23.08 Lumino-Musita-24h'!E92,'26.08 Lumino-Musita-24h'!E92)</f>
        <v>0</v>
      </c>
      <c r="F92" s="49">
        <f>AVERAGE('23.08 Lumino-Musita-24h'!F92,'26.08 Lumino-Musita-24h'!F92)</f>
        <v>0</v>
      </c>
      <c r="G92" s="49">
        <f>AVERAGE('23.08 Lumino-Musita-24h'!G92,'26.08 Lumino-Musita-24h'!G92)</f>
        <v>0</v>
      </c>
      <c r="H92" s="49">
        <f>AVERAGE('23.08 Lumino-Musita-24h'!H92,'26.08 Lumino-Musita-24h'!H92)</f>
        <v>0.5</v>
      </c>
      <c r="I92" s="49">
        <f>AVERAGE('23.08 Lumino-Musita-24h'!I92,'26.08 Lumino-Musita-24h'!I92)</f>
        <v>1</v>
      </c>
      <c r="J92" s="49">
        <f>AVERAGE('23.08 Lumino-Musita-24h'!J92,'26.08 Lumino-Musita-24h'!J92)</f>
        <v>0</v>
      </c>
      <c r="K92" s="49">
        <f>AVERAGE('23.08 Lumino-Musita-24h'!K92,'26.08 Lumino-Musita-24h'!K92)</f>
        <v>1.5</v>
      </c>
      <c r="L92" s="49">
        <f>AVERAGE('23.08 Lumino-Musita-24h'!L92,'26.08 Lumino-Musita-24h'!L92)</f>
        <v>0.5</v>
      </c>
      <c r="M92" s="49">
        <f>AVERAGE('23.08 Lumino-Musita-24h'!M92,'26.08 Lumino-Musita-24h'!M92)</f>
        <v>0</v>
      </c>
      <c r="N92" s="49">
        <f>AVERAGE('23.08 Lumino-Musita-24h'!N92,'26.08 Lumino-Musita-24h'!N92)</f>
        <v>0</v>
      </c>
      <c r="O92" s="15">
        <f t="shared" si="35"/>
        <v>4.5</v>
      </c>
      <c r="P92" s="15">
        <f t="shared" si="36"/>
        <v>4.5</v>
      </c>
      <c r="R92" s="8"/>
      <c r="T92"/>
    </row>
    <row r="93" spans="2:20" ht="23.1" customHeight="1" x14ac:dyDescent="0.25">
      <c r="B93" s="23" t="s">
        <v>133</v>
      </c>
      <c r="C93" s="49">
        <f>AVERAGE('23.08 Lumino-Musita-24h'!C93,'26.08 Lumino-Musita-24h'!C93)</f>
        <v>1</v>
      </c>
      <c r="D93" s="49">
        <f>AVERAGE('23.08 Lumino-Musita-24h'!D93,'26.08 Lumino-Musita-24h'!D93)</f>
        <v>1</v>
      </c>
      <c r="E93" s="49">
        <f>AVERAGE('23.08 Lumino-Musita-24h'!E93,'26.08 Lumino-Musita-24h'!E93)</f>
        <v>1</v>
      </c>
      <c r="F93" s="49">
        <f>AVERAGE('23.08 Lumino-Musita-24h'!F93,'26.08 Lumino-Musita-24h'!F93)</f>
        <v>1</v>
      </c>
      <c r="G93" s="49">
        <f>AVERAGE('23.08 Lumino-Musita-24h'!G93,'26.08 Lumino-Musita-24h'!G93)</f>
        <v>0</v>
      </c>
      <c r="H93" s="49">
        <f>AVERAGE('23.08 Lumino-Musita-24h'!H93,'26.08 Lumino-Musita-24h'!H93)</f>
        <v>0</v>
      </c>
      <c r="I93" s="49">
        <f>AVERAGE('23.08 Lumino-Musita-24h'!I93,'26.08 Lumino-Musita-24h'!I93)</f>
        <v>0</v>
      </c>
      <c r="J93" s="49">
        <f>AVERAGE('23.08 Lumino-Musita-24h'!J93,'26.08 Lumino-Musita-24h'!J93)</f>
        <v>1</v>
      </c>
      <c r="K93" s="49">
        <f>AVERAGE('23.08 Lumino-Musita-24h'!K93,'26.08 Lumino-Musita-24h'!K93)</f>
        <v>0</v>
      </c>
      <c r="L93" s="49">
        <f>AVERAGE('23.08 Lumino-Musita-24h'!L93,'26.08 Lumino-Musita-24h'!L93)</f>
        <v>0</v>
      </c>
      <c r="M93" s="49">
        <f>AVERAGE('23.08 Lumino-Musita-24h'!M93,'26.08 Lumino-Musita-24h'!M93)</f>
        <v>0</v>
      </c>
      <c r="N93" s="49">
        <f>AVERAGE('23.08 Lumino-Musita-24h'!N93,'26.08 Lumino-Musita-24h'!N93)</f>
        <v>0</v>
      </c>
      <c r="O93" s="15">
        <f t="shared" si="35"/>
        <v>5</v>
      </c>
      <c r="P93" s="15">
        <f t="shared" si="36"/>
        <v>5</v>
      </c>
      <c r="R93" s="8"/>
      <c r="T93"/>
    </row>
    <row r="94" spans="2:20" ht="23.1" customHeight="1" x14ac:dyDescent="0.25">
      <c r="B94" s="24" t="s">
        <v>134</v>
      </c>
      <c r="C94" s="49">
        <f>AVERAGE('23.08 Lumino-Musita-24h'!C94,'26.08 Lumino-Musita-24h'!C94)</f>
        <v>0</v>
      </c>
      <c r="D94" s="49">
        <f>AVERAGE('23.08 Lumino-Musita-24h'!D94,'26.08 Lumino-Musita-24h'!D94)</f>
        <v>0</v>
      </c>
      <c r="E94" s="49">
        <f>AVERAGE('23.08 Lumino-Musita-24h'!E94,'26.08 Lumino-Musita-24h'!E94)</f>
        <v>0</v>
      </c>
      <c r="F94" s="49">
        <f>AVERAGE('23.08 Lumino-Musita-24h'!F94,'26.08 Lumino-Musita-24h'!F94)</f>
        <v>0</v>
      </c>
      <c r="G94" s="49">
        <f>AVERAGE('23.08 Lumino-Musita-24h'!G94,'26.08 Lumino-Musita-24h'!G94)</f>
        <v>0</v>
      </c>
      <c r="H94" s="49">
        <f>AVERAGE('23.08 Lumino-Musita-24h'!H94,'26.08 Lumino-Musita-24h'!H94)</f>
        <v>0</v>
      </c>
      <c r="I94" s="49">
        <f>AVERAGE('23.08 Lumino-Musita-24h'!I94,'26.08 Lumino-Musita-24h'!I94)</f>
        <v>1.5</v>
      </c>
      <c r="J94" s="49">
        <f>AVERAGE('23.08 Lumino-Musita-24h'!J94,'26.08 Lumino-Musita-24h'!J94)</f>
        <v>0.5</v>
      </c>
      <c r="K94" s="49">
        <f>AVERAGE('23.08 Lumino-Musita-24h'!K94,'26.08 Lumino-Musita-24h'!K94)</f>
        <v>0</v>
      </c>
      <c r="L94" s="49">
        <f>AVERAGE('23.08 Lumino-Musita-24h'!L94,'26.08 Lumino-Musita-24h'!L94)</f>
        <v>0</v>
      </c>
      <c r="M94" s="49">
        <f>AVERAGE('23.08 Lumino-Musita-24h'!M94,'26.08 Lumino-Musita-24h'!M94)</f>
        <v>0</v>
      </c>
      <c r="N94" s="49">
        <f>AVERAGE('23.08 Lumino-Musita-24h'!N94,'26.08 Lumino-Musita-24h'!N94)</f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AVERAGE('23.08 Lumino-Musita-24h'!C95,'26.08 Lumino-Musita-24h'!C95)</f>
        <v>0.5</v>
      </c>
      <c r="D95" s="49">
        <f>AVERAGE('23.08 Lumino-Musita-24h'!D95,'26.08 Lumino-Musita-24h'!D95)</f>
        <v>0</v>
      </c>
      <c r="E95" s="49">
        <f>AVERAGE('23.08 Lumino-Musita-24h'!E95,'26.08 Lumino-Musita-24h'!E95)</f>
        <v>0</v>
      </c>
      <c r="F95" s="49">
        <f>AVERAGE('23.08 Lumino-Musita-24h'!F95,'26.08 Lumino-Musita-24h'!F95)</f>
        <v>1</v>
      </c>
      <c r="G95" s="49">
        <f>AVERAGE('23.08 Lumino-Musita-24h'!G95,'26.08 Lumino-Musita-24h'!G95)</f>
        <v>0</v>
      </c>
      <c r="H95" s="49">
        <f>AVERAGE('23.08 Lumino-Musita-24h'!H95,'26.08 Lumino-Musita-24h'!H95)</f>
        <v>0</v>
      </c>
      <c r="I95" s="49">
        <f>AVERAGE('23.08 Lumino-Musita-24h'!I95,'26.08 Lumino-Musita-24h'!I95)</f>
        <v>0</v>
      </c>
      <c r="J95" s="49">
        <f>AVERAGE('23.08 Lumino-Musita-24h'!J95,'26.08 Lumino-Musita-24h'!J95)</f>
        <v>0</v>
      </c>
      <c r="K95" s="49">
        <f>AVERAGE('23.08 Lumino-Musita-24h'!K95,'26.08 Lumino-Musita-24h'!K95)</f>
        <v>0.5</v>
      </c>
      <c r="L95" s="49">
        <f>AVERAGE('23.08 Lumino-Musita-24h'!L95,'26.08 Lumino-Musita-24h'!L95)</f>
        <v>0.5</v>
      </c>
      <c r="M95" s="49">
        <f>AVERAGE('23.08 Lumino-Musita-24h'!M95,'26.08 Lumino-Musita-24h'!M95)</f>
        <v>2.5</v>
      </c>
      <c r="N95" s="49">
        <f>AVERAGE('23.08 Lumino-Musita-24h'!N95,'26.08 Lumino-Musita-24h'!N95)</f>
        <v>0</v>
      </c>
      <c r="O95" s="15">
        <f t="shared" si="35"/>
        <v>2.5</v>
      </c>
      <c r="P95" s="15">
        <f t="shared" si="36"/>
        <v>5</v>
      </c>
      <c r="R95" s="8"/>
      <c r="T95"/>
    </row>
    <row r="96" spans="2:20" ht="23.1" customHeight="1" x14ac:dyDescent="0.25">
      <c r="B96" s="25" t="s">
        <v>136</v>
      </c>
      <c r="C96" s="49">
        <f>AVERAGE('23.08 Lumino-Musita-24h'!C96,'26.08 Lumino-Musita-24h'!C96)</f>
        <v>0</v>
      </c>
      <c r="D96" s="49">
        <f>AVERAGE('23.08 Lumino-Musita-24h'!D96,'26.08 Lumino-Musita-24h'!D96)</f>
        <v>0</v>
      </c>
      <c r="E96" s="49">
        <f>AVERAGE('23.08 Lumino-Musita-24h'!E96,'26.08 Lumino-Musita-24h'!E96)</f>
        <v>0</v>
      </c>
      <c r="F96" s="49">
        <f>AVERAGE('23.08 Lumino-Musita-24h'!F96,'26.08 Lumino-Musita-24h'!F96)</f>
        <v>0.5</v>
      </c>
      <c r="G96" s="49">
        <f>AVERAGE('23.08 Lumino-Musita-24h'!G96,'26.08 Lumino-Musita-24h'!G96)</f>
        <v>0</v>
      </c>
      <c r="H96" s="49">
        <f>AVERAGE('23.08 Lumino-Musita-24h'!H96,'26.08 Lumino-Musita-24h'!H96)</f>
        <v>0</v>
      </c>
      <c r="I96" s="49">
        <f>AVERAGE('23.08 Lumino-Musita-24h'!I96,'26.08 Lumino-Musita-24h'!I96)</f>
        <v>0</v>
      </c>
      <c r="J96" s="49">
        <f>AVERAGE('23.08 Lumino-Musita-24h'!J96,'26.08 Lumino-Musita-24h'!J96)</f>
        <v>1</v>
      </c>
      <c r="K96" s="49">
        <f>AVERAGE('23.08 Lumino-Musita-24h'!K96,'26.08 Lumino-Musita-24h'!K96)</f>
        <v>0</v>
      </c>
      <c r="L96" s="49">
        <f>AVERAGE('23.08 Lumino-Musita-24h'!L96,'26.08 Lumino-Musita-24h'!L96)</f>
        <v>0.5</v>
      </c>
      <c r="M96" s="49">
        <f>AVERAGE('23.08 Lumino-Musita-24h'!M96,'26.08 Lumino-Musita-24h'!M96)</f>
        <v>2</v>
      </c>
      <c r="N96" s="49">
        <f>AVERAGE('23.08 Lumino-Musita-24h'!N96,'26.08 Lumino-Musita-24h'!N96)</f>
        <v>0</v>
      </c>
      <c r="O96" s="15">
        <f t="shared" si="35"/>
        <v>2</v>
      </c>
      <c r="P96" s="15">
        <f t="shared" si="36"/>
        <v>4</v>
      </c>
      <c r="R96" s="8"/>
      <c r="T96"/>
    </row>
    <row r="97" spans="2:20" ht="23.1" customHeight="1" x14ac:dyDescent="0.25">
      <c r="B97" s="23" t="s">
        <v>137</v>
      </c>
      <c r="C97" s="49">
        <f>AVERAGE('23.08 Lumino-Musita-24h'!C97,'26.08 Lumino-Musita-24h'!C97)</f>
        <v>1.5</v>
      </c>
      <c r="D97" s="49">
        <f>AVERAGE('23.08 Lumino-Musita-24h'!D97,'26.08 Lumino-Musita-24h'!D97)</f>
        <v>0</v>
      </c>
      <c r="E97" s="49">
        <f>AVERAGE('23.08 Lumino-Musita-24h'!E97,'26.08 Lumino-Musita-24h'!E97)</f>
        <v>1.5</v>
      </c>
      <c r="F97" s="49">
        <f>AVERAGE('23.08 Lumino-Musita-24h'!F97,'26.08 Lumino-Musita-24h'!F97)</f>
        <v>1.5</v>
      </c>
      <c r="G97" s="49">
        <f>AVERAGE('23.08 Lumino-Musita-24h'!G97,'26.08 Lumino-Musita-24h'!G97)</f>
        <v>0</v>
      </c>
      <c r="H97" s="49">
        <f>AVERAGE('23.08 Lumino-Musita-24h'!H97,'26.08 Lumino-Musita-24h'!H97)</f>
        <v>0</v>
      </c>
      <c r="I97" s="49">
        <f>AVERAGE('23.08 Lumino-Musita-24h'!I97,'26.08 Lumino-Musita-24h'!I97)</f>
        <v>1</v>
      </c>
      <c r="J97" s="49">
        <f>AVERAGE('23.08 Lumino-Musita-24h'!J97,'26.08 Lumino-Musita-24h'!J97)</f>
        <v>0.5</v>
      </c>
      <c r="K97" s="49">
        <f>AVERAGE('23.08 Lumino-Musita-24h'!K97,'26.08 Lumino-Musita-24h'!K97)</f>
        <v>1</v>
      </c>
      <c r="L97" s="49">
        <f>AVERAGE('23.08 Lumino-Musita-24h'!L97,'26.08 Lumino-Musita-24h'!L97)</f>
        <v>0</v>
      </c>
      <c r="M97" s="49">
        <f>AVERAGE('23.08 Lumino-Musita-24h'!M97,'26.08 Lumino-Musita-24h'!M97)</f>
        <v>2</v>
      </c>
      <c r="N97" s="49">
        <f>AVERAGE('23.08 Lumino-Musita-24h'!N97,'26.08 Lumino-Musita-24h'!N97)</f>
        <v>0</v>
      </c>
      <c r="O97" s="15">
        <f t="shared" si="35"/>
        <v>7</v>
      </c>
      <c r="P97" s="15">
        <f t="shared" si="36"/>
        <v>9</v>
      </c>
      <c r="R97" s="8"/>
      <c r="T97"/>
    </row>
    <row r="98" spans="2:20" ht="23.1" customHeight="1" x14ac:dyDescent="0.25">
      <c r="B98" s="24" t="s">
        <v>138</v>
      </c>
      <c r="C98" s="49">
        <f>AVERAGE('23.08 Lumino-Musita-24h'!C98,'26.08 Lumino-Musita-24h'!C98)</f>
        <v>1.5</v>
      </c>
      <c r="D98" s="49">
        <f>AVERAGE('23.08 Lumino-Musita-24h'!D98,'26.08 Lumino-Musita-24h'!D98)</f>
        <v>0.5</v>
      </c>
      <c r="E98" s="49">
        <f>AVERAGE('23.08 Lumino-Musita-24h'!E98,'26.08 Lumino-Musita-24h'!E98)</f>
        <v>0</v>
      </c>
      <c r="F98" s="49">
        <f>AVERAGE('23.08 Lumino-Musita-24h'!F98,'26.08 Lumino-Musita-24h'!F98)</f>
        <v>0</v>
      </c>
      <c r="G98" s="49">
        <f>AVERAGE('23.08 Lumino-Musita-24h'!G98,'26.08 Lumino-Musita-24h'!G98)</f>
        <v>0</v>
      </c>
      <c r="H98" s="49">
        <f>AVERAGE('23.08 Lumino-Musita-24h'!H98,'26.08 Lumino-Musita-24h'!H98)</f>
        <v>0</v>
      </c>
      <c r="I98" s="49">
        <f>AVERAGE('23.08 Lumino-Musita-24h'!I98,'26.08 Lumino-Musita-24h'!I98)</f>
        <v>0.5</v>
      </c>
      <c r="J98" s="49">
        <f>AVERAGE('23.08 Lumino-Musita-24h'!J98,'26.08 Lumino-Musita-24h'!J98)</f>
        <v>0</v>
      </c>
      <c r="K98" s="49">
        <f>AVERAGE('23.08 Lumino-Musita-24h'!K98,'26.08 Lumino-Musita-24h'!K98)</f>
        <v>0</v>
      </c>
      <c r="L98" s="49">
        <f>AVERAGE('23.08 Lumino-Musita-24h'!L98,'26.08 Lumino-Musita-24h'!L98)</f>
        <v>1</v>
      </c>
      <c r="M98" s="49">
        <f>AVERAGE('23.08 Lumino-Musita-24h'!M98,'26.08 Lumino-Musita-24h'!M98)</f>
        <v>3.5</v>
      </c>
      <c r="N98" s="49">
        <f>AVERAGE('23.08 Lumino-Musita-24h'!N98,'26.08 Lumino-Musita-24h'!N98)</f>
        <v>0</v>
      </c>
      <c r="O98" s="15">
        <f t="shared" si="35"/>
        <v>3.5</v>
      </c>
      <c r="P98" s="15">
        <f t="shared" si="36"/>
        <v>7</v>
      </c>
      <c r="R98" s="8"/>
      <c r="T98"/>
    </row>
    <row r="99" spans="2:20" ht="23.1" customHeight="1" x14ac:dyDescent="0.25">
      <c r="B99" s="23" t="s">
        <v>139</v>
      </c>
      <c r="C99" s="49">
        <f>AVERAGE('23.08 Lumino-Musita-24h'!C99,'26.08 Lumino-Musita-24h'!C99)</f>
        <v>0</v>
      </c>
      <c r="D99" s="49">
        <f>AVERAGE('23.08 Lumino-Musita-24h'!D99,'26.08 Lumino-Musita-24h'!D99)</f>
        <v>0</v>
      </c>
      <c r="E99" s="49">
        <f>AVERAGE('23.08 Lumino-Musita-24h'!E99,'26.08 Lumino-Musita-24h'!E99)</f>
        <v>1.5</v>
      </c>
      <c r="F99" s="49">
        <f>AVERAGE('23.08 Lumino-Musita-24h'!F99,'26.08 Lumino-Musita-24h'!F99)</f>
        <v>0.5</v>
      </c>
      <c r="G99" s="49">
        <f>AVERAGE('23.08 Lumino-Musita-24h'!G99,'26.08 Lumino-Musita-24h'!G99)</f>
        <v>0</v>
      </c>
      <c r="H99" s="49">
        <f>AVERAGE('23.08 Lumino-Musita-24h'!H99,'26.08 Lumino-Musita-24h'!H99)</f>
        <v>0</v>
      </c>
      <c r="I99" s="49">
        <f>AVERAGE('23.08 Lumino-Musita-24h'!I99,'26.08 Lumino-Musita-24h'!I99)</f>
        <v>0.5</v>
      </c>
      <c r="J99" s="49">
        <f>AVERAGE('23.08 Lumino-Musita-24h'!J99,'26.08 Lumino-Musita-24h'!J99)</f>
        <v>0</v>
      </c>
      <c r="K99" s="49">
        <f>AVERAGE('23.08 Lumino-Musita-24h'!K99,'26.08 Lumino-Musita-24h'!K99)</f>
        <v>0</v>
      </c>
      <c r="L99" s="49">
        <f>AVERAGE('23.08 Lumino-Musita-24h'!L99,'26.08 Lumino-Musita-24h'!L99)</f>
        <v>0</v>
      </c>
      <c r="M99" s="49">
        <f>AVERAGE('23.08 Lumino-Musita-24h'!M99,'26.08 Lumino-Musita-24h'!M99)</f>
        <v>3.5</v>
      </c>
      <c r="N99" s="49">
        <f>AVERAGE('23.08 Lumino-Musita-24h'!N99,'26.08 Lumino-Musita-24h'!N99)</f>
        <v>0</v>
      </c>
      <c r="O99" s="15">
        <f t="shared" si="35"/>
        <v>2.5</v>
      </c>
      <c r="P99" s="15">
        <f t="shared" si="36"/>
        <v>6</v>
      </c>
      <c r="R99" s="8"/>
      <c r="T99"/>
    </row>
    <row r="100" spans="2:20" ht="23.1" customHeight="1" x14ac:dyDescent="0.25">
      <c r="B100" s="25" t="s">
        <v>140</v>
      </c>
      <c r="C100" s="49">
        <f>AVERAGE('23.08 Lumino-Musita-24h'!C100,'26.08 Lumino-Musita-24h'!C100)</f>
        <v>0</v>
      </c>
      <c r="D100" s="49">
        <f>AVERAGE('23.08 Lumino-Musita-24h'!D100,'26.08 Lumino-Musita-24h'!D100)</f>
        <v>0.5</v>
      </c>
      <c r="E100" s="49">
        <f>AVERAGE('23.08 Lumino-Musita-24h'!E100,'26.08 Lumino-Musita-24h'!E100)</f>
        <v>0.5</v>
      </c>
      <c r="F100" s="49">
        <f>AVERAGE('23.08 Lumino-Musita-24h'!F100,'26.08 Lumino-Musita-24h'!F100)</f>
        <v>2</v>
      </c>
      <c r="G100" s="49">
        <f>AVERAGE('23.08 Lumino-Musita-24h'!G100,'26.08 Lumino-Musita-24h'!G100)</f>
        <v>0</v>
      </c>
      <c r="H100" s="49">
        <f>AVERAGE('23.08 Lumino-Musita-24h'!H100,'26.08 Lumino-Musita-24h'!H100)</f>
        <v>0</v>
      </c>
      <c r="I100" s="49">
        <f>AVERAGE('23.08 Lumino-Musita-24h'!I100,'26.08 Lumino-Musita-24h'!I100)</f>
        <v>0</v>
      </c>
      <c r="J100" s="49">
        <f>AVERAGE('23.08 Lumino-Musita-24h'!J100,'26.08 Lumino-Musita-24h'!J100)</f>
        <v>1.5</v>
      </c>
      <c r="K100" s="49">
        <f>AVERAGE('23.08 Lumino-Musita-24h'!K100,'26.08 Lumino-Musita-24h'!K100)</f>
        <v>0</v>
      </c>
      <c r="L100" s="49">
        <f>AVERAGE('23.08 Lumino-Musita-24h'!L100,'26.08 Lumino-Musita-24h'!L100)</f>
        <v>0.5</v>
      </c>
      <c r="M100" s="49">
        <f>AVERAGE('23.08 Lumino-Musita-24h'!M100,'26.08 Lumino-Musita-24h'!M100)</f>
        <v>4.5</v>
      </c>
      <c r="N100" s="49">
        <f>AVERAGE('23.08 Lumino-Musita-24h'!N100,'26.08 Lumino-Musita-24h'!N100)</f>
        <v>0</v>
      </c>
      <c r="O100" s="15">
        <f t="shared" si="35"/>
        <v>5</v>
      </c>
      <c r="P100" s="15">
        <f t="shared" si="36"/>
        <v>9.5</v>
      </c>
      <c r="R100" s="8"/>
      <c r="T100"/>
    </row>
    <row r="101" spans="2:20" ht="23.1" customHeight="1" x14ac:dyDescent="0.25">
      <c r="B101" s="23" t="s">
        <v>141</v>
      </c>
      <c r="C101" s="49">
        <f>AVERAGE('23.08 Lumino-Musita-24h'!C101,'26.08 Lumino-Musita-24h'!C101)</f>
        <v>1.5</v>
      </c>
      <c r="D101" s="49">
        <f>AVERAGE('23.08 Lumino-Musita-24h'!D101,'26.08 Lumino-Musita-24h'!D101)</f>
        <v>0.5</v>
      </c>
      <c r="E101" s="49">
        <f>AVERAGE('23.08 Lumino-Musita-24h'!E101,'26.08 Lumino-Musita-24h'!E101)</f>
        <v>1</v>
      </c>
      <c r="F101" s="49">
        <f>AVERAGE('23.08 Lumino-Musita-24h'!F101,'26.08 Lumino-Musita-24h'!F101)</f>
        <v>1.5</v>
      </c>
      <c r="G101" s="49">
        <f>AVERAGE('23.08 Lumino-Musita-24h'!G101,'26.08 Lumino-Musita-24h'!G101)</f>
        <v>0</v>
      </c>
      <c r="H101" s="49">
        <f>AVERAGE('23.08 Lumino-Musita-24h'!H101,'26.08 Lumino-Musita-24h'!H101)</f>
        <v>0</v>
      </c>
      <c r="I101" s="49">
        <f>AVERAGE('23.08 Lumino-Musita-24h'!I101,'26.08 Lumino-Musita-24h'!I101)</f>
        <v>0</v>
      </c>
      <c r="J101" s="49">
        <f>AVERAGE('23.08 Lumino-Musita-24h'!J101,'26.08 Lumino-Musita-24h'!J101)</f>
        <v>0.5</v>
      </c>
      <c r="K101" s="49">
        <f>AVERAGE('23.08 Lumino-Musita-24h'!K101,'26.08 Lumino-Musita-24h'!K101)</f>
        <v>1.5</v>
      </c>
      <c r="L101" s="49">
        <f>AVERAGE('23.08 Lumino-Musita-24h'!L101,'26.08 Lumino-Musita-24h'!L101)</f>
        <v>0</v>
      </c>
      <c r="M101" s="49">
        <f>AVERAGE('23.08 Lumino-Musita-24h'!M101,'26.08 Lumino-Musita-24h'!M101)</f>
        <v>8</v>
      </c>
      <c r="N101" s="49">
        <f>AVERAGE('23.08 Lumino-Musita-24h'!N101,'26.08 Lumino-Musita-24h'!N101)</f>
        <v>0</v>
      </c>
      <c r="O101" s="15">
        <f t="shared" si="35"/>
        <v>6.5</v>
      </c>
      <c r="P101" s="15">
        <f t="shared" si="36"/>
        <v>14.5</v>
      </c>
      <c r="R101" s="8"/>
      <c r="T101"/>
    </row>
    <row r="102" spans="2:20" ht="23.1" customHeight="1" x14ac:dyDescent="0.25">
      <c r="B102" s="24" t="s">
        <v>142</v>
      </c>
      <c r="C102" s="49">
        <f>AVERAGE('23.08 Lumino-Musita-24h'!C102,'26.08 Lumino-Musita-24h'!C102)</f>
        <v>1.5</v>
      </c>
      <c r="D102" s="49">
        <f>AVERAGE('23.08 Lumino-Musita-24h'!D102,'26.08 Lumino-Musita-24h'!D102)</f>
        <v>0.5</v>
      </c>
      <c r="E102" s="49">
        <f>AVERAGE('23.08 Lumino-Musita-24h'!E102,'26.08 Lumino-Musita-24h'!E102)</f>
        <v>0.5</v>
      </c>
      <c r="F102" s="49">
        <f>AVERAGE('23.08 Lumino-Musita-24h'!F102,'26.08 Lumino-Musita-24h'!F102)</f>
        <v>2</v>
      </c>
      <c r="G102" s="49">
        <f>AVERAGE('23.08 Lumino-Musita-24h'!G102,'26.08 Lumino-Musita-24h'!G102)</f>
        <v>0</v>
      </c>
      <c r="H102" s="49">
        <f>AVERAGE('23.08 Lumino-Musita-24h'!H102,'26.08 Lumino-Musita-24h'!H102)</f>
        <v>0</v>
      </c>
      <c r="I102" s="49">
        <f>AVERAGE('23.08 Lumino-Musita-24h'!I102,'26.08 Lumino-Musita-24h'!I102)</f>
        <v>1</v>
      </c>
      <c r="J102" s="49">
        <f>AVERAGE('23.08 Lumino-Musita-24h'!J102,'26.08 Lumino-Musita-24h'!J102)</f>
        <v>1</v>
      </c>
      <c r="K102" s="49">
        <f>AVERAGE('23.08 Lumino-Musita-24h'!K102,'26.08 Lumino-Musita-24h'!K102)</f>
        <v>0</v>
      </c>
      <c r="L102" s="49">
        <f>AVERAGE('23.08 Lumino-Musita-24h'!L102,'26.08 Lumino-Musita-24h'!L102)</f>
        <v>0</v>
      </c>
      <c r="M102" s="49">
        <f>AVERAGE('23.08 Lumino-Musita-24h'!M102,'26.08 Lumino-Musita-24h'!M102)</f>
        <v>10</v>
      </c>
      <c r="N102" s="49">
        <f>AVERAGE('23.08 Lumino-Musita-24h'!N102,'26.08 Lumino-Musita-24h'!N102)</f>
        <v>0</v>
      </c>
      <c r="O102" s="15">
        <f t="shared" si="35"/>
        <v>6.5</v>
      </c>
      <c r="P102" s="15">
        <f t="shared" si="36"/>
        <v>16.5</v>
      </c>
      <c r="R102" s="8"/>
      <c r="T102"/>
    </row>
    <row r="103" spans="2:20" ht="23.1" customHeight="1" x14ac:dyDescent="0.25">
      <c r="B103" s="23" t="s">
        <v>143</v>
      </c>
      <c r="C103" s="49">
        <f>AVERAGE('23.08 Lumino-Musita-24h'!C103,'26.08 Lumino-Musita-24h'!C103)</f>
        <v>1.5</v>
      </c>
      <c r="D103" s="49">
        <f>AVERAGE('23.08 Lumino-Musita-24h'!D103,'26.08 Lumino-Musita-24h'!D103)</f>
        <v>1</v>
      </c>
      <c r="E103" s="49">
        <f>AVERAGE('23.08 Lumino-Musita-24h'!E103,'26.08 Lumino-Musita-24h'!E103)</f>
        <v>0</v>
      </c>
      <c r="F103" s="49">
        <f>AVERAGE('23.08 Lumino-Musita-24h'!F103,'26.08 Lumino-Musita-24h'!F103)</f>
        <v>1</v>
      </c>
      <c r="G103" s="49">
        <f>AVERAGE('23.08 Lumino-Musita-24h'!G103,'26.08 Lumino-Musita-24h'!G103)</f>
        <v>1</v>
      </c>
      <c r="H103" s="49">
        <f>AVERAGE('23.08 Lumino-Musita-24h'!H103,'26.08 Lumino-Musita-24h'!H103)</f>
        <v>0</v>
      </c>
      <c r="I103" s="49">
        <f>AVERAGE('23.08 Lumino-Musita-24h'!I103,'26.08 Lumino-Musita-24h'!I103)</f>
        <v>0.5</v>
      </c>
      <c r="J103" s="49">
        <f>AVERAGE('23.08 Lumino-Musita-24h'!J103,'26.08 Lumino-Musita-24h'!J103)</f>
        <v>0.5</v>
      </c>
      <c r="K103" s="49">
        <f>AVERAGE('23.08 Lumino-Musita-24h'!K103,'26.08 Lumino-Musita-24h'!K103)</f>
        <v>0</v>
      </c>
      <c r="L103" s="49">
        <f>AVERAGE('23.08 Lumino-Musita-24h'!L103,'26.08 Lumino-Musita-24h'!L103)</f>
        <v>0</v>
      </c>
      <c r="M103" s="49">
        <f>AVERAGE('23.08 Lumino-Musita-24h'!M103,'26.08 Lumino-Musita-24h'!M103)</f>
        <v>12</v>
      </c>
      <c r="N103" s="49">
        <f>AVERAGE('23.08 Lumino-Musita-24h'!N103,'26.08 Lumino-Musita-24h'!N103)</f>
        <v>0</v>
      </c>
      <c r="O103" s="15">
        <f t="shared" si="35"/>
        <v>5.5</v>
      </c>
      <c r="P103" s="15">
        <f t="shared" si="36"/>
        <v>17.5</v>
      </c>
      <c r="R103" s="8"/>
      <c r="T103"/>
    </row>
    <row r="104" spans="2:20" ht="23.1" customHeight="1" x14ac:dyDescent="0.25">
      <c r="B104" s="25" t="s">
        <v>144</v>
      </c>
      <c r="C104" s="49">
        <f>AVERAGE('23.08 Lumino-Musita-24h'!C104,'26.08 Lumino-Musita-24h'!C104)</f>
        <v>2.5</v>
      </c>
      <c r="D104" s="49">
        <f>AVERAGE('23.08 Lumino-Musita-24h'!D104,'26.08 Lumino-Musita-24h'!D104)</f>
        <v>0.5</v>
      </c>
      <c r="E104" s="49">
        <f>AVERAGE('23.08 Lumino-Musita-24h'!E104,'26.08 Lumino-Musita-24h'!E104)</f>
        <v>1</v>
      </c>
      <c r="F104" s="49">
        <f>AVERAGE('23.08 Lumino-Musita-24h'!F104,'26.08 Lumino-Musita-24h'!F104)</f>
        <v>1</v>
      </c>
      <c r="G104" s="49">
        <f>AVERAGE('23.08 Lumino-Musita-24h'!G104,'26.08 Lumino-Musita-24h'!G104)</f>
        <v>0</v>
      </c>
      <c r="H104" s="49">
        <f>AVERAGE('23.08 Lumino-Musita-24h'!H104,'26.08 Lumino-Musita-24h'!H104)</f>
        <v>0</v>
      </c>
      <c r="I104" s="49">
        <f>AVERAGE('23.08 Lumino-Musita-24h'!I104,'26.08 Lumino-Musita-24h'!I104)</f>
        <v>0.5</v>
      </c>
      <c r="J104" s="49">
        <f>AVERAGE('23.08 Lumino-Musita-24h'!J104,'26.08 Lumino-Musita-24h'!J104)</f>
        <v>1.5</v>
      </c>
      <c r="K104" s="49">
        <f>AVERAGE('23.08 Lumino-Musita-24h'!K104,'26.08 Lumino-Musita-24h'!K104)</f>
        <v>1.5</v>
      </c>
      <c r="L104" s="49">
        <f>AVERAGE('23.08 Lumino-Musita-24h'!L104,'26.08 Lumino-Musita-24h'!L104)</f>
        <v>1</v>
      </c>
      <c r="M104" s="49">
        <f>AVERAGE('23.08 Lumino-Musita-24h'!M104,'26.08 Lumino-Musita-24h'!M104)</f>
        <v>13.5</v>
      </c>
      <c r="N104" s="49">
        <f>AVERAGE('23.08 Lumino-Musita-24h'!N104,'26.08 Lumino-Musita-24h'!N104)</f>
        <v>0</v>
      </c>
      <c r="O104" s="15">
        <f t="shared" si="35"/>
        <v>9.5</v>
      </c>
      <c r="P104" s="15">
        <f t="shared" si="36"/>
        <v>23</v>
      </c>
      <c r="R104" s="8"/>
      <c r="T104"/>
    </row>
    <row r="105" spans="2:20" ht="23.1" customHeight="1" x14ac:dyDescent="0.25">
      <c r="B105" s="23" t="s">
        <v>145</v>
      </c>
      <c r="C105" s="49">
        <f>AVERAGE('23.08 Lumino-Musita-24h'!C105,'26.08 Lumino-Musita-24h'!C105)</f>
        <v>4.5</v>
      </c>
      <c r="D105" s="49">
        <f>AVERAGE('23.08 Lumino-Musita-24h'!D105,'26.08 Lumino-Musita-24h'!D105)</f>
        <v>0</v>
      </c>
      <c r="E105" s="49">
        <f>AVERAGE('23.08 Lumino-Musita-24h'!E105,'26.08 Lumino-Musita-24h'!E105)</f>
        <v>1.5</v>
      </c>
      <c r="F105" s="49">
        <f>AVERAGE('23.08 Lumino-Musita-24h'!F105,'26.08 Lumino-Musita-24h'!F105)</f>
        <v>3.5</v>
      </c>
      <c r="G105" s="49">
        <f>AVERAGE('23.08 Lumino-Musita-24h'!G105,'26.08 Lumino-Musita-24h'!G105)</f>
        <v>0</v>
      </c>
      <c r="H105" s="49">
        <f>AVERAGE('23.08 Lumino-Musita-24h'!H105,'26.08 Lumino-Musita-24h'!H105)</f>
        <v>1</v>
      </c>
      <c r="I105" s="49">
        <f>AVERAGE('23.08 Lumino-Musita-24h'!I105,'26.08 Lumino-Musita-24h'!I105)</f>
        <v>2</v>
      </c>
      <c r="J105" s="49">
        <f>AVERAGE('23.08 Lumino-Musita-24h'!J105,'26.08 Lumino-Musita-24h'!J105)</f>
        <v>2</v>
      </c>
      <c r="K105" s="49">
        <f>AVERAGE('23.08 Lumino-Musita-24h'!K105,'26.08 Lumino-Musita-24h'!K105)</f>
        <v>1</v>
      </c>
      <c r="L105" s="49">
        <f>AVERAGE('23.08 Lumino-Musita-24h'!L105,'26.08 Lumino-Musita-24h'!L105)</f>
        <v>0.5</v>
      </c>
      <c r="M105" s="49">
        <f>AVERAGE('23.08 Lumino-Musita-24h'!M105,'26.08 Lumino-Musita-24h'!M105)</f>
        <v>21</v>
      </c>
      <c r="N105" s="49">
        <f>AVERAGE('23.08 Lumino-Musita-24h'!N105,'26.08 Lumino-Musita-24h'!N105)</f>
        <v>0.5</v>
      </c>
      <c r="O105" s="15">
        <f t="shared" si="35"/>
        <v>16.5</v>
      </c>
      <c r="P105" s="15">
        <f t="shared" si="36"/>
        <v>37.5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289.57142857142861</v>
      </c>
      <c r="D106" s="16">
        <f t="shared" ref="D106:P106" si="37">SUM(D10:D105)</f>
        <v>72.357142857142847</v>
      </c>
      <c r="E106" s="16">
        <f t="shared" si="37"/>
        <v>62.071428571428569</v>
      </c>
      <c r="F106" s="16">
        <f t="shared" si="37"/>
        <v>112.57142857142857</v>
      </c>
      <c r="G106" s="16">
        <f t="shared" si="37"/>
        <v>9.571428571428573</v>
      </c>
      <c r="H106" s="16">
        <f t="shared" si="37"/>
        <v>5.4285714285714288</v>
      </c>
      <c r="I106" s="16">
        <f t="shared" si="37"/>
        <v>138.64285714285717</v>
      </c>
      <c r="J106" s="16">
        <f t="shared" si="37"/>
        <v>119.64285714285714</v>
      </c>
      <c r="K106" s="16">
        <f t="shared" si="37"/>
        <v>37.642857142857146</v>
      </c>
      <c r="L106" s="16">
        <f t="shared" si="37"/>
        <v>52.642857142857139</v>
      </c>
      <c r="M106" s="16">
        <f t="shared" si="37"/>
        <v>2441.1428571428573</v>
      </c>
      <c r="N106" s="16">
        <f t="shared" si="37"/>
        <v>6.2142857142857135</v>
      </c>
      <c r="O106" s="16">
        <f t="shared" si="37"/>
        <v>906.35714285714289</v>
      </c>
      <c r="P106" s="16">
        <f t="shared" si="37"/>
        <v>3347.5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8.6503787474661267E-2</v>
      </c>
      <c r="D107" s="43">
        <f t="shared" si="38"/>
        <v>2.1615277925957535E-2</v>
      </c>
      <c r="E107" s="43">
        <f t="shared" si="38"/>
        <v>1.854262242611757E-2</v>
      </c>
      <c r="F107" s="43">
        <f t="shared" si="38"/>
        <v>3.3628507414915181E-2</v>
      </c>
      <c r="G107" s="43">
        <f t="shared" si="38"/>
        <v>2.8592766456844131E-3</v>
      </c>
      <c r="H107" s="43">
        <f t="shared" si="38"/>
        <v>1.6216792915822043E-3</v>
      </c>
      <c r="I107" s="43">
        <f t="shared" si="38"/>
        <v>4.1416835591592878E-2</v>
      </c>
      <c r="J107" s="43">
        <f t="shared" si="38"/>
        <v>3.5740958071055158E-2</v>
      </c>
      <c r="K107" s="43">
        <f t="shared" si="38"/>
        <v>1.1245065613997653E-2</v>
      </c>
      <c r="L107" s="43">
        <f t="shared" si="38"/>
        <v>1.572602155126427E-2</v>
      </c>
      <c r="M107" s="43">
        <f t="shared" si="38"/>
        <v>0.72924357196201861</v>
      </c>
      <c r="N107" s="43">
        <f t="shared" si="38"/>
        <v>1.8563960311533125E-3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0.31948932145953191</v>
      </c>
      <c r="D108" s="44">
        <f t="shared" ref="D108:N108" si="39">D106/$O$106</f>
        <v>7.9832926156513495E-2</v>
      </c>
      <c r="E108" s="44">
        <f t="shared" si="39"/>
        <v>6.84845141461108E-2</v>
      </c>
      <c r="F108" s="44">
        <f t="shared" si="39"/>
        <v>0.12420206478051855</v>
      </c>
      <c r="G108" s="44">
        <f t="shared" si="39"/>
        <v>1.0560327843013636E-2</v>
      </c>
      <c r="H108" s="44">
        <f t="shared" si="39"/>
        <v>5.9894396721569864E-3</v>
      </c>
      <c r="I108" s="44">
        <f t="shared" si="39"/>
        <v>0.1529671368902199</v>
      </c>
      <c r="J108" s="44">
        <f t="shared" si="39"/>
        <v>0.13200409803767041</v>
      </c>
      <c r="K108" s="44">
        <f t="shared" si="39"/>
        <v>4.1532035621404367E-2</v>
      </c>
      <c r="L108" s="44">
        <f t="shared" si="39"/>
        <v>5.8081803136574982E-2</v>
      </c>
      <c r="M108" s="44"/>
      <c r="N108" s="44">
        <f t="shared" si="39"/>
        <v>6.8563322562849704E-3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R100" sqref="R10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'28.08 Lumino-Musita'!C3:G3</f>
        <v>MCC - C1 - STN01 - MUSITA-LUMINO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Lumino-Musita'!G5:H5</f>
        <v>Musita</v>
      </c>
      <c r="H5" s="64"/>
      <c r="I5" s="14"/>
      <c r="J5" s="2" t="s">
        <v>5</v>
      </c>
      <c r="K5" s="63" t="str">
        <f>'Avg Week Lumino-Musita'!K5:L5</f>
        <v>Josephine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Lumino-Musita'!K6:L6</f>
        <v>Ivan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Musita-Lumino'!C10+'Avg Week Lumino-Musita'!C10</f>
        <v>5.8571428571428577</v>
      </c>
      <c r="D10" s="49">
        <f>'Avg Week Musita-Lumino'!D10+'Avg Week Lumino-Musita'!D10</f>
        <v>1.5714285714285714</v>
      </c>
      <c r="E10" s="49">
        <f>'Avg Week Musita-Lumino'!E10+'Avg Week Lumino-Musita'!E10</f>
        <v>1.7142857142857144</v>
      </c>
      <c r="F10" s="49">
        <f>'Avg Week Musita-Lumino'!F10+'Avg Week Lumino-Musita'!F10</f>
        <v>3.5714285714285712</v>
      </c>
      <c r="G10" s="49">
        <f>'Avg Week Musita-Lumino'!G10+'Avg Week Lumino-Musita'!G10</f>
        <v>1.1428571428571428</v>
      </c>
      <c r="H10" s="49">
        <f>'Avg Week Musita-Lumino'!H10+'Avg Week Lumino-Musita'!H10</f>
        <v>0.2857142857142857</v>
      </c>
      <c r="I10" s="49">
        <f>'Avg Week Musita-Lumino'!I10+'Avg Week Lumino-Musita'!I10</f>
        <v>3.2857142857142856</v>
      </c>
      <c r="J10" s="49">
        <f>'Avg Week Musita-Lumino'!J10+'Avg Week Lumino-Musita'!J10</f>
        <v>4.7142857142857144</v>
      </c>
      <c r="K10" s="49">
        <f>'Avg Week Musita-Lumino'!K10+'Avg Week Lumino-Musita'!K10</f>
        <v>1.8571428571428572</v>
      </c>
      <c r="L10" s="49">
        <f>'Avg Week Musita-Lumino'!L10+'Avg Week Lumino-Musita'!L10</f>
        <v>0.14285714285714285</v>
      </c>
      <c r="M10" s="49">
        <f>'Avg Week Musita-Lumino'!M10+'Avg Week Lumino-Musita'!M10</f>
        <v>48.285714285714292</v>
      </c>
      <c r="N10" s="49">
        <f>'Avg Week Musita-Lumino'!N10+'Avg Week Lumino-Musita'!N10</f>
        <v>0.14285714285714285</v>
      </c>
      <c r="O10" s="15">
        <f t="shared" ref="O10:O73" si="0">SUM(C10:L10,N10)</f>
        <v>24.285714285714285</v>
      </c>
      <c r="P10" s="15">
        <f t="shared" ref="P10:P73" si="1">SUM(C10:N10)</f>
        <v>72.571428571428569</v>
      </c>
      <c r="R10" s="1" t="s">
        <v>6</v>
      </c>
      <c r="S10" s="17">
        <f t="shared" ref="S10:AF10" si="2">SUM(C10:C13)</f>
        <v>18.142857142857142</v>
      </c>
      <c r="T10" s="17">
        <f t="shared" si="2"/>
        <v>6</v>
      </c>
      <c r="U10" s="17">
        <f t="shared" si="2"/>
        <v>6.2857142857142865</v>
      </c>
      <c r="V10" s="17">
        <f t="shared" si="2"/>
        <v>9.2857142857142865</v>
      </c>
      <c r="W10" s="17">
        <f t="shared" si="2"/>
        <v>1.5714285714285712</v>
      </c>
      <c r="X10" s="17">
        <f t="shared" si="2"/>
        <v>0.5714285714285714</v>
      </c>
      <c r="Y10" s="17">
        <f t="shared" si="2"/>
        <v>12.142857142857142</v>
      </c>
      <c r="Z10" s="17">
        <f t="shared" si="2"/>
        <v>16</v>
      </c>
      <c r="AA10" s="17">
        <f t="shared" si="2"/>
        <v>9</v>
      </c>
      <c r="AB10" s="17">
        <f t="shared" si="2"/>
        <v>1.4285714285714284</v>
      </c>
      <c r="AC10" s="17">
        <f t="shared" si="2"/>
        <v>264.85714285714289</v>
      </c>
      <c r="AD10" s="17">
        <f t="shared" si="2"/>
        <v>1.4285714285714284</v>
      </c>
      <c r="AE10" s="31">
        <f t="shared" si="2"/>
        <v>81.857142857142861</v>
      </c>
      <c r="AF10" s="31">
        <f t="shared" si="2"/>
        <v>346.71428571428578</v>
      </c>
    </row>
    <row r="11" spans="2:32" s="6" customFormat="1" ht="23.1" customHeight="1" x14ac:dyDescent="0.25">
      <c r="B11" s="23" t="s">
        <v>38</v>
      </c>
      <c r="C11" s="49">
        <f>'Avg Week Musita-Lumino'!C11+'Avg Week Lumino-Musita'!C11</f>
        <v>4.4285714285714288</v>
      </c>
      <c r="D11" s="49">
        <f>'Avg Week Musita-Lumino'!D11+'Avg Week Lumino-Musita'!D11</f>
        <v>1.1428571428571428</v>
      </c>
      <c r="E11" s="49">
        <f>'Avg Week Musita-Lumino'!E11+'Avg Week Lumino-Musita'!E11</f>
        <v>1</v>
      </c>
      <c r="F11" s="49">
        <f>'Avg Week Musita-Lumino'!F11+'Avg Week Lumino-Musita'!F11</f>
        <v>2.4285714285714284</v>
      </c>
      <c r="G11" s="49">
        <f>'Avg Week Musita-Lumino'!G11+'Avg Week Lumino-Musita'!G11</f>
        <v>0</v>
      </c>
      <c r="H11" s="49">
        <f>'Avg Week Musita-Lumino'!H11+'Avg Week Lumino-Musita'!H11</f>
        <v>0</v>
      </c>
      <c r="I11" s="49">
        <f>'Avg Week Musita-Lumino'!I11+'Avg Week Lumino-Musita'!I11</f>
        <v>2.7142857142857144</v>
      </c>
      <c r="J11" s="49">
        <f>'Avg Week Musita-Lumino'!J11+'Avg Week Lumino-Musita'!J11</f>
        <v>4.2857142857142856</v>
      </c>
      <c r="K11" s="49">
        <f>'Avg Week Musita-Lumino'!K11+'Avg Week Lumino-Musita'!K11</f>
        <v>2.714285714285714</v>
      </c>
      <c r="L11" s="49">
        <f>'Avg Week Musita-Lumino'!L11+'Avg Week Lumino-Musita'!L11</f>
        <v>0.2857142857142857</v>
      </c>
      <c r="M11" s="49">
        <f>'Avg Week Musita-Lumino'!M11+'Avg Week Lumino-Musita'!M11</f>
        <v>54.714285714285715</v>
      </c>
      <c r="N11" s="49">
        <f>'Avg Week Musita-Lumino'!N11+'Avg Week Lumino-Musita'!N11</f>
        <v>0.7142857142857143</v>
      </c>
      <c r="O11" s="15">
        <f t="shared" si="0"/>
        <v>19.714285714285715</v>
      </c>
      <c r="P11" s="15">
        <f t="shared" si="1"/>
        <v>74.428571428571431</v>
      </c>
      <c r="R11" s="1" t="s">
        <v>7</v>
      </c>
      <c r="S11" s="17">
        <f t="shared" ref="S11:AF11" si="3">SUM(C14:C17)</f>
        <v>22.571428571428573</v>
      </c>
      <c r="T11" s="17">
        <f t="shared" si="3"/>
        <v>10.285714285714285</v>
      </c>
      <c r="U11" s="17">
        <f t="shared" si="3"/>
        <v>5.8571428571428568</v>
      </c>
      <c r="V11" s="17">
        <f t="shared" si="3"/>
        <v>7.5714285714285712</v>
      </c>
      <c r="W11" s="17">
        <f t="shared" si="3"/>
        <v>1.5714285714285714</v>
      </c>
      <c r="X11" s="17">
        <f t="shared" si="3"/>
        <v>0.2857142857142857</v>
      </c>
      <c r="Y11" s="17">
        <f t="shared" si="3"/>
        <v>10.857142857142858</v>
      </c>
      <c r="Z11" s="17">
        <f t="shared" si="3"/>
        <v>16</v>
      </c>
      <c r="AA11" s="17">
        <f t="shared" si="3"/>
        <v>2.2857142857142856</v>
      </c>
      <c r="AB11" s="17">
        <f t="shared" si="3"/>
        <v>1.9999999999999998</v>
      </c>
      <c r="AC11" s="17">
        <f t="shared" si="3"/>
        <v>296.71428571428578</v>
      </c>
      <c r="AD11" s="17">
        <f t="shared" si="3"/>
        <v>0.85714285714285698</v>
      </c>
      <c r="AE11" s="31">
        <f t="shared" si="3"/>
        <v>80.142857142857139</v>
      </c>
      <c r="AF11" s="31">
        <f t="shared" si="3"/>
        <v>376.85714285714289</v>
      </c>
    </row>
    <row r="12" spans="2:32" ht="23.1" customHeight="1" x14ac:dyDescent="0.25">
      <c r="B12" s="23" t="s">
        <v>39</v>
      </c>
      <c r="C12" s="49">
        <f>'Avg Week Musita-Lumino'!C12+'Avg Week Lumino-Musita'!C12</f>
        <v>3.7142857142857144</v>
      </c>
      <c r="D12" s="49">
        <f>'Avg Week Musita-Lumino'!D12+'Avg Week Lumino-Musita'!D12</f>
        <v>1.7142857142857144</v>
      </c>
      <c r="E12" s="49">
        <f>'Avg Week Musita-Lumino'!E12+'Avg Week Lumino-Musita'!E12</f>
        <v>0.85714285714285721</v>
      </c>
      <c r="F12" s="49">
        <f>'Avg Week Musita-Lumino'!F12+'Avg Week Lumino-Musita'!F12</f>
        <v>1.4285714285714286</v>
      </c>
      <c r="G12" s="49">
        <f>'Avg Week Musita-Lumino'!G12+'Avg Week Lumino-Musita'!G12</f>
        <v>0.14285714285714285</v>
      </c>
      <c r="H12" s="49">
        <f>'Avg Week Musita-Lumino'!H12+'Avg Week Lumino-Musita'!H12</f>
        <v>0.14285714285714285</v>
      </c>
      <c r="I12" s="49">
        <f>'Avg Week Musita-Lumino'!I12+'Avg Week Lumino-Musita'!I12</f>
        <v>2.8571428571428572</v>
      </c>
      <c r="J12" s="49">
        <f>'Avg Week Musita-Lumino'!J12+'Avg Week Lumino-Musita'!J12</f>
        <v>3.4285714285714288</v>
      </c>
      <c r="K12" s="49">
        <f>'Avg Week Musita-Lumino'!K12+'Avg Week Lumino-Musita'!K12</f>
        <v>2.1428571428571428</v>
      </c>
      <c r="L12" s="49">
        <f>'Avg Week Musita-Lumino'!L12+'Avg Week Lumino-Musita'!L12</f>
        <v>0.2857142857142857</v>
      </c>
      <c r="M12" s="49">
        <f>'Avg Week Musita-Lumino'!M12+'Avg Week Lumino-Musita'!M12</f>
        <v>73.857142857142861</v>
      </c>
      <c r="N12" s="49">
        <f>'Avg Week Musita-Lumino'!N12+'Avg Week Lumino-Musita'!N12</f>
        <v>0.2857142857142857</v>
      </c>
      <c r="O12" s="15">
        <f t="shared" si="0"/>
        <v>17</v>
      </c>
      <c r="P12" s="15">
        <f t="shared" si="1"/>
        <v>90.857142857142875</v>
      </c>
      <c r="R12" s="1" t="s">
        <v>8</v>
      </c>
      <c r="S12" s="17">
        <f t="shared" ref="S12:AF12" si="4">SUM(C18:C21)</f>
        <v>26.428571428571431</v>
      </c>
      <c r="T12" s="17">
        <f t="shared" si="4"/>
        <v>8.8571428571428577</v>
      </c>
      <c r="U12" s="17">
        <f t="shared" si="4"/>
        <v>5</v>
      </c>
      <c r="V12" s="17">
        <f t="shared" si="4"/>
        <v>8</v>
      </c>
      <c r="W12" s="17">
        <f t="shared" si="4"/>
        <v>0.42857142857142855</v>
      </c>
      <c r="X12" s="17">
        <f t="shared" si="4"/>
        <v>0</v>
      </c>
      <c r="Y12" s="17">
        <f t="shared" si="4"/>
        <v>10.142857142857142</v>
      </c>
      <c r="Z12" s="17">
        <f t="shared" si="4"/>
        <v>11</v>
      </c>
      <c r="AA12" s="17">
        <f t="shared" si="4"/>
        <v>4.5714285714285712</v>
      </c>
      <c r="AB12" s="17">
        <f t="shared" si="4"/>
        <v>1.1428571428571428</v>
      </c>
      <c r="AC12" s="17">
        <f t="shared" si="4"/>
        <v>295.71428571428572</v>
      </c>
      <c r="AD12" s="17">
        <f t="shared" si="4"/>
        <v>1</v>
      </c>
      <c r="AE12" s="31">
        <f t="shared" si="4"/>
        <v>76.571428571428569</v>
      </c>
      <c r="AF12" s="31">
        <f t="shared" si="4"/>
        <v>372.28571428571433</v>
      </c>
    </row>
    <row r="13" spans="2:32" ht="23.1" customHeight="1" x14ac:dyDescent="0.25">
      <c r="B13" s="23" t="s">
        <v>40</v>
      </c>
      <c r="C13" s="49">
        <f>'Avg Week Musita-Lumino'!C13+'Avg Week Lumino-Musita'!C13</f>
        <v>4.1428571428571423</v>
      </c>
      <c r="D13" s="49">
        <f>'Avg Week Musita-Lumino'!D13+'Avg Week Lumino-Musita'!D13</f>
        <v>1.5714285714285714</v>
      </c>
      <c r="E13" s="49">
        <f>'Avg Week Musita-Lumino'!E13+'Avg Week Lumino-Musita'!E13</f>
        <v>2.7142857142857144</v>
      </c>
      <c r="F13" s="49">
        <f>'Avg Week Musita-Lumino'!F13+'Avg Week Lumino-Musita'!F13</f>
        <v>1.8571428571428572</v>
      </c>
      <c r="G13" s="49">
        <f>'Avg Week Musita-Lumino'!G13+'Avg Week Lumino-Musita'!G13</f>
        <v>0.2857142857142857</v>
      </c>
      <c r="H13" s="49">
        <f>'Avg Week Musita-Lumino'!H13+'Avg Week Lumino-Musita'!H13</f>
        <v>0.14285714285714285</v>
      </c>
      <c r="I13" s="49">
        <f>'Avg Week Musita-Lumino'!I13+'Avg Week Lumino-Musita'!I13</f>
        <v>3.2857142857142856</v>
      </c>
      <c r="J13" s="49">
        <f>'Avg Week Musita-Lumino'!J13+'Avg Week Lumino-Musita'!J13</f>
        <v>3.5714285714285712</v>
      </c>
      <c r="K13" s="49">
        <f>'Avg Week Musita-Lumino'!K13+'Avg Week Lumino-Musita'!K13</f>
        <v>2.2857142857142856</v>
      </c>
      <c r="L13" s="49">
        <f>'Avg Week Musita-Lumino'!L13+'Avg Week Lumino-Musita'!L13</f>
        <v>0.71428571428571419</v>
      </c>
      <c r="M13" s="49">
        <f>'Avg Week Musita-Lumino'!M13+'Avg Week Lumino-Musita'!M13</f>
        <v>88</v>
      </c>
      <c r="N13" s="49">
        <f>'Avg Week Musita-Lumino'!N13+'Avg Week Lumino-Musita'!N13</f>
        <v>0.2857142857142857</v>
      </c>
      <c r="O13" s="15">
        <f t="shared" si="0"/>
        <v>20.857142857142854</v>
      </c>
      <c r="P13" s="15">
        <f t="shared" si="1"/>
        <v>108.85714285714286</v>
      </c>
      <c r="R13" s="1" t="s">
        <v>9</v>
      </c>
      <c r="S13" s="17">
        <f t="shared" ref="S13:AF13" si="5">SUM(C22:C25)</f>
        <v>29.428571428571431</v>
      </c>
      <c r="T13" s="17">
        <f t="shared" si="5"/>
        <v>9.571428571428573</v>
      </c>
      <c r="U13" s="17">
        <f t="shared" si="5"/>
        <v>6.7142857142857135</v>
      </c>
      <c r="V13" s="17">
        <f t="shared" si="5"/>
        <v>12.428571428571427</v>
      </c>
      <c r="W13" s="17">
        <f t="shared" si="5"/>
        <v>0.5714285714285714</v>
      </c>
      <c r="X13" s="17">
        <f t="shared" si="5"/>
        <v>0.14285714285714285</v>
      </c>
      <c r="Y13" s="17">
        <f t="shared" si="5"/>
        <v>14.857142857142858</v>
      </c>
      <c r="Z13" s="17">
        <f t="shared" si="5"/>
        <v>14.428571428571431</v>
      </c>
      <c r="AA13" s="17">
        <f t="shared" si="5"/>
        <v>3.7142857142857144</v>
      </c>
      <c r="AB13" s="17">
        <f t="shared" si="5"/>
        <v>1.5714285714285714</v>
      </c>
      <c r="AC13" s="17">
        <f t="shared" si="5"/>
        <v>311.85714285714283</v>
      </c>
      <c r="AD13" s="17">
        <f t="shared" si="5"/>
        <v>0.71428571428571419</v>
      </c>
      <c r="AE13" s="31">
        <f t="shared" si="5"/>
        <v>94.142857142857139</v>
      </c>
      <c r="AF13" s="31">
        <f t="shared" si="5"/>
        <v>405.99999999999994</v>
      </c>
    </row>
    <row r="14" spans="2:32" ht="23.1" customHeight="1" x14ac:dyDescent="0.25">
      <c r="B14" s="23" t="s">
        <v>41</v>
      </c>
      <c r="C14" s="49">
        <f>'Avg Week Musita-Lumino'!C14+'Avg Week Lumino-Musita'!C14</f>
        <v>6.2857142857142856</v>
      </c>
      <c r="D14" s="49">
        <f>'Avg Week Musita-Lumino'!D14+'Avg Week Lumino-Musita'!D14</f>
        <v>2</v>
      </c>
      <c r="E14" s="49">
        <f>'Avg Week Musita-Lumino'!E14+'Avg Week Lumino-Musita'!E14</f>
        <v>1.1428571428571428</v>
      </c>
      <c r="F14" s="49">
        <f>'Avg Week Musita-Lumino'!F14+'Avg Week Lumino-Musita'!F14</f>
        <v>1.5714285714285714</v>
      </c>
      <c r="G14" s="49">
        <f>'Avg Week Musita-Lumino'!G14+'Avg Week Lumino-Musita'!G14</f>
        <v>0</v>
      </c>
      <c r="H14" s="49">
        <f>'Avg Week Musita-Lumino'!H14+'Avg Week Lumino-Musita'!H14</f>
        <v>0</v>
      </c>
      <c r="I14" s="49">
        <f>'Avg Week Musita-Lumino'!I14+'Avg Week Lumino-Musita'!I14</f>
        <v>3</v>
      </c>
      <c r="J14" s="49">
        <f>'Avg Week Musita-Lumino'!J14+'Avg Week Lumino-Musita'!J14</f>
        <v>4.1428571428571432</v>
      </c>
      <c r="K14" s="49">
        <f>'Avg Week Musita-Lumino'!K14+'Avg Week Lumino-Musita'!K14</f>
        <v>0.42857142857142855</v>
      </c>
      <c r="L14" s="49">
        <f>'Avg Week Musita-Lumino'!L14+'Avg Week Lumino-Musita'!L14</f>
        <v>0.5714285714285714</v>
      </c>
      <c r="M14" s="49">
        <f>'Avg Week Musita-Lumino'!M14+'Avg Week Lumino-Musita'!M14</f>
        <v>66.571428571428569</v>
      </c>
      <c r="N14" s="49">
        <f>'Avg Week Musita-Lumino'!N14+'Avg Week Lumino-Musita'!N14</f>
        <v>0.2857142857142857</v>
      </c>
      <c r="O14" s="15">
        <f t="shared" si="0"/>
        <v>19.428571428571427</v>
      </c>
      <c r="P14" s="15">
        <f t="shared" si="1"/>
        <v>86</v>
      </c>
      <c r="R14" s="1" t="s">
        <v>10</v>
      </c>
      <c r="S14" s="17">
        <f t="shared" ref="S14:AF14" si="6">SUM(C26:C29)</f>
        <v>33.571428571428569</v>
      </c>
      <c r="T14" s="17">
        <f t="shared" si="6"/>
        <v>8.7142857142857135</v>
      </c>
      <c r="U14" s="17">
        <f t="shared" si="6"/>
        <v>3.8571428571428568</v>
      </c>
      <c r="V14" s="17">
        <f t="shared" si="6"/>
        <v>14.571428571428573</v>
      </c>
      <c r="W14" s="17">
        <f t="shared" si="6"/>
        <v>0.71428571428571419</v>
      </c>
      <c r="X14" s="17">
        <f t="shared" si="6"/>
        <v>0.14285714285714285</v>
      </c>
      <c r="Y14" s="17">
        <f t="shared" si="6"/>
        <v>14</v>
      </c>
      <c r="Z14" s="17">
        <f t="shared" si="6"/>
        <v>14</v>
      </c>
      <c r="AA14" s="17">
        <f t="shared" si="6"/>
        <v>4.4285714285714288</v>
      </c>
      <c r="AB14" s="17">
        <f t="shared" si="6"/>
        <v>3.1428571428571423</v>
      </c>
      <c r="AC14" s="17">
        <f t="shared" si="6"/>
        <v>383.28571428571433</v>
      </c>
      <c r="AD14" s="17">
        <f t="shared" si="6"/>
        <v>0.5714285714285714</v>
      </c>
      <c r="AE14" s="31">
        <f t="shared" si="6"/>
        <v>97.714285714285708</v>
      </c>
      <c r="AF14" s="31">
        <f t="shared" si="6"/>
        <v>481.00000000000006</v>
      </c>
    </row>
    <row r="15" spans="2:32" ht="23.1" customHeight="1" x14ac:dyDescent="0.25">
      <c r="B15" s="23" t="s">
        <v>42</v>
      </c>
      <c r="C15" s="49">
        <f>'Avg Week Musita-Lumino'!C15+'Avg Week Lumino-Musita'!C15</f>
        <v>4.7142857142857144</v>
      </c>
      <c r="D15" s="49">
        <f>'Avg Week Musita-Lumino'!D15+'Avg Week Lumino-Musita'!D15</f>
        <v>2.2857142857142856</v>
      </c>
      <c r="E15" s="49">
        <f>'Avg Week Musita-Lumino'!E15+'Avg Week Lumino-Musita'!E15</f>
        <v>1</v>
      </c>
      <c r="F15" s="49">
        <f>'Avg Week Musita-Lumino'!F15+'Avg Week Lumino-Musita'!F15</f>
        <v>1.7142857142857142</v>
      </c>
      <c r="G15" s="49">
        <f>'Avg Week Musita-Lumino'!G15+'Avg Week Lumino-Musita'!G15</f>
        <v>0.5714285714285714</v>
      </c>
      <c r="H15" s="49">
        <f>'Avg Week Musita-Lumino'!H15+'Avg Week Lumino-Musita'!H15</f>
        <v>0.2857142857142857</v>
      </c>
      <c r="I15" s="49">
        <f>'Avg Week Musita-Lumino'!I15+'Avg Week Lumino-Musita'!I15</f>
        <v>2</v>
      </c>
      <c r="J15" s="49">
        <f>'Avg Week Musita-Lumino'!J15+'Avg Week Lumino-Musita'!J15</f>
        <v>3.5714285714285712</v>
      </c>
      <c r="K15" s="49">
        <f>'Avg Week Musita-Lumino'!K15+'Avg Week Lumino-Musita'!K15</f>
        <v>0.7142857142857143</v>
      </c>
      <c r="L15" s="49">
        <f>'Avg Week Musita-Lumino'!L15+'Avg Week Lumino-Musita'!L15</f>
        <v>0.71428571428571419</v>
      </c>
      <c r="M15" s="49">
        <f>'Avg Week Musita-Lumino'!M15+'Avg Week Lumino-Musita'!M15</f>
        <v>68.285714285714292</v>
      </c>
      <c r="N15" s="49">
        <f>'Avg Week Musita-Lumino'!N15+'Avg Week Lumino-Musita'!N15</f>
        <v>0.14285714285714285</v>
      </c>
      <c r="O15" s="15">
        <f t="shared" si="0"/>
        <v>17.714285714285715</v>
      </c>
      <c r="P15" s="15">
        <f t="shared" si="1"/>
        <v>86</v>
      </c>
      <c r="R15" s="1" t="s">
        <v>11</v>
      </c>
      <c r="S15" s="17">
        <f t="shared" ref="S15:AF15" si="7">SUM(C30:C33)</f>
        <v>37.428571428571431</v>
      </c>
      <c r="T15" s="17">
        <f t="shared" si="7"/>
        <v>8.4285714285714288</v>
      </c>
      <c r="U15" s="17">
        <f t="shared" si="7"/>
        <v>7.9999999999999991</v>
      </c>
      <c r="V15" s="17">
        <f t="shared" si="7"/>
        <v>13.999999999999998</v>
      </c>
      <c r="W15" s="17">
        <f t="shared" si="7"/>
        <v>1.1428571428571428</v>
      </c>
      <c r="X15" s="17">
        <f t="shared" si="7"/>
        <v>0.14285714285714285</v>
      </c>
      <c r="Y15" s="17">
        <f t="shared" si="7"/>
        <v>16.857142857142858</v>
      </c>
      <c r="Z15" s="17">
        <f t="shared" si="7"/>
        <v>13.428571428571427</v>
      </c>
      <c r="AA15" s="17">
        <f t="shared" si="7"/>
        <v>2.8571428571428568</v>
      </c>
      <c r="AB15" s="17">
        <f t="shared" si="7"/>
        <v>3.4285714285714288</v>
      </c>
      <c r="AC15" s="17">
        <f t="shared" si="7"/>
        <v>353.42857142857144</v>
      </c>
      <c r="AD15" s="17">
        <f t="shared" si="7"/>
        <v>0.5714285714285714</v>
      </c>
      <c r="AE15" s="31">
        <f t="shared" si="7"/>
        <v>106.28571428571428</v>
      </c>
      <c r="AF15" s="31">
        <f t="shared" si="7"/>
        <v>459.71428571428578</v>
      </c>
    </row>
    <row r="16" spans="2:32" ht="23.1" customHeight="1" x14ac:dyDescent="0.25">
      <c r="B16" s="23" t="s">
        <v>43</v>
      </c>
      <c r="C16" s="49">
        <f>'Avg Week Musita-Lumino'!C16+'Avg Week Lumino-Musita'!C16</f>
        <v>5.7142857142857144</v>
      </c>
      <c r="D16" s="49">
        <f>'Avg Week Musita-Lumino'!D16+'Avg Week Lumino-Musita'!D16</f>
        <v>3.4285714285714284</v>
      </c>
      <c r="E16" s="49">
        <f>'Avg Week Musita-Lumino'!E16+'Avg Week Lumino-Musita'!E16</f>
        <v>1.7142857142857142</v>
      </c>
      <c r="F16" s="49">
        <f>'Avg Week Musita-Lumino'!F16+'Avg Week Lumino-Musita'!F16</f>
        <v>2.2857142857142856</v>
      </c>
      <c r="G16" s="49">
        <f>'Avg Week Musita-Lumino'!G16+'Avg Week Lumino-Musita'!G16</f>
        <v>0.5714285714285714</v>
      </c>
      <c r="H16" s="49">
        <f>'Avg Week Musita-Lumino'!H16+'Avg Week Lumino-Musita'!H16</f>
        <v>0</v>
      </c>
      <c r="I16" s="49">
        <f>'Avg Week Musita-Lumino'!I16+'Avg Week Lumino-Musita'!I16</f>
        <v>3.5714285714285712</v>
      </c>
      <c r="J16" s="49">
        <f>'Avg Week Musita-Lumino'!J16+'Avg Week Lumino-Musita'!J16</f>
        <v>4.8571428571428577</v>
      </c>
      <c r="K16" s="49">
        <f>'Avg Week Musita-Lumino'!K16+'Avg Week Lumino-Musita'!K16</f>
        <v>0.2857142857142857</v>
      </c>
      <c r="L16" s="49">
        <f>'Avg Week Musita-Lumino'!L16+'Avg Week Lumino-Musita'!L16</f>
        <v>0.14285714285714285</v>
      </c>
      <c r="M16" s="49">
        <f>'Avg Week Musita-Lumino'!M16+'Avg Week Lumino-Musita'!M16</f>
        <v>83.285714285714292</v>
      </c>
      <c r="N16" s="49">
        <f>'Avg Week Musita-Lumino'!N16+'Avg Week Lumino-Musita'!N16</f>
        <v>0.2857142857142857</v>
      </c>
      <c r="O16" s="15">
        <f t="shared" si="0"/>
        <v>22.857142857142854</v>
      </c>
      <c r="P16" s="15">
        <f t="shared" si="1"/>
        <v>106.14285714285715</v>
      </c>
      <c r="R16" s="1" t="s">
        <v>12</v>
      </c>
      <c r="S16" s="17">
        <f t="shared" ref="S16:AF16" si="8">SUM(C34:C37)</f>
        <v>36.571428571428569</v>
      </c>
      <c r="T16" s="17">
        <f t="shared" si="8"/>
        <v>5.2857142857142856</v>
      </c>
      <c r="U16" s="17">
        <f t="shared" si="8"/>
        <v>6</v>
      </c>
      <c r="V16" s="17">
        <f t="shared" si="8"/>
        <v>12.285714285714286</v>
      </c>
      <c r="W16" s="17">
        <f t="shared" si="8"/>
        <v>1.2857142857142856</v>
      </c>
      <c r="X16" s="17">
        <f t="shared" si="8"/>
        <v>0.42857142857142855</v>
      </c>
      <c r="Y16" s="17">
        <f t="shared" si="8"/>
        <v>16</v>
      </c>
      <c r="Z16" s="17">
        <f t="shared" si="8"/>
        <v>15.285714285714285</v>
      </c>
      <c r="AA16" s="17">
        <f t="shared" si="8"/>
        <v>2.2857142857142856</v>
      </c>
      <c r="AB16" s="17">
        <f t="shared" si="8"/>
        <v>5.2857142857142856</v>
      </c>
      <c r="AC16" s="17">
        <f t="shared" si="8"/>
        <v>317.42857142857144</v>
      </c>
      <c r="AD16" s="17">
        <f t="shared" si="8"/>
        <v>1</v>
      </c>
      <c r="AE16" s="31">
        <f t="shared" si="8"/>
        <v>101.71428571428571</v>
      </c>
      <c r="AF16" s="31">
        <f t="shared" si="8"/>
        <v>419.14285714285711</v>
      </c>
    </row>
    <row r="17" spans="2:32" ht="23.1" customHeight="1" x14ac:dyDescent="0.25">
      <c r="B17" s="23" t="s">
        <v>44</v>
      </c>
      <c r="C17" s="49">
        <f>'Avg Week Musita-Lumino'!C17+'Avg Week Lumino-Musita'!C17</f>
        <v>5.8571428571428577</v>
      </c>
      <c r="D17" s="49">
        <f>'Avg Week Musita-Lumino'!D17+'Avg Week Lumino-Musita'!D17</f>
        <v>2.5714285714285712</v>
      </c>
      <c r="E17" s="49">
        <f>'Avg Week Musita-Lumino'!E17+'Avg Week Lumino-Musita'!E17</f>
        <v>2</v>
      </c>
      <c r="F17" s="49">
        <f>'Avg Week Musita-Lumino'!F17+'Avg Week Lumino-Musita'!F17</f>
        <v>2</v>
      </c>
      <c r="G17" s="49">
        <f>'Avg Week Musita-Lumino'!G17+'Avg Week Lumino-Musita'!G17</f>
        <v>0.42857142857142855</v>
      </c>
      <c r="H17" s="49">
        <f>'Avg Week Musita-Lumino'!H17+'Avg Week Lumino-Musita'!H17</f>
        <v>0</v>
      </c>
      <c r="I17" s="49">
        <f>'Avg Week Musita-Lumino'!I17+'Avg Week Lumino-Musita'!I17</f>
        <v>2.2857142857142856</v>
      </c>
      <c r="J17" s="49">
        <f>'Avg Week Musita-Lumino'!J17+'Avg Week Lumino-Musita'!J17</f>
        <v>3.4285714285714284</v>
      </c>
      <c r="K17" s="49">
        <f>'Avg Week Musita-Lumino'!K17+'Avg Week Lumino-Musita'!K17</f>
        <v>0.85714285714285721</v>
      </c>
      <c r="L17" s="49">
        <f>'Avg Week Musita-Lumino'!L17+'Avg Week Lumino-Musita'!L17</f>
        <v>0.5714285714285714</v>
      </c>
      <c r="M17" s="49">
        <f>'Avg Week Musita-Lumino'!M17+'Avg Week Lumino-Musita'!M17</f>
        <v>78.571428571428584</v>
      </c>
      <c r="N17" s="49">
        <f>'Avg Week Musita-Lumino'!N17+'Avg Week Lumino-Musita'!N17</f>
        <v>0.14285714285714285</v>
      </c>
      <c r="O17" s="15">
        <f t="shared" si="0"/>
        <v>20.142857142857142</v>
      </c>
      <c r="P17" s="15">
        <f t="shared" si="1"/>
        <v>98.714285714285722</v>
      </c>
      <c r="R17" s="1" t="s">
        <v>13</v>
      </c>
      <c r="S17" s="17">
        <f t="shared" ref="S17:AF17" si="9">SUM(C38:C41)</f>
        <v>32.285714285714285</v>
      </c>
      <c r="T17" s="17">
        <f t="shared" si="9"/>
        <v>9.5714285714285712</v>
      </c>
      <c r="U17" s="17">
        <f t="shared" si="9"/>
        <v>5.7142857142857135</v>
      </c>
      <c r="V17" s="17">
        <f t="shared" si="9"/>
        <v>15.428571428571429</v>
      </c>
      <c r="W17" s="17">
        <f t="shared" si="9"/>
        <v>1.1428571428571428</v>
      </c>
      <c r="X17" s="17">
        <f t="shared" si="9"/>
        <v>0.42857142857142855</v>
      </c>
      <c r="Y17" s="17">
        <f t="shared" si="9"/>
        <v>14.714285714285714</v>
      </c>
      <c r="Z17" s="17">
        <f t="shared" si="9"/>
        <v>16.571428571428569</v>
      </c>
      <c r="AA17" s="17">
        <f t="shared" si="9"/>
        <v>3.714285714285714</v>
      </c>
      <c r="AB17" s="17">
        <f t="shared" si="9"/>
        <v>2.4285714285714284</v>
      </c>
      <c r="AC17" s="17">
        <f t="shared" si="9"/>
        <v>275.14285714285717</v>
      </c>
      <c r="AD17" s="17">
        <f t="shared" si="9"/>
        <v>0.71428571428571419</v>
      </c>
      <c r="AE17" s="31">
        <f t="shared" si="9"/>
        <v>102.71428571428569</v>
      </c>
      <c r="AF17" s="31">
        <f t="shared" si="9"/>
        <v>377.85714285714289</v>
      </c>
    </row>
    <row r="18" spans="2:32" ht="23.1" customHeight="1" x14ac:dyDescent="0.25">
      <c r="B18" s="23" t="s">
        <v>45</v>
      </c>
      <c r="C18" s="49">
        <f>'Avg Week Musita-Lumino'!C18+'Avg Week Lumino-Musita'!C18</f>
        <v>5.7142857142857135</v>
      </c>
      <c r="D18" s="49">
        <f>'Avg Week Musita-Lumino'!D18+'Avg Week Lumino-Musita'!D18</f>
        <v>2.4285714285714288</v>
      </c>
      <c r="E18" s="49">
        <f>'Avg Week Musita-Lumino'!E18+'Avg Week Lumino-Musita'!E18</f>
        <v>1.1428571428571428</v>
      </c>
      <c r="F18" s="49">
        <f>'Avg Week Musita-Lumino'!F18+'Avg Week Lumino-Musita'!F18</f>
        <v>1.4285714285714284</v>
      </c>
      <c r="G18" s="49">
        <f>'Avg Week Musita-Lumino'!G18+'Avg Week Lumino-Musita'!G18</f>
        <v>0.14285714285714285</v>
      </c>
      <c r="H18" s="49">
        <f>'Avg Week Musita-Lumino'!H18+'Avg Week Lumino-Musita'!H18</f>
        <v>0</v>
      </c>
      <c r="I18" s="49">
        <f>'Avg Week Musita-Lumino'!I18+'Avg Week Lumino-Musita'!I18</f>
        <v>2.5714285714285716</v>
      </c>
      <c r="J18" s="49">
        <f>'Avg Week Musita-Lumino'!J18+'Avg Week Lumino-Musita'!J18</f>
        <v>3.4285714285714288</v>
      </c>
      <c r="K18" s="49">
        <f>'Avg Week Musita-Lumino'!K18+'Avg Week Lumino-Musita'!K18</f>
        <v>0.2857142857142857</v>
      </c>
      <c r="L18" s="49">
        <f>'Avg Week Musita-Lumino'!L18+'Avg Week Lumino-Musita'!L18</f>
        <v>0.14285714285714285</v>
      </c>
      <c r="M18" s="49">
        <f>'Avg Week Musita-Lumino'!M18+'Avg Week Lumino-Musita'!M18</f>
        <v>67.142857142857139</v>
      </c>
      <c r="N18" s="49">
        <f>'Avg Week Musita-Lumino'!N18+'Avg Week Lumino-Musita'!N18</f>
        <v>0.2857142857142857</v>
      </c>
      <c r="O18" s="15">
        <f t="shared" si="0"/>
        <v>17.571428571428566</v>
      </c>
      <c r="P18" s="15">
        <f t="shared" si="1"/>
        <v>84.714285714285708</v>
      </c>
      <c r="R18" s="1" t="s">
        <v>14</v>
      </c>
      <c r="S18" s="17">
        <f t="shared" ref="S18:AF18" si="10">SUM(C42:C45)</f>
        <v>31.428571428571431</v>
      </c>
      <c r="T18" s="17">
        <f t="shared" si="10"/>
        <v>11.857142857142856</v>
      </c>
      <c r="U18" s="17">
        <f t="shared" si="10"/>
        <v>8.4285714285714288</v>
      </c>
      <c r="V18" s="17">
        <f t="shared" si="10"/>
        <v>13</v>
      </c>
      <c r="W18" s="17">
        <f t="shared" si="10"/>
        <v>0.71428571428571419</v>
      </c>
      <c r="X18" s="17">
        <f t="shared" si="10"/>
        <v>0.42857142857142855</v>
      </c>
      <c r="Y18" s="17">
        <f t="shared" si="10"/>
        <v>13.428571428571427</v>
      </c>
      <c r="Z18" s="17">
        <f t="shared" si="10"/>
        <v>23.285714285714285</v>
      </c>
      <c r="AA18" s="17">
        <f t="shared" si="10"/>
        <v>2.7142857142857144</v>
      </c>
      <c r="AB18" s="17">
        <f t="shared" si="10"/>
        <v>4.2857142857142865</v>
      </c>
      <c r="AC18" s="17">
        <f t="shared" si="10"/>
        <v>313.42857142857144</v>
      </c>
      <c r="AD18" s="17">
        <f t="shared" si="10"/>
        <v>0.71428571428571419</v>
      </c>
      <c r="AE18" s="31">
        <f t="shared" si="10"/>
        <v>110.28571428571429</v>
      </c>
      <c r="AF18" s="31">
        <f t="shared" si="10"/>
        <v>423.71428571428567</v>
      </c>
    </row>
    <row r="19" spans="2:32" ht="23.1" customHeight="1" x14ac:dyDescent="0.25">
      <c r="B19" s="23" t="s">
        <v>46</v>
      </c>
      <c r="C19" s="49">
        <f>'Avg Week Musita-Lumino'!C19+'Avg Week Lumino-Musita'!C19</f>
        <v>5.4285714285714288</v>
      </c>
      <c r="D19" s="49">
        <f>'Avg Week Musita-Lumino'!D19+'Avg Week Lumino-Musita'!D19</f>
        <v>1.8571428571428572</v>
      </c>
      <c r="E19" s="49">
        <f>'Avg Week Musita-Lumino'!E19+'Avg Week Lumino-Musita'!E19</f>
        <v>1.1428571428571428</v>
      </c>
      <c r="F19" s="49">
        <f>'Avg Week Musita-Lumino'!F19+'Avg Week Lumino-Musita'!F19</f>
        <v>2.7142857142857144</v>
      </c>
      <c r="G19" s="49">
        <f>'Avg Week Musita-Lumino'!G19+'Avg Week Lumino-Musita'!G19</f>
        <v>0.14285714285714285</v>
      </c>
      <c r="H19" s="49">
        <f>'Avg Week Musita-Lumino'!H19+'Avg Week Lumino-Musita'!H19</f>
        <v>0</v>
      </c>
      <c r="I19" s="49">
        <f>'Avg Week Musita-Lumino'!I19+'Avg Week Lumino-Musita'!I19</f>
        <v>2.1428571428571428</v>
      </c>
      <c r="J19" s="49">
        <f>'Avg Week Musita-Lumino'!J19+'Avg Week Lumino-Musita'!J19</f>
        <v>2.5714285714285712</v>
      </c>
      <c r="K19" s="49">
        <f>'Avg Week Musita-Lumino'!K19+'Avg Week Lumino-Musita'!K19</f>
        <v>0.42857142857142855</v>
      </c>
      <c r="L19" s="49">
        <f>'Avg Week Musita-Lumino'!L19+'Avg Week Lumino-Musita'!L19</f>
        <v>0</v>
      </c>
      <c r="M19" s="49">
        <f>'Avg Week Musita-Lumino'!M19+'Avg Week Lumino-Musita'!M19</f>
        <v>75.571428571428569</v>
      </c>
      <c r="N19" s="49">
        <f>'Avg Week Musita-Lumino'!N19+'Avg Week Lumino-Musita'!N19</f>
        <v>0.2857142857142857</v>
      </c>
      <c r="O19" s="15">
        <f t="shared" si="0"/>
        <v>16.714285714285712</v>
      </c>
      <c r="P19" s="15">
        <f t="shared" si="1"/>
        <v>92.285714285714292</v>
      </c>
      <c r="R19" s="1" t="s">
        <v>15</v>
      </c>
      <c r="S19" s="17">
        <f t="shared" ref="S19:AF19" si="11">SUM(C46:C49)</f>
        <v>37.142857142857139</v>
      </c>
      <c r="T19" s="17">
        <f t="shared" si="11"/>
        <v>8.8571428571428577</v>
      </c>
      <c r="U19" s="17">
        <f t="shared" si="11"/>
        <v>7.7142857142857135</v>
      </c>
      <c r="V19" s="17">
        <f t="shared" si="11"/>
        <v>13.571428571428573</v>
      </c>
      <c r="W19" s="17">
        <f t="shared" si="11"/>
        <v>0.42857142857142855</v>
      </c>
      <c r="X19" s="17">
        <f t="shared" si="11"/>
        <v>0</v>
      </c>
      <c r="Y19" s="17">
        <f t="shared" si="11"/>
        <v>23.571428571428573</v>
      </c>
      <c r="Z19" s="17">
        <f t="shared" si="11"/>
        <v>14.857142857142858</v>
      </c>
      <c r="AA19" s="17">
        <f t="shared" si="11"/>
        <v>2.7142857142857144</v>
      </c>
      <c r="AB19" s="17">
        <f t="shared" si="11"/>
        <v>4</v>
      </c>
      <c r="AC19" s="17">
        <f t="shared" si="11"/>
        <v>364.28571428571428</v>
      </c>
      <c r="AD19" s="17">
        <f t="shared" si="11"/>
        <v>0.71428571428571419</v>
      </c>
      <c r="AE19" s="31">
        <f t="shared" si="11"/>
        <v>113.57142857142856</v>
      </c>
      <c r="AF19" s="31">
        <f t="shared" si="11"/>
        <v>477.85714285714289</v>
      </c>
    </row>
    <row r="20" spans="2:32" ht="23.1" customHeight="1" x14ac:dyDescent="0.25">
      <c r="B20" s="23" t="s">
        <v>47</v>
      </c>
      <c r="C20" s="49">
        <f>'Avg Week Musita-Lumino'!C20+'Avg Week Lumino-Musita'!C20</f>
        <v>6.5714285714285712</v>
      </c>
      <c r="D20" s="49">
        <f>'Avg Week Musita-Lumino'!D20+'Avg Week Lumino-Musita'!D20</f>
        <v>1.2857142857142856</v>
      </c>
      <c r="E20" s="49">
        <f>'Avg Week Musita-Lumino'!E20+'Avg Week Lumino-Musita'!E20</f>
        <v>1.1428571428571428</v>
      </c>
      <c r="F20" s="49">
        <f>'Avg Week Musita-Lumino'!F20+'Avg Week Lumino-Musita'!F20</f>
        <v>1.7142857142857142</v>
      </c>
      <c r="G20" s="49">
        <f>'Avg Week Musita-Lumino'!G20+'Avg Week Lumino-Musita'!G20</f>
        <v>0.14285714285714285</v>
      </c>
      <c r="H20" s="49">
        <f>'Avg Week Musita-Lumino'!H20+'Avg Week Lumino-Musita'!H20</f>
        <v>0</v>
      </c>
      <c r="I20" s="49">
        <f>'Avg Week Musita-Lumino'!I20+'Avg Week Lumino-Musita'!I20</f>
        <v>2.2857142857142856</v>
      </c>
      <c r="J20" s="49">
        <f>'Avg Week Musita-Lumino'!J20+'Avg Week Lumino-Musita'!J20</f>
        <v>2.2857142857142856</v>
      </c>
      <c r="K20" s="49">
        <f>'Avg Week Musita-Lumino'!K20+'Avg Week Lumino-Musita'!K20</f>
        <v>1.7142857142857144</v>
      </c>
      <c r="L20" s="49">
        <f>'Avg Week Musita-Lumino'!L20+'Avg Week Lumino-Musita'!L20</f>
        <v>0.8571428571428571</v>
      </c>
      <c r="M20" s="49">
        <f>'Avg Week Musita-Lumino'!M20+'Avg Week Lumino-Musita'!M20</f>
        <v>77</v>
      </c>
      <c r="N20" s="49">
        <f>'Avg Week Musita-Lumino'!N20+'Avg Week Lumino-Musita'!N20</f>
        <v>0.42857142857142855</v>
      </c>
      <c r="O20" s="15">
        <f t="shared" si="0"/>
        <v>18.428571428571427</v>
      </c>
      <c r="P20" s="15">
        <f t="shared" si="1"/>
        <v>95.428571428571431</v>
      </c>
      <c r="R20" s="1" t="s">
        <v>16</v>
      </c>
      <c r="S20" s="17">
        <f t="shared" ref="S20:AF20" si="12">SUM(C50:C53)</f>
        <v>31</v>
      </c>
      <c r="T20" s="17">
        <f t="shared" si="12"/>
        <v>14.714285714285715</v>
      </c>
      <c r="U20" s="17">
        <f t="shared" si="12"/>
        <v>7.4285714285714279</v>
      </c>
      <c r="V20" s="17">
        <f t="shared" si="12"/>
        <v>14.000000000000002</v>
      </c>
      <c r="W20" s="17">
        <f t="shared" si="12"/>
        <v>1.1428571428571428</v>
      </c>
      <c r="X20" s="17">
        <f t="shared" si="12"/>
        <v>0.2857142857142857</v>
      </c>
      <c r="Y20" s="17">
        <f t="shared" si="12"/>
        <v>18.714285714285715</v>
      </c>
      <c r="Z20" s="17">
        <f t="shared" si="12"/>
        <v>17.714285714285715</v>
      </c>
      <c r="AA20" s="17">
        <f t="shared" si="12"/>
        <v>4</v>
      </c>
      <c r="AB20" s="17">
        <f t="shared" si="12"/>
        <v>3.4285714285714284</v>
      </c>
      <c r="AC20" s="17">
        <f t="shared" si="12"/>
        <v>368.14285714285711</v>
      </c>
      <c r="AD20" s="17">
        <f t="shared" si="12"/>
        <v>0.71428571428571419</v>
      </c>
      <c r="AE20" s="31">
        <f t="shared" si="12"/>
        <v>113.14285714285714</v>
      </c>
      <c r="AF20" s="31">
        <f t="shared" si="12"/>
        <v>481.28571428571433</v>
      </c>
    </row>
    <row r="21" spans="2:32" ht="23.1" customHeight="1" x14ac:dyDescent="0.25">
      <c r="B21" s="23" t="s">
        <v>48</v>
      </c>
      <c r="C21" s="49">
        <f>'Avg Week Musita-Lumino'!C21+'Avg Week Lumino-Musita'!C21</f>
        <v>8.7142857142857153</v>
      </c>
      <c r="D21" s="49">
        <f>'Avg Week Musita-Lumino'!D21+'Avg Week Lumino-Musita'!D21</f>
        <v>3.2857142857142856</v>
      </c>
      <c r="E21" s="49">
        <f>'Avg Week Musita-Lumino'!E21+'Avg Week Lumino-Musita'!E21</f>
        <v>1.5714285714285714</v>
      </c>
      <c r="F21" s="49">
        <f>'Avg Week Musita-Lumino'!F21+'Avg Week Lumino-Musita'!F21</f>
        <v>2.1428571428571428</v>
      </c>
      <c r="G21" s="49">
        <f>'Avg Week Musita-Lumino'!G21+'Avg Week Lumino-Musita'!G21</f>
        <v>0</v>
      </c>
      <c r="H21" s="49">
        <f>'Avg Week Musita-Lumino'!H21+'Avg Week Lumino-Musita'!H21</f>
        <v>0</v>
      </c>
      <c r="I21" s="49">
        <f>'Avg Week Musita-Lumino'!I21+'Avg Week Lumino-Musita'!I21</f>
        <v>3.1428571428571428</v>
      </c>
      <c r="J21" s="49">
        <f>'Avg Week Musita-Lumino'!J21+'Avg Week Lumino-Musita'!J21</f>
        <v>2.7142857142857144</v>
      </c>
      <c r="K21" s="49">
        <f>'Avg Week Musita-Lumino'!K21+'Avg Week Lumino-Musita'!K21</f>
        <v>2.1428571428571428</v>
      </c>
      <c r="L21" s="49">
        <f>'Avg Week Musita-Lumino'!L21+'Avg Week Lumino-Musita'!L21</f>
        <v>0.14285714285714285</v>
      </c>
      <c r="M21" s="49">
        <f>'Avg Week Musita-Lumino'!M21+'Avg Week Lumino-Musita'!M21</f>
        <v>76</v>
      </c>
      <c r="N21" s="49">
        <f>'Avg Week Musita-Lumino'!N21+'Avg Week Lumino-Musita'!N21</f>
        <v>0</v>
      </c>
      <c r="O21" s="15">
        <f t="shared" si="0"/>
        <v>23.857142857142858</v>
      </c>
      <c r="P21" s="15">
        <f t="shared" si="1"/>
        <v>99.857142857142861</v>
      </c>
      <c r="R21" s="36" t="s">
        <v>20</v>
      </c>
      <c r="S21" s="34">
        <f t="shared" ref="S21:AF21" si="13">SUM(C54:C57)</f>
        <v>40.857142857142854</v>
      </c>
      <c r="T21" s="17">
        <f t="shared" si="13"/>
        <v>14.571428571428573</v>
      </c>
      <c r="U21" s="17">
        <f t="shared" si="13"/>
        <v>9.2857142857142865</v>
      </c>
      <c r="V21" s="17">
        <f t="shared" si="13"/>
        <v>17.857142857142858</v>
      </c>
      <c r="W21" s="17">
        <f t="shared" si="13"/>
        <v>2</v>
      </c>
      <c r="X21" s="17">
        <f t="shared" si="13"/>
        <v>0.14285714285714285</v>
      </c>
      <c r="Y21" s="17">
        <f t="shared" si="13"/>
        <v>16.142857142857142</v>
      </c>
      <c r="Z21" s="17">
        <f t="shared" si="13"/>
        <v>23.571428571428573</v>
      </c>
      <c r="AA21" s="17">
        <f t="shared" si="13"/>
        <v>5</v>
      </c>
      <c r="AB21" s="17">
        <f t="shared" si="13"/>
        <v>3.2857142857142856</v>
      </c>
      <c r="AC21" s="17">
        <f t="shared" si="13"/>
        <v>329.42857142857144</v>
      </c>
      <c r="AD21" s="17">
        <f t="shared" si="13"/>
        <v>1.2857142857142856</v>
      </c>
      <c r="AE21" s="31">
        <f t="shared" si="13"/>
        <v>134</v>
      </c>
      <c r="AF21" s="31">
        <f t="shared" si="13"/>
        <v>463.42857142857144</v>
      </c>
    </row>
    <row r="22" spans="2:32" ht="23.1" customHeight="1" x14ac:dyDescent="0.25">
      <c r="B22" s="23" t="s">
        <v>49</v>
      </c>
      <c r="C22" s="49">
        <f>'Avg Week Musita-Lumino'!C22+'Avg Week Lumino-Musita'!C22</f>
        <v>9.7142857142857153</v>
      </c>
      <c r="D22" s="49">
        <f>'Avg Week Musita-Lumino'!D22+'Avg Week Lumino-Musita'!D22</f>
        <v>3.1428571428571432</v>
      </c>
      <c r="E22" s="49">
        <f>'Avg Week Musita-Lumino'!E22+'Avg Week Lumino-Musita'!E22</f>
        <v>0.71428571428571419</v>
      </c>
      <c r="F22" s="49">
        <f>'Avg Week Musita-Lumino'!F22+'Avg Week Lumino-Musita'!F22</f>
        <v>3.4285714285714284</v>
      </c>
      <c r="G22" s="49">
        <f>'Avg Week Musita-Lumino'!G22+'Avg Week Lumino-Musita'!G22</f>
        <v>0.42857142857142855</v>
      </c>
      <c r="H22" s="49">
        <f>'Avg Week Musita-Lumino'!H22+'Avg Week Lumino-Musita'!H22</f>
        <v>0</v>
      </c>
      <c r="I22" s="49">
        <f>'Avg Week Musita-Lumino'!I22+'Avg Week Lumino-Musita'!I22</f>
        <v>5.4285714285714288</v>
      </c>
      <c r="J22" s="49">
        <f>'Avg Week Musita-Lumino'!J22+'Avg Week Lumino-Musita'!J22</f>
        <v>3.8571428571428572</v>
      </c>
      <c r="K22" s="49">
        <f>'Avg Week Musita-Lumino'!K22+'Avg Week Lumino-Musita'!K22</f>
        <v>1.1428571428571428</v>
      </c>
      <c r="L22" s="49">
        <f>'Avg Week Musita-Lumino'!L22+'Avg Week Lumino-Musita'!L22</f>
        <v>0.14285714285714285</v>
      </c>
      <c r="M22" s="49">
        <f>'Avg Week Musita-Lumino'!M22+'Avg Week Lumino-Musita'!M22</f>
        <v>79.428571428571431</v>
      </c>
      <c r="N22" s="49">
        <f>'Avg Week Musita-Lumino'!N22+'Avg Week Lumino-Musita'!N22</f>
        <v>0.42857142857142855</v>
      </c>
      <c r="O22" s="15">
        <f t="shared" si="0"/>
        <v>28.428571428571423</v>
      </c>
      <c r="P22" s="15">
        <f t="shared" si="1"/>
        <v>107.85714285714286</v>
      </c>
      <c r="R22" s="1" t="s">
        <v>146</v>
      </c>
      <c r="S22" s="34">
        <f>SUM(C58:C61)</f>
        <v>48.5</v>
      </c>
      <c r="T22" s="34">
        <f t="shared" ref="T22:AF22" si="14">SUM(D58:D61)</f>
        <v>7.5</v>
      </c>
      <c r="U22" s="34">
        <f t="shared" si="14"/>
        <v>8</v>
      </c>
      <c r="V22" s="34">
        <f t="shared" si="14"/>
        <v>17.5</v>
      </c>
      <c r="W22" s="34">
        <f t="shared" si="14"/>
        <v>2.5</v>
      </c>
      <c r="X22" s="34">
        <f t="shared" si="14"/>
        <v>1.5</v>
      </c>
      <c r="Y22" s="34">
        <f t="shared" si="14"/>
        <v>16.5</v>
      </c>
      <c r="Z22" s="34">
        <f t="shared" si="14"/>
        <v>27</v>
      </c>
      <c r="AA22" s="34">
        <f t="shared" si="14"/>
        <v>8</v>
      </c>
      <c r="AB22" s="34">
        <f t="shared" si="14"/>
        <v>6.5</v>
      </c>
      <c r="AC22" s="34">
        <f t="shared" si="14"/>
        <v>319</v>
      </c>
      <c r="AD22" s="34">
        <f t="shared" si="14"/>
        <v>5</v>
      </c>
      <c r="AE22" s="31">
        <f t="shared" si="14"/>
        <v>148.5</v>
      </c>
      <c r="AF22" s="31">
        <f t="shared" si="14"/>
        <v>467.5</v>
      </c>
    </row>
    <row r="23" spans="2:32" ht="23.1" customHeight="1" x14ac:dyDescent="0.25">
      <c r="B23" s="23" t="s">
        <v>50</v>
      </c>
      <c r="C23" s="49">
        <f>'Avg Week Musita-Lumino'!C23+'Avg Week Lumino-Musita'!C23</f>
        <v>6.2857142857142856</v>
      </c>
      <c r="D23" s="49">
        <f>'Avg Week Musita-Lumino'!D23+'Avg Week Lumino-Musita'!D23</f>
        <v>1.8571428571428572</v>
      </c>
      <c r="E23" s="49">
        <f>'Avg Week Musita-Lumino'!E23+'Avg Week Lumino-Musita'!E23</f>
        <v>1.7142857142857142</v>
      </c>
      <c r="F23" s="49">
        <f>'Avg Week Musita-Lumino'!F23+'Avg Week Lumino-Musita'!F23</f>
        <v>2.7142857142857144</v>
      </c>
      <c r="G23" s="49">
        <f>'Avg Week Musita-Lumino'!G23+'Avg Week Lumino-Musita'!G23</f>
        <v>0</v>
      </c>
      <c r="H23" s="49">
        <f>'Avg Week Musita-Lumino'!H23+'Avg Week Lumino-Musita'!H23</f>
        <v>0</v>
      </c>
      <c r="I23" s="49">
        <f>'Avg Week Musita-Lumino'!I23+'Avg Week Lumino-Musita'!I23</f>
        <v>2.8571428571428572</v>
      </c>
      <c r="J23" s="49">
        <f>'Avg Week Musita-Lumino'!J23+'Avg Week Lumino-Musita'!J23</f>
        <v>3.4285714285714288</v>
      </c>
      <c r="K23" s="49">
        <f>'Avg Week Musita-Lumino'!K23+'Avg Week Lumino-Musita'!K23</f>
        <v>0.71428571428571419</v>
      </c>
      <c r="L23" s="49">
        <f>'Avg Week Musita-Lumino'!L23+'Avg Week Lumino-Musita'!L23</f>
        <v>0.8571428571428571</v>
      </c>
      <c r="M23" s="49">
        <f>'Avg Week Musita-Lumino'!M23+'Avg Week Lumino-Musita'!M23</f>
        <v>79.428571428571416</v>
      </c>
      <c r="N23" s="49">
        <f>'Avg Week Musita-Lumino'!N23+'Avg Week Lumino-Musita'!N23</f>
        <v>0.14285714285714285</v>
      </c>
      <c r="O23" s="15">
        <f t="shared" si="0"/>
        <v>20.571428571428569</v>
      </c>
      <c r="P23" s="15">
        <f t="shared" si="1"/>
        <v>99.999999999999986</v>
      </c>
      <c r="R23" s="1" t="s">
        <v>147</v>
      </c>
      <c r="S23" s="34">
        <f>SUM(C62:C65)</f>
        <v>39</v>
      </c>
      <c r="T23" s="34">
        <f t="shared" ref="T23:AF23" si="15">SUM(D62:D65)</f>
        <v>3</v>
      </c>
      <c r="U23" s="34">
        <f t="shared" si="15"/>
        <v>4</v>
      </c>
      <c r="V23" s="34">
        <f t="shared" si="15"/>
        <v>10.5</v>
      </c>
      <c r="W23" s="34">
        <f t="shared" si="15"/>
        <v>0</v>
      </c>
      <c r="X23" s="34">
        <f t="shared" si="15"/>
        <v>0</v>
      </c>
      <c r="Y23" s="34">
        <f t="shared" si="15"/>
        <v>14.5</v>
      </c>
      <c r="Z23" s="34">
        <f t="shared" si="15"/>
        <v>9.5</v>
      </c>
      <c r="AA23" s="34">
        <f t="shared" si="15"/>
        <v>2.5</v>
      </c>
      <c r="AB23" s="34">
        <f t="shared" si="15"/>
        <v>11</v>
      </c>
      <c r="AC23" s="34">
        <f t="shared" si="15"/>
        <v>268</v>
      </c>
      <c r="AD23" s="34">
        <f t="shared" si="15"/>
        <v>0</v>
      </c>
      <c r="AE23" s="31">
        <f t="shared" si="15"/>
        <v>94</v>
      </c>
      <c r="AF23" s="31">
        <f t="shared" si="15"/>
        <v>362</v>
      </c>
    </row>
    <row r="24" spans="2:32" ht="23.1" customHeight="1" x14ac:dyDescent="0.25">
      <c r="B24" s="23" t="s">
        <v>51</v>
      </c>
      <c r="C24" s="49">
        <f>'Avg Week Musita-Lumino'!C24+'Avg Week Lumino-Musita'!C24</f>
        <v>6.7142857142857144</v>
      </c>
      <c r="D24" s="49">
        <f>'Avg Week Musita-Lumino'!D24+'Avg Week Lumino-Musita'!D24</f>
        <v>1.8571428571428572</v>
      </c>
      <c r="E24" s="49">
        <f>'Avg Week Musita-Lumino'!E24+'Avg Week Lumino-Musita'!E24</f>
        <v>1.7142857142857142</v>
      </c>
      <c r="F24" s="49">
        <f>'Avg Week Musita-Lumino'!F24+'Avg Week Lumino-Musita'!F24</f>
        <v>3.1428571428571432</v>
      </c>
      <c r="G24" s="49">
        <f>'Avg Week Musita-Lumino'!G24+'Avg Week Lumino-Musita'!G24</f>
        <v>0.14285714285714285</v>
      </c>
      <c r="H24" s="49">
        <f>'Avg Week Musita-Lumino'!H24+'Avg Week Lumino-Musita'!H24</f>
        <v>0</v>
      </c>
      <c r="I24" s="49">
        <f>'Avg Week Musita-Lumino'!I24+'Avg Week Lumino-Musita'!I24</f>
        <v>3</v>
      </c>
      <c r="J24" s="49">
        <f>'Avg Week Musita-Lumino'!J24+'Avg Week Lumino-Musita'!J24</f>
        <v>3.2857142857142856</v>
      </c>
      <c r="K24" s="49">
        <f>'Avg Week Musita-Lumino'!K24+'Avg Week Lumino-Musita'!K24</f>
        <v>1.2857142857142858</v>
      </c>
      <c r="L24" s="49">
        <f>'Avg Week Musita-Lumino'!L24+'Avg Week Lumino-Musita'!L24</f>
        <v>0.14285714285714285</v>
      </c>
      <c r="M24" s="49">
        <f>'Avg Week Musita-Lumino'!M24+'Avg Week Lumino-Musita'!M24</f>
        <v>76.571428571428569</v>
      </c>
      <c r="N24" s="49">
        <f>'Avg Week Musita-Lumino'!N24+'Avg Week Lumino-Musita'!N24</f>
        <v>0</v>
      </c>
      <c r="O24" s="15">
        <f t="shared" si="0"/>
        <v>21.285714285714281</v>
      </c>
      <c r="P24" s="15">
        <f t="shared" si="1"/>
        <v>97.857142857142847</v>
      </c>
      <c r="R24" s="1" t="s">
        <v>148</v>
      </c>
      <c r="S24" s="34">
        <f>SUM(C66:C69)</f>
        <v>16</v>
      </c>
      <c r="T24" s="34">
        <f t="shared" ref="T24:AF24" si="16">SUM(D66:D69)</f>
        <v>2</v>
      </c>
      <c r="U24" s="34">
        <f t="shared" si="16"/>
        <v>0.5</v>
      </c>
      <c r="V24" s="34">
        <f t="shared" si="16"/>
        <v>11.5</v>
      </c>
      <c r="W24" s="34">
        <f t="shared" si="16"/>
        <v>2</v>
      </c>
      <c r="X24" s="34">
        <f t="shared" si="16"/>
        <v>0.5</v>
      </c>
      <c r="Y24" s="34">
        <f t="shared" si="16"/>
        <v>4</v>
      </c>
      <c r="Z24" s="34">
        <f t="shared" si="16"/>
        <v>9.5</v>
      </c>
      <c r="AA24" s="34">
        <f t="shared" si="16"/>
        <v>2.5</v>
      </c>
      <c r="AB24" s="34">
        <f t="shared" si="16"/>
        <v>15</v>
      </c>
      <c r="AC24" s="34">
        <f t="shared" si="16"/>
        <v>82.5</v>
      </c>
      <c r="AD24" s="34">
        <f t="shared" si="16"/>
        <v>0.5</v>
      </c>
      <c r="AE24" s="31">
        <f t="shared" si="16"/>
        <v>64</v>
      </c>
      <c r="AF24" s="31">
        <f t="shared" si="16"/>
        <v>146.5</v>
      </c>
    </row>
    <row r="25" spans="2:32" ht="23.1" customHeight="1" x14ac:dyDescent="0.25">
      <c r="B25" s="23" t="s">
        <v>52</v>
      </c>
      <c r="C25" s="49">
        <f>'Avg Week Musita-Lumino'!C25+'Avg Week Lumino-Musita'!C25</f>
        <v>6.7142857142857135</v>
      </c>
      <c r="D25" s="49">
        <f>'Avg Week Musita-Lumino'!D25+'Avg Week Lumino-Musita'!D25</f>
        <v>2.7142857142857144</v>
      </c>
      <c r="E25" s="49">
        <f>'Avg Week Musita-Lumino'!E25+'Avg Week Lumino-Musita'!E25</f>
        <v>2.5714285714285712</v>
      </c>
      <c r="F25" s="49">
        <f>'Avg Week Musita-Lumino'!F25+'Avg Week Lumino-Musita'!F25</f>
        <v>3.1428571428571428</v>
      </c>
      <c r="G25" s="49">
        <f>'Avg Week Musita-Lumino'!G25+'Avg Week Lumino-Musita'!G25</f>
        <v>0</v>
      </c>
      <c r="H25" s="49">
        <f>'Avg Week Musita-Lumino'!H25+'Avg Week Lumino-Musita'!H25</f>
        <v>0.14285714285714285</v>
      </c>
      <c r="I25" s="49">
        <f>'Avg Week Musita-Lumino'!I25+'Avg Week Lumino-Musita'!I25</f>
        <v>3.5714285714285712</v>
      </c>
      <c r="J25" s="49">
        <f>'Avg Week Musita-Lumino'!J25+'Avg Week Lumino-Musita'!J25</f>
        <v>3.8571428571428572</v>
      </c>
      <c r="K25" s="49">
        <f>'Avg Week Musita-Lumino'!K25+'Avg Week Lumino-Musita'!K25</f>
        <v>0.5714285714285714</v>
      </c>
      <c r="L25" s="49">
        <f>'Avg Week Musita-Lumino'!L25+'Avg Week Lumino-Musita'!L25</f>
        <v>0.42857142857142855</v>
      </c>
      <c r="M25" s="49">
        <f>'Avg Week Musita-Lumino'!M25+'Avg Week Lumino-Musita'!M25</f>
        <v>76.428571428571431</v>
      </c>
      <c r="N25" s="49">
        <f>'Avg Week Musita-Lumino'!N25+'Avg Week Lumino-Musita'!N25</f>
        <v>0.14285714285714285</v>
      </c>
      <c r="O25" s="15">
        <f t="shared" si="0"/>
        <v>23.857142857142854</v>
      </c>
      <c r="P25" s="15">
        <f t="shared" si="1"/>
        <v>100.28571428571428</v>
      </c>
      <c r="R25" s="1" t="s">
        <v>149</v>
      </c>
      <c r="S25" s="34">
        <f>SUM(C70:C73)</f>
        <v>20</v>
      </c>
      <c r="T25" s="34">
        <f t="shared" ref="T25:AF25" si="17">SUM(D70:D73)</f>
        <v>6.5</v>
      </c>
      <c r="U25" s="34">
        <f t="shared" si="17"/>
        <v>1</v>
      </c>
      <c r="V25" s="34">
        <f t="shared" si="17"/>
        <v>4</v>
      </c>
      <c r="W25" s="34">
        <f t="shared" si="17"/>
        <v>1.5</v>
      </c>
      <c r="X25" s="34">
        <f t="shared" si="17"/>
        <v>0</v>
      </c>
      <c r="Y25" s="34">
        <f t="shared" si="17"/>
        <v>10</v>
      </c>
      <c r="Z25" s="34">
        <f t="shared" si="17"/>
        <v>15</v>
      </c>
      <c r="AA25" s="34">
        <f t="shared" si="17"/>
        <v>3.5</v>
      </c>
      <c r="AB25" s="34">
        <f t="shared" si="17"/>
        <v>2</v>
      </c>
      <c r="AC25" s="34">
        <f t="shared" si="17"/>
        <v>58.5</v>
      </c>
      <c r="AD25" s="34">
        <f t="shared" si="17"/>
        <v>0</v>
      </c>
      <c r="AE25" s="31">
        <f t="shared" si="17"/>
        <v>63.5</v>
      </c>
      <c r="AF25" s="31">
        <f t="shared" si="17"/>
        <v>122</v>
      </c>
    </row>
    <row r="26" spans="2:32" ht="23.1" customHeight="1" x14ac:dyDescent="0.25">
      <c r="B26" s="23" t="s">
        <v>53</v>
      </c>
      <c r="C26" s="49">
        <f>'Avg Week Musita-Lumino'!C26+'Avg Week Lumino-Musita'!C26</f>
        <v>8.1428571428571423</v>
      </c>
      <c r="D26" s="49">
        <f>'Avg Week Musita-Lumino'!D26+'Avg Week Lumino-Musita'!D26</f>
        <v>1.4285714285714284</v>
      </c>
      <c r="E26" s="49">
        <f>'Avg Week Musita-Lumino'!E26+'Avg Week Lumino-Musita'!E26</f>
        <v>0.5714285714285714</v>
      </c>
      <c r="F26" s="49">
        <f>'Avg Week Musita-Lumino'!F26+'Avg Week Lumino-Musita'!F26</f>
        <v>3</v>
      </c>
      <c r="G26" s="49">
        <f>'Avg Week Musita-Lumino'!G26+'Avg Week Lumino-Musita'!G26</f>
        <v>0.5714285714285714</v>
      </c>
      <c r="H26" s="49">
        <f>'Avg Week Musita-Lumino'!H26+'Avg Week Lumino-Musita'!H26</f>
        <v>0</v>
      </c>
      <c r="I26" s="49">
        <f>'Avg Week Musita-Lumino'!I26+'Avg Week Lumino-Musita'!I26</f>
        <v>4.1428571428571432</v>
      </c>
      <c r="J26" s="49">
        <f>'Avg Week Musita-Lumino'!J26+'Avg Week Lumino-Musita'!J26</f>
        <v>2.5714285714285716</v>
      </c>
      <c r="K26" s="49">
        <f>'Avg Week Musita-Lumino'!K26+'Avg Week Lumino-Musita'!K26</f>
        <v>0.5714285714285714</v>
      </c>
      <c r="L26" s="49">
        <f>'Avg Week Musita-Lumino'!L26+'Avg Week Lumino-Musita'!L26</f>
        <v>0.14285714285714285</v>
      </c>
      <c r="M26" s="49">
        <f>'Avg Week Musita-Lumino'!M26+'Avg Week Lumino-Musita'!M26</f>
        <v>100.85714285714286</v>
      </c>
      <c r="N26" s="49">
        <f>'Avg Week Musita-Lumino'!N26+'Avg Week Lumino-Musita'!N26</f>
        <v>0.2857142857142857</v>
      </c>
      <c r="O26" s="15">
        <f t="shared" si="0"/>
        <v>21.428571428571431</v>
      </c>
      <c r="P26" s="15">
        <f t="shared" si="1"/>
        <v>122.28571428571429</v>
      </c>
      <c r="R26" s="1" t="s">
        <v>150</v>
      </c>
      <c r="S26" s="34">
        <f>SUM(C74:C77)</f>
        <v>9.5</v>
      </c>
      <c r="T26" s="34">
        <f t="shared" ref="T26:AF26" si="18">SUM(D74:D77)</f>
        <v>6</v>
      </c>
      <c r="U26" s="34">
        <f t="shared" si="18"/>
        <v>1.5</v>
      </c>
      <c r="V26" s="34">
        <f t="shared" si="18"/>
        <v>1.5</v>
      </c>
      <c r="W26" s="34">
        <f t="shared" si="18"/>
        <v>0</v>
      </c>
      <c r="X26" s="34">
        <f t="shared" si="18"/>
        <v>0</v>
      </c>
      <c r="Y26" s="34">
        <f t="shared" si="18"/>
        <v>4.5</v>
      </c>
      <c r="Z26" s="34">
        <f t="shared" si="18"/>
        <v>5.5</v>
      </c>
      <c r="AA26" s="34">
        <f t="shared" si="18"/>
        <v>1</v>
      </c>
      <c r="AB26" s="34">
        <f t="shared" si="18"/>
        <v>4</v>
      </c>
      <c r="AC26" s="34">
        <f t="shared" si="18"/>
        <v>52</v>
      </c>
      <c r="AD26" s="34">
        <f t="shared" si="18"/>
        <v>0</v>
      </c>
      <c r="AE26" s="31">
        <f t="shared" si="18"/>
        <v>33.5</v>
      </c>
      <c r="AF26" s="31">
        <f t="shared" si="18"/>
        <v>85.5</v>
      </c>
    </row>
    <row r="27" spans="2:32" ht="23.1" customHeight="1" x14ac:dyDescent="0.25">
      <c r="B27" s="23" t="s">
        <v>54</v>
      </c>
      <c r="C27" s="49">
        <f>'Avg Week Musita-Lumino'!C27+'Avg Week Lumino-Musita'!C27</f>
        <v>8.5714285714285712</v>
      </c>
      <c r="D27" s="49">
        <f>'Avg Week Musita-Lumino'!D27+'Avg Week Lumino-Musita'!D27</f>
        <v>2.7142857142857144</v>
      </c>
      <c r="E27" s="49">
        <f>'Avg Week Musita-Lumino'!E27+'Avg Week Lumino-Musita'!E27</f>
        <v>1</v>
      </c>
      <c r="F27" s="49">
        <f>'Avg Week Musita-Lumino'!F27+'Avg Week Lumino-Musita'!F27</f>
        <v>3.8571428571428577</v>
      </c>
      <c r="G27" s="49">
        <f>'Avg Week Musita-Lumino'!G27+'Avg Week Lumino-Musita'!G27</f>
        <v>0.14285714285714285</v>
      </c>
      <c r="H27" s="49">
        <f>'Avg Week Musita-Lumino'!H27+'Avg Week Lumino-Musita'!H27</f>
        <v>0</v>
      </c>
      <c r="I27" s="49">
        <f>'Avg Week Musita-Lumino'!I27+'Avg Week Lumino-Musita'!I27</f>
        <v>3.2857142857142856</v>
      </c>
      <c r="J27" s="49">
        <f>'Avg Week Musita-Lumino'!J27+'Avg Week Lumino-Musita'!J27</f>
        <v>5</v>
      </c>
      <c r="K27" s="49">
        <f>'Avg Week Musita-Lumino'!K27+'Avg Week Lumino-Musita'!K27</f>
        <v>1.2857142857142856</v>
      </c>
      <c r="L27" s="49">
        <f>'Avg Week Musita-Lumino'!L27+'Avg Week Lumino-Musita'!L27</f>
        <v>0.5714285714285714</v>
      </c>
      <c r="M27" s="49">
        <f>'Avg Week Musita-Lumino'!M27+'Avg Week Lumino-Musita'!M27</f>
        <v>90.571428571428584</v>
      </c>
      <c r="N27" s="49">
        <f>'Avg Week Musita-Lumino'!N27+'Avg Week Lumino-Musita'!N27</f>
        <v>0.14285714285714285</v>
      </c>
      <c r="O27" s="15">
        <f t="shared" si="0"/>
        <v>26.571428571428569</v>
      </c>
      <c r="P27" s="15">
        <f t="shared" si="1"/>
        <v>117.14285714285715</v>
      </c>
      <c r="R27" s="1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4</v>
      </c>
      <c r="V27" s="34">
        <f t="shared" si="19"/>
        <v>0</v>
      </c>
      <c r="W27" s="34">
        <f t="shared" si="19"/>
        <v>0.5</v>
      </c>
      <c r="X27" s="34">
        <f t="shared" si="19"/>
        <v>1</v>
      </c>
      <c r="Y27" s="34">
        <f t="shared" si="19"/>
        <v>4</v>
      </c>
      <c r="Z27" s="34">
        <f t="shared" si="19"/>
        <v>6.5</v>
      </c>
      <c r="AA27" s="34">
        <f t="shared" si="19"/>
        <v>4</v>
      </c>
      <c r="AB27" s="34">
        <f t="shared" si="19"/>
        <v>5</v>
      </c>
      <c r="AC27" s="34">
        <f t="shared" si="19"/>
        <v>7.5</v>
      </c>
      <c r="AD27" s="34">
        <f t="shared" si="19"/>
        <v>0</v>
      </c>
      <c r="AE27" s="31">
        <f t="shared" si="19"/>
        <v>29</v>
      </c>
      <c r="AF27" s="31">
        <f t="shared" si="19"/>
        <v>36.5</v>
      </c>
    </row>
    <row r="28" spans="2:32" ht="23.1" customHeight="1" x14ac:dyDescent="0.25">
      <c r="B28" s="23" t="s">
        <v>55</v>
      </c>
      <c r="C28" s="49">
        <f>'Avg Week Musita-Lumino'!C28+'Avg Week Lumino-Musita'!C28</f>
        <v>8.2857142857142847</v>
      </c>
      <c r="D28" s="49">
        <f>'Avg Week Musita-Lumino'!D28+'Avg Week Lumino-Musita'!D28</f>
        <v>3</v>
      </c>
      <c r="E28" s="49">
        <f>'Avg Week Musita-Lumino'!E28+'Avg Week Lumino-Musita'!E28</f>
        <v>0.8571428571428571</v>
      </c>
      <c r="F28" s="49">
        <f>'Avg Week Musita-Lumino'!F28+'Avg Week Lumino-Musita'!F28</f>
        <v>4</v>
      </c>
      <c r="G28" s="49">
        <f>'Avg Week Musita-Lumino'!G28+'Avg Week Lumino-Musita'!G28</f>
        <v>0</v>
      </c>
      <c r="H28" s="49">
        <f>'Avg Week Musita-Lumino'!H28+'Avg Week Lumino-Musita'!H28</f>
        <v>0.14285714285714285</v>
      </c>
      <c r="I28" s="49">
        <f>'Avg Week Musita-Lumino'!I28+'Avg Week Lumino-Musita'!I28</f>
        <v>2.8571428571428568</v>
      </c>
      <c r="J28" s="49">
        <f>'Avg Week Musita-Lumino'!J28+'Avg Week Lumino-Musita'!J28</f>
        <v>3.7142857142857144</v>
      </c>
      <c r="K28" s="49">
        <f>'Avg Week Musita-Lumino'!K28+'Avg Week Lumino-Musita'!K28</f>
        <v>0.8571428571428571</v>
      </c>
      <c r="L28" s="49">
        <f>'Avg Week Musita-Lumino'!L28+'Avg Week Lumino-Musita'!L28</f>
        <v>1.2857142857142856</v>
      </c>
      <c r="M28" s="49">
        <f>'Avg Week Musita-Lumino'!M28+'Avg Week Lumino-Musita'!M28</f>
        <v>92.285714285714278</v>
      </c>
      <c r="N28" s="49">
        <f>'Avg Week Musita-Lumino'!N28+'Avg Week Lumino-Musita'!N28</f>
        <v>0.14285714285714285</v>
      </c>
      <c r="O28" s="15">
        <f t="shared" si="0"/>
        <v>25.142857142857142</v>
      </c>
      <c r="P28" s="15">
        <f t="shared" si="1"/>
        <v>117.42857142857142</v>
      </c>
      <c r="R28" s="1" t="s">
        <v>152</v>
      </c>
      <c r="S28" s="34">
        <f>SUM(C82:C85)</f>
        <v>4</v>
      </c>
      <c r="T28" s="34">
        <f t="shared" ref="T28:AF28" si="20">SUM(D82:D85)</f>
        <v>3.5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3</v>
      </c>
      <c r="AA28" s="34">
        <f t="shared" si="20"/>
        <v>2.5</v>
      </c>
      <c r="AB28" s="34">
        <f t="shared" si="20"/>
        <v>3</v>
      </c>
      <c r="AC28" s="34">
        <f t="shared" si="20"/>
        <v>1</v>
      </c>
      <c r="AD28" s="34">
        <f t="shared" si="20"/>
        <v>0</v>
      </c>
      <c r="AE28" s="31">
        <f t="shared" si="20"/>
        <v>22</v>
      </c>
      <c r="AF28" s="31">
        <f t="shared" si="20"/>
        <v>23</v>
      </c>
    </row>
    <row r="29" spans="2:32" ht="23.1" customHeight="1" x14ac:dyDescent="0.25">
      <c r="B29" s="23" t="s">
        <v>56</v>
      </c>
      <c r="C29" s="49">
        <f>'Avg Week Musita-Lumino'!C29+'Avg Week Lumino-Musita'!C29</f>
        <v>8.5714285714285712</v>
      </c>
      <c r="D29" s="49">
        <f>'Avg Week Musita-Lumino'!D29+'Avg Week Lumino-Musita'!D29</f>
        <v>1.5714285714285714</v>
      </c>
      <c r="E29" s="49">
        <f>'Avg Week Musita-Lumino'!E29+'Avg Week Lumino-Musita'!E29</f>
        <v>1.4285714285714284</v>
      </c>
      <c r="F29" s="49">
        <f>'Avg Week Musita-Lumino'!F29+'Avg Week Lumino-Musita'!F29</f>
        <v>3.7142857142857144</v>
      </c>
      <c r="G29" s="49">
        <f>'Avg Week Musita-Lumino'!G29+'Avg Week Lumino-Musita'!G29</f>
        <v>0</v>
      </c>
      <c r="H29" s="49">
        <f>'Avg Week Musita-Lumino'!H29+'Avg Week Lumino-Musita'!H29</f>
        <v>0</v>
      </c>
      <c r="I29" s="49">
        <f>'Avg Week Musita-Lumino'!I29+'Avg Week Lumino-Musita'!I29</f>
        <v>3.7142857142857144</v>
      </c>
      <c r="J29" s="49">
        <f>'Avg Week Musita-Lumino'!J29+'Avg Week Lumino-Musita'!J29</f>
        <v>2.7142857142857144</v>
      </c>
      <c r="K29" s="49">
        <f>'Avg Week Musita-Lumino'!K29+'Avg Week Lumino-Musita'!K29</f>
        <v>1.7142857142857144</v>
      </c>
      <c r="L29" s="49">
        <f>'Avg Week Musita-Lumino'!L29+'Avg Week Lumino-Musita'!L29</f>
        <v>1.1428571428571428</v>
      </c>
      <c r="M29" s="49">
        <f>'Avg Week Musita-Lumino'!M29+'Avg Week Lumino-Musita'!M29</f>
        <v>99.571428571428584</v>
      </c>
      <c r="N29" s="49">
        <f>'Avg Week Musita-Lumino'!N29+'Avg Week Lumino-Musita'!N29</f>
        <v>0</v>
      </c>
      <c r="O29" s="15">
        <f t="shared" si="0"/>
        <v>24.571428571428573</v>
      </c>
      <c r="P29" s="15">
        <f t="shared" si="1"/>
        <v>124.14285714285715</v>
      </c>
      <c r="R29" s="1" t="s">
        <v>153</v>
      </c>
      <c r="S29" s="34">
        <f>SUM(C86:C89)</f>
        <v>2</v>
      </c>
      <c r="T29" s="34">
        <f t="shared" ref="T29:AF29" si="21">SUM(D86:D89)</f>
        <v>1</v>
      </c>
      <c r="U29" s="34">
        <f t="shared" si="21"/>
        <v>0.5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1.5</v>
      </c>
      <c r="AA29" s="34">
        <f t="shared" si="21"/>
        <v>5.5</v>
      </c>
      <c r="AB29" s="34">
        <f t="shared" si="21"/>
        <v>5</v>
      </c>
      <c r="AC29" s="34">
        <f t="shared" si="21"/>
        <v>1</v>
      </c>
      <c r="AD29" s="34">
        <f t="shared" si="21"/>
        <v>0</v>
      </c>
      <c r="AE29" s="31">
        <f t="shared" si="21"/>
        <v>17.5</v>
      </c>
      <c r="AF29" s="31">
        <f t="shared" si="21"/>
        <v>18.5</v>
      </c>
    </row>
    <row r="30" spans="2:32" ht="23.1" customHeight="1" x14ac:dyDescent="0.25">
      <c r="B30" s="23" t="s">
        <v>57</v>
      </c>
      <c r="C30" s="49">
        <f>'Avg Week Musita-Lumino'!C30+'Avg Week Lumino-Musita'!C30</f>
        <v>10.571428571428571</v>
      </c>
      <c r="D30" s="49">
        <f>'Avg Week Musita-Lumino'!D30+'Avg Week Lumino-Musita'!D30</f>
        <v>3</v>
      </c>
      <c r="E30" s="49">
        <f>'Avg Week Musita-Lumino'!E30+'Avg Week Lumino-Musita'!E30</f>
        <v>2.5714285714285712</v>
      </c>
      <c r="F30" s="49">
        <f>'Avg Week Musita-Lumino'!F30+'Avg Week Lumino-Musita'!F30</f>
        <v>3.4285714285714284</v>
      </c>
      <c r="G30" s="49">
        <f>'Avg Week Musita-Lumino'!G30+'Avg Week Lumino-Musita'!G30</f>
        <v>0</v>
      </c>
      <c r="H30" s="49">
        <f>'Avg Week Musita-Lumino'!H30+'Avg Week Lumino-Musita'!H30</f>
        <v>0</v>
      </c>
      <c r="I30" s="49">
        <f>'Avg Week Musita-Lumino'!I30+'Avg Week Lumino-Musita'!I30</f>
        <v>4.1428571428571432</v>
      </c>
      <c r="J30" s="49">
        <f>'Avg Week Musita-Lumino'!J30+'Avg Week Lumino-Musita'!J30</f>
        <v>4.4285714285714288</v>
      </c>
      <c r="K30" s="49">
        <f>'Avg Week Musita-Lumino'!K30+'Avg Week Lumino-Musita'!K30</f>
        <v>1.2857142857142856</v>
      </c>
      <c r="L30" s="49">
        <f>'Avg Week Musita-Lumino'!L30+'Avg Week Lumino-Musita'!L30</f>
        <v>0.2857142857142857</v>
      </c>
      <c r="M30" s="49">
        <f>'Avg Week Musita-Lumino'!M30+'Avg Week Lumino-Musita'!M30</f>
        <v>93.714285714285722</v>
      </c>
      <c r="N30" s="49">
        <f>'Avg Week Musita-Lumino'!N30+'Avg Week Lumino-Musita'!N30</f>
        <v>0</v>
      </c>
      <c r="O30" s="15">
        <f t="shared" si="0"/>
        <v>29.714285714285708</v>
      </c>
      <c r="P30" s="15">
        <f t="shared" si="1"/>
        <v>123.42857142857143</v>
      </c>
      <c r="R30" s="1" t="s">
        <v>154</v>
      </c>
      <c r="S30" s="34">
        <f>SUM(C90:C93)</f>
        <v>2.5</v>
      </c>
      <c r="T30" s="34">
        <f t="shared" ref="T30:AF30" si="22">SUM(D90:D93)</f>
        <v>2.5</v>
      </c>
      <c r="U30" s="34">
        <f t="shared" si="22"/>
        <v>2</v>
      </c>
      <c r="V30" s="34">
        <f t="shared" si="22"/>
        <v>1</v>
      </c>
      <c r="W30" s="34">
        <f t="shared" si="22"/>
        <v>0</v>
      </c>
      <c r="X30" s="34">
        <f t="shared" si="22"/>
        <v>0.5</v>
      </c>
      <c r="Y30" s="34">
        <f t="shared" si="22"/>
        <v>3</v>
      </c>
      <c r="Z30" s="34">
        <f t="shared" si="22"/>
        <v>5</v>
      </c>
      <c r="AA30" s="34">
        <f t="shared" si="22"/>
        <v>3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20.5</v>
      </c>
      <c r="AF30" s="31">
        <f t="shared" si="22"/>
        <v>20.5</v>
      </c>
    </row>
    <row r="31" spans="2:32" ht="23.1" customHeight="1" x14ac:dyDescent="0.25">
      <c r="B31" s="24" t="s">
        <v>58</v>
      </c>
      <c r="C31" s="49">
        <f>'Avg Week Musita-Lumino'!C31+'Avg Week Lumino-Musita'!C31</f>
        <v>10</v>
      </c>
      <c r="D31" s="49">
        <f>'Avg Week Musita-Lumino'!D31+'Avg Week Lumino-Musita'!D31</f>
        <v>1.8571428571428572</v>
      </c>
      <c r="E31" s="49">
        <f>'Avg Week Musita-Lumino'!E31+'Avg Week Lumino-Musita'!E31</f>
        <v>2.5714285714285712</v>
      </c>
      <c r="F31" s="49">
        <f>'Avg Week Musita-Lumino'!F31+'Avg Week Lumino-Musita'!F31</f>
        <v>2.7142857142857144</v>
      </c>
      <c r="G31" s="49">
        <f>'Avg Week Musita-Lumino'!G31+'Avg Week Lumino-Musita'!G31</f>
        <v>0.2857142857142857</v>
      </c>
      <c r="H31" s="49">
        <f>'Avg Week Musita-Lumino'!H31+'Avg Week Lumino-Musita'!H31</f>
        <v>0</v>
      </c>
      <c r="I31" s="49">
        <f>'Avg Week Musita-Lumino'!I31+'Avg Week Lumino-Musita'!I31</f>
        <v>4</v>
      </c>
      <c r="J31" s="49">
        <f>'Avg Week Musita-Lumino'!J31+'Avg Week Lumino-Musita'!J31</f>
        <v>3.5714285714285716</v>
      </c>
      <c r="K31" s="49">
        <f>'Avg Week Musita-Lumino'!K31+'Avg Week Lumino-Musita'!K31</f>
        <v>0.14285714285714285</v>
      </c>
      <c r="L31" s="49">
        <f>'Avg Week Musita-Lumino'!L31+'Avg Week Lumino-Musita'!L31</f>
        <v>0.5714285714285714</v>
      </c>
      <c r="M31" s="49">
        <f>'Avg Week Musita-Lumino'!M31+'Avg Week Lumino-Musita'!M31</f>
        <v>87.857142857142861</v>
      </c>
      <c r="N31" s="49">
        <f>'Avg Week Musita-Lumino'!N31+'Avg Week Lumino-Musita'!N31</f>
        <v>0.14285714285714285</v>
      </c>
      <c r="O31" s="15">
        <f t="shared" si="0"/>
        <v>25.857142857142858</v>
      </c>
      <c r="P31" s="15">
        <f t="shared" si="1"/>
        <v>113.71428571428572</v>
      </c>
      <c r="R31" s="1" t="s">
        <v>155</v>
      </c>
      <c r="S31" s="34">
        <f>SUM(C94:C97)</f>
        <v>4.5</v>
      </c>
      <c r="T31" s="34">
        <f t="shared" ref="T31:AF31" si="23">SUM(D94:D97)</f>
        <v>0.5</v>
      </c>
      <c r="U31" s="34">
        <f t="shared" si="23"/>
        <v>1.5</v>
      </c>
      <c r="V31" s="34">
        <f t="shared" si="23"/>
        <v>3.5</v>
      </c>
      <c r="W31" s="34">
        <f t="shared" si="23"/>
        <v>0</v>
      </c>
      <c r="X31" s="34">
        <f t="shared" si="23"/>
        <v>0</v>
      </c>
      <c r="Y31" s="34">
        <f t="shared" si="23"/>
        <v>5</v>
      </c>
      <c r="Z31" s="34">
        <f t="shared" si="23"/>
        <v>4</v>
      </c>
      <c r="AA31" s="34">
        <f t="shared" si="23"/>
        <v>2.5</v>
      </c>
      <c r="AB31" s="34">
        <f t="shared" si="23"/>
        <v>1</v>
      </c>
      <c r="AC31" s="34">
        <f t="shared" si="23"/>
        <v>13.5</v>
      </c>
      <c r="AD31" s="34">
        <f t="shared" si="23"/>
        <v>0</v>
      </c>
      <c r="AE31" s="31">
        <f t="shared" si="23"/>
        <v>22.5</v>
      </c>
      <c r="AF31" s="31">
        <f t="shared" si="23"/>
        <v>36</v>
      </c>
    </row>
    <row r="32" spans="2:32" ht="23.1" customHeight="1" x14ac:dyDescent="0.25">
      <c r="B32" s="24" t="s">
        <v>59</v>
      </c>
      <c r="C32" s="49">
        <f>'Avg Week Musita-Lumino'!C32+'Avg Week Lumino-Musita'!C32</f>
        <v>8.1428571428571423</v>
      </c>
      <c r="D32" s="49">
        <f>'Avg Week Musita-Lumino'!D32+'Avg Week Lumino-Musita'!D32</f>
        <v>2</v>
      </c>
      <c r="E32" s="49">
        <f>'Avg Week Musita-Lumino'!E32+'Avg Week Lumino-Musita'!E32</f>
        <v>2</v>
      </c>
      <c r="F32" s="49">
        <f>'Avg Week Musita-Lumino'!F32+'Avg Week Lumino-Musita'!F32</f>
        <v>4.2857142857142856</v>
      </c>
      <c r="G32" s="49">
        <f>'Avg Week Musita-Lumino'!G32+'Avg Week Lumino-Musita'!G32</f>
        <v>0.71428571428571419</v>
      </c>
      <c r="H32" s="49">
        <f>'Avg Week Musita-Lumino'!H32+'Avg Week Lumino-Musita'!H32</f>
        <v>0.14285714285714285</v>
      </c>
      <c r="I32" s="49">
        <f>'Avg Week Musita-Lumino'!I32+'Avg Week Lumino-Musita'!I32</f>
        <v>5</v>
      </c>
      <c r="J32" s="49">
        <f>'Avg Week Musita-Lumino'!J32+'Avg Week Lumino-Musita'!J32</f>
        <v>3.1428571428571432</v>
      </c>
      <c r="K32" s="49">
        <f>'Avg Week Musita-Lumino'!K32+'Avg Week Lumino-Musita'!K32</f>
        <v>0.71428571428571419</v>
      </c>
      <c r="L32" s="49">
        <f>'Avg Week Musita-Lumino'!L32+'Avg Week Lumino-Musita'!L32</f>
        <v>0.8571428571428571</v>
      </c>
      <c r="M32" s="49">
        <f>'Avg Week Musita-Lumino'!M32+'Avg Week Lumino-Musita'!M32</f>
        <v>85.428571428571431</v>
      </c>
      <c r="N32" s="49">
        <f>'Avg Week Musita-Lumino'!N32+'Avg Week Lumino-Musita'!N32</f>
        <v>0</v>
      </c>
      <c r="O32" s="15">
        <f t="shared" si="0"/>
        <v>27</v>
      </c>
      <c r="P32" s="15">
        <f t="shared" si="1"/>
        <v>112.42857142857143</v>
      </c>
      <c r="R32" s="1" t="s">
        <v>156</v>
      </c>
      <c r="S32" s="34">
        <f>SUM(C98:C101)</f>
        <v>6</v>
      </c>
      <c r="T32" s="34">
        <f t="shared" ref="T32:AF32" si="24">SUM(D98:D101)</f>
        <v>2.5</v>
      </c>
      <c r="U32" s="34">
        <f t="shared" si="24"/>
        <v>5</v>
      </c>
      <c r="V32" s="34">
        <f t="shared" si="24"/>
        <v>5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10</v>
      </c>
      <c r="AA32" s="34">
        <f t="shared" si="24"/>
        <v>5</v>
      </c>
      <c r="AB32" s="34">
        <f t="shared" si="24"/>
        <v>1.5</v>
      </c>
      <c r="AC32" s="34">
        <f t="shared" si="24"/>
        <v>34.5</v>
      </c>
      <c r="AD32" s="34">
        <f t="shared" si="24"/>
        <v>0</v>
      </c>
      <c r="AE32" s="31">
        <f t="shared" si="24"/>
        <v>36</v>
      </c>
      <c r="AF32" s="31">
        <f t="shared" si="24"/>
        <v>70.5</v>
      </c>
    </row>
    <row r="33" spans="2:32" ht="23.1" customHeight="1" x14ac:dyDescent="0.25">
      <c r="B33" s="23" t="s">
        <v>60</v>
      </c>
      <c r="C33" s="49">
        <f>'Avg Week Musita-Lumino'!C33+'Avg Week Lumino-Musita'!C33</f>
        <v>8.7142857142857153</v>
      </c>
      <c r="D33" s="49">
        <f>'Avg Week Musita-Lumino'!D33+'Avg Week Lumino-Musita'!D33</f>
        <v>1.5714285714285714</v>
      </c>
      <c r="E33" s="49">
        <f>'Avg Week Musita-Lumino'!E33+'Avg Week Lumino-Musita'!E33</f>
        <v>0.8571428571428571</v>
      </c>
      <c r="F33" s="49">
        <f>'Avg Week Musita-Lumino'!F33+'Avg Week Lumino-Musita'!F33</f>
        <v>3.5714285714285712</v>
      </c>
      <c r="G33" s="49">
        <f>'Avg Week Musita-Lumino'!G33+'Avg Week Lumino-Musita'!G33</f>
        <v>0.14285714285714285</v>
      </c>
      <c r="H33" s="49">
        <f>'Avg Week Musita-Lumino'!H33+'Avg Week Lumino-Musita'!H33</f>
        <v>0</v>
      </c>
      <c r="I33" s="49">
        <f>'Avg Week Musita-Lumino'!I33+'Avg Week Lumino-Musita'!I33</f>
        <v>3.7142857142857144</v>
      </c>
      <c r="J33" s="49">
        <f>'Avg Week Musita-Lumino'!J33+'Avg Week Lumino-Musita'!J33</f>
        <v>2.2857142857142856</v>
      </c>
      <c r="K33" s="49">
        <f>'Avg Week Musita-Lumino'!K33+'Avg Week Lumino-Musita'!K33</f>
        <v>0.71428571428571419</v>
      </c>
      <c r="L33" s="49">
        <f>'Avg Week Musita-Lumino'!L33+'Avg Week Lumino-Musita'!L33</f>
        <v>1.7142857142857144</v>
      </c>
      <c r="M33" s="49">
        <f>'Avg Week Musita-Lumino'!M33+'Avg Week Lumino-Musita'!M33</f>
        <v>86.428571428571416</v>
      </c>
      <c r="N33" s="49">
        <f>'Avg Week Musita-Lumino'!N33+'Avg Week Lumino-Musita'!N33</f>
        <v>0.42857142857142855</v>
      </c>
      <c r="O33" s="15">
        <f t="shared" si="0"/>
        <v>23.714285714285715</v>
      </c>
      <c r="P33" s="15">
        <f t="shared" si="1"/>
        <v>110.14285714285714</v>
      </c>
      <c r="R33" s="1" t="s">
        <v>157</v>
      </c>
      <c r="S33" s="34">
        <f>SUM(C102:C105)</f>
        <v>16.5</v>
      </c>
      <c r="T33" s="34">
        <f t="shared" ref="T33:AF33" si="25">SUM(D102:D105)</f>
        <v>4.5</v>
      </c>
      <c r="U33" s="34">
        <f t="shared" si="25"/>
        <v>5</v>
      </c>
      <c r="V33" s="34">
        <f t="shared" si="25"/>
        <v>12.5</v>
      </c>
      <c r="W33" s="34">
        <f t="shared" si="25"/>
        <v>2.5</v>
      </c>
      <c r="X33" s="34">
        <f t="shared" si="25"/>
        <v>1</v>
      </c>
      <c r="Y33" s="34">
        <f t="shared" si="25"/>
        <v>9.5</v>
      </c>
      <c r="Z33" s="34">
        <f t="shared" si="25"/>
        <v>13</v>
      </c>
      <c r="AA33" s="34">
        <f t="shared" si="25"/>
        <v>4.5</v>
      </c>
      <c r="AB33" s="34">
        <f t="shared" si="25"/>
        <v>4</v>
      </c>
      <c r="AC33" s="34">
        <f t="shared" si="25"/>
        <v>111.5</v>
      </c>
      <c r="AD33" s="34">
        <f t="shared" si="25"/>
        <v>2</v>
      </c>
      <c r="AE33" s="31">
        <f t="shared" si="25"/>
        <v>75</v>
      </c>
      <c r="AF33" s="31">
        <f t="shared" si="25"/>
        <v>186.5</v>
      </c>
    </row>
    <row r="34" spans="2:32" ht="23.1" customHeight="1" x14ac:dyDescent="0.25">
      <c r="B34" s="24" t="s">
        <v>61</v>
      </c>
      <c r="C34" s="49">
        <f>'Avg Week Musita-Lumino'!C34+'Avg Week Lumino-Musita'!C34</f>
        <v>12.285714285714285</v>
      </c>
      <c r="D34" s="49">
        <f>'Avg Week Musita-Lumino'!D34+'Avg Week Lumino-Musita'!D34</f>
        <v>1.1428571428571428</v>
      </c>
      <c r="E34" s="49">
        <f>'Avg Week Musita-Lumino'!E34+'Avg Week Lumino-Musita'!E34</f>
        <v>1.5714285714285714</v>
      </c>
      <c r="F34" s="49">
        <f>'Avg Week Musita-Lumino'!F34+'Avg Week Lumino-Musita'!F34</f>
        <v>3.7142857142857144</v>
      </c>
      <c r="G34" s="49">
        <f>'Avg Week Musita-Lumino'!G34+'Avg Week Lumino-Musita'!G34</f>
        <v>0.5714285714285714</v>
      </c>
      <c r="H34" s="49">
        <f>'Avg Week Musita-Lumino'!H34+'Avg Week Lumino-Musita'!H34</f>
        <v>0</v>
      </c>
      <c r="I34" s="49">
        <f>'Avg Week Musita-Lumino'!I34+'Avg Week Lumino-Musita'!I34</f>
        <v>5.7142857142857144</v>
      </c>
      <c r="J34" s="49">
        <f>'Avg Week Musita-Lumino'!J34+'Avg Week Lumino-Musita'!J34</f>
        <v>4.5714285714285712</v>
      </c>
      <c r="K34" s="49">
        <f>'Avg Week Musita-Lumino'!K34+'Avg Week Lumino-Musita'!K34</f>
        <v>0.5714285714285714</v>
      </c>
      <c r="L34" s="49">
        <f>'Avg Week Musita-Lumino'!L34+'Avg Week Lumino-Musita'!L34</f>
        <v>1.2857142857142856</v>
      </c>
      <c r="M34" s="49">
        <f>'Avg Week Musita-Lumino'!M34+'Avg Week Lumino-Musita'!M34</f>
        <v>77.142857142857139</v>
      </c>
      <c r="N34" s="49">
        <f>'Avg Week Musita-Lumino'!N34+'Avg Week Lumino-Musita'!N34</f>
        <v>0.2857142857142857</v>
      </c>
      <c r="O34" s="15">
        <f t="shared" si="0"/>
        <v>31.714285714285712</v>
      </c>
      <c r="P34" s="15">
        <f t="shared" si="1"/>
        <v>108.85714285714286</v>
      </c>
      <c r="R34" s="38" t="s">
        <v>90</v>
      </c>
      <c r="S34" s="39">
        <f t="shared" ref="S34:AF34" si="26">MAX(S10:S12)</f>
        <v>26.428571428571431</v>
      </c>
      <c r="T34" s="39">
        <f t="shared" si="26"/>
        <v>10.285714285714285</v>
      </c>
      <c r="U34" s="39">
        <f t="shared" si="26"/>
        <v>6.2857142857142865</v>
      </c>
      <c r="V34" s="39">
        <f t="shared" si="26"/>
        <v>9.2857142857142865</v>
      </c>
      <c r="W34" s="39">
        <f t="shared" si="26"/>
        <v>1.5714285714285714</v>
      </c>
      <c r="X34" s="39">
        <f t="shared" si="26"/>
        <v>0.5714285714285714</v>
      </c>
      <c r="Y34" s="39">
        <f t="shared" si="26"/>
        <v>12.142857142857142</v>
      </c>
      <c r="Z34" s="39">
        <f t="shared" si="26"/>
        <v>16</v>
      </c>
      <c r="AA34" s="39">
        <f t="shared" si="26"/>
        <v>9</v>
      </c>
      <c r="AB34" s="39">
        <f t="shared" si="26"/>
        <v>1.9999999999999998</v>
      </c>
      <c r="AC34" s="39">
        <f t="shared" si="26"/>
        <v>296.71428571428578</v>
      </c>
      <c r="AD34" s="39">
        <f t="shared" si="26"/>
        <v>1.4285714285714284</v>
      </c>
      <c r="AE34" s="40">
        <f t="shared" si="26"/>
        <v>81.857142857142861</v>
      </c>
      <c r="AF34" s="40">
        <f t="shared" si="26"/>
        <v>376.85714285714289</v>
      </c>
    </row>
    <row r="35" spans="2:32" ht="23.1" customHeight="1" x14ac:dyDescent="0.25">
      <c r="B35" s="24" t="s">
        <v>62</v>
      </c>
      <c r="C35" s="49">
        <f>'Avg Week Musita-Lumino'!C35+'Avg Week Lumino-Musita'!C35</f>
        <v>7.7142857142857153</v>
      </c>
      <c r="D35" s="49">
        <f>'Avg Week Musita-Lumino'!D35+'Avg Week Lumino-Musita'!D35</f>
        <v>2</v>
      </c>
      <c r="E35" s="49">
        <f>'Avg Week Musita-Lumino'!E35+'Avg Week Lumino-Musita'!E35</f>
        <v>1.8571428571428572</v>
      </c>
      <c r="F35" s="49">
        <f>'Avg Week Musita-Lumino'!F35+'Avg Week Lumino-Musita'!F35</f>
        <v>3</v>
      </c>
      <c r="G35" s="49">
        <f>'Avg Week Musita-Lumino'!G35+'Avg Week Lumino-Musita'!G35</f>
        <v>0.2857142857142857</v>
      </c>
      <c r="H35" s="49">
        <f>'Avg Week Musita-Lumino'!H35+'Avg Week Lumino-Musita'!H35</f>
        <v>0</v>
      </c>
      <c r="I35" s="49">
        <f>'Avg Week Musita-Lumino'!I35+'Avg Week Lumino-Musita'!I35</f>
        <v>2.1428571428571428</v>
      </c>
      <c r="J35" s="49">
        <f>'Avg Week Musita-Lumino'!J35+'Avg Week Lumino-Musita'!J35</f>
        <v>3.7142857142857144</v>
      </c>
      <c r="K35" s="49">
        <f>'Avg Week Musita-Lumino'!K35+'Avg Week Lumino-Musita'!K35</f>
        <v>0.85714285714285721</v>
      </c>
      <c r="L35" s="49">
        <f>'Avg Week Musita-Lumino'!L35+'Avg Week Lumino-Musita'!L35</f>
        <v>1</v>
      </c>
      <c r="M35" s="49">
        <f>'Avg Week Musita-Lumino'!M35+'Avg Week Lumino-Musita'!M35</f>
        <v>74.571428571428569</v>
      </c>
      <c r="N35" s="49">
        <f>'Avg Week Musita-Lumino'!N35+'Avg Week Lumino-Musita'!N35</f>
        <v>0.14285714285714285</v>
      </c>
      <c r="O35" s="15">
        <f t="shared" si="0"/>
        <v>22.714285714285719</v>
      </c>
      <c r="P35" s="15">
        <f t="shared" si="1"/>
        <v>97.285714285714278</v>
      </c>
      <c r="R35" s="38" t="s">
        <v>91</v>
      </c>
      <c r="S35" s="39">
        <f t="shared" ref="S35:AF35" si="27">MAX(S13:S18)</f>
        <v>37.428571428571431</v>
      </c>
      <c r="T35" s="39">
        <f t="shared" si="27"/>
        <v>11.857142857142856</v>
      </c>
      <c r="U35" s="39">
        <f t="shared" si="27"/>
        <v>8.4285714285714288</v>
      </c>
      <c r="V35" s="39">
        <f t="shared" si="27"/>
        <v>15.428571428571429</v>
      </c>
      <c r="W35" s="39">
        <f t="shared" si="27"/>
        <v>1.2857142857142856</v>
      </c>
      <c r="X35" s="39">
        <f t="shared" si="27"/>
        <v>0.42857142857142855</v>
      </c>
      <c r="Y35" s="39">
        <f t="shared" si="27"/>
        <v>16.857142857142858</v>
      </c>
      <c r="Z35" s="39">
        <f t="shared" si="27"/>
        <v>23.285714285714285</v>
      </c>
      <c r="AA35" s="39">
        <f t="shared" si="27"/>
        <v>4.4285714285714288</v>
      </c>
      <c r="AB35" s="39">
        <f t="shared" si="27"/>
        <v>5.2857142857142856</v>
      </c>
      <c r="AC35" s="39">
        <f t="shared" si="27"/>
        <v>383.28571428571433</v>
      </c>
      <c r="AD35" s="39">
        <f t="shared" si="27"/>
        <v>1</v>
      </c>
      <c r="AE35" s="40">
        <f t="shared" si="27"/>
        <v>110.28571428571429</v>
      </c>
      <c r="AF35" s="40">
        <f t="shared" si="27"/>
        <v>481.00000000000006</v>
      </c>
    </row>
    <row r="36" spans="2:32" ht="23.1" customHeight="1" x14ac:dyDescent="0.25">
      <c r="B36" s="24" t="s">
        <v>63</v>
      </c>
      <c r="C36" s="49">
        <f>'Avg Week Musita-Lumino'!C36+'Avg Week Lumino-Musita'!C36</f>
        <v>8.7142857142857153</v>
      </c>
      <c r="D36" s="49">
        <f>'Avg Week Musita-Lumino'!D36+'Avg Week Lumino-Musita'!D36</f>
        <v>1.2857142857142856</v>
      </c>
      <c r="E36" s="49">
        <f>'Avg Week Musita-Lumino'!E36+'Avg Week Lumino-Musita'!E36</f>
        <v>1.7142857142857142</v>
      </c>
      <c r="F36" s="49">
        <f>'Avg Week Musita-Lumino'!F36+'Avg Week Lumino-Musita'!F36</f>
        <v>2.7142857142857144</v>
      </c>
      <c r="G36" s="49">
        <f>'Avg Week Musita-Lumino'!G36+'Avg Week Lumino-Musita'!G36</f>
        <v>0.42857142857142855</v>
      </c>
      <c r="H36" s="49">
        <f>'Avg Week Musita-Lumino'!H36+'Avg Week Lumino-Musita'!H36</f>
        <v>0.14285714285714285</v>
      </c>
      <c r="I36" s="49">
        <f>'Avg Week Musita-Lumino'!I36+'Avg Week Lumino-Musita'!I36</f>
        <v>4.5714285714285712</v>
      </c>
      <c r="J36" s="49">
        <f>'Avg Week Musita-Lumino'!J36+'Avg Week Lumino-Musita'!J36</f>
        <v>3.1428571428571428</v>
      </c>
      <c r="K36" s="49">
        <f>'Avg Week Musita-Lumino'!K36+'Avg Week Lumino-Musita'!K36</f>
        <v>0.5714285714285714</v>
      </c>
      <c r="L36" s="49">
        <f>'Avg Week Musita-Lumino'!L36+'Avg Week Lumino-Musita'!L36</f>
        <v>1.1428571428571428</v>
      </c>
      <c r="M36" s="49">
        <f>'Avg Week Musita-Lumino'!M36+'Avg Week Lumino-Musita'!M36</f>
        <v>84.142857142857139</v>
      </c>
      <c r="N36" s="49">
        <f>'Avg Week Musita-Lumino'!N36+'Avg Week Lumino-Musita'!N36</f>
        <v>0.42857142857142855</v>
      </c>
      <c r="O36" s="15">
        <f t="shared" si="0"/>
        <v>24.857142857142854</v>
      </c>
      <c r="P36" s="15">
        <f t="shared" si="1"/>
        <v>109</v>
      </c>
      <c r="R36" s="38" t="s">
        <v>92</v>
      </c>
      <c r="S36" s="39">
        <f t="shared" ref="S36:AF36" si="28">MAX(S19:S21)</f>
        <v>40.857142857142854</v>
      </c>
      <c r="T36" s="39">
        <f t="shared" si="28"/>
        <v>14.714285714285715</v>
      </c>
      <c r="U36" s="39">
        <f t="shared" si="28"/>
        <v>9.2857142857142865</v>
      </c>
      <c r="V36" s="39">
        <f t="shared" si="28"/>
        <v>17.857142857142858</v>
      </c>
      <c r="W36" s="39">
        <f t="shared" si="28"/>
        <v>2</v>
      </c>
      <c r="X36" s="39">
        <f t="shared" si="28"/>
        <v>0.2857142857142857</v>
      </c>
      <c r="Y36" s="39">
        <f t="shared" si="28"/>
        <v>23.571428571428573</v>
      </c>
      <c r="Z36" s="39">
        <f t="shared" si="28"/>
        <v>23.571428571428573</v>
      </c>
      <c r="AA36" s="39">
        <f t="shared" si="28"/>
        <v>5</v>
      </c>
      <c r="AB36" s="39">
        <f t="shared" si="28"/>
        <v>4</v>
      </c>
      <c r="AC36" s="39">
        <f t="shared" si="28"/>
        <v>368.14285714285711</v>
      </c>
      <c r="AD36" s="39">
        <f t="shared" si="28"/>
        <v>1.2857142857142856</v>
      </c>
      <c r="AE36" s="40">
        <f t="shared" si="28"/>
        <v>134</v>
      </c>
      <c r="AF36" s="40">
        <f t="shared" si="28"/>
        <v>481.28571428571433</v>
      </c>
    </row>
    <row r="37" spans="2:32" ht="23.1" customHeight="1" x14ac:dyDescent="0.25">
      <c r="B37" s="23" t="s">
        <v>64</v>
      </c>
      <c r="C37" s="49">
        <f>'Avg Week Musita-Lumino'!C37+'Avg Week Lumino-Musita'!C37</f>
        <v>7.8571428571428577</v>
      </c>
      <c r="D37" s="49">
        <f>'Avg Week Musita-Lumino'!D37+'Avg Week Lumino-Musita'!D37</f>
        <v>0.8571428571428571</v>
      </c>
      <c r="E37" s="49">
        <f>'Avg Week Musita-Lumino'!E37+'Avg Week Lumino-Musita'!E37</f>
        <v>0.8571428571428571</v>
      </c>
      <c r="F37" s="49">
        <f>'Avg Week Musita-Lumino'!F37+'Avg Week Lumino-Musita'!F37</f>
        <v>2.8571428571428572</v>
      </c>
      <c r="G37" s="49">
        <f>'Avg Week Musita-Lumino'!G37+'Avg Week Lumino-Musita'!G37</f>
        <v>0</v>
      </c>
      <c r="H37" s="49">
        <f>'Avg Week Musita-Lumino'!H37+'Avg Week Lumino-Musita'!H37</f>
        <v>0.2857142857142857</v>
      </c>
      <c r="I37" s="49">
        <f>'Avg Week Musita-Lumino'!I37+'Avg Week Lumino-Musita'!I37</f>
        <v>3.5714285714285712</v>
      </c>
      <c r="J37" s="49">
        <f>'Avg Week Musita-Lumino'!J37+'Avg Week Lumino-Musita'!J37</f>
        <v>3.8571428571428568</v>
      </c>
      <c r="K37" s="49">
        <f>'Avg Week Musita-Lumino'!K37+'Avg Week Lumino-Musita'!K37</f>
        <v>0.2857142857142857</v>
      </c>
      <c r="L37" s="49">
        <f>'Avg Week Musita-Lumino'!L37+'Avg Week Lumino-Musita'!L37</f>
        <v>1.8571428571428572</v>
      </c>
      <c r="M37" s="49">
        <f>'Avg Week Musita-Lumino'!M37+'Avg Week Lumino-Musita'!M37</f>
        <v>81.571428571428569</v>
      </c>
      <c r="N37" s="49">
        <f>'Avg Week Musita-Lumino'!N37+'Avg Week Lumino-Musita'!N37</f>
        <v>0.14285714285714285</v>
      </c>
      <c r="O37" s="15">
        <f t="shared" si="0"/>
        <v>22.428571428571431</v>
      </c>
      <c r="P37" s="15">
        <f t="shared" si="1"/>
        <v>104</v>
      </c>
      <c r="R37" s="37" t="s">
        <v>85</v>
      </c>
      <c r="S37" s="35">
        <f t="shared" ref="S37:AF37" si="29">SUM(S10:S12)</f>
        <v>67.142857142857139</v>
      </c>
      <c r="T37" s="16">
        <f t="shared" si="29"/>
        <v>25.142857142857142</v>
      </c>
      <c r="U37" s="16">
        <f t="shared" si="29"/>
        <v>17.142857142857142</v>
      </c>
      <c r="V37" s="16">
        <f t="shared" si="29"/>
        <v>24.857142857142858</v>
      </c>
      <c r="W37" s="16">
        <f t="shared" si="29"/>
        <v>3.5714285714285707</v>
      </c>
      <c r="X37" s="16">
        <f t="shared" si="29"/>
        <v>0.8571428571428571</v>
      </c>
      <c r="Y37" s="16">
        <f t="shared" si="29"/>
        <v>33.142857142857139</v>
      </c>
      <c r="Z37" s="16">
        <f t="shared" si="29"/>
        <v>43</v>
      </c>
      <c r="AA37" s="16">
        <f t="shared" si="29"/>
        <v>15.857142857142856</v>
      </c>
      <c r="AB37" s="16">
        <f t="shared" si="29"/>
        <v>4.5714285714285712</v>
      </c>
      <c r="AC37" s="16">
        <f t="shared" si="29"/>
        <v>857.28571428571445</v>
      </c>
      <c r="AD37" s="16">
        <f t="shared" si="29"/>
        <v>3.2857142857142856</v>
      </c>
      <c r="AE37" s="32">
        <f t="shared" si="29"/>
        <v>238.57142857142856</v>
      </c>
      <c r="AF37" s="32">
        <f t="shared" si="29"/>
        <v>1095.8571428571431</v>
      </c>
    </row>
    <row r="38" spans="2:32" ht="23.1" customHeight="1" x14ac:dyDescent="0.25">
      <c r="B38" s="24" t="s">
        <v>65</v>
      </c>
      <c r="C38" s="49">
        <f>'Avg Week Musita-Lumino'!C38+'Avg Week Lumino-Musita'!C38</f>
        <v>7.5714285714285712</v>
      </c>
      <c r="D38" s="49">
        <f>'Avg Week Musita-Lumino'!D38+'Avg Week Lumino-Musita'!D38</f>
        <v>2.7142857142857144</v>
      </c>
      <c r="E38" s="49">
        <f>'Avg Week Musita-Lumino'!E38+'Avg Week Lumino-Musita'!E38</f>
        <v>2.2857142857142856</v>
      </c>
      <c r="F38" s="49">
        <f>'Avg Week Musita-Lumino'!F38+'Avg Week Lumino-Musita'!F38</f>
        <v>4</v>
      </c>
      <c r="G38" s="49">
        <f>'Avg Week Musita-Lumino'!G38+'Avg Week Lumino-Musita'!G38</f>
        <v>0.14285714285714285</v>
      </c>
      <c r="H38" s="49">
        <f>'Avg Week Musita-Lumino'!H38+'Avg Week Lumino-Musita'!H38</f>
        <v>0.14285714285714285</v>
      </c>
      <c r="I38" s="49">
        <f>'Avg Week Musita-Lumino'!I38+'Avg Week Lumino-Musita'!I38</f>
        <v>4.5714285714285712</v>
      </c>
      <c r="J38" s="49">
        <f>'Avg Week Musita-Lumino'!J38+'Avg Week Lumino-Musita'!J38</f>
        <v>4.4285714285714288</v>
      </c>
      <c r="K38" s="49">
        <f>'Avg Week Musita-Lumino'!K38+'Avg Week Lumino-Musita'!K38</f>
        <v>0.5714285714285714</v>
      </c>
      <c r="L38" s="49">
        <f>'Avg Week Musita-Lumino'!L38+'Avg Week Lumino-Musita'!L38</f>
        <v>0.5714285714285714</v>
      </c>
      <c r="M38" s="49">
        <f>'Avg Week Musita-Lumino'!M38+'Avg Week Lumino-Musita'!M38</f>
        <v>66.857142857142861</v>
      </c>
      <c r="N38" s="49">
        <f>'Avg Week Musita-Lumino'!N38+'Avg Week Lumino-Musita'!N38</f>
        <v>0.14285714285714285</v>
      </c>
      <c r="O38" s="15">
        <f t="shared" si="0"/>
        <v>27.142857142857142</v>
      </c>
      <c r="P38" s="15">
        <f t="shared" si="1"/>
        <v>94</v>
      </c>
      <c r="R38" s="28" t="s">
        <v>86</v>
      </c>
      <c r="S38" s="16">
        <f t="shared" ref="S38:AF38" si="30">SUM(S13:S18)</f>
        <v>200.71428571428572</v>
      </c>
      <c r="T38" s="16">
        <f t="shared" si="30"/>
        <v>53.428571428571423</v>
      </c>
      <c r="U38" s="16">
        <f t="shared" si="30"/>
        <v>38.714285714285715</v>
      </c>
      <c r="V38" s="16">
        <f t="shared" si="30"/>
        <v>81.714285714285708</v>
      </c>
      <c r="W38" s="16">
        <f t="shared" si="30"/>
        <v>5.5714285714285712</v>
      </c>
      <c r="X38" s="16">
        <f t="shared" si="30"/>
        <v>1.7142857142857142</v>
      </c>
      <c r="Y38" s="16">
        <f t="shared" si="30"/>
        <v>89.857142857142861</v>
      </c>
      <c r="Z38" s="16">
        <f t="shared" si="30"/>
        <v>97</v>
      </c>
      <c r="AA38" s="16">
        <f t="shared" si="30"/>
        <v>19.714285714285715</v>
      </c>
      <c r="AB38" s="16">
        <f t="shared" si="30"/>
        <v>20.142857142857142</v>
      </c>
      <c r="AC38" s="16">
        <f t="shared" si="30"/>
        <v>1954.5714285714284</v>
      </c>
      <c r="AD38" s="16">
        <f t="shared" si="30"/>
        <v>4.2857142857142856</v>
      </c>
      <c r="AE38" s="32">
        <f t="shared" si="30"/>
        <v>612.85714285714289</v>
      </c>
      <c r="AF38" s="32">
        <f t="shared" si="30"/>
        <v>2567.4285714285716</v>
      </c>
    </row>
    <row r="39" spans="2:32" ht="23.1" customHeight="1" x14ac:dyDescent="0.25">
      <c r="B39" s="24" t="s">
        <v>66</v>
      </c>
      <c r="C39" s="49">
        <f>'Avg Week Musita-Lumino'!C39+'Avg Week Lumino-Musita'!C39</f>
        <v>8</v>
      </c>
      <c r="D39" s="49">
        <f>'Avg Week Musita-Lumino'!D39+'Avg Week Lumino-Musita'!D39</f>
        <v>1.8571428571428572</v>
      </c>
      <c r="E39" s="49">
        <f>'Avg Week Musita-Lumino'!E39+'Avg Week Lumino-Musita'!E39</f>
        <v>1.1428571428571428</v>
      </c>
      <c r="F39" s="49">
        <f>'Avg Week Musita-Lumino'!F39+'Avg Week Lumino-Musita'!F39</f>
        <v>3.7142857142857144</v>
      </c>
      <c r="G39" s="49">
        <f>'Avg Week Musita-Lumino'!G39+'Avg Week Lumino-Musita'!G39</f>
        <v>0.14285714285714285</v>
      </c>
      <c r="H39" s="49">
        <f>'Avg Week Musita-Lumino'!H39+'Avg Week Lumino-Musita'!H39</f>
        <v>0</v>
      </c>
      <c r="I39" s="49">
        <f>'Avg Week Musita-Lumino'!I39+'Avg Week Lumino-Musita'!I39</f>
        <v>2.4285714285714288</v>
      </c>
      <c r="J39" s="49">
        <f>'Avg Week Musita-Lumino'!J39+'Avg Week Lumino-Musita'!J39</f>
        <v>2.4285714285714284</v>
      </c>
      <c r="K39" s="49">
        <f>'Avg Week Musita-Lumino'!K39+'Avg Week Lumino-Musita'!K39</f>
        <v>0.71428571428571419</v>
      </c>
      <c r="L39" s="49">
        <f>'Avg Week Musita-Lumino'!L39+'Avg Week Lumino-Musita'!L39</f>
        <v>0.5714285714285714</v>
      </c>
      <c r="M39" s="49">
        <f>'Avg Week Musita-Lumino'!M39+'Avg Week Lumino-Musita'!M39</f>
        <v>68.285714285714278</v>
      </c>
      <c r="N39" s="49">
        <f>'Avg Week Musita-Lumino'!N39+'Avg Week Lumino-Musita'!N39</f>
        <v>0</v>
      </c>
      <c r="O39" s="15">
        <f t="shared" si="0"/>
        <v>21</v>
      </c>
      <c r="P39" s="15">
        <f t="shared" si="1"/>
        <v>89.285714285714278</v>
      </c>
      <c r="R39" s="29" t="s">
        <v>87</v>
      </c>
      <c r="S39" s="16">
        <f t="shared" ref="S39:AF39" si="31">SUM(S19:S21)</f>
        <v>109</v>
      </c>
      <c r="T39" s="16">
        <f t="shared" si="31"/>
        <v>38.142857142857146</v>
      </c>
      <c r="U39" s="16">
        <f t="shared" si="31"/>
        <v>24.428571428571431</v>
      </c>
      <c r="V39" s="16">
        <f t="shared" si="31"/>
        <v>45.428571428571431</v>
      </c>
      <c r="W39" s="16">
        <f t="shared" si="31"/>
        <v>3.5714285714285712</v>
      </c>
      <c r="X39" s="16">
        <f t="shared" si="31"/>
        <v>0.42857142857142855</v>
      </c>
      <c r="Y39" s="16">
        <f t="shared" si="31"/>
        <v>58.428571428571431</v>
      </c>
      <c r="Z39" s="16">
        <f t="shared" si="31"/>
        <v>56.142857142857139</v>
      </c>
      <c r="AA39" s="16">
        <f t="shared" si="31"/>
        <v>11.714285714285715</v>
      </c>
      <c r="AB39" s="16">
        <f t="shared" si="31"/>
        <v>10.714285714285715</v>
      </c>
      <c r="AC39" s="16">
        <f t="shared" si="31"/>
        <v>1061.8571428571427</v>
      </c>
      <c r="AD39" s="16">
        <f t="shared" si="31"/>
        <v>2.714285714285714</v>
      </c>
      <c r="AE39" s="32">
        <f t="shared" si="31"/>
        <v>360.71428571428567</v>
      </c>
      <c r="AF39" s="32">
        <f t="shared" si="31"/>
        <v>1422.5714285714287</v>
      </c>
    </row>
    <row r="40" spans="2:32" ht="23.1" customHeight="1" x14ac:dyDescent="0.25">
      <c r="B40" s="24" t="s">
        <v>67</v>
      </c>
      <c r="C40" s="49">
        <f>'Avg Week Musita-Lumino'!C40+'Avg Week Lumino-Musita'!C40</f>
        <v>9</v>
      </c>
      <c r="D40" s="49">
        <f>'Avg Week Musita-Lumino'!D40+'Avg Week Lumino-Musita'!D40</f>
        <v>2.5714285714285712</v>
      </c>
      <c r="E40" s="49">
        <f>'Avg Week Musita-Lumino'!E40+'Avg Week Lumino-Musita'!E40</f>
        <v>1.4285714285714284</v>
      </c>
      <c r="F40" s="49">
        <f>'Avg Week Musita-Lumino'!F40+'Avg Week Lumino-Musita'!F40</f>
        <v>4.1428571428571423</v>
      </c>
      <c r="G40" s="49">
        <f>'Avg Week Musita-Lumino'!G40+'Avg Week Lumino-Musita'!G40</f>
        <v>0.14285714285714285</v>
      </c>
      <c r="H40" s="49">
        <f>'Avg Week Musita-Lumino'!H40+'Avg Week Lumino-Musita'!H40</f>
        <v>0.14285714285714285</v>
      </c>
      <c r="I40" s="49">
        <f>'Avg Week Musita-Lumino'!I40+'Avg Week Lumino-Musita'!I40</f>
        <v>4.1428571428571423</v>
      </c>
      <c r="J40" s="49">
        <f>'Avg Week Musita-Lumino'!J40+'Avg Week Lumino-Musita'!J40</f>
        <v>4.2857142857142856</v>
      </c>
      <c r="K40" s="49">
        <f>'Avg Week Musita-Lumino'!K40+'Avg Week Lumino-Musita'!K40</f>
        <v>1.1428571428571428</v>
      </c>
      <c r="L40" s="49">
        <f>'Avg Week Musita-Lumino'!L40+'Avg Week Lumino-Musita'!L40</f>
        <v>0.85714285714285721</v>
      </c>
      <c r="M40" s="49">
        <f>'Avg Week Musita-Lumino'!M40+'Avg Week Lumino-Musita'!M40</f>
        <v>74.571428571428584</v>
      </c>
      <c r="N40" s="49">
        <f>'Avg Week Musita-Lumino'!N40+'Avg Week Lumino-Musita'!N40</f>
        <v>0.42857142857142855</v>
      </c>
      <c r="O40" s="15">
        <f t="shared" si="0"/>
        <v>28.285714285714281</v>
      </c>
      <c r="P40" s="15">
        <f t="shared" si="1"/>
        <v>102.85714285714288</v>
      </c>
      <c r="R40" s="5" t="s">
        <v>17</v>
      </c>
      <c r="S40" s="16">
        <f t="shared" ref="S40:AF40" si="32">SUM(S10:S21)</f>
        <v>376.85714285714283</v>
      </c>
      <c r="T40" s="16">
        <f t="shared" si="32"/>
        <v>116.71428571428574</v>
      </c>
      <c r="U40" s="16">
        <f t="shared" si="32"/>
        <v>80.285714285714292</v>
      </c>
      <c r="V40" s="16">
        <f t="shared" si="32"/>
        <v>152.00000000000003</v>
      </c>
      <c r="W40" s="16">
        <f t="shared" si="32"/>
        <v>12.714285714285714</v>
      </c>
      <c r="X40" s="16">
        <f t="shared" si="32"/>
        <v>2.9999999999999996</v>
      </c>
      <c r="Y40" s="16">
        <f t="shared" si="32"/>
        <v>181.42857142857144</v>
      </c>
      <c r="Z40" s="16">
        <f t="shared" si="32"/>
        <v>196.14285714285717</v>
      </c>
      <c r="AA40" s="16">
        <f t="shared" si="32"/>
        <v>47.285714285714285</v>
      </c>
      <c r="AB40" s="16">
        <f t="shared" si="32"/>
        <v>35.428571428571431</v>
      </c>
      <c r="AC40" s="16">
        <f t="shared" si="32"/>
        <v>3873.7142857142862</v>
      </c>
      <c r="AD40" s="16">
        <f t="shared" si="32"/>
        <v>10.285714285714285</v>
      </c>
      <c r="AE40" s="32">
        <f t="shared" si="32"/>
        <v>1212.1428571428571</v>
      </c>
      <c r="AF40" s="32">
        <f t="shared" si="32"/>
        <v>5085.857142857144</v>
      </c>
    </row>
    <row r="41" spans="2:32" ht="23.1" customHeight="1" x14ac:dyDescent="0.25">
      <c r="B41" s="23" t="s">
        <v>68</v>
      </c>
      <c r="C41" s="49">
        <f>'Avg Week Musita-Lumino'!C41+'Avg Week Lumino-Musita'!C41</f>
        <v>7.7142857142857144</v>
      </c>
      <c r="D41" s="49">
        <f>'Avg Week Musita-Lumino'!D41+'Avg Week Lumino-Musita'!D41</f>
        <v>2.4285714285714288</v>
      </c>
      <c r="E41" s="49">
        <f>'Avg Week Musita-Lumino'!E41+'Avg Week Lumino-Musita'!E41</f>
        <v>0.85714285714285721</v>
      </c>
      <c r="F41" s="49">
        <f>'Avg Week Musita-Lumino'!F41+'Avg Week Lumino-Musita'!F41</f>
        <v>3.5714285714285712</v>
      </c>
      <c r="G41" s="49">
        <f>'Avg Week Musita-Lumino'!G41+'Avg Week Lumino-Musita'!G41</f>
        <v>0.71428571428571419</v>
      </c>
      <c r="H41" s="49">
        <f>'Avg Week Musita-Lumino'!H41+'Avg Week Lumino-Musita'!H41</f>
        <v>0.14285714285714285</v>
      </c>
      <c r="I41" s="49">
        <f>'Avg Week Musita-Lumino'!I41+'Avg Week Lumino-Musita'!I41</f>
        <v>3.5714285714285712</v>
      </c>
      <c r="J41" s="49">
        <f>'Avg Week Musita-Lumino'!J41+'Avg Week Lumino-Musita'!J41</f>
        <v>5.4285714285714288</v>
      </c>
      <c r="K41" s="49">
        <f>'Avg Week Musita-Lumino'!K41+'Avg Week Lumino-Musita'!K41</f>
        <v>1.2857142857142856</v>
      </c>
      <c r="L41" s="49">
        <f>'Avg Week Musita-Lumino'!L41+'Avg Week Lumino-Musita'!L41</f>
        <v>0.42857142857142855</v>
      </c>
      <c r="M41" s="49">
        <f>'Avg Week Musita-Lumino'!M41+'Avg Week Lumino-Musita'!M41</f>
        <v>65.428571428571431</v>
      </c>
      <c r="N41" s="49">
        <f>'Avg Week Musita-Lumino'!N41+'Avg Week Lumino-Musita'!N41</f>
        <v>0.14285714285714285</v>
      </c>
      <c r="O41" s="15">
        <f t="shared" si="0"/>
        <v>26.285714285714285</v>
      </c>
      <c r="P41" s="15">
        <f t="shared" si="1"/>
        <v>91.714285714285708</v>
      </c>
      <c r="R41" s="5" t="s">
        <v>176</v>
      </c>
      <c r="S41" s="52">
        <f>SUM(S10:S33)</f>
        <v>549.35714285714289</v>
      </c>
      <c r="T41" s="52">
        <f t="shared" ref="T41:AD41" si="33">SUM(T10:T33)</f>
        <v>156.21428571428572</v>
      </c>
      <c r="U41" s="52">
        <f t="shared" si="33"/>
        <v>115.28571428571429</v>
      </c>
      <c r="V41" s="52">
        <f t="shared" si="33"/>
        <v>220.00000000000003</v>
      </c>
      <c r="W41" s="52">
        <f t="shared" si="33"/>
        <v>21.714285714285715</v>
      </c>
      <c r="X41" s="52">
        <f t="shared" si="33"/>
        <v>7.5</v>
      </c>
      <c r="Y41" s="52">
        <f t="shared" si="33"/>
        <v>258.42857142857144</v>
      </c>
      <c r="Z41" s="52">
        <f t="shared" si="33"/>
        <v>305.64285714285717</v>
      </c>
      <c r="AA41" s="52">
        <f t="shared" si="33"/>
        <v>91.785714285714278</v>
      </c>
      <c r="AB41" s="52">
        <f t="shared" si="33"/>
        <v>94.428571428571431</v>
      </c>
      <c r="AC41" s="52">
        <f t="shared" si="33"/>
        <v>4822.7142857142862</v>
      </c>
      <c r="AD41" s="52">
        <f t="shared" si="33"/>
        <v>17.785714285714285</v>
      </c>
      <c r="AE41" s="53">
        <f>SUM(AE10:AE33)</f>
        <v>1838.1428571428571</v>
      </c>
      <c r="AF41" s="53">
        <f>SUM(AF10:AF33)</f>
        <v>6660.857142857144</v>
      </c>
    </row>
    <row r="42" spans="2:32" ht="23.1" customHeight="1" x14ac:dyDescent="0.25">
      <c r="B42" s="24" t="s">
        <v>69</v>
      </c>
      <c r="C42" s="49">
        <f>'Avg Week Musita-Lumino'!C42+'Avg Week Lumino-Musita'!C42</f>
        <v>7.4285714285714288</v>
      </c>
      <c r="D42" s="49">
        <f>'Avg Week Musita-Lumino'!D42+'Avg Week Lumino-Musita'!D42</f>
        <v>2.1428571428571428</v>
      </c>
      <c r="E42" s="49">
        <f>'Avg Week Musita-Lumino'!E42+'Avg Week Lumino-Musita'!E42</f>
        <v>2.7142857142857144</v>
      </c>
      <c r="F42" s="49">
        <f>'Avg Week Musita-Lumino'!F42+'Avg Week Lumino-Musita'!F42</f>
        <v>3.4285714285714288</v>
      </c>
      <c r="G42" s="49">
        <f>'Avg Week Musita-Lumino'!G42+'Avg Week Lumino-Musita'!G42</f>
        <v>0.14285714285714285</v>
      </c>
      <c r="H42" s="49">
        <f>'Avg Week Musita-Lumino'!H42+'Avg Week Lumino-Musita'!H42</f>
        <v>0</v>
      </c>
      <c r="I42" s="49">
        <f>'Avg Week Musita-Lumino'!I42+'Avg Week Lumino-Musita'!I42</f>
        <v>2.8571428571428572</v>
      </c>
      <c r="J42" s="49">
        <f>'Avg Week Musita-Lumino'!J42+'Avg Week Lumino-Musita'!J42</f>
        <v>4.5714285714285712</v>
      </c>
      <c r="K42" s="49">
        <f>'Avg Week Musita-Lumino'!K42+'Avg Week Lumino-Musita'!K42</f>
        <v>0.71428571428571419</v>
      </c>
      <c r="L42" s="49">
        <f>'Avg Week Musita-Lumino'!L42+'Avg Week Lumino-Musita'!L42</f>
        <v>0.5714285714285714</v>
      </c>
      <c r="M42" s="49">
        <f>'Avg Week Musita-Lumino'!M42+'Avg Week Lumino-Musita'!M42</f>
        <v>71.285714285714292</v>
      </c>
      <c r="N42" s="49">
        <f>'Avg Week Musita-Lumino'!N42+'Avg Week Lumino-Musita'!N42</f>
        <v>0.14285714285714285</v>
      </c>
      <c r="O42" s="15">
        <f t="shared" si="0"/>
        <v>24.714285714285715</v>
      </c>
      <c r="P42" s="15">
        <f t="shared" si="1"/>
        <v>96</v>
      </c>
      <c r="R42" s="5" t="s">
        <v>160</v>
      </c>
      <c r="S42" s="48">
        <f>S41/S40</f>
        <v>1.4577331311599699</v>
      </c>
      <c r="T42" s="48">
        <f t="shared" ref="T42:AF42" si="34">T41/T40</f>
        <v>1.3384332925336595</v>
      </c>
      <c r="U42" s="48">
        <f t="shared" si="34"/>
        <v>1.4359430604982206</v>
      </c>
      <c r="V42" s="48">
        <f t="shared" si="34"/>
        <v>1.4473684210526314</v>
      </c>
      <c r="W42" s="48">
        <f t="shared" si="34"/>
        <v>1.707865168539326</v>
      </c>
      <c r="X42" s="48">
        <f t="shared" si="34"/>
        <v>2.5000000000000004</v>
      </c>
      <c r="Y42" s="48">
        <f t="shared" si="34"/>
        <v>1.4244094488188976</v>
      </c>
      <c r="Z42" s="48">
        <f t="shared" si="34"/>
        <v>1.5582665695557174</v>
      </c>
      <c r="AA42" s="48">
        <f t="shared" si="34"/>
        <v>1.9410876132930512</v>
      </c>
      <c r="AB42" s="48">
        <f t="shared" si="34"/>
        <v>2.665322580645161</v>
      </c>
      <c r="AC42" s="48">
        <f t="shared" si="34"/>
        <v>1.2449845109898214</v>
      </c>
      <c r="AD42" s="48">
        <f t="shared" si="34"/>
        <v>1.7291666666666667</v>
      </c>
      <c r="AE42" s="51">
        <f t="shared" si="34"/>
        <v>1.5164407778432527</v>
      </c>
      <c r="AF42" s="51">
        <f t="shared" si="34"/>
        <v>1.3096823122945984</v>
      </c>
    </row>
    <row r="43" spans="2:32" ht="23.1" customHeight="1" x14ac:dyDescent="0.25">
      <c r="B43" s="23" t="s">
        <v>70</v>
      </c>
      <c r="C43" s="49">
        <f>'Avg Week Musita-Lumino'!C43+'Avg Week Lumino-Musita'!C43</f>
        <v>8</v>
      </c>
      <c r="D43" s="49">
        <f>'Avg Week Musita-Lumino'!D43+'Avg Week Lumino-Musita'!D43</f>
        <v>4.4285714285714288</v>
      </c>
      <c r="E43" s="49">
        <f>'Avg Week Musita-Lumino'!E43+'Avg Week Lumino-Musita'!E43</f>
        <v>1.8571428571428572</v>
      </c>
      <c r="F43" s="49">
        <f>'Avg Week Musita-Lumino'!F43+'Avg Week Lumino-Musita'!F43</f>
        <v>2.7142857142857144</v>
      </c>
      <c r="G43" s="49">
        <f>'Avg Week Musita-Lumino'!G43+'Avg Week Lumino-Musita'!G43</f>
        <v>0.2857142857142857</v>
      </c>
      <c r="H43" s="49">
        <f>'Avg Week Musita-Lumino'!H43+'Avg Week Lumino-Musita'!H43</f>
        <v>0.2857142857142857</v>
      </c>
      <c r="I43" s="49">
        <f>'Avg Week Musita-Lumino'!I43+'Avg Week Lumino-Musita'!I43</f>
        <v>3.8571428571428568</v>
      </c>
      <c r="J43" s="49">
        <f>'Avg Week Musita-Lumino'!J43+'Avg Week Lumino-Musita'!J43</f>
        <v>6.7142857142857144</v>
      </c>
      <c r="K43" s="49">
        <f>'Avg Week Musita-Lumino'!K43+'Avg Week Lumino-Musita'!K43</f>
        <v>0.5714285714285714</v>
      </c>
      <c r="L43" s="49">
        <f>'Avg Week Musita-Lumino'!L43+'Avg Week Lumino-Musita'!L43</f>
        <v>1</v>
      </c>
      <c r="M43" s="49">
        <f>'Avg Week Musita-Lumino'!M43+'Avg Week Lumino-Musita'!M43</f>
        <v>75.428571428571416</v>
      </c>
      <c r="N43" s="49">
        <f>'Avg Week Musita-Lumino'!N43+'Avg Week Lumino-Musita'!N43</f>
        <v>0</v>
      </c>
      <c r="O43" s="15">
        <f t="shared" si="0"/>
        <v>29.714285714285715</v>
      </c>
      <c r="P43" s="15">
        <f t="shared" si="1"/>
        <v>105.14285714285714</v>
      </c>
    </row>
    <row r="44" spans="2:32" ht="23.1" customHeight="1" x14ac:dyDescent="0.25">
      <c r="B44" s="25" t="s">
        <v>71</v>
      </c>
      <c r="C44" s="49">
        <f>'Avg Week Musita-Lumino'!C44+'Avg Week Lumino-Musita'!C44</f>
        <v>7.5714285714285712</v>
      </c>
      <c r="D44" s="49">
        <f>'Avg Week Musita-Lumino'!D44+'Avg Week Lumino-Musita'!D44</f>
        <v>3.5714285714285712</v>
      </c>
      <c r="E44" s="49">
        <f>'Avg Week Musita-Lumino'!E44+'Avg Week Lumino-Musita'!E44</f>
        <v>2.4285714285714288</v>
      </c>
      <c r="F44" s="49">
        <f>'Avg Week Musita-Lumino'!F44+'Avg Week Lumino-Musita'!F44</f>
        <v>3.7142857142857144</v>
      </c>
      <c r="G44" s="49">
        <f>'Avg Week Musita-Lumino'!G44+'Avg Week Lumino-Musita'!G44</f>
        <v>0.14285714285714285</v>
      </c>
      <c r="H44" s="49">
        <f>'Avg Week Musita-Lumino'!H44+'Avg Week Lumino-Musita'!H44</f>
        <v>0</v>
      </c>
      <c r="I44" s="49">
        <f>'Avg Week Musita-Lumino'!I44+'Avg Week Lumino-Musita'!I44</f>
        <v>2.4285714285714284</v>
      </c>
      <c r="J44" s="49">
        <f>'Avg Week Musita-Lumino'!J44+'Avg Week Lumino-Musita'!J44</f>
        <v>7</v>
      </c>
      <c r="K44" s="49">
        <f>'Avg Week Musita-Lumino'!K44+'Avg Week Lumino-Musita'!K44</f>
        <v>0.5714285714285714</v>
      </c>
      <c r="L44" s="49">
        <f>'Avg Week Musita-Lumino'!L44+'Avg Week Lumino-Musita'!L44</f>
        <v>1.1428571428571428</v>
      </c>
      <c r="M44" s="49">
        <f>'Avg Week Musita-Lumino'!M44+'Avg Week Lumino-Musita'!M44</f>
        <v>80.142857142857139</v>
      </c>
      <c r="N44" s="49">
        <f>'Avg Week Musita-Lumino'!N44+'Avg Week Lumino-Musita'!N44</f>
        <v>0.42857142857142855</v>
      </c>
      <c r="O44" s="15">
        <f t="shared" si="0"/>
        <v>28.999999999999996</v>
      </c>
      <c r="P44" s="15">
        <f t="shared" si="1"/>
        <v>109.14285714285714</v>
      </c>
    </row>
    <row r="45" spans="2:32" ht="23.1" customHeight="1" x14ac:dyDescent="0.25">
      <c r="B45" s="23" t="s">
        <v>72</v>
      </c>
      <c r="C45" s="49">
        <f>'Avg Week Musita-Lumino'!C45+'Avg Week Lumino-Musita'!C45</f>
        <v>8.4285714285714288</v>
      </c>
      <c r="D45" s="49">
        <f>'Avg Week Musita-Lumino'!D45+'Avg Week Lumino-Musita'!D45</f>
        <v>1.7142857142857142</v>
      </c>
      <c r="E45" s="49">
        <f>'Avg Week Musita-Lumino'!E45+'Avg Week Lumino-Musita'!E45</f>
        <v>1.4285714285714284</v>
      </c>
      <c r="F45" s="49">
        <f>'Avg Week Musita-Lumino'!F45+'Avg Week Lumino-Musita'!F45</f>
        <v>3.1428571428571428</v>
      </c>
      <c r="G45" s="49">
        <f>'Avg Week Musita-Lumino'!G45+'Avg Week Lumino-Musita'!G45</f>
        <v>0.14285714285714285</v>
      </c>
      <c r="H45" s="49">
        <f>'Avg Week Musita-Lumino'!H45+'Avg Week Lumino-Musita'!H45</f>
        <v>0.14285714285714285</v>
      </c>
      <c r="I45" s="49">
        <f>'Avg Week Musita-Lumino'!I45+'Avg Week Lumino-Musita'!I45</f>
        <v>4.2857142857142856</v>
      </c>
      <c r="J45" s="49">
        <f>'Avg Week Musita-Lumino'!J45+'Avg Week Lumino-Musita'!J45</f>
        <v>5</v>
      </c>
      <c r="K45" s="49">
        <f>'Avg Week Musita-Lumino'!K45+'Avg Week Lumino-Musita'!K45</f>
        <v>0.85714285714285721</v>
      </c>
      <c r="L45" s="49">
        <f>'Avg Week Musita-Lumino'!L45+'Avg Week Lumino-Musita'!L45</f>
        <v>1.5714285714285716</v>
      </c>
      <c r="M45" s="49">
        <f>'Avg Week Musita-Lumino'!M45+'Avg Week Lumino-Musita'!M45</f>
        <v>86.571428571428569</v>
      </c>
      <c r="N45" s="49">
        <f>'Avg Week Musita-Lumino'!N45+'Avg Week Lumino-Musita'!N45</f>
        <v>0.14285714285714285</v>
      </c>
      <c r="O45" s="15">
        <f t="shared" si="0"/>
        <v>26.857142857142858</v>
      </c>
      <c r="P45" s="15">
        <f t="shared" si="1"/>
        <v>113.42857142857142</v>
      </c>
    </row>
    <row r="46" spans="2:32" ht="23.1" customHeight="1" x14ac:dyDescent="0.25">
      <c r="B46" s="24" t="s">
        <v>73</v>
      </c>
      <c r="C46" s="49">
        <f>'Avg Week Musita-Lumino'!C46+'Avg Week Lumino-Musita'!C46</f>
        <v>8.4285714285714288</v>
      </c>
      <c r="D46" s="49">
        <f>'Avg Week Musita-Lumino'!D46+'Avg Week Lumino-Musita'!D46</f>
        <v>2.1428571428571428</v>
      </c>
      <c r="E46" s="49">
        <f>'Avg Week Musita-Lumino'!E46+'Avg Week Lumino-Musita'!E46</f>
        <v>1.1428571428571428</v>
      </c>
      <c r="F46" s="49">
        <f>'Avg Week Musita-Lumino'!F46+'Avg Week Lumino-Musita'!F46</f>
        <v>2.5714285714285712</v>
      </c>
      <c r="G46" s="49">
        <f>'Avg Week Musita-Lumino'!G46+'Avg Week Lumino-Musita'!G46</f>
        <v>0</v>
      </c>
      <c r="H46" s="49">
        <f>'Avg Week Musita-Lumino'!H46+'Avg Week Lumino-Musita'!H46</f>
        <v>0</v>
      </c>
      <c r="I46" s="49">
        <f>'Avg Week Musita-Lumino'!I46+'Avg Week Lumino-Musita'!I46</f>
        <v>6.1428571428571432</v>
      </c>
      <c r="J46" s="49">
        <f>'Avg Week Musita-Lumino'!J46+'Avg Week Lumino-Musita'!J46</f>
        <v>3.4285714285714284</v>
      </c>
      <c r="K46" s="49">
        <f>'Avg Week Musita-Lumino'!K46+'Avg Week Lumino-Musita'!K46</f>
        <v>0.42857142857142855</v>
      </c>
      <c r="L46" s="49">
        <f>'Avg Week Musita-Lumino'!L46+'Avg Week Lumino-Musita'!L46</f>
        <v>1</v>
      </c>
      <c r="M46" s="49">
        <f>'Avg Week Musita-Lumino'!M46+'Avg Week Lumino-Musita'!M46</f>
        <v>85.571428571428584</v>
      </c>
      <c r="N46" s="49">
        <f>'Avg Week Musita-Lumino'!N46+'Avg Week Lumino-Musita'!N46</f>
        <v>0.14285714285714285</v>
      </c>
      <c r="O46" s="15">
        <f t="shared" si="0"/>
        <v>25.428571428571423</v>
      </c>
      <c r="P46" s="15">
        <f t="shared" si="1"/>
        <v>111</v>
      </c>
      <c r="R46" s="8"/>
      <c r="T46"/>
    </row>
    <row r="47" spans="2:32" ht="23.1" customHeight="1" x14ac:dyDescent="0.25">
      <c r="B47" s="24" t="s">
        <v>74</v>
      </c>
      <c r="C47" s="49">
        <f>'Avg Week Musita-Lumino'!C47+'Avg Week Lumino-Musita'!C47</f>
        <v>9.8571428571428577</v>
      </c>
      <c r="D47" s="49">
        <f>'Avg Week Musita-Lumino'!D47+'Avg Week Lumino-Musita'!D47</f>
        <v>2.1428571428571428</v>
      </c>
      <c r="E47" s="49">
        <f>'Avg Week Musita-Lumino'!E47+'Avg Week Lumino-Musita'!E47</f>
        <v>2.7142857142857144</v>
      </c>
      <c r="F47" s="49">
        <f>'Avg Week Musita-Lumino'!F47+'Avg Week Lumino-Musita'!F47</f>
        <v>4.2857142857142856</v>
      </c>
      <c r="G47" s="49">
        <f>'Avg Week Musita-Lumino'!G47+'Avg Week Lumino-Musita'!G47</f>
        <v>0.2857142857142857</v>
      </c>
      <c r="H47" s="49">
        <f>'Avg Week Musita-Lumino'!H47+'Avg Week Lumino-Musita'!H47</f>
        <v>0</v>
      </c>
      <c r="I47" s="49">
        <f>'Avg Week Musita-Lumino'!I47+'Avg Week Lumino-Musita'!I47</f>
        <v>5.5714285714285712</v>
      </c>
      <c r="J47" s="49">
        <f>'Avg Week Musita-Lumino'!J47+'Avg Week Lumino-Musita'!J47</f>
        <v>4</v>
      </c>
      <c r="K47" s="49">
        <f>'Avg Week Musita-Lumino'!K47+'Avg Week Lumino-Musita'!K47</f>
        <v>0.71428571428571419</v>
      </c>
      <c r="L47" s="49">
        <f>'Avg Week Musita-Lumino'!L47+'Avg Week Lumino-Musita'!L47</f>
        <v>1.1428571428571428</v>
      </c>
      <c r="M47" s="49">
        <f>'Avg Week Musita-Lumino'!M47+'Avg Week Lumino-Musita'!M47</f>
        <v>95.142857142857139</v>
      </c>
      <c r="N47" s="49">
        <f>'Avg Week Musita-Lumino'!N47+'Avg Week Lumino-Musita'!N47</f>
        <v>0.14285714285714285</v>
      </c>
      <c r="O47" s="15">
        <f t="shared" si="0"/>
        <v>30.857142857142854</v>
      </c>
      <c r="P47" s="15">
        <f t="shared" si="1"/>
        <v>125.99999999999999</v>
      </c>
      <c r="R47" s="8"/>
      <c r="T47"/>
    </row>
    <row r="48" spans="2:32" ht="23.1" customHeight="1" x14ac:dyDescent="0.25">
      <c r="B48" s="24" t="s">
        <v>75</v>
      </c>
      <c r="C48" s="49">
        <f>'Avg Week Musita-Lumino'!C48+'Avg Week Lumino-Musita'!C48</f>
        <v>9</v>
      </c>
      <c r="D48" s="49">
        <f>'Avg Week Musita-Lumino'!D48+'Avg Week Lumino-Musita'!D48</f>
        <v>2.1428571428571428</v>
      </c>
      <c r="E48" s="49">
        <f>'Avg Week Musita-Lumino'!E48+'Avg Week Lumino-Musita'!E48</f>
        <v>2.4285714285714284</v>
      </c>
      <c r="F48" s="49">
        <f>'Avg Week Musita-Lumino'!F48+'Avg Week Lumino-Musita'!F48</f>
        <v>3</v>
      </c>
      <c r="G48" s="49">
        <f>'Avg Week Musita-Lumino'!G48+'Avg Week Lumino-Musita'!G48</f>
        <v>0.14285714285714285</v>
      </c>
      <c r="H48" s="49">
        <f>'Avg Week Musita-Lumino'!H48+'Avg Week Lumino-Musita'!H48</f>
        <v>0</v>
      </c>
      <c r="I48" s="49">
        <f>'Avg Week Musita-Lumino'!I48+'Avg Week Lumino-Musita'!I48</f>
        <v>5</v>
      </c>
      <c r="J48" s="49">
        <f>'Avg Week Musita-Lumino'!J48+'Avg Week Lumino-Musita'!J48</f>
        <v>3.5714285714285712</v>
      </c>
      <c r="K48" s="49">
        <f>'Avg Week Musita-Lumino'!K48+'Avg Week Lumino-Musita'!K48</f>
        <v>0.5714285714285714</v>
      </c>
      <c r="L48" s="49">
        <f>'Avg Week Musita-Lumino'!L48+'Avg Week Lumino-Musita'!L48</f>
        <v>1</v>
      </c>
      <c r="M48" s="49">
        <f>'Avg Week Musita-Lumino'!M48+'Avg Week Lumino-Musita'!M48</f>
        <v>91.571428571428569</v>
      </c>
      <c r="N48" s="49">
        <f>'Avg Week Musita-Lumino'!N48+'Avg Week Lumino-Musita'!N48</f>
        <v>0.42857142857142855</v>
      </c>
      <c r="O48" s="15">
        <f t="shared" si="0"/>
        <v>27.285714285714285</v>
      </c>
      <c r="P48" s="15">
        <f t="shared" si="1"/>
        <v>118.85714285714286</v>
      </c>
      <c r="R48" s="8"/>
      <c r="T48"/>
    </row>
    <row r="49" spans="2:20" ht="23.1" customHeight="1" x14ac:dyDescent="0.25">
      <c r="B49" s="23" t="s">
        <v>76</v>
      </c>
      <c r="C49" s="49">
        <f>'Avg Week Musita-Lumino'!C49+'Avg Week Lumino-Musita'!C49</f>
        <v>9.8571428571428577</v>
      </c>
      <c r="D49" s="49">
        <f>'Avg Week Musita-Lumino'!D49+'Avg Week Lumino-Musita'!D49</f>
        <v>2.4285714285714284</v>
      </c>
      <c r="E49" s="49">
        <f>'Avg Week Musita-Lumino'!E49+'Avg Week Lumino-Musita'!E49</f>
        <v>1.4285714285714284</v>
      </c>
      <c r="F49" s="49">
        <f>'Avg Week Musita-Lumino'!F49+'Avg Week Lumino-Musita'!F49</f>
        <v>3.7142857142857144</v>
      </c>
      <c r="G49" s="49">
        <f>'Avg Week Musita-Lumino'!G49+'Avg Week Lumino-Musita'!G49</f>
        <v>0</v>
      </c>
      <c r="H49" s="49">
        <f>'Avg Week Musita-Lumino'!H49+'Avg Week Lumino-Musita'!H49</f>
        <v>0</v>
      </c>
      <c r="I49" s="49">
        <f>'Avg Week Musita-Lumino'!I49+'Avg Week Lumino-Musita'!I49</f>
        <v>6.8571428571428577</v>
      </c>
      <c r="J49" s="49">
        <f>'Avg Week Musita-Lumino'!J49+'Avg Week Lumino-Musita'!J49</f>
        <v>3.8571428571428572</v>
      </c>
      <c r="K49" s="49">
        <f>'Avg Week Musita-Lumino'!K49+'Avg Week Lumino-Musita'!K49</f>
        <v>1</v>
      </c>
      <c r="L49" s="49">
        <f>'Avg Week Musita-Lumino'!L49+'Avg Week Lumino-Musita'!L49</f>
        <v>0.8571428571428571</v>
      </c>
      <c r="M49" s="49">
        <f>'Avg Week Musita-Lumino'!M49+'Avg Week Lumino-Musita'!M49</f>
        <v>92</v>
      </c>
      <c r="N49" s="49">
        <f>'Avg Week Musita-Lumino'!N49+'Avg Week Lumino-Musita'!N49</f>
        <v>0</v>
      </c>
      <c r="O49" s="15">
        <f t="shared" si="0"/>
        <v>30.000000000000004</v>
      </c>
      <c r="P49" s="15">
        <f t="shared" si="1"/>
        <v>122</v>
      </c>
      <c r="R49" s="8"/>
      <c r="T49"/>
    </row>
    <row r="50" spans="2:20" ht="23.1" customHeight="1" x14ac:dyDescent="0.25">
      <c r="B50" s="24" t="s">
        <v>77</v>
      </c>
      <c r="C50" s="49">
        <f>'Avg Week Musita-Lumino'!C50+'Avg Week Lumino-Musita'!C50</f>
        <v>8.2857142857142865</v>
      </c>
      <c r="D50" s="49">
        <f>'Avg Week Musita-Lumino'!D50+'Avg Week Lumino-Musita'!D50</f>
        <v>2.8571428571428572</v>
      </c>
      <c r="E50" s="49">
        <f>'Avg Week Musita-Lumino'!E50+'Avg Week Lumino-Musita'!E50</f>
        <v>1.4285714285714284</v>
      </c>
      <c r="F50" s="49">
        <f>'Avg Week Musita-Lumino'!F50+'Avg Week Lumino-Musita'!F50</f>
        <v>3.5714285714285712</v>
      </c>
      <c r="G50" s="49">
        <f>'Avg Week Musita-Lumino'!G50+'Avg Week Lumino-Musita'!G50</f>
        <v>0.14285714285714285</v>
      </c>
      <c r="H50" s="49">
        <f>'Avg Week Musita-Lumino'!H50+'Avg Week Lumino-Musita'!H50</f>
        <v>0</v>
      </c>
      <c r="I50" s="49">
        <f>'Avg Week Musita-Lumino'!I50+'Avg Week Lumino-Musita'!I50</f>
        <v>5.5714285714285712</v>
      </c>
      <c r="J50" s="49">
        <f>'Avg Week Musita-Lumino'!J50+'Avg Week Lumino-Musita'!J50</f>
        <v>3.8571428571428572</v>
      </c>
      <c r="K50" s="49">
        <f>'Avg Week Musita-Lumino'!K50+'Avg Week Lumino-Musita'!K50</f>
        <v>0.42857142857142855</v>
      </c>
      <c r="L50" s="49">
        <f>'Avg Week Musita-Lumino'!L50+'Avg Week Lumino-Musita'!L50</f>
        <v>1.2857142857142856</v>
      </c>
      <c r="M50" s="49">
        <f>'Avg Week Musita-Lumino'!M50+'Avg Week Lumino-Musita'!M50</f>
        <v>83.714285714285722</v>
      </c>
      <c r="N50" s="49">
        <f>'Avg Week Musita-Lumino'!N50+'Avg Week Lumino-Musita'!N50</f>
        <v>0.2857142857142857</v>
      </c>
      <c r="O50" s="15">
        <f t="shared" si="0"/>
        <v>27.714285714285715</v>
      </c>
      <c r="P50" s="15">
        <f t="shared" si="1"/>
        <v>111.42857142857144</v>
      </c>
      <c r="R50" s="8"/>
      <c r="T50"/>
    </row>
    <row r="51" spans="2:20" ht="23.1" customHeight="1" x14ac:dyDescent="0.25">
      <c r="B51" s="24" t="s">
        <v>78</v>
      </c>
      <c r="C51" s="49">
        <f>'Avg Week Musita-Lumino'!C51+'Avg Week Lumino-Musita'!C51</f>
        <v>6.5714285714285712</v>
      </c>
      <c r="D51" s="49">
        <f>'Avg Week Musita-Lumino'!D51+'Avg Week Lumino-Musita'!D51</f>
        <v>3.5714285714285716</v>
      </c>
      <c r="E51" s="49">
        <f>'Avg Week Musita-Lumino'!E51+'Avg Week Lumino-Musita'!E51</f>
        <v>2.4285714285714288</v>
      </c>
      <c r="F51" s="49">
        <f>'Avg Week Musita-Lumino'!F51+'Avg Week Lumino-Musita'!F51</f>
        <v>2.8571428571428572</v>
      </c>
      <c r="G51" s="49">
        <f>'Avg Week Musita-Lumino'!G51+'Avg Week Lumino-Musita'!G51</f>
        <v>0.5714285714285714</v>
      </c>
      <c r="H51" s="49">
        <f>'Avg Week Musita-Lumino'!H51+'Avg Week Lumino-Musita'!H51</f>
        <v>0</v>
      </c>
      <c r="I51" s="49">
        <f>'Avg Week Musita-Lumino'!I51+'Avg Week Lumino-Musita'!I51</f>
        <v>4.4285714285714288</v>
      </c>
      <c r="J51" s="49">
        <f>'Avg Week Musita-Lumino'!J51+'Avg Week Lumino-Musita'!J51</f>
        <v>3.8571428571428572</v>
      </c>
      <c r="K51" s="49">
        <f>'Avg Week Musita-Lumino'!K51+'Avg Week Lumino-Musita'!K51</f>
        <v>0</v>
      </c>
      <c r="L51" s="49">
        <f>'Avg Week Musita-Lumino'!L51+'Avg Week Lumino-Musita'!L51</f>
        <v>0.8571428571428571</v>
      </c>
      <c r="M51" s="49">
        <f>'Avg Week Musita-Lumino'!M51+'Avg Week Lumino-Musita'!M51</f>
        <v>91.714285714285722</v>
      </c>
      <c r="N51" s="49">
        <f>'Avg Week Musita-Lumino'!N51+'Avg Week Lumino-Musita'!N51</f>
        <v>0</v>
      </c>
      <c r="O51" s="15">
        <f t="shared" si="0"/>
        <v>25.142857142857146</v>
      </c>
      <c r="P51" s="15">
        <f t="shared" si="1"/>
        <v>116.85714285714286</v>
      </c>
      <c r="R51" s="8"/>
      <c r="T51"/>
    </row>
    <row r="52" spans="2:20" ht="23.1" customHeight="1" x14ac:dyDescent="0.25">
      <c r="B52" s="24" t="s">
        <v>79</v>
      </c>
      <c r="C52" s="49">
        <f>'Avg Week Musita-Lumino'!C52+'Avg Week Lumino-Musita'!C52</f>
        <v>7.1428571428571423</v>
      </c>
      <c r="D52" s="49">
        <f>'Avg Week Musita-Lumino'!D52+'Avg Week Lumino-Musita'!D52</f>
        <v>4.2857142857142856</v>
      </c>
      <c r="E52" s="49">
        <f>'Avg Week Musita-Lumino'!E52+'Avg Week Lumino-Musita'!E52</f>
        <v>2.2857142857142856</v>
      </c>
      <c r="F52" s="49">
        <f>'Avg Week Musita-Lumino'!F52+'Avg Week Lumino-Musita'!F52</f>
        <v>3.1428571428571432</v>
      </c>
      <c r="G52" s="49">
        <f>'Avg Week Musita-Lumino'!G52+'Avg Week Lumino-Musita'!G52</f>
        <v>0</v>
      </c>
      <c r="H52" s="49">
        <f>'Avg Week Musita-Lumino'!H52+'Avg Week Lumino-Musita'!H52</f>
        <v>0.14285714285714285</v>
      </c>
      <c r="I52" s="49">
        <f>'Avg Week Musita-Lumino'!I52+'Avg Week Lumino-Musita'!I52</f>
        <v>4.1428571428571423</v>
      </c>
      <c r="J52" s="49">
        <f>'Avg Week Musita-Lumino'!J52+'Avg Week Lumino-Musita'!J52</f>
        <v>5.8571428571428577</v>
      </c>
      <c r="K52" s="49">
        <f>'Avg Week Musita-Lumino'!K52+'Avg Week Lumino-Musita'!K52</f>
        <v>1.4285714285714286</v>
      </c>
      <c r="L52" s="49">
        <f>'Avg Week Musita-Lumino'!L52+'Avg Week Lumino-Musita'!L52</f>
        <v>0.14285714285714285</v>
      </c>
      <c r="M52" s="49">
        <f>'Avg Week Musita-Lumino'!M52+'Avg Week Lumino-Musita'!M52</f>
        <v>98.142857142857139</v>
      </c>
      <c r="N52" s="49">
        <f>'Avg Week Musita-Lumino'!N52+'Avg Week Lumino-Musita'!N52</f>
        <v>0.14285714285714285</v>
      </c>
      <c r="O52" s="15">
        <f t="shared" si="0"/>
        <v>28.714285714285708</v>
      </c>
      <c r="P52" s="15">
        <f t="shared" si="1"/>
        <v>126.85714285714285</v>
      </c>
      <c r="R52" s="8"/>
      <c r="T52"/>
    </row>
    <row r="53" spans="2:20" ht="23.1" customHeight="1" x14ac:dyDescent="0.25">
      <c r="B53" s="23" t="s">
        <v>80</v>
      </c>
      <c r="C53" s="49">
        <f>'Avg Week Musita-Lumino'!C53+'Avg Week Lumino-Musita'!C53</f>
        <v>9</v>
      </c>
      <c r="D53" s="49">
        <f>'Avg Week Musita-Lumino'!D53+'Avg Week Lumino-Musita'!D53</f>
        <v>4</v>
      </c>
      <c r="E53" s="49">
        <f>'Avg Week Musita-Lumino'!E53+'Avg Week Lumino-Musita'!E53</f>
        <v>1.2857142857142856</v>
      </c>
      <c r="F53" s="49">
        <f>'Avg Week Musita-Lumino'!F53+'Avg Week Lumino-Musita'!F53</f>
        <v>4.4285714285714288</v>
      </c>
      <c r="G53" s="49">
        <f>'Avg Week Musita-Lumino'!G53+'Avg Week Lumino-Musita'!G53</f>
        <v>0.42857142857142855</v>
      </c>
      <c r="H53" s="49">
        <f>'Avg Week Musita-Lumino'!H53+'Avg Week Lumino-Musita'!H53</f>
        <v>0.14285714285714285</v>
      </c>
      <c r="I53" s="49">
        <f>'Avg Week Musita-Lumino'!I53+'Avg Week Lumino-Musita'!I53</f>
        <v>4.5714285714285712</v>
      </c>
      <c r="J53" s="49">
        <f>'Avg Week Musita-Lumino'!J53+'Avg Week Lumino-Musita'!J53</f>
        <v>4.1428571428571432</v>
      </c>
      <c r="K53" s="49">
        <f>'Avg Week Musita-Lumino'!K53+'Avg Week Lumino-Musita'!K53</f>
        <v>2.1428571428571428</v>
      </c>
      <c r="L53" s="49">
        <f>'Avg Week Musita-Lumino'!L53+'Avg Week Lumino-Musita'!L53</f>
        <v>1.1428571428571428</v>
      </c>
      <c r="M53" s="49">
        <f>'Avg Week Musita-Lumino'!M53+'Avg Week Lumino-Musita'!M53</f>
        <v>94.571428571428569</v>
      </c>
      <c r="N53" s="49">
        <f>'Avg Week Musita-Lumino'!N53+'Avg Week Lumino-Musita'!N53</f>
        <v>0.2857142857142857</v>
      </c>
      <c r="O53" s="15">
        <f t="shared" si="0"/>
        <v>31.571428571428566</v>
      </c>
      <c r="P53" s="15">
        <f t="shared" si="1"/>
        <v>126.14285714285714</v>
      </c>
      <c r="R53" s="8"/>
      <c r="T53"/>
    </row>
    <row r="54" spans="2:20" ht="23.1" customHeight="1" x14ac:dyDescent="0.25">
      <c r="B54" s="23" t="s">
        <v>81</v>
      </c>
      <c r="C54" s="49">
        <f>'Avg Week Musita-Lumino'!C54+'Avg Week Lumino-Musita'!C54</f>
        <v>11</v>
      </c>
      <c r="D54" s="49">
        <f>'Avg Week Musita-Lumino'!D54+'Avg Week Lumino-Musita'!D54</f>
        <v>5</v>
      </c>
      <c r="E54" s="49">
        <f>'Avg Week Musita-Lumino'!E54+'Avg Week Lumino-Musita'!E54</f>
        <v>2</v>
      </c>
      <c r="F54" s="49">
        <f>'Avg Week Musita-Lumino'!F54+'Avg Week Lumino-Musita'!F54</f>
        <v>4.8571428571428577</v>
      </c>
      <c r="G54" s="49">
        <f>'Avg Week Musita-Lumino'!G54+'Avg Week Lumino-Musita'!G54</f>
        <v>0.42857142857142855</v>
      </c>
      <c r="H54" s="49">
        <f>'Avg Week Musita-Lumino'!H54+'Avg Week Lumino-Musita'!H54</f>
        <v>0</v>
      </c>
      <c r="I54" s="49">
        <f>'Avg Week Musita-Lumino'!I54+'Avg Week Lumino-Musita'!I54</f>
        <v>5</v>
      </c>
      <c r="J54" s="49">
        <f>'Avg Week Musita-Lumino'!J54+'Avg Week Lumino-Musita'!J54</f>
        <v>5.8571428571428577</v>
      </c>
      <c r="K54" s="49">
        <f>'Avg Week Musita-Lumino'!K54+'Avg Week Lumino-Musita'!K54</f>
        <v>2</v>
      </c>
      <c r="L54" s="49">
        <f>'Avg Week Musita-Lumino'!L54+'Avg Week Lumino-Musita'!L54</f>
        <v>0.71428571428571419</v>
      </c>
      <c r="M54" s="49">
        <f>'Avg Week Musita-Lumino'!M54+'Avg Week Lumino-Musita'!M54</f>
        <v>86.571428571428569</v>
      </c>
      <c r="N54" s="49">
        <f>'Avg Week Musita-Lumino'!N54+'Avg Week Lumino-Musita'!N54</f>
        <v>0.14285714285714285</v>
      </c>
      <c r="O54" s="15">
        <f t="shared" si="0"/>
        <v>37</v>
      </c>
      <c r="P54" s="15">
        <f t="shared" si="1"/>
        <v>123.57142857142856</v>
      </c>
      <c r="R54" s="8"/>
      <c r="T54"/>
    </row>
    <row r="55" spans="2:20" ht="23.1" customHeight="1" x14ac:dyDescent="0.25">
      <c r="B55" s="23" t="s">
        <v>82</v>
      </c>
      <c r="C55" s="49">
        <f>'Avg Week Musita-Lumino'!C55+'Avg Week Lumino-Musita'!C55</f>
        <v>9.2857142857142847</v>
      </c>
      <c r="D55" s="49">
        <f>'Avg Week Musita-Lumino'!D55+'Avg Week Lumino-Musita'!D55</f>
        <v>4.4285714285714288</v>
      </c>
      <c r="E55" s="49">
        <f>'Avg Week Musita-Lumino'!E55+'Avg Week Lumino-Musita'!E55</f>
        <v>1.8571428571428572</v>
      </c>
      <c r="F55" s="49">
        <f>'Avg Week Musita-Lumino'!F55+'Avg Week Lumino-Musita'!F55</f>
        <v>4</v>
      </c>
      <c r="G55" s="49">
        <f>'Avg Week Musita-Lumino'!G55+'Avg Week Lumino-Musita'!G55</f>
        <v>0.2857142857142857</v>
      </c>
      <c r="H55" s="49">
        <f>'Avg Week Musita-Lumino'!H55+'Avg Week Lumino-Musita'!H55</f>
        <v>0</v>
      </c>
      <c r="I55" s="49">
        <f>'Avg Week Musita-Lumino'!I55+'Avg Week Lumino-Musita'!I55</f>
        <v>4.2857142857142856</v>
      </c>
      <c r="J55" s="49">
        <f>'Avg Week Musita-Lumino'!J55+'Avg Week Lumino-Musita'!J55</f>
        <v>5.7142857142857144</v>
      </c>
      <c r="K55" s="49">
        <f>'Avg Week Musita-Lumino'!K55+'Avg Week Lumino-Musita'!K55</f>
        <v>0.42857142857142855</v>
      </c>
      <c r="L55" s="49">
        <f>'Avg Week Musita-Lumino'!L55+'Avg Week Lumino-Musita'!L55</f>
        <v>0.42857142857142855</v>
      </c>
      <c r="M55" s="49">
        <f>'Avg Week Musita-Lumino'!M55+'Avg Week Lumino-Musita'!M55</f>
        <v>79.857142857142861</v>
      </c>
      <c r="N55" s="49">
        <f>'Avg Week Musita-Lumino'!N55+'Avg Week Lumino-Musita'!N55</f>
        <v>0.5714285714285714</v>
      </c>
      <c r="O55" s="15">
        <f t="shared" si="0"/>
        <v>31.285714285714281</v>
      </c>
      <c r="P55" s="15">
        <f t="shared" si="1"/>
        <v>111.14285714285714</v>
      </c>
      <c r="R55" s="8"/>
      <c r="T55"/>
    </row>
    <row r="56" spans="2:20" ht="23.1" customHeight="1" x14ac:dyDescent="0.25">
      <c r="B56" s="23" t="s">
        <v>83</v>
      </c>
      <c r="C56" s="49">
        <f>'Avg Week Musita-Lumino'!C56+'Avg Week Lumino-Musita'!C56</f>
        <v>10.285714285714286</v>
      </c>
      <c r="D56" s="49">
        <f>'Avg Week Musita-Lumino'!D56+'Avg Week Lumino-Musita'!D56</f>
        <v>2.4285714285714288</v>
      </c>
      <c r="E56" s="49">
        <f>'Avg Week Musita-Lumino'!E56+'Avg Week Lumino-Musita'!E56</f>
        <v>3</v>
      </c>
      <c r="F56" s="49">
        <f>'Avg Week Musita-Lumino'!F56+'Avg Week Lumino-Musita'!F56</f>
        <v>5.4285714285714288</v>
      </c>
      <c r="G56" s="49">
        <f>'Avg Week Musita-Lumino'!G56+'Avg Week Lumino-Musita'!G56</f>
        <v>0.2857142857142857</v>
      </c>
      <c r="H56" s="49">
        <f>'Avg Week Musita-Lumino'!H56+'Avg Week Lumino-Musita'!H56</f>
        <v>0</v>
      </c>
      <c r="I56" s="49">
        <f>'Avg Week Musita-Lumino'!I56+'Avg Week Lumino-Musita'!I56</f>
        <v>3.1428571428571428</v>
      </c>
      <c r="J56" s="49">
        <f>'Avg Week Musita-Lumino'!J56+'Avg Week Lumino-Musita'!J56</f>
        <v>5.8571428571428577</v>
      </c>
      <c r="K56" s="49">
        <f>'Avg Week Musita-Lumino'!K56+'Avg Week Lumino-Musita'!K56</f>
        <v>1.2857142857142856</v>
      </c>
      <c r="L56" s="49">
        <f>'Avg Week Musita-Lumino'!L56+'Avg Week Lumino-Musita'!L56</f>
        <v>0.71428571428571419</v>
      </c>
      <c r="M56" s="49">
        <f>'Avg Week Musita-Lumino'!M56+'Avg Week Lumino-Musita'!M56</f>
        <v>88.857142857142861</v>
      </c>
      <c r="N56" s="49">
        <f>'Avg Week Musita-Lumino'!N56+'Avg Week Lumino-Musita'!N56</f>
        <v>0.5714285714285714</v>
      </c>
      <c r="O56" s="15">
        <f t="shared" si="0"/>
        <v>33</v>
      </c>
      <c r="P56" s="15">
        <f t="shared" si="1"/>
        <v>121.85714285714286</v>
      </c>
      <c r="R56" s="8"/>
      <c r="T56"/>
    </row>
    <row r="57" spans="2:20" ht="23.1" customHeight="1" x14ac:dyDescent="0.25">
      <c r="B57" s="23" t="s">
        <v>84</v>
      </c>
      <c r="C57" s="49">
        <f>'Avg Week Musita-Lumino'!C57+'Avg Week Lumino-Musita'!C57</f>
        <v>10.285714285714285</v>
      </c>
      <c r="D57" s="49">
        <f>'Avg Week Musita-Lumino'!D57+'Avg Week Lumino-Musita'!D57</f>
        <v>2.7142857142857144</v>
      </c>
      <c r="E57" s="49">
        <f>'Avg Week Musita-Lumino'!E57+'Avg Week Lumino-Musita'!E57</f>
        <v>2.4285714285714284</v>
      </c>
      <c r="F57" s="49">
        <f>'Avg Week Musita-Lumino'!F57+'Avg Week Lumino-Musita'!F57</f>
        <v>3.5714285714285712</v>
      </c>
      <c r="G57" s="49">
        <f>'Avg Week Musita-Lumino'!G57+'Avg Week Lumino-Musita'!G57</f>
        <v>1</v>
      </c>
      <c r="H57" s="49">
        <f>'Avg Week Musita-Lumino'!H57+'Avg Week Lumino-Musita'!H57</f>
        <v>0.14285714285714285</v>
      </c>
      <c r="I57" s="49">
        <f>'Avg Week Musita-Lumino'!I57+'Avg Week Lumino-Musita'!I57</f>
        <v>3.7142857142857144</v>
      </c>
      <c r="J57" s="49">
        <f>'Avg Week Musita-Lumino'!J57+'Avg Week Lumino-Musita'!J57</f>
        <v>6.1428571428571423</v>
      </c>
      <c r="K57" s="49">
        <f>'Avg Week Musita-Lumino'!K57+'Avg Week Lumino-Musita'!K57</f>
        <v>1.2857142857142856</v>
      </c>
      <c r="L57" s="49">
        <f>'Avg Week Musita-Lumino'!L57+'Avg Week Lumino-Musita'!L57</f>
        <v>1.4285714285714286</v>
      </c>
      <c r="M57" s="49">
        <f>'Avg Week Musita-Lumino'!M57+'Avg Week Lumino-Musita'!M57</f>
        <v>74.142857142857139</v>
      </c>
      <c r="N57" s="49">
        <f>'Avg Week Musita-Lumino'!N57+'Avg Week Lumino-Musita'!N57</f>
        <v>0</v>
      </c>
      <c r="O57" s="15">
        <f t="shared" si="0"/>
        <v>32.714285714285715</v>
      </c>
      <c r="P57" s="15">
        <f t="shared" si="1"/>
        <v>106.85714285714286</v>
      </c>
      <c r="R57" s="8"/>
      <c r="T57"/>
    </row>
    <row r="58" spans="2:20" ht="23.1" customHeight="1" x14ac:dyDescent="0.25">
      <c r="B58" s="23" t="s">
        <v>99</v>
      </c>
      <c r="C58" s="49">
        <f>'Avg Week Musita-Lumino'!C58+'Avg Week Lumino-Musita'!C58</f>
        <v>12.5</v>
      </c>
      <c r="D58" s="49">
        <f>'Avg Week Musita-Lumino'!D58+'Avg Week Lumino-Musita'!D58</f>
        <v>4</v>
      </c>
      <c r="E58" s="49">
        <f>'Avg Week Musita-Lumino'!E58+'Avg Week Lumino-Musita'!E58</f>
        <v>2</v>
      </c>
      <c r="F58" s="49">
        <f>'Avg Week Musita-Lumino'!F58+'Avg Week Lumino-Musita'!F58</f>
        <v>7.5</v>
      </c>
      <c r="G58" s="49">
        <f>'Avg Week Musita-Lumino'!G58+'Avg Week Lumino-Musita'!G58</f>
        <v>1.5</v>
      </c>
      <c r="H58" s="49">
        <f>'Avg Week Musita-Lumino'!H58+'Avg Week Lumino-Musita'!H58</f>
        <v>0.5</v>
      </c>
      <c r="I58" s="49">
        <f>'Avg Week Musita-Lumino'!I58+'Avg Week Lumino-Musita'!I58</f>
        <v>5.5</v>
      </c>
      <c r="J58" s="49">
        <f>'Avg Week Musita-Lumino'!J58+'Avg Week Lumino-Musita'!J58</f>
        <v>5</v>
      </c>
      <c r="K58" s="49">
        <f>'Avg Week Musita-Lumino'!K58+'Avg Week Lumino-Musita'!K58</f>
        <v>3</v>
      </c>
      <c r="L58" s="49">
        <f>'Avg Week Musita-Lumino'!L58+'Avg Week Lumino-Musita'!L58</f>
        <v>1.5</v>
      </c>
      <c r="M58" s="49">
        <f>'Avg Week Musita-Lumino'!M58+'Avg Week Lumino-Musita'!M58</f>
        <v>85.5</v>
      </c>
      <c r="N58" s="49">
        <f>'Avg Week Musita-Lumino'!N58+'Avg Week Lumino-Musita'!N58</f>
        <v>1.5</v>
      </c>
      <c r="O58" s="15">
        <f t="shared" si="0"/>
        <v>44.5</v>
      </c>
      <c r="P58" s="15">
        <f t="shared" si="1"/>
        <v>130</v>
      </c>
      <c r="R58" s="8"/>
      <c r="T58"/>
    </row>
    <row r="59" spans="2:20" ht="23.1" customHeight="1" x14ac:dyDescent="0.25">
      <c r="B59" s="23" t="s">
        <v>100</v>
      </c>
      <c r="C59" s="49">
        <f>'Avg Week Musita-Lumino'!C59+'Avg Week Lumino-Musita'!C59</f>
        <v>16.5</v>
      </c>
      <c r="D59" s="49">
        <f>'Avg Week Musita-Lumino'!D59+'Avg Week Lumino-Musita'!D59</f>
        <v>2</v>
      </c>
      <c r="E59" s="49">
        <f>'Avg Week Musita-Lumino'!E59+'Avg Week Lumino-Musita'!E59</f>
        <v>2</v>
      </c>
      <c r="F59" s="49">
        <f>'Avg Week Musita-Lumino'!F59+'Avg Week Lumino-Musita'!F59</f>
        <v>6</v>
      </c>
      <c r="G59" s="49">
        <f>'Avg Week Musita-Lumino'!G59+'Avg Week Lumino-Musita'!G59</f>
        <v>1</v>
      </c>
      <c r="H59" s="49">
        <f>'Avg Week Musita-Lumino'!H59+'Avg Week Lumino-Musita'!H59</f>
        <v>0</v>
      </c>
      <c r="I59" s="49">
        <f>'Avg Week Musita-Lumino'!I59+'Avg Week Lumino-Musita'!I59</f>
        <v>4.5</v>
      </c>
      <c r="J59" s="49">
        <f>'Avg Week Musita-Lumino'!J59+'Avg Week Lumino-Musita'!J59</f>
        <v>6.5</v>
      </c>
      <c r="K59" s="49">
        <f>'Avg Week Musita-Lumino'!K59+'Avg Week Lumino-Musita'!K59</f>
        <v>4</v>
      </c>
      <c r="L59" s="49">
        <f>'Avg Week Musita-Lumino'!L59+'Avg Week Lumino-Musita'!L59</f>
        <v>1.5</v>
      </c>
      <c r="M59" s="49">
        <f>'Avg Week Musita-Lumino'!M59+'Avg Week Lumino-Musita'!M59</f>
        <v>82</v>
      </c>
      <c r="N59" s="49">
        <f>'Avg Week Musita-Lumino'!N59+'Avg Week Lumino-Musita'!N59</f>
        <v>1.5</v>
      </c>
      <c r="O59" s="15">
        <f t="shared" si="0"/>
        <v>45.5</v>
      </c>
      <c r="P59" s="15">
        <f t="shared" si="1"/>
        <v>127.5</v>
      </c>
      <c r="R59" s="8"/>
      <c r="T59"/>
    </row>
    <row r="60" spans="2:20" ht="23.1" customHeight="1" x14ac:dyDescent="0.25">
      <c r="B60" s="23" t="s">
        <v>101</v>
      </c>
      <c r="C60" s="49">
        <f>'Avg Week Musita-Lumino'!C60+'Avg Week Lumino-Musita'!C60</f>
        <v>11</v>
      </c>
      <c r="D60" s="49">
        <f>'Avg Week Musita-Lumino'!D60+'Avg Week Lumino-Musita'!D60</f>
        <v>1</v>
      </c>
      <c r="E60" s="49">
        <f>'Avg Week Musita-Lumino'!E60+'Avg Week Lumino-Musita'!E60</f>
        <v>1</v>
      </c>
      <c r="F60" s="49">
        <f>'Avg Week Musita-Lumino'!F60+'Avg Week Lumino-Musita'!F60</f>
        <v>3.5</v>
      </c>
      <c r="G60" s="49">
        <f>'Avg Week Musita-Lumino'!G60+'Avg Week Lumino-Musita'!G60</f>
        <v>0</v>
      </c>
      <c r="H60" s="49">
        <f>'Avg Week Musita-Lumino'!H60+'Avg Week Lumino-Musita'!H60</f>
        <v>0</v>
      </c>
      <c r="I60" s="49">
        <f>'Avg Week Musita-Lumino'!I60+'Avg Week Lumino-Musita'!I60</f>
        <v>3.5</v>
      </c>
      <c r="J60" s="49">
        <f>'Avg Week Musita-Lumino'!J60+'Avg Week Lumino-Musita'!J60</f>
        <v>8.5</v>
      </c>
      <c r="K60" s="49">
        <f>'Avg Week Musita-Lumino'!K60+'Avg Week Lumino-Musita'!K60</f>
        <v>1</v>
      </c>
      <c r="L60" s="49">
        <f>'Avg Week Musita-Lumino'!L60+'Avg Week Lumino-Musita'!L60</f>
        <v>3</v>
      </c>
      <c r="M60" s="49">
        <f>'Avg Week Musita-Lumino'!M60+'Avg Week Lumino-Musita'!M60</f>
        <v>82</v>
      </c>
      <c r="N60" s="49">
        <f>'Avg Week Musita-Lumino'!N60+'Avg Week Lumino-Musita'!N60</f>
        <v>1.5</v>
      </c>
      <c r="O60" s="15">
        <f t="shared" si="0"/>
        <v>34</v>
      </c>
      <c r="P60" s="15">
        <f t="shared" si="1"/>
        <v>116</v>
      </c>
      <c r="R60" s="8"/>
      <c r="T60"/>
    </row>
    <row r="61" spans="2:20" ht="23.1" customHeight="1" x14ac:dyDescent="0.25">
      <c r="B61" s="23" t="s">
        <v>102</v>
      </c>
      <c r="C61" s="49">
        <f>'Avg Week Musita-Lumino'!C61+'Avg Week Lumino-Musita'!C61</f>
        <v>8.5</v>
      </c>
      <c r="D61" s="49">
        <f>'Avg Week Musita-Lumino'!D61+'Avg Week Lumino-Musita'!D61</f>
        <v>0.5</v>
      </c>
      <c r="E61" s="49">
        <f>'Avg Week Musita-Lumino'!E61+'Avg Week Lumino-Musita'!E61</f>
        <v>3</v>
      </c>
      <c r="F61" s="49">
        <f>'Avg Week Musita-Lumino'!F61+'Avg Week Lumino-Musita'!F61</f>
        <v>0.5</v>
      </c>
      <c r="G61" s="49">
        <f>'Avg Week Musita-Lumino'!G61+'Avg Week Lumino-Musita'!G61</f>
        <v>0</v>
      </c>
      <c r="H61" s="49">
        <f>'Avg Week Musita-Lumino'!H61+'Avg Week Lumino-Musita'!H61</f>
        <v>1</v>
      </c>
      <c r="I61" s="49">
        <f>'Avg Week Musita-Lumino'!I61+'Avg Week Lumino-Musita'!I61</f>
        <v>3</v>
      </c>
      <c r="J61" s="49">
        <f>'Avg Week Musita-Lumino'!J61+'Avg Week Lumino-Musita'!J61</f>
        <v>7</v>
      </c>
      <c r="K61" s="49">
        <f>'Avg Week Musita-Lumino'!K61+'Avg Week Lumino-Musita'!K61</f>
        <v>0</v>
      </c>
      <c r="L61" s="49">
        <f>'Avg Week Musita-Lumino'!L61+'Avg Week Lumino-Musita'!L61</f>
        <v>0.5</v>
      </c>
      <c r="M61" s="49">
        <f>'Avg Week Musita-Lumino'!M61+'Avg Week Lumino-Musita'!M61</f>
        <v>69.5</v>
      </c>
      <c r="N61" s="49">
        <f>'Avg Week Musita-Lumino'!N61+'Avg Week Lumino-Musita'!N61</f>
        <v>0.5</v>
      </c>
      <c r="O61" s="15">
        <f t="shared" si="0"/>
        <v>24.5</v>
      </c>
      <c r="P61" s="15">
        <f t="shared" si="1"/>
        <v>94</v>
      </c>
      <c r="R61" s="8"/>
      <c r="T61"/>
    </row>
    <row r="62" spans="2:20" ht="23.1" customHeight="1" x14ac:dyDescent="0.25">
      <c r="B62" s="23" t="s">
        <v>107</v>
      </c>
      <c r="C62" s="49">
        <f>'Avg Week Musita-Lumino'!C62+'Avg Week Lumino-Musita'!C62</f>
        <v>10</v>
      </c>
      <c r="D62" s="49">
        <f>'Avg Week Musita-Lumino'!D62+'Avg Week Lumino-Musita'!D62</f>
        <v>1.5</v>
      </c>
      <c r="E62" s="49">
        <f>'Avg Week Musita-Lumino'!E62+'Avg Week Lumino-Musita'!E62</f>
        <v>2</v>
      </c>
      <c r="F62" s="49">
        <f>'Avg Week Musita-Lumino'!F62+'Avg Week Lumino-Musita'!F62</f>
        <v>5.5</v>
      </c>
      <c r="G62" s="49">
        <f>'Avg Week Musita-Lumino'!G62+'Avg Week Lumino-Musita'!G62</f>
        <v>0</v>
      </c>
      <c r="H62" s="49">
        <f>'Avg Week Musita-Lumino'!H62+'Avg Week Lumino-Musita'!H62</f>
        <v>0</v>
      </c>
      <c r="I62" s="49">
        <f>'Avg Week Musita-Lumino'!I62+'Avg Week Lumino-Musita'!I62</f>
        <v>3.5</v>
      </c>
      <c r="J62" s="49">
        <f>'Avg Week Musita-Lumino'!J62+'Avg Week Lumino-Musita'!J62</f>
        <v>1.5</v>
      </c>
      <c r="K62" s="49">
        <f>'Avg Week Musita-Lumino'!K62+'Avg Week Lumino-Musita'!K62</f>
        <v>1</v>
      </c>
      <c r="L62" s="49">
        <f>'Avg Week Musita-Lumino'!L62+'Avg Week Lumino-Musita'!L62</f>
        <v>2.5</v>
      </c>
      <c r="M62" s="49">
        <f>'Avg Week Musita-Lumino'!M62+'Avg Week Lumino-Musita'!M62</f>
        <v>91.5</v>
      </c>
      <c r="N62" s="49">
        <f>'Avg Week Musita-Lumino'!N62+'Avg Week Lumino-Musita'!N62</f>
        <v>0</v>
      </c>
      <c r="O62" s="15">
        <f t="shared" si="0"/>
        <v>27.5</v>
      </c>
      <c r="P62" s="15">
        <f t="shared" si="1"/>
        <v>119</v>
      </c>
      <c r="R62" s="8"/>
      <c r="T62"/>
    </row>
    <row r="63" spans="2:20" ht="23.1" customHeight="1" x14ac:dyDescent="0.25">
      <c r="B63" s="23" t="s">
        <v>108</v>
      </c>
      <c r="C63" s="49">
        <f>'Avg Week Musita-Lumino'!C63+'Avg Week Lumino-Musita'!C63</f>
        <v>5.5</v>
      </c>
      <c r="D63" s="49">
        <f>'Avg Week Musita-Lumino'!D63+'Avg Week Lumino-Musita'!D63</f>
        <v>0.5</v>
      </c>
      <c r="E63" s="49">
        <f>'Avg Week Musita-Lumino'!E63+'Avg Week Lumino-Musita'!E63</f>
        <v>0</v>
      </c>
      <c r="F63" s="49">
        <f>'Avg Week Musita-Lumino'!F63+'Avg Week Lumino-Musita'!F63</f>
        <v>2.5</v>
      </c>
      <c r="G63" s="49">
        <f>'Avg Week Musita-Lumino'!G63+'Avg Week Lumino-Musita'!G63</f>
        <v>0</v>
      </c>
      <c r="H63" s="49">
        <f>'Avg Week Musita-Lumino'!H63+'Avg Week Lumino-Musita'!H63</f>
        <v>0</v>
      </c>
      <c r="I63" s="49">
        <f>'Avg Week Musita-Lumino'!I63+'Avg Week Lumino-Musita'!I63</f>
        <v>3</v>
      </c>
      <c r="J63" s="49">
        <f>'Avg Week Musita-Lumino'!J63+'Avg Week Lumino-Musita'!J63</f>
        <v>4.5</v>
      </c>
      <c r="K63" s="49">
        <f>'Avg Week Musita-Lumino'!K63+'Avg Week Lumino-Musita'!K63</f>
        <v>1.5</v>
      </c>
      <c r="L63" s="49">
        <f>'Avg Week Musita-Lumino'!L63+'Avg Week Lumino-Musita'!L63</f>
        <v>2.5</v>
      </c>
      <c r="M63" s="49">
        <f>'Avg Week Musita-Lumino'!M63+'Avg Week Lumino-Musita'!M63</f>
        <v>58.5</v>
      </c>
      <c r="N63" s="49">
        <f>'Avg Week Musita-Lumino'!N63+'Avg Week Lumino-Musita'!N63</f>
        <v>0</v>
      </c>
      <c r="O63" s="15">
        <f t="shared" si="0"/>
        <v>20</v>
      </c>
      <c r="P63" s="15">
        <f t="shared" si="1"/>
        <v>78.5</v>
      </c>
      <c r="R63" s="8"/>
      <c r="T63"/>
    </row>
    <row r="64" spans="2:20" ht="23.1" customHeight="1" x14ac:dyDescent="0.25">
      <c r="B64" s="23" t="s">
        <v>109</v>
      </c>
      <c r="C64" s="49">
        <f>'Avg Week Musita-Lumino'!C64+'Avg Week Lumino-Musita'!C64</f>
        <v>7</v>
      </c>
      <c r="D64" s="49">
        <f>'Avg Week Musita-Lumino'!D64+'Avg Week Lumino-Musita'!D64</f>
        <v>0.5</v>
      </c>
      <c r="E64" s="49">
        <f>'Avg Week Musita-Lumino'!E64+'Avg Week Lumino-Musita'!E64</f>
        <v>1</v>
      </c>
      <c r="F64" s="49">
        <f>'Avg Week Musita-Lumino'!F64+'Avg Week Lumino-Musita'!F64</f>
        <v>1.5</v>
      </c>
      <c r="G64" s="49">
        <f>'Avg Week Musita-Lumino'!G64+'Avg Week Lumino-Musita'!G64</f>
        <v>0</v>
      </c>
      <c r="H64" s="49">
        <f>'Avg Week Musita-Lumino'!H64+'Avg Week Lumino-Musita'!H64</f>
        <v>0</v>
      </c>
      <c r="I64" s="49">
        <f>'Avg Week Musita-Lumino'!I64+'Avg Week Lumino-Musita'!I64</f>
        <v>2.5</v>
      </c>
      <c r="J64" s="49">
        <f>'Avg Week Musita-Lumino'!J64+'Avg Week Lumino-Musita'!J64</f>
        <v>3</v>
      </c>
      <c r="K64" s="49">
        <f>'Avg Week Musita-Lumino'!K64+'Avg Week Lumino-Musita'!K64</f>
        <v>0</v>
      </c>
      <c r="L64" s="49">
        <f>'Avg Week Musita-Lumino'!L64+'Avg Week Lumino-Musita'!L64</f>
        <v>1.5</v>
      </c>
      <c r="M64" s="49">
        <f>'Avg Week Musita-Lumino'!M64+'Avg Week Lumino-Musita'!M64</f>
        <v>54.5</v>
      </c>
      <c r="N64" s="49">
        <f>'Avg Week Musita-Lumino'!N64+'Avg Week Lumino-Musita'!N64</f>
        <v>0</v>
      </c>
      <c r="O64" s="15">
        <f t="shared" si="0"/>
        <v>17</v>
      </c>
      <c r="P64" s="15">
        <f t="shared" si="1"/>
        <v>71.5</v>
      </c>
      <c r="R64" s="8"/>
      <c r="T64"/>
    </row>
    <row r="65" spans="2:20" ht="23.1" customHeight="1" x14ac:dyDescent="0.25">
      <c r="B65" s="23" t="s">
        <v>158</v>
      </c>
      <c r="C65" s="49">
        <f>'Avg Week Musita-Lumino'!C65+'Avg Week Lumino-Musita'!C65</f>
        <v>16.5</v>
      </c>
      <c r="D65" s="49">
        <f>'Avg Week Musita-Lumino'!D65+'Avg Week Lumino-Musita'!D65</f>
        <v>0.5</v>
      </c>
      <c r="E65" s="49">
        <f>'Avg Week Musita-Lumino'!E65+'Avg Week Lumino-Musita'!E65</f>
        <v>1</v>
      </c>
      <c r="F65" s="49">
        <f>'Avg Week Musita-Lumino'!F65+'Avg Week Lumino-Musita'!F65</f>
        <v>1</v>
      </c>
      <c r="G65" s="49">
        <f>'Avg Week Musita-Lumino'!G65+'Avg Week Lumino-Musita'!G65</f>
        <v>0</v>
      </c>
      <c r="H65" s="49">
        <f>'Avg Week Musita-Lumino'!H65+'Avg Week Lumino-Musita'!H65</f>
        <v>0</v>
      </c>
      <c r="I65" s="49">
        <f>'Avg Week Musita-Lumino'!I65+'Avg Week Lumino-Musita'!I65</f>
        <v>5.5</v>
      </c>
      <c r="J65" s="49">
        <f>'Avg Week Musita-Lumino'!J65+'Avg Week Lumino-Musita'!J65</f>
        <v>0.5</v>
      </c>
      <c r="K65" s="49">
        <f>'Avg Week Musita-Lumino'!K65+'Avg Week Lumino-Musita'!K65</f>
        <v>0</v>
      </c>
      <c r="L65" s="49">
        <f>'Avg Week Musita-Lumino'!L65+'Avg Week Lumino-Musita'!L65</f>
        <v>4.5</v>
      </c>
      <c r="M65" s="49">
        <f>'Avg Week Musita-Lumino'!M65+'Avg Week Lumino-Musita'!M65</f>
        <v>63.5</v>
      </c>
      <c r="N65" s="49">
        <f>'Avg Week Musita-Lumino'!N65+'Avg Week Lumino-Musita'!N65</f>
        <v>0</v>
      </c>
      <c r="O65" s="15">
        <f t="shared" si="0"/>
        <v>29.5</v>
      </c>
      <c r="P65" s="15">
        <f t="shared" si="1"/>
        <v>93</v>
      </c>
      <c r="R65" s="8"/>
      <c r="T65"/>
    </row>
    <row r="66" spans="2:20" ht="23.1" customHeight="1" x14ac:dyDescent="0.25">
      <c r="B66" s="23" t="s">
        <v>103</v>
      </c>
      <c r="C66" s="49">
        <f>'Avg Week Musita-Lumino'!C66+'Avg Week Lumino-Musita'!C66</f>
        <v>4</v>
      </c>
      <c r="D66" s="49">
        <f>'Avg Week Musita-Lumino'!D66+'Avg Week Lumino-Musita'!D66</f>
        <v>0.5</v>
      </c>
      <c r="E66" s="49">
        <f>'Avg Week Musita-Lumino'!E66+'Avg Week Lumino-Musita'!E66</f>
        <v>0.5</v>
      </c>
      <c r="F66" s="49">
        <f>'Avg Week Musita-Lumino'!F66+'Avg Week Lumino-Musita'!F66</f>
        <v>4.5</v>
      </c>
      <c r="G66" s="49">
        <f>'Avg Week Musita-Lumino'!G66+'Avg Week Lumino-Musita'!G66</f>
        <v>1</v>
      </c>
      <c r="H66" s="49">
        <f>'Avg Week Musita-Lumino'!H66+'Avg Week Lumino-Musita'!H66</f>
        <v>0</v>
      </c>
      <c r="I66" s="49">
        <f>'Avg Week Musita-Lumino'!I66+'Avg Week Lumino-Musita'!I66</f>
        <v>2</v>
      </c>
      <c r="J66" s="49">
        <f>'Avg Week Musita-Lumino'!J66+'Avg Week Lumino-Musita'!J66</f>
        <v>3.5</v>
      </c>
      <c r="K66" s="49">
        <f>'Avg Week Musita-Lumino'!K66+'Avg Week Lumino-Musita'!K66</f>
        <v>0.5</v>
      </c>
      <c r="L66" s="49">
        <f>'Avg Week Musita-Lumino'!L66+'Avg Week Lumino-Musita'!L66</f>
        <v>1.5</v>
      </c>
      <c r="M66" s="49">
        <f>'Avg Week Musita-Lumino'!M66+'Avg Week Lumino-Musita'!M66</f>
        <v>25.5</v>
      </c>
      <c r="N66" s="49">
        <f>'Avg Week Musita-Lumino'!N66+'Avg Week Lumino-Musita'!N66</f>
        <v>0.5</v>
      </c>
      <c r="O66" s="15">
        <f t="shared" si="0"/>
        <v>18.5</v>
      </c>
      <c r="P66" s="15">
        <f t="shared" si="1"/>
        <v>44</v>
      </c>
      <c r="R66" s="8"/>
      <c r="T66"/>
    </row>
    <row r="67" spans="2:20" ht="23.1" customHeight="1" x14ac:dyDescent="0.25">
      <c r="B67" s="23" t="s">
        <v>104</v>
      </c>
      <c r="C67" s="49">
        <f>'Avg Week Musita-Lumino'!C67+'Avg Week Lumino-Musita'!C67</f>
        <v>5.5</v>
      </c>
      <c r="D67" s="49">
        <f>'Avg Week Musita-Lumino'!D67+'Avg Week Lumino-Musita'!D67</f>
        <v>1.5</v>
      </c>
      <c r="E67" s="49">
        <f>'Avg Week Musita-Lumino'!E67+'Avg Week Lumino-Musita'!E67</f>
        <v>0</v>
      </c>
      <c r="F67" s="49">
        <f>'Avg Week Musita-Lumino'!F67+'Avg Week Lumino-Musita'!F67</f>
        <v>4</v>
      </c>
      <c r="G67" s="49">
        <f>'Avg Week Musita-Lumino'!G67+'Avg Week Lumino-Musita'!G67</f>
        <v>0.5</v>
      </c>
      <c r="H67" s="49">
        <f>'Avg Week Musita-Lumino'!H67+'Avg Week Lumino-Musita'!H67</f>
        <v>0</v>
      </c>
      <c r="I67" s="49">
        <f>'Avg Week Musita-Lumino'!I67+'Avg Week Lumino-Musita'!I67</f>
        <v>0</v>
      </c>
      <c r="J67" s="49">
        <f>'Avg Week Musita-Lumino'!J67+'Avg Week Lumino-Musita'!J67</f>
        <v>1.5</v>
      </c>
      <c r="K67" s="49">
        <f>'Avg Week Musita-Lumino'!K67+'Avg Week Lumino-Musita'!K67</f>
        <v>1</v>
      </c>
      <c r="L67" s="49">
        <f>'Avg Week Musita-Lumino'!L67+'Avg Week Lumino-Musita'!L67</f>
        <v>1.5</v>
      </c>
      <c r="M67" s="49">
        <f>'Avg Week Musita-Lumino'!M67+'Avg Week Lumino-Musita'!M67</f>
        <v>18.5</v>
      </c>
      <c r="N67" s="49">
        <f>'Avg Week Musita-Lumino'!N67+'Avg Week Lumino-Musita'!N67</f>
        <v>0</v>
      </c>
      <c r="O67" s="15">
        <f t="shared" si="0"/>
        <v>15.5</v>
      </c>
      <c r="P67" s="15">
        <f t="shared" si="1"/>
        <v>34</v>
      </c>
      <c r="R67" s="8"/>
      <c r="T67"/>
    </row>
    <row r="68" spans="2:20" ht="23.1" customHeight="1" x14ac:dyDescent="0.25">
      <c r="B68" s="23" t="s">
        <v>105</v>
      </c>
      <c r="C68" s="49">
        <f>'Avg Week Musita-Lumino'!C68+'Avg Week Lumino-Musita'!C68</f>
        <v>4.5</v>
      </c>
      <c r="D68" s="49">
        <f>'Avg Week Musita-Lumino'!D68+'Avg Week Lumino-Musita'!D68</f>
        <v>0</v>
      </c>
      <c r="E68" s="49">
        <f>'Avg Week Musita-Lumino'!E68+'Avg Week Lumino-Musita'!E68</f>
        <v>0</v>
      </c>
      <c r="F68" s="49">
        <f>'Avg Week Musita-Lumino'!F68+'Avg Week Lumino-Musita'!F68</f>
        <v>1.5</v>
      </c>
      <c r="G68" s="49">
        <f>'Avg Week Musita-Lumino'!G68+'Avg Week Lumino-Musita'!G68</f>
        <v>0.5</v>
      </c>
      <c r="H68" s="49">
        <f>'Avg Week Musita-Lumino'!H68+'Avg Week Lumino-Musita'!H68</f>
        <v>0.5</v>
      </c>
      <c r="I68" s="49">
        <f>'Avg Week Musita-Lumino'!I68+'Avg Week Lumino-Musita'!I68</f>
        <v>1</v>
      </c>
      <c r="J68" s="49">
        <f>'Avg Week Musita-Lumino'!J68+'Avg Week Lumino-Musita'!J68</f>
        <v>1.5</v>
      </c>
      <c r="K68" s="49">
        <f>'Avg Week Musita-Lumino'!K68+'Avg Week Lumino-Musita'!K68</f>
        <v>0.5</v>
      </c>
      <c r="L68" s="49">
        <f>'Avg Week Musita-Lumino'!L68+'Avg Week Lumino-Musita'!L68</f>
        <v>4</v>
      </c>
      <c r="M68" s="49">
        <f>'Avg Week Musita-Lumino'!M68+'Avg Week Lumino-Musita'!M68</f>
        <v>17.5</v>
      </c>
      <c r="N68" s="49">
        <f>'Avg Week Musita-Lumino'!N68+'Avg Week Lumino-Musita'!N68</f>
        <v>0</v>
      </c>
      <c r="O68" s="15">
        <f t="shared" si="0"/>
        <v>14</v>
      </c>
      <c r="P68" s="15">
        <f t="shared" si="1"/>
        <v>31.5</v>
      </c>
      <c r="R68" s="8"/>
      <c r="T68"/>
    </row>
    <row r="69" spans="2:20" ht="23.1" customHeight="1" x14ac:dyDescent="0.25">
      <c r="B69" s="23" t="s">
        <v>106</v>
      </c>
      <c r="C69" s="49">
        <f>'Avg Week Musita-Lumino'!C69+'Avg Week Lumino-Musita'!C69</f>
        <v>2</v>
      </c>
      <c r="D69" s="49">
        <f>'Avg Week Musita-Lumino'!D69+'Avg Week Lumino-Musita'!D69</f>
        <v>0</v>
      </c>
      <c r="E69" s="49">
        <f>'Avg Week Musita-Lumino'!E69+'Avg Week Lumino-Musita'!E69</f>
        <v>0</v>
      </c>
      <c r="F69" s="49">
        <f>'Avg Week Musita-Lumino'!F69+'Avg Week Lumino-Musita'!F69</f>
        <v>1.5</v>
      </c>
      <c r="G69" s="49">
        <f>'Avg Week Musita-Lumino'!G69+'Avg Week Lumino-Musita'!G69</f>
        <v>0</v>
      </c>
      <c r="H69" s="49">
        <f>'Avg Week Musita-Lumino'!H69+'Avg Week Lumino-Musita'!H69</f>
        <v>0</v>
      </c>
      <c r="I69" s="49">
        <f>'Avg Week Musita-Lumino'!I69+'Avg Week Lumino-Musita'!I69</f>
        <v>1</v>
      </c>
      <c r="J69" s="49">
        <f>'Avg Week Musita-Lumino'!J69+'Avg Week Lumino-Musita'!J69</f>
        <v>3</v>
      </c>
      <c r="K69" s="49">
        <f>'Avg Week Musita-Lumino'!K69+'Avg Week Lumino-Musita'!K69</f>
        <v>0.5</v>
      </c>
      <c r="L69" s="49">
        <f>'Avg Week Musita-Lumino'!L69+'Avg Week Lumino-Musita'!L69</f>
        <v>8</v>
      </c>
      <c r="M69" s="49">
        <f>'Avg Week Musita-Lumino'!M69+'Avg Week Lumino-Musita'!M69</f>
        <v>21</v>
      </c>
      <c r="N69" s="49">
        <f>'Avg Week Musita-Lumino'!N69+'Avg Week Lumino-Musita'!N69</f>
        <v>0</v>
      </c>
      <c r="O69" s="15">
        <f t="shared" si="0"/>
        <v>16</v>
      </c>
      <c r="P69" s="15">
        <f t="shared" si="1"/>
        <v>37</v>
      </c>
      <c r="R69" s="8"/>
      <c r="T69"/>
    </row>
    <row r="70" spans="2:20" ht="23.1" customHeight="1" x14ac:dyDescent="0.25">
      <c r="B70" s="23" t="s">
        <v>110</v>
      </c>
      <c r="C70" s="49">
        <f>'Avg Week Musita-Lumino'!C70+'Avg Week Lumino-Musita'!C70</f>
        <v>4.5</v>
      </c>
      <c r="D70" s="49">
        <f>'Avg Week Musita-Lumino'!D70+'Avg Week Lumino-Musita'!D70</f>
        <v>0.5</v>
      </c>
      <c r="E70" s="49">
        <f>'Avg Week Musita-Lumino'!E70+'Avg Week Lumino-Musita'!E70</f>
        <v>1</v>
      </c>
      <c r="F70" s="49">
        <f>'Avg Week Musita-Lumino'!F70+'Avg Week Lumino-Musita'!F70</f>
        <v>1</v>
      </c>
      <c r="G70" s="49">
        <f>'Avg Week Musita-Lumino'!G70+'Avg Week Lumino-Musita'!G70</f>
        <v>1.5</v>
      </c>
      <c r="H70" s="49">
        <f>'Avg Week Musita-Lumino'!H70+'Avg Week Lumino-Musita'!H70</f>
        <v>0</v>
      </c>
      <c r="I70" s="49">
        <f>'Avg Week Musita-Lumino'!I70+'Avg Week Lumino-Musita'!I70</f>
        <v>5.5</v>
      </c>
      <c r="J70" s="49">
        <f>'Avg Week Musita-Lumino'!J70+'Avg Week Lumino-Musita'!J70</f>
        <v>4</v>
      </c>
      <c r="K70" s="49">
        <f>'Avg Week Musita-Lumino'!K70+'Avg Week Lumino-Musita'!K70</f>
        <v>1</v>
      </c>
      <c r="L70" s="49">
        <f>'Avg Week Musita-Lumino'!L70+'Avg Week Lumino-Musita'!L70</f>
        <v>0.5</v>
      </c>
      <c r="M70" s="49">
        <f>'Avg Week Musita-Lumino'!M70+'Avg Week Lumino-Musita'!M70</f>
        <v>16</v>
      </c>
      <c r="N70" s="49">
        <f>'Avg Week Musita-Lumino'!N70+'Avg Week Lumino-Musita'!N70</f>
        <v>0</v>
      </c>
      <c r="O70" s="15">
        <f t="shared" si="0"/>
        <v>19.5</v>
      </c>
      <c r="P70" s="15">
        <f t="shared" si="1"/>
        <v>35.5</v>
      </c>
      <c r="R70" s="8"/>
      <c r="T70"/>
    </row>
    <row r="71" spans="2:20" ht="23.1" customHeight="1" x14ac:dyDescent="0.25">
      <c r="B71" s="23" t="s">
        <v>111</v>
      </c>
      <c r="C71" s="49">
        <f>'Avg Week Musita-Lumino'!C71+'Avg Week Lumino-Musita'!C71</f>
        <v>2.5</v>
      </c>
      <c r="D71" s="49">
        <f>'Avg Week Musita-Lumino'!D71+'Avg Week Lumino-Musita'!D71</f>
        <v>0</v>
      </c>
      <c r="E71" s="49">
        <f>'Avg Week Musita-Lumino'!E71+'Avg Week Lumino-Musita'!E71</f>
        <v>0</v>
      </c>
      <c r="F71" s="49">
        <f>'Avg Week Musita-Lumino'!F71+'Avg Week Lumino-Musita'!F71</f>
        <v>0.5</v>
      </c>
      <c r="G71" s="49">
        <f>'Avg Week Musita-Lumino'!G71+'Avg Week Lumino-Musita'!G71</f>
        <v>0</v>
      </c>
      <c r="H71" s="49">
        <f>'Avg Week Musita-Lumino'!H71+'Avg Week Lumino-Musita'!H71</f>
        <v>0</v>
      </c>
      <c r="I71" s="49">
        <f>'Avg Week Musita-Lumino'!I71+'Avg Week Lumino-Musita'!I71</f>
        <v>2.5</v>
      </c>
      <c r="J71" s="49">
        <f>'Avg Week Musita-Lumino'!J71+'Avg Week Lumino-Musita'!J71</f>
        <v>3.5</v>
      </c>
      <c r="K71" s="49">
        <f>'Avg Week Musita-Lumino'!K71+'Avg Week Lumino-Musita'!K71</f>
        <v>0.5</v>
      </c>
      <c r="L71" s="49">
        <f>'Avg Week Musita-Lumino'!L71+'Avg Week Lumino-Musita'!L71</f>
        <v>0.5</v>
      </c>
      <c r="M71" s="49">
        <f>'Avg Week Musita-Lumino'!M71+'Avg Week Lumino-Musita'!M71</f>
        <v>16.5</v>
      </c>
      <c r="N71" s="49">
        <f>'Avg Week Musita-Lumino'!N71+'Avg Week Lumino-Musita'!N71</f>
        <v>0</v>
      </c>
      <c r="O71" s="15">
        <f t="shared" si="0"/>
        <v>10</v>
      </c>
      <c r="P71" s="15">
        <f t="shared" si="1"/>
        <v>26.5</v>
      </c>
      <c r="R71" s="8"/>
      <c r="T71"/>
    </row>
    <row r="72" spans="2:20" ht="23.1" customHeight="1" x14ac:dyDescent="0.25">
      <c r="B72" s="23" t="s">
        <v>112</v>
      </c>
      <c r="C72" s="49">
        <f>'Avg Week Musita-Lumino'!C72+'Avg Week Lumino-Musita'!C72</f>
        <v>4.5</v>
      </c>
      <c r="D72" s="49">
        <f>'Avg Week Musita-Lumino'!D72+'Avg Week Lumino-Musita'!D72</f>
        <v>0</v>
      </c>
      <c r="E72" s="49">
        <f>'Avg Week Musita-Lumino'!E72+'Avg Week Lumino-Musita'!E72</f>
        <v>0</v>
      </c>
      <c r="F72" s="49">
        <f>'Avg Week Musita-Lumino'!F72+'Avg Week Lumino-Musita'!F72</f>
        <v>0</v>
      </c>
      <c r="G72" s="49">
        <f>'Avg Week Musita-Lumino'!G72+'Avg Week Lumino-Musita'!G72</f>
        <v>0</v>
      </c>
      <c r="H72" s="49">
        <f>'Avg Week Musita-Lumino'!H72+'Avg Week Lumino-Musita'!H72</f>
        <v>0</v>
      </c>
      <c r="I72" s="49">
        <f>'Avg Week Musita-Lumino'!I72+'Avg Week Lumino-Musita'!I72</f>
        <v>0.5</v>
      </c>
      <c r="J72" s="49">
        <f>'Avg Week Musita-Lumino'!J72+'Avg Week Lumino-Musita'!J72</f>
        <v>6</v>
      </c>
      <c r="K72" s="49">
        <f>'Avg Week Musita-Lumino'!K72+'Avg Week Lumino-Musita'!K72</f>
        <v>2</v>
      </c>
      <c r="L72" s="49">
        <f>'Avg Week Musita-Lumino'!L72+'Avg Week Lumino-Musita'!L72</f>
        <v>0</v>
      </c>
      <c r="M72" s="49">
        <f>'Avg Week Musita-Lumino'!M72+'Avg Week Lumino-Musita'!M72</f>
        <v>11.5</v>
      </c>
      <c r="N72" s="49">
        <f>'Avg Week Musita-Lumino'!N72+'Avg Week Lumino-Musita'!N72</f>
        <v>0</v>
      </c>
      <c r="O72" s="15">
        <f t="shared" si="0"/>
        <v>13</v>
      </c>
      <c r="P72" s="15">
        <f t="shared" si="1"/>
        <v>24.5</v>
      </c>
      <c r="R72" s="8"/>
      <c r="T72"/>
    </row>
    <row r="73" spans="2:20" ht="23.1" customHeight="1" x14ac:dyDescent="0.25">
      <c r="B73" s="23" t="s">
        <v>113</v>
      </c>
      <c r="C73" s="49">
        <f>'Avg Week Musita-Lumino'!C73+'Avg Week Lumino-Musita'!C73</f>
        <v>8.5</v>
      </c>
      <c r="D73" s="49">
        <f>'Avg Week Musita-Lumino'!D73+'Avg Week Lumino-Musita'!D73</f>
        <v>6</v>
      </c>
      <c r="E73" s="49">
        <f>'Avg Week Musita-Lumino'!E73+'Avg Week Lumino-Musita'!E73</f>
        <v>0</v>
      </c>
      <c r="F73" s="49">
        <f>'Avg Week Musita-Lumino'!F73+'Avg Week Lumino-Musita'!F73</f>
        <v>2.5</v>
      </c>
      <c r="G73" s="49">
        <f>'Avg Week Musita-Lumino'!G73+'Avg Week Lumino-Musita'!G73</f>
        <v>0</v>
      </c>
      <c r="H73" s="49">
        <f>'Avg Week Musita-Lumino'!H73+'Avg Week Lumino-Musita'!H73</f>
        <v>0</v>
      </c>
      <c r="I73" s="49">
        <f>'Avg Week Musita-Lumino'!I73+'Avg Week Lumino-Musita'!I73</f>
        <v>1.5</v>
      </c>
      <c r="J73" s="49">
        <f>'Avg Week Musita-Lumino'!J73+'Avg Week Lumino-Musita'!J73</f>
        <v>1.5</v>
      </c>
      <c r="K73" s="49">
        <f>'Avg Week Musita-Lumino'!K73+'Avg Week Lumino-Musita'!K73</f>
        <v>0</v>
      </c>
      <c r="L73" s="49">
        <f>'Avg Week Musita-Lumino'!L73+'Avg Week Lumino-Musita'!L73</f>
        <v>1</v>
      </c>
      <c r="M73" s="49">
        <f>'Avg Week Musita-Lumino'!M73+'Avg Week Lumino-Musita'!M73</f>
        <v>14.5</v>
      </c>
      <c r="N73" s="49">
        <f>'Avg Week Musita-Lumino'!N73+'Avg Week Lumino-Musita'!N73</f>
        <v>0</v>
      </c>
      <c r="O73" s="15">
        <f t="shared" si="0"/>
        <v>21</v>
      </c>
      <c r="P73" s="15">
        <f t="shared" si="1"/>
        <v>35.5</v>
      </c>
      <c r="R73" s="8"/>
      <c r="T73"/>
    </row>
    <row r="74" spans="2:20" ht="23.1" customHeight="1" x14ac:dyDescent="0.25">
      <c r="B74" s="23" t="s">
        <v>114</v>
      </c>
      <c r="C74" s="49">
        <f>'Avg Week Musita-Lumino'!C74+'Avg Week Lumino-Musita'!C74</f>
        <v>3.5</v>
      </c>
      <c r="D74" s="49">
        <f>'Avg Week Musita-Lumino'!D74+'Avg Week Lumino-Musita'!D74</f>
        <v>0.5</v>
      </c>
      <c r="E74" s="49">
        <f>'Avg Week Musita-Lumino'!E74+'Avg Week Lumino-Musita'!E74</f>
        <v>0.5</v>
      </c>
      <c r="F74" s="49">
        <f>'Avg Week Musita-Lumino'!F74+'Avg Week Lumino-Musita'!F74</f>
        <v>0</v>
      </c>
      <c r="G74" s="49">
        <f>'Avg Week Musita-Lumino'!G74+'Avg Week Lumino-Musita'!G74</f>
        <v>0</v>
      </c>
      <c r="H74" s="49">
        <f>'Avg Week Musita-Lumino'!H74+'Avg Week Lumino-Musita'!H74</f>
        <v>0</v>
      </c>
      <c r="I74" s="49">
        <f>'Avg Week Musita-Lumino'!I74+'Avg Week Lumino-Musita'!I74</f>
        <v>0.5</v>
      </c>
      <c r="J74" s="49">
        <f>'Avg Week Musita-Lumino'!J74+'Avg Week Lumino-Musita'!J74</f>
        <v>0.5</v>
      </c>
      <c r="K74" s="49">
        <f>'Avg Week Musita-Lumino'!K74+'Avg Week Lumino-Musita'!K74</f>
        <v>0</v>
      </c>
      <c r="L74" s="49">
        <f>'Avg Week Musita-Lumino'!L74+'Avg Week Lumino-Musita'!L74</f>
        <v>1</v>
      </c>
      <c r="M74" s="49">
        <f>'Avg Week Musita-Lumino'!M74+'Avg Week Lumino-Musita'!M74</f>
        <v>19</v>
      </c>
      <c r="N74" s="49">
        <f>'Avg Week Musita-Lumino'!N74+'Avg Week Lumino-Musita'!N74</f>
        <v>0</v>
      </c>
      <c r="O74" s="15">
        <f t="shared" ref="O74:O105" si="35">SUM(C74:L74,N74)</f>
        <v>6.5</v>
      </c>
      <c r="P74" s="15">
        <f t="shared" ref="P74:P105" si="36">SUM(C74:N74)</f>
        <v>25.5</v>
      </c>
      <c r="R74" s="8"/>
      <c r="T74"/>
    </row>
    <row r="75" spans="2:20" ht="23.1" customHeight="1" x14ac:dyDescent="0.25">
      <c r="B75" s="23" t="s">
        <v>115</v>
      </c>
      <c r="C75" s="49">
        <f>'Avg Week Musita-Lumino'!C75+'Avg Week Lumino-Musita'!C75</f>
        <v>1.5</v>
      </c>
      <c r="D75" s="49">
        <f>'Avg Week Musita-Lumino'!D75+'Avg Week Lumino-Musita'!D75</f>
        <v>3.5</v>
      </c>
      <c r="E75" s="49">
        <f>'Avg Week Musita-Lumino'!E75+'Avg Week Lumino-Musita'!E75</f>
        <v>0</v>
      </c>
      <c r="F75" s="49">
        <f>'Avg Week Musita-Lumino'!F75+'Avg Week Lumino-Musita'!F75</f>
        <v>1</v>
      </c>
      <c r="G75" s="49">
        <f>'Avg Week Musita-Lumino'!G75+'Avg Week Lumino-Musita'!G75</f>
        <v>0</v>
      </c>
      <c r="H75" s="49">
        <f>'Avg Week Musita-Lumino'!H75+'Avg Week Lumino-Musita'!H75</f>
        <v>0</v>
      </c>
      <c r="I75" s="49">
        <f>'Avg Week Musita-Lumino'!I75+'Avg Week Lumino-Musita'!I75</f>
        <v>0.5</v>
      </c>
      <c r="J75" s="49">
        <f>'Avg Week Musita-Lumino'!J75+'Avg Week Lumino-Musita'!J75</f>
        <v>2.5</v>
      </c>
      <c r="K75" s="49">
        <f>'Avg Week Musita-Lumino'!K75+'Avg Week Lumino-Musita'!K75</f>
        <v>0</v>
      </c>
      <c r="L75" s="49">
        <f>'Avg Week Musita-Lumino'!L75+'Avg Week Lumino-Musita'!L75</f>
        <v>1</v>
      </c>
      <c r="M75" s="49">
        <f>'Avg Week Musita-Lumino'!M75+'Avg Week Lumino-Musita'!M75</f>
        <v>10</v>
      </c>
      <c r="N75" s="49">
        <f>'Avg Week Musita-Lumino'!N75+'Avg Week Lumino-Musita'!N75</f>
        <v>0</v>
      </c>
      <c r="O75" s="15">
        <f t="shared" si="35"/>
        <v>10</v>
      </c>
      <c r="P75" s="15">
        <f t="shared" si="36"/>
        <v>20</v>
      </c>
      <c r="R75" s="8"/>
      <c r="T75"/>
    </row>
    <row r="76" spans="2:20" ht="23.1" customHeight="1" x14ac:dyDescent="0.25">
      <c r="B76" s="23" t="s">
        <v>116</v>
      </c>
      <c r="C76" s="49">
        <f>'Avg Week Musita-Lumino'!C76+'Avg Week Lumino-Musita'!C76</f>
        <v>3</v>
      </c>
      <c r="D76" s="49">
        <f>'Avg Week Musita-Lumino'!D76+'Avg Week Lumino-Musita'!D76</f>
        <v>0.5</v>
      </c>
      <c r="E76" s="49">
        <f>'Avg Week Musita-Lumino'!E76+'Avg Week Lumino-Musita'!E76</f>
        <v>1</v>
      </c>
      <c r="F76" s="49">
        <f>'Avg Week Musita-Lumino'!F76+'Avg Week Lumino-Musita'!F76</f>
        <v>0</v>
      </c>
      <c r="G76" s="49">
        <f>'Avg Week Musita-Lumino'!G76+'Avg Week Lumino-Musita'!G76</f>
        <v>0</v>
      </c>
      <c r="H76" s="49">
        <f>'Avg Week Musita-Lumino'!H76+'Avg Week Lumino-Musita'!H76</f>
        <v>0</v>
      </c>
      <c r="I76" s="49">
        <f>'Avg Week Musita-Lumino'!I76+'Avg Week Lumino-Musita'!I76</f>
        <v>1</v>
      </c>
      <c r="J76" s="49">
        <f>'Avg Week Musita-Lumino'!J76+'Avg Week Lumino-Musita'!J76</f>
        <v>1.5</v>
      </c>
      <c r="K76" s="49">
        <f>'Avg Week Musita-Lumino'!K76+'Avg Week Lumino-Musita'!K76</f>
        <v>0</v>
      </c>
      <c r="L76" s="49">
        <f>'Avg Week Musita-Lumino'!L76+'Avg Week Lumino-Musita'!L76</f>
        <v>0</v>
      </c>
      <c r="M76" s="49">
        <f>'Avg Week Musita-Lumino'!M76+'Avg Week Lumino-Musita'!M76</f>
        <v>15.5</v>
      </c>
      <c r="N76" s="49">
        <f>'Avg Week Musita-Lumino'!N76+'Avg Week Lumino-Musita'!N76</f>
        <v>0</v>
      </c>
      <c r="O76" s="15">
        <f t="shared" si="35"/>
        <v>7</v>
      </c>
      <c r="P76" s="15">
        <f t="shared" si="36"/>
        <v>22.5</v>
      </c>
      <c r="R76" s="8"/>
      <c r="T76"/>
    </row>
    <row r="77" spans="2:20" ht="23.1" customHeight="1" x14ac:dyDescent="0.25">
      <c r="B77" s="23" t="s">
        <v>117</v>
      </c>
      <c r="C77" s="49">
        <f>'Avg Week Musita-Lumino'!C77+'Avg Week Lumino-Musita'!C77</f>
        <v>1.5</v>
      </c>
      <c r="D77" s="49">
        <f>'Avg Week Musita-Lumino'!D77+'Avg Week Lumino-Musita'!D77</f>
        <v>1.5</v>
      </c>
      <c r="E77" s="49">
        <f>'Avg Week Musita-Lumino'!E77+'Avg Week Lumino-Musita'!E77</f>
        <v>0</v>
      </c>
      <c r="F77" s="49">
        <f>'Avg Week Musita-Lumino'!F77+'Avg Week Lumino-Musita'!F77</f>
        <v>0.5</v>
      </c>
      <c r="G77" s="49">
        <f>'Avg Week Musita-Lumino'!G77+'Avg Week Lumino-Musita'!G77</f>
        <v>0</v>
      </c>
      <c r="H77" s="49">
        <f>'Avg Week Musita-Lumino'!H77+'Avg Week Lumino-Musita'!H77</f>
        <v>0</v>
      </c>
      <c r="I77" s="49">
        <f>'Avg Week Musita-Lumino'!I77+'Avg Week Lumino-Musita'!I77</f>
        <v>2.5</v>
      </c>
      <c r="J77" s="49">
        <f>'Avg Week Musita-Lumino'!J77+'Avg Week Lumino-Musita'!J77</f>
        <v>1</v>
      </c>
      <c r="K77" s="49">
        <f>'Avg Week Musita-Lumino'!K77+'Avg Week Lumino-Musita'!K77</f>
        <v>1</v>
      </c>
      <c r="L77" s="49">
        <f>'Avg Week Musita-Lumino'!L77+'Avg Week Lumino-Musita'!L77</f>
        <v>2</v>
      </c>
      <c r="M77" s="49">
        <f>'Avg Week Musita-Lumino'!M77+'Avg Week Lumino-Musita'!M77</f>
        <v>7.5</v>
      </c>
      <c r="N77" s="49">
        <f>'Avg Week Musita-Lumino'!N77+'Avg Week Lumino-Musita'!N77</f>
        <v>0</v>
      </c>
      <c r="O77" s="15">
        <f t="shared" si="35"/>
        <v>10</v>
      </c>
      <c r="P77" s="15">
        <f t="shared" si="36"/>
        <v>17.5</v>
      </c>
      <c r="R77" s="8"/>
      <c r="T77"/>
    </row>
    <row r="78" spans="2:20" ht="23.1" customHeight="1" x14ac:dyDescent="0.25">
      <c r="B78" s="24" t="s">
        <v>118</v>
      </c>
      <c r="C78" s="49">
        <f>'Avg Week Musita-Lumino'!C78+'Avg Week Lumino-Musita'!C78</f>
        <v>1</v>
      </c>
      <c r="D78" s="49">
        <f>'Avg Week Musita-Lumino'!D78+'Avg Week Lumino-Musita'!D78</f>
        <v>0</v>
      </c>
      <c r="E78" s="49">
        <f>'Avg Week Musita-Lumino'!E78+'Avg Week Lumino-Musita'!E78</f>
        <v>0</v>
      </c>
      <c r="F78" s="49">
        <f>'Avg Week Musita-Lumino'!F78+'Avg Week Lumino-Musita'!F78</f>
        <v>0</v>
      </c>
      <c r="G78" s="49">
        <f>'Avg Week Musita-Lumino'!G78+'Avg Week Lumino-Musita'!G78</f>
        <v>0.5</v>
      </c>
      <c r="H78" s="49">
        <f>'Avg Week Musita-Lumino'!H78+'Avg Week Lumino-Musita'!H78</f>
        <v>1</v>
      </c>
      <c r="I78" s="49">
        <f>'Avg Week Musita-Lumino'!I78+'Avg Week Lumino-Musita'!I78</f>
        <v>0.5</v>
      </c>
      <c r="J78" s="49">
        <f>'Avg Week Musita-Lumino'!J78+'Avg Week Lumino-Musita'!J78</f>
        <v>4</v>
      </c>
      <c r="K78" s="49">
        <f>'Avg Week Musita-Lumino'!K78+'Avg Week Lumino-Musita'!K78</f>
        <v>0.5</v>
      </c>
      <c r="L78" s="49">
        <f>'Avg Week Musita-Lumino'!L78+'Avg Week Lumino-Musita'!L78</f>
        <v>0.5</v>
      </c>
      <c r="M78" s="49">
        <f>'Avg Week Musita-Lumino'!M78+'Avg Week Lumino-Musita'!M78</f>
        <v>2.5</v>
      </c>
      <c r="N78" s="49">
        <f>'Avg Week Musita-Lumino'!N78+'Avg Week Lumino-Musita'!N78</f>
        <v>0</v>
      </c>
      <c r="O78" s="15">
        <f t="shared" si="35"/>
        <v>8</v>
      </c>
      <c r="P78" s="15">
        <f t="shared" si="36"/>
        <v>10.5</v>
      </c>
      <c r="R78" s="8"/>
      <c r="T78"/>
    </row>
    <row r="79" spans="2:20" ht="23.1" customHeight="1" x14ac:dyDescent="0.25">
      <c r="B79" s="23" t="s">
        <v>119</v>
      </c>
      <c r="C79" s="49">
        <f>'Avg Week Musita-Lumino'!C79+'Avg Week Lumino-Musita'!C79</f>
        <v>1.5</v>
      </c>
      <c r="D79" s="49">
        <f>'Avg Week Musita-Lumino'!D79+'Avg Week Lumino-Musita'!D79</f>
        <v>0</v>
      </c>
      <c r="E79" s="49">
        <f>'Avg Week Musita-Lumino'!E79+'Avg Week Lumino-Musita'!E79</f>
        <v>1.5</v>
      </c>
      <c r="F79" s="49">
        <f>'Avg Week Musita-Lumino'!F79+'Avg Week Lumino-Musita'!F79</f>
        <v>0</v>
      </c>
      <c r="G79" s="49">
        <f>'Avg Week Musita-Lumino'!G79+'Avg Week Lumino-Musita'!G79</f>
        <v>0</v>
      </c>
      <c r="H79" s="49">
        <f>'Avg Week Musita-Lumino'!H79+'Avg Week Lumino-Musita'!H79</f>
        <v>0</v>
      </c>
      <c r="I79" s="49">
        <f>'Avg Week Musita-Lumino'!I79+'Avg Week Lumino-Musita'!I79</f>
        <v>1.5</v>
      </c>
      <c r="J79" s="49">
        <f>'Avg Week Musita-Lumino'!J79+'Avg Week Lumino-Musita'!J79</f>
        <v>0</v>
      </c>
      <c r="K79" s="49">
        <f>'Avg Week Musita-Lumino'!K79+'Avg Week Lumino-Musita'!K79</f>
        <v>1</v>
      </c>
      <c r="L79" s="49">
        <f>'Avg Week Musita-Lumino'!L79+'Avg Week Lumino-Musita'!L79</f>
        <v>2</v>
      </c>
      <c r="M79" s="49">
        <f>'Avg Week Musita-Lumino'!M79+'Avg Week Lumino-Musita'!M79</f>
        <v>3</v>
      </c>
      <c r="N79" s="49">
        <f>'Avg Week Musita-Lumino'!N79+'Avg Week Lumino-Musita'!N79</f>
        <v>0</v>
      </c>
      <c r="O79" s="15">
        <f t="shared" si="35"/>
        <v>7.5</v>
      </c>
      <c r="P79" s="15">
        <f t="shared" si="36"/>
        <v>10.5</v>
      </c>
      <c r="R79" s="8"/>
      <c r="T79"/>
    </row>
    <row r="80" spans="2:20" ht="23.1" customHeight="1" x14ac:dyDescent="0.25">
      <c r="B80" s="25" t="s">
        <v>120</v>
      </c>
      <c r="C80" s="49">
        <f>'Avg Week Musita-Lumino'!C80+'Avg Week Lumino-Musita'!C80</f>
        <v>0</v>
      </c>
      <c r="D80" s="49">
        <f>'Avg Week Musita-Lumino'!D80+'Avg Week Lumino-Musita'!D80</f>
        <v>0</v>
      </c>
      <c r="E80" s="49">
        <f>'Avg Week Musita-Lumino'!E80+'Avg Week Lumino-Musita'!E80</f>
        <v>0.5</v>
      </c>
      <c r="F80" s="49">
        <f>'Avg Week Musita-Lumino'!F80+'Avg Week Lumino-Musita'!F80</f>
        <v>0</v>
      </c>
      <c r="G80" s="49">
        <f>'Avg Week Musita-Lumino'!G80+'Avg Week Lumino-Musita'!G80</f>
        <v>0</v>
      </c>
      <c r="H80" s="49">
        <f>'Avg Week Musita-Lumino'!H80+'Avg Week Lumino-Musita'!H80</f>
        <v>0</v>
      </c>
      <c r="I80" s="49">
        <f>'Avg Week Musita-Lumino'!I80+'Avg Week Lumino-Musita'!I80</f>
        <v>1.5</v>
      </c>
      <c r="J80" s="49">
        <f>'Avg Week Musita-Lumino'!J80+'Avg Week Lumino-Musita'!J80</f>
        <v>2</v>
      </c>
      <c r="K80" s="49">
        <f>'Avg Week Musita-Lumino'!K80+'Avg Week Lumino-Musita'!K80</f>
        <v>2</v>
      </c>
      <c r="L80" s="49">
        <f>'Avg Week Musita-Lumino'!L80+'Avg Week Lumino-Musita'!L80</f>
        <v>1.5</v>
      </c>
      <c r="M80" s="49">
        <f>'Avg Week Musita-Lumino'!M80+'Avg Week Lumino-Musita'!M80</f>
        <v>2</v>
      </c>
      <c r="N80" s="49">
        <f>'Avg Week Musita-Lumino'!N80+'Avg Week Lumino-Musita'!N80</f>
        <v>0</v>
      </c>
      <c r="O80" s="15">
        <f t="shared" si="35"/>
        <v>7.5</v>
      </c>
      <c r="P80" s="15">
        <f t="shared" si="36"/>
        <v>9.5</v>
      </c>
      <c r="R80" s="8"/>
      <c r="T80"/>
    </row>
    <row r="81" spans="2:20" ht="23.1" customHeight="1" x14ac:dyDescent="0.25">
      <c r="B81" s="23" t="s">
        <v>121</v>
      </c>
      <c r="C81" s="49">
        <f>'Avg Week Musita-Lumino'!C81+'Avg Week Lumino-Musita'!C81</f>
        <v>1.5</v>
      </c>
      <c r="D81" s="49">
        <f>'Avg Week Musita-Lumino'!D81+'Avg Week Lumino-Musita'!D81</f>
        <v>0</v>
      </c>
      <c r="E81" s="49">
        <f>'Avg Week Musita-Lumino'!E81+'Avg Week Lumino-Musita'!E81</f>
        <v>2</v>
      </c>
      <c r="F81" s="49">
        <f>'Avg Week Musita-Lumino'!F81+'Avg Week Lumino-Musita'!F81</f>
        <v>0</v>
      </c>
      <c r="G81" s="49">
        <f>'Avg Week Musita-Lumino'!G81+'Avg Week Lumino-Musita'!G81</f>
        <v>0</v>
      </c>
      <c r="H81" s="49">
        <f>'Avg Week Musita-Lumino'!H81+'Avg Week Lumino-Musita'!H81</f>
        <v>0</v>
      </c>
      <c r="I81" s="49">
        <f>'Avg Week Musita-Lumino'!I81+'Avg Week Lumino-Musita'!I81</f>
        <v>0.5</v>
      </c>
      <c r="J81" s="49">
        <f>'Avg Week Musita-Lumino'!J81+'Avg Week Lumino-Musita'!J81</f>
        <v>0.5</v>
      </c>
      <c r="K81" s="49">
        <f>'Avg Week Musita-Lumino'!K81+'Avg Week Lumino-Musita'!K81</f>
        <v>0.5</v>
      </c>
      <c r="L81" s="49">
        <f>'Avg Week Musita-Lumino'!L81+'Avg Week Lumino-Musita'!L81</f>
        <v>1</v>
      </c>
      <c r="M81" s="49">
        <f>'Avg Week Musita-Lumino'!M81+'Avg Week Lumino-Musita'!M81</f>
        <v>0</v>
      </c>
      <c r="N81" s="49">
        <f>'Avg Week Musita-Lumino'!N81+'Avg Week Lumino-Musita'!N81</f>
        <v>0</v>
      </c>
      <c r="O81" s="15">
        <f t="shared" si="35"/>
        <v>6</v>
      </c>
      <c r="P81" s="15">
        <f t="shared" si="36"/>
        <v>6</v>
      </c>
      <c r="R81" s="8"/>
      <c r="T81"/>
    </row>
    <row r="82" spans="2:20" ht="23.1" customHeight="1" x14ac:dyDescent="0.25">
      <c r="B82" s="24" t="s">
        <v>122</v>
      </c>
      <c r="C82" s="49">
        <f>'Avg Week Musita-Lumino'!C82+'Avg Week Lumino-Musita'!C82</f>
        <v>3.5</v>
      </c>
      <c r="D82" s="49">
        <f>'Avg Week Musita-Lumino'!D82+'Avg Week Lumino-Musita'!D82</f>
        <v>0.5</v>
      </c>
      <c r="E82" s="49">
        <f>'Avg Week Musita-Lumino'!E82+'Avg Week Lumino-Musita'!E82</f>
        <v>0</v>
      </c>
      <c r="F82" s="49">
        <f>'Avg Week Musita-Lumino'!F82+'Avg Week Lumino-Musita'!F82</f>
        <v>0</v>
      </c>
      <c r="G82" s="49">
        <f>'Avg Week Musita-Lumino'!G82+'Avg Week Lumino-Musita'!G82</f>
        <v>0</v>
      </c>
      <c r="H82" s="49">
        <f>'Avg Week Musita-Lumino'!H82+'Avg Week Lumino-Musita'!H82</f>
        <v>0</v>
      </c>
      <c r="I82" s="49">
        <f>'Avg Week Musita-Lumino'!I82+'Avg Week Lumino-Musita'!I82</f>
        <v>0</v>
      </c>
      <c r="J82" s="49">
        <f>'Avg Week Musita-Lumino'!J82+'Avg Week Lumino-Musita'!J82</f>
        <v>1</v>
      </c>
      <c r="K82" s="49">
        <f>'Avg Week Musita-Lumino'!K82+'Avg Week Lumino-Musita'!K82</f>
        <v>0.5</v>
      </c>
      <c r="L82" s="49">
        <f>'Avg Week Musita-Lumino'!L82+'Avg Week Lumino-Musita'!L82</f>
        <v>0.5</v>
      </c>
      <c r="M82" s="49">
        <f>'Avg Week Musita-Lumino'!M82+'Avg Week Lumino-Musita'!M82</f>
        <v>1</v>
      </c>
      <c r="N82" s="49">
        <f>'Avg Week Musita-Lumino'!N82+'Avg Week Lumino-Musita'!N82</f>
        <v>0</v>
      </c>
      <c r="O82" s="15">
        <f t="shared" si="35"/>
        <v>6</v>
      </c>
      <c r="P82" s="15">
        <f t="shared" si="36"/>
        <v>7</v>
      </c>
      <c r="R82" s="8"/>
      <c r="T82"/>
    </row>
    <row r="83" spans="2:20" ht="23.1" customHeight="1" x14ac:dyDescent="0.25">
      <c r="B83" s="23" t="s">
        <v>123</v>
      </c>
      <c r="C83" s="49">
        <f>'Avg Week Musita-Lumino'!C83+'Avg Week Lumino-Musita'!C83</f>
        <v>0</v>
      </c>
      <c r="D83" s="49">
        <f>'Avg Week Musita-Lumino'!D83+'Avg Week Lumino-Musita'!D83</f>
        <v>2</v>
      </c>
      <c r="E83" s="49">
        <f>'Avg Week Musita-Lumino'!E83+'Avg Week Lumino-Musita'!E83</f>
        <v>1</v>
      </c>
      <c r="F83" s="49">
        <f>'Avg Week Musita-Lumino'!F83+'Avg Week Lumino-Musita'!F83</f>
        <v>0</v>
      </c>
      <c r="G83" s="49">
        <f>'Avg Week Musita-Lumino'!G83+'Avg Week Lumino-Musita'!G83</f>
        <v>0</v>
      </c>
      <c r="H83" s="49">
        <f>'Avg Week Musita-Lumino'!H83+'Avg Week Lumino-Musita'!H83</f>
        <v>0</v>
      </c>
      <c r="I83" s="49">
        <f>'Avg Week Musita-Lumino'!I83+'Avg Week Lumino-Musita'!I83</f>
        <v>2</v>
      </c>
      <c r="J83" s="49">
        <f>'Avg Week Musita-Lumino'!J83+'Avg Week Lumino-Musita'!J83</f>
        <v>1</v>
      </c>
      <c r="K83" s="49">
        <f>'Avg Week Musita-Lumino'!K83+'Avg Week Lumino-Musita'!K83</f>
        <v>1.5</v>
      </c>
      <c r="L83" s="49">
        <f>'Avg Week Musita-Lumino'!L83+'Avg Week Lumino-Musita'!L83</f>
        <v>0.5</v>
      </c>
      <c r="M83" s="49">
        <f>'Avg Week Musita-Lumino'!M83+'Avg Week Lumino-Musita'!M83</f>
        <v>0</v>
      </c>
      <c r="N83" s="49">
        <f>'Avg Week Musita-Lumino'!N83+'Avg Week Lumino-Musita'!N83</f>
        <v>0</v>
      </c>
      <c r="O83" s="15">
        <f t="shared" si="35"/>
        <v>8</v>
      </c>
      <c r="P83" s="15">
        <f t="shared" si="36"/>
        <v>8</v>
      </c>
      <c r="R83" s="8"/>
      <c r="T83"/>
    </row>
    <row r="84" spans="2:20" ht="23.1" customHeight="1" x14ac:dyDescent="0.25">
      <c r="B84" s="25" t="s">
        <v>124</v>
      </c>
      <c r="C84" s="49">
        <f>'Avg Week Musita-Lumino'!C84+'Avg Week Lumino-Musita'!C84</f>
        <v>0.5</v>
      </c>
      <c r="D84" s="49">
        <f>'Avg Week Musita-Lumino'!D84+'Avg Week Lumino-Musita'!D84</f>
        <v>1</v>
      </c>
      <c r="E84" s="49">
        <f>'Avg Week Musita-Lumino'!E84+'Avg Week Lumino-Musita'!E84</f>
        <v>0.5</v>
      </c>
      <c r="F84" s="49">
        <f>'Avg Week Musita-Lumino'!F84+'Avg Week Lumino-Musita'!F84</f>
        <v>0</v>
      </c>
      <c r="G84" s="49">
        <f>'Avg Week Musita-Lumino'!G84+'Avg Week Lumino-Musita'!G84</f>
        <v>0</v>
      </c>
      <c r="H84" s="49">
        <f>'Avg Week Musita-Lumino'!H84+'Avg Week Lumino-Musita'!H84</f>
        <v>0</v>
      </c>
      <c r="I84" s="49">
        <f>'Avg Week Musita-Lumino'!I84+'Avg Week Lumino-Musita'!I84</f>
        <v>2</v>
      </c>
      <c r="J84" s="49">
        <f>'Avg Week Musita-Lumino'!J84+'Avg Week Lumino-Musita'!J84</f>
        <v>0.5</v>
      </c>
      <c r="K84" s="49">
        <f>'Avg Week Musita-Lumino'!K84+'Avg Week Lumino-Musita'!K84</f>
        <v>0.5</v>
      </c>
      <c r="L84" s="49">
        <f>'Avg Week Musita-Lumino'!L84+'Avg Week Lumino-Musita'!L84</f>
        <v>1</v>
      </c>
      <c r="M84" s="49">
        <f>'Avg Week Musita-Lumino'!M84+'Avg Week Lumino-Musita'!M84</f>
        <v>0</v>
      </c>
      <c r="N84" s="49">
        <f>'Avg Week Musita-Lumino'!N84+'Avg Week Lumino-Musita'!N84</f>
        <v>0</v>
      </c>
      <c r="O84" s="15">
        <f t="shared" si="35"/>
        <v>6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'Avg Week Musita-Lumino'!C85+'Avg Week Lumino-Musita'!C85</f>
        <v>0</v>
      </c>
      <c r="D85" s="49">
        <f>'Avg Week Musita-Lumino'!D85+'Avg Week Lumino-Musita'!D85</f>
        <v>0</v>
      </c>
      <c r="E85" s="49">
        <f>'Avg Week Musita-Lumino'!E85+'Avg Week Lumino-Musita'!E85</f>
        <v>0.5</v>
      </c>
      <c r="F85" s="49">
        <f>'Avg Week Musita-Lumino'!F85+'Avg Week Lumino-Musita'!F85</f>
        <v>0</v>
      </c>
      <c r="G85" s="49">
        <f>'Avg Week Musita-Lumino'!G85+'Avg Week Lumino-Musita'!G85</f>
        <v>0</v>
      </c>
      <c r="H85" s="49">
        <f>'Avg Week Musita-Lumino'!H85+'Avg Week Lumino-Musita'!H85</f>
        <v>0</v>
      </c>
      <c r="I85" s="49">
        <f>'Avg Week Musita-Lumino'!I85+'Avg Week Lumino-Musita'!I85</f>
        <v>0</v>
      </c>
      <c r="J85" s="49">
        <f>'Avg Week Musita-Lumino'!J85+'Avg Week Lumino-Musita'!J85</f>
        <v>0.5</v>
      </c>
      <c r="K85" s="49">
        <f>'Avg Week Musita-Lumino'!K85+'Avg Week Lumino-Musita'!K85</f>
        <v>0</v>
      </c>
      <c r="L85" s="49">
        <f>'Avg Week Musita-Lumino'!L85+'Avg Week Lumino-Musita'!L85</f>
        <v>1</v>
      </c>
      <c r="M85" s="49">
        <f>'Avg Week Musita-Lumino'!M85+'Avg Week Lumino-Musita'!M85</f>
        <v>0</v>
      </c>
      <c r="N85" s="49">
        <f>'Avg Week Musita-Lumino'!N85+'Avg Week Lumino-Musita'!N85</f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'Avg Week Musita-Lumino'!C86+'Avg Week Lumino-Musita'!C86</f>
        <v>1</v>
      </c>
      <c r="D86" s="49">
        <f>'Avg Week Musita-Lumino'!D86+'Avg Week Lumino-Musita'!D86</f>
        <v>0</v>
      </c>
      <c r="E86" s="49">
        <f>'Avg Week Musita-Lumino'!E86+'Avg Week Lumino-Musita'!E86</f>
        <v>0</v>
      </c>
      <c r="F86" s="49">
        <f>'Avg Week Musita-Lumino'!F86+'Avg Week Lumino-Musita'!F86</f>
        <v>0</v>
      </c>
      <c r="G86" s="49">
        <f>'Avg Week Musita-Lumino'!G86+'Avg Week Lumino-Musita'!G86</f>
        <v>0</v>
      </c>
      <c r="H86" s="49">
        <f>'Avg Week Musita-Lumino'!H86+'Avg Week Lumino-Musita'!H86</f>
        <v>0</v>
      </c>
      <c r="I86" s="49">
        <f>'Avg Week Musita-Lumino'!I86+'Avg Week Lumino-Musita'!I86</f>
        <v>0</v>
      </c>
      <c r="J86" s="49">
        <f>'Avg Week Musita-Lumino'!J86+'Avg Week Lumino-Musita'!J86</f>
        <v>0</v>
      </c>
      <c r="K86" s="49">
        <f>'Avg Week Musita-Lumino'!K86+'Avg Week Lumino-Musita'!K86</f>
        <v>2</v>
      </c>
      <c r="L86" s="49">
        <f>'Avg Week Musita-Lumino'!L86+'Avg Week Lumino-Musita'!L86</f>
        <v>0.5</v>
      </c>
      <c r="M86" s="49">
        <f>'Avg Week Musita-Lumino'!M86+'Avg Week Lumino-Musita'!M86</f>
        <v>0</v>
      </c>
      <c r="N86" s="49">
        <f>'Avg Week Musita-Lumino'!N86+'Avg Week Lumino-Musita'!N86</f>
        <v>0</v>
      </c>
      <c r="O86" s="15">
        <f t="shared" si="35"/>
        <v>3.5</v>
      </c>
      <c r="P86" s="15">
        <f t="shared" si="36"/>
        <v>3.5</v>
      </c>
      <c r="R86" s="8"/>
      <c r="T86"/>
    </row>
    <row r="87" spans="2:20" ht="23.1" customHeight="1" x14ac:dyDescent="0.25">
      <c r="B87" s="23" t="s">
        <v>127</v>
      </c>
      <c r="C87" s="49">
        <f>'Avg Week Musita-Lumino'!C87+'Avg Week Lumino-Musita'!C87</f>
        <v>1</v>
      </c>
      <c r="D87" s="49">
        <f>'Avg Week Musita-Lumino'!D87+'Avg Week Lumino-Musita'!D87</f>
        <v>1</v>
      </c>
      <c r="E87" s="49">
        <f>'Avg Week Musita-Lumino'!E87+'Avg Week Lumino-Musita'!E87</f>
        <v>0.5</v>
      </c>
      <c r="F87" s="49">
        <f>'Avg Week Musita-Lumino'!F87+'Avg Week Lumino-Musita'!F87</f>
        <v>0</v>
      </c>
      <c r="G87" s="49">
        <f>'Avg Week Musita-Lumino'!G87+'Avg Week Lumino-Musita'!G87</f>
        <v>0</v>
      </c>
      <c r="H87" s="49">
        <f>'Avg Week Musita-Lumino'!H87+'Avg Week Lumino-Musita'!H87</f>
        <v>0</v>
      </c>
      <c r="I87" s="49">
        <f>'Avg Week Musita-Lumino'!I87+'Avg Week Lumino-Musita'!I87</f>
        <v>0</v>
      </c>
      <c r="J87" s="49">
        <f>'Avg Week Musita-Lumino'!J87+'Avg Week Lumino-Musita'!J87</f>
        <v>0</v>
      </c>
      <c r="K87" s="49">
        <f>'Avg Week Musita-Lumino'!K87+'Avg Week Lumino-Musita'!K87</f>
        <v>1</v>
      </c>
      <c r="L87" s="49">
        <f>'Avg Week Musita-Lumino'!L87+'Avg Week Lumino-Musita'!L87</f>
        <v>2</v>
      </c>
      <c r="M87" s="49">
        <f>'Avg Week Musita-Lumino'!M87+'Avg Week Lumino-Musita'!M87</f>
        <v>0</v>
      </c>
      <c r="N87" s="49">
        <f>'Avg Week Musita-Lumino'!N87+'Avg Week Lumino-Musita'!N87</f>
        <v>0</v>
      </c>
      <c r="O87" s="15">
        <f t="shared" si="35"/>
        <v>5.5</v>
      </c>
      <c r="P87" s="15">
        <f t="shared" si="36"/>
        <v>5.5</v>
      </c>
      <c r="R87" s="8"/>
      <c r="T87"/>
    </row>
    <row r="88" spans="2:20" ht="23.1" customHeight="1" x14ac:dyDescent="0.25">
      <c r="B88" s="25" t="s">
        <v>128</v>
      </c>
      <c r="C88" s="49">
        <f>'Avg Week Musita-Lumino'!C88+'Avg Week Lumino-Musita'!C88</f>
        <v>0</v>
      </c>
      <c r="D88" s="49">
        <f>'Avg Week Musita-Lumino'!D88+'Avg Week Lumino-Musita'!D88</f>
        <v>0</v>
      </c>
      <c r="E88" s="49">
        <f>'Avg Week Musita-Lumino'!E88+'Avg Week Lumino-Musita'!E88</f>
        <v>0</v>
      </c>
      <c r="F88" s="49">
        <f>'Avg Week Musita-Lumino'!F88+'Avg Week Lumino-Musita'!F88</f>
        <v>0</v>
      </c>
      <c r="G88" s="49">
        <f>'Avg Week Musita-Lumino'!G88+'Avg Week Lumino-Musita'!G88</f>
        <v>0</v>
      </c>
      <c r="H88" s="49">
        <f>'Avg Week Musita-Lumino'!H88+'Avg Week Lumino-Musita'!H88</f>
        <v>0</v>
      </c>
      <c r="I88" s="49">
        <f>'Avg Week Musita-Lumino'!I88+'Avg Week Lumino-Musita'!I88</f>
        <v>0</v>
      </c>
      <c r="J88" s="49">
        <f>'Avg Week Musita-Lumino'!J88+'Avg Week Lumino-Musita'!J88</f>
        <v>1.5</v>
      </c>
      <c r="K88" s="49">
        <f>'Avg Week Musita-Lumino'!K88+'Avg Week Lumino-Musita'!K88</f>
        <v>1</v>
      </c>
      <c r="L88" s="49">
        <f>'Avg Week Musita-Lumino'!L88+'Avg Week Lumino-Musita'!L88</f>
        <v>2.5</v>
      </c>
      <c r="M88" s="49">
        <f>'Avg Week Musita-Lumino'!M88+'Avg Week Lumino-Musita'!M88</f>
        <v>1</v>
      </c>
      <c r="N88" s="49">
        <f>'Avg Week Musita-Lumino'!N88+'Avg Week Lumino-Musita'!N88</f>
        <v>0</v>
      </c>
      <c r="O88" s="15">
        <f t="shared" si="35"/>
        <v>5</v>
      </c>
      <c r="P88" s="15">
        <f t="shared" si="36"/>
        <v>6</v>
      </c>
      <c r="R88" s="8"/>
      <c r="T88"/>
    </row>
    <row r="89" spans="2:20" ht="23.1" customHeight="1" x14ac:dyDescent="0.25">
      <c r="B89" s="23" t="s">
        <v>129</v>
      </c>
      <c r="C89" s="49">
        <f>'Avg Week Musita-Lumino'!C89+'Avg Week Lumino-Musita'!C89</f>
        <v>0</v>
      </c>
      <c r="D89" s="49">
        <f>'Avg Week Musita-Lumino'!D89+'Avg Week Lumino-Musita'!D89</f>
        <v>0</v>
      </c>
      <c r="E89" s="49">
        <f>'Avg Week Musita-Lumino'!E89+'Avg Week Lumino-Musita'!E89</f>
        <v>0</v>
      </c>
      <c r="F89" s="49">
        <f>'Avg Week Musita-Lumino'!F89+'Avg Week Lumino-Musita'!F89</f>
        <v>1</v>
      </c>
      <c r="G89" s="49">
        <f>'Avg Week Musita-Lumino'!G89+'Avg Week Lumino-Musita'!G89</f>
        <v>0</v>
      </c>
      <c r="H89" s="49">
        <f>'Avg Week Musita-Lumino'!H89+'Avg Week Lumino-Musita'!H89</f>
        <v>0</v>
      </c>
      <c r="I89" s="49">
        <f>'Avg Week Musita-Lumino'!I89+'Avg Week Lumino-Musita'!I89</f>
        <v>1</v>
      </c>
      <c r="J89" s="49">
        <f>'Avg Week Musita-Lumino'!J89+'Avg Week Lumino-Musita'!J89</f>
        <v>0</v>
      </c>
      <c r="K89" s="49">
        <f>'Avg Week Musita-Lumino'!K89+'Avg Week Lumino-Musita'!K89</f>
        <v>1.5</v>
      </c>
      <c r="L89" s="49">
        <f>'Avg Week Musita-Lumino'!L89+'Avg Week Lumino-Musita'!L89</f>
        <v>0</v>
      </c>
      <c r="M89" s="49">
        <f>'Avg Week Musita-Lumino'!M89+'Avg Week Lumino-Musita'!M89</f>
        <v>0</v>
      </c>
      <c r="N89" s="49">
        <f>'Avg Week Musita-Lumino'!N89+'Avg Week Lumino-Musita'!N89</f>
        <v>0</v>
      </c>
      <c r="O89" s="15">
        <f t="shared" si="35"/>
        <v>3.5</v>
      </c>
      <c r="P89" s="15">
        <f t="shared" si="36"/>
        <v>3.5</v>
      </c>
      <c r="R89" s="8"/>
      <c r="T89"/>
    </row>
    <row r="90" spans="2:20" ht="23.1" customHeight="1" x14ac:dyDescent="0.25">
      <c r="B90" s="24" t="s">
        <v>130</v>
      </c>
      <c r="C90" s="49">
        <f>'Avg Week Musita-Lumino'!C90+'Avg Week Lumino-Musita'!C90</f>
        <v>0.5</v>
      </c>
      <c r="D90" s="49">
        <f>'Avg Week Musita-Lumino'!D90+'Avg Week Lumino-Musita'!D90</f>
        <v>0</v>
      </c>
      <c r="E90" s="49">
        <f>'Avg Week Musita-Lumino'!E90+'Avg Week Lumino-Musita'!E90</f>
        <v>0</v>
      </c>
      <c r="F90" s="49">
        <f>'Avg Week Musita-Lumino'!F90+'Avg Week Lumino-Musita'!F90</f>
        <v>0</v>
      </c>
      <c r="G90" s="49">
        <f>'Avg Week Musita-Lumino'!G90+'Avg Week Lumino-Musita'!G90</f>
        <v>0</v>
      </c>
      <c r="H90" s="49">
        <f>'Avg Week Musita-Lumino'!H90+'Avg Week Lumino-Musita'!H90</f>
        <v>0</v>
      </c>
      <c r="I90" s="49">
        <f>'Avg Week Musita-Lumino'!I90+'Avg Week Lumino-Musita'!I90</f>
        <v>1</v>
      </c>
      <c r="J90" s="49">
        <f>'Avg Week Musita-Lumino'!J90+'Avg Week Lumino-Musita'!J90</f>
        <v>1.5</v>
      </c>
      <c r="K90" s="49">
        <f>'Avg Week Musita-Lumino'!K90+'Avg Week Lumino-Musita'!K90</f>
        <v>1</v>
      </c>
      <c r="L90" s="49">
        <f>'Avg Week Musita-Lumino'!L90+'Avg Week Lumino-Musita'!L90</f>
        <v>0.5</v>
      </c>
      <c r="M90" s="49">
        <f>'Avg Week Musita-Lumino'!M90+'Avg Week Lumino-Musita'!M90</f>
        <v>0</v>
      </c>
      <c r="N90" s="49">
        <f>'Avg Week Musita-Lumino'!N90+'Avg Week Lumino-Musita'!N90</f>
        <v>0</v>
      </c>
      <c r="O90" s="15">
        <f t="shared" si="35"/>
        <v>4.5</v>
      </c>
      <c r="P90" s="15">
        <f t="shared" si="36"/>
        <v>4.5</v>
      </c>
      <c r="R90" s="8"/>
      <c r="T90"/>
    </row>
    <row r="91" spans="2:20" ht="23.1" customHeight="1" x14ac:dyDescent="0.25">
      <c r="B91" s="23" t="s">
        <v>131</v>
      </c>
      <c r="C91" s="49">
        <f>'Avg Week Musita-Lumino'!C91+'Avg Week Lumino-Musita'!C91</f>
        <v>0.5</v>
      </c>
      <c r="D91" s="49">
        <f>'Avg Week Musita-Lumino'!D91+'Avg Week Lumino-Musita'!D91</f>
        <v>1</v>
      </c>
      <c r="E91" s="49">
        <f>'Avg Week Musita-Lumino'!E91+'Avg Week Lumino-Musita'!E91</f>
        <v>0</v>
      </c>
      <c r="F91" s="49">
        <f>'Avg Week Musita-Lumino'!F91+'Avg Week Lumino-Musita'!F91</f>
        <v>0</v>
      </c>
      <c r="G91" s="49">
        <f>'Avg Week Musita-Lumino'!G91+'Avg Week Lumino-Musita'!G91</f>
        <v>0</v>
      </c>
      <c r="H91" s="49">
        <f>'Avg Week Musita-Lumino'!H91+'Avg Week Lumino-Musita'!H91</f>
        <v>0</v>
      </c>
      <c r="I91" s="49">
        <f>'Avg Week Musita-Lumino'!I91+'Avg Week Lumino-Musita'!I91</f>
        <v>1</v>
      </c>
      <c r="J91" s="49">
        <f>'Avg Week Musita-Lumino'!J91+'Avg Week Lumino-Musita'!J91</f>
        <v>1</v>
      </c>
      <c r="K91" s="49">
        <f>'Avg Week Musita-Lumino'!K91+'Avg Week Lumino-Musita'!K91</f>
        <v>0.5</v>
      </c>
      <c r="L91" s="49">
        <f>'Avg Week Musita-Lumino'!L91+'Avg Week Lumino-Musita'!L91</f>
        <v>0</v>
      </c>
      <c r="M91" s="49">
        <f>'Avg Week Musita-Lumino'!M91+'Avg Week Lumino-Musita'!M91</f>
        <v>0</v>
      </c>
      <c r="N91" s="49">
        <f>'Avg Week Musita-Lumino'!N91+'Avg Week Lumino-Musita'!N91</f>
        <v>0</v>
      </c>
      <c r="O91" s="15">
        <f t="shared" si="35"/>
        <v>4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'Avg Week Musita-Lumino'!C92+'Avg Week Lumino-Musita'!C92</f>
        <v>0.5</v>
      </c>
      <c r="D92" s="49">
        <f>'Avg Week Musita-Lumino'!D92+'Avg Week Lumino-Musita'!D92</f>
        <v>0.5</v>
      </c>
      <c r="E92" s="49">
        <f>'Avg Week Musita-Lumino'!E92+'Avg Week Lumino-Musita'!E92</f>
        <v>0</v>
      </c>
      <c r="F92" s="49">
        <f>'Avg Week Musita-Lumino'!F92+'Avg Week Lumino-Musita'!F92</f>
        <v>0</v>
      </c>
      <c r="G92" s="49">
        <f>'Avg Week Musita-Lumino'!G92+'Avg Week Lumino-Musita'!G92</f>
        <v>0</v>
      </c>
      <c r="H92" s="49">
        <f>'Avg Week Musita-Lumino'!H92+'Avg Week Lumino-Musita'!H92</f>
        <v>0.5</v>
      </c>
      <c r="I92" s="49">
        <f>'Avg Week Musita-Lumino'!I92+'Avg Week Lumino-Musita'!I92</f>
        <v>1</v>
      </c>
      <c r="J92" s="49">
        <f>'Avg Week Musita-Lumino'!J92+'Avg Week Lumino-Musita'!J92</f>
        <v>0.5</v>
      </c>
      <c r="K92" s="49">
        <f>'Avg Week Musita-Lumino'!K92+'Avg Week Lumino-Musita'!K92</f>
        <v>1.5</v>
      </c>
      <c r="L92" s="49">
        <f>'Avg Week Musita-Lumino'!L92+'Avg Week Lumino-Musita'!L92</f>
        <v>0.5</v>
      </c>
      <c r="M92" s="49">
        <f>'Avg Week Musita-Lumino'!M92+'Avg Week Lumino-Musita'!M92</f>
        <v>0</v>
      </c>
      <c r="N92" s="49">
        <f>'Avg Week Musita-Lumino'!N92+'Avg Week Lumino-Musita'!N92</f>
        <v>0</v>
      </c>
      <c r="O92" s="15">
        <f t="shared" si="35"/>
        <v>5</v>
      </c>
      <c r="P92" s="15">
        <f t="shared" si="36"/>
        <v>5</v>
      </c>
      <c r="R92" s="8"/>
      <c r="T92"/>
    </row>
    <row r="93" spans="2:20" ht="23.1" customHeight="1" x14ac:dyDescent="0.25">
      <c r="B93" s="23" t="s">
        <v>133</v>
      </c>
      <c r="C93" s="49">
        <f>'Avg Week Musita-Lumino'!C93+'Avg Week Lumino-Musita'!C93</f>
        <v>1</v>
      </c>
      <c r="D93" s="49">
        <f>'Avg Week Musita-Lumino'!D93+'Avg Week Lumino-Musita'!D93</f>
        <v>1</v>
      </c>
      <c r="E93" s="49">
        <f>'Avg Week Musita-Lumino'!E93+'Avg Week Lumino-Musita'!E93</f>
        <v>2</v>
      </c>
      <c r="F93" s="49">
        <f>'Avg Week Musita-Lumino'!F93+'Avg Week Lumino-Musita'!F93</f>
        <v>1</v>
      </c>
      <c r="G93" s="49">
        <f>'Avg Week Musita-Lumino'!G93+'Avg Week Lumino-Musita'!G93</f>
        <v>0</v>
      </c>
      <c r="H93" s="49">
        <f>'Avg Week Musita-Lumino'!H93+'Avg Week Lumino-Musita'!H93</f>
        <v>0</v>
      </c>
      <c r="I93" s="49">
        <f>'Avg Week Musita-Lumino'!I93+'Avg Week Lumino-Musita'!I93</f>
        <v>0</v>
      </c>
      <c r="J93" s="49">
        <f>'Avg Week Musita-Lumino'!J93+'Avg Week Lumino-Musita'!J93</f>
        <v>2</v>
      </c>
      <c r="K93" s="49">
        <f>'Avg Week Musita-Lumino'!K93+'Avg Week Lumino-Musita'!K93</f>
        <v>0</v>
      </c>
      <c r="L93" s="49">
        <f>'Avg Week Musita-Lumino'!L93+'Avg Week Lumino-Musita'!L93</f>
        <v>0</v>
      </c>
      <c r="M93" s="49">
        <f>'Avg Week Musita-Lumino'!M93+'Avg Week Lumino-Musita'!M93</f>
        <v>0</v>
      </c>
      <c r="N93" s="49">
        <f>'Avg Week Musita-Lumino'!N93+'Avg Week Lumino-Musita'!N93</f>
        <v>0</v>
      </c>
      <c r="O93" s="15">
        <f t="shared" si="35"/>
        <v>7</v>
      </c>
      <c r="P93" s="15">
        <f t="shared" si="36"/>
        <v>7</v>
      </c>
      <c r="R93" s="8"/>
      <c r="T93"/>
    </row>
    <row r="94" spans="2:20" ht="23.1" customHeight="1" x14ac:dyDescent="0.25">
      <c r="B94" s="24" t="s">
        <v>134</v>
      </c>
      <c r="C94" s="49">
        <f>'Avg Week Musita-Lumino'!C94+'Avg Week Lumino-Musita'!C94</f>
        <v>1</v>
      </c>
      <c r="D94" s="49">
        <f>'Avg Week Musita-Lumino'!D94+'Avg Week Lumino-Musita'!D94</f>
        <v>0</v>
      </c>
      <c r="E94" s="49">
        <f>'Avg Week Musita-Lumino'!E94+'Avg Week Lumino-Musita'!E94</f>
        <v>0</v>
      </c>
      <c r="F94" s="49">
        <f>'Avg Week Musita-Lumino'!F94+'Avg Week Lumino-Musita'!F94</f>
        <v>0</v>
      </c>
      <c r="G94" s="49">
        <f>'Avg Week Musita-Lumino'!G94+'Avg Week Lumino-Musita'!G94</f>
        <v>0</v>
      </c>
      <c r="H94" s="49">
        <f>'Avg Week Musita-Lumino'!H94+'Avg Week Lumino-Musita'!H94</f>
        <v>0</v>
      </c>
      <c r="I94" s="49">
        <f>'Avg Week Musita-Lumino'!I94+'Avg Week Lumino-Musita'!I94</f>
        <v>3</v>
      </c>
      <c r="J94" s="49">
        <f>'Avg Week Musita-Lumino'!J94+'Avg Week Lumino-Musita'!J94</f>
        <v>0.5</v>
      </c>
      <c r="K94" s="49">
        <f>'Avg Week Musita-Lumino'!K94+'Avg Week Lumino-Musita'!K94</f>
        <v>0.5</v>
      </c>
      <c r="L94" s="49">
        <f>'Avg Week Musita-Lumino'!L94+'Avg Week Lumino-Musita'!L94</f>
        <v>0</v>
      </c>
      <c r="M94" s="49">
        <f>'Avg Week Musita-Lumino'!M94+'Avg Week Lumino-Musita'!M94</f>
        <v>1.5</v>
      </c>
      <c r="N94" s="49">
        <f>'Avg Week Musita-Lumino'!N94+'Avg Week Lumino-Musita'!N94</f>
        <v>0</v>
      </c>
      <c r="O94" s="15">
        <f t="shared" si="35"/>
        <v>5</v>
      </c>
      <c r="P94" s="15">
        <f t="shared" si="36"/>
        <v>6.5</v>
      </c>
      <c r="R94" s="8"/>
      <c r="T94"/>
    </row>
    <row r="95" spans="2:20" ht="23.1" customHeight="1" x14ac:dyDescent="0.25">
      <c r="B95" s="23" t="s">
        <v>135</v>
      </c>
      <c r="C95" s="49">
        <f>'Avg Week Musita-Lumino'!C95+'Avg Week Lumino-Musita'!C95</f>
        <v>1.5</v>
      </c>
      <c r="D95" s="49">
        <f>'Avg Week Musita-Lumino'!D95+'Avg Week Lumino-Musita'!D95</f>
        <v>0.5</v>
      </c>
      <c r="E95" s="49">
        <f>'Avg Week Musita-Lumino'!E95+'Avg Week Lumino-Musita'!E95</f>
        <v>0</v>
      </c>
      <c r="F95" s="49">
        <f>'Avg Week Musita-Lumino'!F95+'Avg Week Lumino-Musita'!F95</f>
        <v>1</v>
      </c>
      <c r="G95" s="49">
        <f>'Avg Week Musita-Lumino'!G95+'Avg Week Lumino-Musita'!G95</f>
        <v>0</v>
      </c>
      <c r="H95" s="49">
        <f>'Avg Week Musita-Lumino'!H95+'Avg Week Lumino-Musita'!H95</f>
        <v>0</v>
      </c>
      <c r="I95" s="49">
        <f>'Avg Week Musita-Lumino'!I95+'Avg Week Lumino-Musita'!I95</f>
        <v>0</v>
      </c>
      <c r="J95" s="49">
        <f>'Avg Week Musita-Lumino'!J95+'Avg Week Lumino-Musita'!J95</f>
        <v>1.5</v>
      </c>
      <c r="K95" s="49">
        <f>'Avg Week Musita-Lumino'!K95+'Avg Week Lumino-Musita'!K95</f>
        <v>0.5</v>
      </c>
      <c r="L95" s="49">
        <f>'Avg Week Musita-Lumino'!L95+'Avg Week Lumino-Musita'!L95</f>
        <v>0.5</v>
      </c>
      <c r="M95" s="49">
        <f>'Avg Week Musita-Lumino'!M95+'Avg Week Lumino-Musita'!M95</f>
        <v>5.5</v>
      </c>
      <c r="N95" s="49">
        <f>'Avg Week Musita-Lumino'!N95+'Avg Week Lumino-Musita'!N95</f>
        <v>0</v>
      </c>
      <c r="O95" s="15">
        <f t="shared" si="35"/>
        <v>5.5</v>
      </c>
      <c r="P95" s="15">
        <f t="shared" si="36"/>
        <v>11</v>
      </c>
      <c r="R95" s="8"/>
      <c r="T95"/>
    </row>
    <row r="96" spans="2:20" ht="23.1" customHeight="1" x14ac:dyDescent="0.25">
      <c r="B96" s="25" t="s">
        <v>136</v>
      </c>
      <c r="C96" s="49">
        <f>'Avg Week Musita-Lumino'!C96+'Avg Week Lumino-Musita'!C96</f>
        <v>0</v>
      </c>
      <c r="D96" s="49">
        <f>'Avg Week Musita-Lumino'!D96+'Avg Week Lumino-Musita'!D96</f>
        <v>0</v>
      </c>
      <c r="E96" s="49">
        <f>'Avg Week Musita-Lumino'!E96+'Avg Week Lumino-Musita'!E96</f>
        <v>0</v>
      </c>
      <c r="F96" s="49">
        <f>'Avg Week Musita-Lumino'!F96+'Avg Week Lumino-Musita'!F96</f>
        <v>1</v>
      </c>
      <c r="G96" s="49">
        <f>'Avg Week Musita-Lumino'!G96+'Avg Week Lumino-Musita'!G96</f>
        <v>0</v>
      </c>
      <c r="H96" s="49">
        <f>'Avg Week Musita-Lumino'!H96+'Avg Week Lumino-Musita'!H96</f>
        <v>0</v>
      </c>
      <c r="I96" s="49">
        <f>'Avg Week Musita-Lumino'!I96+'Avg Week Lumino-Musita'!I96</f>
        <v>1</v>
      </c>
      <c r="J96" s="49">
        <f>'Avg Week Musita-Lumino'!J96+'Avg Week Lumino-Musita'!J96</f>
        <v>1</v>
      </c>
      <c r="K96" s="49">
        <f>'Avg Week Musita-Lumino'!K96+'Avg Week Lumino-Musita'!K96</f>
        <v>0.5</v>
      </c>
      <c r="L96" s="49">
        <f>'Avg Week Musita-Lumino'!L96+'Avg Week Lumino-Musita'!L96</f>
        <v>0.5</v>
      </c>
      <c r="M96" s="49">
        <f>'Avg Week Musita-Lumino'!M96+'Avg Week Lumino-Musita'!M96</f>
        <v>4.5</v>
      </c>
      <c r="N96" s="49">
        <f>'Avg Week Musita-Lumino'!N96+'Avg Week Lumino-Musita'!N96</f>
        <v>0</v>
      </c>
      <c r="O96" s="15">
        <f t="shared" si="35"/>
        <v>4</v>
      </c>
      <c r="P96" s="15">
        <f t="shared" si="36"/>
        <v>8.5</v>
      </c>
      <c r="R96" s="8"/>
      <c r="T96"/>
    </row>
    <row r="97" spans="2:20" ht="23.1" customHeight="1" x14ac:dyDescent="0.25">
      <c r="B97" s="23" t="s">
        <v>137</v>
      </c>
      <c r="C97" s="49">
        <f>'Avg Week Musita-Lumino'!C97+'Avg Week Lumino-Musita'!C97</f>
        <v>2</v>
      </c>
      <c r="D97" s="49">
        <f>'Avg Week Musita-Lumino'!D97+'Avg Week Lumino-Musita'!D97</f>
        <v>0</v>
      </c>
      <c r="E97" s="49">
        <f>'Avg Week Musita-Lumino'!E97+'Avg Week Lumino-Musita'!E97</f>
        <v>1.5</v>
      </c>
      <c r="F97" s="49">
        <f>'Avg Week Musita-Lumino'!F97+'Avg Week Lumino-Musita'!F97</f>
        <v>1.5</v>
      </c>
      <c r="G97" s="49">
        <f>'Avg Week Musita-Lumino'!G97+'Avg Week Lumino-Musita'!G97</f>
        <v>0</v>
      </c>
      <c r="H97" s="49">
        <f>'Avg Week Musita-Lumino'!H97+'Avg Week Lumino-Musita'!H97</f>
        <v>0</v>
      </c>
      <c r="I97" s="49">
        <f>'Avg Week Musita-Lumino'!I97+'Avg Week Lumino-Musita'!I97</f>
        <v>1</v>
      </c>
      <c r="J97" s="49">
        <f>'Avg Week Musita-Lumino'!J97+'Avg Week Lumino-Musita'!J97</f>
        <v>1</v>
      </c>
      <c r="K97" s="49">
        <f>'Avg Week Musita-Lumino'!K97+'Avg Week Lumino-Musita'!K97</f>
        <v>1</v>
      </c>
      <c r="L97" s="49">
        <f>'Avg Week Musita-Lumino'!L97+'Avg Week Lumino-Musita'!L97</f>
        <v>0</v>
      </c>
      <c r="M97" s="49">
        <f>'Avg Week Musita-Lumino'!M97+'Avg Week Lumino-Musita'!M97</f>
        <v>2</v>
      </c>
      <c r="N97" s="49">
        <f>'Avg Week Musita-Lumino'!N97+'Avg Week Lumino-Musita'!N97</f>
        <v>0</v>
      </c>
      <c r="O97" s="15">
        <f t="shared" si="35"/>
        <v>8</v>
      </c>
      <c r="P97" s="15">
        <f t="shared" si="36"/>
        <v>10</v>
      </c>
      <c r="R97" s="8"/>
      <c r="T97"/>
    </row>
    <row r="98" spans="2:20" ht="23.1" customHeight="1" x14ac:dyDescent="0.25">
      <c r="B98" s="24" t="s">
        <v>138</v>
      </c>
      <c r="C98" s="49">
        <f>'Avg Week Musita-Lumino'!C98+'Avg Week Lumino-Musita'!C98</f>
        <v>3</v>
      </c>
      <c r="D98" s="49">
        <f>'Avg Week Musita-Lumino'!D98+'Avg Week Lumino-Musita'!D98</f>
        <v>0.5</v>
      </c>
      <c r="E98" s="49">
        <f>'Avg Week Musita-Lumino'!E98+'Avg Week Lumino-Musita'!E98</f>
        <v>0.5</v>
      </c>
      <c r="F98" s="49">
        <f>'Avg Week Musita-Lumino'!F98+'Avg Week Lumino-Musita'!F98</f>
        <v>0</v>
      </c>
      <c r="G98" s="49">
        <f>'Avg Week Musita-Lumino'!G98+'Avg Week Lumino-Musita'!G98</f>
        <v>0</v>
      </c>
      <c r="H98" s="49">
        <f>'Avg Week Musita-Lumino'!H98+'Avg Week Lumino-Musita'!H98</f>
        <v>0</v>
      </c>
      <c r="I98" s="49">
        <f>'Avg Week Musita-Lumino'!I98+'Avg Week Lumino-Musita'!I98</f>
        <v>0.5</v>
      </c>
      <c r="J98" s="49">
        <f>'Avg Week Musita-Lumino'!J98+'Avg Week Lumino-Musita'!J98</f>
        <v>1.5</v>
      </c>
      <c r="K98" s="49">
        <f>'Avg Week Musita-Lumino'!K98+'Avg Week Lumino-Musita'!K98</f>
        <v>0</v>
      </c>
      <c r="L98" s="49">
        <f>'Avg Week Musita-Lumino'!L98+'Avg Week Lumino-Musita'!L98</f>
        <v>1</v>
      </c>
      <c r="M98" s="49">
        <f>'Avg Week Musita-Lumino'!M98+'Avg Week Lumino-Musita'!M98</f>
        <v>4.5</v>
      </c>
      <c r="N98" s="49">
        <f>'Avg Week Musita-Lumino'!N98+'Avg Week Lumino-Musita'!N98</f>
        <v>0</v>
      </c>
      <c r="O98" s="15">
        <f t="shared" si="35"/>
        <v>7</v>
      </c>
      <c r="P98" s="15">
        <f t="shared" si="36"/>
        <v>11.5</v>
      </c>
      <c r="R98" s="8"/>
      <c r="T98"/>
    </row>
    <row r="99" spans="2:20" ht="23.1" customHeight="1" x14ac:dyDescent="0.25">
      <c r="B99" s="23" t="s">
        <v>139</v>
      </c>
      <c r="C99" s="49">
        <f>'Avg Week Musita-Lumino'!C99+'Avg Week Lumino-Musita'!C99</f>
        <v>0</v>
      </c>
      <c r="D99" s="49">
        <f>'Avg Week Musita-Lumino'!D99+'Avg Week Lumino-Musita'!D99</f>
        <v>0.5</v>
      </c>
      <c r="E99" s="49">
        <f>'Avg Week Musita-Lumino'!E99+'Avg Week Lumino-Musita'!E99</f>
        <v>1.5</v>
      </c>
      <c r="F99" s="49">
        <f>'Avg Week Musita-Lumino'!F99+'Avg Week Lumino-Musita'!F99</f>
        <v>0.5</v>
      </c>
      <c r="G99" s="49">
        <f>'Avg Week Musita-Lumino'!G99+'Avg Week Lumino-Musita'!G99</f>
        <v>0</v>
      </c>
      <c r="H99" s="49">
        <f>'Avg Week Musita-Lumino'!H99+'Avg Week Lumino-Musita'!H99</f>
        <v>0</v>
      </c>
      <c r="I99" s="49">
        <f>'Avg Week Musita-Lumino'!I99+'Avg Week Lumino-Musita'!I99</f>
        <v>0.5</v>
      </c>
      <c r="J99" s="49">
        <f>'Avg Week Musita-Lumino'!J99+'Avg Week Lumino-Musita'!J99</f>
        <v>2</v>
      </c>
      <c r="K99" s="49">
        <f>'Avg Week Musita-Lumino'!K99+'Avg Week Lumino-Musita'!K99</f>
        <v>1.5</v>
      </c>
      <c r="L99" s="49">
        <f>'Avg Week Musita-Lumino'!L99+'Avg Week Lumino-Musita'!L99</f>
        <v>0</v>
      </c>
      <c r="M99" s="49">
        <f>'Avg Week Musita-Lumino'!M99+'Avg Week Lumino-Musita'!M99</f>
        <v>6.5</v>
      </c>
      <c r="N99" s="49">
        <f>'Avg Week Musita-Lumino'!N99+'Avg Week Lumino-Musita'!N99</f>
        <v>0</v>
      </c>
      <c r="O99" s="15">
        <f t="shared" si="35"/>
        <v>6.5</v>
      </c>
      <c r="P99" s="15">
        <f t="shared" si="36"/>
        <v>13</v>
      </c>
      <c r="R99" s="8"/>
      <c r="T99"/>
    </row>
    <row r="100" spans="2:20" ht="23.1" customHeight="1" x14ac:dyDescent="0.25">
      <c r="B100" s="25" t="s">
        <v>140</v>
      </c>
      <c r="C100" s="49">
        <f>'Avg Week Musita-Lumino'!C100+'Avg Week Lumino-Musita'!C100</f>
        <v>1.5</v>
      </c>
      <c r="D100" s="49">
        <f>'Avg Week Musita-Lumino'!D100+'Avg Week Lumino-Musita'!D100</f>
        <v>0.5</v>
      </c>
      <c r="E100" s="49">
        <f>'Avg Week Musita-Lumino'!E100+'Avg Week Lumino-Musita'!E100</f>
        <v>1.5</v>
      </c>
      <c r="F100" s="49">
        <f>'Avg Week Musita-Lumino'!F100+'Avg Week Lumino-Musita'!F100</f>
        <v>2.5</v>
      </c>
      <c r="G100" s="49">
        <f>'Avg Week Musita-Lumino'!G100+'Avg Week Lumino-Musita'!G100</f>
        <v>0</v>
      </c>
      <c r="H100" s="49">
        <f>'Avg Week Musita-Lumino'!H100+'Avg Week Lumino-Musita'!H100</f>
        <v>0</v>
      </c>
      <c r="I100" s="49">
        <f>'Avg Week Musita-Lumino'!I100+'Avg Week Lumino-Musita'!I100</f>
        <v>0</v>
      </c>
      <c r="J100" s="49">
        <f>'Avg Week Musita-Lumino'!J100+'Avg Week Lumino-Musita'!J100</f>
        <v>3</v>
      </c>
      <c r="K100" s="49">
        <f>'Avg Week Musita-Lumino'!K100+'Avg Week Lumino-Musita'!K100</f>
        <v>1</v>
      </c>
      <c r="L100" s="49">
        <f>'Avg Week Musita-Lumino'!L100+'Avg Week Lumino-Musita'!L100</f>
        <v>0.5</v>
      </c>
      <c r="M100" s="49">
        <f>'Avg Week Musita-Lumino'!M100+'Avg Week Lumino-Musita'!M100</f>
        <v>8.5</v>
      </c>
      <c r="N100" s="49">
        <f>'Avg Week Musita-Lumino'!N100+'Avg Week Lumino-Musita'!N100</f>
        <v>0</v>
      </c>
      <c r="O100" s="15">
        <f t="shared" si="35"/>
        <v>10.5</v>
      </c>
      <c r="P100" s="15">
        <f t="shared" si="36"/>
        <v>19</v>
      </c>
      <c r="R100" s="8"/>
      <c r="T100"/>
    </row>
    <row r="101" spans="2:20" ht="23.1" customHeight="1" x14ac:dyDescent="0.25">
      <c r="B101" s="23" t="s">
        <v>141</v>
      </c>
      <c r="C101" s="49">
        <f>'Avg Week Musita-Lumino'!C101+'Avg Week Lumino-Musita'!C101</f>
        <v>1.5</v>
      </c>
      <c r="D101" s="49">
        <f>'Avg Week Musita-Lumino'!D101+'Avg Week Lumino-Musita'!D101</f>
        <v>1</v>
      </c>
      <c r="E101" s="49">
        <f>'Avg Week Musita-Lumino'!E101+'Avg Week Lumino-Musita'!E101</f>
        <v>1.5</v>
      </c>
      <c r="F101" s="49">
        <f>'Avg Week Musita-Lumino'!F101+'Avg Week Lumino-Musita'!F101</f>
        <v>2</v>
      </c>
      <c r="G101" s="49">
        <f>'Avg Week Musita-Lumino'!G101+'Avg Week Lumino-Musita'!G101</f>
        <v>0</v>
      </c>
      <c r="H101" s="49">
        <f>'Avg Week Musita-Lumino'!H101+'Avg Week Lumino-Musita'!H101</f>
        <v>0</v>
      </c>
      <c r="I101" s="49">
        <f>'Avg Week Musita-Lumino'!I101+'Avg Week Lumino-Musita'!I101</f>
        <v>0</v>
      </c>
      <c r="J101" s="49">
        <f>'Avg Week Musita-Lumino'!J101+'Avg Week Lumino-Musita'!J101</f>
        <v>3.5</v>
      </c>
      <c r="K101" s="49">
        <f>'Avg Week Musita-Lumino'!K101+'Avg Week Lumino-Musita'!K101</f>
        <v>2.5</v>
      </c>
      <c r="L101" s="49">
        <f>'Avg Week Musita-Lumino'!L101+'Avg Week Lumino-Musita'!L101</f>
        <v>0</v>
      </c>
      <c r="M101" s="49">
        <f>'Avg Week Musita-Lumino'!M101+'Avg Week Lumino-Musita'!M101</f>
        <v>15</v>
      </c>
      <c r="N101" s="49">
        <f>'Avg Week Musita-Lumino'!N101+'Avg Week Lumino-Musita'!N101</f>
        <v>0</v>
      </c>
      <c r="O101" s="15">
        <f t="shared" si="35"/>
        <v>12</v>
      </c>
      <c r="P101" s="15">
        <f t="shared" si="36"/>
        <v>27</v>
      </c>
      <c r="R101" s="8"/>
      <c r="T101"/>
    </row>
    <row r="102" spans="2:20" ht="23.1" customHeight="1" x14ac:dyDescent="0.25">
      <c r="B102" s="24" t="s">
        <v>142</v>
      </c>
      <c r="C102" s="49">
        <f>'Avg Week Musita-Lumino'!C102+'Avg Week Lumino-Musita'!C102</f>
        <v>3.5</v>
      </c>
      <c r="D102" s="49">
        <f>'Avg Week Musita-Lumino'!D102+'Avg Week Lumino-Musita'!D102</f>
        <v>1.5</v>
      </c>
      <c r="E102" s="49">
        <f>'Avg Week Musita-Lumino'!E102+'Avg Week Lumino-Musita'!E102</f>
        <v>0.5</v>
      </c>
      <c r="F102" s="49">
        <f>'Avg Week Musita-Lumino'!F102+'Avg Week Lumino-Musita'!F102</f>
        <v>3.5</v>
      </c>
      <c r="G102" s="49">
        <f>'Avg Week Musita-Lumino'!G102+'Avg Week Lumino-Musita'!G102</f>
        <v>1</v>
      </c>
      <c r="H102" s="49">
        <f>'Avg Week Musita-Lumino'!H102+'Avg Week Lumino-Musita'!H102</f>
        <v>0</v>
      </c>
      <c r="I102" s="49">
        <f>'Avg Week Musita-Lumino'!I102+'Avg Week Lumino-Musita'!I102</f>
        <v>1</v>
      </c>
      <c r="J102" s="49">
        <f>'Avg Week Musita-Lumino'!J102+'Avg Week Lumino-Musita'!J102</f>
        <v>2</v>
      </c>
      <c r="K102" s="49">
        <f>'Avg Week Musita-Lumino'!K102+'Avg Week Lumino-Musita'!K102</f>
        <v>2</v>
      </c>
      <c r="L102" s="49">
        <f>'Avg Week Musita-Lumino'!L102+'Avg Week Lumino-Musita'!L102</f>
        <v>1</v>
      </c>
      <c r="M102" s="49">
        <f>'Avg Week Musita-Lumino'!M102+'Avg Week Lumino-Musita'!M102</f>
        <v>26</v>
      </c>
      <c r="N102" s="49">
        <f>'Avg Week Musita-Lumino'!N102+'Avg Week Lumino-Musita'!N102</f>
        <v>0</v>
      </c>
      <c r="O102" s="15">
        <f t="shared" si="35"/>
        <v>16</v>
      </c>
      <c r="P102" s="15">
        <f t="shared" si="36"/>
        <v>42</v>
      </c>
      <c r="R102" s="8"/>
      <c r="T102"/>
    </row>
    <row r="103" spans="2:20" ht="23.1" customHeight="1" x14ac:dyDescent="0.25">
      <c r="B103" s="23" t="s">
        <v>143</v>
      </c>
      <c r="C103" s="49">
        <f>'Avg Week Musita-Lumino'!C103+'Avg Week Lumino-Musita'!C103</f>
        <v>2</v>
      </c>
      <c r="D103" s="49">
        <f>'Avg Week Musita-Lumino'!D103+'Avg Week Lumino-Musita'!D103</f>
        <v>2.5</v>
      </c>
      <c r="E103" s="49">
        <f>'Avg Week Musita-Lumino'!E103+'Avg Week Lumino-Musita'!E103</f>
        <v>1.5</v>
      </c>
      <c r="F103" s="49">
        <f>'Avg Week Musita-Lumino'!F103+'Avg Week Lumino-Musita'!F103</f>
        <v>2.5</v>
      </c>
      <c r="G103" s="49">
        <f>'Avg Week Musita-Lumino'!G103+'Avg Week Lumino-Musita'!G103</f>
        <v>1.5</v>
      </c>
      <c r="H103" s="49">
        <f>'Avg Week Musita-Lumino'!H103+'Avg Week Lumino-Musita'!H103</f>
        <v>0</v>
      </c>
      <c r="I103" s="49">
        <f>'Avg Week Musita-Lumino'!I103+'Avg Week Lumino-Musita'!I103</f>
        <v>0.5</v>
      </c>
      <c r="J103" s="49">
        <f>'Avg Week Musita-Lumino'!J103+'Avg Week Lumino-Musita'!J103</f>
        <v>4.5</v>
      </c>
      <c r="K103" s="49">
        <f>'Avg Week Musita-Lumino'!K103+'Avg Week Lumino-Musita'!K103</f>
        <v>0</v>
      </c>
      <c r="L103" s="49">
        <f>'Avg Week Musita-Lumino'!L103+'Avg Week Lumino-Musita'!L103</f>
        <v>0</v>
      </c>
      <c r="M103" s="49">
        <f>'Avg Week Musita-Lumino'!M103+'Avg Week Lumino-Musita'!M103</f>
        <v>25.5</v>
      </c>
      <c r="N103" s="49">
        <f>'Avg Week Musita-Lumino'!N103+'Avg Week Lumino-Musita'!N103</f>
        <v>0</v>
      </c>
      <c r="O103" s="15">
        <f t="shared" si="35"/>
        <v>15</v>
      </c>
      <c r="P103" s="15">
        <f t="shared" si="36"/>
        <v>40.5</v>
      </c>
      <c r="R103" s="8"/>
      <c r="T103"/>
    </row>
    <row r="104" spans="2:20" ht="23.1" customHeight="1" x14ac:dyDescent="0.25">
      <c r="B104" s="25" t="s">
        <v>144</v>
      </c>
      <c r="C104" s="49">
        <f>'Avg Week Musita-Lumino'!C104+'Avg Week Lumino-Musita'!C104</f>
        <v>4</v>
      </c>
      <c r="D104" s="49">
        <f>'Avg Week Musita-Lumino'!D104+'Avg Week Lumino-Musita'!D104</f>
        <v>0.5</v>
      </c>
      <c r="E104" s="49">
        <f>'Avg Week Musita-Lumino'!E104+'Avg Week Lumino-Musita'!E104</f>
        <v>1</v>
      </c>
      <c r="F104" s="49">
        <f>'Avg Week Musita-Lumino'!F104+'Avg Week Lumino-Musita'!F104</f>
        <v>1</v>
      </c>
      <c r="G104" s="49">
        <f>'Avg Week Musita-Lumino'!G104+'Avg Week Lumino-Musita'!G104</f>
        <v>0</v>
      </c>
      <c r="H104" s="49">
        <f>'Avg Week Musita-Lumino'!H104+'Avg Week Lumino-Musita'!H104</f>
        <v>0</v>
      </c>
      <c r="I104" s="49">
        <f>'Avg Week Musita-Lumino'!I104+'Avg Week Lumino-Musita'!I104</f>
        <v>2</v>
      </c>
      <c r="J104" s="49">
        <f>'Avg Week Musita-Lumino'!J104+'Avg Week Lumino-Musita'!J104</f>
        <v>3.5</v>
      </c>
      <c r="K104" s="49">
        <f>'Avg Week Musita-Lumino'!K104+'Avg Week Lumino-Musita'!K104</f>
        <v>1.5</v>
      </c>
      <c r="L104" s="49">
        <f>'Avg Week Musita-Lumino'!L104+'Avg Week Lumino-Musita'!L104</f>
        <v>1</v>
      </c>
      <c r="M104" s="49">
        <f>'Avg Week Musita-Lumino'!M104+'Avg Week Lumino-Musita'!M104</f>
        <v>25.5</v>
      </c>
      <c r="N104" s="49">
        <f>'Avg Week Musita-Lumino'!N104+'Avg Week Lumino-Musita'!N104</f>
        <v>1</v>
      </c>
      <c r="O104" s="15">
        <f t="shared" si="35"/>
        <v>15.5</v>
      </c>
      <c r="P104" s="15">
        <f t="shared" si="36"/>
        <v>41</v>
      </c>
      <c r="R104" s="8"/>
      <c r="T104"/>
    </row>
    <row r="105" spans="2:20" ht="23.1" customHeight="1" x14ac:dyDescent="0.25">
      <c r="B105" s="23" t="s">
        <v>145</v>
      </c>
      <c r="C105" s="49">
        <f>'Avg Week Musita-Lumino'!C105+'Avg Week Lumino-Musita'!C105</f>
        <v>7</v>
      </c>
      <c r="D105" s="49">
        <f>'Avg Week Musita-Lumino'!D105+'Avg Week Lumino-Musita'!D105</f>
        <v>0</v>
      </c>
      <c r="E105" s="49">
        <f>'Avg Week Musita-Lumino'!E105+'Avg Week Lumino-Musita'!E105</f>
        <v>2</v>
      </c>
      <c r="F105" s="49">
        <f>'Avg Week Musita-Lumino'!F105+'Avg Week Lumino-Musita'!F105</f>
        <v>5.5</v>
      </c>
      <c r="G105" s="49">
        <f>'Avg Week Musita-Lumino'!G105+'Avg Week Lumino-Musita'!G105</f>
        <v>0</v>
      </c>
      <c r="H105" s="49">
        <f>'Avg Week Musita-Lumino'!H105+'Avg Week Lumino-Musita'!H105</f>
        <v>1</v>
      </c>
      <c r="I105" s="49">
        <f>'Avg Week Musita-Lumino'!I105+'Avg Week Lumino-Musita'!I105</f>
        <v>6</v>
      </c>
      <c r="J105" s="49">
        <f>'Avg Week Musita-Lumino'!J105+'Avg Week Lumino-Musita'!J105</f>
        <v>3</v>
      </c>
      <c r="K105" s="49">
        <f>'Avg Week Musita-Lumino'!K105+'Avg Week Lumino-Musita'!K105</f>
        <v>1</v>
      </c>
      <c r="L105" s="49">
        <f>'Avg Week Musita-Lumino'!L105+'Avg Week Lumino-Musita'!L105</f>
        <v>2</v>
      </c>
      <c r="M105" s="49">
        <f>'Avg Week Musita-Lumino'!M105+'Avg Week Lumino-Musita'!M105</f>
        <v>34.5</v>
      </c>
      <c r="N105" s="49">
        <f>'Avg Week Musita-Lumino'!N105+'Avg Week Lumino-Musita'!N105</f>
        <v>1</v>
      </c>
      <c r="O105" s="15">
        <f t="shared" si="35"/>
        <v>28.5</v>
      </c>
      <c r="P105" s="15">
        <f t="shared" si="36"/>
        <v>63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549.35714285714289</v>
      </c>
      <c r="D106" s="16">
        <f t="shared" ref="D106:P106" si="37">SUM(D10:D105)</f>
        <v>156.21428571428569</v>
      </c>
      <c r="E106" s="16">
        <f t="shared" si="37"/>
        <v>115.28571428571431</v>
      </c>
      <c r="F106" s="16">
        <f t="shared" si="37"/>
        <v>219.99999999999997</v>
      </c>
      <c r="G106" s="16">
        <f t="shared" si="37"/>
        <v>21.714285714285715</v>
      </c>
      <c r="H106" s="16">
        <f t="shared" si="37"/>
        <v>7.4999999999999991</v>
      </c>
      <c r="I106" s="16">
        <f t="shared" si="37"/>
        <v>258.42857142857144</v>
      </c>
      <c r="J106" s="16">
        <f t="shared" si="37"/>
        <v>305.64285714285717</v>
      </c>
      <c r="K106" s="16">
        <f t="shared" si="37"/>
        <v>91.785714285714306</v>
      </c>
      <c r="L106" s="16">
        <f t="shared" si="37"/>
        <v>94.428571428571445</v>
      </c>
      <c r="M106" s="16">
        <f t="shared" si="37"/>
        <v>4822.7142857142853</v>
      </c>
      <c r="N106" s="16">
        <f t="shared" si="37"/>
        <v>17.785714285714292</v>
      </c>
      <c r="O106" s="16">
        <f t="shared" si="37"/>
        <v>1838.1428571428571</v>
      </c>
      <c r="P106" s="16">
        <f t="shared" si="37"/>
        <v>6660.8571428571431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8.2475442885943467E-2</v>
      </c>
      <c r="D107" s="43">
        <f t="shared" si="38"/>
        <v>2.345258010552052E-2</v>
      </c>
      <c r="E107" s="43">
        <f t="shared" si="38"/>
        <v>1.7307939776090596E-2</v>
      </c>
      <c r="F107" s="43">
        <f t="shared" si="38"/>
        <v>3.3028782224509924E-2</v>
      </c>
      <c r="G107" s="43">
        <f t="shared" si="38"/>
        <v>3.2599837000814994E-3</v>
      </c>
      <c r="H107" s="43">
        <f t="shared" si="38"/>
        <v>1.1259812121992021E-3</v>
      </c>
      <c r="I107" s="43">
        <f t="shared" si="38"/>
        <v>3.8798095483206799E-2</v>
      </c>
      <c r="J107" s="43">
        <f t="shared" si="38"/>
        <v>4.5886415304765581E-2</v>
      </c>
      <c r="K107" s="43">
        <f t="shared" si="38"/>
        <v>1.3779865311199763E-2</v>
      </c>
      <c r="L107" s="43">
        <f t="shared" si="38"/>
        <v>1.4176639643117576E-2</v>
      </c>
      <c r="M107" s="43">
        <f t="shared" si="38"/>
        <v>0.72403809033586397</v>
      </c>
      <c r="N107" s="43">
        <f t="shared" si="38"/>
        <v>2.6701840175009659E-3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0.29886531437009406</v>
      </c>
      <c r="D108" s="44">
        <f t="shared" ref="D108:N108" si="39">D106/$O$106</f>
        <v>8.4984844952203306E-2</v>
      </c>
      <c r="E108" s="44">
        <f t="shared" si="39"/>
        <v>6.2718582420144567E-2</v>
      </c>
      <c r="F108" s="44">
        <f t="shared" si="39"/>
        <v>0.11968601849693011</v>
      </c>
      <c r="G108" s="44">
        <f t="shared" si="39"/>
        <v>1.1813165462034663E-2</v>
      </c>
      <c r="H108" s="44">
        <f t="shared" si="39"/>
        <v>4.0802051760317083E-3</v>
      </c>
      <c r="I108" s="44">
        <f t="shared" si="39"/>
        <v>0.14059221263697833</v>
      </c>
      <c r="J108" s="44">
        <f t="shared" si="39"/>
        <v>0.16627807569752082</v>
      </c>
      <c r="K108" s="44">
        <f t="shared" si="39"/>
        <v>4.9933939535245213E-2</v>
      </c>
      <c r="L108" s="44">
        <f t="shared" si="39"/>
        <v>5.1371726121084954E-2</v>
      </c>
      <c r="M108" s="44"/>
      <c r="N108" s="44">
        <f t="shared" si="39"/>
        <v>9.6759151317323423E-3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22.08 Musita-Lumino</vt:lpstr>
      <vt:lpstr>22.08 Lumino-Musita</vt:lpstr>
      <vt:lpstr>23.08 Musita-Lumino-24h</vt:lpstr>
      <vt:lpstr>23.08 Lumino-Musita-24h</vt:lpstr>
      <vt:lpstr>24.08 Musita-Lumino</vt:lpstr>
      <vt:lpstr>24.08 Lumino-Musita</vt:lpstr>
      <vt:lpstr>25.08 Musita-Lumino</vt:lpstr>
      <vt:lpstr>25.08 Lumino-Musita</vt:lpstr>
      <vt:lpstr>26.08 Musita-Lumino-24h</vt:lpstr>
      <vt:lpstr>26.08 Lumino-Musita-24h</vt:lpstr>
      <vt:lpstr>27.08 Musita-Lumino</vt:lpstr>
      <vt:lpstr>27.08 Lumino-Musita</vt:lpstr>
      <vt:lpstr>28.08Musita-Lumino</vt:lpstr>
      <vt:lpstr>28.08 Lumino-Musita</vt:lpstr>
      <vt:lpstr>Avg Week Musita-Lumino</vt:lpstr>
      <vt:lpstr>Avg Week Lumino-Musita</vt:lpstr>
      <vt:lpstr>Avg Week Lumino-Musita-2Dir</vt:lpstr>
      <vt:lpstr>'22.08 Lumino-Musita'!Print_Area</vt:lpstr>
      <vt:lpstr>'22.08 Musita-Lumino'!Print_Area</vt:lpstr>
      <vt:lpstr>'23.08 Lumino-Musita-24h'!Print_Area</vt:lpstr>
      <vt:lpstr>'23.08 Musita-Lumino-24h'!Print_Area</vt:lpstr>
      <vt:lpstr>'24.08 Lumino-Musita'!Print_Area</vt:lpstr>
      <vt:lpstr>'24.08 Musita-Lumino'!Print_Area</vt:lpstr>
      <vt:lpstr>'25.08 Lumino-Musita'!Print_Area</vt:lpstr>
      <vt:lpstr>'25.08 Musita-Lumino'!Print_Area</vt:lpstr>
      <vt:lpstr>'26.08 Lumino-Musita-24h'!Print_Area</vt:lpstr>
      <vt:lpstr>'26.08 Musita-Lumino-24h'!Print_Area</vt:lpstr>
      <vt:lpstr>'27.08 Lumino-Musita'!Print_Area</vt:lpstr>
      <vt:lpstr>'27.08 Musita-Lumino'!Print_Area</vt:lpstr>
      <vt:lpstr>'28.08 Lumino-Musita'!Print_Area</vt:lpstr>
      <vt:lpstr>'28.08Musita-Lumino'!Print_Area</vt:lpstr>
      <vt:lpstr>'Avg Week Lumino-Musita'!Print_Area</vt:lpstr>
      <vt:lpstr>'Avg Week Lumino-Musita-2Dir'!Print_Area</vt:lpstr>
      <vt:lpstr>'Avg Week Musita-Lumino'!Print_Area</vt:lpstr>
      <vt:lpstr>'22.08 Lumino-Musita'!Print_Titles</vt:lpstr>
      <vt:lpstr>'22.08 Musita-Lumino'!Print_Titles</vt:lpstr>
      <vt:lpstr>'23.08 Lumino-Musita-24h'!Print_Titles</vt:lpstr>
      <vt:lpstr>'23.08 Musita-Lumino-24h'!Print_Titles</vt:lpstr>
      <vt:lpstr>'24.08 Lumino-Musita'!Print_Titles</vt:lpstr>
      <vt:lpstr>'24.08 Musita-Lumino'!Print_Titles</vt:lpstr>
      <vt:lpstr>'25.08 Lumino-Musita'!Print_Titles</vt:lpstr>
      <vt:lpstr>'25.08 Musita-Lumino'!Print_Titles</vt:lpstr>
      <vt:lpstr>'26.08 Lumino-Musita-24h'!Print_Titles</vt:lpstr>
      <vt:lpstr>'26.08 Musita-Lumino-24h'!Print_Titles</vt:lpstr>
      <vt:lpstr>'27.08 Lumino-Musita'!Print_Titles</vt:lpstr>
      <vt:lpstr>'27.08 Musita-Lumino'!Print_Titles</vt:lpstr>
      <vt:lpstr>'28.08 Lumino-Musita'!Print_Titles</vt:lpstr>
      <vt:lpstr>'28.08Musita-Lumino'!Print_Titles</vt:lpstr>
      <vt:lpstr>'Avg Week Lumino-Musita'!Print_Titles</vt:lpstr>
      <vt:lpstr>'Avg Week Lumino-Musita-2Dir'!Print_Titles</vt:lpstr>
      <vt:lpstr>'Avg Week Musita-Lumino'!Print_Titles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2020-04-06T17:12:20Z</dcterms:modified>
</cp:coreProperties>
</file>