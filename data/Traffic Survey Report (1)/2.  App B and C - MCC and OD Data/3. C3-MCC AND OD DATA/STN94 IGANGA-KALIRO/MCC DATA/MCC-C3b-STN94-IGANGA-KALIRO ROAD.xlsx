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emf" ContentType="image/x-emf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3.xml" ContentType="application/vnd.openxmlformats-officedocument.drawing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drawings/drawing4.xml" ContentType="application/vnd.openxmlformats-officedocument.drawing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drawings/drawing5.xml" ContentType="application/vnd.openxmlformats-officedocument.drawing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6.xml" ContentType="application/vnd.openxmlformats-officedocument.drawing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drawings/drawing7.xml" ContentType="application/vnd.openxmlformats-officedocument.drawing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drawings/drawing8.xml" ContentType="application/vnd.openxmlformats-officedocument.drawing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drawings/drawing9.xml" ContentType="application/vnd.openxmlformats-officedocument.drawing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drawings/drawing10.xml" ContentType="application/vnd.openxmlformats-officedocument.drawing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drawings/drawing11.xml" ContentType="application/vnd.openxmlformats-officedocument.drawing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drawings/drawing12.xml" ContentType="application/vnd.openxmlformats-officedocument.drawing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drawings/drawing13.xml" ContentType="application/vnd.openxmlformats-officedocument.drawing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drawings/drawing14.xml" ContentType="application/vnd.openxmlformats-officedocument.drawing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drawings/drawing15.xml" ContentType="application/vnd.openxmlformats-officedocument.drawing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drawings/drawing16.xml" ContentType="application/vnd.openxmlformats-officedocument.drawing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drawings/drawing17.xml" ContentType="application/vnd.openxmlformats-officedocument.drawing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6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7" lowestEdited="7" rupBuild="167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\Desktop\C-3 Analysis   Complete-Steve\STN94 IGANGA-KALIRO\MCC DATA\"/>
    </mc:Choice>
  </mc:AlternateContent>
  <bookViews>
    <workbookView xWindow="-120" yWindow="-120" windowWidth="20730" windowHeight="11160" tabRatio="907" firstSheet="13" activeTab="14"/>
  </bookViews>
  <sheets>
    <sheet name="22.08 Iganga-Kaliro" sheetId="93" r:id="rId1"/>
    <sheet name="22.08 Kaliro-Iganga" sheetId="94" r:id="rId2"/>
    <sheet name="23.08 Iganga-Kaliro" sheetId="95" r:id="rId3"/>
    <sheet name="23.08 Kaliro-Iganga" sheetId="96" r:id="rId4"/>
    <sheet name="24.08 Iganga-Kaliro-24h" sheetId="101" r:id="rId5"/>
    <sheet name="24.08 Kaliro-Iganga-24h" sheetId="109" r:id="rId6"/>
    <sheet name="25.08 Iganga-Kaliro" sheetId="97" r:id="rId7"/>
    <sheet name="25.08 Kaliro-Iganga" sheetId="98" r:id="rId8"/>
    <sheet name="26.08 Iganga-Kaliro-24h" sheetId="105" r:id="rId9"/>
    <sheet name="26.08 Kaliro-Iganga-24h" sheetId="110" r:id="rId10"/>
    <sheet name="27.08 Iganga-Kaliro" sheetId="99" r:id="rId11"/>
    <sheet name="27.08 Kaliro-Iganga" sheetId="100" r:id="rId12"/>
    <sheet name="28.08 Iganga-Kaliro" sheetId="103" r:id="rId13"/>
    <sheet name="28.08 Kaliro-Iganga" sheetId="104" r:id="rId14"/>
    <sheet name="Avg WeeK Iganga-Kaliro" sheetId="107" r:id="rId15"/>
    <sheet name="Avg Week Kaliro-Iganga" sheetId="108" r:id="rId16"/>
    <sheet name="Avg Week Iganga-Kaliro-2Dir" sheetId="111" r:id="rId17"/>
  </sheets>
  <definedNames>
    <definedName name="_xlnm.Print_Area" localSheetId="0">'22.08 Iganga-Kaliro'!$A$1:$AF$60</definedName>
    <definedName name="_xlnm.Print_Area" localSheetId="1">'22.08 Kaliro-Iganga'!$A$1:$AF$60</definedName>
    <definedName name="_xlnm.Print_Area" localSheetId="2">'23.08 Iganga-Kaliro'!$A$1:$AF$60</definedName>
    <definedName name="_xlnm.Print_Area" localSheetId="3">'23.08 Kaliro-Iganga'!$A$1:$AF$60</definedName>
    <definedName name="_xlnm.Print_Area" localSheetId="4">'24.08 Iganga-Kaliro-24h'!$A$1:$AF$108</definedName>
    <definedName name="_xlnm.Print_Area" localSheetId="5">'24.08 Kaliro-Iganga-24h'!$A$1:$AF$108</definedName>
    <definedName name="_xlnm.Print_Area" localSheetId="6">'25.08 Iganga-Kaliro'!$A$1:$AF$60</definedName>
    <definedName name="_xlnm.Print_Area" localSheetId="7">'25.08 Kaliro-Iganga'!$A$1:$AF$60</definedName>
    <definedName name="_xlnm.Print_Area" localSheetId="8">'26.08 Iganga-Kaliro-24h'!$A$1:$AF$108</definedName>
    <definedName name="_xlnm.Print_Area" localSheetId="9">'26.08 Kaliro-Iganga-24h'!$A$1:$AF$108</definedName>
    <definedName name="_xlnm.Print_Area" localSheetId="10">'27.08 Iganga-Kaliro'!$A$1:$AF$60</definedName>
    <definedName name="_xlnm.Print_Area" localSheetId="11">'27.08 Kaliro-Iganga'!$A$1:$AF$60</definedName>
    <definedName name="_xlnm.Print_Area" localSheetId="12">'28.08 Iganga-Kaliro'!$A$1:$AF$60</definedName>
    <definedName name="_xlnm.Print_Area" localSheetId="13">'28.08 Kaliro-Iganga'!$A$1:$AF$60</definedName>
    <definedName name="_xlnm.Print_Area" localSheetId="14">'Avg WeeK Iganga-Kaliro'!$A$1:$AF$108</definedName>
    <definedName name="_xlnm.Print_Area" localSheetId="16">'Avg Week Iganga-Kaliro-2Dir'!$A$1:$AF$108</definedName>
    <definedName name="_xlnm.Print_Area" localSheetId="15">'Avg Week Kaliro-Iganga'!$A$1:$AF$108</definedName>
    <definedName name="_xlnm.Print_Titles" localSheetId="0">'22.08 Iganga-Kaliro'!$1:$8</definedName>
    <definedName name="_xlnm.Print_Titles" localSheetId="1">'22.08 Kaliro-Iganga'!$1:$8</definedName>
    <definedName name="_xlnm.Print_Titles" localSheetId="2">'23.08 Iganga-Kaliro'!$1:$8</definedName>
    <definedName name="_xlnm.Print_Titles" localSheetId="3">'23.08 Kaliro-Iganga'!$1:$8</definedName>
    <definedName name="_xlnm.Print_Titles" localSheetId="4">'24.08 Iganga-Kaliro-24h'!$1:$8</definedName>
    <definedName name="_xlnm.Print_Titles" localSheetId="5">'24.08 Kaliro-Iganga-24h'!$1:$8</definedName>
    <definedName name="_xlnm.Print_Titles" localSheetId="6">'25.08 Iganga-Kaliro'!$1:$8</definedName>
    <definedName name="_xlnm.Print_Titles" localSheetId="7">'25.08 Kaliro-Iganga'!$1:$8</definedName>
    <definedName name="_xlnm.Print_Titles" localSheetId="8">'26.08 Iganga-Kaliro-24h'!$1:$8</definedName>
    <definedName name="_xlnm.Print_Titles" localSheetId="9">'26.08 Kaliro-Iganga-24h'!$1:$8</definedName>
    <definedName name="_xlnm.Print_Titles" localSheetId="10">'27.08 Iganga-Kaliro'!$1:$8</definedName>
    <definedName name="_xlnm.Print_Titles" localSheetId="11">'27.08 Kaliro-Iganga'!$1:$8</definedName>
    <definedName name="_xlnm.Print_Titles" localSheetId="12">'28.08 Iganga-Kaliro'!$1:$8</definedName>
    <definedName name="_xlnm.Print_Titles" localSheetId="13">'28.08 Kaliro-Iganga'!$1:$8</definedName>
    <definedName name="_xlnm.Print_Titles" localSheetId="14">'Avg WeeK Iganga-Kaliro'!$1:$8</definedName>
    <definedName name="_xlnm.Print_Titles" localSheetId="16">'Avg Week Iganga-Kaliro-2Dir'!$1:$8</definedName>
    <definedName name="_xlnm.Print_Titles" localSheetId="15">'Avg Week Kaliro-Iganga'!$1:$8</definedName>
  </definedNames>
  <calcPr calcId="162913"/>
  <extLst>
    <ext xmlns:xcalcf="http://schemas.microsoft.com/office/spreadsheetml/2018/calcfeatures" uri="{B58B0392-4F1F-4190-BB64-5DF3571DCE5F}">
      <xcalcf:calcFeatures>
        <xcalcf:feature name="microsoft.com:RD"/>
      </xcalcf:calcFeatures>
    </ext>
  </extLst>
</workbook>
</file>

<file path=xl/calcChain.xml><?xml version="1.0" encoding="utf-8"?>
<calcChain xmlns="http://schemas.openxmlformats.org/spreadsheetml/2006/main">
  <c r="AA39" i="107" l="1"/>
  <c r="W39" i="107"/>
  <c r="S39" i="107"/>
  <c r="AC38" i="107"/>
  <c r="Y38" i="107"/>
  <c r="U38" i="107"/>
  <c r="AE37" i="107"/>
  <c r="AA37" i="107"/>
  <c r="W37" i="107"/>
  <c r="S37" i="107"/>
  <c r="AC36" i="107"/>
  <c r="Y36" i="107"/>
  <c r="U36" i="107"/>
  <c r="AE35" i="107"/>
  <c r="AA35" i="107"/>
  <c r="W35" i="107"/>
  <c r="S35" i="107"/>
  <c r="AC34" i="107"/>
  <c r="Y34" i="107"/>
  <c r="U34" i="107"/>
  <c r="AF33" i="107"/>
  <c r="AE33" i="107"/>
  <c r="AD33" i="107"/>
  <c r="AC33" i="107"/>
  <c r="AB33" i="107"/>
  <c r="AA33" i="107"/>
  <c r="Z33" i="107"/>
  <c r="Y33" i="107"/>
  <c r="X33" i="107"/>
  <c r="W33" i="107"/>
  <c r="V33" i="107"/>
  <c r="U33" i="107"/>
  <c r="T33" i="107"/>
  <c r="S33" i="107"/>
  <c r="AF32" i="107"/>
  <c r="AE32" i="107"/>
  <c r="AD32" i="107"/>
  <c r="AC32" i="107"/>
  <c r="AB32" i="107"/>
  <c r="AA32" i="107"/>
  <c r="Z32" i="107"/>
  <c r="Y32" i="107"/>
  <c r="X32" i="107"/>
  <c r="W32" i="107"/>
  <c r="V32" i="107"/>
  <c r="U32" i="107"/>
  <c r="T32" i="107"/>
  <c r="S32" i="107"/>
  <c r="AF31" i="107"/>
  <c r="AE31" i="107"/>
  <c r="AD31" i="107"/>
  <c r="AC31" i="107"/>
  <c r="AB31" i="107"/>
  <c r="AA31" i="107"/>
  <c r="Z31" i="107"/>
  <c r="Y31" i="107"/>
  <c r="X31" i="107"/>
  <c r="W31" i="107"/>
  <c r="V31" i="107"/>
  <c r="U31" i="107"/>
  <c r="T31" i="107"/>
  <c r="S31" i="107"/>
  <c r="AF30" i="107"/>
  <c r="AE30" i="107"/>
  <c r="AD30" i="107"/>
  <c r="AC30" i="107"/>
  <c r="AB30" i="107"/>
  <c r="AA30" i="107"/>
  <c r="Z30" i="107"/>
  <c r="Y30" i="107"/>
  <c r="X30" i="107"/>
  <c r="W30" i="107"/>
  <c r="V30" i="107"/>
  <c r="U30" i="107"/>
  <c r="T30" i="107"/>
  <c r="S30" i="107"/>
  <c r="AF29" i="107"/>
  <c r="AE29" i="107"/>
  <c r="AD29" i="107"/>
  <c r="AC29" i="107"/>
  <c r="AB29" i="107"/>
  <c r="AA29" i="107"/>
  <c r="Z29" i="107"/>
  <c r="Y29" i="107"/>
  <c r="X29" i="107"/>
  <c r="W29" i="107"/>
  <c r="V29" i="107"/>
  <c r="U29" i="107"/>
  <c r="T29" i="107"/>
  <c r="S29" i="107"/>
  <c r="AF28" i="107"/>
  <c r="AE28" i="107"/>
  <c r="AD28" i="107"/>
  <c r="AC28" i="107"/>
  <c r="AB28" i="107"/>
  <c r="AA28" i="107"/>
  <c r="Z28" i="107"/>
  <c r="Y28" i="107"/>
  <c r="X28" i="107"/>
  <c r="W28" i="107"/>
  <c r="V28" i="107"/>
  <c r="U28" i="107"/>
  <c r="T28" i="107"/>
  <c r="S28" i="107"/>
  <c r="AF27" i="107"/>
  <c r="AE27" i="107"/>
  <c r="AD27" i="107"/>
  <c r="AC27" i="107"/>
  <c r="AB27" i="107"/>
  <c r="AA27" i="107"/>
  <c r="Z27" i="107"/>
  <c r="Y27" i="107"/>
  <c r="X27" i="107"/>
  <c r="W27" i="107"/>
  <c r="V27" i="107"/>
  <c r="U27" i="107"/>
  <c r="T27" i="107"/>
  <c r="S27" i="107"/>
  <c r="AF26" i="107"/>
  <c r="AE26" i="107"/>
  <c r="AD26" i="107"/>
  <c r="AC26" i="107"/>
  <c r="AB26" i="107"/>
  <c r="AA26" i="107"/>
  <c r="Z26" i="107"/>
  <c r="Y26" i="107"/>
  <c r="X26" i="107"/>
  <c r="W26" i="107"/>
  <c r="V26" i="107"/>
  <c r="U26" i="107"/>
  <c r="T26" i="107"/>
  <c r="S26" i="107"/>
  <c r="AF25" i="107"/>
  <c r="AE25" i="107"/>
  <c r="AD25" i="107"/>
  <c r="AC25" i="107"/>
  <c r="AB25" i="107"/>
  <c r="AA25" i="107"/>
  <c r="Z25" i="107"/>
  <c r="Y25" i="107"/>
  <c r="X25" i="107"/>
  <c r="W25" i="107"/>
  <c r="V25" i="107"/>
  <c r="U25" i="107"/>
  <c r="T25" i="107"/>
  <c r="S25" i="107"/>
  <c r="AF24" i="107"/>
  <c r="AE24" i="107"/>
  <c r="AD24" i="107"/>
  <c r="AC24" i="107"/>
  <c r="AB24" i="107"/>
  <c r="AA24" i="107"/>
  <c r="Z24" i="107"/>
  <c r="Y24" i="107"/>
  <c r="X24" i="107"/>
  <c r="W24" i="107"/>
  <c r="V24" i="107"/>
  <c r="U24" i="107"/>
  <c r="T24" i="107"/>
  <c r="S24" i="107"/>
  <c r="AF23" i="107"/>
  <c r="AE23" i="107"/>
  <c r="AD23" i="107"/>
  <c r="AC23" i="107"/>
  <c r="AB23" i="107"/>
  <c r="AA23" i="107"/>
  <c r="Z23" i="107"/>
  <c r="Y23" i="107"/>
  <c r="X23" i="107"/>
  <c r="W23" i="107"/>
  <c r="V23" i="107"/>
  <c r="U23" i="107"/>
  <c r="T23" i="107"/>
  <c r="S23" i="107"/>
  <c r="AF22" i="107"/>
  <c r="AE22" i="107"/>
  <c r="AD22" i="107"/>
  <c r="AC22" i="107"/>
  <c r="AB22" i="107"/>
  <c r="AA22" i="107"/>
  <c r="Z22" i="107"/>
  <c r="Y22" i="107"/>
  <c r="X22" i="107"/>
  <c r="W22" i="107"/>
  <c r="V22" i="107"/>
  <c r="U22" i="107"/>
  <c r="T22" i="107"/>
  <c r="S22" i="107"/>
  <c r="AF21" i="107"/>
  <c r="AE21" i="107"/>
  <c r="AD21" i="107"/>
  <c r="AC21" i="107"/>
  <c r="AB21" i="107"/>
  <c r="AA21" i="107"/>
  <c r="Z21" i="107"/>
  <c r="Y21" i="107"/>
  <c r="X21" i="107"/>
  <c r="W21" i="107"/>
  <c r="V21" i="107"/>
  <c r="U21" i="107"/>
  <c r="T21" i="107"/>
  <c r="S21" i="107"/>
  <c r="AF20" i="107"/>
  <c r="AE20" i="107"/>
  <c r="AD20" i="107"/>
  <c r="AC20" i="107"/>
  <c r="AB20" i="107"/>
  <c r="AA20" i="107"/>
  <c r="Z20" i="107"/>
  <c r="Y20" i="107"/>
  <c r="X20" i="107"/>
  <c r="W20" i="107"/>
  <c r="V20" i="107"/>
  <c r="U20" i="107"/>
  <c r="T20" i="107"/>
  <c r="S20" i="107"/>
  <c r="AF19" i="107"/>
  <c r="AF39" i="107" s="1"/>
  <c r="AE19" i="107"/>
  <c r="AE39" i="107" s="1"/>
  <c r="AD19" i="107"/>
  <c r="AD39" i="107" s="1"/>
  <c r="AC19" i="107"/>
  <c r="AC39" i="107" s="1"/>
  <c r="AB19" i="107"/>
  <c r="AB39" i="107" s="1"/>
  <c r="AA19" i="107"/>
  <c r="AA36" i="107" s="1"/>
  <c r="Z19" i="107"/>
  <c r="Z39" i="107" s="1"/>
  <c r="Y19" i="107"/>
  <c r="Y39" i="107" s="1"/>
  <c r="X19" i="107"/>
  <c r="X39" i="107" s="1"/>
  <c r="W19" i="107"/>
  <c r="W36" i="107" s="1"/>
  <c r="V19" i="107"/>
  <c r="V39" i="107" s="1"/>
  <c r="U19" i="107"/>
  <c r="U39" i="107" s="1"/>
  <c r="T19" i="107"/>
  <c r="T39" i="107" s="1"/>
  <c r="S19" i="107"/>
  <c r="S36" i="107" s="1"/>
  <c r="AF18" i="107"/>
  <c r="AE18" i="107"/>
  <c r="AD18" i="107"/>
  <c r="AC18" i="107"/>
  <c r="AB18" i="107"/>
  <c r="AA18" i="107"/>
  <c r="Z18" i="107"/>
  <c r="Y18" i="107"/>
  <c r="X18" i="107"/>
  <c r="W18" i="107"/>
  <c r="V18" i="107"/>
  <c r="U18" i="107"/>
  <c r="T18" i="107"/>
  <c r="S18" i="107"/>
  <c r="AF17" i="107"/>
  <c r="AE17" i="107"/>
  <c r="AD17" i="107"/>
  <c r="AC17" i="107"/>
  <c r="AB17" i="107"/>
  <c r="AA17" i="107"/>
  <c r="Z17" i="107"/>
  <c r="Y17" i="107"/>
  <c r="X17" i="107"/>
  <c r="W17" i="107"/>
  <c r="V17" i="107"/>
  <c r="U17" i="107"/>
  <c r="T17" i="107"/>
  <c r="S17" i="107"/>
  <c r="AF16" i="107"/>
  <c r="AE16" i="107"/>
  <c r="AD16" i="107"/>
  <c r="AC16" i="107"/>
  <c r="AB16" i="107"/>
  <c r="AA16" i="107"/>
  <c r="Z16" i="107"/>
  <c r="Y16" i="107"/>
  <c r="X16" i="107"/>
  <c r="W16" i="107"/>
  <c r="V16" i="107"/>
  <c r="U16" i="107"/>
  <c r="T16" i="107"/>
  <c r="S16" i="107"/>
  <c r="AF15" i="107"/>
  <c r="AE15" i="107"/>
  <c r="AD15" i="107"/>
  <c r="AC15" i="107"/>
  <c r="AB15" i="107"/>
  <c r="AA15" i="107"/>
  <c r="Z15" i="107"/>
  <c r="Y15" i="107"/>
  <c r="X15" i="107"/>
  <c r="W15" i="107"/>
  <c r="V15" i="107"/>
  <c r="U15" i="107"/>
  <c r="T15" i="107"/>
  <c r="S15" i="107"/>
  <c r="AF14" i="107"/>
  <c r="AE14" i="107"/>
  <c r="AD14" i="107"/>
  <c r="AC14" i="107"/>
  <c r="AB14" i="107"/>
  <c r="AA14" i="107"/>
  <c r="Z14" i="107"/>
  <c r="Y14" i="107"/>
  <c r="X14" i="107"/>
  <c r="W14" i="107"/>
  <c r="V14" i="107"/>
  <c r="U14" i="107"/>
  <c r="T14" i="107"/>
  <c r="S14" i="107"/>
  <c r="AF13" i="107"/>
  <c r="AF38" i="107" s="1"/>
  <c r="AE13" i="107"/>
  <c r="AE38" i="107" s="1"/>
  <c r="AD13" i="107"/>
  <c r="AD38" i="107" s="1"/>
  <c r="AC13" i="107"/>
  <c r="AC35" i="107" s="1"/>
  <c r="AB13" i="107"/>
  <c r="AB38" i="107" s="1"/>
  <c r="AA13" i="107"/>
  <c r="AA38" i="107" s="1"/>
  <c r="Z13" i="107"/>
  <c r="Z38" i="107" s="1"/>
  <c r="Y13" i="107"/>
  <c r="Y35" i="107" s="1"/>
  <c r="X13" i="107"/>
  <c r="X38" i="107" s="1"/>
  <c r="W13" i="107"/>
  <c r="W38" i="107" s="1"/>
  <c r="V13" i="107"/>
  <c r="V38" i="107" s="1"/>
  <c r="U13" i="107"/>
  <c r="U35" i="107" s="1"/>
  <c r="T13" i="107"/>
  <c r="T38" i="107" s="1"/>
  <c r="S13" i="107"/>
  <c r="S38" i="107" s="1"/>
  <c r="AF12" i="107"/>
  <c r="AE12" i="107"/>
  <c r="AD12" i="107"/>
  <c r="AC12" i="107"/>
  <c r="AB12" i="107"/>
  <c r="AA12" i="107"/>
  <c r="Z12" i="107"/>
  <c r="Y12" i="107"/>
  <c r="X12" i="107"/>
  <c r="W12" i="107"/>
  <c r="V12" i="107"/>
  <c r="U12" i="107"/>
  <c r="T12" i="107"/>
  <c r="S12" i="107"/>
  <c r="AF11" i="107"/>
  <c r="AE11" i="107"/>
  <c r="AD11" i="107"/>
  <c r="AC11" i="107"/>
  <c r="AB11" i="107"/>
  <c r="AA11" i="107"/>
  <c r="Z11" i="107"/>
  <c r="Y11" i="107"/>
  <c r="X11" i="107"/>
  <c r="W11" i="107"/>
  <c r="V11" i="107"/>
  <c r="U11" i="107"/>
  <c r="T11" i="107"/>
  <c r="S11" i="107"/>
  <c r="AF10" i="107"/>
  <c r="AF41" i="107" s="1"/>
  <c r="AE10" i="107"/>
  <c r="AD10" i="107"/>
  <c r="AD41" i="107" s="1"/>
  <c r="AC10" i="107"/>
  <c r="AB10" i="107"/>
  <c r="AB41" i="107" s="1"/>
  <c r="AA10" i="107"/>
  <c r="Z10" i="107"/>
  <c r="Z41" i="107" s="1"/>
  <c r="Y10" i="107"/>
  <c r="X10" i="107"/>
  <c r="X41" i="107" s="1"/>
  <c r="W10" i="107"/>
  <c r="V10" i="107"/>
  <c r="V41" i="107" s="1"/>
  <c r="U10" i="107"/>
  <c r="T10" i="107"/>
  <c r="T41" i="107" s="1"/>
  <c r="S10" i="107"/>
  <c r="V42" i="107" l="1"/>
  <c r="Z42" i="107"/>
  <c r="AD42" i="107"/>
  <c r="S41" i="107"/>
  <c r="S42" i="107" s="1"/>
  <c r="S40" i="107"/>
  <c r="U41" i="107"/>
  <c r="U42" i="107" s="1"/>
  <c r="U40" i="107"/>
  <c r="W41" i="107"/>
  <c r="W42" i="107" s="1"/>
  <c r="W40" i="107"/>
  <c r="Y41" i="107"/>
  <c r="Y42" i="107" s="1"/>
  <c r="Y40" i="107"/>
  <c r="AA41" i="107"/>
  <c r="AA42" i="107" s="1"/>
  <c r="AA40" i="107"/>
  <c r="AC41" i="107"/>
  <c r="AC42" i="107" s="1"/>
  <c r="AC40" i="107"/>
  <c r="AE41" i="107"/>
  <c r="AE42" i="107" s="1"/>
  <c r="AE40" i="107"/>
  <c r="S34" i="107"/>
  <c r="W34" i="107"/>
  <c r="AA34" i="107"/>
  <c r="AE34" i="107"/>
  <c r="AE36" i="107"/>
  <c r="U37" i="107"/>
  <c r="Y37" i="107"/>
  <c r="AC37" i="107"/>
  <c r="T34" i="107"/>
  <c r="V34" i="107"/>
  <c r="X34" i="107"/>
  <c r="Z34" i="107"/>
  <c r="AB34" i="107"/>
  <c r="AD34" i="107"/>
  <c r="AF34" i="107"/>
  <c r="T35" i="107"/>
  <c r="V35" i="107"/>
  <c r="X35" i="107"/>
  <c r="Z35" i="107"/>
  <c r="AB35" i="107"/>
  <c r="AD35" i="107"/>
  <c r="AF35" i="107"/>
  <c r="T36" i="107"/>
  <c r="V36" i="107"/>
  <c r="X36" i="107"/>
  <c r="Z36" i="107"/>
  <c r="AB36" i="107"/>
  <c r="AD36" i="107"/>
  <c r="AF36" i="107"/>
  <c r="T37" i="107"/>
  <c r="V37" i="107"/>
  <c r="X37" i="107"/>
  <c r="Z37" i="107"/>
  <c r="AB37" i="107"/>
  <c r="AD37" i="107"/>
  <c r="AF37" i="107"/>
  <c r="T40" i="107"/>
  <c r="T42" i="107" s="1"/>
  <c r="V40" i="107"/>
  <c r="X40" i="107"/>
  <c r="X42" i="107" s="1"/>
  <c r="Z40" i="107"/>
  <c r="AB40" i="107"/>
  <c r="AB42" i="107" s="1"/>
  <c r="AD40" i="107"/>
  <c r="AF40" i="107"/>
  <c r="AF42" i="107" s="1"/>
  <c r="AF33" i="108"/>
  <c r="AE33" i="108"/>
  <c r="AD33" i="108"/>
  <c r="AC33" i="108"/>
  <c r="AB33" i="108"/>
  <c r="AA33" i="108"/>
  <c r="Z33" i="108"/>
  <c r="Y33" i="108"/>
  <c r="X33" i="108"/>
  <c r="W33" i="108"/>
  <c r="V33" i="108"/>
  <c r="U33" i="108"/>
  <c r="T33" i="108"/>
  <c r="S33" i="108"/>
  <c r="AF32" i="108"/>
  <c r="AE32" i="108"/>
  <c r="AD32" i="108"/>
  <c r="AC32" i="108"/>
  <c r="AB32" i="108"/>
  <c r="AA32" i="108"/>
  <c r="Z32" i="108"/>
  <c r="Y32" i="108"/>
  <c r="X32" i="108"/>
  <c r="W32" i="108"/>
  <c r="V32" i="108"/>
  <c r="U32" i="108"/>
  <c r="T32" i="108"/>
  <c r="S32" i="108"/>
  <c r="AF31" i="108"/>
  <c r="AE31" i="108"/>
  <c r="AD31" i="108"/>
  <c r="AC31" i="108"/>
  <c r="AB31" i="108"/>
  <c r="AA31" i="108"/>
  <c r="Z31" i="108"/>
  <c r="Y31" i="108"/>
  <c r="X31" i="108"/>
  <c r="W31" i="108"/>
  <c r="V31" i="108"/>
  <c r="U31" i="108"/>
  <c r="T31" i="108"/>
  <c r="S31" i="108"/>
  <c r="AF30" i="108"/>
  <c r="AE30" i="108"/>
  <c r="AD30" i="108"/>
  <c r="AC30" i="108"/>
  <c r="AB30" i="108"/>
  <c r="AA30" i="108"/>
  <c r="Z30" i="108"/>
  <c r="Y30" i="108"/>
  <c r="X30" i="108"/>
  <c r="W30" i="108"/>
  <c r="V30" i="108"/>
  <c r="U30" i="108"/>
  <c r="T30" i="108"/>
  <c r="S30" i="108"/>
  <c r="AF29" i="108"/>
  <c r="AE29" i="108"/>
  <c r="AD29" i="108"/>
  <c r="AC29" i="108"/>
  <c r="AB29" i="108"/>
  <c r="AA29" i="108"/>
  <c r="Z29" i="108"/>
  <c r="Y29" i="108"/>
  <c r="X29" i="108"/>
  <c r="W29" i="108"/>
  <c r="V29" i="108"/>
  <c r="U29" i="108"/>
  <c r="T29" i="108"/>
  <c r="S29" i="108"/>
  <c r="AF28" i="108"/>
  <c r="AE28" i="108"/>
  <c r="AD28" i="108"/>
  <c r="AC28" i="108"/>
  <c r="AB28" i="108"/>
  <c r="AA28" i="108"/>
  <c r="Z28" i="108"/>
  <c r="Y28" i="108"/>
  <c r="X28" i="108"/>
  <c r="W28" i="108"/>
  <c r="V28" i="108"/>
  <c r="U28" i="108"/>
  <c r="T28" i="108"/>
  <c r="S28" i="108"/>
  <c r="AF27" i="108"/>
  <c r="AE27" i="108"/>
  <c r="AD27" i="108"/>
  <c r="AC27" i="108"/>
  <c r="AB27" i="108"/>
  <c r="AA27" i="108"/>
  <c r="Z27" i="108"/>
  <c r="Y27" i="108"/>
  <c r="X27" i="108"/>
  <c r="W27" i="108"/>
  <c r="V27" i="108"/>
  <c r="U27" i="108"/>
  <c r="T27" i="108"/>
  <c r="S27" i="108"/>
  <c r="AF26" i="108"/>
  <c r="AE26" i="108"/>
  <c r="AD26" i="108"/>
  <c r="AC26" i="108"/>
  <c r="AB26" i="108"/>
  <c r="AA26" i="108"/>
  <c r="Z26" i="108"/>
  <c r="Y26" i="108"/>
  <c r="X26" i="108"/>
  <c r="W26" i="108"/>
  <c r="V26" i="108"/>
  <c r="U26" i="108"/>
  <c r="T26" i="108"/>
  <c r="S26" i="108"/>
  <c r="AF25" i="108"/>
  <c r="AE25" i="108"/>
  <c r="AD25" i="108"/>
  <c r="AC25" i="108"/>
  <c r="AB25" i="108"/>
  <c r="AA25" i="108"/>
  <c r="Z25" i="108"/>
  <c r="Y25" i="108"/>
  <c r="X25" i="108"/>
  <c r="W25" i="108"/>
  <c r="V25" i="108"/>
  <c r="U25" i="108"/>
  <c r="T25" i="108"/>
  <c r="S25" i="108"/>
  <c r="AF24" i="108"/>
  <c r="AE24" i="108"/>
  <c r="AD24" i="108"/>
  <c r="AC24" i="108"/>
  <c r="AB24" i="108"/>
  <c r="AA24" i="108"/>
  <c r="Z24" i="108"/>
  <c r="Y24" i="108"/>
  <c r="X24" i="108"/>
  <c r="W24" i="108"/>
  <c r="V24" i="108"/>
  <c r="U24" i="108"/>
  <c r="T24" i="108"/>
  <c r="S24" i="108"/>
  <c r="AF23" i="108"/>
  <c r="AE23" i="108"/>
  <c r="AD23" i="108"/>
  <c r="AC23" i="108"/>
  <c r="AB23" i="108"/>
  <c r="AA23" i="108"/>
  <c r="Z23" i="108"/>
  <c r="Y23" i="108"/>
  <c r="X23" i="108"/>
  <c r="W23" i="108"/>
  <c r="V23" i="108"/>
  <c r="U23" i="108"/>
  <c r="T23" i="108"/>
  <c r="S23" i="108"/>
  <c r="AF22" i="108"/>
  <c r="AE22" i="108"/>
  <c r="AD22" i="108"/>
  <c r="AC22" i="108"/>
  <c r="AB22" i="108"/>
  <c r="AA22" i="108"/>
  <c r="Z22" i="108"/>
  <c r="Y22" i="108"/>
  <c r="X22" i="108"/>
  <c r="W22" i="108"/>
  <c r="V22" i="108"/>
  <c r="U22" i="108"/>
  <c r="T22" i="108"/>
  <c r="S22" i="108"/>
  <c r="AF21" i="108"/>
  <c r="AE21" i="108"/>
  <c r="AD21" i="108"/>
  <c r="AC21" i="108"/>
  <c r="AB21" i="108"/>
  <c r="AA21" i="108"/>
  <c r="Z21" i="108"/>
  <c r="Y21" i="108"/>
  <c r="X21" i="108"/>
  <c r="W21" i="108"/>
  <c r="V21" i="108"/>
  <c r="U21" i="108"/>
  <c r="T21" i="108"/>
  <c r="S21" i="108"/>
  <c r="AF20" i="108"/>
  <c r="AE20" i="108"/>
  <c r="AD20" i="108"/>
  <c r="AC20" i="108"/>
  <c r="AB20" i="108"/>
  <c r="AA20" i="108"/>
  <c r="Z20" i="108"/>
  <c r="Y20" i="108"/>
  <c r="X20" i="108"/>
  <c r="W20" i="108"/>
  <c r="V20" i="108"/>
  <c r="U20" i="108"/>
  <c r="T20" i="108"/>
  <c r="S20" i="108"/>
  <c r="AF19" i="108"/>
  <c r="AF39" i="108" s="1"/>
  <c r="AE19" i="108"/>
  <c r="AE39" i="108" s="1"/>
  <c r="AD19" i="108"/>
  <c r="AD39" i="108" s="1"/>
  <c r="AC19" i="108"/>
  <c r="AC39" i="108" s="1"/>
  <c r="AB19" i="108"/>
  <c r="AB39" i="108" s="1"/>
  <c r="AA19" i="108"/>
  <c r="AA39" i="108" s="1"/>
  <c r="Z19" i="108"/>
  <c r="Z39" i="108" s="1"/>
  <c r="Y19" i="108"/>
  <c r="Y39" i="108" s="1"/>
  <c r="X19" i="108"/>
  <c r="X39" i="108" s="1"/>
  <c r="W19" i="108"/>
  <c r="W39" i="108" s="1"/>
  <c r="V19" i="108"/>
  <c r="V39" i="108" s="1"/>
  <c r="U19" i="108"/>
  <c r="U39" i="108" s="1"/>
  <c r="T19" i="108"/>
  <c r="T39" i="108" s="1"/>
  <c r="S19" i="108"/>
  <c r="S39" i="108" s="1"/>
  <c r="AF18" i="108"/>
  <c r="AE18" i="108"/>
  <c r="AD18" i="108"/>
  <c r="AC18" i="108"/>
  <c r="AB18" i="108"/>
  <c r="AA18" i="108"/>
  <c r="Z18" i="108"/>
  <c r="Y18" i="108"/>
  <c r="X18" i="108"/>
  <c r="W18" i="108"/>
  <c r="V18" i="108"/>
  <c r="U18" i="108"/>
  <c r="T18" i="108"/>
  <c r="S18" i="108"/>
  <c r="AF17" i="108"/>
  <c r="AE17" i="108"/>
  <c r="AD17" i="108"/>
  <c r="AC17" i="108"/>
  <c r="AB17" i="108"/>
  <c r="AA17" i="108"/>
  <c r="Z17" i="108"/>
  <c r="Y17" i="108"/>
  <c r="X17" i="108"/>
  <c r="W17" i="108"/>
  <c r="V17" i="108"/>
  <c r="U17" i="108"/>
  <c r="T17" i="108"/>
  <c r="S17" i="108"/>
  <c r="AF16" i="108"/>
  <c r="AE16" i="108"/>
  <c r="AD16" i="108"/>
  <c r="AC16" i="108"/>
  <c r="AB16" i="108"/>
  <c r="AA16" i="108"/>
  <c r="Z16" i="108"/>
  <c r="Y16" i="108"/>
  <c r="X16" i="108"/>
  <c r="W16" i="108"/>
  <c r="V16" i="108"/>
  <c r="U16" i="108"/>
  <c r="T16" i="108"/>
  <c r="S16" i="108"/>
  <c r="AF15" i="108"/>
  <c r="AE15" i="108"/>
  <c r="AD15" i="108"/>
  <c r="AC15" i="108"/>
  <c r="AB15" i="108"/>
  <c r="AA15" i="108"/>
  <c r="Z15" i="108"/>
  <c r="Y15" i="108"/>
  <c r="X15" i="108"/>
  <c r="W15" i="108"/>
  <c r="V15" i="108"/>
  <c r="U15" i="108"/>
  <c r="T15" i="108"/>
  <c r="S15" i="108"/>
  <c r="AF14" i="108"/>
  <c r="AE14" i="108"/>
  <c r="AD14" i="108"/>
  <c r="AC14" i="108"/>
  <c r="AB14" i="108"/>
  <c r="AA14" i="108"/>
  <c r="Z14" i="108"/>
  <c r="Y14" i="108"/>
  <c r="X14" i="108"/>
  <c r="W14" i="108"/>
  <c r="V14" i="108"/>
  <c r="U14" i="108"/>
  <c r="T14" i="108"/>
  <c r="S14" i="108"/>
  <c r="AF13" i="108"/>
  <c r="AF38" i="108" s="1"/>
  <c r="AE13" i="108"/>
  <c r="AE38" i="108" s="1"/>
  <c r="AD13" i="108"/>
  <c r="AD38" i="108" s="1"/>
  <c r="AC13" i="108"/>
  <c r="AC38" i="108" s="1"/>
  <c r="AB13" i="108"/>
  <c r="AB38" i="108" s="1"/>
  <c r="AA13" i="108"/>
  <c r="AA38" i="108" s="1"/>
  <c r="Z13" i="108"/>
  <c r="Z38" i="108" s="1"/>
  <c r="Y13" i="108"/>
  <c r="Y38" i="108" s="1"/>
  <c r="X13" i="108"/>
  <c r="X38" i="108" s="1"/>
  <c r="W13" i="108"/>
  <c r="W38" i="108" s="1"/>
  <c r="V13" i="108"/>
  <c r="V38" i="108" s="1"/>
  <c r="U13" i="108"/>
  <c r="U38" i="108" s="1"/>
  <c r="T13" i="108"/>
  <c r="T38" i="108" s="1"/>
  <c r="S13" i="108"/>
  <c r="S38" i="108" s="1"/>
  <c r="AF12" i="108"/>
  <c r="AE12" i="108"/>
  <c r="AD12" i="108"/>
  <c r="AC12" i="108"/>
  <c r="AB12" i="108"/>
  <c r="AA12" i="108"/>
  <c r="Z12" i="108"/>
  <c r="Y12" i="108"/>
  <c r="X12" i="108"/>
  <c r="W12" i="108"/>
  <c r="V12" i="108"/>
  <c r="U12" i="108"/>
  <c r="T12" i="108"/>
  <c r="S12" i="108"/>
  <c r="AF11" i="108"/>
  <c r="AE11" i="108"/>
  <c r="AD11" i="108"/>
  <c r="AC11" i="108"/>
  <c r="AB11" i="108"/>
  <c r="AA11" i="108"/>
  <c r="Z11" i="108"/>
  <c r="Y11" i="108"/>
  <c r="X11" i="108"/>
  <c r="W11" i="108"/>
  <c r="V11" i="108"/>
  <c r="U11" i="108"/>
  <c r="T11" i="108"/>
  <c r="S11" i="108"/>
  <c r="AF10" i="108"/>
  <c r="AF41" i="108" s="1"/>
  <c r="AE10" i="108"/>
  <c r="AE41" i="108" s="1"/>
  <c r="AD10" i="108"/>
  <c r="AD41" i="108" s="1"/>
  <c r="AC10" i="108"/>
  <c r="AC41" i="108" s="1"/>
  <c r="AB10" i="108"/>
  <c r="AB41" i="108" s="1"/>
  <c r="AA10" i="108"/>
  <c r="AA41" i="108" s="1"/>
  <c r="Z10" i="108"/>
  <c r="Z41" i="108" s="1"/>
  <c r="Y10" i="108"/>
  <c r="Y41" i="108" s="1"/>
  <c r="X10" i="108"/>
  <c r="X41" i="108" s="1"/>
  <c r="W10" i="108"/>
  <c r="W41" i="108" s="1"/>
  <c r="V10" i="108"/>
  <c r="V41" i="108" s="1"/>
  <c r="U10" i="108"/>
  <c r="U41" i="108" s="1"/>
  <c r="T10" i="108"/>
  <c r="T41" i="108" s="1"/>
  <c r="S10" i="108"/>
  <c r="S41" i="108" s="1"/>
  <c r="S34" i="108" l="1"/>
  <c r="U34" i="108"/>
  <c r="W34" i="108"/>
  <c r="Y34" i="108"/>
  <c r="AA34" i="108"/>
  <c r="AC34" i="108"/>
  <c r="AE34" i="108"/>
  <c r="S35" i="108"/>
  <c r="U35" i="108"/>
  <c r="W35" i="108"/>
  <c r="Y35" i="108"/>
  <c r="AA35" i="108"/>
  <c r="AC35" i="108"/>
  <c r="AE35" i="108"/>
  <c r="S36" i="108"/>
  <c r="U36" i="108"/>
  <c r="W36" i="108"/>
  <c r="Y36" i="108"/>
  <c r="AA36" i="108"/>
  <c r="AC36" i="108"/>
  <c r="AE36" i="108"/>
  <c r="S37" i="108"/>
  <c r="U37" i="108"/>
  <c r="W37" i="108"/>
  <c r="Y37" i="108"/>
  <c r="AA37" i="108"/>
  <c r="AC37" i="108"/>
  <c r="AE37" i="108"/>
  <c r="S40" i="108"/>
  <c r="S42" i="108" s="1"/>
  <c r="U40" i="108"/>
  <c r="U42" i="108" s="1"/>
  <c r="W40" i="108"/>
  <c r="W42" i="108" s="1"/>
  <c r="Y40" i="108"/>
  <c r="Y42" i="108" s="1"/>
  <c r="AA40" i="108"/>
  <c r="AA42" i="108" s="1"/>
  <c r="AC40" i="108"/>
  <c r="AC42" i="108" s="1"/>
  <c r="AE40" i="108"/>
  <c r="AE42" i="108" s="1"/>
  <c r="T34" i="108"/>
  <c r="V34" i="108"/>
  <c r="X34" i="108"/>
  <c r="Z34" i="108"/>
  <c r="AB34" i="108"/>
  <c r="AD34" i="108"/>
  <c r="AF34" i="108"/>
  <c r="T35" i="108"/>
  <c r="V35" i="108"/>
  <c r="X35" i="108"/>
  <c r="Z35" i="108"/>
  <c r="AB35" i="108"/>
  <c r="AD35" i="108"/>
  <c r="AF35" i="108"/>
  <c r="T36" i="108"/>
  <c r="V36" i="108"/>
  <c r="X36" i="108"/>
  <c r="Z36" i="108"/>
  <c r="AB36" i="108"/>
  <c r="AD36" i="108"/>
  <c r="AF36" i="108"/>
  <c r="T37" i="108"/>
  <c r="V37" i="108"/>
  <c r="X37" i="108"/>
  <c r="Z37" i="108"/>
  <c r="AB37" i="108"/>
  <c r="AD37" i="108"/>
  <c r="AF37" i="108"/>
  <c r="T40" i="108"/>
  <c r="T42" i="108" s="1"/>
  <c r="V40" i="108"/>
  <c r="V42" i="108" s="1"/>
  <c r="X40" i="108"/>
  <c r="X42" i="108" s="1"/>
  <c r="Z40" i="108"/>
  <c r="Z42" i="108" s="1"/>
  <c r="AB40" i="108"/>
  <c r="AB42" i="108" s="1"/>
  <c r="AD40" i="108"/>
  <c r="AD42" i="108" s="1"/>
  <c r="AF40" i="108"/>
  <c r="AF42" i="108" s="1"/>
  <c r="AF41" i="111"/>
  <c r="AF42" i="111" s="1"/>
  <c r="AE41" i="111"/>
  <c r="AE42" i="111" s="1"/>
  <c r="AD41" i="111"/>
  <c r="AD42" i="111" s="1"/>
  <c r="AC41" i="111"/>
  <c r="AC42" i="111" s="1"/>
  <c r="AB41" i="111"/>
  <c r="AB42" i="111" s="1"/>
  <c r="AA41" i="111"/>
  <c r="AA42" i="111" s="1"/>
  <c r="Z41" i="111"/>
  <c r="Z42" i="111" s="1"/>
  <c r="Y41" i="111"/>
  <c r="Y42" i="111" s="1"/>
  <c r="X41" i="111"/>
  <c r="X42" i="111" s="1"/>
  <c r="W41" i="111"/>
  <c r="W42" i="111" s="1"/>
  <c r="V41" i="111"/>
  <c r="V42" i="111" s="1"/>
  <c r="U41" i="111"/>
  <c r="U42" i="111" s="1"/>
  <c r="T41" i="111"/>
  <c r="T42" i="111" s="1"/>
  <c r="S41" i="111"/>
  <c r="S42" i="111" s="1"/>
  <c r="T22" i="111"/>
  <c r="U22" i="111"/>
  <c r="V22" i="111"/>
  <c r="W22" i="111"/>
  <c r="X22" i="111"/>
  <c r="Y22" i="111"/>
  <c r="Z22" i="111"/>
  <c r="AA22" i="111"/>
  <c r="AB22" i="111"/>
  <c r="AC22" i="111"/>
  <c r="AD22" i="111"/>
  <c r="AE22" i="111"/>
  <c r="AF22" i="111"/>
  <c r="T23" i="111"/>
  <c r="U23" i="111"/>
  <c r="V23" i="111"/>
  <c r="W23" i="111"/>
  <c r="X23" i="111"/>
  <c r="Y23" i="111"/>
  <c r="Z23" i="111"/>
  <c r="AA23" i="111"/>
  <c r="AB23" i="111"/>
  <c r="AC23" i="111"/>
  <c r="AD23" i="111"/>
  <c r="AE23" i="111"/>
  <c r="AF23" i="111"/>
  <c r="T24" i="111"/>
  <c r="U24" i="111"/>
  <c r="V24" i="111"/>
  <c r="W24" i="111"/>
  <c r="X24" i="111"/>
  <c r="Y24" i="111"/>
  <c r="Z24" i="111"/>
  <c r="AA24" i="111"/>
  <c r="AB24" i="111"/>
  <c r="AC24" i="111"/>
  <c r="AD24" i="111"/>
  <c r="AE24" i="111"/>
  <c r="AF24" i="111"/>
  <c r="T25" i="111"/>
  <c r="U25" i="111"/>
  <c r="V25" i="111"/>
  <c r="W25" i="111"/>
  <c r="X25" i="111"/>
  <c r="Y25" i="111"/>
  <c r="Z25" i="111"/>
  <c r="AA25" i="111"/>
  <c r="AB25" i="111"/>
  <c r="AC25" i="111"/>
  <c r="AD25" i="111"/>
  <c r="AE25" i="111"/>
  <c r="AF25" i="111"/>
  <c r="T26" i="111"/>
  <c r="U26" i="111"/>
  <c r="V26" i="111"/>
  <c r="W26" i="111"/>
  <c r="X26" i="111"/>
  <c r="Y26" i="111"/>
  <c r="Z26" i="111"/>
  <c r="AA26" i="111"/>
  <c r="AB26" i="111"/>
  <c r="AC26" i="111"/>
  <c r="AD26" i="111"/>
  <c r="AE26" i="111"/>
  <c r="AF26" i="111"/>
  <c r="T27" i="111"/>
  <c r="U27" i="111"/>
  <c r="V27" i="111"/>
  <c r="W27" i="111"/>
  <c r="X27" i="111"/>
  <c r="Y27" i="111"/>
  <c r="Z27" i="111"/>
  <c r="AA27" i="111"/>
  <c r="AB27" i="111"/>
  <c r="AC27" i="111"/>
  <c r="AD27" i="111"/>
  <c r="AE27" i="111"/>
  <c r="AF27" i="111"/>
  <c r="T28" i="111"/>
  <c r="U28" i="111"/>
  <c r="V28" i="111"/>
  <c r="W28" i="111"/>
  <c r="X28" i="111"/>
  <c r="Y28" i="111"/>
  <c r="Z28" i="111"/>
  <c r="AA28" i="111"/>
  <c r="AB28" i="111"/>
  <c r="AC28" i="111"/>
  <c r="AD28" i="111"/>
  <c r="AE28" i="111"/>
  <c r="AF28" i="111"/>
  <c r="T29" i="111"/>
  <c r="U29" i="111"/>
  <c r="V29" i="111"/>
  <c r="W29" i="111"/>
  <c r="X29" i="111"/>
  <c r="Y29" i="111"/>
  <c r="Z29" i="111"/>
  <c r="AA29" i="111"/>
  <c r="AB29" i="111"/>
  <c r="AC29" i="111"/>
  <c r="AD29" i="111"/>
  <c r="AE29" i="111"/>
  <c r="AF29" i="111"/>
  <c r="T30" i="111"/>
  <c r="U30" i="111"/>
  <c r="V30" i="111"/>
  <c r="W30" i="111"/>
  <c r="X30" i="111"/>
  <c r="Y30" i="111"/>
  <c r="Z30" i="111"/>
  <c r="AA30" i="111"/>
  <c r="AB30" i="111"/>
  <c r="AC30" i="111"/>
  <c r="AD30" i="111"/>
  <c r="AE30" i="111"/>
  <c r="AF30" i="111"/>
  <c r="T31" i="111"/>
  <c r="U31" i="111"/>
  <c r="V31" i="111"/>
  <c r="W31" i="111"/>
  <c r="X31" i="111"/>
  <c r="Y31" i="111"/>
  <c r="Z31" i="111"/>
  <c r="AA31" i="111"/>
  <c r="AB31" i="111"/>
  <c r="AC31" i="111"/>
  <c r="AD31" i="111"/>
  <c r="AE31" i="111"/>
  <c r="AF31" i="111"/>
  <c r="T32" i="111"/>
  <c r="U32" i="111"/>
  <c r="V32" i="111"/>
  <c r="W32" i="111"/>
  <c r="X32" i="111"/>
  <c r="Y32" i="111"/>
  <c r="Z32" i="111"/>
  <c r="AA32" i="111"/>
  <c r="AB32" i="111"/>
  <c r="AC32" i="111"/>
  <c r="AD32" i="111"/>
  <c r="AE32" i="111"/>
  <c r="AF32" i="111"/>
  <c r="T33" i="111"/>
  <c r="U33" i="111"/>
  <c r="V33" i="111"/>
  <c r="W33" i="111"/>
  <c r="X33" i="111"/>
  <c r="Y33" i="111"/>
  <c r="Z33" i="111"/>
  <c r="AA33" i="111"/>
  <c r="AB33" i="111"/>
  <c r="AC33" i="111"/>
  <c r="AD33" i="111"/>
  <c r="AE33" i="111"/>
  <c r="AF33" i="111"/>
  <c r="S33" i="111"/>
  <c r="S32" i="111"/>
  <c r="S31" i="111"/>
  <c r="S30" i="111"/>
  <c r="S29" i="111"/>
  <c r="S28" i="111"/>
  <c r="S27" i="111"/>
  <c r="S26" i="111"/>
  <c r="S25" i="111"/>
  <c r="S24" i="111"/>
  <c r="S23" i="111"/>
  <c r="S22" i="111"/>
  <c r="D106" i="111"/>
  <c r="E106" i="111"/>
  <c r="F106" i="111"/>
  <c r="G106" i="111"/>
  <c r="H106" i="111"/>
  <c r="I106" i="111"/>
  <c r="J106" i="111"/>
  <c r="K106" i="111"/>
  <c r="L106" i="111"/>
  <c r="M106" i="111"/>
  <c r="N106" i="111"/>
  <c r="O106" i="111"/>
  <c r="P106" i="111"/>
  <c r="C106" i="111"/>
  <c r="D106" i="108"/>
  <c r="E106" i="108"/>
  <c r="F106" i="108"/>
  <c r="G106" i="108"/>
  <c r="H106" i="108"/>
  <c r="I106" i="108"/>
  <c r="J106" i="108"/>
  <c r="K106" i="108"/>
  <c r="L106" i="108"/>
  <c r="M106" i="108"/>
  <c r="N106" i="108"/>
  <c r="O106" i="108"/>
  <c r="P106" i="108"/>
  <c r="C106" i="108"/>
  <c r="D106" i="107"/>
  <c r="E106" i="107"/>
  <c r="F106" i="107"/>
  <c r="G106" i="107"/>
  <c r="H106" i="107"/>
  <c r="I106" i="107"/>
  <c r="J106" i="107"/>
  <c r="K106" i="107"/>
  <c r="L106" i="107"/>
  <c r="M106" i="107"/>
  <c r="N106" i="107"/>
  <c r="O106" i="107"/>
  <c r="P106" i="107"/>
  <c r="C106" i="107"/>
  <c r="P105" i="111"/>
  <c r="O105" i="111"/>
  <c r="P104" i="111"/>
  <c r="O104" i="111"/>
  <c r="P103" i="111"/>
  <c r="O103" i="111"/>
  <c r="P102" i="111"/>
  <c r="O102" i="111"/>
  <c r="P101" i="111"/>
  <c r="O101" i="111"/>
  <c r="P100" i="111"/>
  <c r="O100" i="111"/>
  <c r="P99" i="111"/>
  <c r="O99" i="111"/>
  <c r="P98" i="111"/>
  <c r="O98" i="111"/>
  <c r="P97" i="111"/>
  <c r="O97" i="111"/>
  <c r="P96" i="111"/>
  <c r="O96" i="111"/>
  <c r="P95" i="111"/>
  <c r="O95" i="111"/>
  <c r="P94" i="111"/>
  <c r="O94" i="111"/>
  <c r="P93" i="111"/>
  <c r="O93" i="111"/>
  <c r="P92" i="111"/>
  <c r="O92" i="111"/>
  <c r="P91" i="111"/>
  <c r="O91" i="111"/>
  <c r="P90" i="111"/>
  <c r="O90" i="111"/>
  <c r="P89" i="111"/>
  <c r="O89" i="111"/>
  <c r="P88" i="111"/>
  <c r="O88" i="111"/>
  <c r="P87" i="111"/>
  <c r="O87" i="111"/>
  <c r="P86" i="111"/>
  <c r="O86" i="111"/>
  <c r="P85" i="111"/>
  <c r="O85" i="111"/>
  <c r="P84" i="111"/>
  <c r="O84" i="111"/>
  <c r="P83" i="111"/>
  <c r="O83" i="111"/>
  <c r="P82" i="111"/>
  <c r="O82" i="111"/>
  <c r="P81" i="111"/>
  <c r="O81" i="111"/>
  <c r="P80" i="111"/>
  <c r="O80" i="111"/>
  <c r="P79" i="111"/>
  <c r="O79" i="111"/>
  <c r="P78" i="111"/>
  <c r="O78" i="111"/>
  <c r="P77" i="111"/>
  <c r="O77" i="111"/>
  <c r="P76" i="111"/>
  <c r="O76" i="111"/>
  <c r="P75" i="111"/>
  <c r="O75" i="111"/>
  <c r="P74" i="111"/>
  <c r="O74" i="111"/>
  <c r="P73" i="111"/>
  <c r="O73" i="111"/>
  <c r="P72" i="111"/>
  <c r="O72" i="111"/>
  <c r="P71" i="111"/>
  <c r="O71" i="111"/>
  <c r="P70" i="111"/>
  <c r="O70" i="111"/>
  <c r="P69" i="111"/>
  <c r="O69" i="111"/>
  <c r="P68" i="111"/>
  <c r="O68" i="111"/>
  <c r="P67" i="111"/>
  <c r="O67" i="111"/>
  <c r="P66" i="111"/>
  <c r="O66" i="111"/>
  <c r="P65" i="111"/>
  <c r="O65" i="111"/>
  <c r="P64" i="111"/>
  <c r="O64" i="111"/>
  <c r="P63" i="111"/>
  <c r="O63" i="111"/>
  <c r="P62" i="111"/>
  <c r="O62" i="111"/>
  <c r="P61" i="111"/>
  <c r="O61" i="111"/>
  <c r="P60" i="111"/>
  <c r="O60" i="111"/>
  <c r="P59" i="111"/>
  <c r="O59" i="111"/>
  <c r="P58" i="111"/>
  <c r="O58" i="111"/>
  <c r="D58" i="111"/>
  <c r="E58" i="111"/>
  <c r="F58" i="111"/>
  <c r="G58" i="111"/>
  <c r="H58" i="111"/>
  <c r="I58" i="111"/>
  <c r="J58" i="111"/>
  <c r="K58" i="111"/>
  <c r="L58" i="111"/>
  <c r="M58" i="111"/>
  <c r="N58" i="111"/>
  <c r="D59" i="111"/>
  <c r="E59" i="111"/>
  <c r="F59" i="111"/>
  <c r="G59" i="111"/>
  <c r="H59" i="111"/>
  <c r="I59" i="111"/>
  <c r="J59" i="111"/>
  <c r="K59" i="111"/>
  <c r="L59" i="111"/>
  <c r="M59" i="111"/>
  <c r="N59" i="111"/>
  <c r="D60" i="111"/>
  <c r="E60" i="111"/>
  <c r="F60" i="111"/>
  <c r="G60" i="111"/>
  <c r="H60" i="111"/>
  <c r="I60" i="111"/>
  <c r="J60" i="111"/>
  <c r="K60" i="111"/>
  <c r="L60" i="111"/>
  <c r="M60" i="111"/>
  <c r="N60" i="111"/>
  <c r="D61" i="111"/>
  <c r="E61" i="111"/>
  <c r="F61" i="111"/>
  <c r="G61" i="111"/>
  <c r="H61" i="111"/>
  <c r="I61" i="111"/>
  <c r="J61" i="111"/>
  <c r="K61" i="111"/>
  <c r="L61" i="111"/>
  <c r="M61" i="111"/>
  <c r="N61" i="111"/>
  <c r="D62" i="111"/>
  <c r="E62" i="111"/>
  <c r="F62" i="111"/>
  <c r="G62" i="111"/>
  <c r="H62" i="111"/>
  <c r="I62" i="111"/>
  <c r="J62" i="111"/>
  <c r="K62" i="111"/>
  <c r="L62" i="111"/>
  <c r="M62" i="111"/>
  <c r="N62" i="111"/>
  <c r="D63" i="111"/>
  <c r="E63" i="111"/>
  <c r="F63" i="111"/>
  <c r="G63" i="111"/>
  <c r="H63" i="111"/>
  <c r="I63" i="111"/>
  <c r="J63" i="111"/>
  <c r="K63" i="111"/>
  <c r="L63" i="111"/>
  <c r="M63" i="111"/>
  <c r="N63" i="111"/>
  <c r="D64" i="111"/>
  <c r="E64" i="111"/>
  <c r="F64" i="111"/>
  <c r="G64" i="111"/>
  <c r="H64" i="111"/>
  <c r="I64" i="111"/>
  <c r="J64" i="111"/>
  <c r="K64" i="111"/>
  <c r="L64" i="111"/>
  <c r="M64" i="111"/>
  <c r="N64" i="111"/>
  <c r="D65" i="111"/>
  <c r="E65" i="111"/>
  <c r="F65" i="111"/>
  <c r="G65" i="111"/>
  <c r="H65" i="111"/>
  <c r="I65" i="111"/>
  <c r="J65" i="111"/>
  <c r="K65" i="111"/>
  <c r="L65" i="111"/>
  <c r="M65" i="111"/>
  <c r="N65" i="111"/>
  <c r="D66" i="111"/>
  <c r="E66" i="111"/>
  <c r="F66" i="111"/>
  <c r="G66" i="111"/>
  <c r="H66" i="111"/>
  <c r="I66" i="111"/>
  <c r="J66" i="111"/>
  <c r="K66" i="111"/>
  <c r="L66" i="111"/>
  <c r="M66" i="111"/>
  <c r="N66" i="111"/>
  <c r="D67" i="111"/>
  <c r="E67" i="111"/>
  <c r="F67" i="111"/>
  <c r="G67" i="111"/>
  <c r="H67" i="111"/>
  <c r="I67" i="111"/>
  <c r="J67" i="111"/>
  <c r="K67" i="111"/>
  <c r="L67" i="111"/>
  <c r="M67" i="111"/>
  <c r="N67" i="111"/>
  <c r="D68" i="111"/>
  <c r="E68" i="111"/>
  <c r="F68" i="111"/>
  <c r="G68" i="111"/>
  <c r="H68" i="111"/>
  <c r="I68" i="111"/>
  <c r="J68" i="111"/>
  <c r="K68" i="111"/>
  <c r="L68" i="111"/>
  <c r="M68" i="111"/>
  <c r="N68" i="111"/>
  <c r="D69" i="111"/>
  <c r="E69" i="111"/>
  <c r="F69" i="111"/>
  <c r="G69" i="111"/>
  <c r="H69" i="111"/>
  <c r="I69" i="111"/>
  <c r="J69" i="111"/>
  <c r="K69" i="111"/>
  <c r="L69" i="111"/>
  <c r="M69" i="111"/>
  <c r="N69" i="111"/>
  <c r="D70" i="111"/>
  <c r="E70" i="111"/>
  <c r="F70" i="111"/>
  <c r="G70" i="111"/>
  <c r="H70" i="111"/>
  <c r="I70" i="111"/>
  <c r="J70" i="111"/>
  <c r="K70" i="111"/>
  <c r="L70" i="111"/>
  <c r="M70" i="111"/>
  <c r="N70" i="111"/>
  <c r="D71" i="111"/>
  <c r="E71" i="111"/>
  <c r="F71" i="111"/>
  <c r="G71" i="111"/>
  <c r="H71" i="111"/>
  <c r="I71" i="111"/>
  <c r="J71" i="111"/>
  <c r="K71" i="111"/>
  <c r="L71" i="111"/>
  <c r="M71" i="111"/>
  <c r="N71" i="111"/>
  <c r="D72" i="111"/>
  <c r="E72" i="111"/>
  <c r="F72" i="111"/>
  <c r="G72" i="111"/>
  <c r="H72" i="111"/>
  <c r="I72" i="111"/>
  <c r="J72" i="111"/>
  <c r="K72" i="111"/>
  <c r="L72" i="111"/>
  <c r="M72" i="111"/>
  <c r="N72" i="111"/>
  <c r="D73" i="111"/>
  <c r="E73" i="111"/>
  <c r="F73" i="111"/>
  <c r="G73" i="111"/>
  <c r="H73" i="111"/>
  <c r="I73" i="111"/>
  <c r="J73" i="111"/>
  <c r="K73" i="111"/>
  <c r="L73" i="111"/>
  <c r="M73" i="111"/>
  <c r="N73" i="111"/>
  <c r="D74" i="111"/>
  <c r="E74" i="111"/>
  <c r="F74" i="111"/>
  <c r="G74" i="111"/>
  <c r="H74" i="111"/>
  <c r="I74" i="111"/>
  <c r="J74" i="111"/>
  <c r="K74" i="111"/>
  <c r="L74" i="111"/>
  <c r="M74" i="111"/>
  <c r="N74" i="111"/>
  <c r="D75" i="111"/>
  <c r="E75" i="111"/>
  <c r="F75" i="111"/>
  <c r="G75" i="111"/>
  <c r="H75" i="111"/>
  <c r="I75" i="111"/>
  <c r="J75" i="111"/>
  <c r="K75" i="111"/>
  <c r="L75" i="111"/>
  <c r="M75" i="111"/>
  <c r="N75" i="111"/>
  <c r="D76" i="111"/>
  <c r="E76" i="111"/>
  <c r="F76" i="111"/>
  <c r="G76" i="111"/>
  <c r="H76" i="111"/>
  <c r="I76" i="111"/>
  <c r="J76" i="111"/>
  <c r="K76" i="111"/>
  <c r="L76" i="111"/>
  <c r="M76" i="111"/>
  <c r="N76" i="111"/>
  <c r="D77" i="111"/>
  <c r="E77" i="111"/>
  <c r="F77" i="111"/>
  <c r="G77" i="111"/>
  <c r="H77" i="111"/>
  <c r="I77" i="111"/>
  <c r="J77" i="111"/>
  <c r="K77" i="111"/>
  <c r="L77" i="111"/>
  <c r="M77" i="111"/>
  <c r="N77" i="111"/>
  <c r="D78" i="111"/>
  <c r="E78" i="111"/>
  <c r="F78" i="111"/>
  <c r="G78" i="111"/>
  <c r="H78" i="111"/>
  <c r="I78" i="111"/>
  <c r="J78" i="111"/>
  <c r="K78" i="111"/>
  <c r="L78" i="111"/>
  <c r="M78" i="111"/>
  <c r="N78" i="111"/>
  <c r="D79" i="111"/>
  <c r="E79" i="111"/>
  <c r="F79" i="111"/>
  <c r="G79" i="111"/>
  <c r="H79" i="111"/>
  <c r="I79" i="111"/>
  <c r="J79" i="111"/>
  <c r="K79" i="111"/>
  <c r="L79" i="111"/>
  <c r="M79" i="111"/>
  <c r="N79" i="111"/>
  <c r="D80" i="111"/>
  <c r="E80" i="111"/>
  <c r="F80" i="111"/>
  <c r="G80" i="111"/>
  <c r="H80" i="111"/>
  <c r="I80" i="111"/>
  <c r="J80" i="111"/>
  <c r="K80" i="111"/>
  <c r="L80" i="111"/>
  <c r="M80" i="111"/>
  <c r="N80" i="111"/>
  <c r="D81" i="111"/>
  <c r="E81" i="111"/>
  <c r="F81" i="111"/>
  <c r="G81" i="111"/>
  <c r="H81" i="111"/>
  <c r="I81" i="111"/>
  <c r="J81" i="111"/>
  <c r="K81" i="111"/>
  <c r="L81" i="111"/>
  <c r="M81" i="111"/>
  <c r="N81" i="111"/>
  <c r="D82" i="111"/>
  <c r="E82" i="111"/>
  <c r="F82" i="111"/>
  <c r="G82" i="111"/>
  <c r="H82" i="111"/>
  <c r="I82" i="111"/>
  <c r="J82" i="111"/>
  <c r="K82" i="111"/>
  <c r="L82" i="111"/>
  <c r="M82" i="111"/>
  <c r="N82" i="111"/>
  <c r="D83" i="111"/>
  <c r="E83" i="111"/>
  <c r="F83" i="111"/>
  <c r="G83" i="111"/>
  <c r="H83" i="111"/>
  <c r="I83" i="111"/>
  <c r="J83" i="111"/>
  <c r="K83" i="111"/>
  <c r="L83" i="111"/>
  <c r="M83" i="111"/>
  <c r="N83" i="111"/>
  <c r="D84" i="111"/>
  <c r="E84" i="111"/>
  <c r="F84" i="111"/>
  <c r="G84" i="111"/>
  <c r="H84" i="111"/>
  <c r="I84" i="111"/>
  <c r="J84" i="111"/>
  <c r="K84" i="111"/>
  <c r="L84" i="111"/>
  <c r="M84" i="111"/>
  <c r="N84" i="111"/>
  <c r="D85" i="111"/>
  <c r="E85" i="111"/>
  <c r="F85" i="111"/>
  <c r="G85" i="111"/>
  <c r="H85" i="111"/>
  <c r="I85" i="111"/>
  <c r="J85" i="111"/>
  <c r="K85" i="111"/>
  <c r="L85" i="111"/>
  <c r="M85" i="111"/>
  <c r="N85" i="111"/>
  <c r="D86" i="111"/>
  <c r="E86" i="111"/>
  <c r="F86" i="111"/>
  <c r="G86" i="111"/>
  <c r="H86" i="111"/>
  <c r="I86" i="111"/>
  <c r="J86" i="111"/>
  <c r="K86" i="111"/>
  <c r="L86" i="111"/>
  <c r="M86" i="111"/>
  <c r="N86" i="111"/>
  <c r="D87" i="111"/>
  <c r="E87" i="111"/>
  <c r="F87" i="111"/>
  <c r="G87" i="111"/>
  <c r="H87" i="111"/>
  <c r="I87" i="111"/>
  <c r="J87" i="111"/>
  <c r="K87" i="111"/>
  <c r="L87" i="111"/>
  <c r="M87" i="111"/>
  <c r="N87" i="111"/>
  <c r="D88" i="111"/>
  <c r="E88" i="111"/>
  <c r="F88" i="111"/>
  <c r="G88" i="111"/>
  <c r="H88" i="111"/>
  <c r="I88" i="111"/>
  <c r="J88" i="111"/>
  <c r="K88" i="111"/>
  <c r="L88" i="111"/>
  <c r="M88" i="111"/>
  <c r="N88" i="111"/>
  <c r="D89" i="111"/>
  <c r="E89" i="111"/>
  <c r="F89" i="111"/>
  <c r="G89" i="111"/>
  <c r="H89" i="111"/>
  <c r="I89" i="111"/>
  <c r="J89" i="111"/>
  <c r="K89" i="111"/>
  <c r="L89" i="111"/>
  <c r="M89" i="111"/>
  <c r="N89" i="111"/>
  <c r="D90" i="111"/>
  <c r="E90" i="111"/>
  <c r="F90" i="111"/>
  <c r="G90" i="111"/>
  <c r="H90" i="111"/>
  <c r="I90" i="111"/>
  <c r="J90" i="111"/>
  <c r="K90" i="111"/>
  <c r="L90" i="111"/>
  <c r="M90" i="111"/>
  <c r="N90" i="111"/>
  <c r="D91" i="111"/>
  <c r="E91" i="111"/>
  <c r="F91" i="111"/>
  <c r="G91" i="111"/>
  <c r="H91" i="111"/>
  <c r="I91" i="111"/>
  <c r="J91" i="111"/>
  <c r="K91" i="111"/>
  <c r="L91" i="111"/>
  <c r="M91" i="111"/>
  <c r="N91" i="111"/>
  <c r="D92" i="111"/>
  <c r="E92" i="111"/>
  <c r="F92" i="111"/>
  <c r="G92" i="111"/>
  <c r="H92" i="111"/>
  <c r="I92" i="111"/>
  <c r="J92" i="111"/>
  <c r="K92" i="111"/>
  <c r="L92" i="111"/>
  <c r="M92" i="111"/>
  <c r="N92" i="111"/>
  <c r="D93" i="111"/>
  <c r="E93" i="111"/>
  <c r="F93" i="111"/>
  <c r="G93" i="111"/>
  <c r="H93" i="111"/>
  <c r="I93" i="111"/>
  <c r="J93" i="111"/>
  <c r="K93" i="111"/>
  <c r="L93" i="111"/>
  <c r="M93" i="111"/>
  <c r="N93" i="111"/>
  <c r="D94" i="111"/>
  <c r="E94" i="111"/>
  <c r="F94" i="111"/>
  <c r="G94" i="111"/>
  <c r="H94" i="111"/>
  <c r="I94" i="111"/>
  <c r="J94" i="111"/>
  <c r="K94" i="111"/>
  <c r="L94" i="111"/>
  <c r="M94" i="111"/>
  <c r="N94" i="111"/>
  <c r="D95" i="111"/>
  <c r="E95" i="111"/>
  <c r="F95" i="111"/>
  <c r="G95" i="111"/>
  <c r="H95" i="111"/>
  <c r="I95" i="111"/>
  <c r="J95" i="111"/>
  <c r="K95" i="111"/>
  <c r="L95" i="111"/>
  <c r="M95" i="111"/>
  <c r="N95" i="111"/>
  <c r="D96" i="111"/>
  <c r="E96" i="111"/>
  <c r="F96" i="111"/>
  <c r="G96" i="111"/>
  <c r="H96" i="111"/>
  <c r="I96" i="111"/>
  <c r="J96" i="111"/>
  <c r="K96" i="111"/>
  <c r="L96" i="111"/>
  <c r="M96" i="111"/>
  <c r="N96" i="111"/>
  <c r="D97" i="111"/>
  <c r="E97" i="111"/>
  <c r="F97" i="111"/>
  <c r="G97" i="111"/>
  <c r="H97" i="111"/>
  <c r="I97" i="111"/>
  <c r="J97" i="111"/>
  <c r="K97" i="111"/>
  <c r="L97" i="111"/>
  <c r="M97" i="111"/>
  <c r="N97" i="111"/>
  <c r="D98" i="111"/>
  <c r="E98" i="111"/>
  <c r="F98" i="111"/>
  <c r="G98" i="111"/>
  <c r="H98" i="111"/>
  <c r="I98" i="111"/>
  <c r="J98" i="111"/>
  <c r="K98" i="111"/>
  <c r="L98" i="111"/>
  <c r="M98" i="111"/>
  <c r="N98" i="111"/>
  <c r="D99" i="111"/>
  <c r="E99" i="111"/>
  <c r="F99" i="111"/>
  <c r="G99" i="111"/>
  <c r="H99" i="111"/>
  <c r="I99" i="111"/>
  <c r="J99" i="111"/>
  <c r="K99" i="111"/>
  <c r="L99" i="111"/>
  <c r="M99" i="111"/>
  <c r="N99" i="111"/>
  <c r="D100" i="111"/>
  <c r="E100" i="111"/>
  <c r="F100" i="111"/>
  <c r="G100" i="111"/>
  <c r="H100" i="111"/>
  <c r="I100" i="111"/>
  <c r="J100" i="111"/>
  <c r="K100" i="111"/>
  <c r="L100" i="111"/>
  <c r="M100" i="111"/>
  <c r="N100" i="111"/>
  <c r="D101" i="111"/>
  <c r="E101" i="111"/>
  <c r="F101" i="111"/>
  <c r="G101" i="111"/>
  <c r="H101" i="111"/>
  <c r="I101" i="111"/>
  <c r="J101" i="111"/>
  <c r="K101" i="111"/>
  <c r="L101" i="111"/>
  <c r="M101" i="111"/>
  <c r="N101" i="111"/>
  <c r="D102" i="111"/>
  <c r="E102" i="111"/>
  <c r="F102" i="111"/>
  <c r="G102" i="111"/>
  <c r="H102" i="111"/>
  <c r="I102" i="111"/>
  <c r="J102" i="111"/>
  <c r="K102" i="111"/>
  <c r="L102" i="111"/>
  <c r="M102" i="111"/>
  <c r="N102" i="111"/>
  <c r="D103" i="111"/>
  <c r="E103" i="111"/>
  <c r="F103" i="111"/>
  <c r="G103" i="111"/>
  <c r="H103" i="111"/>
  <c r="I103" i="111"/>
  <c r="J103" i="111"/>
  <c r="K103" i="111"/>
  <c r="L103" i="111"/>
  <c r="M103" i="111"/>
  <c r="N103" i="111"/>
  <c r="D104" i="111"/>
  <c r="E104" i="111"/>
  <c r="F104" i="111"/>
  <c r="G104" i="111"/>
  <c r="H104" i="111"/>
  <c r="I104" i="111"/>
  <c r="J104" i="111"/>
  <c r="K104" i="111"/>
  <c r="L104" i="111"/>
  <c r="M104" i="111"/>
  <c r="N104" i="111"/>
  <c r="D105" i="111"/>
  <c r="E105" i="111"/>
  <c r="F105" i="111"/>
  <c r="G105" i="111"/>
  <c r="H105" i="111"/>
  <c r="I105" i="111"/>
  <c r="J105" i="111"/>
  <c r="K105" i="111"/>
  <c r="L105" i="111"/>
  <c r="M105" i="111"/>
  <c r="N105" i="111"/>
  <c r="C59" i="111"/>
  <c r="C60" i="111"/>
  <c r="C61" i="111"/>
  <c r="C62" i="111"/>
  <c r="C63" i="111"/>
  <c r="C64" i="111"/>
  <c r="C65" i="111"/>
  <c r="C66" i="111"/>
  <c r="C67" i="111"/>
  <c r="C68" i="111"/>
  <c r="C69" i="111"/>
  <c r="C70" i="111"/>
  <c r="C71" i="111"/>
  <c r="C72" i="111"/>
  <c r="C73" i="111"/>
  <c r="C74" i="111"/>
  <c r="C75" i="111"/>
  <c r="C76" i="111"/>
  <c r="C77" i="111"/>
  <c r="C78" i="111"/>
  <c r="C79" i="111"/>
  <c r="C80" i="111"/>
  <c r="C81" i="111"/>
  <c r="C82" i="111"/>
  <c r="C83" i="111"/>
  <c r="C84" i="111"/>
  <c r="C85" i="111"/>
  <c r="C86" i="111"/>
  <c r="C87" i="111"/>
  <c r="C88" i="111"/>
  <c r="C89" i="111"/>
  <c r="C90" i="111"/>
  <c r="C91" i="111"/>
  <c r="C92" i="111"/>
  <c r="C93" i="111"/>
  <c r="C94" i="111"/>
  <c r="C95" i="111"/>
  <c r="C96" i="111"/>
  <c r="C97" i="111"/>
  <c r="C98" i="111"/>
  <c r="C99" i="111"/>
  <c r="C100" i="111"/>
  <c r="C101" i="111"/>
  <c r="C102" i="111"/>
  <c r="C103" i="111"/>
  <c r="C104" i="111"/>
  <c r="C105" i="111"/>
  <c r="C58" i="111"/>
  <c r="P105" i="108"/>
  <c r="O105" i="108"/>
  <c r="P104" i="108"/>
  <c r="O104" i="108"/>
  <c r="P103" i="108"/>
  <c r="O103" i="108"/>
  <c r="P102" i="108"/>
  <c r="O102" i="108"/>
  <c r="P101" i="108"/>
  <c r="O101" i="108"/>
  <c r="P100" i="108"/>
  <c r="O100" i="108"/>
  <c r="P99" i="108"/>
  <c r="O99" i="108"/>
  <c r="P98" i="108"/>
  <c r="O98" i="108"/>
  <c r="P97" i="108"/>
  <c r="O97" i="108"/>
  <c r="P96" i="108"/>
  <c r="O96" i="108"/>
  <c r="P95" i="108"/>
  <c r="O95" i="108"/>
  <c r="P94" i="108"/>
  <c r="O94" i="108"/>
  <c r="P93" i="108"/>
  <c r="O93" i="108"/>
  <c r="P92" i="108"/>
  <c r="O92" i="108"/>
  <c r="P91" i="108"/>
  <c r="O91" i="108"/>
  <c r="P90" i="108"/>
  <c r="O90" i="108"/>
  <c r="P89" i="108"/>
  <c r="O89" i="108"/>
  <c r="P88" i="108"/>
  <c r="O88" i="108"/>
  <c r="P87" i="108"/>
  <c r="O87" i="108"/>
  <c r="P86" i="108"/>
  <c r="O86" i="108"/>
  <c r="P85" i="108"/>
  <c r="O85" i="108"/>
  <c r="P84" i="108"/>
  <c r="O84" i="108"/>
  <c r="P83" i="108"/>
  <c r="O83" i="108"/>
  <c r="P82" i="108"/>
  <c r="O82" i="108"/>
  <c r="P81" i="108"/>
  <c r="O81" i="108"/>
  <c r="P80" i="108"/>
  <c r="O80" i="108"/>
  <c r="P79" i="108"/>
  <c r="O79" i="108"/>
  <c r="P78" i="108"/>
  <c r="O78" i="108"/>
  <c r="P77" i="108"/>
  <c r="O77" i="108"/>
  <c r="P76" i="108"/>
  <c r="O76" i="108"/>
  <c r="P75" i="108"/>
  <c r="O75" i="108"/>
  <c r="P74" i="108"/>
  <c r="O74" i="108"/>
  <c r="P73" i="108"/>
  <c r="O73" i="108"/>
  <c r="P72" i="108"/>
  <c r="O72" i="108"/>
  <c r="P71" i="108"/>
  <c r="O71" i="108"/>
  <c r="P70" i="108"/>
  <c r="O70" i="108"/>
  <c r="P69" i="108"/>
  <c r="O69" i="108"/>
  <c r="P68" i="108"/>
  <c r="O68" i="108"/>
  <c r="P67" i="108"/>
  <c r="O67" i="108"/>
  <c r="P66" i="108"/>
  <c r="O66" i="108"/>
  <c r="P65" i="108"/>
  <c r="O65" i="108"/>
  <c r="P64" i="108"/>
  <c r="O64" i="108"/>
  <c r="P63" i="108"/>
  <c r="O63" i="108"/>
  <c r="P62" i="108"/>
  <c r="O62" i="108"/>
  <c r="P61" i="108"/>
  <c r="O61" i="108"/>
  <c r="P60" i="108"/>
  <c r="O60" i="108"/>
  <c r="P59" i="108"/>
  <c r="O59" i="108"/>
  <c r="P58" i="108"/>
  <c r="O58" i="108"/>
  <c r="P105" i="107"/>
  <c r="O105" i="107"/>
  <c r="P104" i="107"/>
  <c r="O104" i="107"/>
  <c r="P103" i="107"/>
  <c r="O103" i="107"/>
  <c r="P102" i="107"/>
  <c r="O102" i="107"/>
  <c r="P101" i="107"/>
  <c r="O101" i="107"/>
  <c r="P100" i="107"/>
  <c r="O100" i="107"/>
  <c r="P99" i="107"/>
  <c r="O99" i="107"/>
  <c r="P98" i="107"/>
  <c r="O98" i="107"/>
  <c r="P97" i="107"/>
  <c r="O97" i="107"/>
  <c r="P96" i="107"/>
  <c r="O96" i="107"/>
  <c r="P95" i="107"/>
  <c r="O95" i="107"/>
  <c r="P94" i="107"/>
  <c r="O94" i="107"/>
  <c r="P93" i="107"/>
  <c r="O93" i="107"/>
  <c r="P92" i="107"/>
  <c r="O92" i="107"/>
  <c r="P91" i="107"/>
  <c r="O91" i="107"/>
  <c r="P90" i="107"/>
  <c r="O90" i="107"/>
  <c r="P89" i="107"/>
  <c r="O89" i="107"/>
  <c r="P88" i="107"/>
  <c r="O88" i="107"/>
  <c r="P87" i="107"/>
  <c r="O87" i="107"/>
  <c r="P86" i="107"/>
  <c r="O86" i="107"/>
  <c r="P85" i="107"/>
  <c r="O85" i="107"/>
  <c r="P84" i="107"/>
  <c r="O84" i="107"/>
  <c r="P83" i="107"/>
  <c r="O83" i="107"/>
  <c r="P82" i="107"/>
  <c r="O82" i="107"/>
  <c r="P81" i="107"/>
  <c r="O81" i="107"/>
  <c r="P80" i="107"/>
  <c r="O80" i="107"/>
  <c r="P79" i="107"/>
  <c r="O79" i="107"/>
  <c r="P78" i="107"/>
  <c r="O78" i="107"/>
  <c r="P77" i="107"/>
  <c r="O77" i="107"/>
  <c r="P76" i="107"/>
  <c r="O76" i="107"/>
  <c r="P75" i="107"/>
  <c r="O75" i="107"/>
  <c r="P74" i="107"/>
  <c r="O74" i="107"/>
  <c r="P73" i="107"/>
  <c r="O73" i="107"/>
  <c r="P72" i="107"/>
  <c r="O72" i="107"/>
  <c r="P71" i="107"/>
  <c r="O71" i="107"/>
  <c r="P70" i="107"/>
  <c r="O70" i="107"/>
  <c r="P69" i="107"/>
  <c r="O69" i="107"/>
  <c r="P68" i="107"/>
  <c r="O68" i="107"/>
  <c r="P67" i="107"/>
  <c r="O67" i="107"/>
  <c r="P66" i="107"/>
  <c r="O66" i="107"/>
  <c r="P65" i="107"/>
  <c r="O65" i="107"/>
  <c r="P64" i="107"/>
  <c r="O64" i="107"/>
  <c r="P63" i="107"/>
  <c r="O63" i="107"/>
  <c r="P62" i="107"/>
  <c r="O62" i="107"/>
  <c r="P61" i="107"/>
  <c r="O61" i="107"/>
  <c r="P60" i="107"/>
  <c r="O60" i="107"/>
  <c r="P59" i="107"/>
  <c r="O59" i="107"/>
  <c r="P58" i="107"/>
  <c r="O58" i="107"/>
  <c r="D58" i="107"/>
  <c r="E58" i="107"/>
  <c r="F58" i="107"/>
  <c r="G58" i="107"/>
  <c r="H58" i="107"/>
  <c r="I58" i="107"/>
  <c r="J58" i="107"/>
  <c r="K58" i="107"/>
  <c r="L58" i="107"/>
  <c r="M58" i="107"/>
  <c r="N58" i="107"/>
  <c r="D59" i="107"/>
  <c r="E59" i="107"/>
  <c r="F59" i="107"/>
  <c r="G59" i="107"/>
  <c r="H59" i="107"/>
  <c r="I59" i="107"/>
  <c r="J59" i="107"/>
  <c r="K59" i="107"/>
  <c r="L59" i="107"/>
  <c r="M59" i="107"/>
  <c r="N59" i="107"/>
  <c r="D60" i="107"/>
  <c r="E60" i="107"/>
  <c r="F60" i="107"/>
  <c r="G60" i="107"/>
  <c r="H60" i="107"/>
  <c r="I60" i="107"/>
  <c r="J60" i="107"/>
  <c r="K60" i="107"/>
  <c r="L60" i="107"/>
  <c r="M60" i="107"/>
  <c r="N60" i="107"/>
  <c r="D61" i="107"/>
  <c r="E61" i="107"/>
  <c r="F61" i="107"/>
  <c r="G61" i="107"/>
  <c r="H61" i="107"/>
  <c r="I61" i="107"/>
  <c r="J61" i="107"/>
  <c r="K61" i="107"/>
  <c r="L61" i="107"/>
  <c r="M61" i="107"/>
  <c r="N61" i="107"/>
  <c r="D62" i="107"/>
  <c r="E62" i="107"/>
  <c r="F62" i="107"/>
  <c r="G62" i="107"/>
  <c r="H62" i="107"/>
  <c r="I62" i="107"/>
  <c r="J62" i="107"/>
  <c r="K62" i="107"/>
  <c r="L62" i="107"/>
  <c r="M62" i="107"/>
  <c r="N62" i="107"/>
  <c r="D63" i="107"/>
  <c r="E63" i="107"/>
  <c r="F63" i="107"/>
  <c r="G63" i="107"/>
  <c r="H63" i="107"/>
  <c r="I63" i="107"/>
  <c r="J63" i="107"/>
  <c r="K63" i="107"/>
  <c r="L63" i="107"/>
  <c r="M63" i="107"/>
  <c r="N63" i="107"/>
  <c r="D64" i="107"/>
  <c r="E64" i="107"/>
  <c r="F64" i="107"/>
  <c r="G64" i="107"/>
  <c r="H64" i="107"/>
  <c r="I64" i="107"/>
  <c r="J64" i="107"/>
  <c r="K64" i="107"/>
  <c r="L64" i="107"/>
  <c r="M64" i="107"/>
  <c r="N64" i="107"/>
  <c r="D65" i="107"/>
  <c r="E65" i="107"/>
  <c r="F65" i="107"/>
  <c r="G65" i="107"/>
  <c r="H65" i="107"/>
  <c r="I65" i="107"/>
  <c r="J65" i="107"/>
  <c r="K65" i="107"/>
  <c r="L65" i="107"/>
  <c r="M65" i="107"/>
  <c r="N65" i="107"/>
  <c r="D66" i="107"/>
  <c r="E66" i="107"/>
  <c r="F66" i="107"/>
  <c r="G66" i="107"/>
  <c r="H66" i="107"/>
  <c r="I66" i="107"/>
  <c r="J66" i="107"/>
  <c r="K66" i="107"/>
  <c r="L66" i="107"/>
  <c r="M66" i="107"/>
  <c r="N66" i="107"/>
  <c r="D67" i="107"/>
  <c r="E67" i="107"/>
  <c r="F67" i="107"/>
  <c r="G67" i="107"/>
  <c r="H67" i="107"/>
  <c r="I67" i="107"/>
  <c r="J67" i="107"/>
  <c r="K67" i="107"/>
  <c r="L67" i="107"/>
  <c r="M67" i="107"/>
  <c r="N67" i="107"/>
  <c r="D68" i="107"/>
  <c r="E68" i="107"/>
  <c r="F68" i="107"/>
  <c r="G68" i="107"/>
  <c r="H68" i="107"/>
  <c r="I68" i="107"/>
  <c r="J68" i="107"/>
  <c r="K68" i="107"/>
  <c r="L68" i="107"/>
  <c r="M68" i="107"/>
  <c r="N68" i="107"/>
  <c r="D69" i="107"/>
  <c r="E69" i="107"/>
  <c r="F69" i="107"/>
  <c r="G69" i="107"/>
  <c r="H69" i="107"/>
  <c r="I69" i="107"/>
  <c r="J69" i="107"/>
  <c r="K69" i="107"/>
  <c r="L69" i="107"/>
  <c r="M69" i="107"/>
  <c r="N69" i="107"/>
  <c r="D70" i="107"/>
  <c r="E70" i="107"/>
  <c r="F70" i="107"/>
  <c r="G70" i="107"/>
  <c r="H70" i="107"/>
  <c r="I70" i="107"/>
  <c r="J70" i="107"/>
  <c r="K70" i="107"/>
  <c r="L70" i="107"/>
  <c r="M70" i="107"/>
  <c r="N70" i="107"/>
  <c r="D71" i="107"/>
  <c r="E71" i="107"/>
  <c r="F71" i="107"/>
  <c r="G71" i="107"/>
  <c r="H71" i="107"/>
  <c r="I71" i="107"/>
  <c r="J71" i="107"/>
  <c r="K71" i="107"/>
  <c r="L71" i="107"/>
  <c r="M71" i="107"/>
  <c r="N71" i="107"/>
  <c r="D72" i="107"/>
  <c r="E72" i="107"/>
  <c r="F72" i="107"/>
  <c r="G72" i="107"/>
  <c r="H72" i="107"/>
  <c r="I72" i="107"/>
  <c r="J72" i="107"/>
  <c r="K72" i="107"/>
  <c r="L72" i="107"/>
  <c r="M72" i="107"/>
  <c r="N72" i="107"/>
  <c r="D73" i="107"/>
  <c r="E73" i="107"/>
  <c r="F73" i="107"/>
  <c r="G73" i="107"/>
  <c r="H73" i="107"/>
  <c r="I73" i="107"/>
  <c r="J73" i="107"/>
  <c r="K73" i="107"/>
  <c r="L73" i="107"/>
  <c r="M73" i="107"/>
  <c r="N73" i="107"/>
  <c r="D74" i="107"/>
  <c r="E74" i="107"/>
  <c r="F74" i="107"/>
  <c r="G74" i="107"/>
  <c r="H74" i="107"/>
  <c r="I74" i="107"/>
  <c r="J74" i="107"/>
  <c r="K74" i="107"/>
  <c r="L74" i="107"/>
  <c r="M74" i="107"/>
  <c r="N74" i="107"/>
  <c r="D75" i="107"/>
  <c r="E75" i="107"/>
  <c r="F75" i="107"/>
  <c r="G75" i="107"/>
  <c r="H75" i="107"/>
  <c r="I75" i="107"/>
  <c r="J75" i="107"/>
  <c r="K75" i="107"/>
  <c r="L75" i="107"/>
  <c r="M75" i="107"/>
  <c r="N75" i="107"/>
  <c r="D76" i="107"/>
  <c r="E76" i="107"/>
  <c r="F76" i="107"/>
  <c r="G76" i="107"/>
  <c r="H76" i="107"/>
  <c r="I76" i="107"/>
  <c r="J76" i="107"/>
  <c r="K76" i="107"/>
  <c r="L76" i="107"/>
  <c r="M76" i="107"/>
  <c r="N76" i="107"/>
  <c r="D77" i="107"/>
  <c r="E77" i="107"/>
  <c r="F77" i="107"/>
  <c r="G77" i="107"/>
  <c r="H77" i="107"/>
  <c r="I77" i="107"/>
  <c r="J77" i="107"/>
  <c r="K77" i="107"/>
  <c r="L77" i="107"/>
  <c r="M77" i="107"/>
  <c r="N77" i="107"/>
  <c r="D78" i="107"/>
  <c r="E78" i="107"/>
  <c r="F78" i="107"/>
  <c r="G78" i="107"/>
  <c r="H78" i="107"/>
  <c r="I78" i="107"/>
  <c r="J78" i="107"/>
  <c r="K78" i="107"/>
  <c r="L78" i="107"/>
  <c r="M78" i="107"/>
  <c r="N78" i="107"/>
  <c r="D79" i="107"/>
  <c r="E79" i="107"/>
  <c r="F79" i="107"/>
  <c r="G79" i="107"/>
  <c r="H79" i="107"/>
  <c r="I79" i="107"/>
  <c r="J79" i="107"/>
  <c r="K79" i="107"/>
  <c r="L79" i="107"/>
  <c r="M79" i="107"/>
  <c r="N79" i="107"/>
  <c r="D80" i="107"/>
  <c r="E80" i="107"/>
  <c r="F80" i="107"/>
  <c r="G80" i="107"/>
  <c r="H80" i="107"/>
  <c r="I80" i="107"/>
  <c r="J80" i="107"/>
  <c r="K80" i="107"/>
  <c r="L80" i="107"/>
  <c r="M80" i="107"/>
  <c r="N80" i="107"/>
  <c r="D81" i="107"/>
  <c r="E81" i="107"/>
  <c r="F81" i="107"/>
  <c r="G81" i="107"/>
  <c r="H81" i="107"/>
  <c r="I81" i="107"/>
  <c r="J81" i="107"/>
  <c r="K81" i="107"/>
  <c r="L81" i="107"/>
  <c r="M81" i="107"/>
  <c r="N81" i="107"/>
  <c r="D82" i="107"/>
  <c r="E82" i="107"/>
  <c r="F82" i="107"/>
  <c r="G82" i="107"/>
  <c r="H82" i="107"/>
  <c r="I82" i="107"/>
  <c r="J82" i="107"/>
  <c r="K82" i="107"/>
  <c r="L82" i="107"/>
  <c r="M82" i="107"/>
  <c r="N82" i="107"/>
  <c r="D83" i="107"/>
  <c r="E83" i="107"/>
  <c r="F83" i="107"/>
  <c r="G83" i="107"/>
  <c r="H83" i="107"/>
  <c r="I83" i="107"/>
  <c r="J83" i="107"/>
  <c r="K83" i="107"/>
  <c r="L83" i="107"/>
  <c r="M83" i="107"/>
  <c r="N83" i="107"/>
  <c r="D84" i="107"/>
  <c r="E84" i="107"/>
  <c r="F84" i="107"/>
  <c r="G84" i="107"/>
  <c r="H84" i="107"/>
  <c r="I84" i="107"/>
  <c r="J84" i="107"/>
  <c r="K84" i="107"/>
  <c r="L84" i="107"/>
  <c r="M84" i="107"/>
  <c r="N84" i="107"/>
  <c r="D85" i="107"/>
  <c r="E85" i="107"/>
  <c r="F85" i="107"/>
  <c r="G85" i="107"/>
  <c r="H85" i="107"/>
  <c r="I85" i="107"/>
  <c r="J85" i="107"/>
  <c r="K85" i="107"/>
  <c r="L85" i="107"/>
  <c r="M85" i="107"/>
  <c r="N85" i="107"/>
  <c r="D86" i="107"/>
  <c r="E86" i="107"/>
  <c r="F86" i="107"/>
  <c r="G86" i="107"/>
  <c r="H86" i="107"/>
  <c r="I86" i="107"/>
  <c r="J86" i="107"/>
  <c r="K86" i="107"/>
  <c r="L86" i="107"/>
  <c r="M86" i="107"/>
  <c r="N86" i="107"/>
  <c r="D87" i="107"/>
  <c r="E87" i="107"/>
  <c r="F87" i="107"/>
  <c r="G87" i="107"/>
  <c r="H87" i="107"/>
  <c r="I87" i="107"/>
  <c r="J87" i="107"/>
  <c r="K87" i="107"/>
  <c r="L87" i="107"/>
  <c r="M87" i="107"/>
  <c r="N87" i="107"/>
  <c r="D88" i="107"/>
  <c r="E88" i="107"/>
  <c r="F88" i="107"/>
  <c r="G88" i="107"/>
  <c r="H88" i="107"/>
  <c r="I88" i="107"/>
  <c r="J88" i="107"/>
  <c r="K88" i="107"/>
  <c r="L88" i="107"/>
  <c r="M88" i="107"/>
  <c r="N88" i="107"/>
  <c r="D89" i="107"/>
  <c r="E89" i="107"/>
  <c r="F89" i="107"/>
  <c r="G89" i="107"/>
  <c r="H89" i="107"/>
  <c r="I89" i="107"/>
  <c r="J89" i="107"/>
  <c r="K89" i="107"/>
  <c r="L89" i="107"/>
  <c r="M89" i="107"/>
  <c r="N89" i="107"/>
  <c r="D90" i="107"/>
  <c r="E90" i="107"/>
  <c r="F90" i="107"/>
  <c r="G90" i="107"/>
  <c r="H90" i="107"/>
  <c r="I90" i="107"/>
  <c r="J90" i="107"/>
  <c r="K90" i="107"/>
  <c r="L90" i="107"/>
  <c r="M90" i="107"/>
  <c r="N90" i="107"/>
  <c r="D91" i="107"/>
  <c r="E91" i="107"/>
  <c r="F91" i="107"/>
  <c r="G91" i="107"/>
  <c r="H91" i="107"/>
  <c r="I91" i="107"/>
  <c r="J91" i="107"/>
  <c r="K91" i="107"/>
  <c r="L91" i="107"/>
  <c r="M91" i="107"/>
  <c r="N91" i="107"/>
  <c r="D92" i="107"/>
  <c r="E92" i="107"/>
  <c r="F92" i="107"/>
  <c r="G92" i="107"/>
  <c r="H92" i="107"/>
  <c r="I92" i="107"/>
  <c r="J92" i="107"/>
  <c r="K92" i="107"/>
  <c r="L92" i="107"/>
  <c r="M92" i="107"/>
  <c r="N92" i="107"/>
  <c r="D93" i="107"/>
  <c r="E93" i="107"/>
  <c r="F93" i="107"/>
  <c r="G93" i="107"/>
  <c r="H93" i="107"/>
  <c r="I93" i="107"/>
  <c r="J93" i="107"/>
  <c r="K93" i="107"/>
  <c r="L93" i="107"/>
  <c r="M93" i="107"/>
  <c r="N93" i="107"/>
  <c r="D94" i="107"/>
  <c r="E94" i="107"/>
  <c r="F94" i="107"/>
  <c r="G94" i="107"/>
  <c r="H94" i="107"/>
  <c r="I94" i="107"/>
  <c r="J94" i="107"/>
  <c r="K94" i="107"/>
  <c r="L94" i="107"/>
  <c r="M94" i="107"/>
  <c r="N94" i="107"/>
  <c r="D95" i="107"/>
  <c r="E95" i="107"/>
  <c r="F95" i="107"/>
  <c r="G95" i="107"/>
  <c r="H95" i="107"/>
  <c r="I95" i="107"/>
  <c r="J95" i="107"/>
  <c r="K95" i="107"/>
  <c r="L95" i="107"/>
  <c r="M95" i="107"/>
  <c r="N95" i="107"/>
  <c r="D96" i="107"/>
  <c r="E96" i="107"/>
  <c r="F96" i="107"/>
  <c r="G96" i="107"/>
  <c r="H96" i="107"/>
  <c r="I96" i="107"/>
  <c r="J96" i="107"/>
  <c r="K96" i="107"/>
  <c r="L96" i="107"/>
  <c r="M96" i="107"/>
  <c r="N96" i="107"/>
  <c r="D97" i="107"/>
  <c r="E97" i="107"/>
  <c r="F97" i="107"/>
  <c r="G97" i="107"/>
  <c r="H97" i="107"/>
  <c r="I97" i="107"/>
  <c r="J97" i="107"/>
  <c r="K97" i="107"/>
  <c r="L97" i="107"/>
  <c r="M97" i="107"/>
  <c r="N97" i="107"/>
  <c r="D98" i="107"/>
  <c r="E98" i="107"/>
  <c r="F98" i="107"/>
  <c r="G98" i="107"/>
  <c r="H98" i="107"/>
  <c r="I98" i="107"/>
  <c r="J98" i="107"/>
  <c r="K98" i="107"/>
  <c r="L98" i="107"/>
  <c r="M98" i="107"/>
  <c r="N98" i="107"/>
  <c r="D99" i="107"/>
  <c r="E99" i="107"/>
  <c r="F99" i="107"/>
  <c r="G99" i="107"/>
  <c r="H99" i="107"/>
  <c r="I99" i="107"/>
  <c r="J99" i="107"/>
  <c r="K99" i="107"/>
  <c r="L99" i="107"/>
  <c r="M99" i="107"/>
  <c r="N99" i="107"/>
  <c r="D100" i="107"/>
  <c r="E100" i="107"/>
  <c r="F100" i="107"/>
  <c r="G100" i="107"/>
  <c r="H100" i="107"/>
  <c r="I100" i="107"/>
  <c r="J100" i="107"/>
  <c r="K100" i="107"/>
  <c r="L100" i="107"/>
  <c r="M100" i="107"/>
  <c r="N100" i="107"/>
  <c r="D101" i="107"/>
  <c r="E101" i="107"/>
  <c r="F101" i="107"/>
  <c r="G101" i="107"/>
  <c r="H101" i="107"/>
  <c r="I101" i="107"/>
  <c r="J101" i="107"/>
  <c r="K101" i="107"/>
  <c r="L101" i="107"/>
  <c r="M101" i="107"/>
  <c r="N101" i="107"/>
  <c r="D102" i="107"/>
  <c r="E102" i="107"/>
  <c r="F102" i="107"/>
  <c r="G102" i="107"/>
  <c r="H102" i="107"/>
  <c r="I102" i="107"/>
  <c r="J102" i="107"/>
  <c r="K102" i="107"/>
  <c r="L102" i="107"/>
  <c r="M102" i="107"/>
  <c r="N102" i="107"/>
  <c r="D103" i="107"/>
  <c r="E103" i="107"/>
  <c r="F103" i="107"/>
  <c r="G103" i="107"/>
  <c r="H103" i="107"/>
  <c r="I103" i="107"/>
  <c r="J103" i="107"/>
  <c r="K103" i="107"/>
  <c r="L103" i="107"/>
  <c r="M103" i="107"/>
  <c r="N103" i="107"/>
  <c r="D104" i="107"/>
  <c r="E104" i="107"/>
  <c r="F104" i="107"/>
  <c r="G104" i="107"/>
  <c r="H104" i="107"/>
  <c r="I104" i="107"/>
  <c r="J104" i="107"/>
  <c r="K104" i="107"/>
  <c r="L104" i="107"/>
  <c r="M104" i="107"/>
  <c r="N104" i="107"/>
  <c r="D105" i="107"/>
  <c r="E105" i="107"/>
  <c r="F105" i="107"/>
  <c r="G105" i="107"/>
  <c r="H105" i="107"/>
  <c r="I105" i="107"/>
  <c r="J105" i="107"/>
  <c r="K105" i="107"/>
  <c r="L105" i="107"/>
  <c r="M105" i="107"/>
  <c r="N105" i="107"/>
  <c r="C59" i="107"/>
  <c r="C60" i="107"/>
  <c r="C61" i="107"/>
  <c r="C62" i="107"/>
  <c r="C63" i="107"/>
  <c r="C64" i="107"/>
  <c r="C65" i="107"/>
  <c r="C66" i="107"/>
  <c r="C67" i="107"/>
  <c r="C68" i="107"/>
  <c r="C69" i="107"/>
  <c r="C70" i="107"/>
  <c r="C71" i="107"/>
  <c r="C72" i="107"/>
  <c r="C73" i="107"/>
  <c r="C74" i="107"/>
  <c r="C75" i="107"/>
  <c r="C76" i="107"/>
  <c r="C77" i="107"/>
  <c r="C78" i="107"/>
  <c r="C79" i="107"/>
  <c r="C80" i="107"/>
  <c r="C81" i="107"/>
  <c r="C82" i="107"/>
  <c r="C83" i="107"/>
  <c r="C84" i="107"/>
  <c r="C85" i="107"/>
  <c r="C86" i="107"/>
  <c r="C87" i="107"/>
  <c r="C88" i="107"/>
  <c r="C89" i="107"/>
  <c r="C90" i="107"/>
  <c r="C91" i="107"/>
  <c r="C92" i="107"/>
  <c r="C93" i="107"/>
  <c r="C94" i="107"/>
  <c r="C95" i="107"/>
  <c r="C96" i="107"/>
  <c r="C97" i="107"/>
  <c r="C98" i="107"/>
  <c r="C99" i="107"/>
  <c r="C100" i="107"/>
  <c r="C101" i="107"/>
  <c r="C102" i="107"/>
  <c r="C103" i="107"/>
  <c r="C104" i="107"/>
  <c r="C105" i="107"/>
  <c r="D58" i="108"/>
  <c r="E58" i="108"/>
  <c r="F58" i="108"/>
  <c r="G58" i="108"/>
  <c r="H58" i="108"/>
  <c r="I58" i="108"/>
  <c r="J58" i="108"/>
  <c r="K58" i="108"/>
  <c r="L58" i="108"/>
  <c r="M58" i="108"/>
  <c r="N58" i="108"/>
  <c r="D59" i="108"/>
  <c r="E59" i="108"/>
  <c r="F59" i="108"/>
  <c r="G59" i="108"/>
  <c r="H59" i="108"/>
  <c r="I59" i="108"/>
  <c r="J59" i="108"/>
  <c r="K59" i="108"/>
  <c r="L59" i="108"/>
  <c r="M59" i="108"/>
  <c r="N59" i="108"/>
  <c r="D60" i="108"/>
  <c r="E60" i="108"/>
  <c r="F60" i="108"/>
  <c r="G60" i="108"/>
  <c r="H60" i="108"/>
  <c r="I60" i="108"/>
  <c r="J60" i="108"/>
  <c r="K60" i="108"/>
  <c r="L60" i="108"/>
  <c r="M60" i="108"/>
  <c r="N60" i="108"/>
  <c r="D61" i="108"/>
  <c r="E61" i="108"/>
  <c r="F61" i="108"/>
  <c r="G61" i="108"/>
  <c r="H61" i="108"/>
  <c r="I61" i="108"/>
  <c r="J61" i="108"/>
  <c r="K61" i="108"/>
  <c r="L61" i="108"/>
  <c r="M61" i="108"/>
  <c r="N61" i="108"/>
  <c r="D62" i="108"/>
  <c r="E62" i="108"/>
  <c r="F62" i="108"/>
  <c r="G62" i="108"/>
  <c r="H62" i="108"/>
  <c r="I62" i="108"/>
  <c r="J62" i="108"/>
  <c r="K62" i="108"/>
  <c r="L62" i="108"/>
  <c r="M62" i="108"/>
  <c r="N62" i="108"/>
  <c r="D63" i="108"/>
  <c r="E63" i="108"/>
  <c r="F63" i="108"/>
  <c r="G63" i="108"/>
  <c r="H63" i="108"/>
  <c r="I63" i="108"/>
  <c r="J63" i="108"/>
  <c r="K63" i="108"/>
  <c r="L63" i="108"/>
  <c r="M63" i="108"/>
  <c r="N63" i="108"/>
  <c r="D64" i="108"/>
  <c r="E64" i="108"/>
  <c r="F64" i="108"/>
  <c r="G64" i="108"/>
  <c r="H64" i="108"/>
  <c r="I64" i="108"/>
  <c r="J64" i="108"/>
  <c r="K64" i="108"/>
  <c r="L64" i="108"/>
  <c r="M64" i="108"/>
  <c r="N64" i="108"/>
  <c r="D65" i="108"/>
  <c r="E65" i="108"/>
  <c r="F65" i="108"/>
  <c r="G65" i="108"/>
  <c r="H65" i="108"/>
  <c r="I65" i="108"/>
  <c r="J65" i="108"/>
  <c r="K65" i="108"/>
  <c r="L65" i="108"/>
  <c r="M65" i="108"/>
  <c r="N65" i="108"/>
  <c r="D66" i="108"/>
  <c r="E66" i="108"/>
  <c r="F66" i="108"/>
  <c r="G66" i="108"/>
  <c r="H66" i="108"/>
  <c r="I66" i="108"/>
  <c r="J66" i="108"/>
  <c r="K66" i="108"/>
  <c r="L66" i="108"/>
  <c r="M66" i="108"/>
  <c r="N66" i="108"/>
  <c r="D67" i="108"/>
  <c r="E67" i="108"/>
  <c r="F67" i="108"/>
  <c r="G67" i="108"/>
  <c r="H67" i="108"/>
  <c r="I67" i="108"/>
  <c r="J67" i="108"/>
  <c r="K67" i="108"/>
  <c r="L67" i="108"/>
  <c r="M67" i="108"/>
  <c r="N67" i="108"/>
  <c r="D68" i="108"/>
  <c r="E68" i="108"/>
  <c r="F68" i="108"/>
  <c r="G68" i="108"/>
  <c r="H68" i="108"/>
  <c r="I68" i="108"/>
  <c r="J68" i="108"/>
  <c r="K68" i="108"/>
  <c r="L68" i="108"/>
  <c r="M68" i="108"/>
  <c r="N68" i="108"/>
  <c r="D69" i="108"/>
  <c r="E69" i="108"/>
  <c r="F69" i="108"/>
  <c r="G69" i="108"/>
  <c r="H69" i="108"/>
  <c r="I69" i="108"/>
  <c r="J69" i="108"/>
  <c r="K69" i="108"/>
  <c r="L69" i="108"/>
  <c r="M69" i="108"/>
  <c r="N69" i="108"/>
  <c r="D70" i="108"/>
  <c r="E70" i="108"/>
  <c r="F70" i="108"/>
  <c r="G70" i="108"/>
  <c r="H70" i="108"/>
  <c r="I70" i="108"/>
  <c r="J70" i="108"/>
  <c r="K70" i="108"/>
  <c r="L70" i="108"/>
  <c r="M70" i="108"/>
  <c r="N70" i="108"/>
  <c r="D71" i="108"/>
  <c r="E71" i="108"/>
  <c r="F71" i="108"/>
  <c r="G71" i="108"/>
  <c r="H71" i="108"/>
  <c r="I71" i="108"/>
  <c r="J71" i="108"/>
  <c r="K71" i="108"/>
  <c r="L71" i="108"/>
  <c r="M71" i="108"/>
  <c r="N71" i="108"/>
  <c r="D72" i="108"/>
  <c r="E72" i="108"/>
  <c r="F72" i="108"/>
  <c r="G72" i="108"/>
  <c r="H72" i="108"/>
  <c r="I72" i="108"/>
  <c r="J72" i="108"/>
  <c r="K72" i="108"/>
  <c r="L72" i="108"/>
  <c r="M72" i="108"/>
  <c r="N72" i="108"/>
  <c r="D73" i="108"/>
  <c r="E73" i="108"/>
  <c r="F73" i="108"/>
  <c r="G73" i="108"/>
  <c r="H73" i="108"/>
  <c r="I73" i="108"/>
  <c r="J73" i="108"/>
  <c r="K73" i="108"/>
  <c r="L73" i="108"/>
  <c r="M73" i="108"/>
  <c r="N73" i="108"/>
  <c r="D74" i="108"/>
  <c r="E74" i="108"/>
  <c r="F74" i="108"/>
  <c r="G74" i="108"/>
  <c r="H74" i="108"/>
  <c r="I74" i="108"/>
  <c r="J74" i="108"/>
  <c r="K74" i="108"/>
  <c r="L74" i="108"/>
  <c r="M74" i="108"/>
  <c r="N74" i="108"/>
  <c r="D75" i="108"/>
  <c r="E75" i="108"/>
  <c r="F75" i="108"/>
  <c r="G75" i="108"/>
  <c r="H75" i="108"/>
  <c r="I75" i="108"/>
  <c r="J75" i="108"/>
  <c r="K75" i="108"/>
  <c r="L75" i="108"/>
  <c r="M75" i="108"/>
  <c r="N75" i="108"/>
  <c r="D76" i="108"/>
  <c r="E76" i="108"/>
  <c r="F76" i="108"/>
  <c r="G76" i="108"/>
  <c r="H76" i="108"/>
  <c r="I76" i="108"/>
  <c r="J76" i="108"/>
  <c r="K76" i="108"/>
  <c r="L76" i="108"/>
  <c r="M76" i="108"/>
  <c r="N76" i="108"/>
  <c r="D77" i="108"/>
  <c r="E77" i="108"/>
  <c r="F77" i="108"/>
  <c r="G77" i="108"/>
  <c r="H77" i="108"/>
  <c r="I77" i="108"/>
  <c r="J77" i="108"/>
  <c r="K77" i="108"/>
  <c r="L77" i="108"/>
  <c r="M77" i="108"/>
  <c r="N77" i="108"/>
  <c r="D78" i="108"/>
  <c r="E78" i="108"/>
  <c r="F78" i="108"/>
  <c r="G78" i="108"/>
  <c r="H78" i="108"/>
  <c r="I78" i="108"/>
  <c r="J78" i="108"/>
  <c r="K78" i="108"/>
  <c r="L78" i="108"/>
  <c r="M78" i="108"/>
  <c r="N78" i="108"/>
  <c r="D79" i="108"/>
  <c r="E79" i="108"/>
  <c r="F79" i="108"/>
  <c r="G79" i="108"/>
  <c r="H79" i="108"/>
  <c r="I79" i="108"/>
  <c r="J79" i="108"/>
  <c r="K79" i="108"/>
  <c r="L79" i="108"/>
  <c r="M79" i="108"/>
  <c r="N79" i="108"/>
  <c r="D80" i="108"/>
  <c r="E80" i="108"/>
  <c r="F80" i="108"/>
  <c r="G80" i="108"/>
  <c r="H80" i="108"/>
  <c r="I80" i="108"/>
  <c r="J80" i="108"/>
  <c r="K80" i="108"/>
  <c r="L80" i="108"/>
  <c r="M80" i="108"/>
  <c r="N80" i="108"/>
  <c r="D81" i="108"/>
  <c r="E81" i="108"/>
  <c r="F81" i="108"/>
  <c r="G81" i="108"/>
  <c r="H81" i="108"/>
  <c r="I81" i="108"/>
  <c r="J81" i="108"/>
  <c r="K81" i="108"/>
  <c r="L81" i="108"/>
  <c r="M81" i="108"/>
  <c r="N81" i="108"/>
  <c r="D82" i="108"/>
  <c r="E82" i="108"/>
  <c r="F82" i="108"/>
  <c r="G82" i="108"/>
  <c r="H82" i="108"/>
  <c r="I82" i="108"/>
  <c r="J82" i="108"/>
  <c r="K82" i="108"/>
  <c r="L82" i="108"/>
  <c r="M82" i="108"/>
  <c r="N82" i="108"/>
  <c r="D83" i="108"/>
  <c r="E83" i="108"/>
  <c r="F83" i="108"/>
  <c r="G83" i="108"/>
  <c r="H83" i="108"/>
  <c r="I83" i="108"/>
  <c r="J83" i="108"/>
  <c r="K83" i="108"/>
  <c r="L83" i="108"/>
  <c r="M83" i="108"/>
  <c r="N83" i="108"/>
  <c r="D84" i="108"/>
  <c r="E84" i="108"/>
  <c r="F84" i="108"/>
  <c r="G84" i="108"/>
  <c r="H84" i="108"/>
  <c r="I84" i="108"/>
  <c r="J84" i="108"/>
  <c r="K84" i="108"/>
  <c r="L84" i="108"/>
  <c r="M84" i="108"/>
  <c r="N84" i="108"/>
  <c r="D85" i="108"/>
  <c r="E85" i="108"/>
  <c r="F85" i="108"/>
  <c r="G85" i="108"/>
  <c r="H85" i="108"/>
  <c r="I85" i="108"/>
  <c r="J85" i="108"/>
  <c r="K85" i="108"/>
  <c r="L85" i="108"/>
  <c r="M85" i="108"/>
  <c r="N85" i="108"/>
  <c r="D86" i="108"/>
  <c r="E86" i="108"/>
  <c r="F86" i="108"/>
  <c r="G86" i="108"/>
  <c r="H86" i="108"/>
  <c r="I86" i="108"/>
  <c r="J86" i="108"/>
  <c r="K86" i="108"/>
  <c r="L86" i="108"/>
  <c r="M86" i="108"/>
  <c r="N86" i="108"/>
  <c r="D87" i="108"/>
  <c r="E87" i="108"/>
  <c r="F87" i="108"/>
  <c r="G87" i="108"/>
  <c r="H87" i="108"/>
  <c r="I87" i="108"/>
  <c r="J87" i="108"/>
  <c r="K87" i="108"/>
  <c r="L87" i="108"/>
  <c r="M87" i="108"/>
  <c r="N87" i="108"/>
  <c r="D88" i="108"/>
  <c r="E88" i="108"/>
  <c r="F88" i="108"/>
  <c r="G88" i="108"/>
  <c r="H88" i="108"/>
  <c r="I88" i="108"/>
  <c r="J88" i="108"/>
  <c r="K88" i="108"/>
  <c r="L88" i="108"/>
  <c r="M88" i="108"/>
  <c r="N88" i="108"/>
  <c r="D89" i="108"/>
  <c r="E89" i="108"/>
  <c r="F89" i="108"/>
  <c r="G89" i="108"/>
  <c r="H89" i="108"/>
  <c r="I89" i="108"/>
  <c r="J89" i="108"/>
  <c r="K89" i="108"/>
  <c r="L89" i="108"/>
  <c r="M89" i="108"/>
  <c r="N89" i="108"/>
  <c r="D90" i="108"/>
  <c r="E90" i="108"/>
  <c r="F90" i="108"/>
  <c r="G90" i="108"/>
  <c r="H90" i="108"/>
  <c r="I90" i="108"/>
  <c r="J90" i="108"/>
  <c r="K90" i="108"/>
  <c r="L90" i="108"/>
  <c r="M90" i="108"/>
  <c r="N90" i="108"/>
  <c r="D91" i="108"/>
  <c r="E91" i="108"/>
  <c r="F91" i="108"/>
  <c r="G91" i="108"/>
  <c r="H91" i="108"/>
  <c r="I91" i="108"/>
  <c r="J91" i="108"/>
  <c r="K91" i="108"/>
  <c r="L91" i="108"/>
  <c r="M91" i="108"/>
  <c r="N91" i="108"/>
  <c r="D92" i="108"/>
  <c r="E92" i="108"/>
  <c r="F92" i="108"/>
  <c r="G92" i="108"/>
  <c r="H92" i="108"/>
  <c r="I92" i="108"/>
  <c r="J92" i="108"/>
  <c r="K92" i="108"/>
  <c r="L92" i="108"/>
  <c r="M92" i="108"/>
  <c r="N92" i="108"/>
  <c r="D93" i="108"/>
  <c r="E93" i="108"/>
  <c r="F93" i="108"/>
  <c r="G93" i="108"/>
  <c r="H93" i="108"/>
  <c r="I93" i="108"/>
  <c r="J93" i="108"/>
  <c r="K93" i="108"/>
  <c r="L93" i="108"/>
  <c r="M93" i="108"/>
  <c r="N93" i="108"/>
  <c r="D94" i="108"/>
  <c r="E94" i="108"/>
  <c r="F94" i="108"/>
  <c r="G94" i="108"/>
  <c r="H94" i="108"/>
  <c r="I94" i="108"/>
  <c r="J94" i="108"/>
  <c r="K94" i="108"/>
  <c r="L94" i="108"/>
  <c r="M94" i="108"/>
  <c r="N94" i="108"/>
  <c r="D95" i="108"/>
  <c r="E95" i="108"/>
  <c r="F95" i="108"/>
  <c r="G95" i="108"/>
  <c r="H95" i="108"/>
  <c r="I95" i="108"/>
  <c r="J95" i="108"/>
  <c r="K95" i="108"/>
  <c r="L95" i="108"/>
  <c r="M95" i="108"/>
  <c r="N95" i="108"/>
  <c r="D96" i="108"/>
  <c r="E96" i="108"/>
  <c r="F96" i="108"/>
  <c r="G96" i="108"/>
  <c r="H96" i="108"/>
  <c r="I96" i="108"/>
  <c r="J96" i="108"/>
  <c r="K96" i="108"/>
  <c r="L96" i="108"/>
  <c r="M96" i="108"/>
  <c r="N96" i="108"/>
  <c r="D97" i="108"/>
  <c r="E97" i="108"/>
  <c r="F97" i="108"/>
  <c r="G97" i="108"/>
  <c r="H97" i="108"/>
  <c r="I97" i="108"/>
  <c r="J97" i="108"/>
  <c r="K97" i="108"/>
  <c r="L97" i="108"/>
  <c r="M97" i="108"/>
  <c r="N97" i="108"/>
  <c r="D98" i="108"/>
  <c r="E98" i="108"/>
  <c r="F98" i="108"/>
  <c r="G98" i="108"/>
  <c r="H98" i="108"/>
  <c r="I98" i="108"/>
  <c r="J98" i="108"/>
  <c r="K98" i="108"/>
  <c r="L98" i="108"/>
  <c r="M98" i="108"/>
  <c r="N98" i="108"/>
  <c r="D99" i="108"/>
  <c r="E99" i="108"/>
  <c r="F99" i="108"/>
  <c r="G99" i="108"/>
  <c r="H99" i="108"/>
  <c r="I99" i="108"/>
  <c r="J99" i="108"/>
  <c r="K99" i="108"/>
  <c r="L99" i="108"/>
  <c r="M99" i="108"/>
  <c r="N99" i="108"/>
  <c r="D100" i="108"/>
  <c r="E100" i="108"/>
  <c r="F100" i="108"/>
  <c r="G100" i="108"/>
  <c r="H100" i="108"/>
  <c r="I100" i="108"/>
  <c r="J100" i="108"/>
  <c r="K100" i="108"/>
  <c r="L100" i="108"/>
  <c r="M100" i="108"/>
  <c r="N100" i="108"/>
  <c r="D101" i="108"/>
  <c r="E101" i="108"/>
  <c r="F101" i="108"/>
  <c r="G101" i="108"/>
  <c r="H101" i="108"/>
  <c r="I101" i="108"/>
  <c r="J101" i="108"/>
  <c r="K101" i="108"/>
  <c r="L101" i="108"/>
  <c r="M101" i="108"/>
  <c r="N101" i="108"/>
  <c r="D102" i="108"/>
  <c r="E102" i="108"/>
  <c r="F102" i="108"/>
  <c r="G102" i="108"/>
  <c r="H102" i="108"/>
  <c r="I102" i="108"/>
  <c r="J102" i="108"/>
  <c r="K102" i="108"/>
  <c r="L102" i="108"/>
  <c r="M102" i="108"/>
  <c r="N102" i="108"/>
  <c r="D103" i="108"/>
  <c r="E103" i="108"/>
  <c r="F103" i="108"/>
  <c r="G103" i="108"/>
  <c r="H103" i="108"/>
  <c r="I103" i="108"/>
  <c r="J103" i="108"/>
  <c r="K103" i="108"/>
  <c r="L103" i="108"/>
  <c r="M103" i="108"/>
  <c r="N103" i="108"/>
  <c r="D104" i="108"/>
  <c r="E104" i="108"/>
  <c r="F104" i="108"/>
  <c r="G104" i="108"/>
  <c r="H104" i="108"/>
  <c r="I104" i="108"/>
  <c r="J104" i="108"/>
  <c r="K104" i="108"/>
  <c r="L104" i="108"/>
  <c r="M104" i="108"/>
  <c r="N104" i="108"/>
  <c r="D105" i="108"/>
  <c r="E105" i="108"/>
  <c r="F105" i="108"/>
  <c r="G105" i="108"/>
  <c r="H105" i="108"/>
  <c r="I105" i="108"/>
  <c r="J105" i="108"/>
  <c r="K105" i="108"/>
  <c r="L105" i="108"/>
  <c r="M105" i="108"/>
  <c r="N105" i="108"/>
  <c r="C59" i="108"/>
  <c r="C60" i="108"/>
  <c r="C61" i="108"/>
  <c r="C62" i="108"/>
  <c r="C63" i="108"/>
  <c r="C64" i="108"/>
  <c r="C65" i="108"/>
  <c r="C66" i="108"/>
  <c r="C67" i="108"/>
  <c r="C68" i="108"/>
  <c r="C69" i="108"/>
  <c r="C70" i="108"/>
  <c r="C71" i="108"/>
  <c r="C72" i="108"/>
  <c r="C73" i="108"/>
  <c r="C74" i="108"/>
  <c r="C75" i="108"/>
  <c r="C76" i="108"/>
  <c r="C77" i="108"/>
  <c r="C78" i="108"/>
  <c r="C79" i="108"/>
  <c r="C80" i="108"/>
  <c r="C81" i="108"/>
  <c r="C82" i="108"/>
  <c r="C83" i="108"/>
  <c r="C84" i="108"/>
  <c r="C85" i="108"/>
  <c r="C86" i="108"/>
  <c r="C87" i="108"/>
  <c r="C88" i="108"/>
  <c r="C89" i="108"/>
  <c r="C90" i="108"/>
  <c r="C91" i="108"/>
  <c r="C92" i="108"/>
  <c r="C93" i="108"/>
  <c r="C94" i="108"/>
  <c r="C95" i="108"/>
  <c r="C96" i="108"/>
  <c r="C97" i="108"/>
  <c r="C98" i="108"/>
  <c r="C99" i="108"/>
  <c r="C100" i="108"/>
  <c r="C101" i="108"/>
  <c r="C102" i="108"/>
  <c r="C103" i="108"/>
  <c r="C104" i="108"/>
  <c r="C105" i="108"/>
  <c r="C58" i="108"/>
  <c r="C58" i="107"/>
  <c r="O47" i="104" l="1"/>
  <c r="P47" i="104"/>
  <c r="P46" i="100"/>
  <c r="P45" i="100"/>
  <c r="O49" i="100"/>
  <c r="P49" i="100"/>
  <c r="K5" i="99"/>
  <c r="K5" i="105"/>
  <c r="K5" i="101"/>
  <c r="K5" i="97"/>
  <c r="O12" i="101"/>
  <c r="O50" i="96"/>
  <c r="P50" i="96"/>
  <c r="C3" i="94" l="1"/>
  <c r="K6" i="98" l="1"/>
  <c r="K6" i="99" s="1"/>
  <c r="K6" i="100" s="1"/>
  <c r="K6" i="101" s="1"/>
  <c r="K6" i="109" s="1"/>
  <c r="K6" i="105" s="1"/>
  <c r="K6" i="110" s="1"/>
  <c r="K6" i="103" s="1"/>
  <c r="K5" i="103"/>
  <c r="G5" i="98"/>
  <c r="G5" i="99" s="1"/>
  <c r="G5" i="100" s="1"/>
  <c r="G5" i="101" s="1"/>
  <c r="G5" i="109" s="1"/>
  <c r="G5" i="105" s="1"/>
  <c r="G5" i="110" s="1"/>
  <c r="G5" i="103" s="1"/>
  <c r="K6" i="97"/>
  <c r="G5" i="97"/>
  <c r="K6" i="96"/>
  <c r="G5" i="96"/>
  <c r="K6" i="95"/>
  <c r="K5" i="95"/>
  <c r="G5" i="95"/>
  <c r="K6" i="94"/>
  <c r="G5" i="94"/>
  <c r="G6" i="104"/>
  <c r="G6" i="108" s="1"/>
  <c r="G6" i="110"/>
  <c r="G6" i="100"/>
  <c r="G6" i="98"/>
  <c r="G6" i="96"/>
  <c r="G6" i="109" s="1"/>
  <c r="G6" i="103"/>
  <c r="G6" i="107" s="1"/>
  <c r="G6" i="105"/>
  <c r="G6" i="101"/>
  <c r="G6" i="99"/>
  <c r="G6" i="97"/>
  <c r="G6" i="95"/>
  <c r="D6" i="104"/>
  <c r="D6" i="108" s="1"/>
  <c r="D6" i="110"/>
  <c r="D6" i="109"/>
  <c r="D6" i="100"/>
  <c r="D6" i="98"/>
  <c r="D6" i="96"/>
  <c r="D6" i="103"/>
  <c r="D6" i="107" s="1"/>
  <c r="D6" i="105"/>
  <c r="D6" i="101"/>
  <c r="D6" i="99"/>
  <c r="D6" i="97"/>
  <c r="D6" i="95"/>
  <c r="D5" i="104"/>
  <c r="D5" i="110"/>
  <c r="D5" i="109"/>
  <c r="D5" i="100"/>
  <c r="D5" i="98"/>
  <c r="D5" i="96"/>
  <c r="D5" i="94"/>
  <c r="K5" i="104" l="1"/>
  <c r="K5" i="108" s="1"/>
  <c r="K5" i="111" s="1"/>
  <c r="K5" i="107"/>
  <c r="K6" i="107"/>
  <c r="K6" i="104"/>
  <c r="K6" i="108" s="1"/>
  <c r="K6" i="111" s="1"/>
  <c r="G5" i="107"/>
  <c r="G5" i="104"/>
  <c r="G5" i="108" s="1"/>
  <c r="G5" i="111" s="1"/>
  <c r="AC33" i="110"/>
  <c r="AA33" i="110"/>
  <c r="Y33" i="110"/>
  <c r="W33" i="110"/>
  <c r="U33" i="110"/>
  <c r="S33" i="110"/>
  <c r="AA32" i="110"/>
  <c r="W32" i="110"/>
  <c r="S32" i="110"/>
  <c r="AC31" i="110"/>
  <c r="AA31" i="110"/>
  <c r="Y31" i="110"/>
  <c r="W31" i="110"/>
  <c r="U31" i="110"/>
  <c r="S31" i="110"/>
  <c r="AA30" i="110"/>
  <c r="W30" i="110"/>
  <c r="S30" i="110"/>
  <c r="AC29" i="110"/>
  <c r="AA29" i="110"/>
  <c r="Y29" i="110"/>
  <c r="W29" i="110"/>
  <c r="U29" i="110"/>
  <c r="S29" i="110"/>
  <c r="AA28" i="110"/>
  <c r="W28" i="110"/>
  <c r="S28" i="110"/>
  <c r="AC27" i="110"/>
  <c r="AA27" i="110"/>
  <c r="Y27" i="110"/>
  <c r="W27" i="110"/>
  <c r="U27" i="110"/>
  <c r="S27" i="110"/>
  <c r="AA26" i="110"/>
  <c r="W26" i="110"/>
  <c r="S26" i="110"/>
  <c r="AC25" i="110"/>
  <c r="AA25" i="110"/>
  <c r="Y25" i="110"/>
  <c r="W25" i="110"/>
  <c r="U25" i="110"/>
  <c r="S25" i="110"/>
  <c r="AA24" i="110"/>
  <c r="W24" i="110"/>
  <c r="S24" i="110"/>
  <c r="AC23" i="110"/>
  <c r="AA23" i="110"/>
  <c r="Y23" i="110"/>
  <c r="W23" i="110"/>
  <c r="U23" i="110"/>
  <c r="S23" i="110"/>
  <c r="AA22" i="110"/>
  <c r="W22" i="110"/>
  <c r="S22" i="110"/>
  <c r="AA21" i="110"/>
  <c r="W21" i="110"/>
  <c r="S21" i="110"/>
  <c r="AA20" i="110"/>
  <c r="W20" i="110"/>
  <c r="S20" i="110"/>
  <c r="AA19" i="110"/>
  <c r="W19" i="110"/>
  <c r="S19" i="110"/>
  <c r="AA18" i="110"/>
  <c r="Y18" i="110"/>
  <c r="W18" i="110"/>
  <c r="U18" i="110"/>
  <c r="S18" i="110"/>
  <c r="AC17" i="110"/>
  <c r="AB17" i="110"/>
  <c r="AA17" i="110"/>
  <c r="Z17" i="110"/>
  <c r="Y17" i="110"/>
  <c r="X17" i="110"/>
  <c r="W17" i="110"/>
  <c r="V17" i="110"/>
  <c r="U17" i="110"/>
  <c r="T17" i="110"/>
  <c r="AD16" i="110"/>
  <c r="AC16" i="110"/>
  <c r="AB16" i="110"/>
  <c r="AA16" i="110"/>
  <c r="Z16" i="110"/>
  <c r="Y16" i="110"/>
  <c r="X16" i="110"/>
  <c r="W16" i="110"/>
  <c r="V16" i="110"/>
  <c r="U16" i="110"/>
  <c r="T16" i="110"/>
  <c r="S16" i="110"/>
  <c r="AD17" i="110"/>
  <c r="C3" i="110"/>
  <c r="AC33" i="109"/>
  <c r="AA33" i="109"/>
  <c r="Y33" i="109"/>
  <c r="W33" i="109"/>
  <c r="U33" i="109"/>
  <c r="AA32" i="109"/>
  <c r="Y32" i="109"/>
  <c r="W32" i="109"/>
  <c r="U32" i="109"/>
  <c r="S32" i="109"/>
  <c r="AC31" i="109"/>
  <c r="AA31" i="109"/>
  <c r="Y31" i="109"/>
  <c r="W31" i="109"/>
  <c r="U31" i="109"/>
  <c r="AC30" i="109"/>
  <c r="AA30" i="109"/>
  <c r="Y30" i="109"/>
  <c r="W30" i="109"/>
  <c r="U30" i="109"/>
  <c r="S30" i="109"/>
  <c r="AC29" i="109"/>
  <c r="AA29" i="109"/>
  <c r="Y29" i="109"/>
  <c r="W29" i="109"/>
  <c r="U29" i="109"/>
  <c r="AC28" i="109"/>
  <c r="AA28" i="109"/>
  <c r="Y28" i="109"/>
  <c r="W28" i="109"/>
  <c r="U28" i="109"/>
  <c r="S28" i="109"/>
  <c r="AC27" i="109"/>
  <c r="AA27" i="109"/>
  <c r="Y27" i="109"/>
  <c r="W27" i="109"/>
  <c r="U27" i="109"/>
  <c r="AC26" i="109"/>
  <c r="AA26" i="109"/>
  <c r="Y26" i="109"/>
  <c r="W26" i="109"/>
  <c r="U26" i="109"/>
  <c r="S26" i="109"/>
  <c r="AC25" i="109"/>
  <c r="AA25" i="109"/>
  <c r="Y25" i="109"/>
  <c r="W25" i="109"/>
  <c r="U25" i="109"/>
  <c r="AC24" i="109"/>
  <c r="AA24" i="109"/>
  <c r="Y24" i="109"/>
  <c r="W24" i="109"/>
  <c r="U24" i="109"/>
  <c r="S24" i="109"/>
  <c r="AC23" i="109"/>
  <c r="AA23" i="109"/>
  <c r="Y23" i="109"/>
  <c r="W23" i="109"/>
  <c r="U23" i="109"/>
  <c r="AC22" i="109"/>
  <c r="AA22" i="109"/>
  <c r="Y22" i="109"/>
  <c r="W22" i="109"/>
  <c r="S22" i="109"/>
  <c r="AC21" i="109"/>
  <c r="AA21" i="109"/>
  <c r="Y21" i="109"/>
  <c r="W21" i="109"/>
  <c r="U21" i="109"/>
  <c r="S21" i="109"/>
  <c r="AC20" i="109"/>
  <c r="AA20" i="109"/>
  <c r="Y20" i="109"/>
  <c r="W20" i="109"/>
  <c r="U20" i="109"/>
  <c r="S20" i="109"/>
  <c r="AC19" i="109"/>
  <c r="AC39" i="109" s="1"/>
  <c r="AA19" i="109"/>
  <c r="Y19" i="109"/>
  <c r="Y39" i="109" s="1"/>
  <c r="W19" i="109"/>
  <c r="U19" i="109"/>
  <c r="U39" i="109" s="1"/>
  <c r="S19" i="109"/>
  <c r="AC18" i="109"/>
  <c r="AA18" i="109"/>
  <c r="Y18" i="109"/>
  <c r="W18" i="109"/>
  <c r="U18" i="109"/>
  <c r="S18" i="109"/>
  <c r="AB17" i="109"/>
  <c r="AA17" i="109"/>
  <c r="Z17" i="109"/>
  <c r="Y17" i="109"/>
  <c r="X17" i="109"/>
  <c r="W17" i="109"/>
  <c r="V17" i="109"/>
  <c r="U17" i="109"/>
  <c r="T17" i="109"/>
  <c r="AD16" i="109"/>
  <c r="AC16" i="109"/>
  <c r="AB16" i="109"/>
  <c r="AA16" i="109"/>
  <c r="Z16" i="109"/>
  <c r="Y16" i="109"/>
  <c r="X16" i="109"/>
  <c r="W16" i="109"/>
  <c r="V16" i="109"/>
  <c r="U16" i="109"/>
  <c r="T16" i="109"/>
  <c r="Z15" i="109"/>
  <c r="AD14" i="109"/>
  <c r="AD17" i="109"/>
  <c r="C3" i="109"/>
  <c r="C3" i="104"/>
  <c r="C3" i="103"/>
  <c r="C3" i="105"/>
  <c r="C3" i="101"/>
  <c r="C3" i="100"/>
  <c r="C3" i="99"/>
  <c r="C3" i="98"/>
  <c r="C3" i="97"/>
  <c r="C3" i="96"/>
  <c r="C3" i="95"/>
  <c r="AC33" i="105"/>
  <c r="AB33" i="105"/>
  <c r="Z33" i="105"/>
  <c r="Y33" i="105"/>
  <c r="X33" i="105"/>
  <c r="W33" i="105"/>
  <c r="V33" i="105"/>
  <c r="U33" i="105"/>
  <c r="T33" i="105"/>
  <c r="AD32" i="105"/>
  <c r="AC32" i="105"/>
  <c r="AB32" i="105"/>
  <c r="AA32" i="105"/>
  <c r="Z32" i="105"/>
  <c r="Y32" i="105"/>
  <c r="X32" i="105"/>
  <c r="W32" i="105"/>
  <c r="V32" i="105"/>
  <c r="U32" i="105"/>
  <c r="T32" i="105"/>
  <c r="AD31" i="105"/>
  <c r="AC31" i="105"/>
  <c r="AB31" i="105"/>
  <c r="AA31" i="105"/>
  <c r="Z31" i="105"/>
  <c r="Y31" i="105"/>
  <c r="X31" i="105"/>
  <c r="W31" i="105"/>
  <c r="V31" i="105"/>
  <c r="U31" i="105"/>
  <c r="T31" i="105"/>
  <c r="AD30" i="105"/>
  <c r="AC30" i="105"/>
  <c r="AB30" i="105"/>
  <c r="AA30" i="105"/>
  <c r="Z30" i="105"/>
  <c r="Y30" i="105"/>
  <c r="X30" i="105"/>
  <c r="W30" i="105"/>
  <c r="V30" i="105"/>
  <c r="U30" i="105"/>
  <c r="T30" i="105"/>
  <c r="AC29" i="105"/>
  <c r="AB29" i="105"/>
  <c r="AA29" i="105"/>
  <c r="Z29" i="105"/>
  <c r="Y29" i="105"/>
  <c r="X29" i="105"/>
  <c r="W29" i="105"/>
  <c r="V29" i="105"/>
  <c r="U29" i="105"/>
  <c r="T29" i="105"/>
  <c r="AD28" i="105"/>
  <c r="AC28" i="105"/>
  <c r="AB28" i="105"/>
  <c r="AA28" i="105"/>
  <c r="Z28" i="105"/>
  <c r="Y28" i="105"/>
  <c r="X28" i="105"/>
  <c r="W28" i="105"/>
  <c r="V28" i="105"/>
  <c r="U28" i="105"/>
  <c r="T28" i="105"/>
  <c r="AD27" i="105"/>
  <c r="AC27" i="105"/>
  <c r="AB27" i="105"/>
  <c r="AA27" i="105"/>
  <c r="Z27" i="105"/>
  <c r="Y27" i="105"/>
  <c r="X27" i="105"/>
  <c r="W27" i="105"/>
  <c r="V27" i="105"/>
  <c r="U27" i="105"/>
  <c r="T27" i="105"/>
  <c r="AD26" i="105"/>
  <c r="AC26" i="105"/>
  <c r="AB26" i="105"/>
  <c r="AA26" i="105"/>
  <c r="Z26" i="105"/>
  <c r="Y26" i="105"/>
  <c r="X26" i="105"/>
  <c r="W26" i="105"/>
  <c r="V26" i="105"/>
  <c r="U26" i="105"/>
  <c r="T26" i="105"/>
  <c r="AD25" i="105"/>
  <c r="AC25" i="105"/>
  <c r="AB25" i="105"/>
  <c r="AA25" i="105"/>
  <c r="Z25" i="105"/>
  <c r="Y25" i="105"/>
  <c r="X25" i="105"/>
  <c r="W25" i="105"/>
  <c r="V25" i="105"/>
  <c r="U25" i="105"/>
  <c r="T25" i="105"/>
  <c r="AD24" i="105"/>
  <c r="AC24" i="105"/>
  <c r="AB24" i="105"/>
  <c r="AA24" i="105"/>
  <c r="Z24" i="105"/>
  <c r="X24" i="105"/>
  <c r="W24" i="105"/>
  <c r="V24" i="105"/>
  <c r="U24" i="105"/>
  <c r="T24" i="105"/>
  <c r="AD23" i="105"/>
  <c r="AC23" i="105"/>
  <c r="AB23" i="105"/>
  <c r="AA23" i="105"/>
  <c r="Z23" i="105"/>
  <c r="Y23" i="105"/>
  <c r="X23" i="105"/>
  <c r="V23" i="105"/>
  <c r="U23" i="105"/>
  <c r="AD22" i="105"/>
  <c r="AC22" i="105"/>
  <c r="AB22" i="105"/>
  <c r="AA22" i="105"/>
  <c r="Z22" i="105"/>
  <c r="Y22" i="105"/>
  <c r="X22" i="105"/>
  <c r="W22" i="105"/>
  <c r="V22" i="105"/>
  <c r="U22" i="105"/>
  <c r="T22" i="105"/>
  <c r="S22" i="105"/>
  <c r="AD21" i="105"/>
  <c r="AC21" i="105"/>
  <c r="AB21" i="105"/>
  <c r="AA21" i="105"/>
  <c r="Z21" i="105"/>
  <c r="Y21" i="105"/>
  <c r="X21" i="105"/>
  <c r="W21" i="105"/>
  <c r="V21" i="105"/>
  <c r="U21" i="105"/>
  <c r="T21" i="105"/>
  <c r="AD20" i="105"/>
  <c r="AC20" i="105"/>
  <c r="AA20" i="105"/>
  <c r="Z20" i="105"/>
  <c r="Y20" i="105"/>
  <c r="X20" i="105"/>
  <c r="W20" i="105"/>
  <c r="V20" i="105"/>
  <c r="S20" i="105"/>
  <c r="AD19" i="105"/>
  <c r="AD39" i="105" s="1"/>
  <c r="AC19" i="105"/>
  <c r="AB19" i="105"/>
  <c r="AA19" i="105"/>
  <c r="AA39" i="105" s="1"/>
  <c r="Z19" i="105"/>
  <c r="Z39" i="105" s="1"/>
  <c r="Y19" i="105"/>
  <c r="X19" i="105"/>
  <c r="W19" i="105"/>
  <c r="W39" i="105" s="1"/>
  <c r="V19" i="105"/>
  <c r="V39" i="105" s="1"/>
  <c r="U19" i="105"/>
  <c r="T19" i="105"/>
  <c r="S19" i="105"/>
  <c r="AD18" i="105"/>
  <c r="AC18" i="105"/>
  <c r="AB18" i="105"/>
  <c r="AA18" i="105"/>
  <c r="Z18" i="105"/>
  <c r="Y18" i="105"/>
  <c r="X18" i="105"/>
  <c r="W18" i="105"/>
  <c r="V18" i="105"/>
  <c r="U18" i="105"/>
  <c r="T18" i="105"/>
  <c r="S18" i="105"/>
  <c r="AD17" i="105"/>
  <c r="AC17" i="105"/>
  <c r="AB17" i="105"/>
  <c r="AA17" i="105"/>
  <c r="Z17" i="105"/>
  <c r="Y17" i="105"/>
  <c r="X17" i="105"/>
  <c r="W17" i="105"/>
  <c r="V17" i="105"/>
  <c r="U17" i="105"/>
  <c r="T17" i="105"/>
  <c r="S17" i="105"/>
  <c r="AD16" i="105"/>
  <c r="AC16" i="105"/>
  <c r="AB16" i="105"/>
  <c r="AA16" i="105"/>
  <c r="Z16" i="105"/>
  <c r="Y16" i="105"/>
  <c r="X16" i="105"/>
  <c r="W16" i="105"/>
  <c r="V16" i="105"/>
  <c r="U16" i="105"/>
  <c r="T16" i="105"/>
  <c r="S16" i="105"/>
  <c r="AD33" i="105"/>
  <c r="X12" i="105"/>
  <c r="AB11" i="105"/>
  <c r="X11" i="105"/>
  <c r="T11" i="105"/>
  <c r="AA21" i="104"/>
  <c r="AC20" i="104"/>
  <c r="AA20" i="104"/>
  <c r="Y20" i="104"/>
  <c r="W20" i="104"/>
  <c r="U20" i="104"/>
  <c r="AA19" i="104"/>
  <c r="AC18" i="104"/>
  <c r="AA18" i="104"/>
  <c r="Y18" i="104"/>
  <c r="W18" i="104"/>
  <c r="U18" i="104"/>
  <c r="AA17" i="104"/>
  <c r="AC16" i="104"/>
  <c r="AA16" i="104"/>
  <c r="Y16" i="104"/>
  <c r="W16" i="104"/>
  <c r="U16" i="104"/>
  <c r="AA15" i="104"/>
  <c r="AD14" i="104"/>
  <c r="AC14" i="104"/>
  <c r="AB14" i="104"/>
  <c r="AA14" i="104"/>
  <c r="Z14" i="104"/>
  <c r="Y14" i="104"/>
  <c r="X14" i="104"/>
  <c r="W14" i="104"/>
  <c r="V14" i="104"/>
  <c r="U14" i="104"/>
  <c r="S14" i="104"/>
  <c r="AC13" i="104"/>
  <c r="AA13" i="104"/>
  <c r="Y13" i="104"/>
  <c r="W13" i="104"/>
  <c r="U13" i="104"/>
  <c r="AD12" i="104"/>
  <c r="Z12" i="104"/>
  <c r="V12" i="104"/>
  <c r="AD11" i="104"/>
  <c r="Z11" i="104"/>
  <c r="V11" i="104"/>
  <c r="AB16" i="103"/>
  <c r="Z16" i="103"/>
  <c r="X16" i="103"/>
  <c r="V16" i="103"/>
  <c r="T16" i="103"/>
  <c r="AD15" i="103"/>
  <c r="AB15" i="103"/>
  <c r="Z15" i="103"/>
  <c r="X15" i="103"/>
  <c r="V15" i="103"/>
  <c r="T15" i="103"/>
  <c r="AD14" i="103"/>
  <c r="AC14" i="103"/>
  <c r="AA14" i="103"/>
  <c r="Z14" i="103"/>
  <c r="Y14" i="103"/>
  <c r="W14" i="103"/>
  <c r="V14" i="103"/>
  <c r="U14" i="103"/>
  <c r="AD13" i="103"/>
  <c r="Z13" i="103"/>
  <c r="V13" i="103"/>
  <c r="AD21" i="103"/>
  <c r="AC21" i="103"/>
  <c r="AB21" i="103"/>
  <c r="AA21" i="103"/>
  <c r="Z21" i="103"/>
  <c r="Y21" i="103"/>
  <c r="X21" i="103"/>
  <c r="W21" i="103"/>
  <c r="V21" i="103"/>
  <c r="U21" i="103"/>
  <c r="T21" i="103"/>
  <c r="S21" i="103"/>
  <c r="AD20" i="103"/>
  <c r="AC20" i="103"/>
  <c r="AB20" i="103"/>
  <c r="AA20" i="103"/>
  <c r="Z20" i="103"/>
  <c r="Y20" i="103"/>
  <c r="X20" i="103"/>
  <c r="W20" i="103"/>
  <c r="V20" i="103"/>
  <c r="U20" i="103"/>
  <c r="T20" i="103"/>
  <c r="S20" i="103"/>
  <c r="AD19" i="103"/>
  <c r="AD27" i="103" s="1"/>
  <c r="AC19" i="103"/>
  <c r="AB19" i="103"/>
  <c r="AB27" i="103" s="1"/>
  <c r="AA19" i="103"/>
  <c r="AA27" i="103" s="1"/>
  <c r="Z19" i="103"/>
  <c r="Z27" i="103" s="1"/>
  <c r="Y19" i="103"/>
  <c r="Y27" i="103" s="1"/>
  <c r="X19" i="103"/>
  <c r="X27" i="103" s="1"/>
  <c r="W19" i="103"/>
  <c r="W27" i="103" s="1"/>
  <c r="V19" i="103"/>
  <c r="V27" i="103" s="1"/>
  <c r="U19" i="103"/>
  <c r="U24" i="103" s="1"/>
  <c r="T19" i="103"/>
  <c r="T27" i="103" s="1"/>
  <c r="S19" i="103"/>
  <c r="S27" i="103" s="1"/>
  <c r="AD18" i="103"/>
  <c r="AC18" i="103"/>
  <c r="AB18" i="103"/>
  <c r="AA18" i="103"/>
  <c r="Z18" i="103"/>
  <c r="Y18" i="103"/>
  <c r="X18" i="103"/>
  <c r="W18" i="103"/>
  <c r="V18" i="103"/>
  <c r="U18" i="103"/>
  <c r="T18" i="103"/>
  <c r="S18" i="103"/>
  <c r="AD12" i="103"/>
  <c r="AC12" i="103"/>
  <c r="AB12" i="103"/>
  <c r="AA12" i="103"/>
  <c r="Z12" i="103"/>
  <c r="Y12" i="103"/>
  <c r="X12" i="103"/>
  <c r="W12" i="103"/>
  <c r="V12" i="103"/>
  <c r="U12" i="103"/>
  <c r="T12" i="103"/>
  <c r="AD17" i="103"/>
  <c r="AC17" i="103"/>
  <c r="AB17" i="103"/>
  <c r="AA17" i="103"/>
  <c r="Z17" i="103"/>
  <c r="Y17" i="103"/>
  <c r="X17" i="103"/>
  <c r="W17" i="103"/>
  <c r="V17" i="103"/>
  <c r="U17" i="103"/>
  <c r="T17" i="103"/>
  <c r="S17" i="103"/>
  <c r="AD16" i="103"/>
  <c r="AD21" i="101"/>
  <c r="AC21" i="101"/>
  <c r="AB21" i="101"/>
  <c r="AA21" i="101"/>
  <c r="Z21" i="101"/>
  <c r="Y21" i="101"/>
  <c r="W21" i="101"/>
  <c r="V21" i="101"/>
  <c r="U21" i="101"/>
  <c r="T21" i="101"/>
  <c r="S21" i="101"/>
  <c r="AD20" i="101"/>
  <c r="AC20" i="101"/>
  <c r="AB20" i="101"/>
  <c r="AA20" i="101"/>
  <c r="Z20" i="101"/>
  <c r="Y20" i="101"/>
  <c r="X20" i="101"/>
  <c r="W20" i="101"/>
  <c r="V20" i="101"/>
  <c r="U20" i="101"/>
  <c r="T20" i="101"/>
  <c r="S20" i="101"/>
  <c r="AD19" i="101"/>
  <c r="AC19" i="101"/>
  <c r="AB19" i="101"/>
  <c r="AA19" i="101"/>
  <c r="Z19" i="101"/>
  <c r="Y19" i="101"/>
  <c r="X19" i="101"/>
  <c r="W19" i="101"/>
  <c r="W39" i="101" s="1"/>
  <c r="V19" i="101"/>
  <c r="V39" i="101" s="1"/>
  <c r="U19" i="101"/>
  <c r="T19" i="101"/>
  <c r="S19" i="101"/>
  <c r="S39" i="101" s="1"/>
  <c r="AD18" i="101"/>
  <c r="AC18" i="101"/>
  <c r="AB18" i="101"/>
  <c r="AA18" i="101"/>
  <c r="Z18" i="101"/>
  <c r="Y18" i="101"/>
  <c r="X18" i="101"/>
  <c r="W18" i="101"/>
  <c r="V18" i="101"/>
  <c r="U18" i="101"/>
  <c r="T18" i="101"/>
  <c r="S18" i="101"/>
  <c r="AD17" i="101"/>
  <c r="AC17" i="101"/>
  <c r="AB17" i="101"/>
  <c r="AA17" i="101"/>
  <c r="Y17" i="101"/>
  <c r="X17" i="101"/>
  <c r="W17" i="101"/>
  <c r="V17" i="101"/>
  <c r="U17" i="101"/>
  <c r="T17" i="101"/>
  <c r="AD16" i="101"/>
  <c r="AC16" i="101"/>
  <c r="AB16" i="101"/>
  <c r="AA16" i="101"/>
  <c r="Z16" i="101"/>
  <c r="Y16" i="101"/>
  <c r="X16" i="101"/>
  <c r="W16" i="101"/>
  <c r="V16" i="101"/>
  <c r="U16" i="101"/>
  <c r="T16" i="101"/>
  <c r="S16" i="101"/>
  <c r="AD15" i="101"/>
  <c r="AC15" i="101"/>
  <c r="AB15" i="101"/>
  <c r="AA15" i="101"/>
  <c r="Z15" i="101"/>
  <c r="X15" i="101"/>
  <c r="W15" i="101"/>
  <c r="V15" i="101"/>
  <c r="T15" i="101"/>
  <c r="S15" i="101"/>
  <c r="AD14" i="101"/>
  <c r="AC14" i="101"/>
  <c r="AA14" i="101"/>
  <c r="Z14" i="101"/>
  <c r="W14" i="101"/>
  <c r="U14" i="101"/>
  <c r="AD13" i="101"/>
  <c r="AD38" i="101" s="1"/>
  <c r="V13" i="101"/>
  <c r="AA21" i="100"/>
  <c r="AC20" i="100"/>
  <c r="AA20" i="100"/>
  <c r="Y20" i="100"/>
  <c r="W20" i="100"/>
  <c r="AA19" i="100"/>
  <c r="AC18" i="100"/>
  <c r="AA18" i="100"/>
  <c r="Y18" i="100"/>
  <c r="W18" i="100"/>
  <c r="U18" i="100"/>
  <c r="AA17" i="100"/>
  <c r="AC16" i="100"/>
  <c r="Y16" i="100"/>
  <c r="W16" i="100"/>
  <c r="U16" i="100"/>
  <c r="AA15" i="100"/>
  <c r="AD14" i="100"/>
  <c r="AC14" i="100"/>
  <c r="AB14" i="100"/>
  <c r="AA14" i="100"/>
  <c r="Z14" i="100"/>
  <c r="X14" i="100"/>
  <c r="W14" i="100"/>
  <c r="V14" i="100"/>
  <c r="U14" i="100"/>
  <c r="S14" i="100"/>
  <c r="AC13" i="100"/>
  <c r="AA13" i="100"/>
  <c r="W13" i="100"/>
  <c r="U13" i="100"/>
  <c r="AB12" i="100"/>
  <c r="T12" i="100"/>
  <c r="AB11" i="100"/>
  <c r="X11" i="100"/>
  <c r="T11" i="100"/>
  <c r="AD21" i="99"/>
  <c r="AC21" i="99"/>
  <c r="AB21" i="99"/>
  <c r="AA21" i="99"/>
  <c r="Z21" i="99"/>
  <c r="Y21" i="99"/>
  <c r="X21" i="99"/>
  <c r="W21" i="99"/>
  <c r="V21" i="99"/>
  <c r="U21" i="99"/>
  <c r="T21" i="99"/>
  <c r="S21" i="99"/>
  <c r="AD20" i="99"/>
  <c r="AA20" i="99"/>
  <c r="Z20" i="99"/>
  <c r="W20" i="99"/>
  <c r="V20" i="99"/>
  <c r="U20" i="99"/>
  <c r="T20" i="99"/>
  <c r="S20" i="99"/>
  <c r="AD19" i="99"/>
  <c r="AD27" i="99" s="1"/>
  <c r="AC19" i="99"/>
  <c r="AB19" i="99"/>
  <c r="AA19" i="99"/>
  <c r="Z19" i="99"/>
  <c r="Y19" i="99"/>
  <c r="X19" i="99"/>
  <c r="W19" i="99"/>
  <c r="W27" i="99" s="1"/>
  <c r="V19" i="99"/>
  <c r="V27" i="99" s="1"/>
  <c r="U19" i="99"/>
  <c r="T19" i="99"/>
  <c r="T27" i="99" s="1"/>
  <c r="S19" i="99"/>
  <c r="S27" i="99" s="1"/>
  <c r="AD18" i="99"/>
  <c r="AC18" i="99"/>
  <c r="AB18" i="99"/>
  <c r="AA18" i="99"/>
  <c r="Z18" i="99"/>
  <c r="Y18" i="99"/>
  <c r="X18" i="99"/>
  <c r="W18" i="99"/>
  <c r="V18" i="99"/>
  <c r="U18" i="99"/>
  <c r="T18" i="99"/>
  <c r="S18" i="99"/>
  <c r="AD17" i="99"/>
  <c r="AC17" i="99"/>
  <c r="AB17" i="99"/>
  <c r="AA17" i="99"/>
  <c r="Z17" i="99"/>
  <c r="Y17" i="99"/>
  <c r="X17" i="99"/>
  <c r="W17" i="99"/>
  <c r="V17" i="99"/>
  <c r="U17" i="99"/>
  <c r="T17" i="99"/>
  <c r="S17" i="99"/>
  <c r="AD16" i="99"/>
  <c r="AC16" i="99"/>
  <c r="AB16" i="99"/>
  <c r="AA16" i="99"/>
  <c r="Z16" i="99"/>
  <c r="Y16" i="99"/>
  <c r="X16" i="99"/>
  <c r="V16" i="99"/>
  <c r="U16" i="99"/>
  <c r="T16" i="99"/>
  <c r="S16" i="99"/>
  <c r="AD15" i="99"/>
  <c r="AC15" i="99"/>
  <c r="AB15" i="99"/>
  <c r="AA15" i="99"/>
  <c r="Z15" i="99"/>
  <c r="Y15" i="99"/>
  <c r="X15" i="99"/>
  <c r="W15" i="99"/>
  <c r="V15" i="99"/>
  <c r="T15" i="99"/>
  <c r="S15" i="99"/>
  <c r="AD14" i="99"/>
  <c r="AC14" i="99"/>
  <c r="AA14" i="99"/>
  <c r="Z14" i="99"/>
  <c r="Y14" i="99"/>
  <c r="W14" i="99"/>
  <c r="U14" i="99"/>
  <c r="V13" i="99"/>
  <c r="AC21" i="98"/>
  <c r="AB21" i="98"/>
  <c r="AA21" i="98"/>
  <c r="Y21" i="98"/>
  <c r="X21" i="98"/>
  <c r="W21" i="98"/>
  <c r="U21" i="98"/>
  <c r="AC20" i="98"/>
  <c r="AB20" i="98"/>
  <c r="AA20" i="98"/>
  <c r="Z20" i="98"/>
  <c r="Y20" i="98"/>
  <c r="X20" i="98"/>
  <c r="V20" i="98"/>
  <c r="U20" i="98"/>
  <c r="T20" i="98"/>
  <c r="AD19" i="98"/>
  <c r="AC19" i="98"/>
  <c r="AA19" i="98"/>
  <c r="Y19" i="98"/>
  <c r="X19" i="98"/>
  <c r="W19" i="98"/>
  <c r="V19" i="98"/>
  <c r="U19" i="98"/>
  <c r="T19" i="98"/>
  <c r="AC18" i="98"/>
  <c r="AB18" i="98"/>
  <c r="AA18" i="98"/>
  <c r="Z18" i="98"/>
  <c r="Y18" i="98"/>
  <c r="X18" i="98"/>
  <c r="W18" i="98"/>
  <c r="U18" i="98"/>
  <c r="AD17" i="98"/>
  <c r="AC17" i="98"/>
  <c r="AA17" i="98"/>
  <c r="Z17" i="98"/>
  <c r="Y17" i="98"/>
  <c r="X17" i="98"/>
  <c r="W17" i="98"/>
  <c r="V17" i="98"/>
  <c r="U17" i="98"/>
  <c r="T17" i="98"/>
  <c r="AD16" i="98"/>
  <c r="AB16" i="98"/>
  <c r="AA16" i="98"/>
  <c r="Z16" i="98"/>
  <c r="Y16" i="98"/>
  <c r="X16" i="98"/>
  <c r="W16" i="98"/>
  <c r="V16" i="98"/>
  <c r="U16" i="98"/>
  <c r="T16" i="98"/>
  <c r="AD15" i="98"/>
  <c r="AC15" i="98"/>
  <c r="AB15" i="98"/>
  <c r="AA15" i="98"/>
  <c r="Z15" i="98"/>
  <c r="Y15" i="98"/>
  <c r="X15" i="98"/>
  <c r="W15" i="98"/>
  <c r="U15" i="98"/>
  <c r="T15" i="98"/>
  <c r="AD14" i="98"/>
  <c r="AC14" i="98"/>
  <c r="AB14" i="98"/>
  <c r="AA14" i="98"/>
  <c r="Z14" i="98"/>
  <c r="Y14" i="98"/>
  <c r="X14" i="98"/>
  <c r="W14" i="98"/>
  <c r="U14" i="98"/>
  <c r="T14" i="98"/>
  <c r="AC13" i="98"/>
  <c r="AB13" i="98"/>
  <c r="AA13" i="98"/>
  <c r="Z13" i="98"/>
  <c r="Y13" i="98"/>
  <c r="X13" i="98"/>
  <c r="W13" i="98"/>
  <c r="V13" i="98"/>
  <c r="U13" i="98"/>
  <c r="T13" i="98"/>
  <c r="AD21" i="98"/>
  <c r="AC18" i="97"/>
  <c r="AA18" i="97"/>
  <c r="Z18" i="97"/>
  <c r="Y18" i="97"/>
  <c r="X18" i="97"/>
  <c r="W18" i="97"/>
  <c r="V18" i="97"/>
  <c r="U18" i="97"/>
  <c r="T18" i="97"/>
  <c r="AD17" i="97"/>
  <c r="AC17" i="97"/>
  <c r="AB17" i="97"/>
  <c r="AA17" i="97"/>
  <c r="Z17" i="97"/>
  <c r="Y17" i="97"/>
  <c r="X17" i="97"/>
  <c r="V17" i="97"/>
  <c r="T17" i="97"/>
  <c r="S17" i="97"/>
  <c r="AB16" i="97"/>
  <c r="AA16" i="97"/>
  <c r="Z16" i="97"/>
  <c r="Y16" i="97"/>
  <c r="W16" i="97"/>
  <c r="V16" i="97"/>
  <c r="U16" i="97"/>
  <c r="T16" i="97"/>
  <c r="S16" i="97"/>
  <c r="AD15" i="97"/>
  <c r="AC15" i="97"/>
  <c r="AB15" i="97"/>
  <c r="AA15" i="97"/>
  <c r="Z15" i="97"/>
  <c r="X15" i="97"/>
  <c r="W15" i="97"/>
  <c r="V15" i="97"/>
  <c r="U15" i="97"/>
  <c r="T15" i="97"/>
  <c r="S15" i="97"/>
  <c r="AD14" i="97"/>
  <c r="AC14" i="97"/>
  <c r="AB14" i="97"/>
  <c r="AA14" i="97"/>
  <c r="Z14" i="97"/>
  <c r="Y14" i="97"/>
  <c r="X14" i="97"/>
  <c r="W14" i="97"/>
  <c r="U14" i="97"/>
  <c r="T14" i="97"/>
  <c r="S14" i="97"/>
  <c r="AD13" i="97"/>
  <c r="AC13" i="97"/>
  <c r="AB13" i="97"/>
  <c r="AA13" i="97"/>
  <c r="Z13" i="97"/>
  <c r="Y13" i="97"/>
  <c r="X13" i="97"/>
  <c r="W13" i="97"/>
  <c r="U13" i="97"/>
  <c r="T13" i="97"/>
  <c r="AD21" i="97"/>
  <c r="AC21" i="97"/>
  <c r="AB21" i="97"/>
  <c r="AA21" i="97"/>
  <c r="Z21" i="97"/>
  <c r="Y21" i="97"/>
  <c r="X21" i="97"/>
  <c r="W21" i="97"/>
  <c r="V21" i="97"/>
  <c r="U21" i="97"/>
  <c r="T21" i="97"/>
  <c r="S21" i="97"/>
  <c r="AD20" i="97"/>
  <c r="AC20" i="97"/>
  <c r="AB20" i="97"/>
  <c r="AA20" i="97"/>
  <c r="Z20" i="97"/>
  <c r="Y20" i="97"/>
  <c r="X20" i="97"/>
  <c r="W20" i="97"/>
  <c r="V20" i="97"/>
  <c r="U20" i="97"/>
  <c r="T20" i="97"/>
  <c r="S20" i="97"/>
  <c r="AD19" i="97"/>
  <c r="AD27" i="97" s="1"/>
  <c r="AC19" i="97"/>
  <c r="AB19" i="97"/>
  <c r="AB27" i="97" s="1"/>
  <c r="AA19" i="97"/>
  <c r="Z19" i="97"/>
  <c r="Z27" i="97" s="1"/>
  <c r="Y19" i="97"/>
  <c r="X19" i="97"/>
  <c r="X27" i="97" s="1"/>
  <c r="W19" i="97"/>
  <c r="V19" i="97"/>
  <c r="V27" i="97" s="1"/>
  <c r="U19" i="97"/>
  <c r="T19" i="97"/>
  <c r="T27" i="97" s="1"/>
  <c r="S19" i="97"/>
  <c r="AD18" i="97"/>
  <c r="W17" i="97"/>
  <c r="AC11" i="97"/>
  <c r="AC21" i="96"/>
  <c r="AB21" i="96"/>
  <c r="AA21" i="96"/>
  <c r="Z21" i="96"/>
  <c r="X21" i="96"/>
  <c r="W21" i="96"/>
  <c r="V21" i="96"/>
  <c r="U21" i="96"/>
  <c r="T21" i="96"/>
  <c r="AD20" i="96"/>
  <c r="AC20" i="96"/>
  <c r="AB20" i="96"/>
  <c r="AA20" i="96"/>
  <c r="Z20" i="96"/>
  <c r="Y20" i="96"/>
  <c r="X20" i="96"/>
  <c r="V20" i="96"/>
  <c r="U20" i="96"/>
  <c r="T20" i="96"/>
  <c r="AD19" i="96"/>
  <c r="AC19" i="96"/>
  <c r="AB19" i="96"/>
  <c r="AA19" i="96"/>
  <c r="Z19" i="96"/>
  <c r="Y19" i="96"/>
  <c r="X19" i="96"/>
  <c r="W19" i="96"/>
  <c r="V19" i="96"/>
  <c r="U19" i="96"/>
  <c r="T19" i="96"/>
  <c r="AD18" i="96"/>
  <c r="AC18" i="96"/>
  <c r="AB18" i="96"/>
  <c r="Z18" i="96"/>
  <c r="X18" i="96"/>
  <c r="W18" i="96"/>
  <c r="V18" i="96"/>
  <c r="U18" i="96"/>
  <c r="T18" i="96"/>
  <c r="AD17" i="96"/>
  <c r="AC17" i="96"/>
  <c r="AB17" i="96"/>
  <c r="AA17" i="96"/>
  <c r="Z17" i="96"/>
  <c r="Y17" i="96"/>
  <c r="X17" i="96"/>
  <c r="V17" i="96"/>
  <c r="T17" i="96"/>
  <c r="AB16" i="96"/>
  <c r="AA16" i="96"/>
  <c r="Z16" i="96"/>
  <c r="X16" i="96"/>
  <c r="V16" i="96"/>
  <c r="U16" i="96"/>
  <c r="AD15" i="96"/>
  <c r="AC15" i="96"/>
  <c r="AB15" i="96"/>
  <c r="AA15" i="96"/>
  <c r="Z15" i="96"/>
  <c r="Y15" i="96"/>
  <c r="W15" i="96"/>
  <c r="V15" i="96"/>
  <c r="U15" i="96"/>
  <c r="T15" i="96"/>
  <c r="AD14" i="96"/>
  <c r="AB14" i="96"/>
  <c r="AA14" i="96"/>
  <c r="Z14" i="96"/>
  <c r="Y14" i="96"/>
  <c r="X14" i="96"/>
  <c r="W14" i="96"/>
  <c r="V14" i="96"/>
  <c r="T14" i="96"/>
  <c r="AD13" i="96"/>
  <c r="AC13" i="96"/>
  <c r="AA13" i="96"/>
  <c r="Z13" i="96"/>
  <c r="Y13" i="96"/>
  <c r="X13" i="96"/>
  <c r="W13" i="96"/>
  <c r="V13" i="96"/>
  <c r="U13" i="96"/>
  <c r="T13" i="96"/>
  <c r="AD21" i="96"/>
  <c r="AB21" i="95"/>
  <c r="AA21" i="95"/>
  <c r="Z21" i="95"/>
  <c r="Y21" i="95"/>
  <c r="X21" i="95"/>
  <c r="U21" i="95"/>
  <c r="T21" i="95"/>
  <c r="AD20" i="95"/>
  <c r="AB20" i="95"/>
  <c r="AA20" i="95"/>
  <c r="Z20" i="95"/>
  <c r="Y20" i="95"/>
  <c r="X20" i="95"/>
  <c r="W20" i="95"/>
  <c r="V20" i="95"/>
  <c r="T20" i="95"/>
  <c r="S20" i="95"/>
  <c r="AD19" i="95"/>
  <c r="AC19" i="95"/>
  <c r="AB19" i="95"/>
  <c r="AA19" i="95"/>
  <c r="Y19" i="95"/>
  <c r="X19" i="95"/>
  <c r="W19" i="95"/>
  <c r="U19" i="95"/>
  <c r="AD18" i="95"/>
  <c r="AB18" i="95"/>
  <c r="AA18" i="95"/>
  <c r="Y18" i="95"/>
  <c r="X18" i="95"/>
  <c r="W18" i="95"/>
  <c r="V18" i="95"/>
  <c r="U18" i="95"/>
  <c r="T18" i="95"/>
  <c r="AD17" i="95"/>
  <c r="AA17" i="95"/>
  <c r="Z17" i="95"/>
  <c r="Y17" i="95"/>
  <c r="X17" i="95"/>
  <c r="W17" i="95"/>
  <c r="V17" i="95"/>
  <c r="U17" i="95"/>
  <c r="T17" i="95"/>
  <c r="AD16" i="95"/>
  <c r="AA16" i="95"/>
  <c r="Z16" i="95"/>
  <c r="X16" i="95"/>
  <c r="W16" i="95"/>
  <c r="V16" i="95"/>
  <c r="U16" i="95"/>
  <c r="T16" i="95"/>
  <c r="AD15" i="95"/>
  <c r="AC15" i="95"/>
  <c r="AA15" i="95"/>
  <c r="Z15" i="95"/>
  <c r="Y15" i="95"/>
  <c r="X15" i="95"/>
  <c r="W15" i="95"/>
  <c r="U15" i="95"/>
  <c r="T15" i="95"/>
  <c r="AD14" i="95"/>
  <c r="AC14" i="95"/>
  <c r="AA14" i="95"/>
  <c r="Z14" i="95"/>
  <c r="Y14" i="95"/>
  <c r="X14" i="95"/>
  <c r="W14" i="95"/>
  <c r="V14" i="95"/>
  <c r="T14" i="95"/>
  <c r="AD13" i="95"/>
  <c r="AC13" i="95"/>
  <c r="AB13" i="95"/>
  <c r="AA13" i="95"/>
  <c r="AA26" i="95" s="1"/>
  <c r="W13" i="95"/>
  <c r="V13" i="95"/>
  <c r="U13" i="95"/>
  <c r="T13" i="95"/>
  <c r="AD21" i="95"/>
  <c r="AC20" i="95"/>
  <c r="T19" i="95"/>
  <c r="X26" i="98" l="1"/>
  <c r="AA27" i="99"/>
  <c r="X39" i="105"/>
  <c r="AA39" i="101"/>
  <c r="Z39" i="101"/>
  <c r="AB39" i="101"/>
  <c r="AD39" i="101"/>
  <c r="W26" i="95"/>
  <c r="AD26" i="95"/>
  <c r="C3" i="108"/>
  <c r="C3" i="111"/>
  <c r="C3" i="107"/>
  <c r="X15" i="96"/>
  <c r="X23" i="96" s="1"/>
  <c r="AD16" i="97"/>
  <c r="AD23" i="97" s="1"/>
  <c r="U20" i="100"/>
  <c r="T20" i="105"/>
  <c r="T39" i="105" s="1"/>
  <c r="AC17" i="95"/>
  <c r="AB13" i="96"/>
  <c r="AB26" i="96" s="1"/>
  <c r="AB16" i="95"/>
  <c r="T18" i="98"/>
  <c r="T26" i="98" s="1"/>
  <c r="Z21" i="98"/>
  <c r="T16" i="96"/>
  <c r="T26" i="96" s="1"/>
  <c r="AB20" i="99"/>
  <c r="AB27" i="99" s="1"/>
  <c r="X21" i="101"/>
  <c r="X39" i="101" s="1"/>
  <c r="U20" i="105"/>
  <c r="U39" i="105" s="1"/>
  <c r="AA33" i="105"/>
  <c r="U22" i="109"/>
  <c r="W20" i="96"/>
  <c r="W24" i="96" s="1"/>
  <c r="V14" i="101"/>
  <c r="V38" i="101" s="1"/>
  <c r="Y13" i="95"/>
  <c r="V14" i="97"/>
  <c r="S17" i="101"/>
  <c r="T23" i="105"/>
  <c r="Z27" i="99"/>
  <c r="Y16" i="96"/>
  <c r="AC32" i="109"/>
  <c r="AC18" i="110"/>
  <c r="W21" i="95"/>
  <c r="AC21" i="95"/>
  <c r="AC24" i="95" s="1"/>
  <c r="AB17" i="98"/>
  <c r="AB23" i="98" s="1"/>
  <c r="W16" i="96"/>
  <c r="AD18" i="98"/>
  <c r="AC16" i="97"/>
  <c r="AB19" i="98"/>
  <c r="AB27" i="98" s="1"/>
  <c r="S14" i="94"/>
  <c r="S15" i="94"/>
  <c r="W15" i="94"/>
  <c r="S16" i="94"/>
  <c r="W17" i="94"/>
  <c r="W19" i="94"/>
  <c r="AA19" i="94"/>
  <c r="S20" i="94"/>
  <c r="U20" i="94"/>
  <c r="W20" i="94"/>
  <c r="Y20" i="94"/>
  <c r="AA20" i="94"/>
  <c r="AC21" i="94"/>
  <c r="AC14" i="96"/>
  <c r="W14" i="94"/>
  <c r="S17" i="94"/>
  <c r="S18" i="94"/>
  <c r="S19" i="94"/>
  <c r="AC19" i="94"/>
  <c r="S21" i="94"/>
  <c r="U21" i="94"/>
  <c r="W21" i="94"/>
  <c r="Y21" i="94"/>
  <c r="X12" i="100"/>
  <c r="S39" i="110"/>
  <c r="AA39" i="110"/>
  <c r="T12" i="110"/>
  <c r="V12" i="110"/>
  <c r="X12" i="110"/>
  <c r="Z12" i="110"/>
  <c r="AB12" i="110"/>
  <c r="AD12" i="110"/>
  <c r="U12" i="110"/>
  <c r="W12" i="110"/>
  <c r="Y12" i="110"/>
  <c r="AA12" i="110"/>
  <c r="AC12" i="110"/>
  <c r="P21" i="110"/>
  <c r="T13" i="110"/>
  <c r="V13" i="110"/>
  <c r="X13" i="110"/>
  <c r="Z13" i="110"/>
  <c r="AB13" i="110"/>
  <c r="AD13" i="110"/>
  <c r="U13" i="110"/>
  <c r="W13" i="110"/>
  <c r="Y13" i="110"/>
  <c r="AA13" i="110"/>
  <c r="AC13" i="110"/>
  <c r="P25" i="110"/>
  <c r="T14" i="110"/>
  <c r="V14" i="110"/>
  <c r="X14" i="110"/>
  <c r="Z14" i="110"/>
  <c r="AB14" i="110"/>
  <c r="AD14" i="110"/>
  <c r="U14" i="110"/>
  <c r="W14" i="110"/>
  <c r="Y14" i="110"/>
  <c r="AA14" i="110"/>
  <c r="AC14" i="110"/>
  <c r="P29" i="110"/>
  <c r="T15" i="110"/>
  <c r="V15" i="110"/>
  <c r="X15" i="110"/>
  <c r="Z15" i="110"/>
  <c r="AB15" i="110"/>
  <c r="AD15" i="110"/>
  <c r="U15" i="110"/>
  <c r="W15" i="110"/>
  <c r="Y15" i="110"/>
  <c r="AA15" i="110"/>
  <c r="AC15" i="110"/>
  <c r="P33" i="110"/>
  <c r="P45" i="110"/>
  <c r="P49" i="110"/>
  <c r="P53" i="110"/>
  <c r="P59" i="110"/>
  <c r="P63" i="110"/>
  <c r="P67" i="110"/>
  <c r="P71" i="110"/>
  <c r="P75" i="110"/>
  <c r="P79" i="110"/>
  <c r="P83" i="110"/>
  <c r="P87" i="110"/>
  <c r="P91" i="110"/>
  <c r="X20" i="99"/>
  <c r="X27" i="99" s="1"/>
  <c r="F13" i="108"/>
  <c r="J13" i="108"/>
  <c r="N13" i="108"/>
  <c r="J14" i="108"/>
  <c r="N14" i="108"/>
  <c r="F15" i="108"/>
  <c r="N15" i="108"/>
  <c r="J16" i="108"/>
  <c r="F17" i="108"/>
  <c r="N17" i="108"/>
  <c r="J18" i="108"/>
  <c r="N18" i="108"/>
  <c r="F19" i="108"/>
  <c r="N19" i="108"/>
  <c r="F20" i="108"/>
  <c r="J20" i="108"/>
  <c r="F21" i="108"/>
  <c r="AB15" i="95"/>
  <c r="U17" i="97"/>
  <c r="U26" i="97" s="1"/>
  <c r="J21" i="108"/>
  <c r="N21" i="108"/>
  <c r="J22" i="108"/>
  <c r="N22" i="108"/>
  <c r="F23" i="108"/>
  <c r="N23" i="108"/>
  <c r="J24" i="108"/>
  <c r="H46" i="108"/>
  <c r="J46" i="108"/>
  <c r="L46" i="108"/>
  <c r="N46" i="108"/>
  <c r="D47" i="108"/>
  <c r="F47" i="108"/>
  <c r="H47" i="108"/>
  <c r="J47" i="108"/>
  <c r="L47" i="108"/>
  <c r="N47" i="108"/>
  <c r="D48" i="108"/>
  <c r="F48" i="108"/>
  <c r="H48" i="108"/>
  <c r="J48" i="108"/>
  <c r="L48" i="108"/>
  <c r="N48" i="108"/>
  <c r="D49" i="108"/>
  <c r="F49" i="108"/>
  <c r="H49" i="108"/>
  <c r="J49" i="108"/>
  <c r="L49" i="108"/>
  <c r="N49" i="108"/>
  <c r="D50" i="108"/>
  <c r="F50" i="108"/>
  <c r="H50" i="108"/>
  <c r="J50" i="108"/>
  <c r="L50" i="108"/>
  <c r="N50" i="108"/>
  <c r="D51" i="108"/>
  <c r="F51" i="108"/>
  <c r="H51" i="108"/>
  <c r="J51" i="108"/>
  <c r="L51" i="108"/>
  <c r="N51" i="108"/>
  <c r="D52" i="108"/>
  <c r="F52" i="108"/>
  <c r="H52" i="108"/>
  <c r="J52" i="108"/>
  <c r="L52" i="108"/>
  <c r="N52" i="108"/>
  <c r="D53" i="108"/>
  <c r="F53" i="108"/>
  <c r="H53" i="108"/>
  <c r="J53" i="108"/>
  <c r="L53" i="108"/>
  <c r="N53" i="108"/>
  <c r="D54" i="108"/>
  <c r="F54" i="108"/>
  <c r="H54" i="108"/>
  <c r="J54" i="108"/>
  <c r="L54" i="108"/>
  <c r="N54" i="108"/>
  <c r="D55" i="108"/>
  <c r="F55" i="108"/>
  <c r="H55" i="108"/>
  <c r="J55" i="108"/>
  <c r="L55" i="108"/>
  <c r="N55" i="108"/>
  <c r="D56" i="108"/>
  <c r="F56" i="108"/>
  <c r="H56" i="108"/>
  <c r="J56" i="108"/>
  <c r="L56" i="108"/>
  <c r="N56" i="108"/>
  <c r="D57" i="108"/>
  <c r="F57" i="108"/>
  <c r="H57" i="108"/>
  <c r="J57" i="108"/>
  <c r="L57" i="108"/>
  <c r="N57" i="108"/>
  <c r="I47" i="108"/>
  <c r="M48" i="108"/>
  <c r="I51" i="108"/>
  <c r="M52" i="108"/>
  <c r="I55" i="108"/>
  <c r="M56" i="108"/>
  <c r="E10" i="108"/>
  <c r="G10" i="108"/>
  <c r="I10" i="108"/>
  <c r="K10" i="108"/>
  <c r="M10" i="108"/>
  <c r="C11" i="108"/>
  <c r="E11" i="108"/>
  <c r="G11" i="108"/>
  <c r="I11" i="108"/>
  <c r="K11" i="108"/>
  <c r="M11" i="108"/>
  <c r="C13" i="108"/>
  <c r="E13" i="108"/>
  <c r="G13" i="108"/>
  <c r="I13" i="108"/>
  <c r="K13" i="108"/>
  <c r="M13" i="108"/>
  <c r="C14" i="108"/>
  <c r="E14" i="108"/>
  <c r="G14" i="108"/>
  <c r="I14" i="108"/>
  <c r="K14" i="108"/>
  <c r="M14" i="108"/>
  <c r="C15" i="108"/>
  <c r="E15" i="108"/>
  <c r="G15" i="108"/>
  <c r="I15" i="108"/>
  <c r="K15" i="108"/>
  <c r="M15" i="108"/>
  <c r="C16" i="108"/>
  <c r="E16" i="108"/>
  <c r="G16" i="108"/>
  <c r="I16" i="108"/>
  <c r="K16" i="108"/>
  <c r="M16" i="108"/>
  <c r="C17" i="108"/>
  <c r="E17" i="108"/>
  <c r="G17" i="108"/>
  <c r="I17" i="108"/>
  <c r="K17" i="108"/>
  <c r="M17" i="108"/>
  <c r="C18" i="108"/>
  <c r="E18" i="108"/>
  <c r="G18" i="108"/>
  <c r="I18" i="108"/>
  <c r="K18" i="108"/>
  <c r="M18" i="108"/>
  <c r="C24" i="108"/>
  <c r="E24" i="108"/>
  <c r="G24" i="108"/>
  <c r="I24" i="108"/>
  <c r="K24" i="108"/>
  <c r="M24" i="108"/>
  <c r="C25" i="108"/>
  <c r="E25" i="108"/>
  <c r="G25" i="108"/>
  <c r="I25" i="108"/>
  <c r="K25" i="108"/>
  <c r="M25" i="108"/>
  <c r="E26" i="108"/>
  <c r="I26" i="108"/>
  <c r="M26" i="108"/>
  <c r="C27" i="108"/>
  <c r="E27" i="108"/>
  <c r="G27" i="108"/>
  <c r="I27" i="108"/>
  <c r="K27" i="108"/>
  <c r="M27" i="108"/>
  <c r="C28" i="108"/>
  <c r="E28" i="108"/>
  <c r="G28" i="108"/>
  <c r="I28" i="108"/>
  <c r="K28" i="108"/>
  <c r="M28" i="108"/>
  <c r="C29" i="108"/>
  <c r="E29" i="108"/>
  <c r="G29" i="108"/>
  <c r="I29" i="108"/>
  <c r="K29" i="108"/>
  <c r="M29" i="108"/>
  <c r="E30" i="108"/>
  <c r="I30" i="108"/>
  <c r="M30" i="108"/>
  <c r="C31" i="108"/>
  <c r="E31" i="108"/>
  <c r="G31" i="108"/>
  <c r="I31" i="108"/>
  <c r="K31" i="108"/>
  <c r="M31" i="108"/>
  <c r="C32" i="108"/>
  <c r="E32" i="108"/>
  <c r="G32" i="108"/>
  <c r="I32" i="108"/>
  <c r="K32" i="108"/>
  <c r="M32" i="108"/>
  <c r="C33" i="108"/>
  <c r="E33" i="108"/>
  <c r="G33" i="108"/>
  <c r="I33" i="108"/>
  <c r="K33" i="108"/>
  <c r="M33" i="108"/>
  <c r="E34" i="108"/>
  <c r="G34" i="108"/>
  <c r="I34" i="108"/>
  <c r="M34" i="108"/>
  <c r="C35" i="108"/>
  <c r="E35" i="108"/>
  <c r="G35" i="108"/>
  <c r="I35" i="108"/>
  <c r="K35" i="108"/>
  <c r="M35" i="108"/>
  <c r="C36" i="108"/>
  <c r="E36" i="108"/>
  <c r="G36" i="108"/>
  <c r="I36" i="108"/>
  <c r="P23" i="110"/>
  <c r="S13" i="110"/>
  <c r="P31" i="110"/>
  <c r="S15" i="110"/>
  <c r="K36" i="108"/>
  <c r="M36" i="108"/>
  <c r="C37" i="108"/>
  <c r="E37" i="108"/>
  <c r="G37" i="108"/>
  <c r="I37" i="108"/>
  <c r="K37" i="108"/>
  <c r="M37" i="108"/>
  <c r="E38" i="108"/>
  <c r="I38" i="108"/>
  <c r="K38" i="108"/>
  <c r="M38" i="108"/>
  <c r="C39" i="108"/>
  <c r="E39" i="108"/>
  <c r="G39" i="108"/>
  <c r="I39" i="108"/>
  <c r="K39" i="108"/>
  <c r="M39" i="108"/>
  <c r="C40" i="108"/>
  <c r="E40" i="108"/>
  <c r="G40" i="108"/>
  <c r="I40" i="108"/>
  <c r="K40" i="108"/>
  <c r="M40" i="108"/>
  <c r="C41" i="108"/>
  <c r="E41" i="108"/>
  <c r="G41" i="108"/>
  <c r="I41" i="108"/>
  <c r="K41" i="108"/>
  <c r="M41" i="108"/>
  <c r="E42" i="108"/>
  <c r="G42" i="108"/>
  <c r="I42" i="108"/>
  <c r="M42" i="108"/>
  <c r="C43" i="108"/>
  <c r="E43" i="108"/>
  <c r="G43" i="108"/>
  <c r="I43" i="108"/>
  <c r="K43" i="108"/>
  <c r="M43" i="108"/>
  <c r="C44" i="108"/>
  <c r="E44" i="108"/>
  <c r="G44" i="108"/>
  <c r="I44" i="108"/>
  <c r="K44" i="108"/>
  <c r="M44" i="108"/>
  <c r="C45" i="108"/>
  <c r="E45" i="108"/>
  <c r="G45" i="108"/>
  <c r="I45" i="108"/>
  <c r="K45" i="108"/>
  <c r="M45" i="108"/>
  <c r="E46" i="108"/>
  <c r="I46" i="108"/>
  <c r="E47" i="108"/>
  <c r="M47" i="108"/>
  <c r="I48" i="108"/>
  <c r="E49" i="108"/>
  <c r="M49" i="108"/>
  <c r="E51" i="108"/>
  <c r="M51" i="108"/>
  <c r="I52" i="108"/>
  <c r="E53" i="108"/>
  <c r="M53" i="108"/>
  <c r="E55" i="108"/>
  <c r="M55" i="108"/>
  <c r="I56" i="108"/>
  <c r="E57" i="108"/>
  <c r="M57" i="108"/>
  <c r="E48" i="108"/>
  <c r="I49" i="108"/>
  <c r="E52" i="108"/>
  <c r="I53" i="108"/>
  <c r="E56" i="108"/>
  <c r="I57" i="108"/>
  <c r="X10" i="110"/>
  <c r="P13" i="110"/>
  <c r="P15" i="110"/>
  <c r="W11" i="110"/>
  <c r="AA14" i="94"/>
  <c r="K26" i="108"/>
  <c r="AA15" i="94"/>
  <c r="K30" i="108"/>
  <c r="AA16" i="94"/>
  <c r="K34" i="108"/>
  <c r="AA18" i="94"/>
  <c r="K42" i="108"/>
  <c r="M54" i="108"/>
  <c r="M50" i="108"/>
  <c r="M46" i="108"/>
  <c r="C42" i="108"/>
  <c r="C34" i="108"/>
  <c r="C26" i="108"/>
  <c r="F10" i="108"/>
  <c r="J10" i="108"/>
  <c r="N10" i="108"/>
  <c r="D11" i="108"/>
  <c r="F11" i="108"/>
  <c r="H11" i="108"/>
  <c r="J11" i="108"/>
  <c r="L11" i="108"/>
  <c r="N11" i="108"/>
  <c r="D12" i="108"/>
  <c r="F12" i="108"/>
  <c r="J12" i="108"/>
  <c r="P19" i="110"/>
  <c r="S12" i="110"/>
  <c r="E54" i="108"/>
  <c r="E50" i="108"/>
  <c r="C46" i="108"/>
  <c r="C38" i="108"/>
  <c r="C30" i="108"/>
  <c r="C47" i="108"/>
  <c r="G47" i="108"/>
  <c r="K47" i="108"/>
  <c r="C48" i="108"/>
  <c r="G48" i="108"/>
  <c r="K48" i="108"/>
  <c r="C49" i="108"/>
  <c r="G49" i="108"/>
  <c r="K49" i="108"/>
  <c r="C51" i="108"/>
  <c r="G51" i="108"/>
  <c r="K51" i="108"/>
  <c r="C52" i="108"/>
  <c r="G52" i="108"/>
  <c r="K52" i="108"/>
  <c r="C53" i="108"/>
  <c r="G53" i="108"/>
  <c r="K53" i="108"/>
  <c r="K54" i="108"/>
  <c r="C55" i="108"/>
  <c r="G55" i="108"/>
  <c r="K55" i="108"/>
  <c r="C56" i="108"/>
  <c r="G56" i="108"/>
  <c r="K56" i="108"/>
  <c r="C57" i="108"/>
  <c r="G57" i="108"/>
  <c r="K57" i="108"/>
  <c r="N12" i="108"/>
  <c r="F14" i="108"/>
  <c r="J15" i="108"/>
  <c r="N16" i="108"/>
  <c r="F18" i="108"/>
  <c r="J19" i="108"/>
  <c r="N20" i="108"/>
  <c r="J23" i="108"/>
  <c r="N24" i="108"/>
  <c r="F24" i="108"/>
  <c r="Z13" i="109"/>
  <c r="P12" i="110"/>
  <c r="F16" i="108"/>
  <c r="J17" i="108"/>
  <c r="I54" i="108"/>
  <c r="I50" i="108"/>
  <c r="C12" i="108"/>
  <c r="E12" i="108"/>
  <c r="G12" i="108"/>
  <c r="I12" i="108"/>
  <c r="K12" i="108"/>
  <c r="M12" i="108"/>
  <c r="C19" i="108"/>
  <c r="E19" i="108"/>
  <c r="G19" i="108"/>
  <c r="I19" i="108"/>
  <c r="K19" i="108"/>
  <c r="M19" i="108"/>
  <c r="C20" i="108"/>
  <c r="E20" i="108"/>
  <c r="G20" i="108"/>
  <c r="I20" i="108"/>
  <c r="K20" i="108"/>
  <c r="M20" i="108"/>
  <c r="C21" i="108"/>
  <c r="E21" i="108"/>
  <c r="G21" i="108"/>
  <c r="I21" i="108"/>
  <c r="K21" i="108"/>
  <c r="M21" i="108"/>
  <c r="C22" i="108"/>
  <c r="E22" i="108"/>
  <c r="G22" i="108"/>
  <c r="I22" i="108"/>
  <c r="K22" i="108"/>
  <c r="M22" i="108"/>
  <c r="C23" i="108"/>
  <c r="E23" i="108"/>
  <c r="G23" i="108"/>
  <c r="I23" i="108"/>
  <c r="K23" i="108"/>
  <c r="M23" i="108"/>
  <c r="D106" i="110"/>
  <c r="L106" i="110"/>
  <c r="P27" i="110"/>
  <c r="S14" i="110"/>
  <c r="G54" i="108"/>
  <c r="C54" i="108"/>
  <c r="K50" i="108"/>
  <c r="G50" i="108"/>
  <c r="C50" i="108"/>
  <c r="K46" i="108"/>
  <c r="G46" i="108"/>
  <c r="G38" i="108"/>
  <c r="G30" i="108"/>
  <c r="G26" i="108"/>
  <c r="F22" i="108"/>
  <c r="H12" i="108"/>
  <c r="L12" i="108"/>
  <c r="D13" i="108"/>
  <c r="H13" i="108"/>
  <c r="L13" i="108"/>
  <c r="D14" i="108"/>
  <c r="H14" i="108"/>
  <c r="L14" i="108"/>
  <c r="D15" i="108"/>
  <c r="H15" i="108"/>
  <c r="L15" i="108"/>
  <c r="D16" i="108"/>
  <c r="H16" i="108"/>
  <c r="L16" i="108"/>
  <c r="D17" i="108"/>
  <c r="H17" i="108"/>
  <c r="L17" i="108"/>
  <c r="D18" i="108"/>
  <c r="H18" i="108"/>
  <c r="L18" i="108"/>
  <c r="D19" i="108"/>
  <c r="H19" i="108"/>
  <c r="L19" i="108"/>
  <c r="D20" i="108"/>
  <c r="H20" i="108"/>
  <c r="L20" i="108"/>
  <c r="D21" i="108"/>
  <c r="H21" i="108"/>
  <c r="L21" i="108"/>
  <c r="D22" i="108"/>
  <c r="H22" i="108"/>
  <c r="L22" i="108"/>
  <c r="D23" i="108"/>
  <c r="H23" i="108"/>
  <c r="L23" i="108"/>
  <c r="D24" i="108"/>
  <c r="H24" i="108"/>
  <c r="L24" i="108"/>
  <c r="D25" i="108"/>
  <c r="F25" i="108"/>
  <c r="H25" i="108"/>
  <c r="J25" i="108"/>
  <c r="L25" i="108"/>
  <c r="N25" i="108"/>
  <c r="D26" i="108"/>
  <c r="F26" i="108"/>
  <c r="H26" i="108"/>
  <c r="J26" i="108"/>
  <c r="L26" i="108"/>
  <c r="N26" i="108"/>
  <c r="D27" i="108"/>
  <c r="F27" i="108"/>
  <c r="H27" i="108"/>
  <c r="J27" i="108"/>
  <c r="L27" i="108"/>
  <c r="N27" i="108"/>
  <c r="D28" i="108"/>
  <c r="F28" i="108"/>
  <c r="H28" i="108"/>
  <c r="J28" i="108"/>
  <c r="L28" i="108"/>
  <c r="N28" i="108"/>
  <c r="D29" i="108"/>
  <c r="F29" i="108"/>
  <c r="H29" i="108"/>
  <c r="J29" i="108"/>
  <c r="L29" i="108"/>
  <c r="N29" i="108"/>
  <c r="D30" i="108"/>
  <c r="F30" i="108"/>
  <c r="H30" i="108"/>
  <c r="J30" i="108"/>
  <c r="L30" i="108"/>
  <c r="N30" i="108"/>
  <c r="D31" i="108"/>
  <c r="F31" i="108"/>
  <c r="H31" i="108"/>
  <c r="J31" i="108"/>
  <c r="L31" i="108"/>
  <c r="N31" i="108"/>
  <c r="D32" i="108"/>
  <c r="F32" i="108"/>
  <c r="H32" i="108"/>
  <c r="J32" i="108"/>
  <c r="L32" i="108"/>
  <c r="N32" i="108"/>
  <c r="D33" i="108"/>
  <c r="F33" i="108"/>
  <c r="H33" i="108"/>
  <c r="J33" i="108"/>
  <c r="L33" i="108"/>
  <c r="N33" i="108"/>
  <c r="D34" i="108"/>
  <c r="F34" i="108"/>
  <c r="H34" i="108"/>
  <c r="J34" i="108"/>
  <c r="L34" i="108"/>
  <c r="N34" i="108"/>
  <c r="D35" i="108"/>
  <c r="F35" i="108"/>
  <c r="H35" i="108"/>
  <c r="J35" i="108"/>
  <c r="L35" i="108"/>
  <c r="N35" i="108"/>
  <c r="D36" i="108"/>
  <c r="F36" i="108"/>
  <c r="H36" i="108"/>
  <c r="J36" i="108"/>
  <c r="L36" i="108"/>
  <c r="N36" i="108"/>
  <c r="D37" i="108"/>
  <c r="F37" i="108"/>
  <c r="H37" i="108"/>
  <c r="J37" i="108"/>
  <c r="L37" i="108"/>
  <c r="N37" i="108"/>
  <c r="D38" i="108"/>
  <c r="F38" i="108"/>
  <c r="H38" i="108"/>
  <c r="J38" i="108"/>
  <c r="L38" i="108"/>
  <c r="N38" i="108"/>
  <c r="D39" i="108"/>
  <c r="F39" i="108"/>
  <c r="H39" i="108"/>
  <c r="J39" i="108"/>
  <c r="L39" i="108"/>
  <c r="N39" i="108"/>
  <c r="D40" i="108"/>
  <c r="F40" i="108"/>
  <c r="H40" i="108"/>
  <c r="J40" i="108"/>
  <c r="L40" i="108"/>
  <c r="N40" i="108"/>
  <c r="D41" i="108"/>
  <c r="F41" i="108"/>
  <c r="H41" i="108"/>
  <c r="J41" i="108"/>
  <c r="L41" i="108"/>
  <c r="N41" i="108"/>
  <c r="D42" i="108"/>
  <c r="F42" i="108"/>
  <c r="H42" i="108"/>
  <c r="J42" i="108"/>
  <c r="L42" i="108"/>
  <c r="N42" i="108"/>
  <c r="D43" i="108"/>
  <c r="F43" i="108"/>
  <c r="H43" i="108"/>
  <c r="J43" i="108"/>
  <c r="L43" i="108"/>
  <c r="N43" i="108"/>
  <c r="D44" i="108"/>
  <c r="F44" i="108"/>
  <c r="H44" i="108"/>
  <c r="J44" i="108"/>
  <c r="L44" i="108"/>
  <c r="N44" i="108"/>
  <c r="D45" i="108"/>
  <c r="F45" i="108"/>
  <c r="H45" i="108"/>
  <c r="J45" i="108"/>
  <c r="L45" i="108"/>
  <c r="N45" i="108"/>
  <c r="D46" i="108"/>
  <c r="F46" i="108"/>
  <c r="V12" i="109"/>
  <c r="AD12" i="109"/>
  <c r="P14" i="110"/>
  <c r="U11" i="110"/>
  <c r="Y11" i="110"/>
  <c r="AA11" i="110"/>
  <c r="AC11" i="110"/>
  <c r="X16" i="97"/>
  <c r="X26" i="97" s="1"/>
  <c r="W23" i="105"/>
  <c r="S11" i="109"/>
  <c r="AC17" i="109"/>
  <c r="V14" i="109"/>
  <c r="W10" i="110"/>
  <c r="P11" i="110"/>
  <c r="S11" i="110"/>
  <c r="T11" i="110"/>
  <c r="V11" i="110"/>
  <c r="X11" i="110"/>
  <c r="Z11" i="110"/>
  <c r="AB11" i="110"/>
  <c r="AD11" i="110"/>
  <c r="L10" i="108"/>
  <c r="H10" i="108"/>
  <c r="D10" i="108"/>
  <c r="V13" i="109"/>
  <c r="AD13" i="109"/>
  <c r="V15" i="109"/>
  <c r="AD15" i="109"/>
  <c r="C10" i="108"/>
  <c r="AA11" i="109"/>
  <c r="Z12" i="109"/>
  <c r="Z14" i="109"/>
  <c r="S10" i="110"/>
  <c r="V18" i="110"/>
  <c r="X18" i="110"/>
  <c r="Z18" i="110"/>
  <c r="AB18" i="110"/>
  <c r="AD18" i="110"/>
  <c r="P18" i="110"/>
  <c r="W39" i="110"/>
  <c r="P20" i="110"/>
  <c r="P22" i="110"/>
  <c r="P24" i="110"/>
  <c r="P26" i="110"/>
  <c r="P28" i="110"/>
  <c r="P30" i="110"/>
  <c r="P32" i="110"/>
  <c r="P34" i="110"/>
  <c r="P35" i="110"/>
  <c r="P36" i="110"/>
  <c r="P37" i="110"/>
  <c r="P38" i="110"/>
  <c r="P39" i="110"/>
  <c r="P40" i="110"/>
  <c r="P41" i="110"/>
  <c r="P42" i="110"/>
  <c r="O44" i="110"/>
  <c r="U19" i="110"/>
  <c r="Y19" i="110"/>
  <c r="AC19" i="110"/>
  <c r="O48" i="110"/>
  <c r="U20" i="110"/>
  <c r="Y20" i="110"/>
  <c r="AC20" i="110"/>
  <c r="O52" i="110"/>
  <c r="U21" i="110"/>
  <c r="Y21" i="110"/>
  <c r="AC21" i="110"/>
  <c r="O56" i="110"/>
  <c r="O58" i="110"/>
  <c r="U22" i="110"/>
  <c r="Y22" i="110"/>
  <c r="AC22" i="110"/>
  <c r="O62" i="110"/>
  <c r="O66" i="110"/>
  <c r="U24" i="110"/>
  <c r="Y24" i="110"/>
  <c r="AC24" i="110"/>
  <c r="O70" i="110"/>
  <c r="O74" i="110"/>
  <c r="U26" i="110"/>
  <c r="Y26" i="110"/>
  <c r="AC26" i="110"/>
  <c r="O78" i="110"/>
  <c r="O82" i="110"/>
  <c r="U28" i="110"/>
  <c r="Y28" i="110"/>
  <c r="AC28" i="110"/>
  <c r="O86" i="110"/>
  <c r="O90" i="110"/>
  <c r="U30" i="110"/>
  <c r="Y30" i="110"/>
  <c r="AC30" i="110"/>
  <c r="O94" i="110"/>
  <c r="O98" i="110"/>
  <c r="U32" i="110"/>
  <c r="Y32" i="110"/>
  <c r="AC32" i="110"/>
  <c r="O102" i="110"/>
  <c r="AD13" i="99"/>
  <c r="AD26" i="99" s="1"/>
  <c r="P44" i="110"/>
  <c r="P48" i="110"/>
  <c r="V19" i="110"/>
  <c r="X19" i="110"/>
  <c r="Z19" i="110"/>
  <c r="AB19" i="110"/>
  <c r="AD19" i="110"/>
  <c r="P52" i="110"/>
  <c r="V20" i="110"/>
  <c r="X20" i="110"/>
  <c r="Z20" i="110"/>
  <c r="AB20" i="110"/>
  <c r="AD20" i="110"/>
  <c r="P56" i="110"/>
  <c r="P62" i="110"/>
  <c r="P70" i="110"/>
  <c r="P78" i="110"/>
  <c r="P86" i="110"/>
  <c r="P94" i="110"/>
  <c r="P102" i="110"/>
  <c r="S13" i="97"/>
  <c r="T12" i="109"/>
  <c r="X12" i="109"/>
  <c r="AB12" i="109"/>
  <c r="P20" i="109"/>
  <c r="T13" i="109"/>
  <c r="X13" i="109"/>
  <c r="AB13" i="109"/>
  <c r="P24" i="109"/>
  <c r="T14" i="109"/>
  <c r="X14" i="109"/>
  <c r="AB14" i="109"/>
  <c r="P28" i="109"/>
  <c r="T15" i="109"/>
  <c r="X15" i="109"/>
  <c r="AB15" i="109"/>
  <c r="P32" i="109"/>
  <c r="E106" i="110"/>
  <c r="G106" i="110"/>
  <c r="I106" i="110"/>
  <c r="K106" i="110"/>
  <c r="M106" i="110"/>
  <c r="AA10" i="110"/>
  <c r="P17" i="110"/>
  <c r="S17" i="110"/>
  <c r="S35" i="110" s="1"/>
  <c r="P43" i="110"/>
  <c r="O46" i="110"/>
  <c r="P46" i="110"/>
  <c r="P47" i="110"/>
  <c r="O50" i="110"/>
  <c r="P50" i="110"/>
  <c r="P51" i="110"/>
  <c r="O54" i="110"/>
  <c r="P54" i="110"/>
  <c r="P55" i="110"/>
  <c r="P58" i="110"/>
  <c r="P66" i="110"/>
  <c r="P74" i="110"/>
  <c r="P82" i="110"/>
  <c r="P90" i="110"/>
  <c r="P98" i="110"/>
  <c r="P57" i="110"/>
  <c r="V21" i="110"/>
  <c r="X21" i="110"/>
  <c r="Z21" i="110"/>
  <c r="AB21" i="110"/>
  <c r="AD21" i="110"/>
  <c r="O60" i="110"/>
  <c r="P60" i="110"/>
  <c r="P61" i="110"/>
  <c r="V22" i="110"/>
  <c r="X22" i="110"/>
  <c r="Z22" i="110"/>
  <c r="AB22" i="110"/>
  <c r="AD22" i="110"/>
  <c r="O64" i="110"/>
  <c r="P64" i="110"/>
  <c r="P65" i="110"/>
  <c r="V23" i="110"/>
  <c r="X23" i="110"/>
  <c r="Z23" i="110"/>
  <c r="AB23" i="110"/>
  <c r="AD23" i="110"/>
  <c r="O68" i="110"/>
  <c r="P68" i="110"/>
  <c r="P69" i="110"/>
  <c r="V24" i="110"/>
  <c r="X24" i="110"/>
  <c r="Z24" i="110"/>
  <c r="AB24" i="110"/>
  <c r="AD24" i="110"/>
  <c r="O72" i="110"/>
  <c r="P72" i="110"/>
  <c r="P73" i="110"/>
  <c r="V25" i="110"/>
  <c r="X25" i="110"/>
  <c r="Z25" i="110"/>
  <c r="AB25" i="110"/>
  <c r="AD25" i="110"/>
  <c r="O76" i="110"/>
  <c r="P76" i="110"/>
  <c r="P77" i="110"/>
  <c r="V26" i="110"/>
  <c r="X26" i="110"/>
  <c r="Z26" i="110"/>
  <c r="AB26" i="110"/>
  <c r="AD26" i="110"/>
  <c r="O80" i="110"/>
  <c r="P80" i="110"/>
  <c r="P81" i="110"/>
  <c r="V27" i="110"/>
  <c r="X27" i="110"/>
  <c r="Z27" i="110"/>
  <c r="AB27" i="110"/>
  <c r="AD27" i="110"/>
  <c r="O84" i="110"/>
  <c r="P84" i="110"/>
  <c r="P85" i="110"/>
  <c r="V28" i="110"/>
  <c r="X28" i="110"/>
  <c r="Z28" i="110"/>
  <c r="AB28" i="110"/>
  <c r="AD28" i="110"/>
  <c r="O88" i="110"/>
  <c r="P88" i="110"/>
  <c r="P89" i="110"/>
  <c r="V29" i="110"/>
  <c r="X29" i="110"/>
  <c r="Z29" i="110"/>
  <c r="AB29" i="110"/>
  <c r="AD29" i="110"/>
  <c r="O92" i="110"/>
  <c r="P92" i="110"/>
  <c r="P93" i="110"/>
  <c r="V30" i="110"/>
  <c r="X30" i="110"/>
  <c r="Z30" i="110"/>
  <c r="O96" i="110"/>
  <c r="P96" i="110"/>
  <c r="P97" i="110"/>
  <c r="O100" i="110"/>
  <c r="P100" i="110"/>
  <c r="P101" i="110"/>
  <c r="O104" i="110"/>
  <c r="P104" i="110"/>
  <c r="P105" i="110"/>
  <c r="S38" i="110"/>
  <c r="U38" i="110"/>
  <c r="W38" i="110"/>
  <c r="C106" i="110"/>
  <c r="P10" i="110"/>
  <c r="O10" i="110"/>
  <c r="U10" i="110"/>
  <c r="Y10" i="110"/>
  <c r="AC10" i="110"/>
  <c r="O11" i="110"/>
  <c r="O12" i="110"/>
  <c r="O13" i="110"/>
  <c r="O14" i="110"/>
  <c r="O15" i="110"/>
  <c r="P16" i="110"/>
  <c r="O16" i="110"/>
  <c r="O17" i="110"/>
  <c r="O18" i="110"/>
  <c r="O19" i="110"/>
  <c r="O20" i="110"/>
  <c r="O21" i="110"/>
  <c r="O22" i="110"/>
  <c r="O23" i="110"/>
  <c r="O24" i="110"/>
  <c r="O25" i="110"/>
  <c r="O26" i="110"/>
  <c r="O27" i="110"/>
  <c r="O28" i="110"/>
  <c r="O29" i="110"/>
  <c r="O30" i="110"/>
  <c r="S36" i="110"/>
  <c r="W36" i="110"/>
  <c r="AA36" i="110"/>
  <c r="H106" i="110"/>
  <c r="C106" i="109"/>
  <c r="E106" i="109"/>
  <c r="G106" i="109"/>
  <c r="I106" i="109"/>
  <c r="K106" i="109"/>
  <c r="M106" i="109"/>
  <c r="P11" i="109"/>
  <c r="W11" i="109"/>
  <c r="P18" i="109"/>
  <c r="U12" i="109"/>
  <c r="W12" i="109"/>
  <c r="Y12" i="109"/>
  <c r="AA12" i="109"/>
  <c r="AC12" i="109"/>
  <c r="P22" i="109"/>
  <c r="U13" i="109"/>
  <c r="W13" i="109"/>
  <c r="Y13" i="109"/>
  <c r="AA13" i="109"/>
  <c r="AC13" i="109"/>
  <c r="P26" i="109"/>
  <c r="U14" i="109"/>
  <c r="W14" i="109"/>
  <c r="Y14" i="109"/>
  <c r="AA14" i="109"/>
  <c r="AC14" i="109"/>
  <c r="P30" i="109"/>
  <c r="U15" i="109"/>
  <c r="W15" i="109"/>
  <c r="Y15" i="109"/>
  <c r="AA15" i="109"/>
  <c r="AC15" i="109"/>
  <c r="P34" i="109"/>
  <c r="P35" i="109"/>
  <c r="P36" i="109"/>
  <c r="P37" i="109"/>
  <c r="P38" i="109"/>
  <c r="P39" i="109"/>
  <c r="P40" i="109"/>
  <c r="P41" i="109"/>
  <c r="P42" i="109"/>
  <c r="O44" i="109"/>
  <c r="S39" i="109"/>
  <c r="AA39" i="109"/>
  <c r="O48" i="109"/>
  <c r="O52" i="109"/>
  <c r="O56" i="109"/>
  <c r="O58" i="109"/>
  <c r="O62" i="109"/>
  <c r="O66" i="109"/>
  <c r="O70" i="109"/>
  <c r="O74" i="109"/>
  <c r="O78" i="109"/>
  <c r="O82" i="109"/>
  <c r="O86" i="109"/>
  <c r="O90" i="109"/>
  <c r="O94" i="109"/>
  <c r="O98" i="109"/>
  <c r="O102" i="109"/>
  <c r="F106" i="110"/>
  <c r="J106" i="110"/>
  <c r="N106" i="110"/>
  <c r="T10" i="110"/>
  <c r="V10" i="110"/>
  <c r="Z10" i="110"/>
  <c r="AB10" i="110"/>
  <c r="AD10" i="110"/>
  <c r="T18" i="110"/>
  <c r="T19" i="110"/>
  <c r="T20" i="110"/>
  <c r="T21" i="110"/>
  <c r="T22" i="110"/>
  <c r="T23" i="110"/>
  <c r="T24" i="110"/>
  <c r="T25" i="110"/>
  <c r="T26" i="110"/>
  <c r="T27" i="110"/>
  <c r="T28" i="110"/>
  <c r="T29" i="110"/>
  <c r="T30" i="110"/>
  <c r="O31" i="110"/>
  <c r="O32" i="110"/>
  <c r="O33" i="110"/>
  <c r="O34" i="110"/>
  <c r="O35" i="110"/>
  <c r="O36" i="110"/>
  <c r="O37" i="110"/>
  <c r="O38" i="110"/>
  <c r="O39" i="110"/>
  <c r="O40" i="110"/>
  <c r="O41" i="110"/>
  <c r="O42" i="110"/>
  <c r="AB30" i="110"/>
  <c r="AD30" i="110"/>
  <c r="P95" i="110"/>
  <c r="T31" i="110"/>
  <c r="V31" i="110"/>
  <c r="X31" i="110"/>
  <c r="Z31" i="110"/>
  <c r="AB31" i="110"/>
  <c r="AD31" i="110"/>
  <c r="P99" i="110"/>
  <c r="T32" i="110"/>
  <c r="V32" i="110"/>
  <c r="X32" i="110"/>
  <c r="Z32" i="110"/>
  <c r="AB32" i="110"/>
  <c r="AD32" i="110"/>
  <c r="P103" i="110"/>
  <c r="T33" i="110"/>
  <c r="V33" i="110"/>
  <c r="X33" i="110"/>
  <c r="Z33" i="110"/>
  <c r="AB33" i="110"/>
  <c r="AD33" i="110"/>
  <c r="O43" i="110"/>
  <c r="O45" i="110"/>
  <c r="O47" i="110"/>
  <c r="O49" i="110"/>
  <c r="O51" i="110"/>
  <c r="O53" i="110"/>
  <c r="O55" i="110"/>
  <c r="O57" i="110"/>
  <c r="O59" i="110"/>
  <c r="O61" i="110"/>
  <c r="O63" i="110"/>
  <c r="O65" i="110"/>
  <c r="O67" i="110"/>
  <c r="O69" i="110"/>
  <c r="O71" i="110"/>
  <c r="O73" i="110"/>
  <c r="O75" i="110"/>
  <c r="O77" i="110"/>
  <c r="O79" i="110"/>
  <c r="O81" i="110"/>
  <c r="O83" i="110"/>
  <c r="O85" i="110"/>
  <c r="O87" i="110"/>
  <c r="O89" i="110"/>
  <c r="O91" i="110"/>
  <c r="O93" i="110"/>
  <c r="O95" i="110"/>
  <c r="O97" i="110"/>
  <c r="O99" i="110"/>
  <c r="O101" i="110"/>
  <c r="O103" i="110"/>
  <c r="O105" i="110"/>
  <c r="V19" i="95"/>
  <c r="Y14" i="101"/>
  <c r="V15" i="98"/>
  <c r="W39" i="109"/>
  <c r="X10" i="109"/>
  <c r="P12" i="109"/>
  <c r="S12" i="109"/>
  <c r="P13" i="109"/>
  <c r="S13" i="109"/>
  <c r="P14" i="109"/>
  <c r="U11" i="109"/>
  <c r="Y11" i="109"/>
  <c r="AC11" i="109"/>
  <c r="S14" i="109"/>
  <c r="P15" i="109"/>
  <c r="S15" i="109"/>
  <c r="P16" i="109"/>
  <c r="S16" i="109"/>
  <c r="T11" i="109"/>
  <c r="V11" i="109"/>
  <c r="X11" i="109"/>
  <c r="Z11" i="109"/>
  <c r="AB11" i="109"/>
  <c r="AD11" i="109"/>
  <c r="P19" i="109"/>
  <c r="P21" i="109"/>
  <c r="P23" i="109"/>
  <c r="S23" i="109"/>
  <c r="P25" i="109"/>
  <c r="S25" i="109"/>
  <c r="P27" i="109"/>
  <c r="S27" i="109"/>
  <c r="P29" i="109"/>
  <c r="S29" i="109"/>
  <c r="P31" i="109"/>
  <c r="S31" i="109"/>
  <c r="P33" i="109"/>
  <c r="S33" i="109"/>
  <c r="S17" i="109"/>
  <c r="P45" i="109"/>
  <c r="V18" i="109"/>
  <c r="X18" i="109"/>
  <c r="Z18" i="109"/>
  <c r="AB18" i="109"/>
  <c r="AD18" i="109"/>
  <c r="P49" i="109"/>
  <c r="P53" i="109"/>
  <c r="P59" i="109"/>
  <c r="P63" i="109"/>
  <c r="P67" i="109"/>
  <c r="P71" i="109"/>
  <c r="P75" i="109"/>
  <c r="P79" i="109"/>
  <c r="P83" i="109"/>
  <c r="P87" i="109"/>
  <c r="P91" i="109"/>
  <c r="P44" i="109"/>
  <c r="P48" i="109"/>
  <c r="V19" i="109"/>
  <c r="V39" i="109" s="1"/>
  <c r="X19" i="109"/>
  <c r="Z19" i="109"/>
  <c r="AB19" i="109"/>
  <c r="AD19" i="109"/>
  <c r="P52" i="109"/>
  <c r="V20" i="109"/>
  <c r="X20" i="109"/>
  <c r="Z20" i="109"/>
  <c r="AB20" i="109"/>
  <c r="AD20" i="109"/>
  <c r="P56" i="109"/>
  <c r="P62" i="109"/>
  <c r="P70" i="109"/>
  <c r="P78" i="109"/>
  <c r="P86" i="109"/>
  <c r="P94" i="109"/>
  <c r="P102" i="109"/>
  <c r="D106" i="109"/>
  <c r="L106" i="109"/>
  <c r="P17" i="109"/>
  <c r="P43" i="109"/>
  <c r="O46" i="109"/>
  <c r="P46" i="109"/>
  <c r="P47" i="109"/>
  <c r="O50" i="109"/>
  <c r="P50" i="109"/>
  <c r="P51" i="109"/>
  <c r="O54" i="109"/>
  <c r="P54" i="109"/>
  <c r="P55" i="109"/>
  <c r="P58" i="109"/>
  <c r="P66" i="109"/>
  <c r="P74" i="109"/>
  <c r="P82" i="109"/>
  <c r="P90" i="109"/>
  <c r="P98" i="109"/>
  <c r="P57" i="109"/>
  <c r="V21" i="109"/>
  <c r="X21" i="109"/>
  <c r="Z21" i="109"/>
  <c r="AB21" i="109"/>
  <c r="AD21" i="109"/>
  <c r="O60" i="109"/>
  <c r="P60" i="109"/>
  <c r="P61" i="109"/>
  <c r="V22" i="109"/>
  <c r="X22" i="109"/>
  <c r="Z22" i="109"/>
  <c r="AB22" i="109"/>
  <c r="AD22" i="109"/>
  <c r="O64" i="109"/>
  <c r="P64" i="109"/>
  <c r="P65" i="109"/>
  <c r="V23" i="109"/>
  <c r="X23" i="109"/>
  <c r="Z23" i="109"/>
  <c r="AB23" i="109"/>
  <c r="AD23" i="109"/>
  <c r="O68" i="109"/>
  <c r="P68" i="109"/>
  <c r="P69" i="109"/>
  <c r="V24" i="109"/>
  <c r="X24" i="109"/>
  <c r="Z24" i="109"/>
  <c r="AB24" i="109"/>
  <c r="AD24" i="109"/>
  <c r="O72" i="109"/>
  <c r="P72" i="109"/>
  <c r="P73" i="109"/>
  <c r="V25" i="109"/>
  <c r="X25" i="109"/>
  <c r="Z25" i="109"/>
  <c r="AB25" i="109"/>
  <c r="AD25" i="109"/>
  <c r="O76" i="109"/>
  <c r="P76" i="109"/>
  <c r="P77" i="109"/>
  <c r="V26" i="109"/>
  <c r="X26" i="109"/>
  <c r="Z26" i="109"/>
  <c r="AB26" i="109"/>
  <c r="AD26" i="109"/>
  <c r="O80" i="109"/>
  <c r="P80" i="109"/>
  <c r="P81" i="109"/>
  <c r="V27" i="109"/>
  <c r="X27" i="109"/>
  <c r="Z27" i="109"/>
  <c r="AB27" i="109"/>
  <c r="AD27" i="109"/>
  <c r="O84" i="109"/>
  <c r="P84" i="109"/>
  <c r="P85" i="109"/>
  <c r="V28" i="109"/>
  <c r="X28" i="109"/>
  <c r="Z28" i="109"/>
  <c r="AB28" i="109"/>
  <c r="AD28" i="109"/>
  <c r="O88" i="109"/>
  <c r="P88" i="109"/>
  <c r="P89" i="109"/>
  <c r="V29" i="109"/>
  <c r="X29" i="109"/>
  <c r="Z29" i="109"/>
  <c r="AB29" i="109"/>
  <c r="AD29" i="109"/>
  <c r="O92" i="109"/>
  <c r="P92" i="109"/>
  <c r="P93" i="109"/>
  <c r="V30" i="109"/>
  <c r="X30" i="109"/>
  <c r="Z30" i="109"/>
  <c r="O96" i="109"/>
  <c r="P96" i="109"/>
  <c r="P97" i="109"/>
  <c r="O100" i="109"/>
  <c r="P100" i="109"/>
  <c r="P101" i="109"/>
  <c r="O104" i="109"/>
  <c r="P104" i="109"/>
  <c r="P105" i="109"/>
  <c r="V21" i="98"/>
  <c r="V27" i="98" s="1"/>
  <c r="AD29" i="105"/>
  <c r="O10" i="109"/>
  <c r="S10" i="109"/>
  <c r="U10" i="109"/>
  <c r="W10" i="109"/>
  <c r="Y10" i="109"/>
  <c r="AA10" i="109"/>
  <c r="AC10" i="109"/>
  <c r="O11" i="109"/>
  <c r="O12" i="109"/>
  <c r="O13" i="109"/>
  <c r="O14" i="109"/>
  <c r="O15" i="109"/>
  <c r="O16" i="109"/>
  <c r="O17" i="109"/>
  <c r="O18" i="109"/>
  <c r="O19" i="109"/>
  <c r="O20" i="109"/>
  <c r="O21" i="109"/>
  <c r="O22" i="109"/>
  <c r="O23" i="109"/>
  <c r="O24" i="109"/>
  <c r="O25" i="109"/>
  <c r="O26" i="109"/>
  <c r="O27" i="109"/>
  <c r="O28" i="109"/>
  <c r="O29" i="109"/>
  <c r="O30" i="109"/>
  <c r="S36" i="109"/>
  <c r="W36" i="109"/>
  <c r="AA36" i="109"/>
  <c r="H106" i="109"/>
  <c r="F106" i="109"/>
  <c r="J106" i="109"/>
  <c r="N106" i="109"/>
  <c r="P10" i="109"/>
  <c r="T10" i="109"/>
  <c r="V10" i="109"/>
  <c r="Z10" i="109"/>
  <c r="AB10" i="109"/>
  <c r="AD10" i="109"/>
  <c r="T18" i="109"/>
  <c r="T19" i="109"/>
  <c r="T20" i="109"/>
  <c r="T21" i="109"/>
  <c r="T22" i="109"/>
  <c r="T23" i="109"/>
  <c r="T24" i="109"/>
  <c r="T25" i="109"/>
  <c r="T26" i="109"/>
  <c r="T27" i="109"/>
  <c r="T28" i="109"/>
  <c r="T29" i="109"/>
  <c r="T30" i="109"/>
  <c r="O31" i="109"/>
  <c r="O32" i="109"/>
  <c r="O33" i="109"/>
  <c r="O34" i="109"/>
  <c r="O35" i="109"/>
  <c r="O36" i="109"/>
  <c r="U36" i="109"/>
  <c r="Y36" i="109"/>
  <c r="AC36" i="109"/>
  <c r="O37" i="109"/>
  <c r="O38" i="109"/>
  <c r="O39" i="109"/>
  <c r="O40" i="109"/>
  <c r="O41" i="109"/>
  <c r="O42" i="109"/>
  <c r="AB30" i="109"/>
  <c r="AD30" i="109"/>
  <c r="P95" i="109"/>
  <c r="T31" i="109"/>
  <c r="V31" i="109"/>
  <c r="X31" i="109"/>
  <c r="Z31" i="109"/>
  <c r="AB31" i="109"/>
  <c r="AD31" i="109"/>
  <c r="P99" i="109"/>
  <c r="T32" i="109"/>
  <c r="V32" i="109"/>
  <c r="X32" i="109"/>
  <c r="Z32" i="109"/>
  <c r="AB32" i="109"/>
  <c r="AD32" i="109"/>
  <c r="P103" i="109"/>
  <c r="T33" i="109"/>
  <c r="V33" i="109"/>
  <c r="X33" i="109"/>
  <c r="Z33" i="109"/>
  <c r="AB33" i="109"/>
  <c r="AD33" i="109"/>
  <c r="O43" i="109"/>
  <c r="O45" i="109"/>
  <c r="O47" i="109"/>
  <c r="O49" i="109"/>
  <c r="O51" i="109"/>
  <c r="O53" i="109"/>
  <c r="O55" i="109"/>
  <c r="O57" i="109"/>
  <c r="O59" i="109"/>
  <c r="O61" i="109"/>
  <c r="O63" i="109"/>
  <c r="O65" i="109"/>
  <c r="O67" i="109"/>
  <c r="O69" i="109"/>
  <c r="O71" i="109"/>
  <c r="O73" i="109"/>
  <c r="O75" i="109"/>
  <c r="O77" i="109"/>
  <c r="O79" i="109"/>
  <c r="O81" i="109"/>
  <c r="O83" i="109"/>
  <c r="O85" i="109"/>
  <c r="O87" i="109"/>
  <c r="O89" i="109"/>
  <c r="O91" i="109"/>
  <c r="O93" i="109"/>
  <c r="O95" i="109"/>
  <c r="O97" i="109"/>
  <c r="O99" i="109"/>
  <c r="O101" i="109"/>
  <c r="O103" i="109"/>
  <c r="O105" i="109"/>
  <c r="V13" i="97"/>
  <c r="U15" i="99"/>
  <c r="Z17" i="101"/>
  <c r="S21" i="105"/>
  <c r="S39" i="105" s="1"/>
  <c r="Y24" i="105"/>
  <c r="U20" i="95"/>
  <c r="AB20" i="105"/>
  <c r="AB39" i="105" s="1"/>
  <c r="U13" i="94"/>
  <c r="W13" i="94"/>
  <c r="Y13" i="94"/>
  <c r="AA13" i="94"/>
  <c r="AC13" i="94"/>
  <c r="Y15" i="94"/>
  <c r="AC15" i="94"/>
  <c r="U16" i="94"/>
  <c r="Y16" i="94"/>
  <c r="AC16" i="94"/>
  <c r="U17" i="94"/>
  <c r="AC17" i="94"/>
  <c r="Y18" i="94"/>
  <c r="AC18" i="94"/>
  <c r="U19" i="94"/>
  <c r="V14" i="94"/>
  <c r="X14" i="94"/>
  <c r="Z14" i="94"/>
  <c r="AB14" i="94"/>
  <c r="AD14" i="94"/>
  <c r="AA21" i="94"/>
  <c r="T13" i="105"/>
  <c r="AB13" i="105"/>
  <c r="T14" i="105"/>
  <c r="V14" i="105"/>
  <c r="X14" i="105"/>
  <c r="Z14" i="105"/>
  <c r="AB14" i="105"/>
  <c r="AD14" i="105"/>
  <c r="W15" i="105"/>
  <c r="Y39" i="105"/>
  <c r="T12" i="105"/>
  <c r="V12" i="105"/>
  <c r="Z12" i="105"/>
  <c r="AB12" i="105"/>
  <c r="AD12" i="105"/>
  <c r="V13" i="105"/>
  <c r="X13" i="105"/>
  <c r="Z13" i="105"/>
  <c r="AD13" i="105"/>
  <c r="V11" i="105"/>
  <c r="Z11" i="105"/>
  <c r="AD11" i="105"/>
  <c r="AC39" i="105"/>
  <c r="U12" i="105"/>
  <c r="W12" i="105"/>
  <c r="Y12" i="105"/>
  <c r="AA12" i="105"/>
  <c r="AC12" i="105"/>
  <c r="P16" i="105"/>
  <c r="U11" i="105"/>
  <c r="W11" i="105"/>
  <c r="Y11" i="105"/>
  <c r="AA11" i="105"/>
  <c r="AC11" i="105"/>
  <c r="O17" i="105"/>
  <c r="O18" i="105"/>
  <c r="O19" i="105"/>
  <c r="O20" i="105"/>
  <c r="P21" i="105"/>
  <c r="P22" i="105"/>
  <c r="U13" i="105"/>
  <c r="W13" i="105"/>
  <c r="Y13" i="105"/>
  <c r="AA13" i="105"/>
  <c r="AC13" i="105"/>
  <c r="S14" i="105"/>
  <c r="U14" i="105"/>
  <c r="W14" i="105"/>
  <c r="Y14" i="105"/>
  <c r="AA14" i="105"/>
  <c r="AC14" i="105"/>
  <c r="S15" i="105"/>
  <c r="AA15" i="105"/>
  <c r="U15" i="105"/>
  <c r="Y15" i="105"/>
  <c r="AC15" i="105"/>
  <c r="P12" i="105"/>
  <c r="S12" i="105"/>
  <c r="P13" i="105"/>
  <c r="S13" i="105"/>
  <c r="P14" i="105"/>
  <c r="P15" i="105"/>
  <c r="P32" i="105"/>
  <c r="P34" i="105"/>
  <c r="P35" i="105"/>
  <c r="P36" i="105"/>
  <c r="P37" i="105"/>
  <c r="P38" i="105"/>
  <c r="P39" i="105"/>
  <c r="P40" i="105"/>
  <c r="P41" i="105"/>
  <c r="P42" i="105"/>
  <c r="P43" i="105"/>
  <c r="P44" i="105"/>
  <c r="P45" i="105"/>
  <c r="P46" i="105"/>
  <c r="P47" i="105"/>
  <c r="P48" i="105"/>
  <c r="P49" i="105"/>
  <c r="P50" i="105"/>
  <c r="P51" i="105"/>
  <c r="P52" i="105"/>
  <c r="P53" i="105"/>
  <c r="P54" i="105"/>
  <c r="P55" i="105"/>
  <c r="P56" i="105"/>
  <c r="P57" i="105"/>
  <c r="P58" i="105"/>
  <c r="P59" i="105"/>
  <c r="P60" i="105"/>
  <c r="P61" i="105"/>
  <c r="P63" i="105"/>
  <c r="P64" i="105"/>
  <c r="P65" i="105"/>
  <c r="P67" i="105"/>
  <c r="P68" i="105"/>
  <c r="P69" i="105"/>
  <c r="P71" i="105"/>
  <c r="P72" i="105"/>
  <c r="P73" i="105"/>
  <c r="P75" i="105"/>
  <c r="P76" i="105"/>
  <c r="P77" i="105"/>
  <c r="P79" i="105"/>
  <c r="P80" i="105"/>
  <c r="P81" i="105"/>
  <c r="P83" i="105"/>
  <c r="P84" i="105"/>
  <c r="P85" i="105"/>
  <c r="P87" i="105"/>
  <c r="P88" i="105"/>
  <c r="P89" i="105"/>
  <c r="P91" i="105"/>
  <c r="P92" i="105"/>
  <c r="P93" i="105"/>
  <c r="P95" i="105"/>
  <c r="P96" i="105"/>
  <c r="P97" i="105"/>
  <c r="P98" i="105"/>
  <c r="P99" i="105"/>
  <c r="P100" i="105"/>
  <c r="P101" i="105"/>
  <c r="P103" i="105"/>
  <c r="P104" i="105"/>
  <c r="P105" i="105"/>
  <c r="P62" i="105"/>
  <c r="S23" i="105"/>
  <c r="P66" i="105"/>
  <c r="S24" i="105"/>
  <c r="P70" i="105"/>
  <c r="S25" i="105"/>
  <c r="P74" i="105"/>
  <c r="S26" i="105"/>
  <c r="P78" i="105"/>
  <c r="S27" i="105"/>
  <c r="P82" i="105"/>
  <c r="S28" i="105"/>
  <c r="P86" i="105"/>
  <c r="S29" i="105"/>
  <c r="P90" i="105"/>
  <c r="S30" i="105"/>
  <c r="I106" i="105"/>
  <c r="K106" i="105"/>
  <c r="M106" i="105"/>
  <c r="P11" i="105"/>
  <c r="P23" i="105"/>
  <c r="P24" i="105"/>
  <c r="P25" i="105"/>
  <c r="P26" i="105"/>
  <c r="P27" i="105"/>
  <c r="P28" i="105"/>
  <c r="P29" i="105"/>
  <c r="P30" i="105"/>
  <c r="T15" i="105"/>
  <c r="V15" i="105"/>
  <c r="X15" i="105"/>
  <c r="Z15" i="105"/>
  <c r="AB15" i="105"/>
  <c r="AD15" i="105"/>
  <c r="S11" i="105"/>
  <c r="P94" i="105"/>
  <c r="S31" i="105"/>
  <c r="P102" i="105"/>
  <c r="S33" i="105"/>
  <c r="H106" i="105"/>
  <c r="J106" i="105"/>
  <c r="L106" i="105"/>
  <c r="N106" i="105"/>
  <c r="P17" i="105"/>
  <c r="P18" i="105"/>
  <c r="P19" i="105"/>
  <c r="P20" i="105"/>
  <c r="S32" i="105"/>
  <c r="P31" i="105"/>
  <c r="P33" i="105"/>
  <c r="D106" i="105"/>
  <c r="T10" i="105"/>
  <c r="F106" i="105"/>
  <c r="V10" i="105"/>
  <c r="C106" i="105"/>
  <c r="P10" i="105"/>
  <c r="S10" i="105"/>
  <c r="O10" i="105"/>
  <c r="E106" i="105"/>
  <c r="U10" i="105"/>
  <c r="G106" i="105"/>
  <c r="W10" i="105"/>
  <c r="Y10" i="105"/>
  <c r="AA10" i="105"/>
  <c r="AC10" i="105"/>
  <c r="O11" i="105"/>
  <c r="O12" i="105"/>
  <c r="O13" i="105"/>
  <c r="O14" i="105"/>
  <c r="O15" i="105"/>
  <c r="O16" i="105"/>
  <c r="O21" i="105"/>
  <c r="O22" i="105"/>
  <c r="O23" i="105"/>
  <c r="O24" i="105"/>
  <c r="O25" i="105"/>
  <c r="O26" i="105"/>
  <c r="O27" i="105"/>
  <c r="O28" i="105"/>
  <c r="O29" i="105"/>
  <c r="O30" i="105"/>
  <c r="O31" i="105"/>
  <c r="O32" i="105"/>
  <c r="O33" i="105"/>
  <c r="O34" i="105"/>
  <c r="O35" i="105"/>
  <c r="O36" i="105"/>
  <c r="W36" i="105"/>
  <c r="Y36" i="105"/>
  <c r="AA36" i="105"/>
  <c r="AC36" i="105"/>
  <c r="O37" i="105"/>
  <c r="O38" i="105"/>
  <c r="O39" i="105"/>
  <c r="O40" i="105"/>
  <c r="O41" i="105"/>
  <c r="O42" i="105"/>
  <c r="O43" i="105"/>
  <c r="O44" i="105"/>
  <c r="O45" i="105"/>
  <c r="O46" i="105"/>
  <c r="O47" i="105"/>
  <c r="O48" i="105"/>
  <c r="O49" i="105"/>
  <c r="O50" i="105"/>
  <c r="O51" i="105"/>
  <c r="O52" i="105"/>
  <c r="O53" i="105"/>
  <c r="O54" i="105"/>
  <c r="O55" i="105"/>
  <c r="O56" i="105"/>
  <c r="O57" i="105"/>
  <c r="O58" i="105"/>
  <c r="O59" i="105"/>
  <c r="O60" i="105"/>
  <c r="O61" i="105"/>
  <c r="O62" i="105"/>
  <c r="O63" i="105"/>
  <c r="O64" i="105"/>
  <c r="O65" i="105"/>
  <c r="O66" i="105"/>
  <c r="O67" i="105"/>
  <c r="O68" i="105"/>
  <c r="O69" i="105"/>
  <c r="O70" i="105"/>
  <c r="O71" i="105"/>
  <c r="O72" i="105"/>
  <c r="O73" i="105"/>
  <c r="O74" i="105"/>
  <c r="O75" i="105"/>
  <c r="O76" i="105"/>
  <c r="O77" i="105"/>
  <c r="O78" i="105"/>
  <c r="O79" i="105"/>
  <c r="O80" i="105"/>
  <c r="O81" i="105"/>
  <c r="O82" i="105"/>
  <c r="O83" i="105"/>
  <c r="O84" i="105"/>
  <c r="X10" i="105"/>
  <c r="Z10" i="105"/>
  <c r="AB10" i="105"/>
  <c r="AD10" i="105"/>
  <c r="T36" i="105"/>
  <c r="V36" i="105"/>
  <c r="X36" i="105"/>
  <c r="Z36" i="105"/>
  <c r="AD36" i="105"/>
  <c r="O85" i="105"/>
  <c r="O86" i="105"/>
  <c r="O87" i="105"/>
  <c r="O88" i="105"/>
  <c r="O89" i="105"/>
  <c r="O90" i="105"/>
  <c r="O91" i="105"/>
  <c r="O92" i="105"/>
  <c r="O93" i="105"/>
  <c r="O94" i="105"/>
  <c r="O95" i="105"/>
  <c r="O96" i="105"/>
  <c r="O97" i="105"/>
  <c r="O98" i="105"/>
  <c r="O99" i="105"/>
  <c r="O100" i="105"/>
  <c r="O101" i="105"/>
  <c r="O102" i="105"/>
  <c r="O103" i="105"/>
  <c r="O104" i="105"/>
  <c r="O105" i="105"/>
  <c r="D106" i="101"/>
  <c r="F106" i="101"/>
  <c r="H106" i="101"/>
  <c r="J106" i="101"/>
  <c r="L106" i="101"/>
  <c r="N106" i="101"/>
  <c r="M106" i="101"/>
  <c r="K106" i="101"/>
  <c r="I106" i="101"/>
  <c r="G106" i="101"/>
  <c r="E106" i="101"/>
  <c r="C106" i="101"/>
  <c r="U17" i="96"/>
  <c r="V18" i="98"/>
  <c r="AC16" i="96"/>
  <c r="U18" i="94"/>
  <c r="AC16" i="95"/>
  <c r="AB18" i="97"/>
  <c r="AB26" i="97" s="1"/>
  <c r="AC20" i="99"/>
  <c r="AC24" i="99" s="1"/>
  <c r="AD20" i="98"/>
  <c r="AD27" i="98" s="1"/>
  <c r="U14" i="95"/>
  <c r="U26" i="95" s="1"/>
  <c r="T39" i="101"/>
  <c r="AC18" i="95"/>
  <c r="W16" i="99"/>
  <c r="Y20" i="99"/>
  <c r="Y27" i="99" s="1"/>
  <c r="AC16" i="98"/>
  <c r="AC23" i="98" s="1"/>
  <c r="AD13" i="98"/>
  <c r="U14" i="96"/>
  <c r="AC32" i="101"/>
  <c r="AA32" i="101"/>
  <c r="Y32" i="101"/>
  <c r="W32" i="101"/>
  <c r="U32" i="101"/>
  <c r="AC30" i="101"/>
  <c r="AA30" i="101"/>
  <c r="Y30" i="101"/>
  <c r="W30" i="101"/>
  <c r="U30" i="101"/>
  <c r="AC28" i="101"/>
  <c r="AA28" i="101"/>
  <c r="Y28" i="101"/>
  <c r="W28" i="101"/>
  <c r="U28" i="101"/>
  <c r="AC26" i="101"/>
  <c r="AA26" i="101"/>
  <c r="Y26" i="101"/>
  <c r="W26" i="101"/>
  <c r="U26" i="101"/>
  <c r="AC24" i="101"/>
  <c r="AA24" i="101"/>
  <c r="Y24" i="101"/>
  <c r="W24" i="101"/>
  <c r="U24" i="101"/>
  <c r="AC22" i="101"/>
  <c r="AA22" i="101"/>
  <c r="Y22" i="101"/>
  <c r="W22" i="101"/>
  <c r="U22" i="101"/>
  <c r="AD33" i="101"/>
  <c r="AB33" i="101"/>
  <c r="Z33" i="101"/>
  <c r="X33" i="101"/>
  <c r="V33" i="101"/>
  <c r="T33" i="101"/>
  <c r="AD31" i="101"/>
  <c r="AB31" i="101"/>
  <c r="Z31" i="101"/>
  <c r="X31" i="101"/>
  <c r="V31" i="101"/>
  <c r="T31" i="101"/>
  <c r="AD29" i="101"/>
  <c r="AB29" i="101"/>
  <c r="Z29" i="101"/>
  <c r="X29" i="101"/>
  <c r="V29" i="101"/>
  <c r="T29" i="101"/>
  <c r="AD27" i="101"/>
  <c r="AB27" i="101"/>
  <c r="Z27" i="101"/>
  <c r="X27" i="101"/>
  <c r="V27" i="101"/>
  <c r="T27" i="101"/>
  <c r="AD25" i="101"/>
  <c r="AB25" i="101"/>
  <c r="Z25" i="101"/>
  <c r="X25" i="101"/>
  <c r="V25" i="101"/>
  <c r="T25" i="101"/>
  <c r="AD23" i="101"/>
  <c r="AC33" i="101"/>
  <c r="AA33" i="101"/>
  <c r="Y33" i="101"/>
  <c r="W33" i="101"/>
  <c r="U33" i="101"/>
  <c r="AC31" i="101"/>
  <c r="AA31" i="101"/>
  <c r="Y31" i="101"/>
  <c r="W31" i="101"/>
  <c r="U31" i="101"/>
  <c r="AC29" i="101"/>
  <c r="AA29" i="101"/>
  <c r="Y29" i="101"/>
  <c r="W29" i="101"/>
  <c r="U29" i="101"/>
  <c r="AC27" i="101"/>
  <c r="AA27" i="101"/>
  <c r="Y27" i="101"/>
  <c r="W27" i="101"/>
  <c r="U27" i="101"/>
  <c r="AC25" i="101"/>
  <c r="AA25" i="101"/>
  <c r="Y25" i="101"/>
  <c r="W25" i="101"/>
  <c r="U25" i="101"/>
  <c r="AC23" i="101"/>
  <c r="AA23" i="101"/>
  <c r="Y23" i="101"/>
  <c r="W23" i="101"/>
  <c r="U23" i="101"/>
  <c r="AD32" i="101"/>
  <c r="AB32" i="101"/>
  <c r="Z32" i="101"/>
  <c r="X32" i="101"/>
  <c r="V32" i="101"/>
  <c r="T32" i="101"/>
  <c r="AD30" i="101"/>
  <c r="AB30" i="101"/>
  <c r="Z30" i="101"/>
  <c r="X30" i="101"/>
  <c r="V30" i="101"/>
  <c r="T30" i="101"/>
  <c r="AD28" i="101"/>
  <c r="AB28" i="101"/>
  <c r="Z28" i="101"/>
  <c r="X28" i="101"/>
  <c r="V28" i="101"/>
  <c r="T28" i="101"/>
  <c r="AD26" i="101"/>
  <c r="AB26" i="101"/>
  <c r="Z26" i="101"/>
  <c r="X26" i="101"/>
  <c r="V26" i="101"/>
  <c r="T26" i="101"/>
  <c r="AD24" i="101"/>
  <c r="AB24" i="101"/>
  <c r="Z24" i="101"/>
  <c r="X24" i="101"/>
  <c r="V24" i="101"/>
  <c r="T24" i="101"/>
  <c r="AB23" i="101"/>
  <c r="Z23" i="101"/>
  <c r="X23" i="101"/>
  <c r="V23" i="101"/>
  <c r="T23" i="101"/>
  <c r="AD22" i="101"/>
  <c r="AB22" i="101"/>
  <c r="Z22" i="101"/>
  <c r="X22" i="101"/>
  <c r="V22" i="101"/>
  <c r="T22" i="101"/>
  <c r="S33" i="101"/>
  <c r="S32" i="101"/>
  <c r="S31" i="101"/>
  <c r="S30" i="101"/>
  <c r="S29" i="101"/>
  <c r="S28" i="101"/>
  <c r="S27" i="101"/>
  <c r="S26" i="101"/>
  <c r="S25" i="101"/>
  <c r="S24" i="101"/>
  <c r="AB17" i="95"/>
  <c r="S22" i="101"/>
  <c r="S23" i="101"/>
  <c r="Z19" i="95"/>
  <c r="Z27" i="95" s="1"/>
  <c r="V14" i="98"/>
  <c r="AA16" i="100"/>
  <c r="AA26" i="100" s="1"/>
  <c r="Z13" i="95"/>
  <c r="V14" i="99"/>
  <c r="V26" i="99" s="1"/>
  <c r="T21" i="98"/>
  <c r="T27" i="98" s="1"/>
  <c r="AB14" i="95"/>
  <c r="U15" i="101"/>
  <c r="P105" i="101"/>
  <c r="Y17" i="94"/>
  <c r="P77" i="101"/>
  <c r="P22" i="104"/>
  <c r="P23" i="104"/>
  <c r="P24" i="104"/>
  <c r="O30" i="104"/>
  <c r="O34" i="104"/>
  <c r="O38" i="104"/>
  <c r="O42" i="104"/>
  <c r="O46" i="104"/>
  <c r="O50" i="104"/>
  <c r="O54" i="104"/>
  <c r="P69" i="101"/>
  <c r="P91" i="101"/>
  <c r="U15" i="94"/>
  <c r="W17" i="96"/>
  <c r="Z19" i="98"/>
  <c r="AC24" i="103"/>
  <c r="P81" i="101"/>
  <c r="P63" i="101"/>
  <c r="P97" i="101"/>
  <c r="P73" i="101"/>
  <c r="Y19" i="94"/>
  <c r="P95" i="101"/>
  <c r="P79" i="101"/>
  <c r="P71" i="101"/>
  <c r="P59" i="101"/>
  <c r="P101" i="101"/>
  <c r="P88" i="101"/>
  <c r="P83" i="101"/>
  <c r="P75" i="101"/>
  <c r="P67" i="101"/>
  <c r="Y14" i="100"/>
  <c r="P99" i="101"/>
  <c r="P93" i="101"/>
  <c r="P85" i="101"/>
  <c r="P65" i="101"/>
  <c r="P103" i="101"/>
  <c r="P61" i="101"/>
  <c r="O104" i="101"/>
  <c r="O102" i="101"/>
  <c r="O100" i="101"/>
  <c r="O98" i="101"/>
  <c r="O96" i="101"/>
  <c r="O94" i="101"/>
  <c r="O92" i="101"/>
  <c r="O89" i="101"/>
  <c r="O86" i="101"/>
  <c r="O84" i="101"/>
  <c r="O82" i="101"/>
  <c r="O80" i="101"/>
  <c r="O78" i="101"/>
  <c r="O76" i="101"/>
  <c r="O74" i="101"/>
  <c r="O72" i="101"/>
  <c r="O70" i="101"/>
  <c r="O68" i="101"/>
  <c r="O66" i="101"/>
  <c r="O64" i="101"/>
  <c r="O62" i="101"/>
  <c r="O60" i="101"/>
  <c r="O58" i="101"/>
  <c r="O105" i="101"/>
  <c r="P104" i="101"/>
  <c r="O103" i="101"/>
  <c r="P102" i="101"/>
  <c r="AF33" i="101" s="1"/>
  <c r="O101" i="101"/>
  <c r="P100" i="101"/>
  <c r="O99" i="101"/>
  <c r="P98" i="101"/>
  <c r="AF32" i="101" s="1"/>
  <c r="O97" i="101"/>
  <c r="P96" i="101"/>
  <c r="O95" i="101"/>
  <c r="P94" i="101"/>
  <c r="O93" i="101"/>
  <c r="P92" i="101"/>
  <c r="O91" i="101"/>
  <c r="P90" i="101"/>
  <c r="O90" i="101"/>
  <c r="P89" i="101"/>
  <c r="O88" i="101"/>
  <c r="P87" i="101"/>
  <c r="O87" i="101"/>
  <c r="P86" i="101"/>
  <c r="O85" i="101"/>
  <c r="P84" i="101"/>
  <c r="O83" i="101"/>
  <c r="P82" i="101"/>
  <c r="O81" i="101"/>
  <c r="P80" i="101"/>
  <c r="O79" i="101"/>
  <c r="P78" i="101"/>
  <c r="O77" i="101"/>
  <c r="P76" i="101"/>
  <c r="O75" i="101"/>
  <c r="P74" i="101"/>
  <c r="O73" i="101"/>
  <c r="P72" i="101"/>
  <c r="O71" i="101"/>
  <c r="P70" i="101"/>
  <c r="O69" i="101"/>
  <c r="P68" i="101"/>
  <c r="O67" i="101"/>
  <c r="P66" i="101"/>
  <c r="O65" i="101"/>
  <c r="P64" i="101"/>
  <c r="O63" i="101"/>
  <c r="P62" i="101"/>
  <c r="O61" i="101"/>
  <c r="P60" i="101"/>
  <c r="O59" i="101"/>
  <c r="P58" i="101"/>
  <c r="Y18" i="96"/>
  <c r="AC14" i="94"/>
  <c r="Y13" i="100"/>
  <c r="Y15" i="97"/>
  <c r="Y23" i="97" s="1"/>
  <c r="Y16" i="95"/>
  <c r="AA18" i="96"/>
  <c r="AA23" i="96" s="1"/>
  <c r="W20" i="98"/>
  <c r="W24" i="98" s="1"/>
  <c r="AD16" i="96"/>
  <c r="AD23" i="96" s="1"/>
  <c r="Z18" i="95"/>
  <c r="Z26" i="95" s="1"/>
  <c r="Y14" i="94"/>
  <c r="Y21" i="96"/>
  <c r="Y24" i="96" s="1"/>
  <c r="Y15" i="101"/>
  <c r="AA17" i="94"/>
  <c r="V21" i="95"/>
  <c r="X13" i="95"/>
  <c r="X23" i="95" s="1"/>
  <c r="W16" i="94"/>
  <c r="AC20" i="94"/>
  <c r="V15" i="95"/>
  <c r="V26" i="95" s="1"/>
  <c r="U14" i="94"/>
  <c r="P17" i="104"/>
  <c r="S17" i="104"/>
  <c r="V11" i="103"/>
  <c r="AD12" i="101"/>
  <c r="AD11" i="103"/>
  <c r="T11" i="104"/>
  <c r="X11" i="104"/>
  <c r="AB11" i="104"/>
  <c r="U12" i="101"/>
  <c r="W12" i="101"/>
  <c r="Y12" i="101"/>
  <c r="AA12" i="101"/>
  <c r="AC12" i="101"/>
  <c r="V26" i="103"/>
  <c r="AD26" i="103"/>
  <c r="T10" i="104"/>
  <c r="F58" i="104"/>
  <c r="X10" i="104"/>
  <c r="J58" i="104"/>
  <c r="AB10" i="104"/>
  <c r="N58" i="104"/>
  <c r="P14" i="104"/>
  <c r="U11" i="104"/>
  <c r="W11" i="104"/>
  <c r="Y11" i="104"/>
  <c r="AA11" i="104"/>
  <c r="AC11" i="104"/>
  <c r="P18" i="104"/>
  <c r="U12" i="104"/>
  <c r="W12" i="104"/>
  <c r="Y12" i="104"/>
  <c r="AA12" i="104"/>
  <c r="AC12" i="104"/>
  <c r="T12" i="104"/>
  <c r="X12" i="104"/>
  <c r="AB12" i="104"/>
  <c r="P21" i="104"/>
  <c r="S21" i="104"/>
  <c r="V11" i="101"/>
  <c r="T11" i="103"/>
  <c r="X11" i="103"/>
  <c r="Z11" i="103"/>
  <c r="AB11" i="103"/>
  <c r="S13" i="104"/>
  <c r="S15" i="104"/>
  <c r="S19" i="104"/>
  <c r="AC36" i="101"/>
  <c r="Y24" i="103"/>
  <c r="AC27" i="103"/>
  <c r="T14" i="103"/>
  <c r="X14" i="103"/>
  <c r="AB14" i="103"/>
  <c r="W15" i="104"/>
  <c r="W17" i="104"/>
  <c r="W19" i="104"/>
  <c r="W21" i="104"/>
  <c r="W18" i="94"/>
  <c r="D58" i="103"/>
  <c r="F58" i="103"/>
  <c r="H58" i="103"/>
  <c r="J58" i="103"/>
  <c r="L58" i="103"/>
  <c r="N58" i="103"/>
  <c r="Z26" i="103"/>
  <c r="U11" i="103"/>
  <c r="W11" i="103"/>
  <c r="Y11" i="103"/>
  <c r="AA11" i="103"/>
  <c r="AC11" i="103"/>
  <c r="T13" i="103"/>
  <c r="T26" i="103" s="1"/>
  <c r="X13" i="103"/>
  <c r="X23" i="103" s="1"/>
  <c r="AB13" i="103"/>
  <c r="AB26" i="103" s="1"/>
  <c r="P25" i="103"/>
  <c r="P26" i="103"/>
  <c r="P27" i="103"/>
  <c r="U27" i="103"/>
  <c r="P11" i="104"/>
  <c r="W10" i="104"/>
  <c r="S11" i="104"/>
  <c r="P12" i="104"/>
  <c r="S12" i="104"/>
  <c r="P13" i="104"/>
  <c r="P15" i="104"/>
  <c r="P16" i="104"/>
  <c r="P19" i="104"/>
  <c r="P20" i="104"/>
  <c r="X26" i="103"/>
  <c r="AA26" i="104"/>
  <c r="P34" i="104"/>
  <c r="P42" i="104"/>
  <c r="P50" i="104"/>
  <c r="V11" i="99"/>
  <c r="T12" i="99"/>
  <c r="V12" i="99"/>
  <c r="X12" i="99"/>
  <c r="Z12" i="99"/>
  <c r="AB12" i="99"/>
  <c r="AD12" i="99"/>
  <c r="T12" i="101"/>
  <c r="V12" i="101"/>
  <c r="X12" i="101"/>
  <c r="Z12" i="101"/>
  <c r="AB12" i="101"/>
  <c r="E58" i="103"/>
  <c r="G58" i="103"/>
  <c r="I58" i="103"/>
  <c r="K58" i="103"/>
  <c r="M58" i="103"/>
  <c r="P11" i="103"/>
  <c r="P12" i="103"/>
  <c r="P13" i="103"/>
  <c r="P14" i="103"/>
  <c r="P15" i="103"/>
  <c r="P16" i="103"/>
  <c r="P17" i="103"/>
  <c r="P18" i="103"/>
  <c r="P19" i="103"/>
  <c r="P20" i="103"/>
  <c r="P21" i="103"/>
  <c r="P22" i="103"/>
  <c r="U13" i="103"/>
  <c r="W13" i="103"/>
  <c r="Y13" i="103"/>
  <c r="AA13" i="103"/>
  <c r="AC13" i="103"/>
  <c r="P23" i="103"/>
  <c r="P24" i="103"/>
  <c r="P28" i="103"/>
  <c r="P29" i="103"/>
  <c r="P30" i="103"/>
  <c r="P31" i="103"/>
  <c r="U15" i="103"/>
  <c r="W15" i="103"/>
  <c r="Y15" i="103"/>
  <c r="AA15" i="103"/>
  <c r="AC15" i="103"/>
  <c r="P32" i="103"/>
  <c r="P33" i="103"/>
  <c r="P34" i="103"/>
  <c r="P35" i="103"/>
  <c r="U16" i="103"/>
  <c r="W16" i="103"/>
  <c r="Y16" i="103"/>
  <c r="AA16" i="103"/>
  <c r="S10" i="104"/>
  <c r="S16" i="104"/>
  <c r="S18" i="104"/>
  <c r="S20" i="104"/>
  <c r="U15" i="104"/>
  <c r="Y15" i="104"/>
  <c r="AC15" i="104"/>
  <c r="P30" i="104"/>
  <c r="U17" i="104"/>
  <c r="Y17" i="104"/>
  <c r="AC17" i="104"/>
  <c r="P38" i="104"/>
  <c r="U19" i="104"/>
  <c r="Y19" i="104"/>
  <c r="AC19" i="104"/>
  <c r="P46" i="104"/>
  <c r="U21" i="104"/>
  <c r="Y21" i="104"/>
  <c r="AC21" i="104"/>
  <c r="P54" i="104"/>
  <c r="AC16" i="103"/>
  <c r="P36" i="103"/>
  <c r="P37" i="103"/>
  <c r="P39" i="103"/>
  <c r="P40" i="103"/>
  <c r="P41" i="103"/>
  <c r="P42" i="103"/>
  <c r="P43" i="103"/>
  <c r="P44" i="103"/>
  <c r="P45" i="103"/>
  <c r="P46" i="103"/>
  <c r="P47" i="103"/>
  <c r="P48" i="103"/>
  <c r="P49" i="103"/>
  <c r="P50" i="103"/>
  <c r="P51" i="103"/>
  <c r="P52" i="103"/>
  <c r="P53" i="103"/>
  <c r="P54" i="103"/>
  <c r="P55" i="103"/>
  <c r="P56" i="103"/>
  <c r="P57" i="103"/>
  <c r="E58" i="104"/>
  <c r="G58" i="104"/>
  <c r="I58" i="104"/>
  <c r="K58" i="104"/>
  <c r="M58" i="104"/>
  <c r="AA10" i="104"/>
  <c r="V13" i="104"/>
  <c r="X13" i="104"/>
  <c r="Z13" i="104"/>
  <c r="AB13" i="104"/>
  <c r="AD13" i="104"/>
  <c r="P27" i="104"/>
  <c r="P28" i="104"/>
  <c r="P29" i="104"/>
  <c r="O32" i="104"/>
  <c r="P32" i="104"/>
  <c r="P33" i="104"/>
  <c r="O36" i="104"/>
  <c r="P36" i="104"/>
  <c r="P37" i="104"/>
  <c r="O40" i="104"/>
  <c r="P40" i="104"/>
  <c r="P41" i="104"/>
  <c r="O44" i="104"/>
  <c r="P44" i="104"/>
  <c r="P45" i="104"/>
  <c r="O48" i="104"/>
  <c r="P48" i="104"/>
  <c r="P49" i="104"/>
  <c r="O52" i="104"/>
  <c r="P52" i="104"/>
  <c r="P53" i="104"/>
  <c r="O56" i="104"/>
  <c r="P56" i="104"/>
  <c r="P57" i="104"/>
  <c r="P10" i="103"/>
  <c r="C58" i="103"/>
  <c r="O10" i="103"/>
  <c r="U10" i="103"/>
  <c r="Y10" i="103"/>
  <c r="AC10" i="103"/>
  <c r="O11" i="103"/>
  <c r="O12" i="103"/>
  <c r="O13" i="103"/>
  <c r="O14" i="103"/>
  <c r="O15" i="103"/>
  <c r="O16" i="103"/>
  <c r="O17" i="103"/>
  <c r="O18" i="103"/>
  <c r="O19" i="103"/>
  <c r="O20" i="103"/>
  <c r="O21" i="103"/>
  <c r="O22" i="103"/>
  <c r="O23" i="103"/>
  <c r="O24" i="103"/>
  <c r="O25" i="103"/>
  <c r="O26" i="103"/>
  <c r="O27" i="103"/>
  <c r="O28" i="103"/>
  <c r="O29" i="103"/>
  <c r="O31" i="103"/>
  <c r="O33" i="103"/>
  <c r="O35" i="103"/>
  <c r="O37" i="103"/>
  <c r="T11" i="101"/>
  <c r="X11" i="101"/>
  <c r="Z11" i="101"/>
  <c r="AB11" i="101"/>
  <c r="AD11" i="101"/>
  <c r="Y39" i="101"/>
  <c r="Y36" i="101"/>
  <c r="S10" i="103"/>
  <c r="W10" i="103"/>
  <c r="AA10" i="103"/>
  <c r="S11" i="103"/>
  <c r="S12" i="103"/>
  <c r="S13" i="103"/>
  <c r="S14" i="103"/>
  <c r="S15" i="103"/>
  <c r="S16" i="103"/>
  <c r="S24" i="103"/>
  <c r="W24" i="103"/>
  <c r="AA24" i="103"/>
  <c r="O30" i="103"/>
  <c r="O32" i="103"/>
  <c r="O34" i="103"/>
  <c r="O36" i="103"/>
  <c r="P38" i="103"/>
  <c r="O38" i="103"/>
  <c r="O39" i="103"/>
  <c r="O40" i="103"/>
  <c r="O41" i="103"/>
  <c r="O42" i="103"/>
  <c r="O43" i="103"/>
  <c r="O44" i="103"/>
  <c r="O45" i="103"/>
  <c r="O46" i="103"/>
  <c r="O47" i="103"/>
  <c r="O48" i="103"/>
  <c r="O49" i="103"/>
  <c r="O50" i="103"/>
  <c r="O51" i="103"/>
  <c r="O52" i="103"/>
  <c r="O53" i="103"/>
  <c r="O54" i="103"/>
  <c r="O55" i="103"/>
  <c r="O56" i="103"/>
  <c r="O57" i="103"/>
  <c r="AA27" i="104"/>
  <c r="AA24" i="104"/>
  <c r="AA23" i="104"/>
  <c r="P25" i="104"/>
  <c r="T13" i="104"/>
  <c r="P26" i="104"/>
  <c r="T14" i="104"/>
  <c r="H58" i="104"/>
  <c r="Z13" i="101"/>
  <c r="T10" i="103"/>
  <c r="V10" i="103"/>
  <c r="X10" i="103"/>
  <c r="Z10" i="103"/>
  <c r="AB10" i="103"/>
  <c r="AD10" i="103"/>
  <c r="V23" i="103"/>
  <c r="Z23" i="103"/>
  <c r="AD23" i="103"/>
  <c r="T24" i="103"/>
  <c r="V24" i="103"/>
  <c r="X24" i="103"/>
  <c r="Z24" i="103"/>
  <c r="AB24" i="103"/>
  <c r="AD24" i="103"/>
  <c r="C58" i="104"/>
  <c r="P10" i="104"/>
  <c r="O10" i="104"/>
  <c r="U10" i="104"/>
  <c r="Y10" i="104"/>
  <c r="AC10" i="104"/>
  <c r="O11" i="104"/>
  <c r="O12" i="104"/>
  <c r="O13" i="104"/>
  <c r="O14" i="104"/>
  <c r="O15" i="104"/>
  <c r="O16" i="104"/>
  <c r="O17" i="104"/>
  <c r="O18" i="104"/>
  <c r="O19" i="104"/>
  <c r="O20" i="104"/>
  <c r="O21" i="104"/>
  <c r="O22" i="104"/>
  <c r="O23" i="104"/>
  <c r="O24" i="104"/>
  <c r="P31" i="104"/>
  <c r="T15" i="104"/>
  <c r="V15" i="104"/>
  <c r="X15" i="104"/>
  <c r="Z15" i="104"/>
  <c r="AB15" i="104"/>
  <c r="AD15" i="104"/>
  <c r="P35" i="104"/>
  <c r="T16" i="104"/>
  <c r="V16" i="104"/>
  <c r="X16" i="104"/>
  <c r="Z16" i="104"/>
  <c r="AB16" i="104"/>
  <c r="AD16" i="104"/>
  <c r="P39" i="104"/>
  <c r="T17" i="104"/>
  <c r="V17" i="104"/>
  <c r="X17" i="104"/>
  <c r="Z17" i="104"/>
  <c r="AB17" i="104"/>
  <c r="AD17" i="104"/>
  <c r="P43" i="104"/>
  <c r="T18" i="104"/>
  <c r="V18" i="104"/>
  <c r="X18" i="104"/>
  <c r="Z18" i="104"/>
  <c r="AB18" i="104"/>
  <c r="AD18" i="104"/>
  <c r="T19" i="104"/>
  <c r="V19" i="104"/>
  <c r="X19" i="104"/>
  <c r="Z19" i="104"/>
  <c r="AB19" i="104"/>
  <c r="AD19" i="104"/>
  <c r="P51" i="104"/>
  <c r="T20" i="104"/>
  <c r="V20" i="104"/>
  <c r="X20" i="104"/>
  <c r="Z20" i="104"/>
  <c r="AB20" i="104"/>
  <c r="AD20" i="104"/>
  <c r="P55" i="104"/>
  <c r="T21" i="104"/>
  <c r="V21" i="104"/>
  <c r="X21" i="104"/>
  <c r="Z21" i="104"/>
  <c r="AB21" i="104"/>
  <c r="AD21" i="104"/>
  <c r="D58" i="104"/>
  <c r="L58" i="104"/>
  <c r="V10" i="104"/>
  <c r="Z10" i="104"/>
  <c r="AD10" i="104"/>
  <c r="O25" i="104"/>
  <c r="O26" i="104"/>
  <c r="O27" i="104"/>
  <c r="O28" i="104"/>
  <c r="O29" i="104"/>
  <c r="O31" i="104"/>
  <c r="O33" i="104"/>
  <c r="O35" i="104"/>
  <c r="O37" i="104"/>
  <c r="O39" i="104"/>
  <c r="O41" i="104"/>
  <c r="O43" i="104"/>
  <c r="O45" i="104"/>
  <c r="O49" i="104"/>
  <c r="O51" i="104"/>
  <c r="O53" i="104"/>
  <c r="O55" i="104"/>
  <c r="O57" i="104"/>
  <c r="AB12" i="98"/>
  <c r="U36" i="101"/>
  <c r="U39" i="101"/>
  <c r="AC39" i="101"/>
  <c r="T14" i="101"/>
  <c r="X14" i="101"/>
  <c r="AB14" i="101"/>
  <c r="U11" i="101"/>
  <c r="W11" i="101"/>
  <c r="Y11" i="101"/>
  <c r="AA11" i="101"/>
  <c r="AC11" i="101"/>
  <c r="T13" i="101"/>
  <c r="X13" i="101"/>
  <c r="AB13" i="101"/>
  <c r="P25" i="101"/>
  <c r="P26" i="101"/>
  <c r="P27" i="101"/>
  <c r="AA12" i="97"/>
  <c r="T12" i="98"/>
  <c r="P21" i="100"/>
  <c r="P23" i="100"/>
  <c r="P24" i="100"/>
  <c r="O34" i="100"/>
  <c r="O42" i="100"/>
  <c r="O50" i="100"/>
  <c r="O54" i="100"/>
  <c r="P11" i="101"/>
  <c r="P12" i="101"/>
  <c r="P13" i="101"/>
  <c r="P14" i="101"/>
  <c r="P15" i="101"/>
  <c r="P16" i="101"/>
  <c r="P17" i="101"/>
  <c r="P18" i="101"/>
  <c r="P19" i="101"/>
  <c r="P20" i="101"/>
  <c r="P21" i="101"/>
  <c r="P22" i="101"/>
  <c r="U13" i="101"/>
  <c r="W13" i="101"/>
  <c r="W35" i="101" s="1"/>
  <c r="Y13" i="101"/>
  <c r="AA13" i="101"/>
  <c r="AA35" i="101" s="1"/>
  <c r="AC13" i="101"/>
  <c r="AC35" i="101" s="1"/>
  <c r="P23" i="101"/>
  <c r="P24" i="101"/>
  <c r="P28" i="101"/>
  <c r="P29" i="101"/>
  <c r="P31" i="101"/>
  <c r="P32" i="101"/>
  <c r="P33" i="101"/>
  <c r="P34" i="101"/>
  <c r="P35" i="101"/>
  <c r="P36" i="101"/>
  <c r="P37" i="101"/>
  <c r="P38" i="101"/>
  <c r="P39" i="101"/>
  <c r="P40" i="101"/>
  <c r="P41" i="101"/>
  <c r="P42" i="101"/>
  <c r="P43" i="101"/>
  <c r="P44" i="101"/>
  <c r="P45" i="101"/>
  <c r="P46" i="101"/>
  <c r="P47" i="101"/>
  <c r="P48" i="101"/>
  <c r="P49" i="101"/>
  <c r="P50" i="101"/>
  <c r="P51" i="101"/>
  <c r="P52" i="101"/>
  <c r="P53" i="101"/>
  <c r="P54" i="101"/>
  <c r="P55" i="101"/>
  <c r="P56" i="101"/>
  <c r="P57" i="101"/>
  <c r="AC11" i="95"/>
  <c r="O38" i="100"/>
  <c r="S17" i="100"/>
  <c r="P10" i="101"/>
  <c r="O10" i="101"/>
  <c r="U10" i="101"/>
  <c r="Y10" i="101"/>
  <c r="AC10" i="101"/>
  <c r="O11" i="101"/>
  <c r="O13" i="101"/>
  <c r="O14" i="101"/>
  <c r="O15" i="101"/>
  <c r="O16" i="101"/>
  <c r="O17" i="101"/>
  <c r="O18" i="101"/>
  <c r="O19" i="101"/>
  <c r="O20" i="101"/>
  <c r="O21" i="101"/>
  <c r="O22" i="101"/>
  <c r="O23" i="101"/>
  <c r="O24" i="101"/>
  <c r="O25" i="101"/>
  <c r="O26" i="101"/>
  <c r="O27" i="101"/>
  <c r="O28" i="101"/>
  <c r="O29" i="101"/>
  <c r="U11" i="97"/>
  <c r="S10" i="101"/>
  <c r="W10" i="101"/>
  <c r="AA10" i="101"/>
  <c r="S11" i="101"/>
  <c r="S12" i="101"/>
  <c r="S13" i="101"/>
  <c r="S14" i="101"/>
  <c r="S36" i="101"/>
  <c r="W36" i="101"/>
  <c r="AA36" i="101"/>
  <c r="P30" i="101"/>
  <c r="O30" i="101"/>
  <c r="O31" i="101"/>
  <c r="O32" i="101"/>
  <c r="O33" i="101"/>
  <c r="O34" i="101"/>
  <c r="O35" i="101"/>
  <c r="O36" i="101"/>
  <c r="O37" i="101"/>
  <c r="O38" i="101"/>
  <c r="O39" i="101"/>
  <c r="O40" i="101"/>
  <c r="O41" i="101"/>
  <c r="O42" i="101"/>
  <c r="O43" i="101"/>
  <c r="O44" i="101"/>
  <c r="O45" i="101"/>
  <c r="O46" i="101"/>
  <c r="O47" i="101"/>
  <c r="O48" i="101"/>
  <c r="O49" i="101"/>
  <c r="O50" i="101"/>
  <c r="O51" i="101"/>
  <c r="O52" i="101"/>
  <c r="O53" i="101"/>
  <c r="O54" i="101"/>
  <c r="O55" i="101"/>
  <c r="O56" i="101"/>
  <c r="O57" i="101"/>
  <c r="U11" i="96"/>
  <c r="W11" i="96"/>
  <c r="Y11" i="96"/>
  <c r="AA11" i="96"/>
  <c r="AC11" i="96"/>
  <c r="Y11" i="97"/>
  <c r="T11" i="99"/>
  <c r="X11" i="99"/>
  <c r="Z11" i="99"/>
  <c r="AB11" i="99"/>
  <c r="AD11" i="99"/>
  <c r="U12" i="99"/>
  <c r="W12" i="99"/>
  <c r="Y12" i="99"/>
  <c r="AA12" i="99"/>
  <c r="AC12" i="99"/>
  <c r="P17" i="100"/>
  <c r="T10" i="101"/>
  <c r="V10" i="101"/>
  <c r="X10" i="101"/>
  <c r="Z10" i="101"/>
  <c r="AB10" i="101"/>
  <c r="AD10" i="101"/>
  <c r="AD35" i="101"/>
  <c r="T36" i="101"/>
  <c r="V36" i="101"/>
  <c r="Z36" i="101"/>
  <c r="AB36" i="101"/>
  <c r="AD36" i="101"/>
  <c r="V27" i="96"/>
  <c r="S11" i="97"/>
  <c r="W11" i="97"/>
  <c r="AA11" i="97"/>
  <c r="S12" i="97"/>
  <c r="U12" i="97"/>
  <c r="W12" i="97"/>
  <c r="Y12" i="97"/>
  <c r="AC12" i="97"/>
  <c r="Z13" i="99"/>
  <c r="Z26" i="99" s="1"/>
  <c r="T10" i="100"/>
  <c r="T22" i="100" s="1"/>
  <c r="X10" i="100"/>
  <c r="AB10" i="100"/>
  <c r="AB22" i="100" s="1"/>
  <c r="V11" i="100"/>
  <c r="Z11" i="100"/>
  <c r="AD11" i="100"/>
  <c r="U12" i="100"/>
  <c r="W12" i="100"/>
  <c r="Y12" i="100"/>
  <c r="AA12" i="100"/>
  <c r="AC12" i="100"/>
  <c r="V12" i="100"/>
  <c r="Z12" i="100"/>
  <c r="AD12" i="100"/>
  <c r="P22" i="100"/>
  <c r="S13" i="100"/>
  <c r="O30" i="100"/>
  <c r="S15" i="100"/>
  <c r="W15" i="100"/>
  <c r="W17" i="100"/>
  <c r="S19" i="100"/>
  <c r="W19" i="100"/>
  <c r="W21" i="100"/>
  <c r="U11" i="95"/>
  <c r="Y11" i="95"/>
  <c r="P13" i="96"/>
  <c r="P20" i="96"/>
  <c r="P22" i="96"/>
  <c r="P23" i="96"/>
  <c r="P24" i="96"/>
  <c r="O25" i="96"/>
  <c r="O26" i="96"/>
  <c r="O27" i="96"/>
  <c r="O28" i="96"/>
  <c r="O29" i="96"/>
  <c r="O31" i="96"/>
  <c r="O32" i="96"/>
  <c r="O33" i="96"/>
  <c r="O34" i="96"/>
  <c r="O35" i="96"/>
  <c r="O36" i="96"/>
  <c r="O37" i="96"/>
  <c r="O39" i="96"/>
  <c r="O40" i="96"/>
  <c r="O41" i="96"/>
  <c r="O43" i="96"/>
  <c r="O44" i="96"/>
  <c r="O45" i="96"/>
  <c r="O47" i="96"/>
  <c r="O48" i="96"/>
  <c r="O49" i="96"/>
  <c r="O51" i="96"/>
  <c r="O52" i="96"/>
  <c r="O53" i="96"/>
  <c r="O55" i="96"/>
  <c r="O56" i="96"/>
  <c r="O57" i="96"/>
  <c r="C58" i="97"/>
  <c r="E58" i="97"/>
  <c r="G58" i="97"/>
  <c r="I58" i="97"/>
  <c r="K58" i="97"/>
  <c r="M58" i="97"/>
  <c r="O11" i="97"/>
  <c r="O12" i="97"/>
  <c r="O13" i="97"/>
  <c r="T11" i="97"/>
  <c r="V11" i="97"/>
  <c r="X11" i="97"/>
  <c r="Z11" i="97"/>
  <c r="AB11" i="97"/>
  <c r="AD11" i="97"/>
  <c r="O16" i="97"/>
  <c r="O17" i="97"/>
  <c r="X11" i="98"/>
  <c r="V12" i="98"/>
  <c r="X12" i="98"/>
  <c r="Z12" i="98"/>
  <c r="AD12" i="98"/>
  <c r="D58" i="99"/>
  <c r="F58" i="99"/>
  <c r="H58" i="99"/>
  <c r="J58" i="99"/>
  <c r="L58" i="99"/>
  <c r="N58" i="99"/>
  <c r="U24" i="99"/>
  <c r="U27" i="99"/>
  <c r="T14" i="99"/>
  <c r="X14" i="99"/>
  <c r="AB14" i="99"/>
  <c r="F58" i="100"/>
  <c r="J58" i="100"/>
  <c r="N58" i="100"/>
  <c r="P14" i="100"/>
  <c r="S11" i="100"/>
  <c r="U11" i="100"/>
  <c r="W11" i="100"/>
  <c r="Y11" i="100"/>
  <c r="AA11" i="100"/>
  <c r="AC11" i="100"/>
  <c r="P18" i="100"/>
  <c r="S12" i="100"/>
  <c r="S21" i="100"/>
  <c r="U11" i="99"/>
  <c r="W11" i="99"/>
  <c r="Y11" i="99"/>
  <c r="AA11" i="99"/>
  <c r="AC11" i="99"/>
  <c r="T13" i="99"/>
  <c r="X13" i="99"/>
  <c r="AB13" i="99"/>
  <c r="P25" i="99"/>
  <c r="P26" i="99"/>
  <c r="P27" i="99"/>
  <c r="P11" i="100"/>
  <c r="W10" i="100"/>
  <c r="P12" i="100"/>
  <c r="P13" i="100"/>
  <c r="P15" i="100"/>
  <c r="P16" i="100"/>
  <c r="P19" i="100"/>
  <c r="P20" i="100"/>
  <c r="P34" i="100"/>
  <c r="P42" i="100"/>
  <c r="P50" i="100"/>
  <c r="O14" i="97"/>
  <c r="O15" i="97"/>
  <c r="P20" i="98"/>
  <c r="P23" i="98"/>
  <c r="P24" i="98"/>
  <c r="O25" i="98"/>
  <c r="O27" i="98"/>
  <c r="O28" i="98"/>
  <c r="O29" i="98"/>
  <c r="O30" i="98"/>
  <c r="O31" i="98"/>
  <c r="O32" i="98"/>
  <c r="O33" i="98"/>
  <c r="O35" i="98"/>
  <c r="O36" i="98"/>
  <c r="O37" i="98"/>
  <c r="O38" i="98"/>
  <c r="O39" i="98"/>
  <c r="O40" i="98"/>
  <c r="O41" i="98"/>
  <c r="O43" i="98"/>
  <c r="O44" i="98"/>
  <c r="O45" i="98"/>
  <c r="O47" i="98"/>
  <c r="O48" i="98"/>
  <c r="O49" i="98"/>
  <c r="O50" i="98"/>
  <c r="O51" i="98"/>
  <c r="O52" i="98"/>
  <c r="O53" i="98"/>
  <c r="O55" i="98"/>
  <c r="O56" i="98"/>
  <c r="O57" i="98"/>
  <c r="E58" i="99"/>
  <c r="G58" i="99"/>
  <c r="I58" i="99"/>
  <c r="K58" i="99"/>
  <c r="M58" i="99"/>
  <c r="P11" i="99"/>
  <c r="P12" i="99"/>
  <c r="P13" i="99"/>
  <c r="P14" i="99"/>
  <c r="P15" i="99"/>
  <c r="P16" i="99"/>
  <c r="P17" i="99"/>
  <c r="P18" i="99"/>
  <c r="P19" i="99"/>
  <c r="P20" i="99"/>
  <c r="P21" i="99"/>
  <c r="P22" i="99"/>
  <c r="U13" i="99"/>
  <c r="W13" i="99"/>
  <c r="Y13" i="99"/>
  <c r="Y26" i="99" s="1"/>
  <c r="AA13" i="99"/>
  <c r="AA26" i="99" s="1"/>
  <c r="AC13" i="99"/>
  <c r="AC23" i="99" s="1"/>
  <c r="P23" i="99"/>
  <c r="P24" i="99"/>
  <c r="P28" i="99"/>
  <c r="P29" i="99"/>
  <c r="P30" i="99"/>
  <c r="P31" i="99"/>
  <c r="P32" i="99"/>
  <c r="P33" i="99"/>
  <c r="P34" i="99"/>
  <c r="P35" i="99"/>
  <c r="S10" i="100"/>
  <c r="S16" i="100"/>
  <c r="S18" i="100"/>
  <c r="S20" i="100"/>
  <c r="U15" i="100"/>
  <c r="Y15" i="100"/>
  <c r="AC15" i="100"/>
  <c r="P30" i="100"/>
  <c r="U17" i="100"/>
  <c r="Y17" i="100"/>
  <c r="AC17" i="100"/>
  <c r="P38" i="100"/>
  <c r="U19" i="100"/>
  <c r="Y19" i="100"/>
  <c r="AC19" i="100"/>
  <c r="U21" i="100"/>
  <c r="Y21" i="100"/>
  <c r="AC21" i="100"/>
  <c r="P54" i="100"/>
  <c r="P36" i="99"/>
  <c r="P37" i="99"/>
  <c r="P38" i="99"/>
  <c r="P39" i="99"/>
  <c r="P40" i="99"/>
  <c r="P41" i="99"/>
  <c r="P42" i="99"/>
  <c r="P43" i="99"/>
  <c r="P44" i="99"/>
  <c r="P45" i="99"/>
  <c r="P46" i="99"/>
  <c r="P47" i="99"/>
  <c r="P48" i="99"/>
  <c r="P49" i="99"/>
  <c r="P50" i="99"/>
  <c r="P51" i="99"/>
  <c r="P52" i="99"/>
  <c r="P53" i="99"/>
  <c r="P54" i="99"/>
  <c r="P55" i="99"/>
  <c r="P56" i="99"/>
  <c r="P57" i="99"/>
  <c r="E58" i="100"/>
  <c r="G58" i="100"/>
  <c r="I58" i="100"/>
  <c r="K58" i="100"/>
  <c r="M58" i="100"/>
  <c r="AA10" i="100"/>
  <c r="V13" i="100"/>
  <c r="X13" i="100"/>
  <c r="Z13" i="100"/>
  <c r="AB13" i="100"/>
  <c r="AD13" i="100"/>
  <c r="P27" i="100"/>
  <c r="P28" i="100"/>
  <c r="P29" i="100"/>
  <c r="O32" i="100"/>
  <c r="P32" i="100"/>
  <c r="P33" i="100"/>
  <c r="O36" i="100"/>
  <c r="P36" i="100"/>
  <c r="P37" i="100"/>
  <c r="O40" i="100"/>
  <c r="P40" i="100"/>
  <c r="P41" i="100"/>
  <c r="O44" i="100"/>
  <c r="P44" i="100"/>
  <c r="O48" i="100"/>
  <c r="P48" i="100"/>
  <c r="O52" i="100"/>
  <c r="P52" i="100"/>
  <c r="P53" i="100"/>
  <c r="O56" i="100"/>
  <c r="P56" i="100"/>
  <c r="P57" i="100"/>
  <c r="P10" i="99"/>
  <c r="C58" i="99"/>
  <c r="O10" i="99"/>
  <c r="U10" i="99"/>
  <c r="Y10" i="99"/>
  <c r="AC10" i="99"/>
  <c r="O11" i="99"/>
  <c r="O12" i="99"/>
  <c r="O13" i="99"/>
  <c r="O14" i="99"/>
  <c r="O15" i="99"/>
  <c r="O16" i="99"/>
  <c r="O17" i="99"/>
  <c r="O18" i="99"/>
  <c r="O19" i="99"/>
  <c r="O20" i="99"/>
  <c r="O21" i="99"/>
  <c r="O22" i="99"/>
  <c r="O23" i="99"/>
  <c r="O24" i="99"/>
  <c r="O25" i="99"/>
  <c r="O26" i="99"/>
  <c r="O27" i="99"/>
  <c r="S10" i="99"/>
  <c r="W10" i="99"/>
  <c r="AA10" i="99"/>
  <c r="S11" i="99"/>
  <c r="S12" i="99"/>
  <c r="S13" i="99"/>
  <c r="S14" i="99"/>
  <c r="S24" i="99"/>
  <c r="W24" i="99"/>
  <c r="AA24" i="99"/>
  <c r="O28" i="99"/>
  <c r="O29" i="99"/>
  <c r="O30" i="99"/>
  <c r="O31" i="99"/>
  <c r="O32" i="99"/>
  <c r="O33" i="99"/>
  <c r="O34" i="99"/>
  <c r="O35" i="99"/>
  <c r="O36" i="99"/>
  <c r="O37" i="99"/>
  <c r="O38" i="99"/>
  <c r="O39" i="99"/>
  <c r="O40" i="99"/>
  <c r="O41" i="99"/>
  <c r="O42" i="99"/>
  <c r="O43" i="99"/>
  <c r="O44" i="99"/>
  <c r="O45" i="99"/>
  <c r="O46" i="99"/>
  <c r="O47" i="99"/>
  <c r="O48" i="99"/>
  <c r="O49" i="99"/>
  <c r="O50" i="99"/>
  <c r="O51" i="99"/>
  <c r="O52" i="99"/>
  <c r="O53" i="99"/>
  <c r="O54" i="99"/>
  <c r="O55" i="99"/>
  <c r="O56" i="99"/>
  <c r="O57" i="99"/>
  <c r="AA27" i="100"/>
  <c r="AA24" i="100"/>
  <c r="P25" i="100"/>
  <c r="T13" i="100"/>
  <c r="P26" i="100"/>
  <c r="T14" i="100"/>
  <c r="H58" i="100"/>
  <c r="P45" i="97"/>
  <c r="P46" i="97"/>
  <c r="P47" i="97"/>
  <c r="P48" i="97"/>
  <c r="T11" i="98"/>
  <c r="V11" i="98"/>
  <c r="Z11" i="98"/>
  <c r="AB11" i="98"/>
  <c r="AD11" i="98"/>
  <c r="T10" i="99"/>
  <c r="V10" i="99"/>
  <c r="X10" i="99"/>
  <c r="Z10" i="99"/>
  <c r="AB10" i="99"/>
  <c r="AD10" i="99"/>
  <c r="T24" i="99"/>
  <c r="V24" i="99"/>
  <c r="Z24" i="99"/>
  <c r="AD24" i="99"/>
  <c r="C58" i="100"/>
  <c r="P10" i="100"/>
  <c r="O10" i="100"/>
  <c r="U10" i="100"/>
  <c r="Y10" i="100"/>
  <c r="AC10" i="100"/>
  <c r="O11" i="100"/>
  <c r="O12" i="100"/>
  <c r="O13" i="100"/>
  <c r="O14" i="100"/>
  <c r="O15" i="100"/>
  <c r="O16" i="100"/>
  <c r="O17" i="100"/>
  <c r="O18" i="100"/>
  <c r="O19" i="100"/>
  <c r="O20" i="100"/>
  <c r="O21" i="100"/>
  <c r="O22" i="100"/>
  <c r="O23" i="100"/>
  <c r="O24" i="100"/>
  <c r="P31" i="100"/>
  <c r="T15" i="100"/>
  <c r="V15" i="100"/>
  <c r="X15" i="100"/>
  <c r="Z15" i="100"/>
  <c r="AB15" i="100"/>
  <c r="AD15" i="100"/>
  <c r="P35" i="100"/>
  <c r="T16" i="100"/>
  <c r="V16" i="100"/>
  <c r="X16" i="100"/>
  <c r="Z16" i="100"/>
  <c r="AB16" i="100"/>
  <c r="AD16" i="100"/>
  <c r="P39" i="100"/>
  <c r="T17" i="100"/>
  <c r="V17" i="100"/>
  <c r="X17" i="100"/>
  <c r="Z17" i="100"/>
  <c r="AB17" i="100"/>
  <c r="AD17" i="100"/>
  <c r="P43" i="100"/>
  <c r="T18" i="100"/>
  <c r="V18" i="100"/>
  <c r="X18" i="100"/>
  <c r="Z18" i="100"/>
  <c r="AB18" i="100"/>
  <c r="AD18" i="100"/>
  <c r="P47" i="100"/>
  <c r="T19" i="100"/>
  <c r="V19" i="100"/>
  <c r="X19" i="100"/>
  <c r="Z19" i="100"/>
  <c r="AB19" i="100"/>
  <c r="AD19" i="100"/>
  <c r="P51" i="100"/>
  <c r="T20" i="100"/>
  <c r="V20" i="100"/>
  <c r="X20" i="100"/>
  <c r="Z20" i="100"/>
  <c r="AB20" i="100"/>
  <c r="AD20" i="100"/>
  <c r="P55" i="100"/>
  <c r="T21" i="100"/>
  <c r="V21" i="100"/>
  <c r="X21" i="100"/>
  <c r="Z21" i="100"/>
  <c r="AB21" i="100"/>
  <c r="AD21" i="100"/>
  <c r="D58" i="100"/>
  <c r="L58" i="100"/>
  <c r="V10" i="100"/>
  <c r="Z10" i="100"/>
  <c r="AD10" i="100"/>
  <c r="O25" i="100"/>
  <c r="O26" i="100"/>
  <c r="O27" i="100"/>
  <c r="O28" i="100"/>
  <c r="O29" i="100"/>
  <c r="O31" i="100"/>
  <c r="O33" i="100"/>
  <c r="O35" i="100"/>
  <c r="O37" i="100"/>
  <c r="O39" i="100"/>
  <c r="O41" i="100"/>
  <c r="O43" i="100"/>
  <c r="O45" i="100"/>
  <c r="O47" i="100"/>
  <c r="O51" i="100"/>
  <c r="O53" i="100"/>
  <c r="O55" i="100"/>
  <c r="O57" i="100"/>
  <c r="O46" i="98"/>
  <c r="S19" i="98"/>
  <c r="T12" i="97"/>
  <c r="V12" i="97"/>
  <c r="X12" i="97"/>
  <c r="Z12" i="97"/>
  <c r="AB12" i="97"/>
  <c r="AD12" i="97"/>
  <c r="U11" i="98"/>
  <c r="W11" i="98"/>
  <c r="Y11" i="98"/>
  <c r="AA11" i="98"/>
  <c r="AC11" i="98"/>
  <c r="S15" i="98"/>
  <c r="V12" i="94"/>
  <c r="S11" i="95"/>
  <c r="W11" i="95"/>
  <c r="AA11" i="95"/>
  <c r="Z12" i="95"/>
  <c r="O20" i="97"/>
  <c r="O22" i="97"/>
  <c r="O23" i="97"/>
  <c r="O24" i="97"/>
  <c r="O25" i="97"/>
  <c r="O26" i="97"/>
  <c r="O27" i="97"/>
  <c r="O28" i="97"/>
  <c r="O29" i="97"/>
  <c r="O30" i="97"/>
  <c r="O31" i="97"/>
  <c r="O32" i="97"/>
  <c r="O33" i="97"/>
  <c r="O34" i="97"/>
  <c r="O35" i="97"/>
  <c r="O37" i="97"/>
  <c r="O38" i="97"/>
  <c r="O39" i="97"/>
  <c r="O40" i="97"/>
  <c r="O41" i="97"/>
  <c r="O42" i="97"/>
  <c r="O43" i="97"/>
  <c r="O44" i="97"/>
  <c r="P17" i="98"/>
  <c r="U12" i="98"/>
  <c r="W12" i="98"/>
  <c r="Y12" i="98"/>
  <c r="AA12" i="98"/>
  <c r="AC12" i="98"/>
  <c r="W26" i="97"/>
  <c r="AA26" i="97"/>
  <c r="P15" i="98"/>
  <c r="S11" i="98"/>
  <c r="P19" i="98"/>
  <c r="S12" i="98"/>
  <c r="U27" i="98"/>
  <c r="P22" i="98"/>
  <c r="S13" i="98"/>
  <c r="U26" i="98"/>
  <c r="W26" i="98"/>
  <c r="Y26" i="98"/>
  <c r="AA26" i="98"/>
  <c r="O26" i="98"/>
  <c r="S14" i="98"/>
  <c r="O34" i="98"/>
  <c r="S16" i="98"/>
  <c r="O42" i="98"/>
  <c r="S18" i="98"/>
  <c r="O54" i="98"/>
  <c r="S21" i="98"/>
  <c r="T11" i="95"/>
  <c r="V11" i="95"/>
  <c r="X11" i="95"/>
  <c r="Z11" i="95"/>
  <c r="AB11" i="95"/>
  <c r="AD11" i="95"/>
  <c r="D58" i="97"/>
  <c r="F58" i="97"/>
  <c r="H58" i="97"/>
  <c r="J58" i="97"/>
  <c r="L58" i="97"/>
  <c r="N58" i="97"/>
  <c r="T26" i="97"/>
  <c r="Z26" i="97"/>
  <c r="AD26" i="97"/>
  <c r="O18" i="97"/>
  <c r="S18" i="97"/>
  <c r="O19" i="97"/>
  <c r="S27" i="97"/>
  <c r="U27" i="97"/>
  <c r="W27" i="97"/>
  <c r="Y27" i="97"/>
  <c r="AA27" i="97"/>
  <c r="AC27" i="97"/>
  <c r="O21" i="97"/>
  <c r="P40" i="97"/>
  <c r="P41" i="97"/>
  <c r="P42" i="97"/>
  <c r="P43" i="97"/>
  <c r="P44" i="97"/>
  <c r="D58" i="98"/>
  <c r="F58" i="98"/>
  <c r="H58" i="98"/>
  <c r="J58" i="98"/>
  <c r="L58" i="98"/>
  <c r="N58" i="98"/>
  <c r="Z26" i="98"/>
  <c r="S17" i="98"/>
  <c r="S20" i="98"/>
  <c r="O45" i="97"/>
  <c r="O46" i="97"/>
  <c r="O47" i="97"/>
  <c r="O48" i="97"/>
  <c r="O49" i="97"/>
  <c r="O50" i="97"/>
  <c r="O51" i="97"/>
  <c r="O52" i="97"/>
  <c r="O53" i="97"/>
  <c r="O54" i="97"/>
  <c r="O55" i="97"/>
  <c r="O56" i="97"/>
  <c r="O57" i="97"/>
  <c r="C58" i="98"/>
  <c r="E58" i="98"/>
  <c r="G58" i="98"/>
  <c r="I58" i="98"/>
  <c r="K58" i="98"/>
  <c r="M58" i="98"/>
  <c r="P11" i="98"/>
  <c r="P12" i="98"/>
  <c r="P13" i="98"/>
  <c r="P14" i="98"/>
  <c r="P16" i="98"/>
  <c r="P18" i="98"/>
  <c r="P21" i="98"/>
  <c r="P43" i="98"/>
  <c r="P44" i="98"/>
  <c r="P45" i="98"/>
  <c r="P46" i="98"/>
  <c r="P47" i="98"/>
  <c r="P48" i="98"/>
  <c r="P49" i="98"/>
  <c r="P50" i="98"/>
  <c r="P51" i="98"/>
  <c r="P52" i="98"/>
  <c r="Z11" i="94"/>
  <c r="AD12" i="94"/>
  <c r="V12" i="95"/>
  <c r="AD12" i="95"/>
  <c r="T11" i="96"/>
  <c r="V11" i="96"/>
  <c r="X11" i="96"/>
  <c r="Z11" i="96"/>
  <c r="AB11" i="96"/>
  <c r="AD11" i="96"/>
  <c r="P10" i="97"/>
  <c r="T10" i="97"/>
  <c r="V10" i="97"/>
  <c r="X10" i="97"/>
  <c r="Z10" i="97"/>
  <c r="AB10" i="97"/>
  <c r="AD10" i="97"/>
  <c r="P11" i="97"/>
  <c r="P12" i="97"/>
  <c r="P13" i="97"/>
  <c r="P14" i="97"/>
  <c r="P15" i="97"/>
  <c r="P16" i="97"/>
  <c r="P17" i="97"/>
  <c r="P18" i="97"/>
  <c r="P19" i="97"/>
  <c r="P20" i="97"/>
  <c r="P21" i="97"/>
  <c r="P22" i="97"/>
  <c r="P23" i="97"/>
  <c r="T23" i="97"/>
  <c r="Z23" i="97"/>
  <c r="P24" i="97"/>
  <c r="T24" i="97"/>
  <c r="V24" i="97"/>
  <c r="X24" i="97"/>
  <c r="Z24" i="97"/>
  <c r="AB24" i="97"/>
  <c r="AD24" i="97"/>
  <c r="P25" i="97"/>
  <c r="P26" i="97"/>
  <c r="P27" i="97"/>
  <c r="P28" i="97"/>
  <c r="P29" i="97"/>
  <c r="P30" i="97"/>
  <c r="P31" i="97"/>
  <c r="P32" i="97"/>
  <c r="P33" i="97"/>
  <c r="P34" i="97"/>
  <c r="P35" i="97"/>
  <c r="S12" i="96"/>
  <c r="W12" i="96"/>
  <c r="AA12" i="96"/>
  <c r="O10" i="97"/>
  <c r="S10" i="97"/>
  <c r="U10" i="97"/>
  <c r="W10" i="97"/>
  <c r="Y10" i="97"/>
  <c r="AA10" i="97"/>
  <c r="AC10" i="97"/>
  <c r="W23" i="97"/>
  <c r="AA23" i="97"/>
  <c r="S24" i="97"/>
  <c r="U24" i="97"/>
  <c r="W24" i="97"/>
  <c r="Y24" i="97"/>
  <c r="AA24" i="97"/>
  <c r="AC24" i="97"/>
  <c r="O36" i="97"/>
  <c r="P36" i="97"/>
  <c r="P37" i="97"/>
  <c r="P38" i="97"/>
  <c r="P39" i="97"/>
  <c r="P49" i="97"/>
  <c r="P50" i="97"/>
  <c r="P51" i="97"/>
  <c r="P52" i="97"/>
  <c r="P53" i="97"/>
  <c r="P54" i="97"/>
  <c r="P55" i="97"/>
  <c r="P56" i="97"/>
  <c r="P57" i="97"/>
  <c r="O10" i="98"/>
  <c r="S10" i="98"/>
  <c r="U10" i="98"/>
  <c r="W10" i="98"/>
  <c r="Y10" i="98"/>
  <c r="AA10" i="98"/>
  <c r="AC10" i="98"/>
  <c r="O11" i="98"/>
  <c r="O12" i="98"/>
  <c r="O13" i="98"/>
  <c r="O14" i="98"/>
  <c r="O15" i="98"/>
  <c r="O16" i="98"/>
  <c r="O17" i="98"/>
  <c r="O18" i="98"/>
  <c r="O19" i="98"/>
  <c r="Y27" i="98"/>
  <c r="Y24" i="98"/>
  <c r="AA27" i="98"/>
  <c r="AA24" i="98"/>
  <c r="AC27" i="98"/>
  <c r="AC24" i="98"/>
  <c r="O20" i="98"/>
  <c r="O21" i="98"/>
  <c r="O22" i="98"/>
  <c r="O23" i="98"/>
  <c r="U23" i="98"/>
  <c r="W23" i="98"/>
  <c r="Y23" i="98"/>
  <c r="AA23" i="98"/>
  <c r="O24" i="98"/>
  <c r="U24" i="98"/>
  <c r="P10" i="98"/>
  <c r="T10" i="98"/>
  <c r="V10" i="98"/>
  <c r="X10" i="98"/>
  <c r="Z10" i="98"/>
  <c r="AB10" i="98"/>
  <c r="AD10" i="98"/>
  <c r="X27" i="98"/>
  <c r="X24" i="98"/>
  <c r="X23" i="98"/>
  <c r="Z23" i="98"/>
  <c r="P25" i="98"/>
  <c r="P26" i="98"/>
  <c r="P27" i="98"/>
  <c r="P28" i="98"/>
  <c r="P29" i="98"/>
  <c r="P30" i="98"/>
  <c r="P31" i="98"/>
  <c r="P32" i="98"/>
  <c r="P33" i="98"/>
  <c r="P34" i="98"/>
  <c r="P35" i="98"/>
  <c r="P36" i="98"/>
  <c r="P37" i="98"/>
  <c r="P38" i="98"/>
  <c r="P39" i="98"/>
  <c r="P40" i="98"/>
  <c r="P41" i="98"/>
  <c r="P42" i="98"/>
  <c r="P53" i="98"/>
  <c r="P54" i="98"/>
  <c r="P55" i="98"/>
  <c r="P56" i="98"/>
  <c r="P57" i="98"/>
  <c r="O42" i="96"/>
  <c r="S18" i="96"/>
  <c r="T11" i="94"/>
  <c r="V11" i="94"/>
  <c r="X11" i="94"/>
  <c r="AB11" i="94"/>
  <c r="AD11" i="94"/>
  <c r="T12" i="94"/>
  <c r="X12" i="94"/>
  <c r="Z12" i="94"/>
  <c r="AB12" i="94"/>
  <c r="D58" i="95"/>
  <c r="F58" i="95"/>
  <c r="H58" i="95"/>
  <c r="J58" i="95"/>
  <c r="L58" i="95"/>
  <c r="N58" i="95"/>
  <c r="T26" i="95"/>
  <c r="AD27" i="95"/>
  <c r="S13" i="96"/>
  <c r="P14" i="96"/>
  <c r="S11" i="96"/>
  <c r="S14" i="96"/>
  <c r="T12" i="95"/>
  <c r="X12" i="95"/>
  <c r="AB12" i="95"/>
  <c r="P21" i="95"/>
  <c r="P22" i="95"/>
  <c r="P23" i="95"/>
  <c r="P24" i="95"/>
  <c r="P25" i="95"/>
  <c r="P26" i="95"/>
  <c r="P27" i="95"/>
  <c r="P28" i="95"/>
  <c r="P29" i="95"/>
  <c r="P30" i="95"/>
  <c r="P31" i="95"/>
  <c r="P32" i="95"/>
  <c r="P33" i="95"/>
  <c r="P34" i="95"/>
  <c r="P35" i="95"/>
  <c r="O37" i="95"/>
  <c r="O39" i="95"/>
  <c r="O40" i="95"/>
  <c r="O41" i="95"/>
  <c r="O42" i="95"/>
  <c r="O43" i="95"/>
  <c r="O44" i="95"/>
  <c r="O45" i="95"/>
  <c r="O47" i="95"/>
  <c r="O48" i="95"/>
  <c r="O49" i="95"/>
  <c r="O50" i="95"/>
  <c r="O51" i="95"/>
  <c r="O52" i="95"/>
  <c r="O53" i="95"/>
  <c r="O54" i="95"/>
  <c r="O55" i="95"/>
  <c r="O56" i="95"/>
  <c r="O57" i="95"/>
  <c r="C58" i="96"/>
  <c r="E58" i="96"/>
  <c r="G58" i="96"/>
  <c r="I58" i="96"/>
  <c r="K58" i="96"/>
  <c r="M58" i="96"/>
  <c r="P11" i="96"/>
  <c r="S10" i="94"/>
  <c r="W10" i="94"/>
  <c r="P18" i="95"/>
  <c r="T27" i="95"/>
  <c r="X27" i="95"/>
  <c r="AB27" i="95"/>
  <c r="P20" i="95"/>
  <c r="U12" i="95"/>
  <c r="W12" i="95"/>
  <c r="Y12" i="95"/>
  <c r="AA12" i="95"/>
  <c r="AC12" i="95"/>
  <c r="P12" i="96"/>
  <c r="P16" i="96"/>
  <c r="P18" i="96"/>
  <c r="U12" i="96"/>
  <c r="Y12" i="96"/>
  <c r="AC12" i="96"/>
  <c r="T12" i="96"/>
  <c r="V12" i="96"/>
  <c r="X12" i="96"/>
  <c r="Z12" i="96"/>
  <c r="AB12" i="96"/>
  <c r="AD12" i="96"/>
  <c r="O38" i="95"/>
  <c r="S17" i="95"/>
  <c r="O46" i="95"/>
  <c r="S19" i="95"/>
  <c r="Y27" i="95"/>
  <c r="AA27" i="95"/>
  <c r="O30" i="96"/>
  <c r="S15" i="96"/>
  <c r="O38" i="96"/>
  <c r="S17" i="96"/>
  <c r="O46" i="96"/>
  <c r="S19" i="96"/>
  <c r="U27" i="96"/>
  <c r="O54" i="96"/>
  <c r="S21" i="96"/>
  <c r="P14" i="94"/>
  <c r="U11" i="94"/>
  <c r="W11" i="94"/>
  <c r="Y11" i="94"/>
  <c r="AA11" i="94"/>
  <c r="AC11" i="94"/>
  <c r="P16" i="94"/>
  <c r="P18" i="94"/>
  <c r="U12" i="94"/>
  <c r="W12" i="94"/>
  <c r="Y12" i="94"/>
  <c r="AA12" i="94"/>
  <c r="AC12" i="94"/>
  <c r="P20" i="94"/>
  <c r="P22" i="94"/>
  <c r="P23" i="94"/>
  <c r="P24" i="94"/>
  <c r="O30" i="94"/>
  <c r="O34" i="94"/>
  <c r="O38" i="94"/>
  <c r="O42" i="94"/>
  <c r="O46" i="94"/>
  <c r="O50" i="94"/>
  <c r="O54" i="94"/>
  <c r="C58" i="95"/>
  <c r="E58" i="95"/>
  <c r="G58" i="95"/>
  <c r="I58" i="95"/>
  <c r="K58" i="95"/>
  <c r="M58" i="95"/>
  <c r="P11" i="95"/>
  <c r="P12" i="95"/>
  <c r="S12" i="95"/>
  <c r="P13" i="95"/>
  <c r="S13" i="95"/>
  <c r="P14" i="95"/>
  <c r="S14" i="95"/>
  <c r="P15" i="95"/>
  <c r="S15" i="95"/>
  <c r="P16" i="95"/>
  <c r="S16" i="95"/>
  <c r="S18" i="95"/>
  <c r="S21" i="95"/>
  <c r="S16" i="96"/>
  <c r="T27" i="96"/>
  <c r="S20" i="96"/>
  <c r="P17" i="95"/>
  <c r="P19" i="95"/>
  <c r="P49" i="95"/>
  <c r="P50" i="95"/>
  <c r="P51" i="95"/>
  <c r="P52" i="95"/>
  <c r="P53" i="95"/>
  <c r="P54" i="95"/>
  <c r="P55" i="95"/>
  <c r="P56" i="95"/>
  <c r="P57" i="95"/>
  <c r="D58" i="96"/>
  <c r="F58" i="96"/>
  <c r="H58" i="96"/>
  <c r="J58" i="96"/>
  <c r="L58" i="96"/>
  <c r="N58" i="96"/>
  <c r="V26" i="96"/>
  <c r="X26" i="96"/>
  <c r="Z26" i="96"/>
  <c r="P15" i="96"/>
  <c r="P17" i="96"/>
  <c r="P19" i="96"/>
  <c r="P21" i="96"/>
  <c r="O10" i="95"/>
  <c r="S10" i="95"/>
  <c r="U10" i="95"/>
  <c r="W10" i="95"/>
  <c r="Y10" i="95"/>
  <c r="AA10" i="95"/>
  <c r="AC10" i="95"/>
  <c r="O11" i="95"/>
  <c r="O12" i="95"/>
  <c r="O13" i="95"/>
  <c r="O14" i="95"/>
  <c r="O15" i="95"/>
  <c r="O16" i="95"/>
  <c r="O17" i="95"/>
  <c r="O18" i="95"/>
  <c r="O19" i="95"/>
  <c r="O20" i="95"/>
  <c r="O21" i="95"/>
  <c r="O22" i="95"/>
  <c r="O23" i="95"/>
  <c r="W23" i="95"/>
  <c r="AA23" i="95"/>
  <c r="O24" i="95"/>
  <c r="Y24" i="95"/>
  <c r="AA24" i="95"/>
  <c r="O25" i="95"/>
  <c r="O26" i="95"/>
  <c r="O27" i="95"/>
  <c r="O28" i="95"/>
  <c r="O29" i="95"/>
  <c r="O30" i="95"/>
  <c r="O31" i="95"/>
  <c r="O32" i="95"/>
  <c r="O33" i="95"/>
  <c r="O34" i="95"/>
  <c r="O35" i="95"/>
  <c r="O36" i="95"/>
  <c r="P36" i="95"/>
  <c r="T10" i="94"/>
  <c r="F58" i="94"/>
  <c r="X10" i="94"/>
  <c r="J58" i="94"/>
  <c r="AB10" i="94"/>
  <c r="N58" i="94"/>
  <c r="P11" i="94"/>
  <c r="S11" i="94"/>
  <c r="P12" i="94"/>
  <c r="S12" i="94"/>
  <c r="P13" i="94"/>
  <c r="S13" i="94"/>
  <c r="P15" i="94"/>
  <c r="P17" i="94"/>
  <c r="P19" i="94"/>
  <c r="P21" i="94"/>
  <c r="P10" i="95"/>
  <c r="T10" i="95"/>
  <c r="V10" i="95"/>
  <c r="X10" i="95"/>
  <c r="Z10" i="95"/>
  <c r="AB10" i="95"/>
  <c r="AD10" i="95"/>
  <c r="T23" i="95"/>
  <c r="AD23" i="95"/>
  <c r="T24" i="95"/>
  <c r="X24" i="95"/>
  <c r="AB24" i="95"/>
  <c r="AD24" i="95"/>
  <c r="P37" i="95"/>
  <c r="P38" i="95"/>
  <c r="P39" i="95"/>
  <c r="P40" i="95"/>
  <c r="P41" i="95"/>
  <c r="P42" i="95"/>
  <c r="P43" i="95"/>
  <c r="P44" i="95"/>
  <c r="P45" i="95"/>
  <c r="P46" i="95"/>
  <c r="P47" i="95"/>
  <c r="P48" i="95"/>
  <c r="O10" i="96"/>
  <c r="S10" i="96"/>
  <c r="U10" i="96"/>
  <c r="W10" i="96"/>
  <c r="Y10" i="96"/>
  <c r="AA10" i="96"/>
  <c r="AC10" i="96"/>
  <c r="O11" i="96"/>
  <c r="O12" i="96"/>
  <c r="O13" i="96"/>
  <c r="O14" i="96"/>
  <c r="O15" i="96"/>
  <c r="O16" i="96"/>
  <c r="O17" i="96"/>
  <c r="O18" i="96"/>
  <c r="O19" i="96"/>
  <c r="AA27" i="96"/>
  <c r="AA24" i="96"/>
  <c r="AC27" i="96"/>
  <c r="AC24" i="96"/>
  <c r="O20" i="96"/>
  <c r="O21" i="96"/>
  <c r="O22" i="96"/>
  <c r="O23" i="96"/>
  <c r="O24" i="96"/>
  <c r="U24" i="96"/>
  <c r="P10" i="96"/>
  <c r="T10" i="96"/>
  <c r="V10" i="96"/>
  <c r="X10" i="96"/>
  <c r="Z10" i="96"/>
  <c r="AB10" i="96"/>
  <c r="AD10" i="96"/>
  <c r="X27" i="96"/>
  <c r="X24" i="96"/>
  <c r="Z27" i="96"/>
  <c r="Z24" i="96"/>
  <c r="AB27" i="96"/>
  <c r="AB24" i="96"/>
  <c r="AD27" i="96"/>
  <c r="AD24" i="96"/>
  <c r="V23" i="96"/>
  <c r="Z23" i="96"/>
  <c r="T24" i="96"/>
  <c r="V24" i="96"/>
  <c r="P25" i="96"/>
  <c r="P26" i="96"/>
  <c r="P27" i="96"/>
  <c r="P28" i="96"/>
  <c r="P29" i="96"/>
  <c r="P30" i="96"/>
  <c r="P31" i="96"/>
  <c r="P32" i="96"/>
  <c r="P33" i="96"/>
  <c r="P34" i="96"/>
  <c r="P35" i="96"/>
  <c r="P36" i="96"/>
  <c r="P37" i="96"/>
  <c r="P38" i="96"/>
  <c r="P39" i="96"/>
  <c r="P40" i="96"/>
  <c r="P41" i="96"/>
  <c r="P42" i="96"/>
  <c r="P43" i="96"/>
  <c r="P44" i="96"/>
  <c r="P45" i="96"/>
  <c r="P46" i="96"/>
  <c r="P47" i="96"/>
  <c r="P48" i="96"/>
  <c r="P49" i="96"/>
  <c r="P51" i="96"/>
  <c r="P52" i="96"/>
  <c r="P53" i="96"/>
  <c r="P54" i="96"/>
  <c r="P55" i="96"/>
  <c r="P56" i="96"/>
  <c r="P57" i="96"/>
  <c r="P30" i="94"/>
  <c r="P34" i="94"/>
  <c r="P38" i="94"/>
  <c r="P42" i="94"/>
  <c r="P46" i="94"/>
  <c r="P50" i="94"/>
  <c r="P54" i="94"/>
  <c r="E58" i="94"/>
  <c r="G58" i="94"/>
  <c r="I58" i="94"/>
  <c r="K58" i="94"/>
  <c r="M58" i="94"/>
  <c r="AA10" i="94"/>
  <c r="V13" i="94"/>
  <c r="X13" i="94"/>
  <c r="Z13" i="94"/>
  <c r="AB13" i="94"/>
  <c r="AD13" i="94"/>
  <c r="P27" i="94"/>
  <c r="P28" i="94"/>
  <c r="P29" i="94"/>
  <c r="O32" i="94"/>
  <c r="P32" i="94"/>
  <c r="P33" i="94"/>
  <c r="O36" i="94"/>
  <c r="P36" i="94"/>
  <c r="P37" i="94"/>
  <c r="O40" i="94"/>
  <c r="P40" i="94"/>
  <c r="P41" i="94"/>
  <c r="O44" i="94"/>
  <c r="P44" i="94"/>
  <c r="P45" i="94"/>
  <c r="O48" i="94"/>
  <c r="P48" i="94"/>
  <c r="P49" i="94"/>
  <c r="O52" i="94"/>
  <c r="P52" i="94"/>
  <c r="P53" i="94"/>
  <c r="O56" i="94"/>
  <c r="P56" i="94"/>
  <c r="P57" i="94"/>
  <c r="P25" i="94"/>
  <c r="T13" i="94"/>
  <c r="P26" i="94"/>
  <c r="T14" i="94"/>
  <c r="H58" i="94"/>
  <c r="C58" i="94"/>
  <c r="P10" i="94"/>
  <c r="O10" i="94"/>
  <c r="U10" i="94"/>
  <c r="Y10" i="94"/>
  <c r="AC10" i="94"/>
  <c r="O11" i="94"/>
  <c r="O12" i="94"/>
  <c r="O13" i="94"/>
  <c r="O14" i="94"/>
  <c r="O15" i="94"/>
  <c r="O16" i="94"/>
  <c r="O17" i="94"/>
  <c r="O18" i="94"/>
  <c r="O19" i="94"/>
  <c r="O20" i="94"/>
  <c r="O21" i="94"/>
  <c r="O22" i="94"/>
  <c r="O23" i="94"/>
  <c r="O24" i="94"/>
  <c r="P31" i="94"/>
  <c r="T15" i="94"/>
  <c r="V15" i="94"/>
  <c r="X15" i="94"/>
  <c r="Z15" i="94"/>
  <c r="AB15" i="94"/>
  <c r="AD15" i="94"/>
  <c r="P35" i="94"/>
  <c r="T16" i="94"/>
  <c r="V16" i="94"/>
  <c r="X16" i="94"/>
  <c r="Z16" i="94"/>
  <c r="AB16" i="94"/>
  <c r="AD16" i="94"/>
  <c r="P39" i="94"/>
  <c r="T17" i="94"/>
  <c r="V17" i="94"/>
  <c r="X17" i="94"/>
  <c r="Z17" i="94"/>
  <c r="AB17" i="94"/>
  <c r="AD17" i="94"/>
  <c r="P43" i="94"/>
  <c r="T18" i="94"/>
  <c r="V18" i="94"/>
  <c r="X18" i="94"/>
  <c r="Z18" i="94"/>
  <c r="AB18" i="94"/>
  <c r="AD18" i="94"/>
  <c r="P47" i="94"/>
  <c r="T19" i="94"/>
  <c r="V19" i="94"/>
  <c r="X19" i="94"/>
  <c r="Z19" i="94"/>
  <c r="AB19" i="94"/>
  <c r="AD19" i="94"/>
  <c r="P51" i="94"/>
  <c r="T20" i="94"/>
  <c r="V20" i="94"/>
  <c r="X20" i="94"/>
  <c r="Z20" i="94"/>
  <c r="AB20" i="94"/>
  <c r="AD20" i="94"/>
  <c r="P55" i="94"/>
  <c r="T21" i="94"/>
  <c r="V21" i="94"/>
  <c r="X21" i="94"/>
  <c r="Z21" i="94"/>
  <c r="AB21" i="94"/>
  <c r="AD21" i="94"/>
  <c r="D58" i="94"/>
  <c r="L58" i="94"/>
  <c r="V10" i="94"/>
  <c r="Z10" i="94"/>
  <c r="AD10" i="94"/>
  <c r="O25" i="94"/>
  <c r="O26" i="94"/>
  <c r="O27" i="94"/>
  <c r="O28" i="94"/>
  <c r="O29" i="94"/>
  <c r="O31" i="94"/>
  <c r="O33" i="94"/>
  <c r="O35" i="94"/>
  <c r="O37" i="94"/>
  <c r="O39" i="94"/>
  <c r="O41" i="94"/>
  <c r="O43" i="94"/>
  <c r="O45" i="94"/>
  <c r="O47" i="94"/>
  <c r="O49" i="94"/>
  <c r="O51" i="94"/>
  <c r="O53" i="94"/>
  <c r="O55" i="94"/>
  <c r="O57" i="94"/>
  <c r="C11" i="107"/>
  <c r="D11" i="107"/>
  <c r="E11" i="107"/>
  <c r="F11" i="107"/>
  <c r="G11" i="107"/>
  <c r="H11" i="107"/>
  <c r="I11" i="107"/>
  <c r="J11" i="107"/>
  <c r="K11" i="107"/>
  <c r="L11" i="107"/>
  <c r="M11" i="107"/>
  <c r="N11" i="107"/>
  <c r="C12" i="107"/>
  <c r="D12" i="107"/>
  <c r="E12" i="107"/>
  <c r="F12" i="107"/>
  <c r="G12" i="107"/>
  <c r="H12" i="107"/>
  <c r="I12" i="107"/>
  <c r="J12" i="107"/>
  <c r="K12" i="107"/>
  <c r="L12" i="107"/>
  <c r="M12" i="107"/>
  <c r="N12" i="107"/>
  <c r="C13" i="107"/>
  <c r="D13" i="107"/>
  <c r="E13" i="107"/>
  <c r="F13" i="107"/>
  <c r="G13" i="107"/>
  <c r="H13" i="107"/>
  <c r="I13" i="107"/>
  <c r="J13" i="107"/>
  <c r="K13" i="107"/>
  <c r="L13" i="107"/>
  <c r="M13" i="107"/>
  <c r="N13" i="107"/>
  <c r="C14" i="107"/>
  <c r="D14" i="107"/>
  <c r="E14" i="107"/>
  <c r="F14" i="107"/>
  <c r="G14" i="107"/>
  <c r="H14" i="107"/>
  <c r="I14" i="107"/>
  <c r="J14" i="107"/>
  <c r="K14" i="107"/>
  <c r="L14" i="107"/>
  <c r="M14" i="107"/>
  <c r="N14" i="107"/>
  <c r="C15" i="107"/>
  <c r="D15" i="107"/>
  <c r="E15" i="107"/>
  <c r="F15" i="107"/>
  <c r="G15" i="107"/>
  <c r="H15" i="107"/>
  <c r="I15" i="107"/>
  <c r="J15" i="107"/>
  <c r="K15" i="107"/>
  <c r="L15" i="107"/>
  <c r="M15" i="107"/>
  <c r="N15" i="107"/>
  <c r="C16" i="107"/>
  <c r="D16" i="107"/>
  <c r="E16" i="107"/>
  <c r="F16" i="107"/>
  <c r="G16" i="107"/>
  <c r="H16" i="107"/>
  <c r="I16" i="107"/>
  <c r="J16" i="107"/>
  <c r="K16" i="107"/>
  <c r="L16" i="107"/>
  <c r="M16" i="107"/>
  <c r="N16" i="107"/>
  <c r="C17" i="107"/>
  <c r="D17" i="107"/>
  <c r="E17" i="107"/>
  <c r="F17" i="107"/>
  <c r="G17" i="107"/>
  <c r="H17" i="107"/>
  <c r="I17" i="107"/>
  <c r="J17" i="107"/>
  <c r="K17" i="107"/>
  <c r="L17" i="107"/>
  <c r="M17" i="107"/>
  <c r="N17" i="107"/>
  <c r="C18" i="107"/>
  <c r="D18" i="107"/>
  <c r="E18" i="107"/>
  <c r="F18" i="107"/>
  <c r="G18" i="107"/>
  <c r="H18" i="107"/>
  <c r="I18" i="107"/>
  <c r="J18" i="107"/>
  <c r="K18" i="107"/>
  <c r="L18" i="107"/>
  <c r="M18" i="107"/>
  <c r="N18" i="107"/>
  <c r="C19" i="107"/>
  <c r="D19" i="107"/>
  <c r="E19" i="107"/>
  <c r="F19" i="107"/>
  <c r="G19" i="107"/>
  <c r="H19" i="107"/>
  <c r="I19" i="107"/>
  <c r="J19" i="107"/>
  <c r="K19" i="107"/>
  <c r="L19" i="107"/>
  <c r="M19" i="107"/>
  <c r="N19" i="107"/>
  <c r="C20" i="107"/>
  <c r="D20" i="107"/>
  <c r="E20" i="107"/>
  <c r="F20" i="107"/>
  <c r="G20" i="107"/>
  <c r="H20" i="107"/>
  <c r="I20" i="107"/>
  <c r="J20" i="107"/>
  <c r="K20" i="107"/>
  <c r="L20" i="107"/>
  <c r="M20" i="107"/>
  <c r="N20" i="107"/>
  <c r="C21" i="107"/>
  <c r="D21" i="107"/>
  <c r="E21" i="107"/>
  <c r="F21" i="107"/>
  <c r="G21" i="107"/>
  <c r="H21" i="107"/>
  <c r="I21" i="107"/>
  <c r="J21" i="107"/>
  <c r="K21" i="107"/>
  <c r="L21" i="107"/>
  <c r="M21" i="107"/>
  <c r="N21" i="107"/>
  <c r="C22" i="107"/>
  <c r="D22" i="107"/>
  <c r="E22" i="107"/>
  <c r="F22" i="107"/>
  <c r="G22" i="107"/>
  <c r="H22" i="107"/>
  <c r="I22" i="107"/>
  <c r="J22" i="107"/>
  <c r="K22" i="107"/>
  <c r="L22" i="107"/>
  <c r="M22" i="107"/>
  <c r="N22" i="107"/>
  <c r="C23" i="107"/>
  <c r="D23" i="107"/>
  <c r="E23" i="107"/>
  <c r="F23" i="107"/>
  <c r="G23" i="107"/>
  <c r="H23" i="107"/>
  <c r="I23" i="107"/>
  <c r="J23" i="107"/>
  <c r="K23" i="107"/>
  <c r="L23" i="107"/>
  <c r="M23" i="107"/>
  <c r="N23" i="107"/>
  <c r="C24" i="107"/>
  <c r="D24" i="107"/>
  <c r="E24" i="107"/>
  <c r="F24" i="107"/>
  <c r="G24" i="107"/>
  <c r="H24" i="107"/>
  <c r="I24" i="107"/>
  <c r="J24" i="107"/>
  <c r="K24" i="107"/>
  <c r="L24" i="107"/>
  <c r="M24" i="107"/>
  <c r="N24" i="107"/>
  <c r="C25" i="107"/>
  <c r="D25" i="107"/>
  <c r="E25" i="107"/>
  <c r="F25" i="107"/>
  <c r="G25" i="107"/>
  <c r="H25" i="107"/>
  <c r="I25" i="107"/>
  <c r="J25" i="107"/>
  <c r="K25" i="107"/>
  <c r="L25" i="107"/>
  <c r="M25" i="107"/>
  <c r="N25" i="107"/>
  <c r="C26" i="107"/>
  <c r="D26" i="107"/>
  <c r="E26" i="107"/>
  <c r="F26" i="107"/>
  <c r="G26" i="107"/>
  <c r="H26" i="107"/>
  <c r="I26" i="107"/>
  <c r="J26" i="107"/>
  <c r="K26" i="107"/>
  <c r="L26" i="107"/>
  <c r="M26" i="107"/>
  <c r="N26" i="107"/>
  <c r="C27" i="107"/>
  <c r="D27" i="107"/>
  <c r="E27" i="107"/>
  <c r="F27" i="107"/>
  <c r="G27" i="107"/>
  <c r="H27" i="107"/>
  <c r="I27" i="107"/>
  <c r="J27" i="107"/>
  <c r="K27" i="107"/>
  <c r="L27" i="107"/>
  <c r="M27" i="107"/>
  <c r="N27" i="107"/>
  <c r="C28" i="107"/>
  <c r="D28" i="107"/>
  <c r="E28" i="107"/>
  <c r="F28" i="107"/>
  <c r="G28" i="107"/>
  <c r="H28" i="107"/>
  <c r="I28" i="107"/>
  <c r="J28" i="107"/>
  <c r="K28" i="107"/>
  <c r="L28" i="107"/>
  <c r="M28" i="107"/>
  <c r="N28" i="107"/>
  <c r="C29" i="107"/>
  <c r="D29" i="107"/>
  <c r="E29" i="107"/>
  <c r="F29" i="107"/>
  <c r="G29" i="107"/>
  <c r="H29" i="107"/>
  <c r="I29" i="107"/>
  <c r="J29" i="107"/>
  <c r="K29" i="107"/>
  <c r="L29" i="107"/>
  <c r="M29" i="107"/>
  <c r="N29" i="107"/>
  <c r="C30" i="107"/>
  <c r="D30" i="107"/>
  <c r="E30" i="107"/>
  <c r="F30" i="107"/>
  <c r="G30" i="107"/>
  <c r="H30" i="107"/>
  <c r="I30" i="107"/>
  <c r="J30" i="107"/>
  <c r="K30" i="107"/>
  <c r="L30" i="107"/>
  <c r="M30" i="107"/>
  <c r="N30" i="107"/>
  <c r="C31" i="107"/>
  <c r="D31" i="107"/>
  <c r="E31" i="107"/>
  <c r="F31" i="107"/>
  <c r="G31" i="107"/>
  <c r="H31" i="107"/>
  <c r="I31" i="107"/>
  <c r="J31" i="107"/>
  <c r="K31" i="107"/>
  <c r="L31" i="107"/>
  <c r="M31" i="107"/>
  <c r="N31" i="107"/>
  <c r="C32" i="107"/>
  <c r="D32" i="107"/>
  <c r="E32" i="107"/>
  <c r="F32" i="107"/>
  <c r="G32" i="107"/>
  <c r="H32" i="107"/>
  <c r="I32" i="107"/>
  <c r="J32" i="107"/>
  <c r="K32" i="107"/>
  <c r="L32" i="107"/>
  <c r="M32" i="107"/>
  <c r="N32" i="107"/>
  <c r="C33" i="107"/>
  <c r="D33" i="107"/>
  <c r="E33" i="107"/>
  <c r="F33" i="107"/>
  <c r="G33" i="107"/>
  <c r="H33" i="107"/>
  <c r="I33" i="107"/>
  <c r="J33" i="107"/>
  <c r="K33" i="107"/>
  <c r="L33" i="107"/>
  <c r="M33" i="107"/>
  <c r="N33" i="107"/>
  <c r="C34" i="107"/>
  <c r="D34" i="107"/>
  <c r="E34" i="107"/>
  <c r="F34" i="107"/>
  <c r="G34" i="107"/>
  <c r="H34" i="107"/>
  <c r="I34" i="107"/>
  <c r="J34" i="107"/>
  <c r="K34" i="107"/>
  <c r="L34" i="107"/>
  <c r="M34" i="107"/>
  <c r="N34" i="107"/>
  <c r="C35" i="107"/>
  <c r="D35" i="107"/>
  <c r="E35" i="107"/>
  <c r="F35" i="107"/>
  <c r="G35" i="107"/>
  <c r="H35" i="107"/>
  <c r="I35" i="107"/>
  <c r="J35" i="107"/>
  <c r="K35" i="107"/>
  <c r="L35" i="107"/>
  <c r="M35" i="107"/>
  <c r="N35" i="107"/>
  <c r="C36" i="107"/>
  <c r="D36" i="107"/>
  <c r="E36" i="107"/>
  <c r="F36" i="107"/>
  <c r="G36" i="107"/>
  <c r="H36" i="107"/>
  <c r="I36" i="107"/>
  <c r="J36" i="107"/>
  <c r="K36" i="107"/>
  <c r="L36" i="107"/>
  <c r="M36" i="107"/>
  <c r="N36" i="107"/>
  <c r="C37" i="107"/>
  <c r="D37" i="107"/>
  <c r="E37" i="107"/>
  <c r="F37" i="107"/>
  <c r="G37" i="107"/>
  <c r="H37" i="107"/>
  <c r="I37" i="107"/>
  <c r="J37" i="107"/>
  <c r="K37" i="107"/>
  <c r="L37" i="107"/>
  <c r="M37" i="107"/>
  <c r="N37" i="107"/>
  <c r="C38" i="107"/>
  <c r="D38" i="107"/>
  <c r="E38" i="107"/>
  <c r="F38" i="107"/>
  <c r="G38" i="107"/>
  <c r="H38" i="107"/>
  <c r="I38" i="107"/>
  <c r="J38" i="107"/>
  <c r="K38" i="107"/>
  <c r="L38" i="107"/>
  <c r="M38" i="107"/>
  <c r="N38" i="107"/>
  <c r="C39" i="107"/>
  <c r="D39" i="107"/>
  <c r="E39" i="107"/>
  <c r="F39" i="107"/>
  <c r="G39" i="107"/>
  <c r="H39" i="107"/>
  <c r="I39" i="107"/>
  <c r="J39" i="107"/>
  <c r="K39" i="107"/>
  <c r="L39" i="107"/>
  <c r="M39" i="107"/>
  <c r="N39" i="107"/>
  <c r="C40" i="107"/>
  <c r="D40" i="107"/>
  <c r="E40" i="107"/>
  <c r="F40" i="107"/>
  <c r="G40" i="107"/>
  <c r="H40" i="107"/>
  <c r="I40" i="107"/>
  <c r="J40" i="107"/>
  <c r="K40" i="107"/>
  <c r="L40" i="107"/>
  <c r="M40" i="107"/>
  <c r="N40" i="107"/>
  <c r="C41" i="107"/>
  <c r="D41" i="107"/>
  <c r="E41" i="107"/>
  <c r="F41" i="107"/>
  <c r="G41" i="107"/>
  <c r="H41" i="107"/>
  <c r="I41" i="107"/>
  <c r="J41" i="107"/>
  <c r="K41" i="107"/>
  <c r="L41" i="107"/>
  <c r="M41" i="107"/>
  <c r="N41" i="107"/>
  <c r="C42" i="107"/>
  <c r="D42" i="107"/>
  <c r="E42" i="107"/>
  <c r="F42" i="107"/>
  <c r="G42" i="107"/>
  <c r="H42" i="107"/>
  <c r="I42" i="107"/>
  <c r="J42" i="107"/>
  <c r="K42" i="107"/>
  <c r="L42" i="107"/>
  <c r="M42" i="107"/>
  <c r="N42" i="107"/>
  <c r="C43" i="107"/>
  <c r="D43" i="107"/>
  <c r="E43" i="107"/>
  <c r="F43" i="107"/>
  <c r="G43" i="107"/>
  <c r="H43" i="107"/>
  <c r="I43" i="107"/>
  <c r="J43" i="107"/>
  <c r="K43" i="107"/>
  <c r="L43" i="107"/>
  <c r="M43" i="107"/>
  <c r="N43" i="107"/>
  <c r="C44" i="107"/>
  <c r="D44" i="107"/>
  <c r="E44" i="107"/>
  <c r="F44" i="107"/>
  <c r="G44" i="107"/>
  <c r="H44" i="107"/>
  <c r="I44" i="107"/>
  <c r="J44" i="107"/>
  <c r="K44" i="107"/>
  <c r="L44" i="107"/>
  <c r="M44" i="107"/>
  <c r="N44" i="107"/>
  <c r="C45" i="107"/>
  <c r="D45" i="107"/>
  <c r="E45" i="107"/>
  <c r="F45" i="107"/>
  <c r="G45" i="107"/>
  <c r="H45" i="107"/>
  <c r="I45" i="107"/>
  <c r="J45" i="107"/>
  <c r="K45" i="107"/>
  <c r="L45" i="107"/>
  <c r="M45" i="107"/>
  <c r="N45" i="107"/>
  <c r="C46" i="107"/>
  <c r="D46" i="107"/>
  <c r="E46" i="107"/>
  <c r="F46" i="107"/>
  <c r="G46" i="107"/>
  <c r="H46" i="107"/>
  <c r="I46" i="107"/>
  <c r="J46" i="107"/>
  <c r="K46" i="107"/>
  <c r="L46" i="107"/>
  <c r="M46" i="107"/>
  <c r="N46" i="107"/>
  <c r="C47" i="107"/>
  <c r="D47" i="107"/>
  <c r="E47" i="107"/>
  <c r="F47" i="107"/>
  <c r="G47" i="107"/>
  <c r="H47" i="107"/>
  <c r="I47" i="107"/>
  <c r="J47" i="107"/>
  <c r="K47" i="107"/>
  <c r="L47" i="107"/>
  <c r="M47" i="107"/>
  <c r="N47" i="107"/>
  <c r="C48" i="107"/>
  <c r="D48" i="107"/>
  <c r="E48" i="107"/>
  <c r="F48" i="107"/>
  <c r="G48" i="107"/>
  <c r="H48" i="107"/>
  <c r="I48" i="107"/>
  <c r="J48" i="107"/>
  <c r="K48" i="107"/>
  <c r="L48" i="107"/>
  <c r="M48" i="107"/>
  <c r="N48" i="107"/>
  <c r="C49" i="107"/>
  <c r="D49" i="107"/>
  <c r="E49" i="107"/>
  <c r="F49" i="107"/>
  <c r="G49" i="107"/>
  <c r="H49" i="107"/>
  <c r="I49" i="107"/>
  <c r="J49" i="107"/>
  <c r="K49" i="107"/>
  <c r="L49" i="107"/>
  <c r="M49" i="107"/>
  <c r="N49" i="107"/>
  <c r="C50" i="107"/>
  <c r="D50" i="107"/>
  <c r="E50" i="107"/>
  <c r="F50" i="107"/>
  <c r="G50" i="107"/>
  <c r="H50" i="107"/>
  <c r="I50" i="107"/>
  <c r="J50" i="107"/>
  <c r="K50" i="107"/>
  <c r="L50" i="107"/>
  <c r="M50" i="107"/>
  <c r="N50" i="107"/>
  <c r="C51" i="107"/>
  <c r="D51" i="107"/>
  <c r="E51" i="107"/>
  <c r="F51" i="107"/>
  <c r="G51" i="107"/>
  <c r="H51" i="107"/>
  <c r="I51" i="107"/>
  <c r="J51" i="107"/>
  <c r="K51" i="107"/>
  <c r="L51" i="107"/>
  <c r="M51" i="107"/>
  <c r="N51" i="107"/>
  <c r="C52" i="107"/>
  <c r="D52" i="107"/>
  <c r="E52" i="107"/>
  <c r="F52" i="107"/>
  <c r="G52" i="107"/>
  <c r="H52" i="107"/>
  <c r="I52" i="107"/>
  <c r="J52" i="107"/>
  <c r="K52" i="107"/>
  <c r="L52" i="107"/>
  <c r="M52" i="107"/>
  <c r="N52" i="107"/>
  <c r="C53" i="107"/>
  <c r="D53" i="107"/>
  <c r="E53" i="107"/>
  <c r="F53" i="107"/>
  <c r="G53" i="107"/>
  <c r="H53" i="107"/>
  <c r="I53" i="107"/>
  <c r="J53" i="107"/>
  <c r="K53" i="107"/>
  <c r="L53" i="107"/>
  <c r="M53" i="107"/>
  <c r="N53" i="107"/>
  <c r="C54" i="107"/>
  <c r="D54" i="107"/>
  <c r="E54" i="107"/>
  <c r="F54" i="107"/>
  <c r="G54" i="107"/>
  <c r="H54" i="107"/>
  <c r="I54" i="107"/>
  <c r="J54" i="107"/>
  <c r="K54" i="107"/>
  <c r="L54" i="107"/>
  <c r="M54" i="107"/>
  <c r="N54" i="107"/>
  <c r="C55" i="107"/>
  <c r="D55" i="107"/>
  <c r="E55" i="107"/>
  <c r="F55" i="107"/>
  <c r="G55" i="107"/>
  <c r="H55" i="107"/>
  <c r="I55" i="107"/>
  <c r="J55" i="107"/>
  <c r="K55" i="107"/>
  <c r="L55" i="107"/>
  <c r="M55" i="107"/>
  <c r="N55" i="107"/>
  <c r="C56" i="107"/>
  <c r="D56" i="107"/>
  <c r="E56" i="107"/>
  <c r="F56" i="107"/>
  <c r="G56" i="107"/>
  <c r="H56" i="107"/>
  <c r="I56" i="107"/>
  <c r="J56" i="107"/>
  <c r="K56" i="107"/>
  <c r="L56" i="107"/>
  <c r="M56" i="107"/>
  <c r="N56" i="107"/>
  <c r="C57" i="107"/>
  <c r="D57" i="107"/>
  <c r="E57" i="107"/>
  <c r="F57" i="107"/>
  <c r="G57" i="107"/>
  <c r="H57" i="107"/>
  <c r="I57" i="107"/>
  <c r="J57" i="107"/>
  <c r="K57" i="107"/>
  <c r="L57" i="107"/>
  <c r="M57" i="107"/>
  <c r="N57" i="107"/>
  <c r="D10" i="107"/>
  <c r="E10" i="107"/>
  <c r="F10" i="107"/>
  <c r="G10" i="107"/>
  <c r="H10" i="107"/>
  <c r="I10" i="107"/>
  <c r="J10" i="107"/>
  <c r="K10" i="107"/>
  <c r="L10" i="107"/>
  <c r="M10" i="107"/>
  <c r="N10" i="107"/>
  <c r="C10" i="107"/>
  <c r="X36" i="101" l="1"/>
  <c r="AF28" i="101"/>
  <c r="Y38" i="105"/>
  <c r="U38" i="109"/>
  <c r="AB26" i="98"/>
  <c r="S38" i="105"/>
  <c r="AF25" i="101"/>
  <c r="AB23" i="96"/>
  <c r="AC26" i="95"/>
  <c r="T23" i="96"/>
  <c r="W27" i="96"/>
  <c r="T23" i="98"/>
  <c r="Z24" i="98"/>
  <c r="V35" i="101"/>
  <c r="U36" i="105"/>
  <c r="Y26" i="95"/>
  <c r="AB24" i="99"/>
  <c r="V26" i="97"/>
  <c r="Y26" i="96"/>
  <c r="U27" i="94"/>
  <c r="AC27" i="95"/>
  <c r="AD23" i="98"/>
  <c r="AB39" i="109"/>
  <c r="L10" i="111"/>
  <c r="J10" i="111"/>
  <c r="D10" i="111"/>
  <c r="M57" i="111"/>
  <c r="I57" i="111"/>
  <c r="G57" i="111"/>
  <c r="M56" i="111"/>
  <c r="K56" i="111"/>
  <c r="I56" i="111"/>
  <c r="C56" i="111"/>
  <c r="G55" i="111"/>
  <c r="E55" i="111"/>
  <c r="K54" i="111"/>
  <c r="I54" i="111"/>
  <c r="G54" i="111"/>
  <c r="I53" i="111"/>
  <c r="G53" i="111"/>
  <c r="E53" i="111"/>
  <c r="M52" i="111"/>
  <c r="K52" i="111"/>
  <c r="C52" i="111"/>
  <c r="M51" i="111"/>
  <c r="G51" i="111"/>
  <c r="M50" i="111"/>
  <c r="K50" i="111"/>
  <c r="E50" i="111"/>
  <c r="C50" i="111"/>
  <c r="M49" i="111"/>
  <c r="K49" i="111"/>
  <c r="I49" i="111"/>
  <c r="C49" i="111"/>
  <c r="M48" i="111"/>
  <c r="I48" i="111"/>
  <c r="G48" i="111"/>
  <c r="K47" i="111"/>
  <c r="E47" i="111"/>
  <c r="C47" i="111"/>
  <c r="G46" i="111"/>
  <c r="E46" i="111"/>
  <c r="K45" i="111"/>
  <c r="G45" i="111"/>
  <c r="C45" i="111"/>
  <c r="K44" i="111"/>
  <c r="G44" i="111"/>
  <c r="C44" i="111"/>
  <c r="K43" i="111"/>
  <c r="G43" i="111"/>
  <c r="C43" i="111"/>
  <c r="K42" i="111"/>
  <c r="I42" i="111"/>
  <c r="E42" i="111"/>
  <c r="C42" i="111"/>
  <c r="K41" i="111"/>
  <c r="G41" i="111"/>
  <c r="C41" i="111"/>
  <c r="K40" i="111"/>
  <c r="G40" i="111"/>
  <c r="C40" i="111"/>
  <c r="K39" i="111"/>
  <c r="G39" i="111"/>
  <c r="C39" i="111"/>
  <c r="K38" i="111"/>
  <c r="E38" i="111"/>
  <c r="C38" i="111"/>
  <c r="S24" i="94"/>
  <c r="C10" i="111"/>
  <c r="M10" i="111"/>
  <c r="I10" i="111"/>
  <c r="E10" i="111"/>
  <c r="L57" i="111"/>
  <c r="H57" i="111"/>
  <c r="D57" i="111"/>
  <c r="L56" i="111"/>
  <c r="H56" i="111"/>
  <c r="D56" i="111"/>
  <c r="L55" i="111"/>
  <c r="H55" i="111"/>
  <c r="D55" i="111"/>
  <c r="L54" i="111"/>
  <c r="H54" i="111"/>
  <c r="D54" i="111"/>
  <c r="L53" i="111"/>
  <c r="H53" i="111"/>
  <c r="D53" i="111"/>
  <c r="L52" i="111"/>
  <c r="H52" i="111"/>
  <c r="D52" i="111"/>
  <c r="L51" i="111"/>
  <c r="H51" i="111"/>
  <c r="D51" i="111"/>
  <c r="L50" i="111"/>
  <c r="H50" i="111"/>
  <c r="D50" i="111"/>
  <c r="L49" i="111"/>
  <c r="H49" i="111"/>
  <c r="D49" i="111"/>
  <c r="L48" i="111"/>
  <c r="H48" i="111"/>
  <c r="D48" i="111"/>
  <c r="L47" i="111"/>
  <c r="H47" i="111"/>
  <c r="D47" i="111"/>
  <c r="L46" i="111"/>
  <c r="H46" i="111"/>
  <c r="D46" i="111"/>
  <c r="L45" i="111"/>
  <c r="H45" i="111"/>
  <c r="D45" i="111"/>
  <c r="L44" i="111"/>
  <c r="H44" i="111"/>
  <c r="D44" i="111"/>
  <c r="L43" i="111"/>
  <c r="H43" i="111"/>
  <c r="D43" i="111"/>
  <c r="L42" i="111"/>
  <c r="H42" i="111"/>
  <c r="D42" i="111"/>
  <c r="L41" i="111"/>
  <c r="H41" i="111"/>
  <c r="D41" i="111"/>
  <c r="L40" i="111"/>
  <c r="H40" i="111"/>
  <c r="D40" i="111"/>
  <c r="L39" i="111"/>
  <c r="H39" i="111"/>
  <c r="D39" i="111"/>
  <c r="L38" i="111"/>
  <c r="H38" i="111"/>
  <c r="D38" i="111"/>
  <c r="L37" i="111"/>
  <c r="H37" i="111"/>
  <c r="D37" i="111"/>
  <c r="L36" i="111"/>
  <c r="H36" i="111"/>
  <c r="D36" i="111"/>
  <c r="L35" i="111"/>
  <c r="H35" i="111"/>
  <c r="D35" i="111"/>
  <c r="L34" i="111"/>
  <c r="H34" i="111"/>
  <c r="D34" i="111"/>
  <c r="L33" i="111"/>
  <c r="H33" i="111"/>
  <c r="D33" i="111"/>
  <c r="L32" i="111"/>
  <c r="H32" i="111"/>
  <c r="D32" i="111"/>
  <c r="L31" i="111"/>
  <c r="H31" i="111"/>
  <c r="D31" i="111"/>
  <c r="L30" i="111"/>
  <c r="H30" i="111"/>
  <c r="D30" i="111"/>
  <c r="L29" i="111"/>
  <c r="H29" i="111"/>
  <c r="D29" i="111"/>
  <c r="L28" i="111"/>
  <c r="H28" i="111"/>
  <c r="D28" i="111"/>
  <c r="L27" i="111"/>
  <c r="H27" i="111"/>
  <c r="D27" i="111"/>
  <c r="L26" i="111"/>
  <c r="H26" i="111"/>
  <c r="D26" i="111"/>
  <c r="L25" i="111"/>
  <c r="H25" i="111"/>
  <c r="D25" i="111"/>
  <c r="H24" i="111"/>
  <c r="F24" i="111"/>
  <c r="N23" i="111"/>
  <c r="L23" i="111"/>
  <c r="J23" i="111"/>
  <c r="D23" i="111"/>
  <c r="N22" i="111"/>
  <c r="H22" i="111"/>
  <c r="N21" i="111"/>
  <c r="L21" i="111"/>
  <c r="F21" i="111"/>
  <c r="D21" i="111"/>
  <c r="H20" i="111"/>
  <c r="F20" i="111"/>
  <c r="L19" i="111"/>
  <c r="J19" i="111"/>
  <c r="F19" i="111"/>
  <c r="D19" i="111"/>
  <c r="J18" i="111"/>
  <c r="H18" i="111"/>
  <c r="L17" i="111"/>
  <c r="J17" i="111"/>
  <c r="F17" i="111"/>
  <c r="D17" i="111"/>
  <c r="N16" i="111"/>
  <c r="H16" i="111"/>
  <c r="N15" i="111"/>
  <c r="L15" i="111"/>
  <c r="D15" i="111"/>
  <c r="N14" i="111"/>
  <c r="H14" i="111"/>
  <c r="F14" i="111"/>
  <c r="N13" i="111"/>
  <c r="L13" i="111"/>
  <c r="F13" i="111"/>
  <c r="D13" i="111"/>
  <c r="H12" i="111"/>
  <c r="F12" i="111"/>
  <c r="N11" i="111"/>
  <c r="J11" i="111"/>
  <c r="F11" i="111"/>
  <c r="W27" i="95"/>
  <c r="W24" i="95"/>
  <c r="K37" i="111"/>
  <c r="G37" i="111"/>
  <c r="C37" i="111"/>
  <c r="K36" i="111"/>
  <c r="G36" i="111"/>
  <c r="C36" i="111"/>
  <c r="K35" i="111"/>
  <c r="G35" i="111"/>
  <c r="C35" i="111"/>
  <c r="K34" i="111"/>
  <c r="I34" i="111"/>
  <c r="E34" i="111"/>
  <c r="K33" i="111"/>
  <c r="G33" i="111"/>
  <c r="C33" i="111"/>
  <c r="K32" i="111"/>
  <c r="G32" i="111"/>
  <c r="C32" i="111"/>
  <c r="K31" i="111"/>
  <c r="G31" i="111"/>
  <c r="C31" i="111"/>
  <c r="K30" i="111"/>
  <c r="I30" i="111"/>
  <c r="G30" i="111"/>
  <c r="M29" i="111"/>
  <c r="I29" i="111"/>
  <c r="E29" i="111"/>
  <c r="M28" i="111"/>
  <c r="I28" i="111"/>
  <c r="E28" i="111"/>
  <c r="M27" i="111"/>
  <c r="I27" i="111"/>
  <c r="E27" i="111"/>
  <c r="M26" i="111"/>
  <c r="K26" i="111"/>
  <c r="E26" i="111"/>
  <c r="C26" i="111"/>
  <c r="K25" i="111"/>
  <c r="G25" i="111"/>
  <c r="C25" i="111"/>
  <c r="K24" i="111"/>
  <c r="G24" i="111"/>
  <c r="C24" i="111"/>
  <c r="K23" i="111"/>
  <c r="G23" i="111"/>
  <c r="C23" i="111"/>
  <c r="K22" i="111"/>
  <c r="G22" i="111"/>
  <c r="C22" i="111"/>
  <c r="K21" i="111"/>
  <c r="G21" i="111"/>
  <c r="C21" i="111"/>
  <c r="K20" i="111"/>
  <c r="G20" i="111"/>
  <c r="C20" i="111"/>
  <c r="K19" i="111"/>
  <c r="G19" i="111"/>
  <c r="C19" i="111"/>
  <c r="K18" i="111"/>
  <c r="G18" i="111"/>
  <c r="C18" i="111"/>
  <c r="K17" i="111"/>
  <c r="G17" i="111"/>
  <c r="C17" i="111"/>
  <c r="K16" i="111"/>
  <c r="G16" i="111"/>
  <c r="C16" i="111"/>
  <c r="K15" i="111"/>
  <c r="G15" i="111"/>
  <c r="C15" i="111"/>
  <c r="K14" i="111"/>
  <c r="G14" i="111"/>
  <c r="C14" i="111"/>
  <c r="K13" i="111"/>
  <c r="G13" i="111"/>
  <c r="C13" i="111"/>
  <c r="K12" i="111"/>
  <c r="G12" i="111"/>
  <c r="C12" i="111"/>
  <c r="K11" i="111"/>
  <c r="G11" i="111"/>
  <c r="C11" i="111"/>
  <c r="AB24" i="98"/>
  <c r="W26" i="96"/>
  <c r="AC26" i="97"/>
  <c r="AC23" i="97"/>
  <c r="N57" i="111"/>
  <c r="J57" i="111"/>
  <c r="F57" i="111"/>
  <c r="N56" i="111"/>
  <c r="J56" i="111"/>
  <c r="F56" i="111"/>
  <c r="N55" i="111"/>
  <c r="J55" i="111"/>
  <c r="F55" i="111"/>
  <c r="N54" i="111"/>
  <c r="J54" i="111"/>
  <c r="F54" i="111"/>
  <c r="N53" i="111"/>
  <c r="J53" i="111"/>
  <c r="F53" i="111"/>
  <c r="N52" i="111"/>
  <c r="J52" i="111"/>
  <c r="F52" i="111"/>
  <c r="N51" i="111"/>
  <c r="J51" i="111"/>
  <c r="F51" i="111"/>
  <c r="N50" i="111"/>
  <c r="J50" i="111"/>
  <c r="F50" i="111"/>
  <c r="N49" i="111"/>
  <c r="J49" i="111"/>
  <c r="F49" i="111"/>
  <c r="N48" i="111"/>
  <c r="J48" i="111"/>
  <c r="F48" i="111"/>
  <c r="N47" i="111"/>
  <c r="J47" i="111"/>
  <c r="F47" i="111"/>
  <c r="N46" i="111"/>
  <c r="J46" i="111"/>
  <c r="F46" i="111"/>
  <c r="N45" i="111"/>
  <c r="J45" i="111"/>
  <c r="F45" i="111"/>
  <c r="N44" i="111"/>
  <c r="J44" i="111"/>
  <c r="F44" i="111"/>
  <c r="N43" i="111"/>
  <c r="J43" i="111"/>
  <c r="F43" i="111"/>
  <c r="N42" i="111"/>
  <c r="J42" i="111"/>
  <c r="F42" i="111"/>
  <c r="N41" i="111"/>
  <c r="J41" i="111"/>
  <c r="F41" i="111"/>
  <c r="N40" i="111"/>
  <c r="J40" i="111"/>
  <c r="F40" i="111"/>
  <c r="N39" i="111"/>
  <c r="J39" i="111"/>
  <c r="F39" i="111"/>
  <c r="N38" i="111"/>
  <c r="J38" i="111"/>
  <c r="F38" i="111"/>
  <c r="N37" i="111"/>
  <c r="J37" i="111"/>
  <c r="F37" i="111"/>
  <c r="N36" i="111"/>
  <c r="J36" i="111"/>
  <c r="F36" i="111"/>
  <c r="N35" i="111"/>
  <c r="J35" i="111"/>
  <c r="F35" i="111"/>
  <c r="N34" i="111"/>
  <c r="J34" i="111"/>
  <c r="F34" i="111"/>
  <c r="N33" i="111"/>
  <c r="J33" i="111"/>
  <c r="F33" i="111"/>
  <c r="N32" i="111"/>
  <c r="J32" i="111"/>
  <c r="F32" i="111"/>
  <c r="N31" i="111"/>
  <c r="J31" i="111"/>
  <c r="F31" i="111"/>
  <c r="N30" i="111"/>
  <c r="J30" i="111"/>
  <c r="F30" i="111"/>
  <c r="N29" i="111"/>
  <c r="J29" i="111"/>
  <c r="F29" i="111"/>
  <c r="N28" i="111"/>
  <c r="J28" i="111"/>
  <c r="F28" i="111"/>
  <c r="N27" i="111"/>
  <c r="J27" i="111"/>
  <c r="F27" i="111"/>
  <c r="N26" i="111"/>
  <c r="J26" i="111"/>
  <c r="F26" i="111"/>
  <c r="N25" i="111"/>
  <c r="J25" i="111"/>
  <c r="F25" i="111"/>
  <c r="N24" i="111"/>
  <c r="L24" i="111"/>
  <c r="J24" i="111"/>
  <c r="D24" i="111"/>
  <c r="H23" i="111"/>
  <c r="F23" i="111"/>
  <c r="L22" i="111"/>
  <c r="J22" i="111"/>
  <c r="F22" i="111"/>
  <c r="D22" i="111"/>
  <c r="J21" i="111"/>
  <c r="H21" i="111"/>
  <c r="N20" i="111"/>
  <c r="L20" i="111"/>
  <c r="J20" i="111"/>
  <c r="D20" i="111"/>
  <c r="N19" i="111"/>
  <c r="H19" i="111"/>
  <c r="N18" i="111"/>
  <c r="AD12" i="111" s="1"/>
  <c r="L18" i="111"/>
  <c r="F18" i="111"/>
  <c r="D18" i="111"/>
  <c r="N17" i="111"/>
  <c r="H17" i="111"/>
  <c r="L16" i="111"/>
  <c r="J16" i="111"/>
  <c r="F16" i="111"/>
  <c r="D16" i="111"/>
  <c r="J15" i="111"/>
  <c r="H15" i="111"/>
  <c r="F15" i="111"/>
  <c r="L14" i="111"/>
  <c r="J14" i="111"/>
  <c r="D14" i="111"/>
  <c r="J13" i="111"/>
  <c r="H13" i="111"/>
  <c r="N12" i="111"/>
  <c r="L12" i="111"/>
  <c r="J12" i="111"/>
  <c r="D12" i="111"/>
  <c r="L11" i="111"/>
  <c r="H11" i="111"/>
  <c r="D11" i="111"/>
  <c r="AC24" i="94"/>
  <c r="Y24" i="94"/>
  <c r="S27" i="94"/>
  <c r="AA38" i="110"/>
  <c r="W24" i="94"/>
  <c r="N10" i="111"/>
  <c r="H10" i="111"/>
  <c r="F10" i="111"/>
  <c r="K57" i="111"/>
  <c r="E57" i="111"/>
  <c r="C57" i="111"/>
  <c r="G56" i="111"/>
  <c r="E56" i="111"/>
  <c r="M55" i="111"/>
  <c r="K55" i="111"/>
  <c r="I55" i="111"/>
  <c r="C55" i="111"/>
  <c r="M54" i="111"/>
  <c r="E54" i="111"/>
  <c r="C54" i="111"/>
  <c r="M53" i="111"/>
  <c r="K53" i="111"/>
  <c r="C53" i="111"/>
  <c r="I52" i="111"/>
  <c r="G52" i="111"/>
  <c r="E52" i="111"/>
  <c r="K51" i="111"/>
  <c r="I51" i="111"/>
  <c r="E51" i="111"/>
  <c r="C51" i="111"/>
  <c r="I50" i="111"/>
  <c r="G50" i="111"/>
  <c r="G49" i="111"/>
  <c r="E49" i="111"/>
  <c r="K48" i="111"/>
  <c r="E48" i="111"/>
  <c r="C48" i="111"/>
  <c r="M47" i="111"/>
  <c r="I47" i="111"/>
  <c r="G47" i="111"/>
  <c r="M46" i="111"/>
  <c r="K46" i="111"/>
  <c r="I46" i="111"/>
  <c r="C46" i="111"/>
  <c r="M45" i="111"/>
  <c r="I45" i="111"/>
  <c r="E45" i="111"/>
  <c r="M44" i="111"/>
  <c r="I44" i="111"/>
  <c r="E44" i="111"/>
  <c r="M43" i="111"/>
  <c r="I43" i="111"/>
  <c r="E43" i="111"/>
  <c r="M42" i="111"/>
  <c r="G42" i="111"/>
  <c r="M41" i="111"/>
  <c r="I41" i="111"/>
  <c r="E41" i="111"/>
  <c r="M40" i="111"/>
  <c r="I40" i="111"/>
  <c r="E40" i="111"/>
  <c r="M39" i="111"/>
  <c r="I39" i="111"/>
  <c r="E39" i="111"/>
  <c r="M38" i="111"/>
  <c r="I38" i="111"/>
  <c r="G38" i="111"/>
  <c r="M37" i="111"/>
  <c r="W27" i="94"/>
  <c r="S26" i="94"/>
  <c r="U23" i="97"/>
  <c r="AA27" i="94"/>
  <c r="U27" i="95"/>
  <c r="U24" i="95"/>
  <c r="I37" i="111"/>
  <c r="E37" i="111"/>
  <c r="M36" i="111"/>
  <c r="I36" i="111"/>
  <c r="E36" i="111"/>
  <c r="M35" i="111"/>
  <c r="I35" i="111"/>
  <c r="E35" i="111"/>
  <c r="M34" i="111"/>
  <c r="G34" i="111"/>
  <c r="C34" i="111"/>
  <c r="M33" i="111"/>
  <c r="I33" i="111"/>
  <c r="E33" i="111"/>
  <c r="M32" i="111"/>
  <c r="I32" i="111"/>
  <c r="E32" i="111"/>
  <c r="M31" i="111"/>
  <c r="I31" i="111"/>
  <c r="E31" i="111"/>
  <c r="M30" i="111"/>
  <c r="E30" i="111"/>
  <c r="C30" i="111"/>
  <c r="K29" i="111"/>
  <c r="G29" i="111"/>
  <c r="C29" i="111"/>
  <c r="K28" i="111"/>
  <c r="G28" i="111"/>
  <c r="C28" i="111"/>
  <c r="K27" i="111"/>
  <c r="G27" i="111"/>
  <c r="C27" i="111"/>
  <c r="I26" i="111"/>
  <c r="G26" i="111"/>
  <c r="M25" i="111"/>
  <c r="I25" i="111"/>
  <c r="E25" i="111"/>
  <c r="M24" i="111"/>
  <c r="I24" i="111"/>
  <c r="E24" i="111"/>
  <c r="M23" i="111"/>
  <c r="I23" i="111"/>
  <c r="E23" i="111"/>
  <c r="M22" i="111"/>
  <c r="I22" i="111"/>
  <c r="E22" i="111"/>
  <c r="M21" i="111"/>
  <c r="I21" i="111"/>
  <c r="E21" i="111"/>
  <c r="M20" i="111"/>
  <c r="I20" i="111"/>
  <c r="E20" i="111"/>
  <c r="M19" i="111"/>
  <c r="I19" i="111"/>
  <c r="E19" i="111"/>
  <c r="M18" i="111"/>
  <c r="I18" i="111"/>
  <c r="E18" i="111"/>
  <c r="M17" i="111"/>
  <c r="I17" i="111"/>
  <c r="E17" i="111"/>
  <c r="M16" i="111"/>
  <c r="I16" i="111"/>
  <c r="E16" i="111"/>
  <c r="M15" i="111"/>
  <c r="I15" i="111"/>
  <c r="E15" i="111"/>
  <c r="M14" i="111"/>
  <c r="I14" i="111"/>
  <c r="E14" i="111"/>
  <c r="M13" i="111"/>
  <c r="I13" i="111"/>
  <c r="E13" i="111"/>
  <c r="M12" i="111"/>
  <c r="I12" i="111"/>
  <c r="E12" i="111"/>
  <c r="M11" i="111"/>
  <c r="I11" i="111"/>
  <c r="E11" i="111"/>
  <c r="X22" i="100"/>
  <c r="AC26" i="96"/>
  <c r="AA35" i="110"/>
  <c r="W35" i="110"/>
  <c r="Z39" i="110"/>
  <c r="AD38" i="110"/>
  <c r="Z38" i="110"/>
  <c r="V38" i="110"/>
  <c r="X37" i="110"/>
  <c r="AD36" i="110"/>
  <c r="V36" i="110"/>
  <c r="AC35" i="109"/>
  <c r="AC38" i="110"/>
  <c r="K10" i="111"/>
  <c r="G10" i="111"/>
  <c r="T38" i="110"/>
  <c r="AC36" i="110"/>
  <c r="Y35" i="110"/>
  <c r="AC35" i="110"/>
  <c r="U35" i="110"/>
  <c r="U26" i="99"/>
  <c r="Y38" i="110"/>
  <c r="X36" i="110"/>
  <c r="X24" i="99"/>
  <c r="U23" i="99"/>
  <c r="S36" i="105"/>
  <c r="T38" i="109"/>
  <c r="AD38" i="109"/>
  <c r="Z38" i="109"/>
  <c r="Z35" i="110"/>
  <c r="AB38" i="110"/>
  <c r="X35" i="110"/>
  <c r="AB36" i="110"/>
  <c r="X34" i="110"/>
  <c r="W37" i="110"/>
  <c r="AA35" i="109"/>
  <c r="U36" i="110"/>
  <c r="V35" i="109"/>
  <c r="S41" i="110"/>
  <c r="AF32" i="110"/>
  <c r="S35" i="109"/>
  <c r="V24" i="98"/>
  <c r="X23" i="97"/>
  <c r="AD23" i="99"/>
  <c r="AB38" i="109"/>
  <c r="AD35" i="110"/>
  <c r="V35" i="110"/>
  <c r="AA40" i="110"/>
  <c r="Y36" i="110"/>
  <c r="S37" i="110"/>
  <c r="W40" i="110"/>
  <c r="AD36" i="109"/>
  <c r="Z39" i="109"/>
  <c r="S26" i="97"/>
  <c r="AF33" i="110"/>
  <c r="AF31" i="110"/>
  <c r="AB35" i="110"/>
  <c r="X38" i="110"/>
  <c r="AA41" i="110"/>
  <c r="AA42" i="110" s="1"/>
  <c r="W41" i="110"/>
  <c r="AF12" i="109"/>
  <c r="AE33" i="110"/>
  <c r="AE32" i="110"/>
  <c r="AE31" i="110"/>
  <c r="AE30" i="110"/>
  <c r="AE29" i="110"/>
  <c r="AE28" i="110"/>
  <c r="AE27" i="110"/>
  <c r="AE26" i="110"/>
  <c r="AE25" i="110"/>
  <c r="AE24" i="110"/>
  <c r="AE23" i="110"/>
  <c r="AE22" i="110"/>
  <c r="AE21" i="110"/>
  <c r="AE20" i="110"/>
  <c r="AE19" i="110"/>
  <c r="AA37" i="110"/>
  <c r="AD39" i="109"/>
  <c r="Z36" i="109"/>
  <c r="V36" i="109"/>
  <c r="AC38" i="109"/>
  <c r="U35" i="109"/>
  <c r="AD39" i="110"/>
  <c r="Z36" i="110"/>
  <c r="V39" i="110"/>
  <c r="S40" i="110"/>
  <c r="S42" i="110" s="1"/>
  <c r="V38" i="109"/>
  <c r="X35" i="109"/>
  <c r="AA34" i="110"/>
  <c r="W34" i="110"/>
  <c r="S34" i="110"/>
  <c r="AF30" i="110"/>
  <c r="AB39" i="110"/>
  <c r="X40" i="110"/>
  <c r="AF15" i="110"/>
  <c r="AF14" i="110"/>
  <c r="AF13" i="110"/>
  <c r="Z35" i="109"/>
  <c r="AD35" i="109"/>
  <c r="X34" i="109"/>
  <c r="T35" i="110"/>
  <c r="Y38" i="109"/>
  <c r="AC39" i="110"/>
  <c r="U39" i="110"/>
  <c r="AF17" i="110"/>
  <c r="AF16" i="110"/>
  <c r="Z38" i="101"/>
  <c r="Y35" i="109"/>
  <c r="X39" i="110"/>
  <c r="AF11" i="110"/>
  <c r="Y39" i="110"/>
  <c r="AF12" i="110"/>
  <c r="AA38" i="109"/>
  <c r="W38" i="109"/>
  <c r="AF29" i="110"/>
  <c r="AF28" i="110"/>
  <c r="AF27" i="110"/>
  <c r="AF26" i="110"/>
  <c r="AF25" i="110"/>
  <c r="AF24" i="110"/>
  <c r="AF23" i="110"/>
  <c r="AF22" i="110"/>
  <c r="AF18" i="110"/>
  <c r="AF30" i="109"/>
  <c r="X39" i="109"/>
  <c r="X37" i="109"/>
  <c r="X41" i="110"/>
  <c r="AF21" i="110"/>
  <c r="AF20" i="110"/>
  <c r="AF19" i="110"/>
  <c r="AF15" i="109"/>
  <c r="AF14" i="109"/>
  <c r="AF13" i="109"/>
  <c r="AE18" i="110"/>
  <c r="AE17" i="110"/>
  <c r="T39" i="110"/>
  <c r="T36" i="110"/>
  <c r="AD41" i="110"/>
  <c r="AD40" i="110"/>
  <c r="AD37" i="110"/>
  <c r="AD34" i="110"/>
  <c r="Z41" i="110"/>
  <c r="Z40" i="110"/>
  <c r="Z37" i="110"/>
  <c r="Z34" i="110"/>
  <c r="AF17" i="109"/>
  <c r="AF16" i="109"/>
  <c r="AE11" i="110"/>
  <c r="Y41" i="110"/>
  <c r="Y40" i="110"/>
  <c r="Y37" i="110"/>
  <c r="Y34" i="110"/>
  <c r="O106" i="110"/>
  <c r="J108" i="110" s="1"/>
  <c r="AE10" i="110"/>
  <c r="AF10" i="110"/>
  <c r="P106" i="110"/>
  <c r="N107" i="110" s="1"/>
  <c r="T41" i="110"/>
  <c r="T40" i="110"/>
  <c r="T37" i="110"/>
  <c r="T34" i="110"/>
  <c r="AC27" i="99"/>
  <c r="W38" i="101"/>
  <c r="U35" i="101"/>
  <c r="V27" i="95"/>
  <c r="AE33" i="109"/>
  <c r="AE32" i="109"/>
  <c r="AE31" i="109"/>
  <c r="AE30" i="109"/>
  <c r="AE29" i="109"/>
  <c r="AF32" i="109"/>
  <c r="AB35" i="109"/>
  <c r="W35" i="109"/>
  <c r="AF11" i="109"/>
  <c r="S38" i="109"/>
  <c r="AE16" i="110"/>
  <c r="AB41" i="110"/>
  <c r="AB40" i="110"/>
  <c r="AB37" i="110"/>
  <c r="AB34" i="110"/>
  <c r="V41" i="110"/>
  <c r="V40" i="110"/>
  <c r="V37" i="110"/>
  <c r="V34" i="110"/>
  <c r="AE15" i="110"/>
  <c r="AE14" i="110"/>
  <c r="AE13" i="110"/>
  <c r="AE12" i="110"/>
  <c r="AC41" i="110"/>
  <c r="AC40" i="110"/>
  <c r="AC37" i="110"/>
  <c r="AC34" i="110"/>
  <c r="U41" i="110"/>
  <c r="U40" i="110"/>
  <c r="U37" i="110"/>
  <c r="U34" i="110"/>
  <c r="AB36" i="109"/>
  <c r="X36" i="109"/>
  <c r="X40" i="109"/>
  <c r="V23" i="97"/>
  <c r="AD38" i="105"/>
  <c r="AF33" i="109"/>
  <c r="AF31" i="109"/>
  <c r="X38" i="109"/>
  <c r="X41" i="109"/>
  <c r="T35" i="109"/>
  <c r="AF29" i="109"/>
  <c r="AF28" i="109"/>
  <c r="AF27" i="109"/>
  <c r="AF26" i="109"/>
  <c r="AF25" i="109"/>
  <c r="AF24" i="109"/>
  <c r="AF23" i="109"/>
  <c r="AF22" i="109"/>
  <c r="AF18" i="109"/>
  <c r="AF21" i="109"/>
  <c r="AF20" i="109"/>
  <c r="AF19" i="109"/>
  <c r="T39" i="109"/>
  <c r="T36" i="109"/>
  <c r="AD41" i="109"/>
  <c r="AD40" i="109"/>
  <c r="AD37" i="109"/>
  <c r="AD34" i="109"/>
  <c r="Z41" i="109"/>
  <c r="Z40" i="109"/>
  <c r="Z37" i="109"/>
  <c r="Z34" i="109"/>
  <c r="T41" i="109"/>
  <c r="T40" i="109"/>
  <c r="T37" i="109"/>
  <c r="T34" i="109"/>
  <c r="AE15" i="109"/>
  <c r="AE14" i="109"/>
  <c r="AE13" i="109"/>
  <c r="AE12" i="109"/>
  <c r="AE11" i="109"/>
  <c r="AC41" i="109"/>
  <c r="AC40" i="109"/>
  <c r="AC37" i="109"/>
  <c r="AC34" i="109"/>
  <c r="Y41" i="109"/>
  <c r="Y40" i="109"/>
  <c r="Y37" i="109"/>
  <c r="Y34" i="109"/>
  <c r="U41" i="109"/>
  <c r="U40" i="109"/>
  <c r="U37" i="109"/>
  <c r="U34" i="109"/>
  <c r="O106" i="109"/>
  <c r="AE10" i="109"/>
  <c r="AE28" i="109"/>
  <c r="AE27" i="109"/>
  <c r="AE26" i="109"/>
  <c r="AE25" i="109"/>
  <c r="AE24" i="109"/>
  <c r="AE23" i="109"/>
  <c r="AE22" i="109"/>
  <c r="AE21" i="109"/>
  <c r="AE20" i="109"/>
  <c r="AE19" i="109"/>
  <c r="AE18" i="109"/>
  <c r="AE17" i="109"/>
  <c r="AE16" i="109"/>
  <c r="AB41" i="109"/>
  <c r="AB40" i="109"/>
  <c r="AB37" i="109"/>
  <c r="AB34" i="109"/>
  <c r="V41" i="109"/>
  <c r="V40" i="109"/>
  <c r="V37" i="109"/>
  <c r="V34" i="109"/>
  <c r="AF10" i="109"/>
  <c r="P106" i="109"/>
  <c r="J107" i="109" s="1"/>
  <c r="AA41" i="109"/>
  <c r="AA40" i="109"/>
  <c r="AA37" i="109"/>
  <c r="AA34" i="109"/>
  <c r="W41" i="109"/>
  <c r="W40" i="109"/>
  <c r="W37" i="109"/>
  <c r="W34" i="109"/>
  <c r="S41" i="109"/>
  <c r="S40" i="109"/>
  <c r="S37" i="109"/>
  <c r="S34" i="109"/>
  <c r="AA24" i="94"/>
  <c r="AC23" i="96"/>
  <c r="AB36" i="105"/>
  <c r="P16" i="108"/>
  <c r="O56" i="108"/>
  <c r="O11" i="108"/>
  <c r="O57" i="108"/>
  <c r="P40" i="108"/>
  <c r="O35" i="108"/>
  <c r="O10" i="108"/>
  <c r="AA26" i="94"/>
  <c r="P29" i="108"/>
  <c r="O16" i="108"/>
  <c r="P49" i="108"/>
  <c r="P22" i="108"/>
  <c r="O49" i="108"/>
  <c r="P43" i="108"/>
  <c r="O28" i="108"/>
  <c r="O36" i="108"/>
  <c r="O20" i="108"/>
  <c r="P57" i="108"/>
  <c r="P55" i="108"/>
  <c r="P52" i="108"/>
  <c r="P35" i="108"/>
  <c r="P21" i="108"/>
  <c r="O13" i="108"/>
  <c r="P12" i="108"/>
  <c r="O53" i="108"/>
  <c r="O48" i="108"/>
  <c r="P46" i="108"/>
  <c r="O38" i="108"/>
  <c r="P45" i="108"/>
  <c r="P38" i="108"/>
  <c r="P32" i="108"/>
  <c r="O30" i="108"/>
  <c r="O31" i="108"/>
  <c r="P24" i="108"/>
  <c r="P17" i="108"/>
  <c r="O14" i="108"/>
  <c r="O43" i="108"/>
  <c r="P56" i="108"/>
  <c r="O55" i="108"/>
  <c r="P53" i="108"/>
  <c r="P51" i="108"/>
  <c r="P48" i="108"/>
  <c r="O39" i="108"/>
  <c r="P37" i="108"/>
  <c r="P27" i="108"/>
  <c r="P13" i="108"/>
  <c r="O12" i="108"/>
  <c r="P11" i="108"/>
  <c r="P10" i="108"/>
  <c r="O52" i="108"/>
  <c r="P47" i="108"/>
  <c r="P26" i="108"/>
  <c r="U24" i="94"/>
  <c r="AC26" i="94"/>
  <c r="O51" i="108"/>
  <c r="O47" i="108"/>
  <c r="O26" i="108"/>
  <c r="O22" i="108"/>
  <c r="O18" i="108"/>
  <c r="P54" i="108"/>
  <c r="O50" i="108"/>
  <c r="O44" i="108"/>
  <c r="O46" i="108"/>
  <c r="O45" i="108"/>
  <c r="P41" i="108"/>
  <c r="P39" i="108"/>
  <c r="O37" i="108"/>
  <c r="O32" i="108"/>
  <c r="P30" i="108"/>
  <c r="P28" i="108"/>
  <c r="P25" i="108"/>
  <c r="P23" i="108"/>
  <c r="O21" i="108"/>
  <c r="P19" i="108"/>
  <c r="P44" i="108"/>
  <c r="O40" i="108"/>
  <c r="P36" i="108"/>
  <c r="P33" i="108"/>
  <c r="P31" i="108"/>
  <c r="O29" i="108"/>
  <c r="O27" i="108"/>
  <c r="O24" i="108"/>
  <c r="P20" i="108"/>
  <c r="O17" i="108"/>
  <c r="P15" i="108"/>
  <c r="P14" i="108"/>
  <c r="O41" i="108"/>
  <c r="O33" i="108"/>
  <c r="O25" i="108"/>
  <c r="O23" i="108"/>
  <c r="O19" i="108"/>
  <c r="O15" i="108"/>
  <c r="P50" i="108"/>
  <c r="P42" i="108"/>
  <c r="P34" i="108"/>
  <c r="O54" i="108"/>
  <c r="O42" i="108"/>
  <c r="O34" i="108"/>
  <c r="P18" i="108"/>
  <c r="Z38" i="105"/>
  <c r="V38" i="105"/>
  <c r="X38" i="105"/>
  <c r="O57" i="107"/>
  <c r="AC35" i="105"/>
  <c r="U38" i="105"/>
  <c r="O37" i="107"/>
  <c r="P36" i="107"/>
  <c r="P35" i="107"/>
  <c r="O32" i="107"/>
  <c r="P31" i="107"/>
  <c r="P28" i="107"/>
  <c r="O25" i="107"/>
  <c r="O19" i="107"/>
  <c r="P18" i="107"/>
  <c r="O17" i="107"/>
  <c r="O15" i="107"/>
  <c r="P14" i="107"/>
  <c r="P33" i="107"/>
  <c r="O33" i="107"/>
  <c r="O29" i="107"/>
  <c r="O27" i="107"/>
  <c r="P24" i="107"/>
  <c r="P22" i="107"/>
  <c r="O22" i="107"/>
  <c r="O20" i="107"/>
  <c r="O13" i="107"/>
  <c r="O11" i="107"/>
  <c r="P57" i="107"/>
  <c r="P56" i="107"/>
  <c r="O56" i="107"/>
  <c r="P55" i="107"/>
  <c r="O55" i="107"/>
  <c r="P54" i="107"/>
  <c r="O54" i="107"/>
  <c r="P53" i="107"/>
  <c r="O53" i="107"/>
  <c r="O52" i="107"/>
  <c r="P52" i="107"/>
  <c r="O51" i="107"/>
  <c r="P51" i="107"/>
  <c r="O50" i="107"/>
  <c r="P50" i="107"/>
  <c r="P49" i="107"/>
  <c r="O49" i="107"/>
  <c r="P48" i="107"/>
  <c r="O48" i="107"/>
  <c r="P47" i="107"/>
  <c r="O47" i="107"/>
  <c r="O46" i="107"/>
  <c r="P46" i="107"/>
  <c r="P45" i="107"/>
  <c r="O45" i="107"/>
  <c r="O44" i="107"/>
  <c r="P44" i="107"/>
  <c r="O43" i="107"/>
  <c r="P43" i="107"/>
  <c r="O42" i="107"/>
  <c r="P42" i="107"/>
  <c r="P41" i="107"/>
  <c r="O41" i="107"/>
  <c r="P40" i="107"/>
  <c r="P39" i="107"/>
  <c r="O38" i="107"/>
  <c r="P37" i="107"/>
  <c r="O36" i="107"/>
  <c r="O35" i="107"/>
  <c r="O34" i="107"/>
  <c r="P32" i="107"/>
  <c r="O31" i="107"/>
  <c r="P29" i="107"/>
  <c r="O28" i="107"/>
  <c r="P27" i="107"/>
  <c r="P25" i="107"/>
  <c r="O24" i="107"/>
  <c r="P23" i="107"/>
  <c r="P21" i="107"/>
  <c r="P17" i="107"/>
  <c r="O40" i="107"/>
  <c r="P20" i="107"/>
  <c r="P19" i="107"/>
  <c r="P16" i="107"/>
  <c r="P15" i="107"/>
  <c r="P13" i="107"/>
  <c r="P12" i="107"/>
  <c r="P11" i="107"/>
  <c r="O39" i="107"/>
  <c r="O26" i="107"/>
  <c r="O23" i="107"/>
  <c r="O21" i="107"/>
  <c r="O18" i="107"/>
  <c r="O16" i="107"/>
  <c r="O14" i="107"/>
  <c r="O12" i="107"/>
  <c r="P26" i="107"/>
  <c r="P38" i="107"/>
  <c r="P30" i="107"/>
  <c r="P34" i="107"/>
  <c r="O30" i="107"/>
  <c r="AB38" i="105"/>
  <c r="T38" i="105"/>
  <c r="P10" i="107"/>
  <c r="O10" i="107"/>
  <c r="X35" i="105"/>
  <c r="AC23" i="95"/>
  <c r="U23" i="96"/>
  <c r="AA35" i="105"/>
  <c r="AD26" i="98"/>
  <c r="U35" i="105"/>
  <c r="AB35" i="105"/>
  <c r="T35" i="105"/>
  <c r="AE12" i="105"/>
  <c r="AF33" i="105"/>
  <c r="AF31" i="105"/>
  <c r="AF13" i="105"/>
  <c r="AC38" i="105"/>
  <c r="AA38" i="105"/>
  <c r="W38" i="105"/>
  <c r="W35" i="105"/>
  <c r="S35" i="105"/>
  <c r="AF11" i="105"/>
  <c r="AF32" i="105"/>
  <c r="Y35" i="105"/>
  <c r="AF15" i="105"/>
  <c r="AF30" i="105"/>
  <c r="AF29" i="105"/>
  <c r="AF28" i="105"/>
  <c r="AF27" i="105"/>
  <c r="AF26" i="105"/>
  <c r="AF25" i="105"/>
  <c r="AF24" i="105"/>
  <c r="AF23" i="105"/>
  <c r="AF22" i="105"/>
  <c r="AF21" i="105"/>
  <c r="AF20" i="105"/>
  <c r="AF19" i="105"/>
  <c r="AF18" i="105"/>
  <c r="AF17" i="105"/>
  <c r="AF16" i="105"/>
  <c r="AF14" i="105"/>
  <c r="AD35" i="105"/>
  <c r="Z35" i="105"/>
  <c r="V35" i="105"/>
  <c r="AF12" i="105"/>
  <c r="AD41" i="105"/>
  <c r="AD40" i="105"/>
  <c r="AD37" i="105"/>
  <c r="AD34" i="105"/>
  <c r="Z41" i="105"/>
  <c r="Z40" i="105"/>
  <c r="Z37" i="105"/>
  <c r="Z34" i="105"/>
  <c r="AE28" i="105"/>
  <c r="AE27" i="105"/>
  <c r="AE26" i="105"/>
  <c r="AE25" i="105"/>
  <c r="AE24" i="105"/>
  <c r="AE23" i="105"/>
  <c r="AE22" i="105"/>
  <c r="AE21" i="105"/>
  <c r="AE20" i="105"/>
  <c r="AE19" i="105"/>
  <c r="AE18" i="105"/>
  <c r="AE17" i="105"/>
  <c r="AE16" i="105"/>
  <c r="AE15" i="105"/>
  <c r="AE14" i="105"/>
  <c r="AE13" i="105"/>
  <c r="AE11" i="105"/>
  <c r="AC41" i="105"/>
  <c r="AC40" i="105"/>
  <c r="AC37" i="105"/>
  <c r="AC34" i="105"/>
  <c r="Y41" i="105"/>
  <c r="Y40" i="105"/>
  <c r="Y37" i="105"/>
  <c r="Y34" i="105"/>
  <c r="W41" i="105"/>
  <c r="W40" i="105"/>
  <c r="W37" i="105"/>
  <c r="W34" i="105"/>
  <c r="U41" i="105"/>
  <c r="U40" i="105"/>
  <c r="U37" i="105"/>
  <c r="U34" i="105"/>
  <c r="O106" i="105"/>
  <c r="G108" i="105" s="1"/>
  <c r="AE10" i="105"/>
  <c r="P106" i="105"/>
  <c r="G107" i="105" s="1"/>
  <c r="AF10" i="105"/>
  <c r="V41" i="105"/>
  <c r="V40" i="105"/>
  <c r="V37" i="105"/>
  <c r="V34" i="105"/>
  <c r="T41" i="105"/>
  <c r="T40" i="105"/>
  <c r="T37" i="105"/>
  <c r="T34" i="105"/>
  <c r="AE33" i="105"/>
  <c r="AE32" i="105"/>
  <c r="AE31" i="105"/>
  <c r="AE30" i="105"/>
  <c r="AE29" i="105"/>
  <c r="AB41" i="105"/>
  <c r="AB40" i="105"/>
  <c r="AB37" i="105"/>
  <c r="AB34" i="105"/>
  <c r="X41" i="105"/>
  <c r="X40" i="105"/>
  <c r="X37" i="105"/>
  <c r="X34" i="105"/>
  <c r="AA41" i="105"/>
  <c r="AA40" i="105"/>
  <c r="AA37" i="105"/>
  <c r="AA34" i="105"/>
  <c r="S41" i="105"/>
  <c r="S40" i="105"/>
  <c r="S37" i="105"/>
  <c r="S34" i="105"/>
  <c r="AD24" i="98"/>
  <c r="AC26" i="98"/>
  <c r="AA23" i="100"/>
  <c r="O106" i="101"/>
  <c r="C108" i="101" s="1"/>
  <c r="Y24" i="99"/>
  <c r="P106" i="101"/>
  <c r="U26" i="96"/>
  <c r="AB23" i="97"/>
  <c r="W26" i="99"/>
  <c r="U26" i="94"/>
  <c r="V26" i="98"/>
  <c r="U23" i="95"/>
  <c r="V41" i="101"/>
  <c r="AB41" i="101"/>
  <c r="X41" i="101"/>
  <c r="T41" i="101"/>
  <c r="W41" i="101"/>
  <c r="AC41" i="101"/>
  <c r="U41" i="101"/>
  <c r="AD41" i="101"/>
  <c r="Z41" i="101"/>
  <c r="AA41" i="101"/>
  <c r="Y41" i="101"/>
  <c r="S41" i="101"/>
  <c r="AE30" i="101"/>
  <c r="AE31" i="101"/>
  <c r="AE32" i="101"/>
  <c r="AE33" i="101"/>
  <c r="AF22" i="101"/>
  <c r="AF23" i="101"/>
  <c r="AF24" i="101"/>
  <c r="AF26" i="101"/>
  <c r="AF27" i="101"/>
  <c r="AF29" i="101"/>
  <c r="AF30" i="101"/>
  <c r="AF31" i="101"/>
  <c r="AE22" i="101"/>
  <c r="AE23" i="101"/>
  <c r="AE24" i="101"/>
  <c r="AE25" i="101"/>
  <c r="AE26" i="101"/>
  <c r="AE27" i="101"/>
  <c r="AE28" i="101"/>
  <c r="AE29" i="101"/>
  <c r="AB23" i="95"/>
  <c r="Y24" i="100"/>
  <c r="AB26" i="95"/>
  <c r="Z24" i="95"/>
  <c r="V23" i="99"/>
  <c r="V23" i="98"/>
  <c r="Z27" i="98"/>
  <c r="T24" i="98"/>
  <c r="Y27" i="94"/>
  <c r="Y23" i="96"/>
  <c r="Y26" i="94"/>
  <c r="Y23" i="95"/>
  <c r="AF13" i="104"/>
  <c r="W23" i="96"/>
  <c r="AA26" i="96"/>
  <c r="Y26" i="97"/>
  <c r="AD26" i="96"/>
  <c r="AC23" i="94"/>
  <c r="W27" i="98"/>
  <c r="V24" i="95"/>
  <c r="Y27" i="96"/>
  <c r="Z23" i="95"/>
  <c r="AC27" i="94"/>
  <c r="AA23" i="94"/>
  <c r="X26" i="95"/>
  <c r="X38" i="101"/>
  <c r="Y23" i="94"/>
  <c r="Y38" i="101"/>
  <c r="W26" i="94"/>
  <c r="X35" i="101"/>
  <c r="AB38" i="101"/>
  <c r="T38" i="101"/>
  <c r="AB35" i="101"/>
  <c r="T35" i="101"/>
  <c r="U23" i="94"/>
  <c r="AC24" i="104"/>
  <c r="W28" i="104"/>
  <c r="V23" i="95"/>
  <c r="W23" i="104"/>
  <c r="X25" i="104"/>
  <c r="S24" i="104"/>
  <c r="AB25" i="104"/>
  <c r="W23" i="94"/>
  <c r="U24" i="104"/>
  <c r="AC23" i="104"/>
  <c r="S25" i="104"/>
  <c r="AA26" i="103"/>
  <c r="Y26" i="103"/>
  <c r="W25" i="104"/>
  <c r="W27" i="104"/>
  <c r="W26" i="104"/>
  <c r="AC27" i="104"/>
  <c r="U23" i="104"/>
  <c r="AF16" i="103"/>
  <c r="AC26" i="103"/>
  <c r="U26" i="103"/>
  <c r="AF12" i="104"/>
  <c r="AA28" i="104"/>
  <c r="AF11" i="104"/>
  <c r="AB22" i="104"/>
  <c r="T22" i="104"/>
  <c r="AB23" i="103"/>
  <c r="T23" i="103"/>
  <c r="W24" i="104"/>
  <c r="X22" i="104"/>
  <c r="AA38" i="101"/>
  <c r="T25" i="104"/>
  <c r="W22" i="104"/>
  <c r="S28" i="104"/>
  <c r="AA25" i="104"/>
  <c r="S27" i="104"/>
  <c r="Y27" i="104"/>
  <c r="W26" i="103"/>
  <c r="AC38" i="101"/>
  <c r="Y35" i="101"/>
  <c r="U38" i="101"/>
  <c r="AF18" i="104"/>
  <c r="AA22" i="104"/>
  <c r="S22" i="104"/>
  <c r="AC26" i="104"/>
  <c r="U26" i="104"/>
  <c r="Y23" i="103"/>
  <c r="U23" i="103"/>
  <c r="AF14" i="103"/>
  <c r="S26" i="104"/>
  <c r="AC23" i="103"/>
  <c r="AF15" i="103"/>
  <c r="AA23" i="103"/>
  <c r="W23" i="103"/>
  <c r="AF20" i="104"/>
  <c r="AF16" i="104"/>
  <c r="Y23" i="100"/>
  <c r="AE15" i="103"/>
  <c r="AF21" i="104"/>
  <c r="AF19" i="104"/>
  <c r="Y24" i="104"/>
  <c r="AF17" i="104"/>
  <c r="AF15" i="104"/>
  <c r="Y26" i="104"/>
  <c r="AD23" i="104"/>
  <c r="Z26" i="104"/>
  <c r="V23" i="104"/>
  <c r="Z23" i="104"/>
  <c r="AF13" i="103"/>
  <c r="AF12" i="103"/>
  <c r="AF11" i="103"/>
  <c r="W28" i="100"/>
  <c r="AB26" i="99"/>
  <c r="T26" i="99"/>
  <c r="AF13" i="100"/>
  <c r="Z35" i="101"/>
  <c r="AB23" i="104"/>
  <c r="X26" i="104"/>
  <c r="T28" i="104"/>
  <c r="Y23" i="104"/>
  <c r="AF14" i="104"/>
  <c r="AD26" i="104"/>
  <c r="V26" i="104"/>
  <c r="S23" i="104"/>
  <c r="AF17" i="103"/>
  <c r="AF21" i="103"/>
  <c r="AF20" i="103"/>
  <c r="AF19" i="103"/>
  <c r="AF18" i="103"/>
  <c r="U27" i="104"/>
  <c r="Z28" i="104"/>
  <c r="Z25" i="104"/>
  <c r="Z22" i="104"/>
  <c r="AB27" i="104"/>
  <c r="AB24" i="104"/>
  <c r="X27" i="104"/>
  <c r="X24" i="104"/>
  <c r="T24" i="104"/>
  <c r="T27" i="104"/>
  <c r="AE13" i="104"/>
  <c r="Y28" i="104"/>
  <c r="Y25" i="104"/>
  <c r="Y22" i="104"/>
  <c r="O58" i="104"/>
  <c r="L60" i="104" s="1"/>
  <c r="AE10" i="104"/>
  <c r="AF10" i="104"/>
  <c r="P58" i="104"/>
  <c r="L59" i="104" s="1"/>
  <c r="AD28" i="103"/>
  <c r="AD25" i="103"/>
  <c r="AD22" i="103"/>
  <c r="Z28" i="103"/>
  <c r="Z25" i="103"/>
  <c r="Z22" i="103"/>
  <c r="V28" i="103"/>
  <c r="V25" i="103"/>
  <c r="V22" i="103"/>
  <c r="X28" i="104"/>
  <c r="X23" i="104"/>
  <c r="AE21" i="103"/>
  <c r="AE20" i="103"/>
  <c r="AE19" i="103"/>
  <c r="AE18" i="103"/>
  <c r="AE17" i="103"/>
  <c r="S26" i="103"/>
  <c r="S23" i="103"/>
  <c r="W28" i="103"/>
  <c r="W25" i="103"/>
  <c r="W22" i="103"/>
  <c r="Y28" i="103"/>
  <c r="Y25" i="103"/>
  <c r="Y22" i="103"/>
  <c r="O58" i="103"/>
  <c r="C60" i="103" s="1"/>
  <c r="AE10" i="103"/>
  <c r="AC26" i="99"/>
  <c r="AE21" i="104"/>
  <c r="AE20" i="104"/>
  <c r="AE19" i="104"/>
  <c r="AE18" i="104"/>
  <c r="AE17" i="104"/>
  <c r="AE16" i="104"/>
  <c r="AE15" i="104"/>
  <c r="AE14" i="104"/>
  <c r="AD28" i="104"/>
  <c r="AD25" i="104"/>
  <c r="AD22" i="104"/>
  <c r="V28" i="104"/>
  <c r="V25" i="104"/>
  <c r="V22" i="104"/>
  <c r="AD27" i="104"/>
  <c r="AD24" i="104"/>
  <c r="Z27" i="104"/>
  <c r="Z24" i="104"/>
  <c r="V27" i="104"/>
  <c r="V24" i="104"/>
  <c r="AB28" i="104"/>
  <c r="AB26" i="104"/>
  <c r="AE12" i="104"/>
  <c r="AE11" i="104"/>
  <c r="AC28" i="104"/>
  <c r="AC25" i="104"/>
  <c r="AC22" i="104"/>
  <c r="U28" i="104"/>
  <c r="U25" i="104"/>
  <c r="U22" i="104"/>
  <c r="AB28" i="103"/>
  <c r="AB25" i="103"/>
  <c r="AB22" i="103"/>
  <c r="X28" i="103"/>
  <c r="X25" i="103"/>
  <c r="X22" i="103"/>
  <c r="T28" i="103"/>
  <c r="T25" i="103"/>
  <c r="T22" i="103"/>
  <c r="T23" i="104"/>
  <c r="T26" i="104"/>
  <c r="AE16" i="103"/>
  <c r="AA28" i="103"/>
  <c r="AA25" i="103"/>
  <c r="AA22" i="103"/>
  <c r="S28" i="103"/>
  <c r="S25" i="103"/>
  <c r="S22" i="103"/>
  <c r="AE14" i="103"/>
  <c r="AE13" i="103"/>
  <c r="AE12" i="103"/>
  <c r="AE11" i="103"/>
  <c r="AC28" i="103"/>
  <c r="AC25" i="103"/>
  <c r="AC22" i="103"/>
  <c r="U28" i="103"/>
  <c r="U25" i="103"/>
  <c r="U22" i="103"/>
  <c r="P58" i="103"/>
  <c r="AF10" i="103"/>
  <c r="AC24" i="100"/>
  <c r="U24" i="100"/>
  <c r="AC23" i="100"/>
  <c r="U23" i="100"/>
  <c r="T25" i="100"/>
  <c r="AB23" i="99"/>
  <c r="T23" i="99"/>
  <c r="AA22" i="100"/>
  <c r="X26" i="99"/>
  <c r="W27" i="100"/>
  <c r="AF15" i="101"/>
  <c r="AF14" i="101"/>
  <c r="AF13" i="101"/>
  <c r="AF12" i="101"/>
  <c r="AF11" i="101"/>
  <c r="X23" i="99"/>
  <c r="X25" i="100"/>
  <c r="AA25" i="100"/>
  <c r="S24" i="100"/>
  <c r="AF21" i="101"/>
  <c r="AF20" i="101"/>
  <c r="AF19" i="101"/>
  <c r="AF18" i="101"/>
  <c r="AF17" i="101"/>
  <c r="AF16" i="101"/>
  <c r="AB40" i="101"/>
  <c r="AB37" i="101"/>
  <c r="AB34" i="101"/>
  <c r="X40" i="101"/>
  <c r="X37" i="101"/>
  <c r="X34" i="101"/>
  <c r="T40" i="101"/>
  <c r="T37" i="101"/>
  <c r="T34" i="101"/>
  <c r="AE21" i="101"/>
  <c r="AE20" i="101"/>
  <c r="AE19" i="101"/>
  <c r="AE18" i="101"/>
  <c r="AE17" i="101"/>
  <c r="AE16" i="101"/>
  <c r="AE15" i="101"/>
  <c r="S38" i="101"/>
  <c r="S35" i="101"/>
  <c r="W40" i="101"/>
  <c r="W37" i="101"/>
  <c r="W34" i="101"/>
  <c r="AE14" i="101"/>
  <c r="AE13" i="101"/>
  <c r="AE12" i="101"/>
  <c r="AE11" i="101"/>
  <c r="AC40" i="101"/>
  <c r="AC37" i="101"/>
  <c r="AC34" i="101"/>
  <c r="U40" i="101"/>
  <c r="U37" i="101"/>
  <c r="U34" i="101"/>
  <c r="AF10" i="101"/>
  <c r="S23" i="98"/>
  <c r="Z23" i="99"/>
  <c r="Y23" i="99"/>
  <c r="S22" i="100"/>
  <c r="W26" i="100"/>
  <c r="AD40" i="101"/>
  <c r="AD37" i="101"/>
  <c r="AD34" i="101"/>
  <c r="Z40" i="101"/>
  <c r="Z37" i="101"/>
  <c r="Z34" i="101"/>
  <c r="V40" i="101"/>
  <c r="V37" i="101"/>
  <c r="V34" i="101"/>
  <c r="AA40" i="101"/>
  <c r="AA37" i="101"/>
  <c r="AA34" i="101"/>
  <c r="S40" i="101"/>
  <c r="S37" i="101"/>
  <c r="S34" i="101"/>
  <c r="Y40" i="101"/>
  <c r="Y37" i="101"/>
  <c r="Y34" i="101"/>
  <c r="AE10" i="101"/>
  <c r="AE12" i="97"/>
  <c r="Y27" i="100"/>
  <c r="Y26" i="100"/>
  <c r="AF13" i="96"/>
  <c r="AE19" i="96"/>
  <c r="AE17" i="96"/>
  <c r="AE15" i="96"/>
  <c r="S23" i="96"/>
  <c r="T25" i="94"/>
  <c r="AE18" i="96"/>
  <c r="S23" i="97"/>
  <c r="AB25" i="100"/>
  <c r="W23" i="100"/>
  <c r="AA28" i="100"/>
  <c r="AA23" i="99"/>
  <c r="W23" i="99"/>
  <c r="AF12" i="100"/>
  <c r="W25" i="100"/>
  <c r="S28" i="100"/>
  <c r="AF11" i="100"/>
  <c r="W24" i="100"/>
  <c r="S23" i="100"/>
  <c r="X25" i="94"/>
  <c r="S26" i="100"/>
  <c r="AE16" i="96"/>
  <c r="AE21" i="96"/>
  <c r="AF11" i="98"/>
  <c r="AE18" i="97"/>
  <c r="AE19" i="98"/>
  <c r="AE21" i="100"/>
  <c r="AE20" i="100"/>
  <c r="AE19" i="100"/>
  <c r="AE18" i="100"/>
  <c r="AE17" i="100"/>
  <c r="AE16" i="100"/>
  <c r="AE15" i="100"/>
  <c r="AF20" i="100"/>
  <c r="AF18" i="100"/>
  <c r="AF16" i="100"/>
  <c r="AB23" i="100"/>
  <c r="W22" i="100"/>
  <c r="AC27" i="100"/>
  <c r="AC26" i="100"/>
  <c r="U26" i="100"/>
  <c r="S27" i="100"/>
  <c r="S25" i="100"/>
  <c r="AF14" i="99"/>
  <c r="AE20" i="96"/>
  <c r="AE14" i="96"/>
  <c r="S23" i="95"/>
  <c r="S25" i="94"/>
  <c r="X23" i="100"/>
  <c r="AB28" i="100"/>
  <c r="AF21" i="99"/>
  <c r="AF20" i="99"/>
  <c r="AF19" i="99"/>
  <c r="AF18" i="99"/>
  <c r="AF17" i="99"/>
  <c r="U27" i="100"/>
  <c r="AF16" i="99"/>
  <c r="AF15" i="99"/>
  <c r="AF13" i="99"/>
  <c r="AF12" i="99"/>
  <c r="AF11" i="99"/>
  <c r="AE15" i="98"/>
  <c r="AF13" i="94"/>
  <c r="S23" i="94"/>
  <c r="X22" i="94"/>
  <c r="AE21" i="98"/>
  <c r="AE18" i="98"/>
  <c r="AE16" i="98"/>
  <c r="AE14" i="98"/>
  <c r="AF21" i="100"/>
  <c r="AF19" i="100"/>
  <c r="AF17" i="100"/>
  <c r="AD26" i="100"/>
  <c r="Z23" i="100"/>
  <c r="V26" i="100"/>
  <c r="AF15" i="100"/>
  <c r="AB26" i="100"/>
  <c r="X26" i="100"/>
  <c r="AF14" i="100"/>
  <c r="AE20" i="98"/>
  <c r="AE17" i="98"/>
  <c r="AE11" i="97"/>
  <c r="AE14" i="100"/>
  <c r="AD28" i="100"/>
  <c r="AD25" i="100"/>
  <c r="AD22" i="100"/>
  <c r="V28" i="100"/>
  <c r="V25" i="100"/>
  <c r="V22" i="100"/>
  <c r="AD27" i="100"/>
  <c r="AD24" i="100"/>
  <c r="Z27" i="100"/>
  <c r="Z24" i="100"/>
  <c r="V27" i="100"/>
  <c r="V24" i="100"/>
  <c r="AE12" i="100"/>
  <c r="AE11" i="100"/>
  <c r="AC28" i="100"/>
  <c r="AC25" i="100"/>
  <c r="AC22" i="100"/>
  <c r="U28" i="100"/>
  <c r="U25" i="100"/>
  <c r="U22" i="100"/>
  <c r="AB28" i="99"/>
  <c r="AB25" i="99"/>
  <c r="AB22" i="99"/>
  <c r="X28" i="99"/>
  <c r="X25" i="99"/>
  <c r="X22" i="99"/>
  <c r="T28" i="99"/>
  <c r="T25" i="99"/>
  <c r="T22" i="99"/>
  <c r="AD23" i="100"/>
  <c r="Z26" i="100"/>
  <c r="V23" i="100"/>
  <c r="T23" i="100"/>
  <c r="T26" i="100"/>
  <c r="S26" i="99"/>
  <c r="S23" i="99"/>
  <c r="W28" i="99"/>
  <c r="W25" i="99"/>
  <c r="W22" i="99"/>
  <c r="Y28" i="99"/>
  <c r="Y25" i="99"/>
  <c r="Y22" i="99"/>
  <c r="O58" i="99"/>
  <c r="C60" i="99" s="1"/>
  <c r="AE10" i="99"/>
  <c r="AA25" i="94"/>
  <c r="AF12" i="95"/>
  <c r="S24" i="96"/>
  <c r="S26" i="96"/>
  <c r="AF20" i="98"/>
  <c r="AF13" i="98"/>
  <c r="AF19" i="97"/>
  <c r="AE16" i="97"/>
  <c r="Z28" i="100"/>
  <c r="Z25" i="100"/>
  <c r="Z22" i="100"/>
  <c r="AB27" i="100"/>
  <c r="AB24" i="100"/>
  <c r="X27" i="100"/>
  <c r="X24" i="100"/>
  <c r="T24" i="100"/>
  <c r="T27" i="100"/>
  <c r="T28" i="100"/>
  <c r="AE13" i="100"/>
  <c r="Y28" i="100"/>
  <c r="Y25" i="100"/>
  <c r="Y22" i="100"/>
  <c r="O58" i="100"/>
  <c r="AE10" i="100"/>
  <c r="AF10" i="100"/>
  <c r="P58" i="100"/>
  <c r="H59" i="100" s="1"/>
  <c r="AD28" i="99"/>
  <c r="AD25" i="99"/>
  <c r="AD22" i="99"/>
  <c r="Z28" i="99"/>
  <c r="Z25" i="99"/>
  <c r="Z22" i="99"/>
  <c r="V28" i="99"/>
  <c r="V25" i="99"/>
  <c r="V22" i="99"/>
  <c r="X28" i="100"/>
  <c r="AE21" i="99"/>
  <c r="AE20" i="99"/>
  <c r="AE19" i="99"/>
  <c r="AE18" i="99"/>
  <c r="AE17" i="99"/>
  <c r="AE16" i="99"/>
  <c r="AE15" i="99"/>
  <c r="AA28" i="99"/>
  <c r="AA25" i="99"/>
  <c r="AA22" i="99"/>
  <c r="S28" i="99"/>
  <c r="S25" i="99"/>
  <c r="S22" i="99"/>
  <c r="AE14" i="99"/>
  <c r="AE13" i="99"/>
  <c r="AE12" i="99"/>
  <c r="AE11" i="99"/>
  <c r="AC28" i="99"/>
  <c r="AC25" i="99"/>
  <c r="AC22" i="99"/>
  <c r="U28" i="99"/>
  <c r="U25" i="99"/>
  <c r="U22" i="99"/>
  <c r="P58" i="99"/>
  <c r="AF10" i="99"/>
  <c r="AF12" i="98"/>
  <c r="S24" i="98"/>
  <c r="AE17" i="97"/>
  <c r="AE15" i="97"/>
  <c r="AE14" i="97"/>
  <c r="AE13" i="97"/>
  <c r="AF18" i="97"/>
  <c r="S27" i="98"/>
  <c r="AB22" i="94"/>
  <c r="T22" i="94"/>
  <c r="AF18" i="98"/>
  <c r="AF19" i="98"/>
  <c r="AE21" i="97"/>
  <c r="AE20" i="97"/>
  <c r="AE19" i="97"/>
  <c r="S26" i="98"/>
  <c r="AF21" i="98"/>
  <c r="AF17" i="98"/>
  <c r="AF16" i="98"/>
  <c r="AF15" i="98"/>
  <c r="AF14" i="98"/>
  <c r="AD28" i="98"/>
  <c r="AD25" i="98"/>
  <c r="AD22" i="98"/>
  <c r="Z28" i="98"/>
  <c r="Z25" i="98"/>
  <c r="Z22" i="98"/>
  <c r="V28" i="98"/>
  <c r="V25" i="98"/>
  <c r="V22" i="98"/>
  <c r="P58" i="98"/>
  <c r="AF10" i="98"/>
  <c r="AA28" i="98"/>
  <c r="AA25" i="98"/>
  <c r="AA22" i="98"/>
  <c r="W28" i="98"/>
  <c r="W25" i="98"/>
  <c r="W22" i="98"/>
  <c r="S28" i="98"/>
  <c r="S25" i="98"/>
  <c r="S22" i="98"/>
  <c r="AF21" i="97"/>
  <c r="AF20" i="97"/>
  <c r="AC28" i="97"/>
  <c r="AC25" i="97"/>
  <c r="AC22" i="97"/>
  <c r="Y28" i="97"/>
  <c r="Y25" i="97"/>
  <c r="Y22" i="97"/>
  <c r="U28" i="97"/>
  <c r="U25" i="97"/>
  <c r="U22" i="97"/>
  <c r="O58" i="97"/>
  <c r="AE10" i="97"/>
  <c r="AB28" i="97"/>
  <c r="AB25" i="97"/>
  <c r="AB22" i="97"/>
  <c r="X28" i="97"/>
  <c r="X25" i="97"/>
  <c r="X22" i="97"/>
  <c r="T28" i="97"/>
  <c r="T25" i="97"/>
  <c r="T22" i="97"/>
  <c r="AF12" i="96"/>
  <c r="W25" i="94"/>
  <c r="AB28" i="98"/>
  <c r="AB25" i="98"/>
  <c r="AB22" i="98"/>
  <c r="X28" i="98"/>
  <c r="X25" i="98"/>
  <c r="X22" i="98"/>
  <c r="T28" i="98"/>
  <c r="T25" i="98"/>
  <c r="T22" i="98"/>
  <c r="AE13" i="98"/>
  <c r="AE12" i="98"/>
  <c r="AE11" i="98"/>
  <c r="AC28" i="98"/>
  <c r="AC25" i="98"/>
  <c r="AC22" i="98"/>
  <c r="Y28" i="98"/>
  <c r="Y25" i="98"/>
  <c r="Y22" i="98"/>
  <c r="U28" i="98"/>
  <c r="U25" i="98"/>
  <c r="U22" i="98"/>
  <c r="O58" i="98"/>
  <c r="AE10" i="98"/>
  <c r="AF17" i="97"/>
  <c r="AA28" i="97"/>
  <c r="AA25" i="97"/>
  <c r="AA22" i="97"/>
  <c r="W28" i="97"/>
  <c r="W25" i="97"/>
  <c r="W22" i="97"/>
  <c r="S28" i="97"/>
  <c r="S25" i="97"/>
  <c r="S22" i="97"/>
  <c r="AF16" i="97"/>
  <c r="AF15" i="97"/>
  <c r="AF14" i="97"/>
  <c r="AF13" i="97"/>
  <c r="AF12" i="97"/>
  <c r="AF11" i="97"/>
  <c r="AD28" i="97"/>
  <c r="AD25" i="97"/>
  <c r="AD22" i="97"/>
  <c r="Z28" i="97"/>
  <c r="Z25" i="97"/>
  <c r="Z22" i="97"/>
  <c r="V28" i="97"/>
  <c r="V25" i="97"/>
  <c r="V22" i="97"/>
  <c r="P58" i="97"/>
  <c r="AF10" i="97"/>
  <c r="AE21" i="95"/>
  <c r="AE20" i="95"/>
  <c r="AB25" i="94"/>
  <c r="W22" i="94"/>
  <c r="AF11" i="94"/>
  <c r="W28" i="94"/>
  <c r="AE19" i="95"/>
  <c r="AE17" i="95"/>
  <c r="AE18" i="95"/>
  <c r="AF15" i="95"/>
  <c r="AF14" i="95"/>
  <c r="AF13" i="95"/>
  <c r="AF11" i="96"/>
  <c r="S27" i="95"/>
  <c r="S28" i="94"/>
  <c r="AA28" i="94"/>
  <c r="AF12" i="94"/>
  <c r="AF16" i="95"/>
  <c r="AF21" i="95"/>
  <c r="AF20" i="95"/>
  <c r="S26" i="95"/>
  <c r="AF20" i="94"/>
  <c r="AF18" i="94"/>
  <c r="AF16" i="94"/>
  <c r="AF14" i="94"/>
  <c r="AA22" i="94"/>
  <c r="S22" i="94"/>
  <c r="S24" i="95"/>
  <c r="AF11" i="95"/>
  <c r="S27" i="96"/>
  <c r="AF21" i="96"/>
  <c r="AF20" i="96"/>
  <c r="AF19" i="96"/>
  <c r="AF18" i="96"/>
  <c r="AF17" i="96"/>
  <c r="AF16" i="96"/>
  <c r="AF15" i="96"/>
  <c r="AF14" i="96"/>
  <c r="AD28" i="96"/>
  <c r="AD25" i="96"/>
  <c r="AD22" i="96"/>
  <c r="Z28" i="96"/>
  <c r="Z25" i="96"/>
  <c r="Z22" i="96"/>
  <c r="V28" i="96"/>
  <c r="V25" i="96"/>
  <c r="V22" i="96"/>
  <c r="P58" i="96"/>
  <c r="AF10" i="96"/>
  <c r="AA28" i="96"/>
  <c r="AA25" i="96"/>
  <c r="AA22" i="96"/>
  <c r="W28" i="96"/>
  <c r="W25" i="96"/>
  <c r="W22" i="96"/>
  <c r="S28" i="96"/>
  <c r="S25" i="96"/>
  <c r="S22" i="96"/>
  <c r="AB28" i="95"/>
  <c r="AB25" i="95"/>
  <c r="AB22" i="95"/>
  <c r="X28" i="95"/>
  <c r="X25" i="95"/>
  <c r="X22" i="95"/>
  <c r="T28" i="95"/>
  <c r="T25" i="95"/>
  <c r="T22" i="95"/>
  <c r="AE13" i="95"/>
  <c r="AE12" i="95"/>
  <c r="AE11" i="95"/>
  <c r="AC28" i="95"/>
  <c r="AC25" i="95"/>
  <c r="AC22" i="95"/>
  <c r="Y28" i="95"/>
  <c r="Y25" i="95"/>
  <c r="Y22" i="95"/>
  <c r="U28" i="95"/>
  <c r="U25" i="95"/>
  <c r="U22" i="95"/>
  <c r="O58" i="95"/>
  <c r="AE10" i="95"/>
  <c r="AB28" i="96"/>
  <c r="AB25" i="96"/>
  <c r="AB22" i="96"/>
  <c r="X28" i="96"/>
  <c r="X25" i="96"/>
  <c r="X22" i="96"/>
  <c r="T28" i="96"/>
  <c r="T25" i="96"/>
  <c r="T22" i="96"/>
  <c r="AE13" i="96"/>
  <c r="AE12" i="96"/>
  <c r="AE11" i="96"/>
  <c r="AC28" i="96"/>
  <c r="AC25" i="96"/>
  <c r="AC22" i="96"/>
  <c r="Y28" i="96"/>
  <c r="Y25" i="96"/>
  <c r="Y22" i="96"/>
  <c r="U28" i="96"/>
  <c r="U25" i="96"/>
  <c r="U22" i="96"/>
  <c r="O58" i="96"/>
  <c r="AE10" i="96"/>
  <c r="AF19" i="95"/>
  <c r="AF18" i="95"/>
  <c r="AF17" i="95"/>
  <c r="AD28" i="95"/>
  <c r="AD25" i="95"/>
  <c r="AD22" i="95"/>
  <c r="Z28" i="95"/>
  <c r="Z25" i="95"/>
  <c r="Z22" i="95"/>
  <c r="V28" i="95"/>
  <c r="V25" i="95"/>
  <c r="V22" i="95"/>
  <c r="P58" i="95"/>
  <c r="AF10" i="95"/>
  <c r="AE16" i="95"/>
  <c r="AE15" i="95"/>
  <c r="AE14" i="95"/>
  <c r="AA28" i="95"/>
  <c r="AA25" i="95"/>
  <c r="AA22" i="95"/>
  <c r="W28" i="95"/>
  <c r="W25" i="95"/>
  <c r="W22" i="95"/>
  <c r="S28" i="95"/>
  <c r="S25" i="95"/>
  <c r="S22" i="95"/>
  <c r="AB23" i="94"/>
  <c r="X26" i="94"/>
  <c r="AB28" i="94"/>
  <c r="X28" i="94"/>
  <c r="X23" i="94"/>
  <c r="AF21" i="94"/>
  <c r="AF19" i="94"/>
  <c r="AF17" i="94"/>
  <c r="AD23" i="94"/>
  <c r="Z26" i="94"/>
  <c r="V23" i="94"/>
  <c r="AF15" i="94"/>
  <c r="AB26" i="94"/>
  <c r="T28" i="94"/>
  <c r="Z28" i="94"/>
  <c r="Z25" i="94"/>
  <c r="Z22" i="94"/>
  <c r="AD27" i="94"/>
  <c r="AD24" i="94"/>
  <c r="Z27" i="94"/>
  <c r="Z24" i="94"/>
  <c r="V27" i="94"/>
  <c r="V24" i="94"/>
  <c r="AE12" i="94"/>
  <c r="AE11" i="94"/>
  <c r="AC28" i="94"/>
  <c r="AC25" i="94"/>
  <c r="AC22" i="94"/>
  <c r="U28" i="94"/>
  <c r="U25" i="94"/>
  <c r="U22" i="94"/>
  <c r="AD26" i="94"/>
  <c r="Z23" i="94"/>
  <c r="V26" i="94"/>
  <c r="AE21" i="94"/>
  <c r="AE20" i="94"/>
  <c r="AE19" i="94"/>
  <c r="AE18" i="94"/>
  <c r="AE17" i="94"/>
  <c r="AE16" i="94"/>
  <c r="AE15" i="94"/>
  <c r="AE14" i="94"/>
  <c r="AD28" i="94"/>
  <c r="AD25" i="94"/>
  <c r="AD22" i="94"/>
  <c r="V28" i="94"/>
  <c r="V25" i="94"/>
  <c r="V22" i="94"/>
  <c r="AB27" i="94"/>
  <c r="AB24" i="94"/>
  <c r="X27" i="94"/>
  <c r="X24" i="94"/>
  <c r="T24" i="94"/>
  <c r="T27" i="94"/>
  <c r="AE13" i="94"/>
  <c r="Y28" i="94"/>
  <c r="Y25" i="94"/>
  <c r="Y22" i="94"/>
  <c r="O58" i="94"/>
  <c r="C60" i="94" s="1"/>
  <c r="AE10" i="94"/>
  <c r="AF10" i="94"/>
  <c r="P58" i="94"/>
  <c r="H59" i="94" s="1"/>
  <c r="T23" i="94"/>
  <c r="T26" i="94"/>
  <c r="Z21" i="93"/>
  <c r="AD20" i="93"/>
  <c r="V20" i="93"/>
  <c r="Z19" i="93"/>
  <c r="AD18" i="93"/>
  <c r="V18" i="93"/>
  <c r="Z17" i="93"/>
  <c r="AD16" i="93"/>
  <c r="V16" i="93"/>
  <c r="Z15" i="93"/>
  <c r="AD14" i="93"/>
  <c r="V14" i="93"/>
  <c r="Z13" i="93"/>
  <c r="AD12" i="93"/>
  <c r="V12" i="93"/>
  <c r="Z11" i="93"/>
  <c r="AD21" i="93"/>
  <c r="V21" i="93"/>
  <c r="Z20" i="93"/>
  <c r="AD19" i="93"/>
  <c r="V19" i="93"/>
  <c r="Z18" i="93"/>
  <c r="AD17" i="93"/>
  <c r="V17" i="93"/>
  <c r="Z16" i="93"/>
  <c r="AD15" i="93"/>
  <c r="V15" i="93"/>
  <c r="Z14" i="93"/>
  <c r="AD13" i="93"/>
  <c r="V13" i="93"/>
  <c r="Z12" i="93"/>
  <c r="AD11" i="93"/>
  <c r="V11" i="93"/>
  <c r="AB21" i="93"/>
  <c r="X21" i="93"/>
  <c r="T21" i="93"/>
  <c r="AB20" i="93"/>
  <c r="X20" i="93"/>
  <c r="T20" i="93"/>
  <c r="AB19" i="93"/>
  <c r="X19" i="93"/>
  <c r="T19" i="93"/>
  <c r="AB18" i="93"/>
  <c r="X18" i="93"/>
  <c r="T18" i="93"/>
  <c r="AB17" i="93"/>
  <c r="X17" i="93"/>
  <c r="T17" i="93"/>
  <c r="AB16" i="93"/>
  <c r="X16" i="93"/>
  <c r="T16" i="93"/>
  <c r="AB15" i="93"/>
  <c r="X15" i="93"/>
  <c r="T15" i="93"/>
  <c r="AB14" i="93"/>
  <c r="X14" i="93"/>
  <c r="T14" i="93"/>
  <c r="AB13" i="93"/>
  <c r="X13" i="93"/>
  <c r="T13" i="93"/>
  <c r="AB12" i="93"/>
  <c r="X12" i="93"/>
  <c r="T12" i="93"/>
  <c r="AB11" i="93"/>
  <c r="X11" i="93"/>
  <c r="T11" i="93"/>
  <c r="AC21" i="93"/>
  <c r="AA21" i="93"/>
  <c r="Y21" i="93"/>
  <c r="W21" i="93"/>
  <c r="U21" i="93"/>
  <c r="S21" i="93"/>
  <c r="AC20" i="93"/>
  <c r="AA20" i="93"/>
  <c r="Y20" i="93"/>
  <c r="W20" i="93"/>
  <c r="U20" i="93"/>
  <c r="S20" i="93"/>
  <c r="AC19" i="93"/>
  <c r="AA19" i="93"/>
  <c r="Y19" i="93"/>
  <c r="W19" i="93"/>
  <c r="U19" i="93"/>
  <c r="S19" i="93"/>
  <c r="AC18" i="93"/>
  <c r="AA18" i="93"/>
  <c r="Y18" i="93"/>
  <c r="W18" i="93"/>
  <c r="U18" i="93"/>
  <c r="S18" i="93"/>
  <c r="AC17" i="93"/>
  <c r="AA17" i="93"/>
  <c r="Y17" i="93"/>
  <c r="W17" i="93"/>
  <c r="U17" i="93"/>
  <c r="S17" i="93"/>
  <c r="AC16" i="93"/>
  <c r="AA16" i="93"/>
  <c r="Y16" i="93"/>
  <c r="W16" i="93"/>
  <c r="U16" i="93"/>
  <c r="S16" i="93"/>
  <c r="AC15" i="93"/>
  <c r="AA15" i="93"/>
  <c r="Y15" i="93"/>
  <c r="W15" i="93"/>
  <c r="U15" i="93"/>
  <c r="S15" i="93"/>
  <c r="AC14" i="93"/>
  <c r="AA14" i="93"/>
  <c r="Y14" i="93"/>
  <c r="W14" i="93"/>
  <c r="U14" i="93"/>
  <c r="S14" i="93"/>
  <c r="AC13" i="93"/>
  <c r="AA13" i="93"/>
  <c r="Y13" i="93"/>
  <c r="W13" i="93"/>
  <c r="U13" i="93"/>
  <c r="S13" i="93"/>
  <c r="AC12" i="93"/>
  <c r="AA12" i="93"/>
  <c r="Y12" i="93"/>
  <c r="W12" i="93"/>
  <c r="U12" i="93"/>
  <c r="S12" i="93"/>
  <c r="AC11" i="93"/>
  <c r="AA11" i="93"/>
  <c r="Y11" i="93"/>
  <c r="W11" i="93"/>
  <c r="U11" i="93"/>
  <c r="S11" i="93"/>
  <c r="S10" i="93"/>
  <c r="AC10" i="93"/>
  <c r="AA10" i="93"/>
  <c r="Y10" i="93"/>
  <c r="W10" i="93"/>
  <c r="U10" i="93"/>
  <c r="AD10" i="93"/>
  <c r="AB10" i="93"/>
  <c r="Z10" i="93"/>
  <c r="X10" i="93"/>
  <c r="V10" i="93"/>
  <c r="T10" i="93"/>
  <c r="P34" i="93"/>
  <c r="P50" i="93"/>
  <c r="P18" i="93"/>
  <c r="N58" i="93"/>
  <c r="P42" i="93"/>
  <c r="P26" i="93"/>
  <c r="P56" i="93"/>
  <c r="P46" i="93"/>
  <c r="P38" i="93"/>
  <c r="P30" i="93"/>
  <c r="P22" i="93"/>
  <c r="P14" i="93"/>
  <c r="F58" i="93"/>
  <c r="P10" i="93"/>
  <c r="P52" i="93"/>
  <c r="P48" i="93"/>
  <c r="P44" i="93"/>
  <c r="P40" i="93"/>
  <c r="P36" i="93"/>
  <c r="P32" i="93"/>
  <c r="P28" i="93"/>
  <c r="P24" i="93"/>
  <c r="P23" i="93"/>
  <c r="P20" i="93"/>
  <c r="P16" i="93"/>
  <c r="P12" i="93"/>
  <c r="P54" i="93"/>
  <c r="P51" i="93"/>
  <c r="P49" i="93"/>
  <c r="P35" i="93"/>
  <c r="P33" i="93"/>
  <c r="P31" i="93"/>
  <c r="P21" i="93"/>
  <c r="P19" i="93"/>
  <c r="P17" i="93"/>
  <c r="P15" i="93"/>
  <c r="P13" i="93"/>
  <c r="P11" i="93"/>
  <c r="P47" i="93"/>
  <c r="P45" i="93"/>
  <c r="P43" i="93"/>
  <c r="P41" i="93"/>
  <c r="P39" i="93"/>
  <c r="P37" i="93"/>
  <c r="P29" i="93"/>
  <c r="P27" i="93"/>
  <c r="P25" i="93"/>
  <c r="K58" i="93"/>
  <c r="G58" i="93"/>
  <c r="P57" i="93"/>
  <c r="P55" i="93"/>
  <c r="H58" i="93"/>
  <c r="D58" i="93"/>
  <c r="L58" i="93"/>
  <c r="P53" i="93"/>
  <c r="J58" i="93"/>
  <c r="E58" i="93"/>
  <c r="I58" i="93"/>
  <c r="O27" i="93"/>
  <c r="O29" i="93"/>
  <c r="O31" i="93"/>
  <c r="O33" i="93"/>
  <c r="O35" i="93"/>
  <c r="O37" i="93"/>
  <c r="O39" i="93"/>
  <c r="O41" i="93"/>
  <c r="O43" i="93"/>
  <c r="O45" i="93"/>
  <c r="O47" i="93"/>
  <c r="O49" i="93"/>
  <c r="O51" i="93"/>
  <c r="O53" i="93"/>
  <c r="O55" i="93"/>
  <c r="O57" i="93"/>
  <c r="M58" i="93"/>
  <c r="O10" i="93"/>
  <c r="O11" i="93"/>
  <c r="O12" i="93"/>
  <c r="O13" i="93"/>
  <c r="O14" i="93"/>
  <c r="O15" i="93"/>
  <c r="O16" i="93"/>
  <c r="O17" i="93"/>
  <c r="O18" i="93"/>
  <c r="O19" i="93"/>
  <c r="O20" i="93"/>
  <c r="O21" i="93"/>
  <c r="O22" i="93"/>
  <c r="O23" i="93"/>
  <c r="O24" i="93"/>
  <c r="O25" i="93"/>
  <c r="O26" i="93"/>
  <c r="O28" i="93"/>
  <c r="O30" i="93"/>
  <c r="O32" i="93"/>
  <c r="O34" i="93"/>
  <c r="O36" i="93"/>
  <c r="O38" i="93"/>
  <c r="O40" i="93"/>
  <c r="O42" i="93"/>
  <c r="O44" i="93"/>
  <c r="O46" i="93"/>
  <c r="O48" i="93"/>
  <c r="O50" i="93"/>
  <c r="O52" i="93"/>
  <c r="O54" i="93"/>
  <c r="O56" i="93"/>
  <c r="C58" i="93"/>
  <c r="X42" i="109" l="1"/>
  <c r="T12" i="111"/>
  <c r="T13" i="111"/>
  <c r="V22" i="93"/>
  <c r="AE24" i="98"/>
  <c r="T11" i="111"/>
  <c r="V17" i="111"/>
  <c r="AA12" i="111"/>
  <c r="X14" i="111"/>
  <c r="AD11" i="111"/>
  <c r="T17" i="111"/>
  <c r="AB19" i="111"/>
  <c r="AA15" i="111"/>
  <c r="O47" i="111"/>
  <c r="Z14" i="111"/>
  <c r="AD19" i="111"/>
  <c r="W11" i="111"/>
  <c r="U14" i="111"/>
  <c r="AB15" i="111"/>
  <c r="X18" i="111"/>
  <c r="T21" i="111"/>
  <c r="AA18" i="111"/>
  <c r="AB12" i="111"/>
  <c r="S18" i="111"/>
  <c r="Y14" i="111"/>
  <c r="S15" i="111"/>
  <c r="W17" i="111"/>
  <c r="W18" i="111"/>
  <c r="Y19" i="111"/>
  <c r="O52" i="111"/>
  <c r="AC20" i="111"/>
  <c r="AA21" i="111"/>
  <c r="X11" i="111"/>
  <c r="V13" i="111"/>
  <c r="AD13" i="111"/>
  <c r="V15" i="111"/>
  <c r="AD15" i="111"/>
  <c r="Z16" i="111"/>
  <c r="AD17" i="111"/>
  <c r="Z18" i="111"/>
  <c r="V19" i="111"/>
  <c r="Z20" i="111"/>
  <c r="V21" i="111"/>
  <c r="AD21" i="111"/>
  <c r="S11" i="111"/>
  <c r="AA11" i="111"/>
  <c r="S12" i="111"/>
  <c r="W12" i="111"/>
  <c r="S13" i="111"/>
  <c r="AA13" i="111"/>
  <c r="T14" i="111"/>
  <c r="AB14" i="111"/>
  <c r="X15" i="111"/>
  <c r="T15" i="111"/>
  <c r="X16" i="111"/>
  <c r="T16" i="111"/>
  <c r="AB16" i="111"/>
  <c r="X17" i="111"/>
  <c r="AB17" i="111"/>
  <c r="T18" i="111"/>
  <c r="AB18" i="111"/>
  <c r="T19" i="111"/>
  <c r="X20" i="111"/>
  <c r="T20" i="111"/>
  <c r="AB20" i="111"/>
  <c r="X21" i="111"/>
  <c r="S17" i="111"/>
  <c r="AA17" i="111"/>
  <c r="W13" i="111"/>
  <c r="AC14" i="111"/>
  <c r="X13" i="111"/>
  <c r="AB21" i="111"/>
  <c r="Z10" i="111"/>
  <c r="U19" i="111"/>
  <c r="AC21" i="111"/>
  <c r="Y21" i="111"/>
  <c r="W15" i="111"/>
  <c r="AA16" i="111"/>
  <c r="O12" i="111"/>
  <c r="P26" i="111"/>
  <c r="V11" i="111"/>
  <c r="X12" i="111"/>
  <c r="Z12" i="111"/>
  <c r="P46" i="111"/>
  <c r="S10" i="111"/>
  <c r="P10" i="111"/>
  <c r="X19" i="111"/>
  <c r="W10" i="111"/>
  <c r="O22" i="111"/>
  <c r="P31" i="111"/>
  <c r="W16" i="111"/>
  <c r="V10" i="111"/>
  <c r="T10" i="111"/>
  <c r="AB10" i="111"/>
  <c r="Z11" i="111"/>
  <c r="AB11" i="111"/>
  <c r="V12" i="111"/>
  <c r="AB13" i="111"/>
  <c r="Z13" i="111"/>
  <c r="V14" i="111"/>
  <c r="AD14" i="111"/>
  <c r="Z15" i="111"/>
  <c r="V16" i="111"/>
  <c r="AD16" i="111"/>
  <c r="Z17" i="111"/>
  <c r="V18" i="111"/>
  <c r="AD18" i="111"/>
  <c r="Z19" i="111"/>
  <c r="V20" i="111"/>
  <c r="AD20" i="111"/>
  <c r="Z21" i="111"/>
  <c r="O34" i="111"/>
  <c r="P17" i="111"/>
  <c r="O21" i="111"/>
  <c r="O37" i="111"/>
  <c r="P41" i="111"/>
  <c r="O42" i="111"/>
  <c r="U20" i="111"/>
  <c r="P53" i="111"/>
  <c r="X10" i="111"/>
  <c r="U10" i="111"/>
  <c r="AC10" i="111"/>
  <c r="P13" i="111"/>
  <c r="O14" i="111"/>
  <c r="O15" i="111"/>
  <c r="O17" i="111"/>
  <c r="O19" i="111"/>
  <c r="P20" i="111"/>
  <c r="P25" i="111"/>
  <c r="O26" i="111"/>
  <c r="P28" i="111"/>
  <c r="P30" i="111"/>
  <c r="O32" i="111"/>
  <c r="P33" i="111"/>
  <c r="U16" i="111"/>
  <c r="AC16" i="111"/>
  <c r="Y16" i="111"/>
  <c r="P38" i="111"/>
  <c r="P39" i="111"/>
  <c r="O40" i="111"/>
  <c r="P44" i="111"/>
  <c r="S19" i="111"/>
  <c r="AA19" i="111"/>
  <c r="P47" i="111"/>
  <c r="P50" i="111"/>
  <c r="P51" i="111"/>
  <c r="Y20" i="111"/>
  <c r="P54" i="111"/>
  <c r="O55" i="111"/>
  <c r="U21" i="111"/>
  <c r="P23" i="111"/>
  <c r="O23" i="111"/>
  <c r="Y18" i="111"/>
  <c r="O43" i="111"/>
  <c r="O49" i="111"/>
  <c r="P49" i="111"/>
  <c r="W21" i="111"/>
  <c r="P56" i="111"/>
  <c r="O10" i="111"/>
  <c r="C108" i="110"/>
  <c r="P15" i="111"/>
  <c r="O28" i="111"/>
  <c r="O35" i="111"/>
  <c r="O25" i="111"/>
  <c r="O44" i="111"/>
  <c r="O54" i="111"/>
  <c r="AD10" i="111"/>
  <c r="P36" i="111"/>
  <c r="O57" i="111"/>
  <c r="O11" i="111"/>
  <c r="Y10" i="111"/>
  <c r="O13" i="111"/>
  <c r="Y11" i="111"/>
  <c r="U11" i="111"/>
  <c r="AC11" i="111"/>
  <c r="O16" i="111"/>
  <c r="Y12" i="111"/>
  <c r="U12" i="111"/>
  <c r="AC12" i="111"/>
  <c r="O20" i="111"/>
  <c r="P21" i="111"/>
  <c r="Y13" i="111"/>
  <c r="U13" i="111"/>
  <c r="AC13" i="111"/>
  <c r="P24" i="111"/>
  <c r="W14" i="111"/>
  <c r="AA14" i="111"/>
  <c r="P29" i="111"/>
  <c r="O30" i="111"/>
  <c r="AC15" i="111"/>
  <c r="Y15" i="111"/>
  <c r="U15" i="111"/>
  <c r="O33" i="111"/>
  <c r="P34" i="111"/>
  <c r="P35" i="111"/>
  <c r="O36" i="111"/>
  <c r="P37" i="111"/>
  <c r="O38" i="111"/>
  <c r="AC17" i="111"/>
  <c r="Y17" i="111"/>
  <c r="U17" i="111"/>
  <c r="O41" i="111"/>
  <c r="P42" i="111"/>
  <c r="U18" i="111"/>
  <c r="AC18" i="111"/>
  <c r="P45" i="111"/>
  <c r="O46" i="111"/>
  <c r="AC19" i="111"/>
  <c r="O48" i="111"/>
  <c r="W19" i="111"/>
  <c r="O50" i="111"/>
  <c r="O51" i="111"/>
  <c r="AA20" i="111"/>
  <c r="W20" i="111"/>
  <c r="O53" i="111"/>
  <c r="P55" i="111"/>
  <c r="O56" i="111"/>
  <c r="P57" i="111"/>
  <c r="P14" i="111"/>
  <c r="P16" i="111"/>
  <c r="O18" i="111"/>
  <c r="S14" i="111"/>
  <c r="O27" i="111"/>
  <c r="O29" i="111"/>
  <c r="S16" i="111"/>
  <c r="O39" i="111"/>
  <c r="P48" i="111"/>
  <c r="S20" i="111"/>
  <c r="P52" i="111"/>
  <c r="P12" i="111"/>
  <c r="P19" i="111"/>
  <c r="O24" i="111"/>
  <c r="O31" i="111"/>
  <c r="O45" i="111"/>
  <c r="S21" i="111"/>
  <c r="P11" i="111"/>
  <c r="P18" i="111"/>
  <c r="P22" i="111"/>
  <c r="P27" i="111"/>
  <c r="P32" i="111"/>
  <c r="P40" i="111"/>
  <c r="P43" i="111"/>
  <c r="F108" i="110"/>
  <c r="AA10" i="111"/>
  <c r="H108" i="110"/>
  <c r="N108" i="110"/>
  <c r="AE39" i="110"/>
  <c r="W42" i="110"/>
  <c r="AE36" i="110"/>
  <c r="F107" i="110"/>
  <c r="C107" i="110"/>
  <c r="H107" i="110"/>
  <c r="T42" i="110"/>
  <c r="Y42" i="110"/>
  <c r="X42" i="110"/>
  <c r="AF36" i="110"/>
  <c r="AF39" i="110"/>
  <c r="AF35" i="110"/>
  <c r="AF38" i="110"/>
  <c r="U42" i="110"/>
  <c r="AC42" i="110"/>
  <c r="AE38" i="110"/>
  <c r="AE35" i="110"/>
  <c r="V42" i="110"/>
  <c r="AB42" i="110"/>
  <c r="M107" i="110"/>
  <c r="D107" i="110"/>
  <c r="L107" i="110"/>
  <c r="E107" i="110"/>
  <c r="G107" i="110"/>
  <c r="I107" i="110"/>
  <c r="K107" i="110"/>
  <c r="AE41" i="110"/>
  <c r="AE40" i="110"/>
  <c r="AE37" i="110"/>
  <c r="AE34" i="110"/>
  <c r="Z42" i="110"/>
  <c r="AD42" i="110"/>
  <c r="AF41" i="110"/>
  <c r="AF40" i="110"/>
  <c r="AF37" i="110"/>
  <c r="AF34" i="110"/>
  <c r="D108" i="110"/>
  <c r="L108" i="110"/>
  <c r="E108" i="110"/>
  <c r="G108" i="110"/>
  <c r="I108" i="110"/>
  <c r="K108" i="110"/>
  <c r="J107" i="110"/>
  <c r="H107" i="109"/>
  <c r="U42" i="109"/>
  <c r="Y42" i="109"/>
  <c r="AC42" i="109"/>
  <c r="AF39" i="109"/>
  <c r="AF36" i="109"/>
  <c r="AF38" i="109"/>
  <c r="AF35" i="109"/>
  <c r="M107" i="109"/>
  <c r="D107" i="109"/>
  <c r="L107" i="109"/>
  <c r="C107" i="109"/>
  <c r="E107" i="109"/>
  <c r="G107" i="109"/>
  <c r="I107" i="109"/>
  <c r="K107" i="109"/>
  <c r="D108" i="109"/>
  <c r="L108" i="109"/>
  <c r="C108" i="109"/>
  <c r="E108" i="109"/>
  <c r="G108" i="109"/>
  <c r="I108" i="109"/>
  <c r="K108" i="109"/>
  <c r="F108" i="109"/>
  <c r="N107" i="109"/>
  <c r="S42" i="109"/>
  <c r="W42" i="109"/>
  <c r="AA42" i="109"/>
  <c r="H108" i="109"/>
  <c r="J108" i="109"/>
  <c r="AF41" i="109"/>
  <c r="AF40" i="109"/>
  <c r="AF37" i="109"/>
  <c r="AF34" i="109"/>
  <c r="V42" i="109"/>
  <c r="AB42" i="109"/>
  <c r="AE39" i="109"/>
  <c r="AE36" i="109"/>
  <c r="AE41" i="109"/>
  <c r="AE40" i="109"/>
  <c r="AE37" i="109"/>
  <c r="AE34" i="109"/>
  <c r="AE38" i="109"/>
  <c r="AE35" i="109"/>
  <c r="F107" i="109"/>
  <c r="N108" i="109"/>
  <c r="T42" i="109"/>
  <c r="Z42" i="109"/>
  <c r="AD42" i="109"/>
  <c r="H108" i="108"/>
  <c r="C107" i="107"/>
  <c r="F107" i="105"/>
  <c r="H107" i="108"/>
  <c r="E107" i="105"/>
  <c r="D107" i="105"/>
  <c r="C107" i="105"/>
  <c r="AF35" i="105"/>
  <c r="H108" i="107"/>
  <c r="D108" i="105"/>
  <c r="F108" i="105"/>
  <c r="C108" i="105"/>
  <c r="E108" i="105"/>
  <c r="AF38" i="105"/>
  <c r="T42" i="105"/>
  <c r="V42" i="105"/>
  <c r="U42" i="105"/>
  <c r="W42" i="105"/>
  <c r="Y42" i="105"/>
  <c r="AC42" i="105"/>
  <c r="AF39" i="105"/>
  <c r="AF36" i="105"/>
  <c r="M107" i="105"/>
  <c r="N107" i="105"/>
  <c r="I107" i="105"/>
  <c r="K107" i="105"/>
  <c r="H107" i="105"/>
  <c r="J107" i="105"/>
  <c r="L107" i="105"/>
  <c r="I108" i="105"/>
  <c r="K108" i="105"/>
  <c r="H108" i="105"/>
  <c r="J108" i="105"/>
  <c r="L108" i="105"/>
  <c r="N108" i="105"/>
  <c r="AE38" i="105"/>
  <c r="AE35" i="105"/>
  <c r="AE39" i="105"/>
  <c r="AE36" i="105"/>
  <c r="S42" i="105"/>
  <c r="AA42" i="105"/>
  <c r="X42" i="105"/>
  <c r="AB42" i="105"/>
  <c r="AF41" i="105"/>
  <c r="AF40" i="105"/>
  <c r="AF37" i="105"/>
  <c r="AF34" i="105"/>
  <c r="AE41" i="105"/>
  <c r="AE40" i="105"/>
  <c r="AE37" i="105"/>
  <c r="AE34" i="105"/>
  <c r="Z42" i="105"/>
  <c r="AD42" i="105"/>
  <c r="Z42" i="101"/>
  <c r="U42" i="101"/>
  <c r="W42" i="101"/>
  <c r="X42" i="101"/>
  <c r="Y42" i="101"/>
  <c r="V42" i="101"/>
  <c r="AA42" i="101"/>
  <c r="AD42" i="101"/>
  <c r="AC42" i="101"/>
  <c r="T42" i="101"/>
  <c r="AB42" i="101"/>
  <c r="S42" i="101"/>
  <c r="AF41" i="101"/>
  <c r="AE41" i="101"/>
  <c r="AF23" i="104"/>
  <c r="AF27" i="104"/>
  <c r="H60" i="104"/>
  <c r="C60" i="104"/>
  <c r="AF26" i="104"/>
  <c r="AF24" i="104"/>
  <c r="H59" i="104"/>
  <c r="AF26" i="103"/>
  <c r="AF23" i="103"/>
  <c r="H60" i="94"/>
  <c r="C59" i="104"/>
  <c r="AF27" i="103"/>
  <c r="AF24" i="103"/>
  <c r="M59" i="103"/>
  <c r="D59" i="103"/>
  <c r="H59" i="103"/>
  <c r="L59" i="103"/>
  <c r="E59" i="103"/>
  <c r="G59" i="103"/>
  <c r="I59" i="103"/>
  <c r="K59" i="103"/>
  <c r="F59" i="103"/>
  <c r="J59" i="103"/>
  <c r="N59" i="103"/>
  <c r="AE27" i="104"/>
  <c r="AE24" i="104"/>
  <c r="E60" i="103"/>
  <c r="G60" i="103"/>
  <c r="I60" i="103"/>
  <c r="K60" i="103"/>
  <c r="F60" i="103"/>
  <c r="J60" i="103"/>
  <c r="N60" i="103"/>
  <c r="D60" i="103"/>
  <c r="H60" i="103"/>
  <c r="L60" i="103"/>
  <c r="AF22" i="104"/>
  <c r="AF28" i="104"/>
  <c r="AF25" i="104"/>
  <c r="F60" i="104"/>
  <c r="E60" i="104"/>
  <c r="G60" i="104"/>
  <c r="I60" i="104"/>
  <c r="K60" i="104"/>
  <c r="J60" i="104"/>
  <c r="N60" i="104"/>
  <c r="AE26" i="104"/>
  <c r="AE23" i="104"/>
  <c r="D60" i="104"/>
  <c r="AF35" i="101"/>
  <c r="AF28" i="103"/>
  <c r="AF25" i="103"/>
  <c r="AF22" i="103"/>
  <c r="AE26" i="103"/>
  <c r="AE23" i="103"/>
  <c r="C59" i="103"/>
  <c r="AE28" i="103"/>
  <c r="AE25" i="103"/>
  <c r="AE22" i="103"/>
  <c r="AE27" i="103"/>
  <c r="AE24" i="103"/>
  <c r="F59" i="104"/>
  <c r="M59" i="104"/>
  <c r="J59" i="104"/>
  <c r="E59" i="104"/>
  <c r="G59" i="104"/>
  <c r="I59" i="104"/>
  <c r="K59" i="104"/>
  <c r="N59" i="104"/>
  <c r="AE28" i="104"/>
  <c r="AE25" i="104"/>
  <c r="AE22" i="104"/>
  <c r="D59" i="104"/>
  <c r="AF24" i="100"/>
  <c r="AE27" i="96"/>
  <c r="AF36" i="101"/>
  <c r="AF39" i="101"/>
  <c r="AF38" i="101"/>
  <c r="F108" i="101"/>
  <c r="J108" i="101"/>
  <c r="N108" i="101"/>
  <c r="E108" i="101"/>
  <c r="G108" i="101"/>
  <c r="I108" i="101"/>
  <c r="K108" i="101"/>
  <c r="D108" i="101"/>
  <c r="H108" i="101"/>
  <c r="L108" i="101"/>
  <c r="E107" i="101"/>
  <c r="G107" i="101"/>
  <c r="I107" i="101"/>
  <c r="K107" i="101"/>
  <c r="D107" i="101"/>
  <c r="H107" i="101"/>
  <c r="L107" i="101"/>
  <c r="M107" i="101"/>
  <c r="F107" i="101"/>
  <c r="J107" i="101"/>
  <c r="N107" i="101"/>
  <c r="AE39" i="101"/>
  <c r="AE36" i="101"/>
  <c r="AF23" i="100"/>
  <c r="AE24" i="96"/>
  <c r="AE27" i="100"/>
  <c r="C107" i="101"/>
  <c r="AE40" i="101"/>
  <c r="AE37" i="101"/>
  <c r="AE34" i="101"/>
  <c r="AF40" i="101"/>
  <c r="AF37" i="101"/>
  <c r="AF34" i="101"/>
  <c r="AE38" i="101"/>
  <c r="AE35" i="101"/>
  <c r="AE26" i="97"/>
  <c r="AF27" i="97"/>
  <c r="AE24" i="100"/>
  <c r="AF26" i="100"/>
  <c r="AF27" i="100"/>
  <c r="AF23" i="99"/>
  <c r="AF26" i="99"/>
  <c r="AF24" i="99"/>
  <c r="AF27" i="99"/>
  <c r="AE23" i="97"/>
  <c r="D59" i="100"/>
  <c r="AE27" i="98"/>
  <c r="AF28" i="99"/>
  <c r="AF25" i="99"/>
  <c r="AF22" i="99"/>
  <c r="AE26" i="99"/>
  <c r="AE23" i="99"/>
  <c r="AE27" i="99"/>
  <c r="AE24" i="99"/>
  <c r="AF22" i="100"/>
  <c r="AF28" i="100"/>
  <c r="AF25" i="100"/>
  <c r="N60" i="100"/>
  <c r="J60" i="100"/>
  <c r="F60" i="100"/>
  <c r="E60" i="100"/>
  <c r="G60" i="100"/>
  <c r="I60" i="100"/>
  <c r="K60" i="100"/>
  <c r="AE26" i="100"/>
  <c r="AE23" i="100"/>
  <c r="E60" i="99"/>
  <c r="G60" i="99"/>
  <c r="I60" i="99"/>
  <c r="K60" i="99"/>
  <c r="F60" i="99"/>
  <c r="J60" i="99"/>
  <c r="N60" i="99"/>
  <c r="D60" i="99"/>
  <c r="H60" i="99"/>
  <c r="L60" i="99"/>
  <c r="C60" i="100"/>
  <c r="L60" i="100"/>
  <c r="M59" i="99"/>
  <c r="D59" i="99"/>
  <c r="H59" i="99"/>
  <c r="L59" i="99"/>
  <c r="E59" i="99"/>
  <c r="G59" i="99"/>
  <c r="I59" i="99"/>
  <c r="K59" i="99"/>
  <c r="F59" i="99"/>
  <c r="J59" i="99"/>
  <c r="N59" i="99"/>
  <c r="F59" i="100"/>
  <c r="J59" i="100"/>
  <c r="E59" i="100"/>
  <c r="G59" i="100"/>
  <c r="I59" i="100"/>
  <c r="K59" i="100"/>
  <c r="N59" i="100"/>
  <c r="M59" i="100"/>
  <c r="AE28" i="100"/>
  <c r="AE25" i="100"/>
  <c r="AE22" i="100"/>
  <c r="D60" i="100"/>
  <c r="C59" i="99"/>
  <c r="AE28" i="99"/>
  <c r="AE25" i="99"/>
  <c r="AE22" i="99"/>
  <c r="H60" i="100"/>
  <c r="C59" i="100"/>
  <c r="L59" i="100"/>
  <c r="AF24" i="97"/>
  <c r="AF23" i="98"/>
  <c r="AF27" i="98"/>
  <c r="AE27" i="97"/>
  <c r="AE24" i="97"/>
  <c r="AF28" i="97"/>
  <c r="AF25" i="97"/>
  <c r="AF22" i="97"/>
  <c r="C60" i="98"/>
  <c r="E60" i="98"/>
  <c r="G60" i="98"/>
  <c r="I60" i="98"/>
  <c r="K60" i="98"/>
  <c r="D60" i="98"/>
  <c r="F60" i="98"/>
  <c r="H60" i="98"/>
  <c r="J60" i="98"/>
  <c r="L60" i="98"/>
  <c r="N60" i="98"/>
  <c r="AE26" i="98"/>
  <c r="AE23" i="98"/>
  <c r="AE28" i="97"/>
  <c r="AE25" i="97"/>
  <c r="AE22" i="97"/>
  <c r="AF28" i="98"/>
  <c r="AF25" i="98"/>
  <c r="AF22" i="98"/>
  <c r="AF26" i="98"/>
  <c r="M59" i="97"/>
  <c r="D59" i="97"/>
  <c r="F59" i="97"/>
  <c r="H59" i="97"/>
  <c r="J59" i="97"/>
  <c r="L59" i="97"/>
  <c r="N59" i="97"/>
  <c r="C59" i="97"/>
  <c r="E59" i="97"/>
  <c r="G59" i="97"/>
  <c r="I59" i="97"/>
  <c r="K59" i="97"/>
  <c r="AF26" i="97"/>
  <c r="AF23" i="97"/>
  <c r="AE28" i="98"/>
  <c r="AE25" i="98"/>
  <c r="AE22" i="98"/>
  <c r="D60" i="97"/>
  <c r="F60" i="97"/>
  <c r="H60" i="97"/>
  <c r="J60" i="97"/>
  <c r="L60" i="97"/>
  <c r="N60" i="97"/>
  <c r="C60" i="97"/>
  <c r="E60" i="97"/>
  <c r="G60" i="97"/>
  <c r="I60" i="97"/>
  <c r="K60" i="97"/>
  <c r="C59" i="98"/>
  <c r="E59" i="98"/>
  <c r="G59" i="98"/>
  <c r="I59" i="98"/>
  <c r="K59" i="98"/>
  <c r="D59" i="98"/>
  <c r="F59" i="98"/>
  <c r="H59" i="98"/>
  <c r="J59" i="98"/>
  <c r="L59" i="98"/>
  <c r="N59" i="98"/>
  <c r="M59" i="98"/>
  <c r="AF24" i="98"/>
  <c r="AE27" i="95"/>
  <c r="AE24" i="95"/>
  <c r="AF23" i="94"/>
  <c r="AF27" i="94"/>
  <c r="AF26" i="96"/>
  <c r="AF24" i="94"/>
  <c r="AF26" i="94"/>
  <c r="AF26" i="95"/>
  <c r="AF28" i="95"/>
  <c r="AF25" i="95"/>
  <c r="AF22" i="95"/>
  <c r="AE28" i="96"/>
  <c r="AE25" i="96"/>
  <c r="AE22" i="96"/>
  <c r="C60" i="95"/>
  <c r="E60" i="95"/>
  <c r="G60" i="95"/>
  <c r="I60" i="95"/>
  <c r="K60" i="95"/>
  <c r="D60" i="95"/>
  <c r="F60" i="95"/>
  <c r="H60" i="95"/>
  <c r="J60" i="95"/>
  <c r="L60" i="95"/>
  <c r="N60" i="95"/>
  <c r="AE26" i="95"/>
  <c r="AE23" i="95"/>
  <c r="C59" i="96"/>
  <c r="E59" i="96"/>
  <c r="G59" i="96"/>
  <c r="I59" i="96"/>
  <c r="K59" i="96"/>
  <c r="D59" i="96"/>
  <c r="F59" i="96"/>
  <c r="H59" i="96"/>
  <c r="J59" i="96"/>
  <c r="L59" i="96"/>
  <c r="N59" i="96"/>
  <c r="M59" i="96"/>
  <c r="AF23" i="95"/>
  <c r="AF23" i="96"/>
  <c r="L60" i="94"/>
  <c r="M59" i="95"/>
  <c r="C59" i="95"/>
  <c r="E59" i="95"/>
  <c r="G59" i="95"/>
  <c r="I59" i="95"/>
  <c r="K59" i="95"/>
  <c r="D59" i="95"/>
  <c r="F59" i="95"/>
  <c r="H59" i="95"/>
  <c r="J59" i="95"/>
  <c r="L59" i="95"/>
  <c r="N59" i="95"/>
  <c r="AF27" i="95"/>
  <c r="AF24" i="95"/>
  <c r="C60" i="96"/>
  <c r="E60" i="96"/>
  <c r="G60" i="96"/>
  <c r="I60" i="96"/>
  <c r="K60" i="96"/>
  <c r="D60" i="96"/>
  <c r="F60" i="96"/>
  <c r="H60" i="96"/>
  <c r="J60" i="96"/>
  <c r="L60" i="96"/>
  <c r="N60" i="96"/>
  <c r="AE26" i="96"/>
  <c r="AE23" i="96"/>
  <c r="AE28" i="95"/>
  <c r="AE25" i="95"/>
  <c r="AE22" i="95"/>
  <c r="AF28" i="96"/>
  <c r="AF25" i="96"/>
  <c r="AF22" i="96"/>
  <c r="AF27" i="96"/>
  <c r="AF24" i="96"/>
  <c r="E59" i="94"/>
  <c r="G59" i="94"/>
  <c r="I59" i="94"/>
  <c r="K59" i="94"/>
  <c r="F59" i="94"/>
  <c r="J59" i="94"/>
  <c r="N59" i="94"/>
  <c r="M59" i="94"/>
  <c r="AE28" i="94"/>
  <c r="AE25" i="94"/>
  <c r="AE22" i="94"/>
  <c r="D59" i="94"/>
  <c r="AF22" i="94"/>
  <c r="AF28" i="94"/>
  <c r="AF25" i="94"/>
  <c r="F60" i="94"/>
  <c r="J60" i="94"/>
  <c r="N60" i="94"/>
  <c r="E60" i="94"/>
  <c r="G60" i="94"/>
  <c r="I60" i="94"/>
  <c r="K60" i="94"/>
  <c r="AE26" i="94"/>
  <c r="AE23" i="94"/>
  <c r="D60" i="94"/>
  <c r="AE27" i="94"/>
  <c r="AE24" i="94"/>
  <c r="C59" i="94"/>
  <c r="L59" i="94"/>
  <c r="T22" i="93"/>
  <c r="X22" i="93"/>
  <c r="AB22" i="93"/>
  <c r="U22" i="93"/>
  <c r="Y22" i="93"/>
  <c r="AC22" i="93"/>
  <c r="Z24" i="93"/>
  <c r="W26" i="93"/>
  <c r="W23" i="93"/>
  <c r="AA26" i="93"/>
  <c r="AA23" i="93"/>
  <c r="W27" i="93"/>
  <c r="W24" i="93"/>
  <c r="AA27" i="93"/>
  <c r="AA24" i="93"/>
  <c r="T26" i="93"/>
  <c r="T23" i="93"/>
  <c r="AB26" i="93"/>
  <c r="AB23" i="93"/>
  <c r="T27" i="93"/>
  <c r="T24" i="93"/>
  <c r="AB27" i="93"/>
  <c r="AB24" i="93"/>
  <c r="V26" i="93"/>
  <c r="V23" i="93"/>
  <c r="AD27" i="93"/>
  <c r="AD24" i="93"/>
  <c r="Z22" i="93"/>
  <c r="AD22" i="93"/>
  <c r="W22" i="93"/>
  <c r="AA22" i="93"/>
  <c r="U26" i="93"/>
  <c r="U23" i="93"/>
  <c r="Y26" i="93"/>
  <c r="Y23" i="93"/>
  <c r="AC26" i="93"/>
  <c r="AC23" i="93"/>
  <c r="U27" i="93"/>
  <c r="U24" i="93"/>
  <c r="Y27" i="93"/>
  <c r="Y24" i="93"/>
  <c r="AC27" i="93"/>
  <c r="AC24" i="93"/>
  <c r="X23" i="93"/>
  <c r="X24" i="93"/>
  <c r="AD23" i="93"/>
  <c r="V24" i="93"/>
  <c r="Z23" i="93"/>
  <c r="S27" i="93"/>
  <c r="S24" i="93"/>
  <c r="S26" i="93"/>
  <c r="S23" i="93"/>
  <c r="S22" i="93"/>
  <c r="Z27" i="93"/>
  <c r="T28" i="93"/>
  <c r="T25" i="93"/>
  <c r="X28" i="93"/>
  <c r="X25" i="93"/>
  <c r="AB28" i="93"/>
  <c r="AB25" i="93"/>
  <c r="U28" i="93"/>
  <c r="U25" i="93"/>
  <c r="Y28" i="93"/>
  <c r="Y25" i="93"/>
  <c r="AC28" i="93"/>
  <c r="AC25" i="93"/>
  <c r="V28" i="93"/>
  <c r="V25" i="93"/>
  <c r="Z28" i="93"/>
  <c r="Z25" i="93"/>
  <c r="AD28" i="93"/>
  <c r="AD25" i="93"/>
  <c r="W28" i="93"/>
  <c r="W25" i="93"/>
  <c r="AA28" i="93"/>
  <c r="AA25" i="93"/>
  <c r="S28" i="93"/>
  <c r="S25" i="93"/>
  <c r="X26" i="93"/>
  <c r="X27" i="93"/>
  <c r="AD26" i="93"/>
  <c r="V27" i="93"/>
  <c r="Z26" i="93"/>
  <c r="AF10" i="93"/>
  <c r="AF16" i="93"/>
  <c r="AF18" i="93"/>
  <c r="AF14" i="93"/>
  <c r="AF20" i="93"/>
  <c r="AF13" i="93"/>
  <c r="AF11" i="93"/>
  <c r="AF12" i="93"/>
  <c r="AF15" i="93"/>
  <c r="AF17" i="93"/>
  <c r="AF19" i="93"/>
  <c r="P58" i="93"/>
  <c r="G59" i="93" s="1"/>
  <c r="AF21" i="93"/>
  <c r="AE20" i="93"/>
  <c r="AE18" i="93"/>
  <c r="AE16" i="93"/>
  <c r="AE14" i="93"/>
  <c r="AE12" i="93"/>
  <c r="AE11" i="93"/>
  <c r="O58" i="93"/>
  <c r="C60" i="93" s="1"/>
  <c r="AE10" i="93"/>
  <c r="AE21" i="93"/>
  <c r="AE19" i="93"/>
  <c r="AE17" i="93"/>
  <c r="AE15" i="93"/>
  <c r="AE13" i="93"/>
  <c r="AD37" i="111" l="1"/>
  <c r="X34" i="111"/>
  <c r="AD39" i="111"/>
  <c r="T34" i="111"/>
  <c r="W37" i="111"/>
  <c r="X36" i="111"/>
  <c r="Z39" i="111"/>
  <c r="AD38" i="111"/>
  <c r="V40" i="111"/>
  <c r="AA35" i="111"/>
  <c r="AF12" i="111"/>
  <c r="S34" i="111"/>
  <c r="T39" i="111"/>
  <c r="AC34" i="111"/>
  <c r="AD34" i="111"/>
  <c r="T37" i="111"/>
  <c r="AE15" i="111"/>
  <c r="AF19" i="111"/>
  <c r="AE12" i="111"/>
  <c r="AA36" i="111"/>
  <c r="AF14" i="111"/>
  <c r="AE14" i="111"/>
  <c r="AF11" i="111"/>
  <c r="AE18" i="111"/>
  <c r="Z37" i="111"/>
  <c r="T38" i="111"/>
  <c r="AF10" i="111"/>
  <c r="AF34" i="111" s="1"/>
  <c r="W36" i="111"/>
  <c r="Y40" i="111"/>
  <c r="U36" i="111"/>
  <c r="Z36" i="111"/>
  <c r="V35" i="111"/>
  <c r="AB40" i="111"/>
  <c r="X39" i="111"/>
  <c r="S37" i="111"/>
  <c r="AB36" i="111"/>
  <c r="AE20" i="111"/>
  <c r="AE10" i="111"/>
  <c r="X35" i="111"/>
  <c r="S40" i="111"/>
  <c r="Z38" i="111"/>
  <c r="AE13" i="111"/>
  <c r="V34" i="111"/>
  <c r="W35" i="111"/>
  <c r="AC35" i="111"/>
  <c r="AB38" i="111"/>
  <c r="W40" i="111"/>
  <c r="V39" i="111"/>
  <c r="AD40" i="111"/>
  <c r="X40" i="111"/>
  <c r="V38" i="111"/>
  <c r="AB39" i="111"/>
  <c r="AB37" i="111"/>
  <c r="W34" i="111"/>
  <c r="AF15" i="111"/>
  <c r="AF13" i="111"/>
  <c r="AE21" i="111"/>
  <c r="W38" i="111"/>
  <c r="X38" i="111"/>
  <c r="AF20" i="111"/>
  <c r="S36" i="111"/>
  <c r="AE11" i="111"/>
  <c r="U39" i="111"/>
  <c r="Z35" i="111"/>
  <c r="Z40" i="111"/>
  <c r="V37" i="111"/>
  <c r="T36" i="111"/>
  <c r="T40" i="111"/>
  <c r="AB35" i="111"/>
  <c r="AA38" i="111"/>
  <c r="V36" i="111"/>
  <c r="AD35" i="111"/>
  <c r="X37" i="111"/>
  <c r="AC39" i="111"/>
  <c r="Y39" i="111"/>
  <c r="U35" i="111"/>
  <c r="AD36" i="111"/>
  <c r="AE19" i="111"/>
  <c r="U40" i="111"/>
  <c r="Z34" i="111"/>
  <c r="T35" i="111"/>
  <c r="AB34" i="111"/>
  <c r="U34" i="111"/>
  <c r="AF17" i="111"/>
  <c r="AC36" i="111"/>
  <c r="Y36" i="111"/>
  <c r="U37" i="111"/>
  <c r="AA39" i="111"/>
  <c r="S39" i="111"/>
  <c r="S38" i="111"/>
  <c r="Y38" i="111"/>
  <c r="AF16" i="111"/>
  <c r="K108" i="111"/>
  <c r="N107" i="111"/>
  <c r="AF21" i="111"/>
  <c r="W39" i="111"/>
  <c r="AE17" i="111"/>
  <c r="AC38" i="111"/>
  <c r="U38" i="111"/>
  <c r="AC40" i="111"/>
  <c r="Y37" i="111"/>
  <c r="AE16" i="111"/>
  <c r="Y35" i="111"/>
  <c r="S35" i="111"/>
  <c r="AF18" i="111"/>
  <c r="Y34" i="111"/>
  <c r="AC37" i="111"/>
  <c r="AA37" i="111"/>
  <c r="AA40" i="111"/>
  <c r="AA34" i="111"/>
  <c r="M107" i="107"/>
  <c r="F108" i="107"/>
  <c r="J107" i="108"/>
  <c r="AF42" i="110"/>
  <c r="AE42" i="110"/>
  <c r="AE42" i="109"/>
  <c r="AF42" i="109"/>
  <c r="K107" i="107"/>
  <c r="C108" i="107"/>
  <c r="L107" i="108"/>
  <c r="G107" i="108"/>
  <c r="L107" i="107"/>
  <c r="G108" i="108"/>
  <c r="F108" i="108"/>
  <c r="C108" i="108"/>
  <c r="K108" i="108"/>
  <c r="N108" i="108"/>
  <c r="K108" i="107"/>
  <c r="L108" i="108"/>
  <c r="D108" i="108"/>
  <c r="I108" i="108"/>
  <c r="E108" i="108"/>
  <c r="J108" i="108"/>
  <c r="D107" i="107"/>
  <c r="G107" i="107"/>
  <c r="J107" i="107"/>
  <c r="N108" i="107"/>
  <c r="G108" i="107"/>
  <c r="D107" i="108"/>
  <c r="M107" i="108"/>
  <c r="K107" i="108"/>
  <c r="L108" i="107"/>
  <c r="F107" i="107"/>
  <c r="I107" i="107"/>
  <c r="E107" i="107"/>
  <c r="N107" i="107"/>
  <c r="C107" i="108"/>
  <c r="N107" i="108"/>
  <c r="F107" i="108"/>
  <c r="I107" i="108"/>
  <c r="E107" i="108"/>
  <c r="H107" i="107"/>
  <c r="D108" i="107"/>
  <c r="J108" i="107"/>
  <c r="I108" i="107"/>
  <c r="E108" i="107"/>
  <c r="AE42" i="105"/>
  <c r="AF42" i="105"/>
  <c r="AE42" i="101"/>
  <c r="AF42" i="101"/>
  <c r="M59" i="93"/>
  <c r="N60" i="93"/>
  <c r="G60" i="93"/>
  <c r="E60" i="93"/>
  <c r="H60" i="93"/>
  <c r="J60" i="93"/>
  <c r="F60" i="93"/>
  <c r="D60" i="93"/>
  <c r="K60" i="93"/>
  <c r="L60" i="93"/>
  <c r="I60" i="93"/>
  <c r="AE24" i="93"/>
  <c r="AE22" i="93"/>
  <c r="AF23" i="93"/>
  <c r="AE23" i="93"/>
  <c r="AF24" i="93"/>
  <c r="AF22" i="93"/>
  <c r="AE26" i="93"/>
  <c r="AF27" i="93"/>
  <c r="AF28" i="93"/>
  <c r="AF25" i="93"/>
  <c r="AE27" i="93"/>
  <c r="AE28" i="93"/>
  <c r="AE25" i="93"/>
  <c r="AF26" i="93"/>
  <c r="D59" i="93"/>
  <c r="C59" i="93"/>
  <c r="L59" i="93"/>
  <c r="F59" i="93"/>
  <c r="J59" i="93"/>
  <c r="E59" i="93"/>
  <c r="H59" i="93"/>
  <c r="K59" i="93"/>
  <c r="N59" i="93"/>
  <c r="I59" i="93"/>
  <c r="AF37" i="111" l="1"/>
  <c r="K107" i="111"/>
  <c r="E108" i="111"/>
  <c r="AE34" i="111"/>
  <c r="F108" i="111"/>
  <c r="AE39" i="111"/>
  <c r="AE37" i="111"/>
  <c r="H107" i="111"/>
  <c r="F107" i="111"/>
  <c r="E107" i="111"/>
  <c r="C107" i="111"/>
  <c r="I107" i="111"/>
  <c r="AE40" i="111"/>
  <c r="AF40" i="111"/>
  <c r="N108" i="111"/>
  <c r="H108" i="111"/>
  <c r="C108" i="111"/>
  <c r="AE35" i="111"/>
  <c r="AE36" i="111"/>
  <c r="AF36" i="111"/>
  <c r="M107" i="111"/>
  <c r="D107" i="111"/>
  <c r="L107" i="111"/>
  <c r="G107" i="111"/>
  <c r="J107" i="111"/>
  <c r="AF38" i="111"/>
  <c r="AF39" i="111"/>
  <c r="AE38" i="111"/>
  <c r="J108" i="111"/>
  <c r="I108" i="111"/>
  <c r="D108" i="111"/>
  <c r="L108" i="111"/>
  <c r="G108" i="111"/>
  <c r="AF35" i="111"/>
</calcChain>
</file>

<file path=xl/sharedStrings.xml><?xml version="1.0" encoding="utf-8"?>
<sst xmlns="http://schemas.openxmlformats.org/spreadsheetml/2006/main" count="2330" uniqueCount="178">
  <si>
    <t>Time / Veh Type</t>
  </si>
  <si>
    <t xml:space="preserve">  Location</t>
  </si>
  <si>
    <t xml:space="preserve">  Dir. To</t>
  </si>
  <si>
    <t>Date</t>
  </si>
  <si>
    <t>Dir. From</t>
  </si>
  <si>
    <t>Surveyor</t>
  </si>
  <si>
    <t>0700-0800</t>
  </si>
  <si>
    <t>0800-0900</t>
  </si>
  <si>
    <t>0900-1000</t>
  </si>
  <si>
    <t>1000-1100</t>
  </si>
  <si>
    <t>1100-1200</t>
  </si>
  <si>
    <t>1200-1300</t>
  </si>
  <si>
    <t>1300-1400</t>
  </si>
  <si>
    <t>1400-1500</t>
  </si>
  <si>
    <t>1500-1600</t>
  </si>
  <si>
    <t>1600-1700</t>
  </si>
  <si>
    <t>1700-1800</t>
  </si>
  <si>
    <t>12 Hours</t>
  </si>
  <si>
    <t>Totals</t>
  </si>
  <si>
    <t>Time</t>
  </si>
  <si>
    <t>1800-1900</t>
  </si>
  <si>
    <t>Supervisor</t>
  </si>
  <si>
    <t>Total All</t>
  </si>
  <si>
    <t>Consultancy services for Preparation of Expressway Development Master Plan (EDMP) for Uganda</t>
  </si>
  <si>
    <t>1. Car</t>
  </si>
  <si>
    <t>2. Station Wagon</t>
  </si>
  <si>
    <t>3. Pickups</t>
  </si>
  <si>
    <t>4. Minibus, matatu</t>
  </si>
  <si>
    <t xml:space="preserve">5. Medium bus </t>
  </si>
  <si>
    <t>6. Large Bus</t>
  </si>
  <si>
    <t xml:space="preserve">7. Light Truck </t>
  </si>
  <si>
    <t xml:space="preserve">8. Medium Truck </t>
  </si>
  <si>
    <t xml:space="preserve">9. Heavy truck </t>
  </si>
  <si>
    <t xml:space="preserve">10. Truck Trailer </t>
  </si>
  <si>
    <t>11. Motorcycles</t>
  </si>
  <si>
    <t>12. Tractors, Graders</t>
  </si>
  <si>
    <t>Total Excl M/Cycles</t>
  </si>
  <si>
    <t>07.00 - 07.15</t>
  </si>
  <si>
    <t>07.15 - 07.30</t>
  </si>
  <si>
    <t>07.30 - 07.45</t>
  </si>
  <si>
    <t>07.45 - 08.00</t>
  </si>
  <si>
    <t>08.00 - 08.15</t>
  </si>
  <si>
    <t>08.15 - 08.30</t>
  </si>
  <si>
    <t>08.30 - 08.45</t>
  </si>
  <si>
    <t>08.45 - 9.00</t>
  </si>
  <si>
    <t>09.00 - 09.15</t>
  </si>
  <si>
    <t>09.15 - 09.30</t>
  </si>
  <si>
    <t>09.30 - 09.45</t>
  </si>
  <si>
    <t>09.45 - 10.00</t>
  </si>
  <si>
    <t>10.00 - 10.15</t>
  </si>
  <si>
    <t>10.15 - 10.30</t>
  </si>
  <si>
    <t>10.30 - 10.45</t>
  </si>
  <si>
    <t>10.45 - 11.00</t>
  </si>
  <si>
    <t>11.00 - 11.15</t>
  </si>
  <si>
    <t>11.15 - 11.30</t>
  </si>
  <si>
    <t>11.30 - 11.45</t>
  </si>
  <si>
    <t>11.45 - 12.00</t>
  </si>
  <si>
    <t>12.00 - 12.15</t>
  </si>
  <si>
    <t>12.15 - 12.30</t>
  </si>
  <si>
    <t>12.30 - 12.45</t>
  </si>
  <si>
    <t>12.45 - 13.00</t>
  </si>
  <si>
    <t>13.00 - 13.15</t>
  </si>
  <si>
    <t>13.15 - 13.30</t>
  </si>
  <si>
    <t>13.30 - 13.45</t>
  </si>
  <si>
    <t>13.45 - 14.00</t>
  </si>
  <si>
    <t>14.00 - 14.15</t>
  </si>
  <si>
    <t>14.15 - 14.30</t>
  </si>
  <si>
    <t>14.30 - 14.45</t>
  </si>
  <si>
    <t>14.45 - 15.00</t>
  </si>
  <si>
    <t>15.00 - 15.15</t>
  </si>
  <si>
    <t>15.15 - 15.30</t>
  </si>
  <si>
    <t>15.30 - 15.45</t>
  </si>
  <si>
    <t>15.45 - 16.00</t>
  </si>
  <si>
    <t>16.00 - 16.15</t>
  </si>
  <si>
    <t>16.15 -16.30</t>
  </si>
  <si>
    <t>16.30 -16.45</t>
  </si>
  <si>
    <t>16.45 -17.00</t>
  </si>
  <si>
    <t>17.00 -17.15</t>
  </si>
  <si>
    <t>17.15 -17.30</t>
  </si>
  <si>
    <t>17.30 -17.45</t>
  </si>
  <si>
    <t>17.45 -18.00</t>
  </si>
  <si>
    <t>18.00 - 18.15</t>
  </si>
  <si>
    <t>18.15 - 18.30</t>
  </si>
  <si>
    <t>18.30 - 18.45</t>
  </si>
  <si>
    <t>18.45 - 19.00</t>
  </si>
  <si>
    <t>AM Period</t>
  </si>
  <si>
    <t>IP Period</t>
  </si>
  <si>
    <t>PM Period</t>
  </si>
  <si>
    <t>SUMMARY TRAFFIC VOLUMES</t>
  </si>
  <si>
    <t>Total Excl M/ Cycles</t>
  </si>
  <si>
    <t>AM Peak Hr</t>
  </si>
  <si>
    <t>IP Peak Hr</t>
  </si>
  <si>
    <t>PM Peak Hr</t>
  </si>
  <si>
    <t>%ges + MCs</t>
  </si>
  <si>
    <t>%ges w/o MCs</t>
  </si>
  <si>
    <t>MANUAL CLASSIFIED COUNT (MCC)</t>
  </si>
  <si>
    <t>ROAD NAME:</t>
  </si>
  <si>
    <t>12. Tractors</t>
  </si>
  <si>
    <t>11. Motor cycles</t>
  </si>
  <si>
    <t>19.00 - 19.15</t>
  </si>
  <si>
    <t>19.15 - 19.30</t>
  </si>
  <si>
    <t>19.30 - 19.45</t>
  </si>
  <si>
    <t>19.45 - 20.00</t>
  </si>
  <si>
    <t>21.00 - 21.15</t>
  </si>
  <si>
    <t>21.15 - 21.30</t>
  </si>
  <si>
    <t>21.30 - 21.45</t>
  </si>
  <si>
    <t>21.45 - 22.00</t>
  </si>
  <si>
    <t>20.00 - 20.15</t>
  </si>
  <si>
    <t>20.15 - 20.30</t>
  </si>
  <si>
    <t>20.30 - 20.45</t>
  </si>
  <si>
    <t>22.00 - 22.15</t>
  </si>
  <si>
    <t>22.15 - 22.30</t>
  </si>
  <si>
    <t>22.30 - 22.45</t>
  </si>
  <si>
    <t>22.45 - 23.00</t>
  </si>
  <si>
    <t>23.00 - 23.15</t>
  </si>
  <si>
    <t>23.15 - 23.30</t>
  </si>
  <si>
    <t>23.30 - 23.45</t>
  </si>
  <si>
    <t>23.45 - 00.00</t>
  </si>
  <si>
    <t>00.00 - 00.15</t>
  </si>
  <si>
    <t>00.15 - 00.30</t>
  </si>
  <si>
    <t>00.30 - 00.45</t>
  </si>
  <si>
    <t>00.45 - 01.00</t>
  </si>
  <si>
    <t>01.00 - 01.15</t>
  </si>
  <si>
    <t>01.15 - 01.30</t>
  </si>
  <si>
    <t>01.30 - 01.45</t>
  </si>
  <si>
    <t>01.45 - 02.00</t>
  </si>
  <si>
    <t>02.00 - 02.15</t>
  </si>
  <si>
    <t>02.15 - 02.30</t>
  </si>
  <si>
    <t>02.30 - 02.45</t>
  </si>
  <si>
    <t>02.45 - 03.00</t>
  </si>
  <si>
    <t>03.00 - 03.15</t>
  </si>
  <si>
    <t>03.15 - 03.30</t>
  </si>
  <si>
    <t>03.30 - 03.45</t>
  </si>
  <si>
    <t>03.45 - 04.00</t>
  </si>
  <si>
    <t>04.00 - 04.15</t>
  </si>
  <si>
    <t>04.15 - 04.30</t>
  </si>
  <si>
    <t>04.30 - 04.45</t>
  </si>
  <si>
    <t>04.45 - 05.00</t>
  </si>
  <si>
    <t>05.00 - 05.15</t>
  </si>
  <si>
    <t>05.15 - 05.30</t>
  </si>
  <si>
    <t>05.30 - 05.45</t>
  </si>
  <si>
    <t>05.45 - 06.00</t>
  </si>
  <si>
    <t>06.00 - 06.15</t>
  </si>
  <si>
    <t>06.15 - 06.30</t>
  </si>
  <si>
    <t>06.30 - 06.45</t>
  </si>
  <si>
    <t>06.45 - 07.00</t>
  </si>
  <si>
    <t>1900-2000</t>
  </si>
  <si>
    <t>2000-2100</t>
  </si>
  <si>
    <t>2100-2200</t>
  </si>
  <si>
    <t>2200-2300</t>
  </si>
  <si>
    <t>2300-0000</t>
  </si>
  <si>
    <t>0000-0100</t>
  </si>
  <si>
    <t>0100-0200</t>
  </si>
  <si>
    <t>0200-0300</t>
  </si>
  <si>
    <t>0300-0400</t>
  </si>
  <si>
    <t>0400-0500</t>
  </si>
  <si>
    <t>0500-0600</t>
  </si>
  <si>
    <t>0600-0700</t>
  </si>
  <si>
    <t>20.45 - 21.00</t>
  </si>
  <si>
    <t>24 Hrs/ADT</t>
  </si>
  <si>
    <t>NEF</t>
  </si>
  <si>
    <t>BOTH DIRECTIONS</t>
  </si>
  <si>
    <t>AVERAGE WEEK</t>
  </si>
  <si>
    <t>Iganga</t>
  </si>
  <si>
    <t>Kaliro</t>
  </si>
  <si>
    <t>Kigulu</t>
  </si>
  <si>
    <t>Kirabo Edith</t>
  </si>
  <si>
    <t>22.08.19</t>
  </si>
  <si>
    <t>Ivan</t>
  </si>
  <si>
    <t>Racheal</t>
  </si>
  <si>
    <t>23.08.19</t>
  </si>
  <si>
    <t>24.08.19</t>
  </si>
  <si>
    <t>25.08.19</t>
  </si>
  <si>
    <t>26.08.19</t>
  </si>
  <si>
    <t>27.08.19</t>
  </si>
  <si>
    <t>28.08.19</t>
  </si>
  <si>
    <t>MCC - C3b- STN94 - IGANGA-KALIRO ROAD</t>
  </si>
  <si>
    <t>24 Hours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</si>
</sst>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5" formatCode="0.000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name val="Arial"/>
      <family val="2"/>
    </font>
    <font>
      <sz val="11"/>
      <color theme="1"/>
      <name val="Calibri"/>
      <family val="2"/>
      <scheme val="minor"/>
    </font>
    <font>
      <b/>
      <sz val="11"/>
      <color indexed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1"/>
      <name val="Calibri"/>
      <family val="2"/>
      <scheme val="minor"/>
    </font>
    <font>
      <b/>
      <sz val="12"/>
      <color theme="1"/>
      <name val="Arial"/>
      <family val="2"/>
    </font>
    <font>
      <i/>
      <sz val="11"/>
      <color theme="1"/>
      <name val="Calibri"/>
      <family val="2"/>
      <scheme val="minor"/>
    </font>
    <font>
      <b/>
      <sz val="14"/>
      <name val="Arial"/>
      <family val="2"/>
    </font>
    <font>
      <b/>
      <sz val="16"/>
      <name val="Arial"/>
      <family val="2"/>
    </font>
    <font>
      <sz val="8"/>
      <name val="Calibri"/>
      <family val="2"/>
      <scheme val="minor"/>
    </font>
    <font>
      <b/>
      <sz val="10"/>
      <color theme="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9FCD2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67">
    <xf numFmtId="0" fontId="0" fillId="0" borderId="0" xfId="0"/>
    <xf numFmtId="0" fontId="0" fillId="0" borderId="1" xfId="0" applyBorder="1"/>
    <xf numFmtId="0" fontId="1" fillId="0" borderId="0" xfId="0" applyFont="1"/>
    <xf numFmtId="0" fontId="0" fillId="0" borderId="0" xfId="0" applyBorder="1"/>
    <xf numFmtId="0" fontId="1" fillId="0" borderId="0" xfId="0" applyFont="1" applyAlignment="1"/>
    <xf numFmtId="0" fontId="1" fillId="0" borderId="1" xfId="0" applyFont="1" applyBorder="1"/>
    <xf numFmtId="9" fontId="0" fillId="0" borderId="0" xfId="1" applyFont="1"/>
    <xf numFmtId="0" fontId="0" fillId="0" borderId="0" xfId="0" applyFont="1" applyFill="1"/>
    <xf numFmtId="0" fontId="0" fillId="0" borderId="0" xfId="0" applyFont="1" applyFill="1" applyAlignment="1">
      <alignment horizontal="center"/>
    </xf>
    <xf numFmtId="0" fontId="4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1" fillId="0" borderId="4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6" fillId="0" borderId="0" xfId="0" applyFont="1"/>
    <xf numFmtId="1" fontId="0" fillId="0" borderId="1" xfId="0" applyNumberFormat="1" applyFill="1" applyBorder="1" applyAlignment="1">
      <alignment horizontal="center"/>
    </xf>
    <xf numFmtId="1" fontId="1" fillId="0" borderId="1" xfId="0" applyNumberFormat="1" applyFont="1" applyBorder="1" applyAlignment="1">
      <alignment horizontal="center"/>
    </xf>
    <xf numFmtId="1" fontId="0" fillId="0" borderId="1" xfId="0" applyNumberFormat="1" applyBorder="1" applyAlignment="1">
      <alignment horizontal="center"/>
    </xf>
    <xf numFmtId="164" fontId="0" fillId="0" borderId="0" xfId="0" applyNumberFormat="1"/>
    <xf numFmtId="0" fontId="0" fillId="0" borderId="0" xfId="0" applyAlignment="1">
      <alignment horizontal="center"/>
    </xf>
    <xf numFmtId="1" fontId="0" fillId="0" borderId="0" xfId="0" applyNumberForma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/>
    </xf>
    <xf numFmtId="0" fontId="7" fillId="0" borderId="5" xfId="0" applyFont="1" applyBorder="1" applyAlignment="1">
      <alignment horizontal="center" vertical="center"/>
    </xf>
    <xf numFmtId="0" fontId="8" fillId="0" borderId="5" xfId="0" applyFont="1" applyFill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left" wrapText="1"/>
    </xf>
    <xf numFmtId="0" fontId="1" fillId="0" borderId="1" xfId="0" applyFont="1" applyBorder="1" applyAlignment="1">
      <alignment wrapText="1"/>
    </xf>
    <xf numFmtId="0" fontId="9" fillId="3" borderId="4" xfId="0" applyFont="1" applyFill="1" applyBorder="1" applyAlignment="1">
      <alignment horizontal="center" vertical="center" wrapText="1"/>
    </xf>
    <xf numFmtId="1" fontId="0" fillId="3" borderId="1" xfId="0" applyNumberFormat="1" applyFill="1" applyBorder="1" applyAlignment="1">
      <alignment horizontal="center"/>
    </xf>
    <xf numFmtId="1" fontId="1" fillId="3" borderId="1" xfId="0" applyNumberFormat="1" applyFont="1" applyFill="1" applyBorder="1" applyAlignment="1">
      <alignment horizontal="center"/>
    </xf>
    <xf numFmtId="0" fontId="0" fillId="0" borderId="5" xfId="0" applyFont="1" applyFill="1" applyBorder="1"/>
    <xf numFmtId="1" fontId="0" fillId="0" borderId="4" xfId="0" applyNumberForma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0" fontId="0" fillId="0" borderId="4" xfId="0" applyBorder="1"/>
    <xf numFmtId="0" fontId="1" fillId="0" borderId="8" xfId="0" applyFont="1" applyBorder="1" applyAlignment="1">
      <alignment wrapText="1"/>
    </xf>
    <xf numFmtId="0" fontId="11" fillId="0" borderId="9" xfId="0" applyFont="1" applyFill="1" applyBorder="1"/>
    <xf numFmtId="1" fontId="11" fillId="0" borderId="9" xfId="0" applyNumberFormat="1" applyFont="1" applyFill="1" applyBorder="1" applyAlignment="1">
      <alignment horizontal="center"/>
    </xf>
    <xf numFmtId="1" fontId="11" fillId="3" borderId="1" xfId="0" applyNumberFormat="1" applyFont="1" applyFill="1" applyBorder="1" applyAlignment="1">
      <alignment horizontal="center"/>
    </xf>
    <xf numFmtId="0" fontId="1" fillId="0" borderId="0" xfId="0" applyFont="1" applyAlignment="1">
      <alignment horizontal="center"/>
    </xf>
    <xf numFmtId="0" fontId="8" fillId="0" borderId="7" xfId="0" applyFont="1" applyFill="1" applyBorder="1" applyAlignment="1">
      <alignment horizontal="center" vertical="center"/>
    </xf>
    <xf numFmtId="164" fontId="1" fillId="0" borderId="4" xfId="1" applyNumberFormat="1" applyFont="1" applyBorder="1" applyAlignment="1">
      <alignment horizontal="center"/>
    </xf>
    <xf numFmtId="10" fontId="1" fillId="0" borderId="9" xfId="1" applyNumberFormat="1" applyFont="1" applyBorder="1"/>
    <xf numFmtId="0" fontId="7" fillId="0" borderId="1" xfId="0" applyFont="1" applyBorder="1" applyAlignment="1">
      <alignment horizontal="left" vertical="center"/>
    </xf>
    <xf numFmtId="0" fontId="7" fillId="0" borderId="4" xfId="0" applyFont="1" applyBorder="1" applyAlignment="1">
      <alignment horizontal="left" vertical="center"/>
    </xf>
    <xf numFmtId="0" fontId="7" fillId="0" borderId="5" xfId="0" applyFont="1" applyBorder="1" applyAlignment="1">
      <alignment horizontal="left" vertical="center"/>
    </xf>
    <xf numFmtId="165" fontId="1" fillId="0" borderId="1" xfId="0" applyNumberFormat="1" applyFont="1" applyBorder="1" applyAlignment="1">
      <alignment horizontal="center"/>
    </xf>
    <xf numFmtId="1" fontId="0" fillId="0" borderId="1" xfId="0" applyNumberFormat="1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5" fontId="1" fillId="3" borderId="1" xfId="0" applyNumberFormat="1" applyFont="1" applyFill="1" applyBorder="1" applyAlignment="1">
      <alignment horizontal="center"/>
    </xf>
    <xf numFmtId="0" fontId="8" fillId="2" borderId="2" xfId="0" applyFont="1" applyFill="1" applyBorder="1" applyAlignment="1">
      <alignment horizontal="left" vertical="center" wrapText="1"/>
    </xf>
    <xf numFmtId="0" fontId="8" fillId="2" borderId="3" xfId="0" applyFont="1" applyFill="1" applyBorder="1" applyAlignment="1">
      <alignment horizontal="left" vertical="center" wrapText="1"/>
    </xf>
    <xf numFmtId="0" fontId="10" fillId="0" borderId="6" xfId="0" applyFont="1" applyFill="1" applyBorder="1" applyAlignment="1">
      <alignment horizontal="center"/>
    </xf>
    <xf numFmtId="0" fontId="13" fillId="0" borderId="0" xfId="0" applyFont="1" applyAlignment="1">
      <alignment horizontal="center"/>
    </xf>
    <xf numFmtId="0" fontId="12" fillId="0" borderId="0" xfId="0" applyFont="1" applyAlignment="1">
      <alignment horizontal="center"/>
    </xf>
    <xf numFmtId="0" fontId="2" fillId="2" borderId="9" xfId="0" applyFont="1" applyFill="1" applyBorder="1" applyAlignment="1">
      <alignment horizontal="center"/>
    </xf>
    <xf numFmtId="0" fontId="8" fillId="0" borderId="2" xfId="0" applyFont="1" applyFill="1" applyBorder="1" applyAlignment="1">
      <alignment horizontal="left" vertical="center" wrapText="1"/>
    </xf>
    <xf numFmtId="0" fontId="8" fillId="0" borderId="3" xfId="0" applyFont="1" applyFill="1" applyBorder="1" applyAlignment="1">
      <alignment horizontal="left" vertical="center" wrapText="1"/>
    </xf>
    <xf numFmtId="0" fontId="2" fillId="0" borderId="9" xfId="0" applyFont="1" applyFill="1" applyBorder="1" applyAlignment="1">
      <alignment horizontal="center"/>
    </xf>
    <xf numFmtId="0" fontId="8" fillId="0" borderId="2" xfId="0" applyFont="1" applyBorder="1" applyAlignment="1">
      <alignment horizontal="left" vertical="center" wrapText="1"/>
    </xf>
    <xf numFmtId="0" fontId="8" fillId="0" borderId="3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/>
    </xf>
    <xf numFmtId="0" fontId="1" fillId="0" borderId="3" xfId="0" applyFont="1" applyBorder="1" applyAlignment="1">
      <alignment horizontal="left"/>
    </xf>
    <xf numFmtId="0" fontId="15" fillId="0" borderId="2" xfId="0" applyFont="1" applyBorder="1" applyAlignment="1">
      <alignment horizontal="left" vertical="center" wrapText="1"/>
    </xf>
    <xf numFmtId="0" fontId="15" fillId="0" borderId="3" xfId="0" applyFont="1" applyBorder="1" applyAlignment="1">
      <alignment horizontal="left" vertic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colors>
    <mruColors>
      <color rgb="FFF9FCD2"/>
      <color rgb="FFF0F2D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60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Iganga-Kaliro'!$AE$10:$AE$21</c:f>
              <c:numCache>
                <c:formatCode>0</c:formatCode>
                <c:ptCount val="12"/>
                <c:pt idx="0">
                  <c:v>63</c:v>
                </c:pt>
                <c:pt idx="1">
                  <c:v>64</c:v>
                </c:pt>
                <c:pt idx="2">
                  <c:v>45</c:v>
                </c:pt>
                <c:pt idx="3">
                  <c:v>55</c:v>
                </c:pt>
                <c:pt idx="4">
                  <c:v>40</c:v>
                </c:pt>
                <c:pt idx="5">
                  <c:v>37</c:v>
                </c:pt>
                <c:pt idx="6">
                  <c:v>56</c:v>
                </c:pt>
                <c:pt idx="7">
                  <c:v>56</c:v>
                </c:pt>
                <c:pt idx="8">
                  <c:v>129</c:v>
                </c:pt>
                <c:pt idx="9">
                  <c:v>84</c:v>
                </c:pt>
                <c:pt idx="10">
                  <c:v>102</c:v>
                </c:pt>
                <c:pt idx="11">
                  <c:v>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2E1-4581-8355-9A9D08B6A3D4}"/>
            </c:ext>
          </c:extLst>
        </c:ser>
        <c:ser>
          <c:idx val="1"/>
          <c:order val="1"/>
          <c:tx>
            <c:strRef>
              <c:f>'22.08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Iganga-Kaliro'!$AF$10:$AF$21</c:f>
              <c:numCache>
                <c:formatCode>0</c:formatCode>
                <c:ptCount val="12"/>
                <c:pt idx="0">
                  <c:v>318</c:v>
                </c:pt>
                <c:pt idx="1">
                  <c:v>244</c:v>
                </c:pt>
                <c:pt idx="2">
                  <c:v>305</c:v>
                </c:pt>
                <c:pt idx="3">
                  <c:v>416</c:v>
                </c:pt>
                <c:pt idx="4">
                  <c:v>430</c:v>
                </c:pt>
                <c:pt idx="5">
                  <c:v>407</c:v>
                </c:pt>
                <c:pt idx="6">
                  <c:v>311</c:v>
                </c:pt>
                <c:pt idx="7">
                  <c:v>306</c:v>
                </c:pt>
                <c:pt idx="8">
                  <c:v>539</c:v>
                </c:pt>
                <c:pt idx="9">
                  <c:v>369</c:v>
                </c:pt>
                <c:pt idx="10">
                  <c:v>342</c:v>
                </c:pt>
                <c:pt idx="11">
                  <c:v>306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2E1-4581-8355-9A9D08B6A3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674336"/>
        <c:axId val="-687673792"/>
      </c:lineChart>
      <c:catAx>
        <c:axId val="-6876743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73792"/>
        <c:crosses val="autoZero"/>
        <c:auto val="1"/>
        <c:lblAlgn val="ctr"/>
        <c:lblOffset val="100"/>
        <c:noMultiLvlLbl val="0"/>
      </c:catAx>
      <c:valAx>
        <c:axId val="-687673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743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966C-49DF-A540-BEECCA775C9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966C-49DF-A540-BEECCA775C9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966C-49DF-A540-BEECCA775C9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966C-49DF-A540-BEECCA775C9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966C-49DF-A540-BEECCA775C9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966C-49DF-A540-BEECCA775C9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966C-49DF-A540-BEECCA775C9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966C-49DF-A540-BEECCA775C9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966C-49DF-A540-BEECCA775C9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966C-49DF-A540-BEECCA775C9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966C-49DF-A540-BEECCA775C9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966C-49DF-A540-BEECCA775C9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66C-49DF-A540-BEECCA775C9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Iganga-Kaliro'!$C$59:$N$59</c:f>
              <c:numCache>
                <c:formatCode>0.0%</c:formatCode>
                <c:ptCount val="12"/>
                <c:pt idx="0">
                  <c:v>3.9832285115303984E-2</c:v>
                </c:pt>
                <c:pt idx="1">
                  <c:v>2.9117167481947356E-2</c:v>
                </c:pt>
                <c:pt idx="2">
                  <c:v>2.2361984626135568E-2</c:v>
                </c:pt>
                <c:pt idx="3">
                  <c:v>6.1262520382017238E-2</c:v>
                </c:pt>
                <c:pt idx="4">
                  <c:v>0</c:v>
                </c:pt>
                <c:pt idx="5">
                  <c:v>0</c:v>
                </c:pt>
                <c:pt idx="6">
                  <c:v>2.5157232704402517E-2</c:v>
                </c:pt>
                <c:pt idx="7">
                  <c:v>7.6869322152341019E-3</c:v>
                </c:pt>
                <c:pt idx="8">
                  <c:v>6.9881201956673651E-4</c:v>
                </c:pt>
                <c:pt idx="9">
                  <c:v>0</c:v>
                </c:pt>
                <c:pt idx="10">
                  <c:v>0.81318425343582579</c:v>
                </c:pt>
                <c:pt idx="11">
                  <c:v>6.9881201956673651E-4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966C-49DF-A540-BEECCA775C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E16-490A-B833-4EE796B330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E16-490A-B833-4EE796B330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E16-490A-B833-4EE796B330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E16-490A-B833-4EE796B330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E16-490A-B833-4EE796B330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E16-490A-B833-4EE796B330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E16-490A-B833-4EE796B330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E16-490A-B833-4EE796B330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E16-490A-B833-4EE796B330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E16-490A-B833-4EE796B330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E16-490A-B833-4EE796B330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E16-490A-B833-4EE796B330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E16-490A-B833-4EE796B330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Iganga-Kaliro'!$C$60:$N$60</c:f>
              <c:numCache>
                <c:formatCode>0.00%</c:formatCode>
                <c:ptCount val="12"/>
                <c:pt idx="0">
                  <c:v>0.21321695760598502</c:v>
                </c:pt>
                <c:pt idx="1">
                  <c:v>0.15586034912718205</c:v>
                </c:pt>
                <c:pt idx="2">
                  <c:v>0.11970074812967581</c:v>
                </c:pt>
                <c:pt idx="3">
                  <c:v>0.32793017456359103</c:v>
                </c:pt>
                <c:pt idx="4">
                  <c:v>0</c:v>
                </c:pt>
                <c:pt idx="5">
                  <c:v>0</c:v>
                </c:pt>
                <c:pt idx="6">
                  <c:v>0.13466334164588528</c:v>
                </c:pt>
                <c:pt idx="7">
                  <c:v>4.1147132169576058E-2</c:v>
                </c:pt>
                <c:pt idx="8">
                  <c:v>3.740648379052369E-3</c:v>
                </c:pt>
                <c:pt idx="9">
                  <c:v>0</c:v>
                </c:pt>
                <c:pt idx="11">
                  <c:v>3.740648379052369E-3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E16-490A-B833-4EE796B330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'22.08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Kaliro-Iganga'!$AE$10:$AE$21</c:f>
              <c:numCache>
                <c:formatCode>0</c:formatCode>
                <c:ptCount val="12"/>
                <c:pt idx="0">
                  <c:v>49</c:v>
                </c:pt>
                <c:pt idx="1">
                  <c:v>40</c:v>
                </c:pt>
                <c:pt idx="2">
                  <c:v>44</c:v>
                </c:pt>
                <c:pt idx="3">
                  <c:v>41</c:v>
                </c:pt>
                <c:pt idx="4">
                  <c:v>41</c:v>
                </c:pt>
                <c:pt idx="5">
                  <c:v>27</c:v>
                </c:pt>
                <c:pt idx="6">
                  <c:v>38</c:v>
                </c:pt>
                <c:pt idx="7">
                  <c:v>57</c:v>
                </c:pt>
                <c:pt idx="8">
                  <c:v>81</c:v>
                </c:pt>
                <c:pt idx="9">
                  <c:v>53</c:v>
                </c:pt>
                <c:pt idx="10">
                  <c:v>27</c:v>
                </c:pt>
                <c:pt idx="11">
                  <c:v>38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9C-45BB-88A7-B65865997A3E}"/>
            </c:ext>
          </c:extLst>
        </c:ser>
        <c:ser>
          <c:idx val="1"/>
          <c:order val="1"/>
          <c:tx>
            <c:strRef>
              <c:f>'22.08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'22.08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Kaliro-Iganga'!$AF$10:$AF$21</c:f>
              <c:numCache>
                <c:formatCode>0</c:formatCode>
                <c:ptCount val="12"/>
                <c:pt idx="0">
                  <c:v>296</c:v>
                </c:pt>
                <c:pt idx="1">
                  <c:v>294</c:v>
                </c:pt>
                <c:pt idx="2">
                  <c:v>469</c:v>
                </c:pt>
                <c:pt idx="3">
                  <c:v>422</c:v>
                </c:pt>
                <c:pt idx="4">
                  <c:v>388</c:v>
                </c:pt>
                <c:pt idx="5">
                  <c:v>333</c:v>
                </c:pt>
                <c:pt idx="6">
                  <c:v>388</c:v>
                </c:pt>
                <c:pt idx="7">
                  <c:v>342</c:v>
                </c:pt>
                <c:pt idx="8">
                  <c:v>327</c:v>
                </c:pt>
                <c:pt idx="9">
                  <c:v>294</c:v>
                </c:pt>
                <c:pt idx="10">
                  <c:v>250</c:v>
                </c:pt>
                <c:pt idx="11">
                  <c:v>258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9C-45BB-88A7-B65865997A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666176"/>
        <c:axId val="-687668896"/>
      </c:lineChart>
      <c:catAx>
        <c:axId val="-6876661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68896"/>
        <c:crosses val="autoZero"/>
        <c:auto val="1"/>
        <c:lblAlgn val="ctr"/>
        <c:lblOffset val="100"/>
        <c:noMultiLvlLbl val="0"/>
      </c:catAx>
      <c:valAx>
        <c:axId val="-68766889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661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E8B9-4D32-9FA4-C5B7B71D021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E8B9-4D32-9FA4-C5B7B71D021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E8B9-4D32-9FA4-C5B7B71D021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E8B9-4D32-9FA4-C5B7B71D021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E8B9-4D32-9FA4-C5B7B71D021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E8B9-4D32-9FA4-C5B7B71D021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E8B9-4D32-9FA4-C5B7B71D021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E8B9-4D32-9FA4-C5B7B71D021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E8B9-4D32-9FA4-C5B7B71D021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E8B9-4D32-9FA4-C5B7B71D021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E8B9-4D32-9FA4-C5B7B71D021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E8B9-4D32-9FA4-C5B7B71D021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E8B9-4D32-9FA4-C5B7B71D021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Kaliro-Iganga'!$C$59:$N$59</c:f>
              <c:numCache>
                <c:formatCode>0.0%</c:formatCode>
                <c:ptCount val="12"/>
                <c:pt idx="0">
                  <c:v>4.1861610440778137E-2</c:v>
                </c:pt>
                <c:pt idx="1">
                  <c:v>1.0096035459246491E-2</c:v>
                </c:pt>
                <c:pt idx="2">
                  <c:v>1.7729623245506032E-2</c:v>
                </c:pt>
                <c:pt idx="3">
                  <c:v>3.6197980792908153E-2</c:v>
                </c:pt>
                <c:pt idx="4">
                  <c:v>1.2312238364934746E-3</c:v>
                </c:pt>
                <c:pt idx="5">
                  <c:v>4.9248953459738983E-4</c:v>
                </c:pt>
                <c:pt idx="6">
                  <c:v>1.5759665107116475E-2</c:v>
                </c:pt>
                <c:pt idx="7">
                  <c:v>7.8798325535582373E-3</c:v>
                </c:pt>
                <c:pt idx="8">
                  <c:v>7.3873430189608474E-4</c:v>
                </c:pt>
                <c:pt idx="9">
                  <c:v>0</c:v>
                </c:pt>
                <c:pt idx="10">
                  <c:v>0.86801280472789955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E8B9-4D32-9FA4-C5B7B71D021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'22.08 Kaliro-Iganga'!$S$9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'22.08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Kaliro-Iganga'!$S$10:$S$21</c:f>
              <c:numCache>
                <c:formatCode>0</c:formatCode>
                <c:ptCount val="12"/>
                <c:pt idx="0">
                  <c:v>8</c:v>
                </c:pt>
                <c:pt idx="1">
                  <c:v>14</c:v>
                </c:pt>
                <c:pt idx="2">
                  <c:v>21</c:v>
                </c:pt>
                <c:pt idx="3">
                  <c:v>12</c:v>
                </c:pt>
                <c:pt idx="4">
                  <c:v>21</c:v>
                </c:pt>
                <c:pt idx="5">
                  <c:v>9</c:v>
                </c:pt>
                <c:pt idx="6">
                  <c:v>8</c:v>
                </c:pt>
                <c:pt idx="7">
                  <c:v>18</c:v>
                </c:pt>
                <c:pt idx="8">
                  <c:v>21</c:v>
                </c:pt>
                <c:pt idx="9">
                  <c:v>18</c:v>
                </c:pt>
                <c:pt idx="10">
                  <c:v>5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651-40BE-9A1E-5B6943FE144C}"/>
            </c:ext>
          </c:extLst>
        </c:ser>
        <c:ser>
          <c:idx val="1"/>
          <c:order val="1"/>
          <c:tx>
            <c:strRef>
              <c:f>'22.08 Kaliro-Iganga'!$T$9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'22.08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'22.08 Kaliro-Iganga'!$T$10:$T$21</c:f>
              <c:numCache>
                <c:formatCode>0</c:formatCode>
                <c:ptCount val="12"/>
                <c:pt idx="0">
                  <c:v>0</c:v>
                </c:pt>
                <c:pt idx="1">
                  <c:v>4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  <c:pt idx="6">
                  <c:v>3</c:v>
                </c:pt>
                <c:pt idx="7">
                  <c:v>7</c:v>
                </c:pt>
                <c:pt idx="8">
                  <c:v>12</c:v>
                </c:pt>
                <c:pt idx="9">
                  <c:v>9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651-40BE-9A1E-5B6943FE144C}"/>
            </c:ext>
          </c:extLst>
        </c:ser>
        <c:ser>
          <c:idx val="2"/>
          <c:order val="2"/>
          <c:tx>
            <c:strRef>
              <c:f>'22.08 Kaliro-Iganga'!$U$9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Kaliro-Iganga'!$U$10:$U$21</c:f>
              <c:numCache>
                <c:formatCode>0</c:formatCode>
                <c:ptCount val="12"/>
                <c:pt idx="0">
                  <c:v>13</c:v>
                </c:pt>
                <c:pt idx="1">
                  <c:v>3</c:v>
                </c:pt>
                <c:pt idx="2">
                  <c:v>1</c:v>
                </c:pt>
                <c:pt idx="3">
                  <c:v>3</c:v>
                </c:pt>
                <c:pt idx="4">
                  <c:v>4</c:v>
                </c:pt>
                <c:pt idx="5">
                  <c:v>3</c:v>
                </c:pt>
                <c:pt idx="6">
                  <c:v>3</c:v>
                </c:pt>
                <c:pt idx="7">
                  <c:v>8</c:v>
                </c:pt>
                <c:pt idx="8">
                  <c:v>16</c:v>
                </c:pt>
                <c:pt idx="9">
                  <c:v>6</c:v>
                </c:pt>
                <c:pt idx="10">
                  <c:v>4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51-40BE-9A1E-5B6943FE144C}"/>
            </c:ext>
          </c:extLst>
        </c:ser>
        <c:ser>
          <c:idx val="3"/>
          <c:order val="3"/>
          <c:tx>
            <c:strRef>
              <c:f>'22.08 Kaliro-Iganga'!$V$9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Kaliro-Iganga'!$V$10:$V$21</c:f>
              <c:numCache>
                <c:formatCode>0</c:formatCode>
                <c:ptCount val="12"/>
                <c:pt idx="0">
                  <c:v>16</c:v>
                </c:pt>
                <c:pt idx="1">
                  <c:v>15</c:v>
                </c:pt>
                <c:pt idx="2">
                  <c:v>12</c:v>
                </c:pt>
                <c:pt idx="3">
                  <c:v>11</c:v>
                </c:pt>
                <c:pt idx="4">
                  <c:v>8</c:v>
                </c:pt>
                <c:pt idx="5">
                  <c:v>7</c:v>
                </c:pt>
                <c:pt idx="6">
                  <c:v>6</c:v>
                </c:pt>
                <c:pt idx="7">
                  <c:v>16</c:v>
                </c:pt>
                <c:pt idx="8">
                  <c:v>16</c:v>
                </c:pt>
                <c:pt idx="9">
                  <c:v>15</c:v>
                </c:pt>
                <c:pt idx="10">
                  <c:v>13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51-40BE-9A1E-5B6943FE144C}"/>
            </c:ext>
          </c:extLst>
        </c:ser>
        <c:ser>
          <c:idx val="4"/>
          <c:order val="4"/>
          <c:tx>
            <c:strRef>
              <c:f>'22.08 Kaliro-Iganga'!$W$9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2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1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51-40BE-9A1E-5B6943FE144C}"/>
            </c:ext>
          </c:extLst>
        </c:ser>
        <c:ser>
          <c:idx val="5"/>
          <c:order val="5"/>
          <c:tx>
            <c:strRef>
              <c:f>'22.08 Kaliro-Iganga'!$X$9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2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51-40BE-9A1E-5B6943FE144C}"/>
            </c:ext>
          </c:extLst>
        </c:ser>
        <c:ser>
          <c:idx val="6"/>
          <c:order val="6"/>
          <c:tx>
            <c:strRef>
              <c:f>'22.08 Kaliro-Iganga'!$Y$9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Kaliro-Iganga'!$Y$10:$Y$21</c:f>
              <c:numCache>
                <c:formatCode>0</c:formatCode>
                <c:ptCount val="12"/>
                <c:pt idx="0">
                  <c:v>10</c:v>
                </c:pt>
                <c:pt idx="1">
                  <c:v>3</c:v>
                </c:pt>
                <c:pt idx="2">
                  <c:v>5</c:v>
                </c:pt>
                <c:pt idx="3">
                  <c:v>11</c:v>
                </c:pt>
                <c:pt idx="4">
                  <c:v>5</c:v>
                </c:pt>
                <c:pt idx="5">
                  <c:v>4</c:v>
                </c:pt>
                <c:pt idx="6">
                  <c:v>5</c:v>
                </c:pt>
                <c:pt idx="7">
                  <c:v>3</c:v>
                </c:pt>
                <c:pt idx="8">
                  <c:v>8</c:v>
                </c:pt>
                <c:pt idx="9">
                  <c:v>4</c:v>
                </c:pt>
                <c:pt idx="10">
                  <c:v>5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51-40BE-9A1E-5B6943FE144C}"/>
            </c:ext>
          </c:extLst>
        </c:ser>
        <c:ser>
          <c:idx val="7"/>
          <c:order val="7"/>
          <c:tx>
            <c:strRef>
              <c:f>'22.08 Kaliro-Iganga'!$Z$9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Kaliro-Iganga'!$Z$10:$Z$21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1</c:v>
                </c:pt>
                <c:pt idx="6">
                  <c:v>12</c:v>
                </c:pt>
                <c:pt idx="7">
                  <c:v>2</c:v>
                </c:pt>
                <c:pt idx="8">
                  <c:v>7</c:v>
                </c:pt>
                <c:pt idx="9">
                  <c:v>1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651-40BE-9A1E-5B6943FE144C}"/>
            </c:ext>
          </c:extLst>
        </c:ser>
        <c:ser>
          <c:idx val="8"/>
          <c:order val="8"/>
          <c:tx>
            <c:strRef>
              <c:f>'22.08 Kaliro-Iganga'!$AA$9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651-40BE-9A1E-5B6943FE144C}"/>
            </c:ext>
          </c:extLst>
        </c:ser>
        <c:ser>
          <c:idx val="9"/>
          <c:order val="9"/>
          <c:tx>
            <c:strRef>
              <c:f>'22.08 Kaliro-Iganga'!$AB$9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651-40BE-9A1E-5B6943FE144C}"/>
            </c:ext>
          </c:extLst>
        </c:ser>
        <c:ser>
          <c:idx val="10"/>
          <c:order val="10"/>
          <c:tx>
            <c:strRef>
              <c:f>'22.08 Kaliro-Iganga'!$AC$9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Kaliro-Iganga'!$AC$10:$AC$21</c:f>
              <c:numCache>
                <c:formatCode>0</c:formatCode>
                <c:ptCount val="12"/>
                <c:pt idx="0">
                  <c:v>247</c:v>
                </c:pt>
                <c:pt idx="1">
                  <c:v>254</c:v>
                </c:pt>
                <c:pt idx="2">
                  <c:v>425</c:v>
                </c:pt>
                <c:pt idx="3">
                  <c:v>381</c:v>
                </c:pt>
                <c:pt idx="4">
                  <c:v>347</c:v>
                </c:pt>
                <c:pt idx="5">
                  <c:v>306</c:v>
                </c:pt>
                <c:pt idx="6">
                  <c:v>350</c:v>
                </c:pt>
                <c:pt idx="7">
                  <c:v>285</c:v>
                </c:pt>
                <c:pt idx="8">
                  <c:v>246</c:v>
                </c:pt>
                <c:pt idx="9">
                  <c:v>241</c:v>
                </c:pt>
                <c:pt idx="10">
                  <c:v>223</c:v>
                </c:pt>
                <c:pt idx="11">
                  <c:v>220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651-40BE-9A1E-5B6943FE144C}"/>
            </c:ext>
          </c:extLst>
        </c:ser>
        <c:ser>
          <c:idx val="11"/>
          <c:order val="11"/>
          <c:tx>
            <c:strRef>
              <c:f>'22.08 Kaliro-Iganga'!$AD$9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'22.08 Kaliro-Iganga'!$AD$10:$AD$21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651-40BE-9A1E-5B6943FE14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687671616"/>
        <c:axId val="-687674880"/>
      </c:lineChart>
      <c:catAx>
        <c:axId val="-6876716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74880"/>
        <c:crosses val="autoZero"/>
        <c:auto val="1"/>
        <c:lblAlgn val="ctr"/>
        <c:lblOffset val="100"/>
        <c:noMultiLvlLbl val="0"/>
      </c:catAx>
      <c:valAx>
        <c:axId val="-68767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716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F2F-4319-A1B1-A94A163849D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F2F-4319-A1B1-A94A163849D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F2F-4319-A1B1-A94A163849D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F2F-4319-A1B1-A94A163849D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F2F-4319-A1B1-A94A163849D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F2F-4319-A1B1-A94A163849D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F2F-4319-A1B1-A94A163849D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F2F-4319-A1B1-A94A163849D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F2F-4319-A1B1-A94A163849D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F2F-4319-A1B1-A94A163849D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F2F-4319-A1B1-A94A163849D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F2F-4319-A1B1-A94A163849D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F2F-4319-A1B1-A94A163849D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'22.08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'22.08 Kaliro-Iganga'!$C$60:$N$60</c:f>
              <c:numCache>
                <c:formatCode>0.00%</c:formatCode>
                <c:ptCount val="12"/>
                <c:pt idx="0">
                  <c:v>0.31716417910447764</c:v>
                </c:pt>
                <c:pt idx="1">
                  <c:v>7.6492537313432835E-2</c:v>
                </c:pt>
                <c:pt idx="2">
                  <c:v>0.13432835820895522</c:v>
                </c:pt>
                <c:pt idx="3">
                  <c:v>0.27425373134328357</c:v>
                </c:pt>
                <c:pt idx="4">
                  <c:v>9.3283582089552231E-3</c:v>
                </c:pt>
                <c:pt idx="5">
                  <c:v>3.7313432835820895E-3</c:v>
                </c:pt>
                <c:pt idx="6">
                  <c:v>0.11940298507462686</c:v>
                </c:pt>
                <c:pt idx="7">
                  <c:v>5.9701492537313432E-2</c:v>
                </c:pt>
                <c:pt idx="8">
                  <c:v>5.597014925373134E-3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F2F-4319-A1B1-A94A163849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Iganga-Kaliro'!$AE$10:$AE$21</c:f>
              <c:numCache>
                <c:formatCode>0</c:formatCode>
                <c:ptCount val="12"/>
                <c:pt idx="0">
                  <c:v>81</c:v>
                </c:pt>
                <c:pt idx="1">
                  <c:v>28</c:v>
                </c:pt>
                <c:pt idx="2">
                  <c:v>44</c:v>
                </c:pt>
                <c:pt idx="3">
                  <c:v>55</c:v>
                </c:pt>
                <c:pt idx="4">
                  <c:v>52</c:v>
                </c:pt>
                <c:pt idx="5">
                  <c:v>73</c:v>
                </c:pt>
                <c:pt idx="6">
                  <c:v>93</c:v>
                </c:pt>
                <c:pt idx="7">
                  <c:v>90</c:v>
                </c:pt>
                <c:pt idx="8">
                  <c:v>117</c:v>
                </c:pt>
                <c:pt idx="9">
                  <c:v>89</c:v>
                </c:pt>
                <c:pt idx="10">
                  <c:v>95</c:v>
                </c:pt>
                <c:pt idx="11">
                  <c:v>106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6D6-4B77-8026-30DBF41B753F}"/>
            </c:ext>
          </c:extLst>
        </c:ser>
        <c:ser>
          <c:idx val="1"/>
          <c:order val="1"/>
          <c:tx>
            <c:strRef>
              <c:f>'23.08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Iganga-Kaliro'!$AF$10:$AF$21</c:f>
              <c:numCache>
                <c:formatCode>0</c:formatCode>
                <c:ptCount val="12"/>
                <c:pt idx="0">
                  <c:v>426</c:v>
                </c:pt>
                <c:pt idx="1">
                  <c:v>328</c:v>
                </c:pt>
                <c:pt idx="2">
                  <c:v>279</c:v>
                </c:pt>
                <c:pt idx="3">
                  <c:v>385</c:v>
                </c:pt>
                <c:pt idx="4">
                  <c:v>477</c:v>
                </c:pt>
                <c:pt idx="5">
                  <c:v>403</c:v>
                </c:pt>
                <c:pt idx="6">
                  <c:v>493</c:v>
                </c:pt>
                <c:pt idx="7">
                  <c:v>460</c:v>
                </c:pt>
                <c:pt idx="8">
                  <c:v>577</c:v>
                </c:pt>
                <c:pt idx="9">
                  <c:v>559</c:v>
                </c:pt>
                <c:pt idx="10">
                  <c:v>530</c:v>
                </c:pt>
                <c:pt idx="11">
                  <c:v>381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6D6-4B77-8026-30DBF41B75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687664544"/>
        <c:axId val="-550447392"/>
      </c:lineChart>
      <c:catAx>
        <c:axId val="-68766454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7392"/>
        <c:crosses val="autoZero"/>
        <c:auto val="1"/>
        <c:lblAlgn val="ctr"/>
        <c:lblOffset val="100"/>
        <c:noMultiLvlLbl val="0"/>
      </c:catAx>
      <c:valAx>
        <c:axId val="-5504473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68766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5BA-447C-A3CB-236E1F2B31F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5BA-447C-A3CB-236E1F2B31F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5BA-447C-A3CB-236E1F2B31F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5BA-447C-A3CB-236E1F2B31F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5BA-447C-A3CB-236E1F2B31F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5BA-447C-A3CB-236E1F2B31F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5BA-447C-A3CB-236E1F2B31F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5BA-447C-A3CB-236E1F2B31F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5BA-447C-A3CB-236E1F2B31F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5BA-447C-A3CB-236E1F2B31F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5BA-447C-A3CB-236E1F2B31F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5BA-447C-A3CB-236E1F2B31F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5BA-447C-A3CB-236E1F2B31F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Iganga-Kaliro'!$C$59:$N$59</c:f>
              <c:numCache>
                <c:formatCode>0.0%</c:formatCode>
                <c:ptCount val="12"/>
                <c:pt idx="0">
                  <c:v>3.8505096262740658E-2</c:v>
                </c:pt>
                <c:pt idx="1">
                  <c:v>2.3027557568893922E-2</c:v>
                </c:pt>
                <c:pt idx="2">
                  <c:v>2.1140052850132124E-2</c:v>
                </c:pt>
                <c:pt idx="3">
                  <c:v>5.6247640619101549E-2</c:v>
                </c:pt>
                <c:pt idx="4">
                  <c:v>0</c:v>
                </c:pt>
                <c:pt idx="5">
                  <c:v>0</c:v>
                </c:pt>
                <c:pt idx="6">
                  <c:v>1.9630049075122689E-2</c:v>
                </c:pt>
                <c:pt idx="7">
                  <c:v>1.4156285390713477E-2</c:v>
                </c:pt>
                <c:pt idx="8">
                  <c:v>1.8875047187617969E-4</c:v>
                </c:pt>
                <c:pt idx="9">
                  <c:v>0</c:v>
                </c:pt>
                <c:pt idx="10">
                  <c:v>0.82578331445828612</c:v>
                </c:pt>
                <c:pt idx="11">
                  <c:v>1.3212533031332577E-3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5BA-447C-A3CB-236E1F2B31F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Iganga-Kaliro'!$S$9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Iganga-Kaliro'!$S$10:$S$21</c:f>
              <c:numCache>
                <c:formatCode>0</c:formatCode>
                <c:ptCount val="12"/>
                <c:pt idx="0">
                  <c:v>9</c:v>
                </c:pt>
                <c:pt idx="1">
                  <c:v>6</c:v>
                </c:pt>
                <c:pt idx="2">
                  <c:v>13</c:v>
                </c:pt>
                <c:pt idx="3">
                  <c:v>18</c:v>
                </c:pt>
                <c:pt idx="4">
                  <c:v>14</c:v>
                </c:pt>
                <c:pt idx="5">
                  <c:v>13</c:v>
                </c:pt>
                <c:pt idx="6">
                  <c:v>25</c:v>
                </c:pt>
                <c:pt idx="7">
                  <c:v>16</c:v>
                </c:pt>
                <c:pt idx="8">
                  <c:v>31</c:v>
                </c:pt>
                <c:pt idx="9">
                  <c:v>18</c:v>
                </c:pt>
                <c:pt idx="10">
                  <c:v>21</c:v>
                </c:pt>
                <c:pt idx="11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D54-447E-B68D-E1368766DED9}"/>
            </c:ext>
          </c:extLst>
        </c:ser>
        <c:ser>
          <c:idx val="1"/>
          <c:order val="1"/>
          <c:tx>
            <c:strRef>
              <c:f>'23.08 Iganga-Kaliro'!$T$9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Iganga-Kaliro'!$T$10:$T$21</c:f>
              <c:numCache>
                <c:formatCode>0</c:formatCode>
                <c:ptCount val="12"/>
                <c:pt idx="0">
                  <c:v>9</c:v>
                </c:pt>
                <c:pt idx="1">
                  <c:v>3</c:v>
                </c:pt>
                <c:pt idx="2">
                  <c:v>1</c:v>
                </c:pt>
                <c:pt idx="3">
                  <c:v>8</c:v>
                </c:pt>
                <c:pt idx="4">
                  <c:v>10</c:v>
                </c:pt>
                <c:pt idx="5">
                  <c:v>9</c:v>
                </c:pt>
                <c:pt idx="6">
                  <c:v>9</c:v>
                </c:pt>
                <c:pt idx="7">
                  <c:v>12</c:v>
                </c:pt>
                <c:pt idx="8">
                  <c:v>19</c:v>
                </c:pt>
                <c:pt idx="9">
                  <c:v>13</c:v>
                </c:pt>
                <c:pt idx="10">
                  <c:v>12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D54-447E-B68D-E1368766DED9}"/>
            </c:ext>
          </c:extLst>
        </c:ser>
        <c:ser>
          <c:idx val="2"/>
          <c:order val="2"/>
          <c:tx>
            <c:strRef>
              <c:f>'23.08 Iganga-Kaliro'!$U$9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Iganga-Kaliro'!$U$10:$U$21</c:f>
              <c:numCache>
                <c:formatCode>0</c:formatCode>
                <c:ptCount val="12"/>
                <c:pt idx="0">
                  <c:v>10</c:v>
                </c:pt>
                <c:pt idx="1">
                  <c:v>3</c:v>
                </c:pt>
                <c:pt idx="2">
                  <c:v>6</c:v>
                </c:pt>
                <c:pt idx="3">
                  <c:v>5</c:v>
                </c:pt>
                <c:pt idx="4">
                  <c:v>4</c:v>
                </c:pt>
                <c:pt idx="5">
                  <c:v>9</c:v>
                </c:pt>
                <c:pt idx="6">
                  <c:v>15</c:v>
                </c:pt>
                <c:pt idx="7">
                  <c:v>9</c:v>
                </c:pt>
                <c:pt idx="8">
                  <c:v>11</c:v>
                </c:pt>
                <c:pt idx="9">
                  <c:v>12</c:v>
                </c:pt>
                <c:pt idx="10">
                  <c:v>16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D54-447E-B68D-E1368766DED9}"/>
            </c:ext>
          </c:extLst>
        </c:ser>
        <c:ser>
          <c:idx val="3"/>
          <c:order val="3"/>
          <c:tx>
            <c:strRef>
              <c:f>'23.08 Iganga-Kaliro'!$V$9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Iganga-Kaliro'!$V$10:$V$21</c:f>
              <c:numCache>
                <c:formatCode>0</c:formatCode>
                <c:ptCount val="12"/>
                <c:pt idx="0">
                  <c:v>33</c:v>
                </c:pt>
                <c:pt idx="1">
                  <c:v>1</c:v>
                </c:pt>
                <c:pt idx="2">
                  <c:v>11</c:v>
                </c:pt>
                <c:pt idx="3">
                  <c:v>9</c:v>
                </c:pt>
                <c:pt idx="4">
                  <c:v>12</c:v>
                </c:pt>
                <c:pt idx="5">
                  <c:v>24</c:v>
                </c:pt>
                <c:pt idx="6">
                  <c:v>21</c:v>
                </c:pt>
                <c:pt idx="7">
                  <c:v>34</c:v>
                </c:pt>
                <c:pt idx="8">
                  <c:v>45</c:v>
                </c:pt>
                <c:pt idx="9">
                  <c:v>31</c:v>
                </c:pt>
                <c:pt idx="10">
                  <c:v>35</c:v>
                </c:pt>
                <c:pt idx="11">
                  <c:v>42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D54-447E-B68D-E1368766DED9}"/>
            </c:ext>
          </c:extLst>
        </c:ser>
        <c:ser>
          <c:idx val="4"/>
          <c:order val="4"/>
          <c:tx>
            <c:strRef>
              <c:f>'23.08 Iganga-Kaliro'!$W$9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D54-447E-B68D-E1368766DED9}"/>
            </c:ext>
          </c:extLst>
        </c:ser>
        <c:ser>
          <c:idx val="5"/>
          <c:order val="5"/>
          <c:tx>
            <c:strRef>
              <c:f>'23.08 Iganga-Kaliro'!$X$9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D54-447E-B68D-E1368766DED9}"/>
            </c:ext>
          </c:extLst>
        </c:ser>
        <c:ser>
          <c:idx val="6"/>
          <c:order val="6"/>
          <c:tx>
            <c:strRef>
              <c:f>'23.08 Iganga-Kaliro'!$Y$9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Iganga-Kaliro'!$Y$10:$Y$21</c:f>
              <c:numCache>
                <c:formatCode>0</c:formatCode>
                <c:ptCount val="12"/>
                <c:pt idx="0">
                  <c:v>13</c:v>
                </c:pt>
                <c:pt idx="1">
                  <c:v>8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9</c:v>
                </c:pt>
                <c:pt idx="6">
                  <c:v>12</c:v>
                </c:pt>
                <c:pt idx="7">
                  <c:v>10</c:v>
                </c:pt>
                <c:pt idx="8">
                  <c:v>7</c:v>
                </c:pt>
                <c:pt idx="9">
                  <c:v>11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D54-447E-B68D-E1368766DED9}"/>
            </c:ext>
          </c:extLst>
        </c:ser>
        <c:ser>
          <c:idx val="7"/>
          <c:order val="7"/>
          <c:tx>
            <c:strRef>
              <c:f>'23.08 Iganga-Kaliro'!$Z$9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Iganga-Kaliro'!$Z$10:$Z$21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5</c:v>
                </c:pt>
                <c:pt idx="3">
                  <c:v>8</c:v>
                </c:pt>
                <c:pt idx="4">
                  <c:v>7</c:v>
                </c:pt>
                <c:pt idx="5">
                  <c:v>9</c:v>
                </c:pt>
                <c:pt idx="6">
                  <c:v>11</c:v>
                </c:pt>
                <c:pt idx="7">
                  <c:v>9</c:v>
                </c:pt>
                <c:pt idx="8">
                  <c:v>4</c:v>
                </c:pt>
                <c:pt idx="9">
                  <c:v>2</c:v>
                </c:pt>
                <c:pt idx="10">
                  <c:v>2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6D54-447E-B68D-E1368766DED9}"/>
            </c:ext>
          </c:extLst>
        </c:ser>
        <c:ser>
          <c:idx val="8"/>
          <c:order val="8"/>
          <c:tx>
            <c:strRef>
              <c:f>'23.08 Iganga-Kaliro'!$AA$9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Iganga-Kaliro'!$AA$10:$AA$21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6D54-447E-B68D-E1368766DED9}"/>
            </c:ext>
          </c:extLst>
        </c:ser>
        <c:ser>
          <c:idx val="9"/>
          <c:order val="9"/>
          <c:tx>
            <c:strRef>
              <c:f>'23.08 Iganga-Kaliro'!$AB$9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6D54-447E-B68D-E1368766DED9}"/>
            </c:ext>
          </c:extLst>
        </c:ser>
        <c:ser>
          <c:idx val="10"/>
          <c:order val="10"/>
          <c:tx>
            <c:strRef>
              <c:f>'23.08 Iganga-Kaliro'!$AC$9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Iganga-Kaliro'!$AC$10:$AC$21</c:f>
              <c:numCache>
                <c:formatCode>0</c:formatCode>
                <c:ptCount val="12"/>
                <c:pt idx="0">
                  <c:v>345</c:v>
                </c:pt>
                <c:pt idx="1">
                  <c:v>300</c:v>
                </c:pt>
                <c:pt idx="2">
                  <c:v>235</c:v>
                </c:pt>
                <c:pt idx="3">
                  <c:v>330</c:v>
                </c:pt>
                <c:pt idx="4">
                  <c:v>425</c:v>
                </c:pt>
                <c:pt idx="5">
                  <c:v>330</c:v>
                </c:pt>
                <c:pt idx="6">
                  <c:v>400</c:v>
                </c:pt>
                <c:pt idx="7">
                  <c:v>370</c:v>
                </c:pt>
                <c:pt idx="8">
                  <c:v>460</c:v>
                </c:pt>
                <c:pt idx="9">
                  <c:v>470</c:v>
                </c:pt>
                <c:pt idx="10">
                  <c:v>435</c:v>
                </c:pt>
                <c:pt idx="11">
                  <c:v>275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6D54-447E-B68D-E1368766DED9}"/>
            </c:ext>
          </c:extLst>
        </c:ser>
        <c:ser>
          <c:idx val="11"/>
          <c:order val="11"/>
          <c:tx>
            <c:strRef>
              <c:f>'23.08 Iganga-Kaliro'!$AD$9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Iganga-Kaliro'!$AD$10:$AD$21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6D54-447E-B68D-E1368766DED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50440320"/>
        <c:axId val="-550443584"/>
      </c:lineChart>
      <c:catAx>
        <c:axId val="-55044032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3584"/>
        <c:crosses val="autoZero"/>
        <c:auto val="1"/>
        <c:lblAlgn val="ctr"/>
        <c:lblOffset val="100"/>
        <c:noMultiLvlLbl val="0"/>
      </c:catAx>
      <c:valAx>
        <c:axId val="-550443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03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B73-46DF-8DE2-8B27C2F90D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B73-46DF-8DE2-8B27C2F90D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B73-46DF-8DE2-8B27C2F90D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B73-46DF-8DE2-8B27C2F90D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B73-46DF-8DE2-8B27C2F90D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B73-46DF-8DE2-8B27C2F90D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B73-46DF-8DE2-8B27C2F90D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B73-46DF-8DE2-8B27C2F90D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B73-46DF-8DE2-8B27C2F90D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B73-46DF-8DE2-8B27C2F90D1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B73-46DF-8DE2-8B27C2F90D1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B73-46DF-8DE2-8B27C2F90D1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B73-46DF-8DE2-8B27C2F90D1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Iganga-Kaliro'!$C$60:$N$60</c:f>
              <c:numCache>
                <c:formatCode>0.00%</c:formatCode>
                <c:ptCount val="12"/>
                <c:pt idx="0">
                  <c:v>0.2210184182015168</c:v>
                </c:pt>
                <c:pt idx="1">
                  <c:v>0.13217768147345613</c:v>
                </c:pt>
                <c:pt idx="2">
                  <c:v>0.12134344528710726</c:v>
                </c:pt>
                <c:pt idx="3">
                  <c:v>0.32286023835319611</c:v>
                </c:pt>
                <c:pt idx="4">
                  <c:v>0</c:v>
                </c:pt>
                <c:pt idx="5">
                  <c:v>0</c:v>
                </c:pt>
                <c:pt idx="6">
                  <c:v>0.11267605633802817</c:v>
                </c:pt>
                <c:pt idx="7">
                  <c:v>8.1256771397616473E-2</c:v>
                </c:pt>
                <c:pt idx="8">
                  <c:v>1.0834236186348862E-3</c:v>
                </c:pt>
                <c:pt idx="9">
                  <c:v>0</c:v>
                </c:pt>
                <c:pt idx="11">
                  <c:v>7.5839653304442039E-3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B73-46DF-8DE2-8B27C2F90D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'23.08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Kaliro-Iganga'!$AE$10:$AE$21</c:f>
              <c:numCache>
                <c:formatCode>0</c:formatCode>
                <c:ptCount val="12"/>
                <c:pt idx="0">
                  <c:v>43</c:v>
                </c:pt>
                <c:pt idx="1">
                  <c:v>40</c:v>
                </c:pt>
                <c:pt idx="2">
                  <c:v>41</c:v>
                </c:pt>
                <c:pt idx="3">
                  <c:v>46</c:v>
                </c:pt>
                <c:pt idx="4">
                  <c:v>46</c:v>
                </c:pt>
                <c:pt idx="5">
                  <c:v>33</c:v>
                </c:pt>
                <c:pt idx="6">
                  <c:v>30</c:v>
                </c:pt>
                <c:pt idx="7">
                  <c:v>49</c:v>
                </c:pt>
                <c:pt idx="8">
                  <c:v>45</c:v>
                </c:pt>
                <c:pt idx="9">
                  <c:v>47</c:v>
                </c:pt>
                <c:pt idx="10">
                  <c:v>44</c:v>
                </c:pt>
                <c:pt idx="11">
                  <c:v>59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D5F-499C-8247-FFF3D6EFDA44}"/>
            </c:ext>
          </c:extLst>
        </c:ser>
        <c:ser>
          <c:idx val="1"/>
          <c:order val="1"/>
          <c:tx>
            <c:strRef>
              <c:f>'23.08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'23.08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Kaliro-Iganga'!$AF$10:$AF$21</c:f>
              <c:numCache>
                <c:formatCode>0</c:formatCode>
                <c:ptCount val="12"/>
                <c:pt idx="0">
                  <c:v>419</c:v>
                </c:pt>
                <c:pt idx="1">
                  <c:v>370</c:v>
                </c:pt>
                <c:pt idx="2">
                  <c:v>417</c:v>
                </c:pt>
                <c:pt idx="3">
                  <c:v>358</c:v>
                </c:pt>
                <c:pt idx="4">
                  <c:v>441</c:v>
                </c:pt>
                <c:pt idx="5">
                  <c:v>368</c:v>
                </c:pt>
                <c:pt idx="6">
                  <c:v>332</c:v>
                </c:pt>
                <c:pt idx="7">
                  <c:v>358</c:v>
                </c:pt>
                <c:pt idx="8">
                  <c:v>324</c:v>
                </c:pt>
                <c:pt idx="9">
                  <c:v>341</c:v>
                </c:pt>
                <c:pt idx="10">
                  <c:v>317</c:v>
                </c:pt>
                <c:pt idx="11">
                  <c:v>322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7D5F-499C-8247-FFF3D6EFDA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50447936"/>
        <c:axId val="-550437056"/>
      </c:lineChart>
      <c:catAx>
        <c:axId val="-55044793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37056"/>
        <c:crosses val="autoZero"/>
        <c:auto val="1"/>
        <c:lblAlgn val="ctr"/>
        <c:lblOffset val="100"/>
        <c:noMultiLvlLbl val="0"/>
      </c:catAx>
      <c:valAx>
        <c:axId val="-5504370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79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AD9-43D2-B994-F66788B4CE1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AD9-43D2-B994-F66788B4CE1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AD9-43D2-B994-F66788B4CE1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AD9-43D2-B994-F66788B4CE1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AD9-43D2-B994-F66788B4CE1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AD9-43D2-B994-F66788B4CE1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AD9-43D2-B994-F66788B4CE1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AD9-43D2-B994-F66788B4CE1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AD9-43D2-B994-F66788B4CE1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AD9-43D2-B994-F66788B4CE1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AD9-43D2-B994-F66788B4CE1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AD9-43D2-B994-F66788B4CE1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AD9-43D2-B994-F66788B4CE1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Kaliro-Iganga'!$C$59:$N$59</c:f>
              <c:numCache>
                <c:formatCode>0.0%</c:formatCode>
                <c:ptCount val="12"/>
                <c:pt idx="0">
                  <c:v>3.1371651019006186E-2</c:v>
                </c:pt>
                <c:pt idx="1">
                  <c:v>9.1596061369361124E-3</c:v>
                </c:pt>
                <c:pt idx="2">
                  <c:v>1.3968399358827571E-2</c:v>
                </c:pt>
                <c:pt idx="3">
                  <c:v>4.7171971605220978E-2</c:v>
                </c:pt>
                <c:pt idx="4">
                  <c:v>1.1449507671170141E-3</c:v>
                </c:pt>
                <c:pt idx="5">
                  <c:v>0</c:v>
                </c:pt>
                <c:pt idx="6">
                  <c:v>1.2136478131440347E-2</c:v>
                </c:pt>
                <c:pt idx="7">
                  <c:v>4.1218227616212503E-3</c:v>
                </c:pt>
                <c:pt idx="8">
                  <c:v>0</c:v>
                </c:pt>
                <c:pt idx="9">
                  <c:v>0</c:v>
                </c:pt>
                <c:pt idx="10">
                  <c:v>0.88023814975956038</c:v>
                </c:pt>
                <c:pt idx="11">
                  <c:v>6.8697046027020841E-4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AD9-43D2-B994-F66788B4CE1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'23.08 Kaliro-Iganga'!$S$9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'23.08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Kaliro-Iganga'!$S$10:$S$21</c:f>
              <c:numCache>
                <c:formatCode>0</c:formatCode>
                <c:ptCount val="12"/>
                <c:pt idx="0">
                  <c:v>14</c:v>
                </c:pt>
                <c:pt idx="1">
                  <c:v>4</c:v>
                </c:pt>
                <c:pt idx="2">
                  <c:v>16</c:v>
                </c:pt>
                <c:pt idx="3">
                  <c:v>21</c:v>
                </c:pt>
                <c:pt idx="4">
                  <c:v>15</c:v>
                </c:pt>
                <c:pt idx="5">
                  <c:v>7</c:v>
                </c:pt>
                <c:pt idx="6">
                  <c:v>8</c:v>
                </c:pt>
                <c:pt idx="7">
                  <c:v>10</c:v>
                </c:pt>
                <c:pt idx="8">
                  <c:v>10</c:v>
                </c:pt>
                <c:pt idx="9">
                  <c:v>7</c:v>
                </c:pt>
                <c:pt idx="10">
                  <c:v>9</c:v>
                </c:pt>
                <c:pt idx="11">
                  <c:v>16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232-4340-AED5-CD3F6DAF145D}"/>
            </c:ext>
          </c:extLst>
        </c:ser>
        <c:ser>
          <c:idx val="1"/>
          <c:order val="1"/>
          <c:tx>
            <c:strRef>
              <c:f>'23.08 Kaliro-Iganga'!$T$9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'23.08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'23.08 Kaliro-Iganga'!$T$10:$T$21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5</c:v>
                </c:pt>
                <c:pt idx="3">
                  <c:v>4</c:v>
                </c:pt>
                <c:pt idx="4">
                  <c:v>1</c:v>
                </c:pt>
                <c:pt idx="5">
                  <c:v>5</c:v>
                </c:pt>
                <c:pt idx="6">
                  <c:v>2</c:v>
                </c:pt>
                <c:pt idx="7">
                  <c:v>7</c:v>
                </c:pt>
                <c:pt idx="8">
                  <c:v>3</c:v>
                </c:pt>
                <c:pt idx="9">
                  <c:v>1</c:v>
                </c:pt>
                <c:pt idx="10">
                  <c:v>0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232-4340-AED5-CD3F6DAF145D}"/>
            </c:ext>
          </c:extLst>
        </c:ser>
        <c:ser>
          <c:idx val="2"/>
          <c:order val="2"/>
          <c:tx>
            <c:strRef>
              <c:f>'23.08 Kaliro-Iganga'!$U$9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Kaliro-Iganga'!$U$10:$U$21</c:f>
              <c:numCache>
                <c:formatCode>0</c:formatCode>
                <c:ptCount val="12"/>
                <c:pt idx="0">
                  <c:v>8</c:v>
                </c:pt>
                <c:pt idx="1">
                  <c:v>3</c:v>
                </c:pt>
                <c:pt idx="2">
                  <c:v>2</c:v>
                </c:pt>
                <c:pt idx="3">
                  <c:v>1</c:v>
                </c:pt>
                <c:pt idx="4">
                  <c:v>7</c:v>
                </c:pt>
                <c:pt idx="5">
                  <c:v>3</c:v>
                </c:pt>
                <c:pt idx="6">
                  <c:v>5</c:v>
                </c:pt>
                <c:pt idx="7">
                  <c:v>9</c:v>
                </c:pt>
                <c:pt idx="8">
                  <c:v>7</c:v>
                </c:pt>
                <c:pt idx="9">
                  <c:v>4</c:v>
                </c:pt>
                <c:pt idx="10">
                  <c:v>7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232-4340-AED5-CD3F6DAF145D}"/>
            </c:ext>
          </c:extLst>
        </c:ser>
        <c:ser>
          <c:idx val="3"/>
          <c:order val="3"/>
          <c:tx>
            <c:strRef>
              <c:f>'23.08 Kaliro-Iganga'!$V$9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Kaliro-Iganga'!$V$10:$V$21</c:f>
              <c:numCache>
                <c:formatCode>0</c:formatCode>
                <c:ptCount val="12"/>
                <c:pt idx="0">
                  <c:v>17</c:v>
                </c:pt>
                <c:pt idx="1">
                  <c:v>30</c:v>
                </c:pt>
                <c:pt idx="2">
                  <c:v>15</c:v>
                </c:pt>
                <c:pt idx="3">
                  <c:v>11</c:v>
                </c:pt>
                <c:pt idx="4">
                  <c:v>15</c:v>
                </c:pt>
                <c:pt idx="5">
                  <c:v>4</c:v>
                </c:pt>
                <c:pt idx="6">
                  <c:v>9</c:v>
                </c:pt>
                <c:pt idx="7">
                  <c:v>17</c:v>
                </c:pt>
                <c:pt idx="8">
                  <c:v>19</c:v>
                </c:pt>
                <c:pt idx="9">
                  <c:v>23</c:v>
                </c:pt>
                <c:pt idx="10">
                  <c:v>25</c:v>
                </c:pt>
                <c:pt idx="11">
                  <c:v>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232-4340-AED5-CD3F6DAF145D}"/>
            </c:ext>
          </c:extLst>
        </c:ser>
        <c:ser>
          <c:idx val="4"/>
          <c:order val="4"/>
          <c:tx>
            <c:strRef>
              <c:f>'23.08 Kaliro-Iganga'!$W$9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Kaliro-Iganga'!$W$10:$W$21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232-4340-AED5-CD3F6DAF145D}"/>
            </c:ext>
          </c:extLst>
        </c:ser>
        <c:ser>
          <c:idx val="5"/>
          <c:order val="5"/>
          <c:tx>
            <c:strRef>
              <c:f>'23.08 Kaliro-Iganga'!$X$9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232-4340-AED5-CD3F6DAF145D}"/>
            </c:ext>
          </c:extLst>
        </c:ser>
        <c:ser>
          <c:idx val="6"/>
          <c:order val="6"/>
          <c:tx>
            <c:strRef>
              <c:f>'23.08 Kaliro-Iganga'!$Y$9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Kaliro-Iganga'!$Y$10:$Y$21</c:f>
              <c:numCache>
                <c:formatCode>0</c:formatCode>
                <c:ptCount val="12"/>
                <c:pt idx="0">
                  <c:v>2</c:v>
                </c:pt>
                <c:pt idx="1">
                  <c:v>1</c:v>
                </c:pt>
                <c:pt idx="2">
                  <c:v>2</c:v>
                </c:pt>
                <c:pt idx="3">
                  <c:v>5</c:v>
                </c:pt>
                <c:pt idx="4">
                  <c:v>6</c:v>
                </c:pt>
                <c:pt idx="5">
                  <c:v>4</c:v>
                </c:pt>
                <c:pt idx="6">
                  <c:v>5</c:v>
                </c:pt>
                <c:pt idx="7">
                  <c:v>4</c:v>
                </c:pt>
                <c:pt idx="8">
                  <c:v>4</c:v>
                </c:pt>
                <c:pt idx="9">
                  <c:v>10</c:v>
                </c:pt>
                <c:pt idx="10">
                  <c:v>3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232-4340-AED5-CD3F6DAF145D}"/>
            </c:ext>
          </c:extLst>
        </c:ser>
        <c:ser>
          <c:idx val="7"/>
          <c:order val="7"/>
          <c:tx>
            <c:strRef>
              <c:f>'23.08 Kaliro-Iganga'!$Z$9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Kaliro-Iganga'!$Z$10:$Z$21</c:f>
              <c:numCache>
                <c:formatCode>0</c:formatCode>
                <c:ptCount val="12"/>
                <c:pt idx="0">
                  <c:v>0</c:v>
                </c:pt>
                <c:pt idx="1">
                  <c:v>1</c:v>
                </c:pt>
                <c:pt idx="2">
                  <c:v>0</c:v>
                </c:pt>
                <c:pt idx="3">
                  <c:v>1</c:v>
                </c:pt>
                <c:pt idx="4">
                  <c:v>1</c:v>
                </c:pt>
                <c:pt idx="5">
                  <c:v>9</c:v>
                </c:pt>
                <c:pt idx="6">
                  <c:v>0</c:v>
                </c:pt>
                <c:pt idx="7">
                  <c:v>2</c:v>
                </c:pt>
                <c:pt idx="8">
                  <c:v>2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232-4340-AED5-CD3F6DAF145D}"/>
            </c:ext>
          </c:extLst>
        </c:ser>
        <c:ser>
          <c:idx val="8"/>
          <c:order val="8"/>
          <c:tx>
            <c:strRef>
              <c:f>'23.08 Kaliro-Iganga'!$AA$9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232-4340-AED5-CD3F6DAF145D}"/>
            </c:ext>
          </c:extLst>
        </c:ser>
        <c:ser>
          <c:idx val="9"/>
          <c:order val="9"/>
          <c:tx>
            <c:strRef>
              <c:f>'23.08 Kaliro-Iganga'!$AB$9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232-4340-AED5-CD3F6DAF145D}"/>
            </c:ext>
          </c:extLst>
        </c:ser>
        <c:ser>
          <c:idx val="10"/>
          <c:order val="10"/>
          <c:tx>
            <c:strRef>
              <c:f>'23.08 Kaliro-Iganga'!$AC$9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Kaliro-Iganga'!$AC$10:$AC$21</c:f>
              <c:numCache>
                <c:formatCode>0</c:formatCode>
                <c:ptCount val="12"/>
                <c:pt idx="0">
                  <c:v>376</c:v>
                </c:pt>
                <c:pt idx="1">
                  <c:v>330</c:v>
                </c:pt>
                <c:pt idx="2">
                  <c:v>376</c:v>
                </c:pt>
                <c:pt idx="3">
                  <c:v>312</c:v>
                </c:pt>
                <c:pt idx="4">
                  <c:v>395</c:v>
                </c:pt>
                <c:pt idx="5">
                  <c:v>335</c:v>
                </c:pt>
                <c:pt idx="6">
                  <c:v>302</c:v>
                </c:pt>
                <c:pt idx="7">
                  <c:v>309</c:v>
                </c:pt>
                <c:pt idx="8">
                  <c:v>279</c:v>
                </c:pt>
                <c:pt idx="9">
                  <c:v>294</c:v>
                </c:pt>
                <c:pt idx="10">
                  <c:v>273</c:v>
                </c:pt>
                <c:pt idx="11">
                  <c:v>263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232-4340-AED5-CD3F6DAF145D}"/>
            </c:ext>
          </c:extLst>
        </c:ser>
        <c:ser>
          <c:idx val="11"/>
          <c:order val="11"/>
          <c:tx>
            <c:strRef>
              <c:f>'23.08 Kaliro-Iganga'!$AD$9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'23.08 Kaliro-Iganga'!$AD$10:$AD$21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2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232-4340-AED5-CD3F6DAF145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50445760"/>
        <c:axId val="-550441952"/>
      </c:lineChart>
      <c:catAx>
        <c:axId val="-55044576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1952"/>
        <c:crosses val="autoZero"/>
        <c:auto val="1"/>
        <c:lblAlgn val="ctr"/>
        <c:lblOffset val="100"/>
        <c:noMultiLvlLbl val="0"/>
      </c:catAx>
      <c:valAx>
        <c:axId val="-5504419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57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496-4C9C-BA89-19C872160E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496-4C9C-BA89-19C872160E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496-4C9C-BA89-19C872160E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496-4C9C-BA89-19C872160E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496-4C9C-BA89-19C872160E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496-4C9C-BA89-19C872160E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496-4C9C-BA89-19C872160E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496-4C9C-BA89-19C872160E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496-4C9C-BA89-19C872160E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496-4C9C-BA89-19C872160E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496-4C9C-BA89-19C872160E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496-4C9C-BA89-19C872160E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496-4C9C-BA89-19C872160E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'23.08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'23.08 Kaliro-Iganga'!$C$60:$N$60</c:f>
              <c:numCache>
                <c:formatCode>0.00%</c:formatCode>
                <c:ptCount val="12"/>
                <c:pt idx="0">
                  <c:v>0.26195028680688337</c:v>
                </c:pt>
                <c:pt idx="1">
                  <c:v>7.6481835564053538E-2</c:v>
                </c:pt>
                <c:pt idx="2">
                  <c:v>0.11663479923518165</c:v>
                </c:pt>
                <c:pt idx="3">
                  <c:v>0.39388145315487572</c:v>
                </c:pt>
                <c:pt idx="4">
                  <c:v>9.5602294455066923E-3</c:v>
                </c:pt>
                <c:pt idx="5">
                  <c:v>0</c:v>
                </c:pt>
                <c:pt idx="6">
                  <c:v>0.10133843212237094</c:v>
                </c:pt>
                <c:pt idx="7">
                  <c:v>3.4416826003824091E-2</c:v>
                </c:pt>
                <c:pt idx="8">
                  <c:v>0</c:v>
                </c:pt>
                <c:pt idx="9">
                  <c:v>0</c:v>
                </c:pt>
                <c:pt idx="11">
                  <c:v>5.7361376673040155E-3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496-4C9C-BA89-19C872160E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Iganga-Kaliro-24h'!$AE$9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Iganga-Kaliro-24h'!$R$10:$R$33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Iganga-Kaliro-24h'!$AE$10:$AE$33</c:f>
              <c:numCache>
                <c:formatCode>0</c:formatCode>
                <c:ptCount val="24"/>
                <c:pt idx="0">
                  <c:v>104</c:v>
                </c:pt>
                <c:pt idx="1">
                  <c:v>62</c:v>
                </c:pt>
                <c:pt idx="2">
                  <c:v>73</c:v>
                </c:pt>
                <c:pt idx="3">
                  <c:v>69</c:v>
                </c:pt>
                <c:pt idx="4">
                  <c:v>46</c:v>
                </c:pt>
                <c:pt idx="5">
                  <c:v>61</c:v>
                </c:pt>
                <c:pt idx="6">
                  <c:v>60</c:v>
                </c:pt>
                <c:pt idx="7">
                  <c:v>105</c:v>
                </c:pt>
                <c:pt idx="8">
                  <c:v>45</c:v>
                </c:pt>
                <c:pt idx="9">
                  <c:v>48</c:v>
                </c:pt>
                <c:pt idx="10">
                  <c:v>72</c:v>
                </c:pt>
                <c:pt idx="11">
                  <c:v>31</c:v>
                </c:pt>
                <c:pt idx="12">
                  <c:v>21</c:v>
                </c:pt>
                <c:pt idx="13">
                  <c:v>22</c:v>
                </c:pt>
                <c:pt idx="14">
                  <c:v>33</c:v>
                </c:pt>
                <c:pt idx="15">
                  <c:v>26</c:v>
                </c:pt>
                <c:pt idx="16">
                  <c:v>16</c:v>
                </c:pt>
                <c:pt idx="17">
                  <c:v>12</c:v>
                </c:pt>
                <c:pt idx="18">
                  <c:v>9</c:v>
                </c:pt>
                <c:pt idx="19">
                  <c:v>2</c:v>
                </c:pt>
                <c:pt idx="20">
                  <c:v>4</c:v>
                </c:pt>
                <c:pt idx="21">
                  <c:v>4</c:v>
                </c:pt>
                <c:pt idx="22">
                  <c:v>8</c:v>
                </c:pt>
                <c:pt idx="23">
                  <c:v>24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FC2-4A7B-9B5C-FEA0112544F4}"/>
            </c:ext>
          </c:extLst>
        </c:ser>
        <c:ser>
          <c:idx val="1"/>
          <c:order val="1"/>
          <c:tx>
            <c:strRef>
              <c:f>'24.08 Iganga-Kaliro-24h'!$AF$9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Iganga-Kaliro-24h'!$R$10:$R$33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Iganga-Kaliro-24h'!$AF$10:$AF$33</c:f>
              <c:numCache>
                <c:formatCode>0</c:formatCode>
                <c:ptCount val="24"/>
                <c:pt idx="0">
                  <c:v>207</c:v>
                </c:pt>
                <c:pt idx="1">
                  <c:v>389</c:v>
                </c:pt>
                <c:pt idx="2">
                  <c:v>416</c:v>
                </c:pt>
                <c:pt idx="3">
                  <c:v>339</c:v>
                </c:pt>
                <c:pt idx="4">
                  <c:v>313</c:v>
                </c:pt>
                <c:pt idx="5">
                  <c:v>301</c:v>
                </c:pt>
                <c:pt idx="6">
                  <c:v>325</c:v>
                </c:pt>
                <c:pt idx="7">
                  <c:v>325</c:v>
                </c:pt>
                <c:pt idx="8">
                  <c:v>279</c:v>
                </c:pt>
                <c:pt idx="9">
                  <c:v>306</c:v>
                </c:pt>
                <c:pt idx="10">
                  <c:v>356</c:v>
                </c:pt>
                <c:pt idx="11">
                  <c:v>141</c:v>
                </c:pt>
                <c:pt idx="12">
                  <c:v>151</c:v>
                </c:pt>
                <c:pt idx="13">
                  <c:v>134</c:v>
                </c:pt>
                <c:pt idx="14">
                  <c:v>228</c:v>
                </c:pt>
                <c:pt idx="15">
                  <c:v>226</c:v>
                </c:pt>
                <c:pt idx="16">
                  <c:v>111</c:v>
                </c:pt>
                <c:pt idx="17">
                  <c:v>87</c:v>
                </c:pt>
                <c:pt idx="18">
                  <c:v>51</c:v>
                </c:pt>
                <c:pt idx="19">
                  <c:v>21</c:v>
                </c:pt>
                <c:pt idx="20">
                  <c:v>13</c:v>
                </c:pt>
                <c:pt idx="21">
                  <c:v>6</c:v>
                </c:pt>
                <c:pt idx="22">
                  <c:v>20</c:v>
                </c:pt>
                <c:pt idx="23">
                  <c:v>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FC2-4A7B-9B5C-FEA0112544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7137184"/>
        <c:axId val="-547124672"/>
      </c:lineChart>
      <c:catAx>
        <c:axId val="-547137184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24672"/>
        <c:crosses val="autoZero"/>
        <c:auto val="1"/>
        <c:lblAlgn val="ctr"/>
        <c:lblOffset val="100"/>
        <c:noMultiLvlLbl val="0"/>
      </c:catAx>
      <c:valAx>
        <c:axId val="-54712467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718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43B-4B95-BFC1-AB46B6A1DAB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43B-4B95-BFC1-AB46B6A1DAB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43B-4B95-BFC1-AB46B6A1DAB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43B-4B95-BFC1-AB46B6A1DAB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43B-4B95-BFC1-AB46B6A1DAB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43B-4B95-BFC1-AB46B6A1DAB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43B-4B95-BFC1-AB46B6A1DAB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43B-4B95-BFC1-AB46B6A1DAB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43B-4B95-BFC1-AB46B6A1DAB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43B-4B95-BFC1-AB46B6A1DAB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43B-4B95-BFC1-AB46B6A1DAB2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43B-4B95-BFC1-AB46B6A1DAB2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43B-4B95-BFC1-AB46B6A1DAB2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Iganga-Kaliro-24h'!$C$9:$N$9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Iganga-Kaliro-24h'!$C$107:$N$107</c:f>
              <c:numCache>
                <c:formatCode>0.0%</c:formatCode>
                <c:ptCount val="12"/>
                <c:pt idx="0">
                  <c:v>3.4949032660703143E-2</c:v>
                </c:pt>
                <c:pt idx="1">
                  <c:v>3.3284793010193471E-2</c:v>
                </c:pt>
                <c:pt idx="2">
                  <c:v>1.6226336592469314E-2</c:v>
                </c:pt>
                <c:pt idx="3">
                  <c:v>4.9927189515290203E-2</c:v>
                </c:pt>
                <c:pt idx="4">
                  <c:v>1.1233617640940295E-2</c:v>
                </c:pt>
                <c:pt idx="5">
                  <c:v>7.0730185146661122E-3</c:v>
                </c:pt>
                <c:pt idx="6">
                  <c:v>1.6226336592469314E-2</c:v>
                </c:pt>
                <c:pt idx="7">
                  <c:v>1.9554815893488661E-2</c:v>
                </c:pt>
                <c:pt idx="8">
                  <c:v>7.4890784272935301E-3</c:v>
                </c:pt>
                <c:pt idx="9">
                  <c:v>2.9124193883919283E-3</c:v>
                </c:pt>
                <c:pt idx="10">
                  <c:v>0.8009153318077803</c:v>
                </c:pt>
                <c:pt idx="11">
                  <c:v>2.0802995631370917E-4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43B-4B95-BFC1-AB46B6A1DAB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889-4F07-A028-107AA614C7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889-4F07-A028-107AA614C72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889-4F07-A028-107AA614C72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889-4F07-A028-107AA614C72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889-4F07-A028-107AA614C72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889-4F07-A028-107AA614C72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889-4F07-A028-107AA614C72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889-4F07-A028-107AA614C72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889-4F07-A028-107AA614C72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889-4F07-A028-107AA614C72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889-4F07-A028-107AA614C72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889-4F07-A028-107AA614C72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889-4F07-A028-107AA614C72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Iganga-Kaliro-24h'!$C$9:$N$9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Iganga-Kaliro-24h'!$C$108:$N$108</c:f>
              <c:numCache>
                <c:formatCode>0.00%</c:formatCode>
                <c:ptCount val="12"/>
                <c:pt idx="0">
                  <c:v>0.17554858934169279</c:v>
                </c:pt>
                <c:pt idx="1">
                  <c:v>0.16718913270637409</c:v>
                </c:pt>
                <c:pt idx="2">
                  <c:v>8.1504702194357362E-2</c:v>
                </c:pt>
                <c:pt idx="3">
                  <c:v>0.2507836990595611</c:v>
                </c:pt>
                <c:pt idx="4">
                  <c:v>5.6426332288401257E-2</c:v>
                </c:pt>
                <c:pt idx="5">
                  <c:v>3.5527690700104496E-2</c:v>
                </c:pt>
                <c:pt idx="6">
                  <c:v>8.1504702194357362E-2</c:v>
                </c:pt>
                <c:pt idx="7">
                  <c:v>9.8223615464994779E-2</c:v>
                </c:pt>
                <c:pt idx="8">
                  <c:v>3.7617554858934171E-2</c:v>
                </c:pt>
                <c:pt idx="9">
                  <c:v>1.4629049111807733E-2</c:v>
                </c:pt>
                <c:pt idx="11">
                  <c:v>1.0449320794148381E-3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889-4F07-A028-107AA614C7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'24.08 Kaliro-Iganga-24h'!$AE$9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'24.08 Kaliro-Iganga-24h'!$R$10:$R$33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Kaliro-Iganga-24h'!$AE$10:$AE$33</c:f>
              <c:numCache>
                <c:formatCode>0</c:formatCode>
                <c:ptCount val="24"/>
                <c:pt idx="0">
                  <c:v>41</c:v>
                </c:pt>
                <c:pt idx="1">
                  <c:v>57</c:v>
                </c:pt>
                <c:pt idx="2">
                  <c:v>58</c:v>
                </c:pt>
                <c:pt idx="3">
                  <c:v>54</c:v>
                </c:pt>
                <c:pt idx="4">
                  <c:v>47</c:v>
                </c:pt>
                <c:pt idx="5">
                  <c:v>59</c:v>
                </c:pt>
                <c:pt idx="6">
                  <c:v>42</c:v>
                </c:pt>
                <c:pt idx="7">
                  <c:v>44</c:v>
                </c:pt>
                <c:pt idx="8">
                  <c:v>43</c:v>
                </c:pt>
                <c:pt idx="9">
                  <c:v>43</c:v>
                </c:pt>
                <c:pt idx="10">
                  <c:v>72</c:v>
                </c:pt>
                <c:pt idx="11">
                  <c:v>74</c:v>
                </c:pt>
                <c:pt idx="12">
                  <c:v>37</c:v>
                </c:pt>
                <c:pt idx="13">
                  <c:v>34</c:v>
                </c:pt>
                <c:pt idx="14">
                  <c:v>20</c:v>
                </c:pt>
                <c:pt idx="15">
                  <c:v>20</c:v>
                </c:pt>
                <c:pt idx="16">
                  <c:v>12</c:v>
                </c:pt>
                <c:pt idx="17">
                  <c:v>10</c:v>
                </c:pt>
                <c:pt idx="18">
                  <c:v>5</c:v>
                </c:pt>
                <c:pt idx="19">
                  <c:v>10</c:v>
                </c:pt>
                <c:pt idx="20">
                  <c:v>17</c:v>
                </c:pt>
                <c:pt idx="21">
                  <c:v>18</c:v>
                </c:pt>
                <c:pt idx="22">
                  <c:v>12</c:v>
                </c:pt>
                <c:pt idx="23">
                  <c:v>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D7C-43E4-8D98-AF01AC8ABB92}"/>
            </c:ext>
          </c:extLst>
        </c:ser>
        <c:ser>
          <c:idx val="1"/>
          <c:order val="1"/>
          <c:tx>
            <c:strRef>
              <c:f>'24.08 Kaliro-Iganga-24h'!$AF$9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'24.08 Kaliro-Iganga-24h'!$R$10:$R$33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'24.08 Kaliro-Iganga-24h'!$AF$10:$AF$33</c:f>
              <c:numCache>
                <c:formatCode>0</c:formatCode>
                <c:ptCount val="24"/>
                <c:pt idx="0">
                  <c:v>241</c:v>
                </c:pt>
                <c:pt idx="1">
                  <c:v>540</c:v>
                </c:pt>
                <c:pt idx="2">
                  <c:v>396</c:v>
                </c:pt>
                <c:pt idx="3">
                  <c:v>392</c:v>
                </c:pt>
                <c:pt idx="4">
                  <c:v>300</c:v>
                </c:pt>
                <c:pt idx="5">
                  <c:v>324</c:v>
                </c:pt>
                <c:pt idx="6">
                  <c:v>249</c:v>
                </c:pt>
                <c:pt idx="7">
                  <c:v>296</c:v>
                </c:pt>
                <c:pt idx="8">
                  <c:v>323</c:v>
                </c:pt>
                <c:pt idx="9">
                  <c:v>373</c:v>
                </c:pt>
                <c:pt idx="10">
                  <c:v>334</c:v>
                </c:pt>
                <c:pt idx="11">
                  <c:v>381</c:v>
                </c:pt>
                <c:pt idx="12">
                  <c:v>324</c:v>
                </c:pt>
                <c:pt idx="13">
                  <c:v>252</c:v>
                </c:pt>
                <c:pt idx="14">
                  <c:v>183</c:v>
                </c:pt>
                <c:pt idx="15">
                  <c:v>124</c:v>
                </c:pt>
                <c:pt idx="16">
                  <c:v>122</c:v>
                </c:pt>
                <c:pt idx="17">
                  <c:v>46</c:v>
                </c:pt>
                <c:pt idx="18">
                  <c:v>13</c:v>
                </c:pt>
                <c:pt idx="19">
                  <c:v>10</c:v>
                </c:pt>
                <c:pt idx="20">
                  <c:v>20</c:v>
                </c:pt>
                <c:pt idx="21">
                  <c:v>21</c:v>
                </c:pt>
                <c:pt idx="22">
                  <c:v>22</c:v>
                </c:pt>
                <c:pt idx="23">
                  <c:v>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D7C-43E4-8D98-AF01AC8AB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7133376"/>
        <c:axId val="-547130656"/>
      </c:lineChart>
      <c:catAx>
        <c:axId val="-54713337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0656"/>
        <c:crosses val="autoZero"/>
        <c:auto val="1"/>
        <c:lblAlgn val="ctr"/>
        <c:lblOffset val="100"/>
        <c:noMultiLvlLbl val="0"/>
      </c:catAx>
      <c:valAx>
        <c:axId val="-54713065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33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B533-467E-9052-E80B684A022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B533-467E-9052-E80B684A022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B533-467E-9052-E80B684A022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B533-467E-9052-E80B684A022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B533-467E-9052-E80B684A022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B533-467E-9052-E80B684A022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B533-467E-9052-E80B684A022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B533-467E-9052-E80B684A022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B533-467E-9052-E80B684A022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B533-467E-9052-E80B684A022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B533-467E-9052-E80B684A022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B533-467E-9052-E80B684A022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533-467E-9052-E80B684A022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Kaliro-Iganga-24h'!$C$9:$N$9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Kaliro-Iganga-24h'!$C$107:$N$107</c:f>
              <c:numCache>
                <c:formatCode>0.0%</c:formatCode>
                <c:ptCount val="12"/>
                <c:pt idx="0">
                  <c:v>4.4178210408086858E-2</c:v>
                </c:pt>
                <c:pt idx="1">
                  <c:v>2.0217147135904157E-2</c:v>
                </c:pt>
                <c:pt idx="2">
                  <c:v>1.3852489704230626E-2</c:v>
                </c:pt>
                <c:pt idx="3">
                  <c:v>4.4739797828528639E-2</c:v>
                </c:pt>
                <c:pt idx="4">
                  <c:v>1.3103706476974915E-3</c:v>
                </c:pt>
                <c:pt idx="5">
                  <c:v>5.6158742044178209E-4</c:v>
                </c:pt>
                <c:pt idx="6">
                  <c:v>1.8719580681392737E-2</c:v>
                </c:pt>
                <c:pt idx="7">
                  <c:v>1.1793335829277425E-2</c:v>
                </c:pt>
                <c:pt idx="8">
                  <c:v>3.7439161362785474E-3</c:v>
                </c:pt>
                <c:pt idx="9">
                  <c:v>1.8719580681392738E-4</c:v>
                </c:pt>
                <c:pt idx="10">
                  <c:v>0.84050917259453384</c:v>
                </c:pt>
                <c:pt idx="11">
                  <c:v>1.8719580681392738E-4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B533-467E-9052-E80B684A022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529-4064-B18B-726F86F6119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529-4064-B18B-726F86F6119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529-4064-B18B-726F86F6119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529-4064-B18B-726F86F6119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529-4064-B18B-726F86F6119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529-4064-B18B-726F86F6119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529-4064-B18B-726F86F6119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529-4064-B18B-726F86F6119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529-4064-B18B-726F86F6119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529-4064-B18B-726F86F6119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529-4064-B18B-726F86F6119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529-4064-B18B-726F86F6119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529-4064-B18B-726F86F6119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'24.08 Kaliro-Iganga-24h'!$C$9:$N$9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'24.08 Kaliro-Iganga-24h'!$C$108:$N$108</c:f>
              <c:numCache>
                <c:formatCode>0.00%</c:formatCode>
                <c:ptCount val="12"/>
                <c:pt idx="0">
                  <c:v>0.27699530516431925</c:v>
                </c:pt>
                <c:pt idx="1">
                  <c:v>0.12676056338028169</c:v>
                </c:pt>
                <c:pt idx="2">
                  <c:v>8.6854460093896718E-2</c:v>
                </c:pt>
                <c:pt idx="3">
                  <c:v>0.28051643192488263</c:v>
                </c:pt>
                <c:pt idx="4">
                  <c:v>8.2159624413145546E-3</c:v>
                </c:pt>
                <c:pt idx="5">
                  <c:v>3.5211267605633804E-3</c:v>
                </c:pt>
                <c:pt idx="6">
                  <c:v>0.11737089201877934</c:v>
                </c:pt>
                <c:pt idx="7">
                  <c:v>7.3943661971830985E-2</c:v>
                </c:pt>
                <c:pt idx="8">
                  <c:v>2.3474178403755867E-2</c:v>
                </c:pt>
                <c:pt idx="9">
                  <c:v>1.1737089201877935E-3</c:v>
                </c:pt>
                <c:pt idx="11">
                  <c:v>1.1737089201877935E-3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529-4064-B18B-726F86F611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Iganga-Kaliro'!$AE$10:$AE$21</c:f>
              <c:numCache>
                <c:formatCode>0</c:formatCode>
                <c:ptCount val="12"/>
                <c:pt idx="0">
                  <c:v>42</c:v>
                </c:pt>
                <c:pt idx="1">
                  <c:v>21</c:v>
                </c:pt>
                <c:pt idx="2">
                  <c:v>35</c:v>
                </c:pt>
                <c:pt idx="3">
                  <c:v>58</c:v>
                </c:pt>
                <c:pt idx="4">
                  <c:v>62</c:v>
                </c:pt>
                <c:pt idx="5">
                  <c:v>53</c:v>
                </c:pt>
                <c:pt idx="6">
                  <c:v>48</c:v>
                </c:pt>
                <c:pt idx="7">
                  <c:v>45</c:v>
                </c:pt>
                <c:pt idx="8">
                  <c:v>44</c:v>
                </c:pt>
                <c:pt idx="9">
                  <c:v>47</c:v>
                </c:pt>
                <c:pt idx="10">
                  <c:v>31</c:v>
                </c:pt>
                <c:pt idx="11">
                  <c:v>40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6D8-486C-94F6-6CD386BE52F0}"/>
            </c:ext>
          </c:extLst>
        </c:ser>
        <c:ser>
          <c:idx val="1"/>
          <c:order val="1"/>
          <c:tx>
            <c:strRef>
              <c:f>'25.08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Iganga-Kaliro'!$AF$10:$AF$21</c:f>
              <c:numCache>
                <c:formatCode>0</c:formatCode>
                <c:ptCount val="12"/>
                <c:pt idx="0">
                  <c:v>282</c:v>
                </c:pt>
                <c:pt idx="1">
                  <c:v>216</c:v>
                </c:pt>
                <c:pt idx="2">
                  <c:v>255</c:v>
                </c:pt>
                <c:pt idx="3">
                  <c:v>413</c:v>
                </c:pt>
                <c:pt idx="4">
                  <c:v>327</c:v>
                </c:pt>
                <c:pt idx="5">
                  <c:v>398</c:v>
                </c:pt>
                <c:pt idx="6">
                  <c:v>278</c:v>
                </c:pt>
                <c:pt idx="7">
                  <c:v>325</c:v>
                </c:pt>
                <c:pt idx="8">
                  <c:v>294</c:v>
                </c:pt>
                <c:pt idx="9">
                  <c:v>277</c:v>
                </c:pt>
                <c:pt idx="10">
                  <c:v>276</c:v>
                </c:pt>
                <c:pt idx="11">
                  <c:v>300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6D8-486C-94F6-6CD386BE52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50441408"/>
        <c:axId val="-550433792"/>
      </c:lineChart>
      <c:catAx>
        <c:axId val="-55044140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33792"/>
        <c:crosses val="autoZero"/>
        <c:auto val="1"/>
        <c:lblAlgn val="ctr"/>
        <c:lblOffset val="100"/>
        <c:noMultiLvlLbl val="0"/>
      </c:catAx>
      <c:valAx>
        <c:axId val="-550433792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504414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7B3F-4B31-952A-3E8EFBAD12A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7B3F-4B31-952A-3E8EFBAD12A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7B3F-4B31-952A-3E8EFBAD12A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7B3F-4B31-952A-3E8EFBAD12A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7B3F-4B31-952A-3E8EFBAD12A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7B3F-4B31-952A-3E8EFBAD12A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7B3F-4B31-952A-3E8EFBAD12A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7B3F-4B31-952A-3E8EFBAD12A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7B3F-4B31-952A-3E8EFBAD12A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7B3F-4B31-952A-3E8EFBAD12A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7B3F-4B31-952A-3E8EFBAD12A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7B3F-4B31-952A-3E8EFBAD12A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7B3F-4B31-952A-3E8EFBAD12A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Iganga-Kaliro'!$C$59:$N$59</c:f>
              <c:numCache>
                <c:formatCode>0.0%</c:formatCode>
                <c:ptCount val="12"/>
                <c:pt idx="0">
                  <c:v>3.9274924471299093E-2</c:v>
                </c:pt>
                <c:pt idx="1">
                  <c:v>3.1584729469925847E-2</c:v>
                </c:pt>
                <c:pt idx="2">
                  <c:v>1.3732491073880802E-2</c:v>
                </c:pt>
                <c:pt idx="3">
                  <c:v>3.0760780005492996E-2</c:v>
                </c:pt>
                <c:pt idx="4">
                  <c:v>2.7464982147761604E-4</c:v>
                </c:pt>
                <c:pt idx="5">
                  <c:v>0</c:v>
                </c:pt>
                <c:pt idx="6">
                  <c:v>1.3457841252403187E-2</c:v>
                </c:pt>
                <c:pt idx="7">
                  <c:v>1.4007140895358419E-2</c:v>
                </c:pt>
                <c:pt idx="8">
                  <c:v>5.4929964295523208E-4</c:v>
                </c:pt>
                <c:pt idx="9">
                  <c:v>0</c:v>
                </c:pt>
                <c:pt idx="10">
                  <c:v>0.85553419390277397</c:v>
                </c:pt>
                <c:pt idx="11">
                  <c:v>8.2394946443284812E-4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7B3F-4B31-952A-3E8EFBAD12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Iganga-Kaliro'!$S$9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'25.08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Iganga-Kaliro'!$S$10:$S$21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10</c:v>
                </c:pt>
                <c:pt idx="3">
                  <c:v>17</c:v>
                </c:pt>
                <c:pt idx="4">
                  <c:v>16</c:v>
                </c:pt>
                <c:pt idx="5">
                  <c:v>12</c:v>
                </c:pt>
                <c:pt idx="6">
                  <c:v>10</c:v>
                </c:pt>
                <c:pt idx="7">
                  <c:v>13</c:v>
                </c:pt>
                <c:pt idx="8">
                  <c:v>10</c:v>
                </c:pt>
                <c:pt idx="9">
                  <c:v>20</c:v>
                </c:pt>
                <c:pt idx="10">
                  <c:v>12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EE7-484C-BD81-92E397547986}"/>
            </c:ext>
          </c:extLst>
        </c:ser>
        <c:ser>
          <c:idx val="1"/>
          <c:order val="1"/>
          <c:tx>
            <c:strRef>
              <c:f>'25.08 Iganga-Kaliro'!$T$9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'25.08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Iganga-Kaliro'!$T$10:$T$21</c:f>
              <c:numCache>
                <c:formatCode>0</c:formatCode>
                <c:ptCount val="12"/>
                <c:pt idx="0">
                  <c:v>5</c:v>
                </c:pt>
                <c:pt idx="1">
                  <c:v>8</c:v>
                </c:pt>
                <c:pt idx="2">
                  <c:v>7</c:v>
                </c:pt>
                <c:pt idx="3">
                  <c:v>14</c:v>
                </c:pt>
                <c:pt idx="4">
                  <c:v>16</c:v>
                </c:pt>
                <c:pt idx="5">
                  <c:v>14</c:v>
                </c:pt>
                <c:pt idx="6">
                  <c:v>8</c:v>
                </c:pt>
                <c:pt idx="7">
                  <c:v>9</c:v>
                </c:pt>
                <c:pt idx="8">
                  <c:v>5</c:v>
                </c:pt>
                <c:pt idx="9">
                  <c:v>14</c:v>
                </c:pt>
                <c:pt idx="10">
                  <c:v>7</c:v>
                </c:pt>
                <c:pt idx="11">
                  <c:v>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EE7-484C-BD81-92E397547986}"/>
            </c:ext>
          </c:extLst>
        </c:ser>
        <c:ser>
          <c:idx val="2"/>
          <c:order val="2"/>
          <c:tx>
            <c:strRef>
              <c:f>'25.08 Iganga-Kaliro'!$U$9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Iganga-Kaliro'!$U$10:$U$21</c:f>
              <c:numCache>
                <c:formatCode>0</c:formatCode>
                <c:ptCount val="12"/>
                <c:pt idx="0">
                  <c:v>5</c:v>
                </c:pt>
                <c:pt idx="1">
                  <c:v>0</c:v>
                </c:pt>
                <c:pt idx="2">
                  <c:v>3</c:v>
                </c:pt>
                <c:pt idx="3">
                  <c:v>2</c:v>
                </c:pt>
                <c:pt idx="4">
                  <c:v>5</c:v>
                </c:pt>
                <c:pt idx="5">
                  <c:v>6</c:v>
                </c:pt>
                <c:pt idx="6">
                  <c:v>4</c:v>
                </c:pt>
                <c:pt idx="7">
                  <c:v>6</c:v>
                </c:pt>
                <c:pt idx="8">
                  <c:v>7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EE7-484C-BD81-92E397547986}"/>
            </c:ext>
          </c:extLst>
        </c:ser>
        <c:ser>
          <c:idx val="3"/>
          <c:order val="3"/>
          <c:tx>
            <c:strRef>
              <c:f>'25.08 Iganga-Kaliro'!$V$9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Iganga-Kaliro'!$V$10:$V$21</c:f>
              <c:numCache>
                <c:formatCode>0</c:formatCode>
                <c:ptCount val="12"/>
                <c:pt idx="0">
                  <c:v>14</c:v>
                </c:pt>
                <c:pt idx="1">
                  <c:v>1</c:v>
                </c:pt>
                <c:pt idx="2">
                  <c:v>5</c:v>
                </c:pt>
                <c:pt idx="3">
                  <c:v>11</c:v>
                </c:pt>
                <c:pt idx="4">
                  <c:v>6</c:v>
                </c:pt>
                <c:pt idx="5">
                  <c:v>10</c:v>
                </c:pt>
                <c:pt idx="6">
                  <c:v>21</c:v>
                </c:pt>
                <c:pt idx="7">
                  <c:v>12</c:v>
                </c:pt>
                <c:pt idx="8">
                  <c:v>13</c:v>
                </c:pt>
                <c:pt idx="9">
                  <c:v>5</c:v>
                </c:pt>
                <c:pt idx="10">
                  <c:v>3</c:v>
                </c:pt>
                <c:pt idx="11">
                  <c:v>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EE7-484C-BD81-92E397547986}"/>
            </c:ext>
          </c:extLst>
        </c:ser>
        <c:ser>
          <c:idx val="4"/>
          <c:order val="4"/>
          <c:tx>
            <c:strRef>
              <c:f>'25.08 Iganga-Kaliro'!$W$9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1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EE7-484C-BD81-92E397547986}"/>
            </c:ext>
          </c:extLst>
        </c:ser>
        <c:ser>
          <c:idx val="5"/>
          <c:order val="5"/>
          <c:tx>
            <c:strRef>
              <c:f>'25.08 Iganga-Kaliro'!$X$9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EE7-484C-BD81-92E397547986}"/>
            </c:ext>
          </c:extLst>
        </c:ser>
        <c:ser>
          <c:idx val="6"/>
          <c:order val="6"/>
          <c:tx>
            <c:strRef>
              <c:f>'25.08 Iganga-Kaliro'!$Y$9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Iganga-Kaliro'!$Y$10:$Y$21</c:f>
              <c:numCache>
                <c:formatCode>0</c:formatCode>
                <c:ptCount val="12"/>
                <c:pt idx="0">
                  <c:v>7</c:v>
                </c:pt>
                <c:pt idx="1">
                  <c:v>1</c:v>
                </c:pt>
                <c:pt idx="2">
                  <c:v>4</c:v>
                </c:pt>
                <c:pt idx="3">
                  <c:v>5</c:v>
                </c:pt>
                <c:pt idx="4">
                  <c:v>9</c:v>
                </c:pt>
                <c:pt idx="5">
                  <c:v>6</c:v>
                </c:pt>
                <c:pt idx="6">
                  <c:v>2</c:v>
                </c:pt>
                <c:pt idx="7">
                  <c:v>1</c:v>
                </c:pt>
                <c:pt idx="8">
                  <c:v>4</c:v>
                </c:pt>
                <c:pt idx="9">
                  <c:v>2</c:v>
                </c:pt>
                <c:pt idx="10">
                  <c:v>3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EE7-484C-BD81-92E397547986}"/>
            </c:ext>
          </c:extLst>
        </c:ser>
        <c:ser>
          <c:idx val="7"/>
          <c:order val="7"/>
          <c:tx>
            <c:strRef>
              <c:f>'25.08 Iganga-Kaliro'!$Z$9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Iganga-Kaliro'!$Z$10:$Z$21</c:f>
              <c:numCache>
                <c:formatCode>0</c:formatCode>
                <c:ptCount val="12"/>
                <c:pt idx="0">
                  <c:v>5</c:v>
                </c:pt>
                <c:pt idx="1">
                  <c:v>4</c:v>
                </c:pt>
                <c:pt idx="2">
                  <c:v>5</c:v>
                </c:pt>
                <c:pt idx="3">
                  <c:v>8</c:v>
                </c:pt>
                <c:pt idx="4">
                  <c:v>9</c:v>
                </c:pt>
                <c:pt idx="5">
                  <c:v>4</c:v>
                </c:pt>
                <c:pt idx="6">
                  <c:v>3</c:v>
                </c:pt>
                <c:pt idx="7">
                  <c:v>4</c:v>
                </c:pt>
                <c:pt idx="8">
                  <c:v>5</c:v>
                </c:pt>
                <c:pt idx="9">
                  <c:v>1</c:v>
                </c:pt>
                <c:pt idx="10">
                  <c:v>1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EEE7-484C-BD81-92E397547986}"/>
            </c:ext>
          </c:extLst>
        </c:ser>
        <c:ser>
          <c:idx val="8"/>
          <c:order val="8"/>
          <c:tx>
            <c:strRef>
              <c:f>'25.08 Iganga-Kaliro'!$AA$9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EEE7-484C-BD81-92E397547986}"/>
            </c:ext>
          </c:extLst>
        </c:ser>
        <c:ser>
          <c:idx val="9"/>
          <c:order val="9"/>
          <c:tx>
            <c:strRef>
              <c:f>'25.08 Iganga-Kaliro'!$AB$9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EEE7-484C-BD81-92E397547986}"/>
            </c:ext>
          </c:extLst>
        </c:ser>
        <c:ser>
          <c:idx val="10"/>
          <c:order val="10"/>
          <c:tx>
            <c:strRef>
              <c:f>'25.08 Iganga-Kaliro'!$AC$9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Iganga-Kaliro'!$AC$10:$AC$21</c:f>
              <c:numCache>
                <c:formatCode>0</c:formatCode>
                <c:ptCount val="12"/>
                <c:pt idx="0">
                  <c:v>240</c:v>
                </c:pt>
                <c:pt idx="1">
                  <c:v>195</c:v>
                </c:pt>
                <c:pt idx="2">
                  <c:v>220</c:v>
                </c:pt>
                <c:pt idx="3">
                  <c:v>355</c:v>
                </c:pt>
                <c:pt idx="4">
                  <c:v>265</c:v>
                </c:pt>
                <c:pt idx="5">
                  <c:v>345</c:v>
                </c:pt>
                <c:pt idx="6">
                  <c:v>230</c:v>
                </c:pt>
                <c:pt idx="7">
                  <c:v>280</c:v>
                </c:pt>
                <c:pt idx="8">
                  <c:v>250</c:v>
                </c:pt>
                <c:pt idx="9">
                  <c:v>230</c:v>
                </c:pt>
                <c:pt idx="10">
                  <c:v>245</c:v>
                </c:pt>
                <c:pt idx="11">
                  <c:v>260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EEE7-484C-BD81-92E397547986}"/>
            </c:ext>
          </c:extLst>
        </c:ser>
        <c:ser>
          <c:idx val="11"/>
          <c:order val="11"/>
          <c:tx>
            <c:strRef>
              <c:f>'25.08 Iganga-Kaliro'!$AD$9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'25.08 Iganga-Kaliro'!$AD$10:$AD$21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EEE7-484C-BD81-92E3975479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48880944"/>
        <c:axId val="-548889104"/>
      </c:lineChart>
      <c:catAx>
        <c:axId val="-54888094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9104"/>
        <c:crosses val="autoZero"/>
        <c:auto val="1"/>
        <c:lblAlgn val="ctr"/>
        <c:lblOffset val="100"/>
        <c:noMultiLvlLbl val="0"/>
      </c:catAx>
      <c:valAx>
        <c:axId val="-548889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09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13E-4D2A-8551-63DD0883CC0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13E-4D2A-8551-63DD0883CC0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13E-4D2A-8551-63DD0883CC0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13E-4D2A-8551-63DD0883CC0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13E-4D2A-8551-63DD0883CC0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13E-4D2A-8551-63DD0883CC0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13E-4D2A-8551-63DD0883CC0B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13E-4D2A-8551-63DD0883CC0B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13E-4D2A-8551-63DD0883CC0B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13E-4D2A-8551-63DD0883CC0B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13E-4D2A-8551-63DD0883CC0B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13E-4D2A-8551-63DD0883CC0B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13E-4D2A-8551-63DD0883CC0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Iganga-Kaliro'!$C$60:$N$60</c:f>
              <c:numCache>
                <c:formatCode>0.00%</c:formatCode>
                <c:ptCount val="12"/>
                <c:pt idx="0">
                  <c:v>0.27186311787072243</c:v>
                </c:pt>
                <c:pt idx="1">
                  <c:v>0.21863117870722434</c:v>
                </c:pt>
                <c:pt idx="2">
                  <c:v>9.5057034220532313E-2</c:v>
                </c:pt>
                <c:pt idx="3">
                  <c:v>0.21292775665399238</c:v>
                </c:pt>
                <c:pt idx="4">
                  <c:v>1.9011406844106464E-3</c:v>
                </c:pt>
                <c:pt idx="5">
                  <c:v>0</c:v>
                </c:pt>
                <c:pt idx="6">
                  <c:v>9.3155893536121678E-2</c:v>
                </c:pt>
                <c:pt idx="7">
                  <c:v>9.6958174904942962E-2</c:v>
                </c:pt>
                <c:pt idx="8">
                  <c:v>3.8022813688212928E-3</c:v>
                </c:pt>
                <c:pt idx="9">
                  <c:v>0</c:v>
                </c:pt>
                <c:pt idx="11">
                  <c:v>5.7034220532319393E-3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13E-4D2A-8551-63DD0883CC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'25.08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'25.08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Kaliro-Iganga'!$AE$10:$AE$21</c:f>
              <c:numCache>
                <c:formatCode>0</c:formatCode>
                <c:ptCount val="12"/>
                <c:pt idx="0">
                  <c:v>52</c:v>
                </c:pt>
                <c:pt idx="1">
                  <c:v>15</c:v>
                </c:pt>
                <c:pt idx="2">
                  <c:v>41</c:v>
                </c:pt>
                <c:pt idx="3">
                  <c:v>44</c:v>
                </c:pt>
                <c:pt idx="4">
                  <c:v>53</c:v>
                </c:pt>
                <c:pt idx="5">
                  <c:v>28</c:v>
                </c:pt>
                <c:pt idx="6">
                  <c:v>32</c:v>
                </c:pt>
                <c:pt idx="7">
                  <c:v>51</c:v>
                </c:pt>
                <c:pt idx="8">
                  <c:v>56</c:v>
                </c:pt>
                <c:pt idx="9">
                  <c:v>62</c:v>
                </c:pt>
                <c:pt idx="10">
                  <c:v>65</c:v>
                </c:pt>
                <c:pt idx="11">
                  <c:v>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E57-4E01-B444-33D7FA1808CD}"/>
            </c:ext>
          </c:extLst>
        </c:ser>
        <c:ser>
          <c:idx val="1"/>
          <c:order val="1"/>
          <c:tx>
            <c:strRef>
              <c:f>'25.08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'25.08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'25.08 Kaliro-Iganga'!$AF$10:$AF$21</c:f>
              <c:numCache>
                <c:formatCode>0</c:formatCode>
                <c:ptCount val="12"/>
                <c:pt idx="0">
                  <c:v>344</c:v>
                </c:pt>
                <c:pt idx="1">
                  <c:v>199</c:v>
                </c:pt>
                <c:pt idx="2">
                  <c:v>322</c:v>
                </c:pt>
                <c:pt idx="3">
                  <c:v>392</c:v>
                </c:pt>
                <c:pt idx="4">
                  <c:v>445</c:v>
                </c:pt>
                <c:pt idx="5">
                  <c:v>364</c:v>
                </c:pt>
                <c:pt idx="6">
                  <c:v>316</c:v>
                </c:pt>
                <c:pt idx="7">
                  <c:v>371</c:v>
                </c:pt>
                <c:pt idx="8">
                  <c:v>395</c:v>
                </c:pt>
                <c:pt idx="9">
                  <c:v>332</c:v>
                </c:pt>
                <c:pt idx="10">
                  <c:v>328</c:v>
                </c:pt>
                <c:pt idx="11">
                  <c:v>367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E57-4E01-B444-33D7FA1808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8892912"/>
        <c:axId val="-548892368"/>
      </c:lineChart>
      <c:catAx>
        <c:axId val="-54889291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92368"/>
        <c:crosses val="autoZero"/>
        <c:auto val="1"/>
        <c:lblAlgn val="ctr"/>
        <c:lblOffset val="100"/>
        <c:noMultiLvlLbl val="0"/>
      </c:catAx>
      <c:valAx>
        <c:axId val="-5488923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92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161-4E7D-9CEC-CABF73E743E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161-4E7D-9CEC-CABF73E743E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161-4E7D-9CEC-CABF73E743E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161-4E7D-9CEC-CABF73E743E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161-4E7D-9CEC-CABF73E743E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161-4E7D-9CEC-CABF73E743E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161-4E7D-9CEC-CABF73E743E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161-4E7D-9CEC-CABF73E743E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161-4E7D-9CEC-CABF73E743E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161-4E7D-9CEC-CABF73E743E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161-4E7D-9CEC-CABF73E743E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161-4E7D-9CEC-CABF73E743E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161-4E7D-9CEC-CABF73E743E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Kaliro-Iganga'!$C$59:$N$59</c:f>
              <c:numCache>
                <c:formatCode>0.0%</c:formatCode>
                <c:ptCount val="12"/>
                <c:pt idx="0">
                  <c:v>5.2694610778443111E-2</c:v>
                </c:pt>
                <c:pt idx="1">
                  <c:v>1.0538922155688623E-2</c:v>
                </c:pt>
                <c:pt idx="2">
                  <c:v>1.3413173652694611E-2</c:v>
                </c:pt>
                <c:pt idx="3">
                  <c:v>3.4970059880239518E-2</c:v>
                </c:pt>
                <c:pt idx="4">
                  <c:v>1.437125748502994E-3</c:v>
                </c:pt>
                <c:pt idx="5">
                  <c:v>0</c:v>
                </c:pt>
                <c:pt idx="6">
                  <c:v>1.6526946107784431E-2</c:v>
                </c:pt>
                <c:pt idx="7">
                  <c:v>7.4251497005988027E-3</c:v>
                </c:pt>
                <c:pt idx="8">
                  <c:v>4.7904191616766467E-4</c:v>
                </c:pt>
                <c:pt idx="9">
                  <c:v>4.7904191616766467E-4</c:v>
                </c:pt>
                <c:pt idx="10">
                  <c:v>0.86179640718562878</c:v>
                </c:pt>
                <c:pt idx="11">
                  <c:v>2.3952095808383233E-4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161-4E7D-9CEC-CABF73E743E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E42-4CDD-86E3-A4C2F2E44A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E42-4CDD-86E3-A4C2F2E44A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E42-4CDD-86E3-A4C2F2E44A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E42-4CDD-86E3-A4C2F2E44A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E42-4CDD-86E3-A4C2F2E44A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E42-4CDD-86E3-A4C2F2E44A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E42-4CDD-86E3-A4C2F2E44AF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E42-4CDD-86E3-A4C2F2E44AF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E42-4CDD-86E3-A4C2F2E44AF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E42-4CDD-86E3-A4C2F2E44AF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E42-4CDD-86E3-A4C2F2E44AF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E42-4CDD-86E3-A4C2F2E44AF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E42-4CDD-86E3-A4C2F2E44AF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'25.08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'25.08 Kaliro-Iganga'!$C$60:$N$60</c:f>
              <c:numCache>
                <c:formatCode>0.00%</c:formatCode>
                <c:ptCount val="12"/>
                <c:pt idx="0">
                  <c:v>0.38128249566724437</c:v>
                </c:pt>
                <c:pt idx="1">
                  <c:v>7.6256499133448868E-2</c:v>
                </c:pt>
                <c:pt idx="2">
                  <c:v>9.7053726169844021E-2</c:v>
                </c:pt>
                <c:pt idx="3">
                  <c:v>0.2530329289428076</c:v>
                </c:pt>
                <c:pt idx="4">
                  <c:v>1.0398613518197574E-2</c:v>
                </c:pt>
                <c:pt idx="5">
                  <c:v>0</c:v>
                </c:pt>
                <c:pt idx="6">
                  <c:v>0.1195840554592721</c:v>
                </c:pt>
                <c:pt idx="7">
                  <c:v>5.3726169844020795E-2</c:v>
                </c:pt>
                <c:pt idx="8">
                  <c:v>3.4662045060658577E-3</c:v>
                </c:pt>
                <c:pt idx="9">
                  <c:v>3.4662045060658577E-3</c:v>
                </c:pt>
                <c:pt idx="11">
                  <c:v>1.7331022530329288E-3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E42-4CDD-86E3-A4C2F2E44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Iganga-Kaliro-24h'!$AE$9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Iganga-Kaliro-24h'!$R$10:$R$33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Iganga-Kaliro-24h'!$AE$10:$AE$33</c:f>
              <c:numCache>
                <c:formatCode>0</c:formatCode>
                <c:ptCount val="24"/>
                <c:pt idx="0">
                  <c:v>20</c:v>
                </c:pt>
                <c:pt idx="1">
                  <c:v>22</c:v>
                </c:pt>
                <c:pt idx="2">
                  <c:v>58</c:v>
                </c:pt>
                <c:pt idx="3">
                  <c:v>50</c:v>
                </c:pt>
                <c:pt idx="4">
                  <c:v>64</c:v>
                </c:pt>
                <c:pt idx="5">
                  <c:v>47</c:v>
                </c:pt>
                <c:pt idx="6">
                  <c:v>66</c:v>
                </c:pt>
                <c:pt idx="7">
                  <c:v>58</c:v>
                </c:pt>
                <c:pt idx="8">
                  <c:v>54</c:v>
                </c:pt>
                <c:pt idx="9">
                  <c:v>34</c:v>
                </c:pt>
                <c:pt idx="10">
                  <c:v>58</c:v>
                </c:pt>
                <c:pt idx="11">
                  <c:v>81</c:v>
                </c:pt>
                <c:pt idx="12">
                  <c:v>44</c:v>
                </c:pt>
                <c:pt idx="13">
                  <c:v>32</c:v>
                </c:pt>
                <c:pt idx="14">
                  <c:v>21</c:v>
                </c:pt>
                <c:pt idx="15">
                  <c:v>25</c:v>
                </c:pt>
                <c:pt idx="16">
                  <c:v>33</c:v>
                </c:pt>
                <c:pt idx="17">
                  <c:v>20</c:v>
                </c:pt>
                <c:pt idx="18">
                  <c:v>16</c:v>
                </c:pt>
                <c:pt idx="19">
                  <c:v>16</c:v>
                </c:pt>
                <c:pt idx="20">
                  <c:v>5</c:v>
                </c:pt>
                <c:pt idx="21">
                  <c:v>7</c:v>
                </c:pt>
                <c:pt idx="22">
                  <c:v>13</c:v>
                </c:pt>
                <c:pt idx="23">
                  <c:v>20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DB9B-4793-84FD-99A5405B7AD3}"/>
            </c:ext>
          </c:extLst>
        </c:ser>
        <c:ser>
          <c:idx val="1"/>
          <c:order val="1"/>
          <c:tx>
            <c:strRef>
              <c:f>'26.08 Iganga-Kaliro-24h'!$AF$9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Iganga-Kaliro-24h'!$R$10:$R$33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Iganga-Kaliro-24h'!$AF$10:$AF$33</c:f>
              <c:numCache>
                <c:formatCode>0</c:formatCode>
                <c:ptCount val="24"/>
                <c:pt idx="0">
                  <c:v>145</c:v>
                </c:pt>
                <c:pt idx="1">
                  <c:v>174</c:v>
                </c:pt>
                <c:pt idx="2">
                  <c:v>403</c:v>
                </c:pt>
                <c:pt idx="3">
                  <c:v>396</c:v>
                </c:pt>
                <c:pt idx="4">
                  <c:v>409</c:v>
                </c:pt>
                <c:pt idx="5">
                  <c:v>327</c:v>
                </c:pt>
                <c:pt idx="6">
                  <c:v>331</c:v>
                </c:pt>
                <c:pt idx="7">
                  <c:v>288</c:v>
                </c:pt>
                <c:pt idx="8">
                  <c:v>314</c:v>
                </c:pt>
                <c:pt idx="9">
                  <c:v>309</c:v>
                </c:pt>
                <c:pt idx="10">
                  <c:v>338</c:v>
                </c:pt>
                <c:pt idx="11">
                  <c:v>436</c:v>
                </c:pt>
                <c:pt idx="12">
                  <c:v>394</c:v>
                </c:pt>
                <c:pt idx="13">
                  <c:v>402</c:v>
                </c:pt>
                <c:pt idx="14">
                  <c:v>205</c:v>
                </c:pt>
                <c:pt idx="15">
                  <c:v>183</c:v>
                </c:pt>
                <c:pt idx="16">
                  <c:v>191</c:v>
                </c:pt>
                <c:pt idx="17">
                  <c:v>150</c:v>
                </c:pt>
                <c:pt idx="18">
                  <c:v>85</c:v>
                </c:pt>
                <c:pt idx="19">
                  <c:v>64</c:v>
                </c:pt>
                <c:pt idx="20">
                  <c:v>25</c:v>
                </c:pt>
                <c:pt idx="21">
                  <c:v>8</c:v>
                </c:pt>
                <c:pt idx="22">
                  <c:v>30</c:v>
                </c:pt>
                <c:pt idx="23">
                  <c:v>145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DB9B-4793-84FD-99A5405B7AD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7138816"/>
        <c:axId val="-547131200"/>
      </c:lineChart>
      <c:catAx>
        <c:axId val="-54713881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1200"/>
        <c:crosses val="autoZero"/>
        <c:auto val="1"/>
        <c:lblAlgn val="ctr"/>
        <c:lblOffset val="100"/>
        <c:noMultiLvlLbl val="0"/>
      </c:catAx>
      <c:valAx>
        <c:axId val="-5471312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8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C19-40B6-88F6-F149CBCFBC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C19-40B6-88F6-F149CBCFBC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C19-40B6-88F6-F149CBCFBC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C19-40B6-88F6-F149CBCFBC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C19-40B6-88F6-F149CBCFBC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C19-40B6-88F6-F149CBCFBC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C19-40B6-88F6-F149CBCFBC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C19-40B6-88F6-F149CBCFBC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C19-40B6-88F6-F149CBCFBC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C19-40B6-88F6-F149CBCFBC0F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C19-40B6-88F6-F149CBCFBC0F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C19-40B6-88F6-F149CBCFBC0F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C19-40B6-88F6-F149CBCFBC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Iganga-Kaliro-24h'!$C$9:$N$9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Iganga-Kaliro-24h'!$C$107:$N$107</c:f>
              <c:numCache>
                <c:formatCode>0.0%</c:formatCode>
                <c:ptCount val="12"/>
                <c:pt idx="0">
                  <c:v>4.7114047287899863E-2</c:v>
                </c:pt>
                <c:pt idx="1">
                  <c:v>2.7816411682892908E-2</c:v>
                </c:pt>
                <c:pt idx="2">
                  <c:v>1.4777468706536857E-2</c:v>
                </c:pt>
                <c:pt idx="3">
                  <c:v>2.9902642559109873E-2</c:v>
                </c:pt>
                <c:pt idx="4">
                  <c:v>1.9123783031988874E-3</c:v>
                </c:pt>
                <c:pt idx="5">
                  <c:v>3.4770514603616132E-4</c:v>
                </c:pt>
                <c:pt idx="6">
                  <c:v>1.5125173852573018E-2</c:v>
                </c:pt>
                <c:pt idx="7">
                  <c:v>1.2517385257301807E-2</c:v>
                </c:pt>
                <c:pt idx="8">
                  <c:v>3.4770514603616132E-4</c:v>
                </c:pt>
                <c:pt idx="9">
                  <c:v>0</c:v>
                </c:pt>
                <c:pt idx="10">
                  <c:v>0.84979137691237827</c:v>
                </c:pt>
                <c:pt idx="11">
                  <c:v>3.4770514603616132E-4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C19-40B6-88F6-F149CBCFBC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6F34-448D-935B-A3D0702D351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6F34-448D-935B-A3D0702D351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6F34-448D-935B-A3D0702D351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6F34-448D-935B-A3D0702D3518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6F34-448D-935B-A3D0702D3518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6F34-448D-935B-A3D0702D3518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6F34-448D-935B-A3D0702D3518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6F34-448D-935B-A3D0702D3518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6F34-448D-935B-A3D0702D3518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6F34-448D-935B-A3D0702D3518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6F34-448D-935B-A3D0702D3518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6F34-448D-935B-A3D0702D3518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6F34-448D-935B-A3D0702D351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Iganga-Kaliro-24h'!$C$9:$N$9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Iganga-Kaliro-24h'!$C$108:$N$108</c:f>
              <c:numCache>
                <c:formatCode>0.00%</c:formatCode>
                <c:ptCount val="12"/>
                <c:pt idx="0">
                  <c:v>0.31365740740740738</c:v>
                </c:pt>
                <c:pt idx="1">
                  <c:v>0.18518518518518517</c:v>
                </c:pt>
                <c:pt idx="2">
                  <c:v>9.8379629629629636E-2</c:v>
                </c:pt>
                <c:pt idx="3">
                  <c:v>0.19907407407407407</c:v>
                </c:pt>
                <c:pt idx="4">
                  <c:v>1.2731481481481481E-2</c:v>
                </c:pt>
                <c:pt idx="5">
                  <c:v>2.3148148148148147E-3</c:v>
                </c:pt>
                <c:pt idx="6">
                  <c:v>0.10069444444444445</c:v>
                </c:pt>
                <c:pt idx="7">
                  <c:v>8.3333333333333329E-2</c:v>
                </c:pt>
                <c:pt idx="8">
                  <c:v>2.3148148148148147E-3</c:v>
                </c:pt>
                <c:pt idx="9">
                  <c:v>0</c:v>
                </c:pt>
                <c:pt idx="11">
                  <c:v>2.3148148148148147E-3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6F34-448D-935B-A3D0702D35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41523264176214386"/>
          <c:y val="2.9617409316263936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'26.08 Kaliro-Iganga-24h'!$AE$9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'26.08 Kaliro-Iganga-24h'!$R$10:$R$33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Kaliro-Iganga-24h'!$AE$10:$AE$33</c:f>
              <c:numCache>
                <c:formatCode>0</c:formatCode>
                <c:ptCount val="24"/>
                <c:pt idx="0">
                  <c:v>12</c:v>
                </c:pt>
                <c:pt idx="1">
                  <c:v>30</c:v>
                </c:pt>
                <c:pt idx="2">
                  <c:v>22</c:v>
                </c:pt>
                <c:pt idx="3">
                  <c:v>32</c:v>
                </c:pt>
                <c:pt idx="4">
                  <c:v>60</c:v>
                </c:pt>
                <c:pt idx="5">
                  <c:v>45</c:v>
                </c:pt>
                <c:pt idx="6">
                  <c:v>57</c:v>
                </c:pt>
                <c:pt idx="7">
                  <c:v>45</c:v>
                </c:pt>
                <c:pt idx="8">
                  <c:v>44</c:v>
                </c:pt>
                <c:pt idx="9">
                  <c:v>51</c:v>
                </c:pt>
                <c:pt idx="10">
                  <c:v>82</c:v>
                </c:pt>
                <c:pt idx="11">
                  <c:v>52</c:v>
                </c:pt>
                <c:pt idx="12">
                  <c:v>66</c:v>
                </c:pt>
                <c:pt idx="13">
                  <c:v>50</c:v>
                </c:pt>
                <c:pt idx="14">
                  <c:v>36</c:v>
                </c:pt>
                <c:pt idx="15">
                  <c:v>26</c:v>
                </c:pt>
                <c:pt idx="16">
                  <c:v>15</c:v>
                </c:pt>
                <c:pt idx="17">
                  <c:v>8</c:v>
                </c:pt>
                <c:pt idx="18">
                  <c:v>7</c:v>
                </c:pt>
                <c:pt idx="19">
                  <c:v>13</c:v>
                </c:pt>
                <c:pt idx="20">
                  <c:v>9</c:v>
                </c:pt>
                <c:pt idx="21">
                  <c:v>10</c:v>
                </c:pt>
                <c:pt idx="22">
                  <c:v>28</c:v>
                </c:pt>
                <c:pt idx="23">
                  <c:v>50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3B5-43D7-8A8D-1950D8303871}"/>
            </c:ext>
          </c:extLst>
        </c:ser>
        <c:ser>
          <c:idx val="1"/>
          <c:order val="1"/>
          <c:tx>
            <c:strRef>
              <c:f>'26.08 Kaliro-Iganga-24h'!$AF$9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'26.08 Kaliro-Iganga-24h'!$R$10:$R$33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'26.08 Kaliro-Iganga-24h'!$AF$10:$AF$33</c:f>
              <c:numCache>
                <c:formatCode>0</c:formatCode>
                <c:ptCount val="24"/>
                <c:pt idx="0">
                  <c:v>198</c:v>
                </c:pt>
                <c:pt idx="1">
                  <c:v>250</c:v>
                </c:pt>
                <c:pt idx="2">
                  <c:v>270</c:v>
                </c:pt>
                <c:pt idx="3">
                  <c:v>356</c:v>
                </c:pt>
                <c:pt idx="4">
                  <c:v>394</c:v>
                </c:pt>
                <c:pt idx="5">
                  <c:v>369</c:v>
                </c:pt>
                <c:pt idx="6">
                  <c:v>368</c:v>
                </c:pt>
                <c:pt idx="7">
                  <c:v>393</c:v>
                </c:pt>
                <c:pt idx="8">
                  <c:v>353</c:v>
                </c:pt>
                <c:pt idx="9">
                  <c:v>355</c:v>
                </c:pt>
                <c:pt idx="10">
                  <c:v>398</c:v>
                </c:pt>
                <c:pt idx="11">
                  <c:v>335</c:v>
                </c:pt>
                <c:pt idx="12">
                  <c:v>342</c:v>
                </c:pt>
                <c:pt idx="13">
                  <c:v>283</c:v>
                </c:pt>
                <c:pt idx="14">
                  <c:v>240</c:v>
                </c:pt>
                <c:pt idx="15">
                  <c:v>187</c:v>
                </c:pt>
                <c:pt idx="16">
                  <c:v>155</c:v>
                </c:pt>
                <c:pt idx="17">
                  <c:v>95</c:v>
                </c:pt>
                <c:pt idx="18">
                  <c:v>18</c:v>
                </c:pt>
                <c:pt idx="19">
                  <c:v>13</c:v>
                </c:pt>
                <c:pt idx="20">
                  <c:v>12</c:v>
                </c:pt>
                <c:pt idx="21">
                  <c:v>11</c:v>
                </c:pt>
                <c:pt idx="22">
                  <c:v>31</c:v>
                </c:pt>
                <c:pt idx="23">
                  <c:v>125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3B5-43D7-8A8D-1950D830387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4825472"/>
        <c:axId val="-544820576"/>
      </c:lineChart>
      <c:catAx>
        <c:axId val="-544825472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20576"/>
        <c:crosses val="autoZero"/>
        <c:auto val="1"/>
        <c:lblAlgn val="ctr"/>
        <c:lblOffset val="100"/>
        <c:noMultiLvlLbl val="0"/>
      </c:catAx>
      <c:valAx>
        <c:axId val="-5448205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2547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CC2-41FB-AB6C-D0315A687D3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CC2-41FB-AB6C-D0315A687D3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CC2-41FB-AB6C-D0315A687D3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CC2-41FB-AB6C-D0315A687D3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CC2-41FB-AB6C-D0315A687D3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CC2-41FB-AB6C-D0315A687D3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CC2-41FB-AB6C-D0315A687D3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CC2-41FB-AB6C-D0315A687D3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CC2-41FB-AB6C-D0315A687D3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CC2-41FB-AB6C-D0315A687D3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CC2-41FB-AB6C-D0315A687D3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CC2-41FB-AB6C-D0315A687D35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CC2-41FB-AB6C-D0315A687D35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Kaliro-Iganga-24h'!$C$9:$N$9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Kaliro-Iganga-24h'!$C$107:$N$107</c:f>
              <c:numCache>
                <c:formatCode>0.0%</c:formatCode>
                <c:ptCount val="12"/>
                <c:pt idx="0">
                  <c:v>4.1614123581336697E-2</c:v>
                </c:pt>
                <c:pt idx="1">
                  <c:v>1.6573590344082147E-2</c:v>
                </c:pt>
                <c:pt idx="2">
                  <c:v>1.7114033507476131E-2</c:v>
                </c:pt>
                <c:pt idx="3">
                  <c:v>4.0713384975680056E-2</c:v>
                </c:pt>
                <c:pt idx="4">
                  <c:v>1.0808863267879661E-3</c:v>
                </c:pt>
                <c:pt idx="5">
                  <c:v>0</c:v>
                </c:pt>
                <c:pt idx="6">
                  <c:v>1.4411817690506215E-2</c:v>
                </c:pt>
                <c:pt idx="7">
                  <c:v>1.5312556296162854E-2</c:v>
                </c:pt>
                <c:pt idx="8">
                  <c:v>3.2426589803638984E-3</c:v>
                </c:pt>
                <c:pt idx="9">
                  <c:v>2.7022158169699153E-3</c:v>
                </c:pt>
                <c:pt idx="10">
                  <c:v>0.84687443703837151</c:v>
                </c:pt>
                <c:pt idx="11">
                  <c:v>3.6029544226265538E-4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CC2-41FB-AB6C-D0315A687D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77A-4202-BB82-6DE350EE311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77A-4202-BB82-6DE350EE311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77A-4202-BB82-6DE350EE311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77A-4202-BB82-6DE350EE311C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77A-4202-BB82-6DE350EE311C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77A-4202-BB82-6DE350EE311C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77A-4202-BB82-6DE350EE311C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77A-4202-BB82-6DE350EE311C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77A-4202-BB82-6DE350EE311C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77A-4202-BB82-6DE350EE311C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77A-4202-BB82-6DE350EE311C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77A-4202-BB82-6DE350EE311C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77A-4202-BB82-6DE350EE311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'26.08 Kaliro-Iganga-24h'!$C$9:$N$9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'26.08 Kaliro-Iganga-24h'!$C$108:$N$108</c:f>
              <c:numCache>
                <c:formatCode>0.00%</c:formatCode>
                <c:ptCount val="12"/>
                <c:pt idx="0">
                  <c:v>0.27176470588235296</c:v>
                </c:pt>
                <c:pt idx="1">
                  <c:v>0.10823529411764705</c:v>
                </c:pt>
                <c:pt idx="2">
                  <c:v>0.11176470588235295</c:v>
                </c:pt>
                <c:pt idx="3">
                  <c:v>0.26588235294117646</c:v>
                </c:pt>
                <c:pt idx="4">
                  <c:v>7.058823529411765E-3</c:v>
                </c:pt>
                <c:pt idx="5">
                  <c:v>0</c:v>
                </c:pt>
                <c:pt idx="6">
                  <c:v>9.4117647058823528E-2</c:v>
                </c:pt>
                <c:pt idx="7">
                  <c:v>0.1</c:v>
                </c:pt>
                <c:pt idx="8">
                  <c:v>2.1176470588235293E-2</c:v>
                </c:pt>
                <c:pt idx="9">
                  <c:v>1.7647058823529412E-2</c:v>
                </c:pt>
                <c:pt idx="11">
                  <c:v>2.352941176470588E-3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77A-4202-BB82-6DE350EE311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Iganga-Kaliro'!$AE$10:$AE$21</c:f>
              <c:numCache>
                <c:formatCode>0</c:formatCode>
                <c:ptCount val="12"/>
                <c:pt idx="0">
                  <c:v>62</c:v>
                </c:pt>
                <c:pt idx="1">
                  <c:v>60</c:v>
                </c:pt>
                <c:pt idx="2">
                  <c:v>47</c:v>
                </c:pt>
                <c:pt idx="3">
                  <c:v>64</c:v>
                </c:pt>
                <c:pt idx="4">
                  <c:v>57</c:v>
                </c:pt>
                <c:pt idx="5">
                  <c:v>63</c:v>
                </c:pt>
                <c:pt idx="6">
                  <c:v>60</c:v>
                </c:pt>
                <c:pt idx="7">
                  <c:v>59</c:v>
                </c:pt>
                <c:pt idx="8">
                  <c:v>67</c:v>
                </c:pt>
                <c:pt idx="9">
                  <c:v>72</c:v>
                </c:pt>
                <c:pt idx="10">
                  <c:v>65</c:v>
                </c:pt>
                <c:pt idx="11">
                  <c:v>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C61-4EFF-B3FE-B7ED65A6BB38}"/>
            </c:ext>
          </c:extLst>
        </c:ser>
        <c:ser>
          <c:idx val="1"/>
          <c:order val="1"/>
          <c:tx>
            <c:strRef>
              <c:f>'27.08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Iganga-Kaliro'!$AF$10:$AF$21</c:f>
              <c:numCache>
                <c:formatCode>0</c:formatCode>
                <c:ptCount val="12"/>
                <c:pt idx="0">
                  <c:v>307</c:v>
                </c:pt>
                <c:pt idx="1">
                  <c:v>375</c:v>
                </c:pt>
                <c:pt idx="2">
                  <c:v>322</c:v>
                </c:pt>
                <c:pt idx="3">
                  <c:v>294</c:v>
                </c:pt>
                <c:pt idx="4">
                  <c:v>337</c:v>
                </c:pt>
                <c:pt idx="5">
                  <c:v>373</c:v>
                </c:pt>
                <c:pt idx="6">
                  <c:v>365</c:v>
                </c:pt>
                <c:pt idx="7">
                  <c:v>314</c:v>
                </c:pt>
                <c:pt idx="8">
                  <c:v>318</c:v>
                </c:pt>
                <c:pt idx="9">
                  <c:v>317</c:v>
                </c:pt>
                <c:pt idx="10">
                  <c:v>300</c:v>
                </c:pt>
                <c:pt idx="11">
                  <c:v>261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C61-4EFF-B3FE-B7ED65A6BB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8891280"/>
        <c:axId val="-548890736"/>
      </c:lineChart>
      <c:catAx>
        <c:axId val="-54889128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90736"/>
        <c:crosses val="autoZero"/>
        <c:auto val="1"/>
        <c:lblAlgn val="ctr"/>
        <c:lblOffset val="100"/>
        <c:noMultiLvlLbl val="0"/>
      </c:catAx>
      <c:valAx>
        <c:axId val="-54889073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9128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4385-42DE-9260-DCACDBA6D28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4385-42DE-9260-DCACDBA6D28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4385-42DE-9260-DCACDBA6D28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4385-42DE-9260-DCACDBA6D28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4385-42DE-9260-DCACDBA6D28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4385-42DE-9260-DCACDBA6D28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4385-42DE-9260-DCACDBA6D289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4385-42DE-9260-DCACDBA6D289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4385-42DE-9260-DCACDBA6D289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4385-42DE-9260-DCACDBA6D289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4385-42DE-9260-DCACDBA6D289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4385-42DE-9260-DCACDBA6D289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4385-42DE-9260-DCACDBA6D289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Iganga-Kaliro'!$C$59:$N$59</c:f>
              <c:numCache>
                <c:formatCode>0.0%</c:formatCode>
                <c:ptCount val="12"/>
                <c:pt idx="0">
                  <c:v>4.5583311872263714E-2</c:v>
                </c:pt>
                <c:pt idx="1">
                  <c:v>3.4766932783929949E-2</c:v>
                </c:pt>
                <c:pt idx="2">
                  <c:v>3.3736801442183877E-2</c:v>
                </c:pt>
                <c:pt idx="3">
                  <c:v>4.9446304403811488E-2</c:v>
                </c:pt>
                <c:pt idx="4">
                  <c:v>0</c:v>
                </c:pt>
                <c:pt idx="5">
                  <c:v>0</c:v>
                </c:pt>
                <c:pt idx="6">
                  <c:v>1.2104043265516354E-2</c:v>
                </c:pt>
                <c:pt idx="7">
                  <c:v>1.3649240278135463E-2</c:v>
                </c:pt>
                <c:pt idx="8">
                  <c:v>0</c:v>
                </c:pt>
                <c:pt idx="9">
                  <c:v>0</c:v>
                </c:pt>
                <c:pt idx="10">
                  <c:v>0.8101983002832861</c:v>
                </c:pt>
                <c:pt idx="11">
                  <c:v>5.1506567087303637E-4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4385-42DE-9260-DCACDBA6D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Iganga-Kaliro'!$S$9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Iganga-Kaliro'!$S$10:$S$21</c:f>
              <c:numCache>
                <c:formatCode>0</c:formatCode>
                <c:ptCount val="12"/>
                <c:pt idx="0">
                  <c:v>15</c:v>
                </c:pt>
                <c:pt idx="1">
                  <c:v>18</c:v>
                </c:pt>
                <c:pt idx="2">
                  <c:v>16</c:v>
                </c:pt>
                <c:pt idx="3">
                  <c:v>17</c:v>
                </c:pt>
                <c:pt idx="4">
                  <c:v>13</c:v>
                </c:pt>
                <c:pt idx="5">
                  <c:v>19</c:v>
                </c:pt>
                <c:pt idx="6">
                  <c:v>16</c:v>
                </c:pt>
                <c:pt idx="7">
                  <c:v>8</c:v>
                </c:pt>
                <c:pt idx="8">
                  <c:v>14</c:v>
                </c:pt>
                <c:pt idx="9">
                  <c:v>15</c:v>
                </c:pt>
                <c:pt idx="10">
                  <c:v>12</c:v>
                </c:pt>
                <c:pt idx="11">
                  <c:v>14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F565-49B4-8ABB-8A67B7CF0463}"/>
            </c:ext>
          </c:extLst>
        </c:ser>
        <c:ser>
          <c:idx val="1"/>
          <c:order val="1"/>
          <c:tx>
            <c:strRef>
              <c:f>'27.08 Iganga-Kaliro'!$T$9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Iganga-Kaliro'!$T$10:$T$21</c:f>
              <c:numCache>
                <c:formatCode>0</c:formatCode>
                <c:ptCount val="12"/>
                <c:pt idx="0">
                  <c:v>13</c:v>
                </c:pt>
                <c:pt idx="1">
                  <c:v>11</c:v>
                </c:pt>
                <c:pt idx="2">
                  <c:v>8</c:v>
                </c:pt>
                <c:pt idx="3">
                  <c:v>9</c:v>
                </c:pt>
                <c:pt idx="4">
                  <c:v>10</c:v>
                </c:pt>
                <c:pt idx="5">
                  <c:v>11</c:v>
                </c:pt>
                <c:pt idx="6">
                  <c:v>10</c:v>
                </c:pt>
                <c:pt idx="7">
                  <c:v>12</c:v>
                </c:pt>
                <c:pt idx="8">
                  <c:v>16</c:v>
                </c:pt>
                <c:pt idx="9">
                  <c:v>15</c:v>
                </c:pt>
                <c:pt idx="10">
                  <c:v>10</c:v>
                </c:pt>
                <c:pt idx="11">
                  <c:v>10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F565-49B4-8ABB-8A67B7CF0463}"/>
            </c:ext>
          </c:extLst>
        </c:ser>
        <c:ser>
          <c:idx val="2"/>
          <c:order val="2"/>
          <c:tx>
            <c:strRef>
              <c:f>'27.08 Iganga-Kaliro'!$U$9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Iganga-Kaliro'!$U$10:$U$21</c:f>
              <c:numCache>
                <c:formatCode>0</c:formatCode>
                <c:ptCount val="12"/>
                <c:pt idx="0">
                  <c:v>11</c:v>
                </c:pt>
                <c:pt idx="1">
                  <c:v>7</c:v>
                </c:pt>
                <c:pt idx="2">
                  <c:v>10</c:v>
                </c:pt>
                <c:pt idx="3">
                  <c:v>9</c:v>
                </c:pt>
                <c:pt idx="4">
                  <c:v>10</c:v>
                </c:pt>
                <c:pt idx="5">
                  <c:v>7</c:v>
                </c:pt>
                <c:pt idx="6">
                  <c:v>10</c:v>
                </c:pt>
                <c:pt idx="7">
                  <c:v>12</c:v>
                </c:pt>
                <c:pt idx="8">
                  <c:v>15</c:v>
                </c:pt>
                <c:pt idx="9">
                  <c:v>17</c:v>
                </c:pt>
                <c:pt idx="10">
                  <c:v>14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565-49B4-8ABB-8A67B7CF0463}"/>
            </c:ext>
          </c:extLst>
        </c:ser>
        <c:ser>
          <c:idx val="3"/>
          <c:order val="3"/>
          <c:tx>
            <c:strRef>
              <c:f>'27.08 Iganga-Kaliro'!$V$9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Iganga-Kaliro'!$V$10:$V$21</c:f>
              <c:numCache>
                <c:formatCode>0</c:formatCode>
                <c:ptCount val="12"/>
                <c:pt idx="0">
                  <c:v>15</c:v>
                </c:pt>
                <c:pt idx="1">
                  <c:v>14</c:v>
                </c:pt>
                <c:pt idx="2">
                  <c:v>7</c:v>
                </c:pt>
                <c:pt idx="3">
                  <c:v>23</c:v>
                </c:pt>
                <c:pt idx="4">
                  <c:v>14</c:v>
                </c:pt>
                <c:pt idx="5">
                  <c:v>20</c:v>
                </c:pt>
                <c:pt idx="6">
                  <c:v>18</c:v>
                </c:pt>
                <c:pt idx="7">
                  <c:v>15</c:v>
                </c:pt>
                <c:pt idx="8">
                  <c:v>14</c:v>
                </c:pt>
                <c:pt idx="9">
                  <c:v>14</c:v>
                </c:pt>
                <c:pt idx="10">
                  <c:v>19</c:v>
                </c:pt>
                <c:pt idx="11">
                  <c:v>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565-49B4-8ABB-8A67B7CF0463}"/>
            </c:ext>
          </c:extLst>
        </c:ser>
        <c:ser>
          <c:idx val="4"/>
          <c:order val="4"/>
          <c:tx>
            <c:strRef>
              <c:f>'27.08 Iganga-Kaliro'!$W$9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565-49B4-8ABB-8A67B7CF0463}"/>
            </c:ext>
          </c:extLst>
        </c:ser>
        <c:ser>
          <c:idx val="5"/>
          <c:order val="5"/>
          <c:tx>
            <c:strRef>
              <c:f>'27.08 Iganga-Kaliro'!$X$9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565-49B4-8ABB-8A67B7CF0463}"/>
            </c:ext>
          </c:extLst>
        </c:ser>
        <c:ser>
          <c:idx val="6"/>
          <c:order val="6"/>
          <c:tx>
            <c:strRef>
              <c:f>'27.08 Iganga-Kaliro'!$Y$9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Iganga-Kaliro'!$Y$10:$Y$21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1</c:v>
                </c:pt>
                <c:pt idx="6">
                  <c:v>4</c:v>
                </c:pt>
                <c:pt idx="7">
                  <c:v>5</c:v>
                </c:pt>
                <c:pt idx="8">
                  <c:v>7</c:v>
                </c:pt>
                <c:pt idx="9">
                  <c:v>8</c:v>
                </c:pt>
                <c:pt idx="10">
                  <c:v>5</c:v>
                </c:pt>
                <c:pt idx="11">
                  <c:v>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565-49B4-8ABB-8A67B7CF0463}"/>
            </c:ext>
          </c:extLst>
        </c:ser>
        <c:ser>
          <c:idx val="7"/>
          <c:order val="7"/>
          <c:tx>
            <c:strRef>
              <c:f>'27.08 Iganga-Kaliro'!$Z$9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Iganga-Kaliro'!$Z$10:$Z$21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4</c:v>
                </c:pt>
                <c:pt idx="3">
                  <c:v>3</c:v>
                </c:pt>
                <c:pt idx="4">
                  <c:v>6</c:v>
                </c:pt>
                <c:pt idx="5">
                  <c:v>5</c:v>
                </c:pt>
                <c:pt idx="6">
                  <c:v>2</c:v>
                </c:pt>
                <c:pt idx="7">
                  <c:v>7</c:v>
                </c:pt>
                <c:pt idx="8">
                  <c:v>1</c:v>
                </c:pt>
                <c:pt idx="9">
                  <c:v>3</c:v>
                </c:pt>
                <c:pt idx="10">
                  <c:v>5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F565-49B4-8ABB-8A67B7CF0463}"/>
            </c:ext>
          </c:extLst>
        </c:ser>
        <c:ser>
          <c:idx val="8"/>
          <c:order val="8"/>
          <c:tx>
            <c:strRef>
              <c:f>'27.08 Iganga-Kaliro'!$AA$9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F565-49B4-8ABB-8A67B7CF0463}"/>
            </c:ext>
          </c:extLst>
        </c:ser>
        <c:ser>
          <c:idx val="9"/>
          <c:order val="9"/>
          <c:tx>
            <c:strRef>
              <c:f>'27.08 Iganga-Kaliro'!$AB$9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F565-49B4-8ABB-8A67B7CF0463}"/>
            </c:ext>
          </c:extLst>
        </c:ser>
        <c:ser>
          <c:idx val="10"/>
          <c:order val="10"/>
          <c:tx>
            <c:strRef>
              <c:f>'27.08 Iganga-Kaliro'!$AC$9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Iganga-Kaliro'!$AC$10:$AC$21</c:f>
              <c:numCache>
                <c:formatCode>0</c:formatCode>
                <c:ptCount val="12"/>
                <c:pt idx="0">
                  <c:v>245</c:v>
                </c:pt>
                <c:pt idx="1">
                  <c:v>315</c:v>
                </c:pt>
                <c:pt idx="2">
                  <c:v>275</c:v>
                </c:pt>
                <c:pt idx="3">
                  <c:v>230</c:v>
                </c:pt>
                <c:pt idx="4">
                  <c:v>280</c:v>
                </c:pt>
                <c:pt idx="5">
                  <c:v>310</c:v>
                </c:pt>
                <c:pt idx="6">
                  <c:v>305</c:v>
                </c:pt>
                <c:pt idx="7">
                  <c:v>255</c:v>
                </c:pt>
                <c:pt idx="8">
                  <c:v>251</c:v>
                </c:pt>
                <c:pt idx="9">
                  <c:v>245</c:v>
                </c:pt>
                <c:pt idx="10">
                  <c:v>235</c:v>
                </c:pt>
                <c:pt idx="11">
                  <c:v>200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F565-49B4-8ABB-8A67B7CF0463}"/>
            </c:ext>
          </c:extLst>
        </c:ser>
        <c:ser>
          <c:idx val="11"/>
          <c:order val="11"/>
          <c:tx>
            <c:strRef>
              <c:f>'27.08 Iganga-Kaliro'!$AD$9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Iganga-Kaliro'!$AD$10:$AD$21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F565-49B4-8ABB-8A67B7CF04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48886928"/>
        <c:axId val="-548886384"/>
      </c:lineChart>
      <c:catAx>
        <c:axId val="-5488869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6384"/>
        <c:crosses val="autoZero"/>
        <c:auto val="1"/>
        <c:lblAlgn val="ctr"/>
        <c:lblOffset val="100"/>
        <c:noMultiLvlLbl val="0"/>
      </c:catAx>
      <c:valAx>
        <c:axId val="-548886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69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F7C5-4DCE-BEC7-0690C330694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F7C5-4DCE-BEC7-0690C330694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F7C5-4DCE-BEC7-0690C330694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F7C5-4DCE-BEC7-0690C330694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F7C5-4DCE-BEC7-0690C330694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F7C5-4DCE-BEC7-0690C330694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F7C5-4DCE-BEC7-0690C330694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F7C5-4DCE-BEC7-0690C330694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F7C5-4DCE-BEC7-0690C330694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F7C5-4DCE-BEC7-0690C330694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F7C5-4DCE-BEC7-0690C330694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F7C5-4DCE-BEC7-0690C330694A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F7C5-4DCE-BEC7-0690C33069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Iganga-Kaliro'!$C$60:$N$60</c:f>
              <c:numCache>
                <c:formatCode>0.00%</c:formatCode>
                <c:ptCount val="12"/>
                <c:pt idx="0">
                  <c:v>0.24016282225237448</c:v>
                </c:pt>
                <c:pt idx="1">
                  <c:v>0.18317503392130258</c:v>
                </c:pt>
                <c:pt idx="2">
                  <c:v>0.17774762550881953</c:v>
                </c:pt>
                <c:pt idx="3">
                  <c:v>0.26051560379918587</c:v>
                </c:pt>
                <c:pt idx="4">
                  <c:v>0</c:v>
                </c:pt>
                <c:pt idx="5">
                  <c:v>0</c:v>
                </c:pt>
                <c:pt idx="6">
                  <c:v>6.3772048846675713E-2</c:v>
                </c:pt>
                <c:pt idx="7">
                  <c:v>7.1913161465400277E-2</c:v>
                </c:pt>
                <c:pt idx="8">
                  <c:v>0</c:v>
                </c:pt>
                <c:pt idx="9">
                  <c:v>0</c:v>
                </c:pt>
                <c:pt idx="11">
                  <c:v>2.7137042062415195E-3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F7C5-4DCE-BEC7-0690C3306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'27.08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Kaliro-Iganga'!$AE$10:$AE$21</c:f>
              <c:numCache>
                <c:formatCode>0</c:formatCode>
                <c:ptCount val="12"/>
                <c:pt idx="0">
                  <c:v>40</c:v>
                </c:pt>
                <c:pt idx="1">
                  <c:v>35</c:v>
                </c:pt>
                <c:pt idx="2">
                  <c:v>57</c:v>
                </c:pt>
                <c:pt idx="3">
                  <c:v>78</c:v>
                </c:pt>
                <c:pt idx="4">
                  <c:v>59</c:v>
                </c:pt>
                <c:pt idx="5">
                  <c:v>42</c:v>
                </c:pt>
                <c:pt idx="6">
                  <c:v>43</c:v>
                </c:pt>
                <c:pt idx="7">
                  <c:v>65</c:v>
                </c:pt>
                <c:pt idx="8">
                  <c:v>57</c:v>
                </c:pt>
                <c:pt idx="9">
                  <c:v>49</c:v>
                </c:pt>
                <c:pt idx="10">
                  <c:v>64</c:v>
                </c:pt>
                <c:pt idx="11">
                  <c:v>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63-4278-A5CC-74015684B17F}"/>
            </c:ext>
          </c:extLst>
        </c:ser>
        <c:ser>
          <c:idx val="1"/>
          <c:order val="1"/>
          <c:tx>
            <c:strRef>
              <c:f>'27.08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'27.08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Kaliro-Iganga'!$AF$10:$AF$21</c:f>
              <c:numCache>
                <c:formatCode>0</c:formatCode>
                <c:ptCount val="12"/>
                <c:pt idx="0">
                  <c:v>308</c:v>
                </c:pt>
                <c:pt idx="1">
                  <c:v>306</c:v>
                </c:pt>
                <c:pt idx="2">
                  <c:v>332</c:v>
                </c:pt>
                <c:pt idx="3">
                  <c:v>352</c:v>
                </c:pt>
                <c:pt idx="4">
                  <c:v>311</c:v>
                </c:pt>
                <c:pt idx="5">
                  <c:v>344</c:v>
                </c:pt>
                <c:pt idx="6">
                  <c:v>355</c:v>
                </c:pt>
                <c:pt idx="7">
                  <c:v>358</c:v>
                </c:pt>
                <c:pt idx="8">
                  <c:v>341</c:v>
                </c:pt>
                <c:pt idx="9">
                  <c:v>346</c:v>
                </c:pt>
                <c:pt idx="10">
                  <c:v>345</c:v>
                </c:pt>
                <c:pt idx="11">
                  <c:v>348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63-4278-A5CC-74015684B1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8883120"/>
        <c:axId val="-548880400"/>
      </c:lineChart>
      <c:catAx>
        <c:axId val="-54888312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0400"/>
        <c:crosses val="autoZero"/>
        <c:auto val="1"/>
        <c:lblAlgn val="ctr"/>
        <c:lblOffset val="100"/>
        <c:noMultiLvlLbl val="0"/>
      </c:catAx>
      <c:valAx>
        <c:axId val="-54888040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888312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838-4AD2-B02D-63FE1AB93A1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838-4AD2-B02D-63FE1AB93A1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838-4AD2-B02D-63FE1AB93A1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838-4AD2-B02D-63FE1AB93A1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838-4AD2-B02D-63FE1AB93A14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838-4AD2-B02D-63FE1AB93A14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838-4AD2-B02D-63FE1AB93A14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838-4AD2-B02D-63FE1AB93A14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838-4AD2-B02D-63FE1AB93A14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838-4AD2-B02D-63FE1AB93A14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838-4AD2-B02D-63FE1AB93A14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838-4AD2-B02D-63FE1AB93A14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838-4AD2-B02D-63FE1AB93A14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Kaliro-Iganga'!$C$59:$N$59</c:f>
              <c:numCache>
                <c:formatCode>0.0%</c:formatCode>
                <c:ptCount val="12"/>
                <c:pt idx="0">
                  <c:v>3.9545229856648545E-2</c:v>
                </c:pt>
                <c:pt idx="1">
                  <c:v>1.458230350963915E-2</c:v>
                </c:pt>
                <c:pt idx="2">
                  <c:v>2.1502718734552645E-2</c:v>
                </c:pt>
                <c:pt idx="3">
                  <c:v>5.3386060306475532E-2</c:v>
                </c:pt>
                <c:pt idx="4">
                  <c:v>7.414730598121602E-4</c:v>
                </c:pt>
                <c:pt idx="5">
                  <c:v>0</c:v>
                </c:pt>
                <c:pt idx="6">
                  <c:v>1.8783984181908058E-2</c:v>
                </c:pt>
                <c:pt idx="7">
                  <c:v>1.2110726643598616E-2</c:v>
                </c:pt>
                <c:pt idx="8">
                  <c:v>5.1903114186851208E-3</c:v>
                </c:pt>
                <c:pt idx="9">
                  <c:v>2.4715768660405336E-4</c:v>
                </c:pt>
                <c:pt idx="10">
                  <c:v>0.83366287691547203</c:v>
                </c:pt>
                <c:pt idx="11">
                  <c:v>2.4715768660405336E-4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838-4AD2-B02D-63FE1AB93A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'27.08 Kaliro-Iganga'!$S$9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'27.08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Kaliro-Iganga'!$S$10:$S$21</c:f>
              <c:numCache>
                <c:formatCode>0</c:formatCode>
                <c:ptCount val="12"/>
                <c:pt idx="0">
                  <c:v>11</c:v>
                </c:pt>
                <c:pt idx="1">
                  <c:v>7</c:v>
                </c:pt>
                <c:pt idx="2">
                  <c:v>9</c:v>
                </c:pt>
                <c:pt idx="3">
                  <c:v>18</c:v>
                </c:pt>
                <c:pt idx="4">
                  <c:v>21</c:v>
                </c:pt>
                <c:pt idx="5">
                  <c:v>14</c:v>
                </c:pt>
                <c:pt idx="6">
                  <c:v>11</c:v>
                </c:pt>
                <c:pt idx="7">
                  <c:v>20</c:v>
                </c:pt>
                <c:pt idx="8">
                  <c:v>11</c:v>
                </c:pt>
                <c:pt idx="9">
                  <c:v>11</c:v>
                </c:pt>
                <c:pt idx="10">
                  <c:v>12</c:v>
                </c:pt>
                <c:pt idx="11">
                  <c:v>15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ACD-4E4E-9939-9E943A18B54F}"/>
            </c:ext>
          </c:extLst>
        </c:ser>
        <c:ser>
          <c:idx val="1"/>
          <c:order val="1"/>
          <c:tx>
            <c:strRef>
              <c:f>'27.08 Kaliro-Iganga'!$T$9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'27.08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'27.08 Kaliro-Iganga'!$T$10:$T$21</c:f>
              <c:numCache>
                <c:formatCode>0</c:formatCode>
                <c:ptCount val="12"/>
                <c:pt idx="0">
                  <c:v>3</c:v>
                </c:pt>
                <c:pt idx="1">
                  <c:v>5</c:v>
                </c:pt>
                <c:pt idx="2">
                  <c:v>5</c:v>
                </c:pt>
                <c:pt idx="3">
                  <c:v>7</c:v>
                </c:pt>
                <c:pt idx="4">
                  <c:v>3</c:v>
                </c:pt>
                <c:pt idx="5">
                  <c:v>1</c:v>
                </c:pt>
                <c:pt idx="6">
                  <c:v>5</c:v>
                </c:pt>
                <c:pt idx="7">
                  <c:v>5</c:v>
                </c:pt>
                <c:pt idx="8">
                  <c:v>3</c:v>
                </c:pt>
                <c:pt idx="9">
                  <c:v>9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ACD-4E4E-9939-9E943A18B54F}"/>
            </c:ext>
          </c:extLst>
        </c:ser>
        <c:ser>
          <c:idx val="2"/>
          <c:order val="2"/>
          <c:tx>
            <c:strRef>
              <c:f>'27.08 Kaliro-Iganga'!$U$9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Kaliro-Iganga'!$U$10:$U$21</c:f>
              <c:numCache>
                <c:formatCode>0</c:formatCode>
                <c:ptCount val="12"/>
                <c:pt idx="0">
                  <c:v>4</c:v>
                </c:pt>
                <c:pt idx="1">
                  <c:v>9</c:v>
                </c:pt>
                <c:pt idx="2">
                  <c:v>7</c:v>
                </c:pt>
                <c:pt idx="3">
                  <c:v>15</c:v>
                </c:pt>
                <c:pt idx="4">
                  <c:v>7</c:v>
                </c:pt>
                <c:pt idx="5">
                  <c:v>4</c:v>
                </c:pt>
                <c:pt idx="6">
                  <c:v>7</c:v>
                </c:pt>
                <c:pt idx="7">
                  <c:v>3</c:v>
                </c:pt>
                <c:pt idx="8">
                  <c:v>8</c:v>
                </c:pt>
                <c:pt idx="9">
                  <c:v>10</c:v>
                </c:pt>
                <c:pt idx="10">
                  <c:v>7</c:v>
                </c:pt>
                <c:pt idx="11">
                  <c:v>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ACD-4E4E-9939-9E943A18B54F}"/>
            </c:ext>
          </c:extLst>
        </c:ser>
        <c:ser>
          <c:idx val="3"/>
          <c:order val="3"/>
          <c:tx>
            <c:strRef>
              <c:f>'27.08 Kaliro-Iganga'!$V$9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Kaliro-Iganga'!$V$10:$V$21</c:f>
              <c:numCache>
                <c:formatCode>0</c:formatCode>
                <c:ptCount val="12"/>
                <c:pt idx="0">
                  <c:v>10</c:v>
                </c:pt>
                <c:pt idx="1">
                  <c:v>7</c:v>
                </c:pt>
                <c:pt idx="2">
                  <c:v>17</c:v>
                </c:pt>
                <c:pt idx="3">
                  <c:v>21</c:v>
                </c:pt>
                <c:pt idx="4">
                  <c:v>18</c:v>
                </c:pt>
                <c:pt idx="5">
                  <c:v>9</c:v>
                </c:pt>
                <c:pt idx="6">
                  <c:v>13</c:v>
                </c:pt>
                <c:pt idx="7">
                  <c:v>26</c:v>
                </c:pt>
                <c:pt idx="8">
                  <c:v>23</c:v>
                </c:pt>
                <c:pt idx="9">
                  <c:v>22</c:v>
                </c:pt>
                <c:pt idx="10">
                  <c:v>23</c:v>
                </c:pt>
                <c:pt idx="11">
                  <c:v>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ACD-4E4E-9939-9E943A18B54F}"/>
            </c:ext>
          </c:extLst>
        </c:ser>
        <c:ser>
          <c:idx val="4"/>
          <c:order val="4"/>
          <c:tx>
            <c:strRef>
              <c:f>'27.08 Kaliro-Iganga'!$W$9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ACD-4E4E-9939-9E943A18B54F}"/>
            </c:ext>
          </c:extLst>
        </c:ser>
        <c:ser>
          <c:idx val="5"/>
          <c:order val="5"/>
          <c:tx>
            <c:strRef>
              <c:f>'27.08 Kaliro-Iganga'!$X$9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ACD-4E4E-9939-9E943A18B54F}"/>
            </c:ext>
          </c:extLst>
        </c:ser>
        <c:ser>
          <c:idx val="6"/>
          <c:order val="6"/>
          <c:tx>
            <c:strRef>
              <c:f>'27.08 Kaliro-Iganga'!$Y$9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Kaliro-Iganga'!$Y$10:$Y$21</c:f>
              <c:numCache>
                <c:formatCode>0</c:formatCode>
                <c:ptCount val="12"/>
                <c:pt idx="0">
                  <c:v>5</c:v>
                </c:pt>
                <c:pt idx="1">
                  <c:v>7</c:v>
                </c:pt>
                <c:pt idx="2">
                  <c:v>8</c:v>
                </c:pt>
                <c:pt idx="3">
                  <c:v>8</c:v>
                </c:pt>
                <c:pt idx="4">
                  <c:v>5</c:v>
                </c:pt>
                <c:pt idx="5">
                  <c:v>5</c:v>
                </c:pt>
                <c:pt idx="6">
                  <c:v>4</c:v>
                </c:pt>
                <c:pt idx="7">
                  <c:v>8</c:v>
                </c:pt>
                <c:pt idx="8">
                  <c:v>7</c:v>
                </c:pt>
                <c:pt idx="9">
                  <c:v>6</c:v>
                </c:pt>
                <c:pt idx="10">
                  <c:v>6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ACD-4E4E-9939-9E943A18B54F}"/>
            </c:ext>
          </c:extLst>
        </c:ser>
        <c:ser>
          <c:idx val="7"/>
          <c:order val="7"/>
          <c:tx>
            <c:strRef>
              <c:f>'27.08 Kaliro-Iganga'!$Z$9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Kaliro-Iganga'!$Z$10:$Z$21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8</c:v>
                </c:pt>
                <c:pt idx="3">
                  <c:v>5</c:v>
                </c:pt>
                <c:pt idx="4">
                  <c:v>5</c:v>
                </c:pt>
                <c:pt idx="5">
                  <c:v>3</c:v>
                </c:pt>
                <c:pt idx="6">
                  <c:v>2</c:v>
                </c:pt>
                <c:pt idx="7">
                  <c:v>3</c:v>
                </c:pt>
                <c:pt idx="8">
                  <c:v>4</c:v>
                </c:pt>
                <c:pt idx="9">
                  <c:v>8</c:v>
                </c:pt>
                <c:pt idx="10">
                  <c:v>6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ACD-4E4E-9939-9E943A18B54F}"/>
            </c:ext>
          </c:extLst>
        </c:ser>
        <c:ser>
          <c:idx val="8"/>
          <c:order val="8"/>
          <c:tx>
            <c:strRef>
              <c:f>'27.08 Kaliro-Iganga'!$AA$9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Kaliro-Iganga'!$AA$10:$AA$21</c:f>
              <c:numCache>
                <c:formatCode>0</c:formatCode>
                <c:ptCount val="12"/>
                <c:pt idx="0">
                  <c:v>3</c:v>
                </c:pt>
                <c:pt idx="1">
                  <c:v>0</c:v>
                </c:pt>
                <c:pt idx="2">
                  <c:v>2</c:v>
                </c:pt>
                <c:pt idx="3">
                  <c:v>4</c:v>
                </c:pt>
                <c:pt idx="4">
                  <c:v>0</c:v>
                </c:pt>
                <c:pt idx="5">
                  <c:v>5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2</c:v>
                </c:pt>
                <c:pt idx="10">
                  <c:v>2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8ACD-4E4E-9939-9E943A18B54F}"/>
            </c:ext>
          </c:extLst>
        </c:ser>
        <c:ser>
          <c:idx val="9"/>
          <c:order val="9"/>
          <c:tx>
            <c:strRef>
              <c:f>'27.08 Kaliro-Iganga'!$AB$9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8ACD-4E4E-9939-9E943A18B54F}"/>
            </c:ext>
          </c:extLst>
        </c:ser>
        <c:ser>
          <c:idx val="10"/>
          <c:order val="10"/>
          <c:tx>
            <c:strRef>
              <c:f>'27.08 Kaliro-Iganga'!$AC$9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Kaliro-Iganga'!$AC$10:$AC$21</c:f>
              <c:numCache>
                <c:formatCode>0</c:formatCode>
                <c:ptCount val="12"/>
                <c:pt idx="0">
                  <c:v>268</c:v>
                </c:pt>
                <c:pt idx="1">
                  <c:v>271</c:v>
                </c:pt>
                <c:pt idx="2">
                  <c:v>275</c:v>
                </c:pt>
                <c:pt idx="3">
                  <c:v>274</c:v>
                </c:pt>
                <c:pt idx="4">
                  <c:v>252</c:v>
                </c:pt>
                <c:pt idx="5">
                  <c:v>302</c:v>
                </c:pt>
                <c:pt idx="6">
                  <c:v>312</c:v>
                </c:pt>
                <c:pt idx="7">
                  <c:v>293</c:v>
                </c:pt>
                <c:pt idx="8">
                  <c:v>284</c:v>
                </c:pt>
                <c:pt idx="9">
                  <c:v>278</c:v>
                </c:pt>
                <c:pt idx="10">
                  <c:v>281</c:v>
                </c:pt>
                <c:pt idx="11">
                  <c:v>283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8ACD-4E4E-9939-9E943A18B54F}"/>
            </c:ext>
          </c:extLst>
        </c:ser>
        <c:ser>
          <c:idx val="11"/>
          <c:order val="11"/>
          <c:tx>
            <c:strRef>
              <c:f>'27.08 Kaliro-Iganga'!$AD$9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'27.08 Kaliro-Iganga'!$AD$10:$AD$21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8ACD-4E4E-9939-9E943A18B5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47137728"/>
        <c:axId val="-547127392"/>
      </c:lineChart>
      <c:catAx>
        <c:axId val="-5471377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27392"/>
        <c:crosses val="autoZero"/>
        <c:auto val="1"/>
        <c:lblAlgn val="ctr"/>
        <c:lblOffset val="100"/>
        <c:noMultiLvlLbl val="0"/>
      </c:catAx>
      <c:valAx>
        <c:axId val="-547127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7137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5B51-4D84-891B-06C3FCEF433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5B51-4D84-891B-06C3FCEF433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5B51-4D84-891B-06C3FCEF433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5B51-4D84-891B-06C3FCEF433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5B51-4D84-891B-06C3FCEF433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5B51-4D84-891B-06C3FCEF433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5B51-4D84-891B-06C3FCEF433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5B51-4D84-891B-06C3FCEF433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5B51-4D84-891B-06C3FCEF433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5B51-4D84-891B-06C3FCEF433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5B51-4D84-891B-06C3FCEF433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5B51-4D84-891B-06C3FCEF433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5B51-4D84-891B-06C3FCEF433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'27.08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'27.08 Kaliro-Iganga'!$C$60:$N$60</c:f>
              <c:numCache>
                <c:formatCode>0.00%</c:formatCode>
                <c:ptCount val="12"/>
                <c:pt idx="0">
                  <c:v>0.24464831804281345</c:v>
                </c:pt>
                <c:pt idx="1">
                  <c:v>9.0214067278287458E-2</c:v>
                </c:pt>
                <c:pt idx="2">
                  <c:v>0.13302752293577982</c:v>
                </c:pt>
                <c:pt idx="3">
                  <c:v>0.33027522935779818</c:v>
                </c:pt>
                <c:pt idx="4">
                  <c:v>4.5871559633027525E-3</c:v>
                </c:pt>
                <c:pt idx="5">
                  <c:v>0</c:v>
                </c:pt>
                <c:pt idx="6">
                  <c:v>0.11620795107033639</c:v>
                </c:pt>
                <c:pt idx="7">
                  <c:v>7.492354740061162E-2</c:v>
                </c:pt>
                <c:pt idx="8">
                  <c:v>3.2110091743119268E-2</c:v>
                </c:pt>
                <c:pt idx="9">
                  <c:v>1.5290519877675841E-3</c:v>
                </c:pt>
                <c:pt idx="11">
                  <c:v>1.5290519877675841E-3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5B51-4D84-891B-06C3FCEF43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Iganga-Kaliro'!$AE$10:$AE$21</c:f>
              <c:numCache>
                <c:formatCode>0</c:formatCode>
                <c:ptCount val="12"/>
                <c:pt idx="0">
                  <c:v>94</c:v>
                </c:pt>
                <c:pt idx="1">
                  <c:v>70</c:v>
                </c:pt>
                <c:pt idx="2">
                  <c:v>76</c:v>
                </c:pt>
                <c:pt idx="3">
                  <c:v>71</c:v>
                </c:pt>
                <c:pt idx="4">
                  <c:v>70</c:v>
                </c:pt>
                <c:pt idx="5">
                  <c:v>59</c:v>
                </c:pt>
                <c:pt idx="6">
                  <c:v>70</c:v>
                </c:pt>
                <c:pt idx="7">
                  <c:v>70</c:v>
                </c:pt>
                <c:pt idx="8">
                  <c:v>76</c:v>
                </c:pt>
                <c:pt idx="9">
                  <c:v>70</c:v>
                </c:pt>
                <c:pt idx="10">
                  <c:v>65</c:v>
                </c:pt>
                <c:pt idx="11">
                  <c:v>70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5C8-45AB-8CEF-A7108B6754B8}"/>
            </c:ext>
          </c:extLst>
        </c:ser>
        <c:ser>
          <c:idx val="1"/>
          <c:order val="1"/>
          <c:tx>
            <c:strRef>
              <c:f>'28.08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Iganga-Kaliro'!$AF$10:$AF$21</c:f>
              <c:numCache>
                <c:formatCode>0</c:formatCode>
                <c:ptCount val="12"/>
                <c:pt idx="0">
                  <c:v>364</c:v>
                </c:pt>
                <c:pt idx="1">
                  <c:v>360</c:v>
                </c:pt>
                <c:pt idx="2">
                  <c:v>321</c:v>
                </c:pt>
                <c:pt idx="3">
                  <c:v>296</c:v>
                </c:pt>
                <c:pt idx="4">
                  <c:v>310</c:v>
                </c:pt>
                <c:pt idx="5">
                  <c:v>289</c:v>
                </c:pt>
                <c:pt idx="6">
                  <c:v>295</c:v>
                </c:pt>
                <c:pt idx="7">
                  <c:v>305</c:v>
                </c:pt>
                <c:pt idx="8">
                  <c:v>316</c:v>
                </c:pt>
                <c:pt idx="9">
                  <c:v>290</c:v>
                </c:pt>
                <c:pt idx="10">
                  <c:v>296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15C8-45AB-8CEF-A7108B6754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4823296"/>
        <c:axId val="-544819488"/>
      </c:lineChart>
      <c:catAx>
        <c:axId val="-54482329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19488"/>
        <c:crosses val="autoZero"/>
        <c:auto val="1"/>
        <c:lblAlgn val="ctr"/>
        <c:lblOffset val="100"/>
        <c:noMultiLvlLbl val="0"/>
      </c:catAx>
      <c:valAx>
        <c:axId val="-544819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232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C085-4D7B-92D4-0FE0B8706BF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C085-4D7B-92D4-0FE0B8706BF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C085-4D7B-92D4-0FE0B8706BF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C085-4D7B-92D4-0FE0B8706BF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C085-4D7B-92D4-0FE0B8706BF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C085-4D7B-92D4-0FE0B8706BF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C085-4D7B-92D4-0FE0B8706BF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C085-4D7B-92D4-0FE0B8706BF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C085-4D7B-92D4-0FE0B8706BF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C085-4D7B-92D4-0FE0B8706BF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C085-4D7B-92D4-0FE0B8706BF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C085-4D7B-92D4-0FE0B8706BF0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C085-4D7B-92D4-0FE0B8706BF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Iganga-Kaliro'!$C$59:$N$59</c:f>
              <c:numCache>
                <c:formatCode>0.0%</c:formatCode>
                <c:ptCount val="12"/>
                <c:pt idx="0">
                  <c:v>6.0743912229060747E-2</c:v>
                </c:pt>
                <c:pt idx="1">
                  <c:v>3.6660422799036661E-2</c:v>
                </c:pt>
                <c:pt idx="2">
                  <c:v>3.4519668183034521E-2</c:v>
                </c:pt>
                <c:pt idx="3">
                  <c:v>5.2983676746052984E-2</c:v>
                </c:pt>
                <c:pt idx="4">
                  <c:v>1.0703773080010704E-3</c:v>
                </c:pt>
                <c:pt idx="5">
                  <c:v>2.6759432700026759E-4</c:v>
                </c:pt>
                <c:pt idx="6">
                  <c:v>2.2745517795022745E-2</c:v>
                </c:pt>
                <c:pt idx="7">
                  <c:v>2.1407546160021409E-2</c:v>
                </c:pt>
                <c:pt idx="8">
                  <c:v>0</c:v>
                </c:pt>
                <c:pt idx="9">
                  <c:v>0</c:v>
                </c:pt>
                <c:pt idx="10">
                  <c:v>0.76960128445276965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C085-4D7B-92D4-0FE0B8706BF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Iganga-Kaliro'!$S$9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Iganga-Kaliro'!$S$10:$S$21</c:f>
              <c:numCache>
                <c:formatCode>0</c:formatCode>
                <c:ptCount val="12"/>
                <c:pt idx="0">
                  <c:v>25</c:v>
                </c:pt>
                <c:pt idx="1">
                  <c:v>20</c:v>
                </c:pt>
                <c:pt idx="2">
                  <c:v>21</c:v>
                </c:pt>
                <c:pt idx="3">
                  <c:v>17</c:v>
                </c:pt>
                <c:pt idx="4">
                  <c:v>18</c:v>
                </c:pt>
                <c:pt idx="5">
                  <c:v>16</c:v>
                </c:pt>
                <c:pt idx="6">
                  <c:v>17</c:v>
                </c:pt>
                <c:pt idx="7">
                  <c:v>18</c:v>
                </c:pt>
                <c:pt idx="8">
                  <c:v>22</c:v>
                </c:pt>
                <c:pt idx="9">
                  <c:v>18</c:v>
                </c:pt>
                <c:pt idx="10">
                  <c:v>18</c:v>
                </c:pt>
                <c:pt idx="11">
                  <c:v>17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28B-46B4-90C5-4BE58AC1B7CD}"/>
            </c:ext>
          </c:extLst>
        </c:ser>
        <c:ser>
          <c:idx val="1"/>
          <c:order val="1"/>
          <c:tx>
            <c:strRef>
              <c:f>'28.08 Iganga-Kaliro'!$T$9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 Iganga-Kaliro'!$R$10:$R$21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Iganga-Kaliro'!$T$10:$T$21</c:f>
              <c:numCache>
                <c:formatCode>0</c:formatCode>
                <c:ptCount val="12"/>
                <c:pt idx="0">
                  <c:v>14</c:v>
                </c:pt>
                <c:pt idx="1">
                  <c:v>14</c:v>
                </c:pt>
                <c:pt idx="2">
                  <c:v>12</c:v>
                </c:pt>
                <c:pt idx="3">
                  <c:v>11</c:v>
                </c:pt>
                <c:pt idx="4">
                  <c:v>10</c:v>
                </c:pt>
                <c:pt idx="5">
                  <c:v>8</c:v>
                </c:pt>
                <c:pt idx="6">
                  <c:v>10</c:v>
                </c:pt>
                <c:pt idx="7">
                  <c:v>11</c:v>
                </c:pt>
                <c:pt idx="8">
                  <c:v>12</c:v>
                </c:pt>
                <c:pt idx="9">
                  <c:v>13</c:v>
                </c:pt>
                <c:pt idx="10">
                  <c:v>10</c:v>
                </c:pt>
                <c:pt idx="11">
                  <c:v>12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28B-46B4-90C5-4BE58AC1B7CD}"/>
            </c:ext>
          </c:extLst>
        </c:ser>
        <c:ser>
          <c:idx val="2"/>
          <c:order val="2"/>
          <c:tx>
            <c:strRef>
              <c:f>'28.08 Iganga-Kaliro'!$U$9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Iganga-Kaliro'!$U$10:$U$21</c:f>
              <c:numCache>
                <c:formatCode>0</c:formatCode>
                <c:ptCount val="12"/>
                <c:pt idx="0">
                  <c:v>12</c:v>
                </c:pt>
                <c:pt idx="1">
                  <c:v>7</c:v>
                </c:pt>
                <c:pt idx="2">
                  <c:v>11</c:v>
                </c:pt>
                <c:pt idx="3">
                  <c:v>12</c:v>
                </c:pt>
                <c:pt idx="4">
                  <c:v>14</c:v>
                </c:pt>
                <c:pt idx="5">
                  <c:v>8</c:v>
                </c:pt>
                <c:pt idx="6">
                  <c:v>13</c:v>
                </c:pt>
                <c:pt idx="7">
                  <c:v>10</c:v>
                </c:pt>
                <c:pt idx="8">
                  <c:v>13</c:v>
                </c:pt>
                <c:pt idx="9">
                  <c:v>8</c:v>
                </c:pt>
                <c:pt idx="10">
                  <c:v>11</c:v>
                </c:pt>
                <c:pt idx="11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28B-46B4-90C5-4BE58AC1B7CD}"/>
            </c:ext>
          </c:extLst>
        </c:ser>
        <c:ser>
          <c:idx val="3"/>
          <c:order val="3"/>
          <c:tx>
            <c:strRef>
              <c:f>'28.08 Iganga-Kaliro'!$V$9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Iganga-Kaliro'!$V$10:$V$21</c:f>
              <c:numCache>
                <c:formatCode>0</c:formatCode>
                <c:ptCount val="12"/>
                <c:pt idx="0">
                  <c:v>21</c:v>
                </c:pt>
                <c:pt idx="1">
                  <c:v>19</c:v>
                </c:pt>
                <c:pt idx="2">
                  <c:v>17</c:v>
                </c:pt>
                <c:pt idx="3">
                  <c:v>17</c:v>
                </c:pt>
                <c:pt idx="4">
                  <c:v>15</c:v>
                </c:pt>
                <c:pt idx="5">
                  <c:v>17</c:v>
                </c:pt>
                <c:pt idx="6">
                  <c:v>14</c:v>
                </c:pt>
                <c:pt idx="7">
                  <c:v>16</c:v>
                </c:pt>
                <c:pt idx="8">
                  <c:v>14</c:v>
                </c:pt>
                <c:pt idx="9">
                  <c:v>17</c:v>
                </c:pt>
                <c:pt idx="10">
                  <c:v>16</c:v>
                </c:pt>
                <c:pt idx="11">
                  <c:v>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28B-46B4-90C5-4BE58AC1B7CD}"/>
            </c:ext>
          </c:extLst>
        </c:ser>
        <c:ser>
          <c:idx val="4"/>
          <c:order val="4"/>
          <c:tx>
            <c:strRef>
              <c:f>'28.08 Iganga-Kaliro'!$W$9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Iganga-Kaliro'!$W$10:$W$21</c:f>
              <c:numCache>
                <c:formatCode>0</c:formatCode>
                <c:ptCount val="12"/>
                <c:pt idx="0">
                  <c:v>1</c:v>
                </c:pt>
                <c:pt idx="1">
                  <c:v>1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28B-46B4-90C5-4BE58AC1B7CD}"/>
            </c:ext>
          </c:extLst>
        </c:ser>
        <c:ser>
          <c:idx val="5"/>
          <c:order val="5"/>
          <c:tx>
            <c:strRef>
              <c:f>'28.08 Iganga-Kaliro'!$X$9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Iganga-Kaliro'!$X$10:$X$21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28B-46B4-90C5-4BE58AC1B7CD}"/>
            </c:ext>
          </c:extLst>
        </c:ser>
        <c:ser>
          <c:idx val="6"/>
          <c:order val="6"/>
          <c:tx>
            <c:strRef>
              <c:f>'28.08 Iganga-Kaliro'!$Y$9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Iganga-Kaliro'!$Y$10:$Y$21</c:f>
              <c:numCache>
                <c:formatCode>0</c:formatCode>
                <c:ptCount val="12"/>
                <c:pt idx="0">
                  <c:v>13</c:v>
                </c:pt>
                <c:pt idx="1">
                  <c:v>4</c:v>
                </c:pt>
                <c:pt idx="2">
                  <c:v>7</c:v>
                </c:pt>
                <c:pt idx="3">
                  <c:v>8</c:v>
                </c:pt>
                <c:pt idx="4">
                  <c:v>7</c:v>
                </c:pt>
                <c:pt idx="5">
                  <c:v>5</c:v>
                </c:pt>
                <c:pt idx="6">
                  <c:v>8</c:v>
                </c:pt>
                <c:pt idx="7">
                  <c:v>7</c:v>
                </c:pt>
                <c:pt idx="8">
                  <c:v>6</c:v>
                </c:pt>
                <c:pt idx="9">
                  <c:v>7</c:v>
                </c:pt>
                <c:pt idx="10">
                  <c:v>5</c:v>
                </c:pt>
                <c:pt idx="11">
                  <c:v>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28B-46B4-90C5-4BE58AC1B7CD}"/>
            </c:ext>
          </c:extLst>
        </c:ser>
        <c:ser>
          <c:idx val="7"/>
          <c:order val="7"/>
          <c:tx>
            <c:strRef>
              <c:f>'28.08 Iganga-Kaliro'!$Z$9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Iganga-Kaliro'!$Z$10:$Z$21</c:f>
              <c:numCache>
                <c:formatCode>0</c:formatCode>
                <c:ptCount val="12"/>
                <c:pt idx="0">
                  <c:v>8</c:v>
                </c:pt>
                <c:pt idx="1">
                  <c:v>5</c:v>
                </c:pt>
                <c:pt idx="2">
                  <c:v>8</c:v>
                </c:pt>
                <c:pt idx="3">
                  <c:v>6</c:v>
                </c:pt>
                <c:pt idx="4">
                  <c:v>6</c:v>
                </c:pt>
                <c:pt idx="5">
                  <c:v>4</c:v>
                </c:pt>
                <c:pt idx="6">
                  <c:v>8</c:v>
                </c:pt>
                <c:pt idx="7">
                  <c:v>7</c:v>
                </c:pt>
                <c:pt idx="8">
                  <c:v>9</c:v>
                </c:pt>
                <c:pt idx="9">
                  <c:v>7</c:v>
                </c:pt>
                <c:pt idx="10">
                  <c:v>5</c:v>
                </c:pt>
                <c:pt idx="11">
                  <c:v>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428B-46B4-90C5-4BE58AC1B7CD}"/>
            </c:ext>
          </c:extLst>
        </c:ser>
        <c:ser>
          <c:idx val="8"/>
          <c:order val="8"/>
          <c:tx>
            <c:strRef>
              <c:f>'28.08 Iganga-Kaliro'!$AA$9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Iganga-Kaliro'!$AA$10:$AA$21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428B-46B4-90C5-4BE58AC1B7CD}"/>
            </c:ext>
          </c:extLst>
        </c:ser>
        <c:ser>
          <c:idx val="9"/>
          <c:order val="9"/>
          <c:tx>
            <c:strRef>
              <c:f>'28.08 Iganga-Kaliro'!$AB$9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428B-46B4-90C5-4BE58AC1B7CD}"/>
            </c:ext>
          </c:extLst>
        </c:ser>
        <c:ser>
          <c:idx val="10"/>
          <c:order val="10"/>
          <c:tx>
            <c:strRef>
              <c:f>'28.08 Iganga-Kaliro'!$AC$9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Iganga-Kaliro'!$AC$10:$AC$21</c:f>
              <c:numCache>
                <c:formatCode>0</c:formatCode>
                <c:ptCount val="12"/>
                <c:pt idx="0">
                  <c:v>270</c:v>
                </c:pt>
                <c:pt idx="1">
                  <c:v>290</c:v>
                </c:pt>
                <c:pt idx="2">
                  <c:v>245</c:v>
                </c:pt>
                <c:pt idx="3">
                  <c:v>225</c:v>
                </c:pt>
                <c:pt idx="4">
                  <c:v>240</c:v>
                </c:pt>
                <c:pt idx="5">
                  <c:v>230</c:v>
                </c:pt>
                <c:pt idx="6">
                  <c:v>225</c:v>
                </c:pt>
                <c:pt idx="7">
                  <c:v>235</c:v>
                </c:pt>
                <c:pt idx="8">
                  <c:v>240</c:v>
                </c:pt>
                <c:pt idx="9">
                  <c:v>220</c:v>
                </c:pt>
                <c:pt idx="10">
                  <c:v>231</c:v>
                </c:pt>
                <c:pt idx="11">
                  <c:v>225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428B-46B4-90C5-4BE58AC1B7CD}"/>
            </c:ext>
          </c:extLst>
        </c:ser>
        <c:ser>
          <c:idx val="11"/>
          <c:order val="11"/>
          <c:tx>
            <c:strRef>
              <c:f>'28.08 Iganga-Kaliro'!$AD$9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Iganga-Kaliro'!$AD$10:$AD$21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428B-46B4-90C5-4BE58AC1B7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44818400"/>
        <c:axId val="-544814048"/>
      </c:lineChart>
      <c:catAx>
        <c:axId val="-5448184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14048"/>
        <c:crosses val="autoZero"/>
        <c:auto val="1"/>
        <c:lblAlgn val="ctr"/>
        <c:lblOffset val="100"/>
        <c:noMultiLvlLbl val="0"/>
      </c:catAx>
      <c:valAx>
        <c:axId val="-5448140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184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C12-4217-8AB6-47C18865D9D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C12-4217-8AB6-47C18865D9D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C12-4217-8AB6-47C18865D9D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C12-4217-8AB6-47C18865D9D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C12-4217-8AB6-47C18865D9D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C12-4217-8AB6-47C18865D9D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C12-4217-8AB6-47C18865D9D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C12-4217-8AB6-47C18865D9D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C12-4217-8AB6-47C18865D9D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C12-4217-8AB6-47C18865D9D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C12-4217-8AB6-47C18865D9D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C12-4217-8AB6-47C18865D9D7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C12-4217-8AB6-47C18865D9D7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Iganga-Kaliro'!$C$60:$N$60</c:f>
              <c:numCache>
                <c:formatCode>0.00%</c:formatCode>
                <c:ptCount val="12"/>
                <c:pt idx="0">
                  <c:v>0.26364692218350755</c:v>
                </c:pt>
                <c:pt idx="1">
                  <c:v>0.15911730545876887</c:v>
                </c:pt>
                <c:pt idx="2">
                  <c:v>0.14982578397212543</c:v>
                </c:pt>
                <c:pt idx="3">
                  <c:v>0.22996515679442509</c:v>
                </c:pt>
                <c:pt idx="4">
                  <c:v>4.6457607433217189E-3</c:v>
                </c:pt>
                <c:pt idx="5">
                  <c:v>1.1614401858304297E-3</c:v>
                </c:pt>
                <c:pt idx="6">
                  <c:v>9.8722415795586521E-2</c:v>
                </c:pt>
                <c:pt idx="7">
                  <c:v>9.2915214866434379E-2</c:v>
                </c:pt>
                <c:pt idx="8">
                  <c:v>0</c:v>
                </c:pt>
                <c:pt idx="9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C12-4217-8AB6-47C18865D9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'28.08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Kaliro-Iganga'!$AE$10:$AE$21</c:f>
              <c:numCache>
                <c:formatCode>0</c:formatCode>
                <c:ptCount val="12"/>
                <c:pt idx="0">
                  <c:v>44</c:v>
                </c:pt>
                <c:pt idx="1">
                  <c:v>32</c:v>
                </c:pt>
                <c:pt idx="2">
                  <c:v>60</c:v>
                </c:pt>
                <c:pt idx="3">
                  <c:v>46</c:v>
                </c:pt>
                <c:pt idx="4">
                  <c:v>36</c:v>
                </c:pt>
                <c:pt idx="5">
                  <c:v>47</c:v>
                </c:pt>
                <c:pt idx="6">
                  <c:v>47</c:v>
                </c:pt>
                <c:pt idx="7">
                  <c:v>28</c:v>
                </c:pt>
                <c:pt idx="8">
                  <c:v>34</c:v>
                </c:pt>
                <c:pt idx="9">
                  <c:v>46</c:v>
                </c:pt>
                <c:pt idx="10">
                  <c:v>25</c:v>
                </c:pt>
                <c:pt idx="11">
                  <c:v>39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9DE-43FB-B018-4B429EDDE76A}"/>
            </c:ext>
          </c:extLst>
        </c:ser>
        <c:ser>
          <c:idx val="1"/>
          <c:order val="1"/>
          <c:tx>
            <c:strRef>
              <c:f>'28.08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'28.08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Kaliro-Iganga'!$AF$10:$AF$21</c:f>
              <c:numCache>
                <c:formatCode>0</c:formatCode>
                <c:ptCount val="12"/>
                <c:pt idx="0">
                  <c:v>291</c:v>
                </c:pt>
                <c:pt idx="1">
                  <c:v>263</c:v>
                </c:pt>
                <c:pt idx="2">
                  <c:v>327</c:v>
                </c:pt>
                <c:pt idx="3">
                  <c:v>295</c:v>
                </c:pt>
                <c:pt idx="4">
                  <c:v>321</c:v>
                </c:pt>
                <c:pt idx="5">
                  <c:v>328</c:v>
                </c:pt>
                <c:pt idx="6">
                  <c:v>317</c:v>
                </c:pt>
                <c:pt idx="7">
                  <c:v>276</c:v>
                </c:pt>
                <c:pt idx="8">
                  <c:v>304</c:v>
                </c:pt>
                <c:pt idx="9">
                  <c:v>291</c:v>
                </c:pt>
                <c:pt idx="10">
                  <c:v>276</c:v>
                </c:pt>
                <c:pt idx="11">
                  <c:v>295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9DE-43FB-B018-4B429EDDE76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4817856"/>
        <c:axId val="-544816768"/>
      </c:lineChart>
      <c:catAx>
        <c:axId val="-544817856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16768"/>
        <c:crosses val="autoZero"/>
        <c:auto val="1"/>
        <c:lblAlgn val="ctr"/>
        <c:lblOffset val="100"/>
        <c:noMultiLvlLbl val="0"/>
      </c:catAx>
      <c:valAx>
        <c:axId val="-5448167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4817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4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85F-4049-90B5-622F08A1EA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85F-4049-90B5-622F08A1EA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85F-4049-90B5-622F08A1EA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85F-4049-90B5-622F08A1EA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85F-4049-90B5-622F08A1EAA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85F-4049-90B5-622F08A1EAA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85F-4049-90B5-622F08A1EAA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85F-4049-90B5-622F08A1EAA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85F-4049-90B5-622F08A1EAA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85F-4049-90B5-622F08A1EAA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85F-4049-90B5-622F08A1EAA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85F-4049-90B5-622F08A1EAA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85F-4049-90B5-622F08A1EA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Kaliro-Iganga'!$C$59:$N$59</c:f>
              <c:numCache>
                <c:formatCode>0.0%</c:formatCode>
                <c:ptCount val="12"/>
                <c:pt idx="0">
                  <c:v>3.6272321428571432E-2</c:v>
                </c:pt>
                <c:pt idx="1">
                  <c:v>1.3113839285714286E-2</c:v>
                </c:pt>
                <c:pt idx="2">
                  <c:v>1.171875E-2</c:v>
                </c:pt>
                <c:pt idx="3">
                  <c:v>4.296875E-2</c:v>
                </c:pt>
                <c:pt idx="4">
                  <c:v>8.3705357142857138E-4</c:v>
                </c:pt>
                <c:pt idx="5">
                  <c:v>2.7901785714285713E-4</c:v>
                </c:pt>
                <c:pt idx="6">
                  <c:v>1.8973214285714284E-2</c:v>
                </c:pt>
                <c:pt idx="7">
                  <c:v>8.6495535714285719E-3</c:v>
                </c:pt>
                <c:pt idx="8">
                  <c:v>1.6741071428571428E-3</c:v>
                </c:pt>
                <c:pt idx="9">
                  <c:v>2.7901785714285713E-4</c:v>
                </c:pt>
                <c:pt idx="10">
                  <c:v>0.8649553571428571</c:v>
                </c:pt>
                <c:pt idx="11">
                  <c:v>2.7901785714285713E-4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85F-4049-90B5-622F08A1EA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4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Hourly</a:t>
            </a:r>
            <a:r>
              <a:rPr lang="en-US" b="1" baseline="0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 Variation of Classified Traffic</a:t>
            </a:r>
            <a:endParaRPr lang="en-US" b="1">
              <a:solidFill>
                <a:schemeClr val="tx1"/>
              </a:solidFill>
              <a:latin typeface="Arial" panose="020B0604020202020204" pitchFamily="34" charset="0"/>
              <a:cs typeface="Arial" panose="020B0604020202020204" pitchFamily="34" charset="0"/>
            </a:endParaRPr>
          </a:p>
        </c:rich>
      </c:tx>
      <c:layout>
        <c:manualLayout>
          <c:xMode val="edge"/>
          <c:yMode val="edge"/>
          <c:x val="0.31244670799128843"/>
          <c:y val="2.2960226637323725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'28.08 Kaliro-Iganga'!$S$9</c:f>
              <c:strCache>
                <c:ptCount val="1"/>
                <c:pt idx="0">
                  <c:v>1. Car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strRef>
              <c:f>'28.08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Kaliro-Iganga'!$S$10:$S$21</c:f>
              <c:numCache>
                <c:formatCode>0</c:formatCode>
                <c:ptCount val="12"/>
                <c:pt idx="0">
                  <c:v>11</c:v>
                </c:pt>
                <c:pt idx="1">
                  <c:v>12</c:v>
                </c:pt>
                <c:pt idx="2">
                  <c:v>5</c:v>
                </c:pt>
                <c:pt idx="3">
                  <c:v>11</c:v>
                </c:pt>
                <c:pt idx="4">
                  <c:v>20</c:v>
                </c:pt>
                <c:pt idx="5">
                  <c:v>11</c:v>
                </c:pt>
                <c:pt idx="6">
                  <c:v>9</c:v>
                </c:pt>
                <c:pt idx="7">
                  <c:v>11</c:v>
                </c:pt>
                <c:pt idx="8">
                  <c:v>11</c:v>
                </c:pt>
                <c:pt idx="9">
                  <c:v>10</c:v>
                </c:pt>
                <c:pt idx="10">
                  <c:v>8</c:v>
                </c:pt>
                <c:pt idx="11">
                  <c:v>11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5793-4957-A836-ECDA67D2C747}"/>
            </c:ext>
          </c:extLst>
        </c:ser>
        <c:ser>
          <c:idx val="1"/>
          <c:order val="1"/>
          <c:tx>
            <c:strRef>
              <c:f>'28.08 Kaliro-Iganga'!$T$9</c:f>
              <c:strCache>
                <c:ptCount val="1"/>
                <c:pt idx="0">
                  <c:v>2. Station Wagon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'28.08 Kaliro-Iganga'!$R$10:$R$21</c:f>
              <c:strCache>
                <c:ptCount val="12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</c:strCache>
            </c:strRef>
          </c:cat>
          <c:val>
            <c:numRef>
              <c:f>'28.08 Kaliro-Iganga'!$T$10:$T$21</c:f>
              <c:numCache>
                <c:formatCode>0</c:formatCode>
                <c:ptCount val="12"/>
                <c:pt idx="0">
                  <c:v>4</c:v>
                </c:pt>
                <c:pt idx="1">
                  <c:v>0</c:v>
                </c:pt>
                <c:pt idx="2">
                  <c:v>10</c:v>
                </c:pt>
                <c:pt idx="3">
                  <c:v>6</c:v>
                </c:pt>
                <c:pt idx="4">
                  <c:v>1</c:v>
                </c:pt>
                <c:pt idx="5">
                  <c:v>7</c:v>
                </c:pt>
                <c:pt idx="6">
                  <c:v>5</c:v>
                </c:pt>
                <c:pt idx="7">
                  <c:v>2</c:v>
                </c:pt>
                <c:pt idx="8">
                  <c:v>4</c:v>
                </c:pt>
                <c:pt idx="9">
                  <c:v>3</c:v>
                </c:pt>
                <c:pt idx="10">
                  <c:v>4</c:v>
                </c:pt>
                <c:pt idx="11">
                  <c:v>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5793-4957-A836-ECDA67D2C747}"/>
            </c:ext>
          </c:extLst>
        </c:ser>
        <c:ser>
          <c:idx val="2"/>
          <c:order val="2"/>
          <c:tx>
            <c:strRef>
              <c:f>'28.08 Kaliro-Iganga'!$U$9</c:f>
              <c:strCache>
                <c:ptCount val="1"/>
                <c:pt idx="0">
                  <c:v>3. Pickups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Kaliro-Iganga'!$U$10:$U$21</c:f>
              <c:numCache>
                <c:formatCode>0</c:formatCode>
                <c:ptCount val="12"/>
                <c:pt idx="0">
                  <c:v>3</c:v>
                </c:pt>
                <c:pt idx="1">
                  <c:v>4</c:v>
                </c:pt>
                <c:pt idx="2">
                  <c:v>6</c:v>
                </c:pt>
                <c:pt idx="3">
                  <c:v>6</c:v>
                </c:pt>
                <c:pt idx="4">
                  <c:v>2</c:v>
                </c:pt>
                <c:pt idx="5">
                  <c:v>3</c:v>
                </c:pt>
                <c:pt idx="6">
                  <c:v>4</c:v>
                </c:pt>
                <c:pt idx="7">
                  <c:v>0</c:v>
                </c:pt>
                <c:pt idx="8">
                  <c:v>3</c:v>
                </c:pt>
                <c:pt idx="9">
                  <c:v>5</c:v>
                </c:pt>
                <c:pt idx="10">
                  <c:v>2</c:v>
                </c:pt>
                <c:pt idx="11">
                  <c:v>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5793-4957-A836-ECDA67D2C747}"/>
            </c:ext>
          </c:extLst>
        </c:ser>
        <c:ser>
          <c:idx val="3"/>
          <c:order val="3"/>
          <c:tx>
            <c:strRef>
              <c:f>'28.08 Kaliro-Iganga'!$V$9</c:f>
              <c:strCache>
                <c:ptCount val="1"/>
                <c:pt idx="0">
                  <c:v>4. Minibus, matatu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Kaliro-Iganga'!$V$10:$V$21</c:f>
              <c:numCache>
                <c:formatCode>0</c:formatCode>
                <c:ptCount val="12"/>
                <c:pt idx="0">
                  <c:v>17</c:v>
                </c:pt>
                <c:pt idx="1">
                  <c:v>6</c:v>
                </c:pt>
                <c:pt idx="2">
                  <c:v>31</c:v>
                </c:pt>
                <c:pt idx="3">
                  <c:v>14</c:v>
                </c:pt>
                <c:pt idx="4">
                  <c:v>6</c:v>
                </c:pt>
                <c:pt idx="5">
                  <c:v>15</c:v>
                </c:pt>
                <c:pt idx="6">
                  <c:v>15</c:v>
                </c:pt>
                <c:pt idx="7">
                  <c:v>8</c:v>
                </c:pt>
                <c:pt idx="8">
                  <c:v>6</c:v>
                </c:pt>
                <c:pt idx="9">
                  <c:v>20</c:v>
                </c:pt>
                <c:pt idx="10">
                  <c:v>4</c:v>
                </c:pt>
                <c:pt idx="11">
                  <c:v>12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5793-4957-A836-ECDA67D2C747}"/>
            </c:ext>
          </c:extLst>
        </c:ser>
        <c:ser>
          <c:idx val="4"/>
          <c:order val="4"/>
          <c:tx>
            <c:strRef>
              <c:f>'28.08 Kaliro-Iganga'!$W$9</c:f>
              <c:strCache>
                <c:ptCount val="1"/>
                <c:pt idx="0">
                  <c:v>5. Medium bus 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Kaliro-Iganga'!$W$10:$W$21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1</c:v>
                </c:pt>
                <c:pt idx="3">
                  <c:v>0</c:v>
                </c:pt>
                <c:pt idx="4">
                  <c:v>0</c:v>
                </c:pt>
                <c:pt idx="5">
                  <c:v>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5793-4957-A836-ECDA67D2C747}"/>
            </c:ext>
          </c:extLst>
        </c:ser>
        <c:ser>
          <c:idx val="5"/>
          <c:order val="5"/>
          <c:tx>
            <c:strRef>
              <c:f>'28.08 Kaliro-Iganga'!$X$9</c:f>
              <c:strCache>
                <c:ptCount val="1"/>
                <c:pt idx="0">
                  <c:v>6. Large Bus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Kaliro-Iganga'!$X$10:$X$21</c:f>
              <c:numCache>
                <c:formatCode>0</c:formatCode>
                <c:ptCount val="12"/>
                <c:pt idx="0">
                  <c:v>1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5793-4957-A836-ECDA67D2C747}"/>
            </c:ext>
          </c:extLst>
        </c:ser>
        <c:ser>
          <c:idx val="6"/>
          <c:order val="6"/>
          <c:tx>
            <c:strRef>
              <c:f>'28.08 Kaliro-Iganga'!$Y$9</c:f>
              <c:strCache>
                <c:ptCount val="1"/>
                <c:pt idx="0">
                  <c:v>7. Light Truck 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Kaliro-Iganga'!$Y$10:$Y$21</c:f>
              <c:numCache>
                <c:formatCode>0</c:formatCode>
                <c:ptCount val="12"/>
                <c:pt idx="0">
                  <c:v>6</c:v>
                </c:pt>
                <c:pt idx="1">
                  <c:v>7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4</c:v>
                </c:pt>
                <c:pt idx="6">
                  <c:v>9</c:v>
                </c:pt>
                <c:pt idx="7">
                  <c:v>4</c:v>
                </c:pt>
                <c:pt idx="8">
                  <c:v>5</c:v>
                </c:pt>
                <c:pt idx="9">
                  <c:v>6</c:v>
                </c:pt>
                <c:pt idx="10">
                  <c:v>3</c:v>
                </c:pt>
                <c:pt idx="11">
                  <c:v>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5793-4957-A836-ECDA67D2C747}"/>
            </c:ext>
          </c:extLst>
        </c:ser>
        <c:ser>
          <c:idx val="7"/>
          <c:order val="7"/>
          <c:tx>
            <c:strRef>
              <c:f>'28.08 Kaliro-Iganga'!$Z$9</c:f>
              <c:strCache>
                <c:ptCount val="1"/>
                <c:pt idx="0">
                  <c:v>8. Medium Truck 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Kaliro-Iganga'!$Z$10:$Z$21</c:f>
              <c:numCache>
                <c:formatCode>0</c:formatCode>
                <c:ptCount val="12"/>
                <c:pt idx="0">
                  <c:v>2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4</c:v>
                </c:pt>
                <c:pt idx="5">
                  <c:v>4</c:v>
                </c:pt>
                <c:pt idx="6">
                  <c:v>4</c:v>
                </c:pt>
                <c:pt idx="7">
                  <c:v>3</c:v>
                </c:pt>
                <c:pt idx="8">
                  <c:v>5</c:v>
                </c:pt>
                <c:pt idx="9">
                  <c:v>2</c:v>
                </c:pt>
                <c:pt idx="10">
                  <c:v>3</c:v>
                </c:pt>
                <c:pt idx="11">
                  <c:v>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5793-4957-A836-ECDA67D2C747}"/>
            </c:ext>
          </c:extLst>
        </c:ser>
        <c:ser>
          <c:idx val="8"/>
          <c:order val="8"/>
          <c:tx>
            <c:strRef>
              <c:f>'28.08 Kaliro-Iganga'!$AA$9</c:f>
              <c:strCache>
                <c:ptCount val="1"/>
                <c:pt idx="0">
                  <c:v>9. Heavy truck 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Kaliro-Iganga'!$AA$10:$AA$21</c:f>
              <c:numCache>
                <c:formatCode>0</c:formatCode>
                <c:ptCount val="12"/>
                <c:pt idx="0">
                  <c:v>0</c:v>
                </c:pt>
                <c:pt idx="1">
                  <c:v>3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1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5793-4957-A836-ECDA67D2C747}"/>
            </c:ext>
          </c:extLst>
        </c:ser>
        <c:ser>
          <c:idx val="9"/>
          <c:order val="9"/>
          <c:tx>
            <c:strRef>
              <c:f>'28.08 Kaliro-Iganga'!$AB$9</c:f>
              <c:strCache>
                <c:ptCount val="1"/>
                <c:pt idx="0">
                  <c:v>10. Truck Trailer 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Kaliro-Iganga'!$AB$10:$AB$21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1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5793-4957-A836-ECDA67D2C747}"/>
            </c:ext>
          </c:extLst>
        </c:ser>
        <c:ser>
          <c:idx val="10"/>
          <c:order val="10"/>
          <c:tx>
            <c:strRef>
              <c:f>'28.08 Kaliro-Iganga'!$AC$9</c:f>
              <c:strCache>
                <c:ptCount val="1"/>
                <c:pt idx="0">
                  <c:v>11. Motorcycles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Kaliro-Iganga'!$AC$10:$AC$21</c:f>
              <c:numCache>
                <c:formatCode>0</c:formatCode>
                <c:ptCount val="12"/>
                <c:pt idx="0">
                  <c:v>247</c:v>
                </c:pt>
                <c:pt idx="1">
                  <c:v>231</c:v>
                </c:pt>
                <c:pt idx="2">
                  <c:v>267</c:v>
                </c:pt>
                <c:pt idx="3">
                  <c:v>249</c:v>
                </c:pt>
                <c:pt idx="4">
                  <c:v>285</c:v>
                </c:pt>
                <c:pt idx="5">
                  <c:v>281</c:v>
                </c:pt>
                <c:pt idx="6">
                  <c:v>270</c:v>
                </c:pt>
                <c:pt idx="7">
                  <c:v>248</c:v>
                </c:pt>
                <c:pt idx="8">
                  <c:v>270</c:v>
                </c:pt>
                <c:pt idx="9">
                  <c:v>245</c:v>
                </c:pt>
                <c:pt idx="10">
                  <c:v>251</c:v>
                </c:pt>
                <c:pt idx="11">
                  <c:v>256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5793-4957-A836-ECDA67D2C747}"/>
            </c:ext>
          </c:extLst>
        </c:ser>
        <c:ser>
          <c:idx val="11"/>
          <c:order val="11"/>
          <c:tx>
            <c:strRef>
              <c:f>'28.08 Kaliro-Iganga'!$AD$9</c:f>
              <c:strCache>
                <c:ptCount val="1"/>
                <c:pt idx="0">
                  <c:v>12. Tractors, Graders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'28.08 Kaliro-Iganga'!$AD$10:$AD$21</c:f>
              <c:numCache>
                <c:formatCode>0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5793-4957-A836-ECDA67D2C7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-543187904"/>
        <c:axId val="-543192800"/>
      </c:lineChart>
      <c:catAx>
        <c:axId val="-54318790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92800"/>
        <c:crosses val="autoZero"/>
        <c:auto val="1"/>
        <c:lblAlgn val="ctr"/>
        <c:lblOffset val="100"/>
        <c:noMultiLvlLbl val="0"/>
      </c:catAx>
      <c:valAx>
        <c:axId val="-5431928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50" b="1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r>
                  <a:rPr lang="en-US" sz="105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 Volume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8790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ACB0-4F20-A91A-77634015494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ACB0-4F20-A91A-77634015494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ACB0-4F20-A91A-77634015494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ACB0-4F20-A91A-77634015494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ACB0-4F20-A91A-77634015494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ACB0-4F20-A91A-77634015494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ACB0-4F20-A91A-77634015494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ACB0-4F20-A91A-77634015494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ACB0-4F20-A91A-77634015494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ACB0-4F20-A91A-77634015494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ACB0-4F20-A91A-77634015494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ACB0-4F20-A91A-77634015494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ACB0-4F20-A91A-77634015494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'28.08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'28.08 Kaliro-Iganga'!$C$60:$N$60</c:f>
              <c:numCache>
                <c:formatCode>0.00%</c:formatCode>
                <c:ptCount val="12"/>
                <c:pt idx="0">
                  <c:v>0.26859504132231404</c:v>
                </c:pt>
                <c:pt idx="1">
                  <c:v>9.7107438016528921E-2</c:v>
                </c:pt>
                <c:pt idx="2">
                  <c:v>8.6776859504132234E-2</c:v>
                </c:pt>
                <c:pt idx="3">
                  <c:v>0.31818181818181818</c:v>
                </c:pt>
                <c:pt idx="4">
                  <c:v>6.1983471074380167E-3</c:v>
                </c:pt>
                <c:pt idx="5">
                  <c:v>2.0661157024793389E-3</c:v>
                </c:pt>
                <c:pt idx="6">
                  <c:v>0.14049586776859505</c:v>
                </c:pt>
                <c:pt idx="7">
                  <c:v>6.4049586776859499E-2</c:v>
                </c:pt>
                <c:pt idx="8">
                  <c:v>1.2396694214876033E-2</c:v>
                </c:pt>
                <c:pt idx="9">
                  <c:v>2.0661157024793389E-3</c:v>
                </c:pt>
                <c:pt idx="11">
                  <c:v>2.0661157024793389E-3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ACB0-4F20-A91A-776340154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Iganga-Kaliro'!$AE$9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Iganga-Kaliro'!$R$10:$R$33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Iganga-Kaliro'!$AE$10:$AE$33</c:f>
              <c:numCache>
                <c:formatCode>0</c:formatCode>
                <c:ptCount val="24"/>
                <c:pt idx="0">
                  <c:v>66.571428571428569</c:v>
                </c:pt>
                <c:pt idx="1">
                  <c:v>46.714285714285715</c:v>
                </c:pt>
                <c:pt idx="2">
                  <c:v>54</c:v>
                </c:pt>
                <c:pt idx="3">
                  <c:v>60.285714285714278</c:v>
                </c:pt>
                <c:pt idx="4">
                  <c:v>55.857142857142854</c:v>
                </c:pt>
                <c:pt idx="5">
                  <c:v>56.142857142857139</c:v>
                </c:pt>
                <c:pt idx="6">
                  <c:v>64.714285714285708</c:v>
                </c:pt>
                <c:pt idx="7">
                  <c:v>69</c:v>
                </c:pt>
                <c:pt idx="8">
                  <c:v>76</c:v>
                </c:pt>
                <c:pt idx="9">
                  <c:v>63.428571428571431</c:v>
                </c:pt>
                <c:pt idx="10">
                  <c:v>69.714285714285708</c:v>
                </c:pt>
                <c:pt idx="11">
                  <c:v>65.714285714285722</c:v>
                </c:pt>
                <c:pt idx="12">
                  <c:v>32.5</c:v>
                </c:pt>
                <c:pt idx="13">
                  <c:v>27</c:v>
                </c:pt>
                <c:pt idx="14">
                  <c:v>27</c:v>
                </c:pt>
                <c:pt idx="15">
                  <c:v>25.5</c:v>
                </c:pt>
                <c:pt idx="16">
                  <c:v>24.5</c:v>
                </c:pt>
                <c:pt idx="17">
                  <c:v>16</c:v>
                </c:pt>
                <c:pt idx="18">
                  <c:v>12.5</c:v>
                </c:pt>
                <c:pt idx="19">
                  <c:v>9</c:v>
                </c:pt>
                <c:pt idx="20">
                  <c:v>4.5</c:v>
                </c:pt>
                <c:pt idx="21">
                  <c:v>5.5</c:v>
                </c:pt>
                <c:pt idx="22">
                  <c:v>10.5</c:v>
                </c:pt>
                <c:pt idx="23">
                  <c:v>22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85-422C-8502-C8D950B820C5}"/>
            </c:ext>
          </c:extLst>
        </c:ser>
        <c:ser>
          <c:idx val="1"/>
          <c:order val="1"/>
          <c:tx>
            <c:strRef>
              <c:f>'Avg WeeK Iganga-Kaliro'!$AF$9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Iganga-Kaliro'!$R$10:$R$33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Iganga-Kaliro'!$AF$10:$AF$33</c:f>
              <c:numCache>
                <c:formatCode>0</c:formatCode>
                <c:ptCount val="24"/>
                <c:pt idx="0">
                  <c:v>292.71428571428572</c:v>
                </c:pt>
                <c:pt idx="1">
                  <c:v>298</c:v>
                </c:pt>
                <c:pt idx="2">
                  <c:v>328.71428571428572</c:v>
                </c:pt>
                <c:pt idx="3">
                  <c:v>362.71428571428567</c:v>
                </c:pt>
                <c:pt idx="4">
                  <c:v>371.85714285714283</c:v>
                </c:pt>
                <c:pt idx="5">
                  <c:v>356.85714285714283</c:v>
                </c:pt>
                <c:pt idx="6">
                  <c:v>342.57142857142856</c:v>
                </c:pt>
                <c:pt idx="7">
                  <c:v>331.85714285714289</c:v>
                </c:pt>
                <c:pt idx="8">
                  <c:v>376.71428571428572</c:v>
                </c:pt>
                <c:pt idx="9">
                  <c:v>346.71428571428572</c:v>
                </c:pt>
                <c:pt idx="10">
                  <c:v>348.28571428571422</c:v>
                </c:pt>
                <c:pt idx="11">
                  <c:v>302.85714285714289</c:v>
                </c:pt>
                <c:pt idx="12">
                  <c:v>272.5</c:v>
                </c:pt>
                <c:pt idx="13">
                  <c:v>268</c:v>
                </c:pt>
                <c:pt idx="14">
                  <c:v>216.5</c:v>
                </c:pt>
                <c:pt idx="15">
                  <c:v>204.5</c:v>
                </c:pt>
                <c:pt idx="16">
                  <c:v>151</c:v>
                </c:pt>
                <c:pt idx="17">
                  <c:v>118.5</c:v>
                </c:pt>
                <c:pt idx="18">
                  <c:v>68</c:v>
                </c:pt>
                <c:pt idx="19">
                  <c:v>42.5</c:v>
                </c:pt>
                <c:pt idx="20">
                  <c:v>19</c:v>
                </c:pt>
                <c:pt idx="21">
                  <c:v>7</c:v>
                </c:pt>
                <c:pt idx="22">
                  <c:v>25</c:v>
                </c:pt>
                <c:pt idx="23">
                  <c:v>103.5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2E85-422C-8502-C8D950B820C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3198240"/>
        <c:axId val="-543194976"/>
      </c:lineChart>
      <c:catAx>
        <c:axId val="-543198240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94976"/>
        <c:crosses val="autoZero"/>
        <c:auto val="1"/>
        <c:lblAlgn val="ctr"/>
        <c:lblOffset val="100"/>
        <c:noMultiLvlLbl val="0"/>
      </c:catAx>
      <c:valAx>
        <c:axId val="-543194976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9824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5E7-413A-BC41-2C6194EF8EC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5E7-413A-BC41-2C6194EF8EC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5E7-413A-BC41-2C6194EF8EC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5E7-413A-BC41-2C6194EF8EC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5E7-413A-BC41-2C6194EF8EC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5E7-413A-BC41-2C6194EF8EC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5E7-413A-BC41-2C6194EF8EC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5E7-413A-BC41-2C6194EF8EC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15E7-413A-BC41-2C6194EF8EC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15E7-413A-BC41-2C6194EF8EC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15E7-413A-BC41-2C6194EF8EC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15E7-413A-BC41-2C6194EF8EC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5E7-413A-BC41-2C6194EF8EC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Iganga-Kaliro'!$C$107:$N$107</c:f>
              <c:numCache>
                <c:formatCode>0.0%</c:formatCode>
                <c:ptCount val="12"/>
                <c:pt idx="0">
                  <c:v>4.4766141266616946E-2</c:v>
                </c:pt>
                <c:pt idx="1">
                  <c:v>3.0379779383404897E-2</c:v>
                </c:pt>
                <c:pt idx="2">
                  <c:v>2.0788871461263531E-2</c:v>
                </c:pt>
                <c:pt idx="3">
                  <c:v>4.3647630557198315E-2</c:v>
                </c:pt>
                <c:pt idx="4">
                  <c:v>1.7999022910184879E-3</c:v>
                </c:pt>
                <c:pt idx="5">
                  <c:v>1.0799413746110924E-3</c:v>
                </c:pt>
                <c:pt idx="6">
                  <c:v>1.6211977064102229E-2</c:v>
                </c:pt>
                <c:pt idx="7">
                  <c:v>1.2933583605461417E-2</c:v>
                </c:pt>
                <c:pt idx="8">
                  <c:v>1.1956493790337096E-3</c:v>
                </c:pt>
                <c:pt idx="9">
                  <c:v>3.5998045820369746E-4</c:v>
                </c:pt>
                <c:pt idx="10">
                  <c:v>0.82637371114139524</c:v>
                </c:pt>
                <c:pt idx="11">
                  <c:v>4.6283201769046806E-4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5E7-413A-BC41-2C6194EF8E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80A-4F64-9F70-B5B6C796803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80A-4F64-9F70-B5B6C796803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80A-4F64-9F70-B5B6C796803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80A-4F64-9F70-B5B6C796803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80A-4F64-9F70-B5B6C796803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80A-4F64-9F70-B5B6C796803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80A-4F64-9F70-B5B6C796803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80A-4F64-9F70-B5B6C796803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80A-4F64-9F70-B5B6C796803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80A-4F64-9F70-B5B6C796803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80A-4F64-9F70-B5B6C796803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80A-4F64-9F70-B5B6C796803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80A-4F64-9F70-B5B6C796803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Iganga-Kaliro'!$C$9:$N$9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Iganga-Kaliro'!$C$108:$N$108</c:f>
              <c:numCache>
                <c:formatCode>0.00%</c:formatCode>
                <c:ptCount val="12"/>
                <c:pt idx="0">
                  <c:v>0.25783043317289889</c:v>
                </c:pt>
                <c:pt idx="1">
                  <c:v>0.17497223250647909</c:v>
                </c:pt>
                <c:pt idx="2">
                  <c:v>0.11973343206219922</c:v>
                </c:pt>
                <c:pt idx="3">
                  <c:v>0.25138837467604591</c:v>
                </c:pt>
                <c:pt idx="4">
                  <c:v>1.0366530914476124E-2</c:v>
                </c:pt>
                <c:pt idx="5">
                  <c:v>6.2199185486856729E-3</c:v>
                </c:pt>
                <c:pt idx="6">
                  <c:v>9.3372824879674188E-2</c:v>
                </c:pt>
                <c:pt idx="7">
                  <c:v>7.4490929285449856E-2</c:v>
                </c:pt>
                <c:pt idx="8">
                  <c:v>6.8863383931877095E-3</c:v>
                </c:pt>
                <c:pt idx="9">
                  <c:v>2.0733061828952242E-3</c:v>
                </c:pt>
                <c:pt idx="11">
                  <c:v>2.665679378008145E-3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80A-4F64-9F70-B5B6C796803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 i="0" baseline="0">
                <a:effectLst/>
              </a:rPr>
              <a:t>Average Hourly Traffic Variation </a:t>
            </a:r>
            <a:endParaRPr lang="x-none" sz="1000">
              <a:effectLst/>
            </a:endParaRPr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Kaliro-Iganga'!$AE$9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Kaliro-Iganga'!$R$10:$R$33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Kaliro-Iganga'!$AE$10:$AE$33</c:f>
              <c:numCache>
                <c:formatCode>0</c:formatCode>
                <c:ptCount val="24"/>
                <c:pt idx="0">
                  <c:v>40.142857142857139</c:v>
                </c:pt>
                <c:pt idx="1">
                  <c:v>35.571428571428569</c:v>
                </c:pt>
                <c:pt idx="2">
                  <c:v>46.142857142857139</c:v>
                </c:pt>
                <c:pt idx="3">
                  <c:v>48.714285714285708</c:v>
                </c:pt>
                <c:pt idx="4">
                  <c:v>48.857142857142854</c:v>
                </c:pt>
                <c:pt idx="5">
                  <c:v>40.142857142857139</c:v>
                </c:pt>
                <c:pt idx="6">
                  <c:v>41.285714285714292</c:v>
                </c:pt>
                <c:pt idx="7">
                  <c:v>48.428571428571423</c:v>
                </c:pt>
                <c:pt idx="8">
                  <c:v>51.428571428571423</c:v>
                </c:pt>
                <c:pt idx="9">
                  <c:v>52.857142857142854</c:v>
                </c:pt>
                <c:pt idx="10">
                  <c:v>54.142857142857139</c:v>
                </c:pt>
                <c:pt idx="11">
                  <c:v>57.857142857142854</c:v>
                </c:pt>
                <c:pt idx="12">
                  <c:v>51.5</c:v>
                </c:pt>
                <c:pt idx="13">
                  <c:v>42</c:v>
                </c:pt>
                <c:pt idx="14">
                  <c:v>28</c:v>
                </c:pt>
                <c:pt idx="15">
                  <c:v>23</c:v>
                </c:pt>
                <c:pt idx="16">
                  <c:v>13.5</c:v>
                </c:pt>
                <c:pt idx="17">
                  <c:v>9</c:v>
                </c:pt>
                <c:pt idx="18">
                  <c:v>6</c:v>
                </c:pt>
                <c:pt idx="19">
                  <c:v>11.5</c:v>
                </c:pt>
                <c:pt idx="20">
                  <c:v>13</c:v>
                </c:pt>
                <c:pt idx="21">
                  <c:v>14</c:v>
                </c:pt>
                <c:pt idx="22">
                  <c:v>20</c:v>
                </c:pt>
                <c:pt idx="23">
                  <c:v>36.5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6F8-46F1-A26B-8380F37E487A}"/>
            </c:ext>
          </c:extLst>
        </c:ser>
        <c:ser>
          <c:idx val="1"/>
          <c:order val="1"/>
          <c:tx>
            <c:strRef>
              <c:f>'Avg Week Kaliro-Iganga'!$AF$9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Kaliro-Iganga'!$R$10:$R$33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Kaliro-Iganga'!$AF$10:$AF$33</c:f>
              <c:numCache>
                <c:formatCode>0</c:formatCode>
                <c:ptCount val="24"/>
                <c:pt idx="0">
                  <c:v>299.57142857142856</c:v>
                </c:pt>
                <c:pt idx="1">
                  <c:v>317.42857142857144</c:v>
                </c:pt>
                <c:pt idx="2">
                  <c:v>361.85714285714289</c:v>
                </c:pt>
                <c:pt idx="3">
                  <c:v>366.71428571428572</c:v>
                </c:pt>
                <c:pt idx="4">
                  <c:v>371.4285714285715</c:v>
                </c:pt>
                <c:pt idx="5">
                  <c:v>347.14285714285717</c:v>
                </c:pt>
                <c:pt idx="6">
                  <c:v>332.14285714285717</c:v>
                </c:pt>
                <c:pt idx="7">
                  <c:v>342</c:v>
                </c:pt>
                <c:pt idx="8">
                  <c:v>338.14285714285717</c:v>
                </c:pt>
                <c:pt idx="9">
                  <c:v>333.14285714285717</c:v>
                </c:pt>
                <c:pt idx="10">
                  <c:v>321.14285714285711</c:v>
                </c:pt>
                <c:pt idx="11">
                  <c:v>329.42857142857144</c:v>
                </c:pt>
                <c:pt idx="12">
                  <c:v>333</c:v>
                </c:pt>
                <c:pt idx="13">
                  <c:v>267.5</c:v>
                </c:pt>
                <c:pt idx="14">
                  <c:v>211.5</c:v>
                </c:pt>
                <c:pt idx="15">
                  <c:v>155.5</c:v>
                </c:pt>
                <c:pt idx="16">
                  <c:v>138.5</c:v>
                </c:pt>
                <c:pt idx="17">
                  <c:v>70.5</c:v>
                </c:pt>
                <c:pt idx="18">
                  <c:v>15.5</c:v>
                </c:pt>
                <c:pt idx="19">
                  <c:v>11.5</c:v>
                </c:pt>
                <c:pt idx="20">
                  <c:v>16</c:v>
                </c:pt>
                <c:pt idx="21">
                  <c:v>16</c:v>
                </c:pt>
                <c:pt idx="22">
                  <c:v>26.5</c:v>
                </c:pt>
                <c:pt idx="23">
                  <c:v>90.5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6F8-46F1-A26B-8380F37E48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-543185728"/>
        <c:axId val="-543191168"/>
      </c:lineChart>
      <c:catAx>
        <c:axId val="-54318572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91168"/>
        <c:crosses val="autoZero"/>
        <c:auto val="1"/>
        <c:lblAlgn val="ctr"/>
        <c:lblOffset val="100"/>
        <c:noMultiLvlLbl val="0"/>
      </c:catAx>
      <c:valAx>
        <c:axId val="-54319116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Traffic</a:t>
                </a:r>
                <a:r>
                  <a:rPr lang="en-US" sz="1200" b="1" baseline="0">
                    <a:solidFill>
                      <a:schemeClr val="tx1"/>
                    </a:solidFill>
                    <a:latin typeface="Arial" panose="020B0604020202020204" pitchFamily="34" charset="0"/>
                    <a:cs typeface="Arial" panose="020B0604020202020204" pitchFamily="34" charset="0"/>
                  </a:rPr>
                  <a:t> Volume </a:t>
                </a:r>
                <a:endParaRPr lang="en-US" sz="1200" b="1">
                  <a:solidFill>
                    <a:schemeClr val="tx1"/>
                  </a:solidFill>
                  <a:latin typeface="Arial" panose="020B0604020202020204" pitchFamily="34" charset="0"/>
                  <a:cs typeface="Arial" panose="020B0604020202020204" pitchFamily="34" charset="0"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-543185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/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5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3B84-4A7D-9CBD-0C2ADBE1B0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3B84-4A7D-9CBD-0C2ADBE1B0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3B84-4A7D-9CBD-0C2ADBE1B0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3B84-4A7D-9CBD-0C2ADBE1B0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3B84-4A7D-9CBD-0C2ADBE1B0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3B84-4A7D-9CBD-0C2ADBE1B0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3B84-4A7D-9CBD-0C2ADBE1B04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3B84-4A7D-9CBD-0C2ADBE1B04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3B84-4A7D-9CBD-0C2ADBE1B04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3B84-4A7D-9CBD-0C2ADBE1B04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3B84-4A7D-9CBD-0C2ADBE1B04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3B84-4A7D-9CBD-0C2ADBE1B04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B84-4A7D-9CBD-0C2ADBE1B04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Kaliro-Iganga'!$C$107:$N$107</c:f>
              <c:numCache>
                <c:formatCode>0.0%</c:formatCode>
                <c:ptCount val="12"/>
                <c:pt idx="0">
                  <c:v>4.0685168322842025E-2</c:v>
                </c:pt>
                <c:pt idx="1">
                  <c:v>1.5070535914591499E-2</c:v>
                </c:pt>
                <c:pt idx="2">
                  <c:v>1.7406337015189309E-2</c:v>
                </c:pt>
                <c:pt idx="3">
                  <c:v>4.4512187075233904E-2</c:v>
                </c:pt>
                <c:pt idx="4">
                  <c:v>1.0557293110046585E-3</c:v>
                </c:pt>
                <c:pt idx="5">
                  <c:v>1.5835939665069876E-4</c:v>
                </c:pt>
                <c:pt idx="6">
                  <c:v>1.8541246024519314E-2</c:v>
                </c:pt>
                <c:pt idx="7">
                  <c:v>1.2048510761840665E-2</c:v>
                </c:pt>
                <c:pt idx="8">
                  <c:v>2.771289441387229E-3</c:v>
                </c:pt>
                <c:pt idx="9">
                  <c:v>1.4516278026314054E-3</c:v>
                </c:pt>
                <c:pt idx="10">
                  <c:v>0.84599548675719549</c:v>
                </c:pt>
                <c:pt idx="11">
                  <c:v>3.0352217691383924E-4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B84-4A7D-9CBD-0C2ADBE1B0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8B8A-48E6-9C2F-F83D2727468E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8B8A-48E6-9C2F-F83D2727468E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8B8A-48E6-9C2F-F83D2727468E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8B8A-48E6-9C2F-F83D2727468E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8B8A-48E6-9C2F-F83D2727468E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8B8A-48E6-9C2F-F83D2727468E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8B8A-48E6-9C2F-F83D2727468E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8B8A-48E6-9C2F-F83D2727468E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8B8A-48E6-9C2F-F83D2727468E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8B8A-48E6-9C2F-F83D2727468E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8B8A-48E6-9C2F-F83D2727468E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8B8A-48E6-9C2F-F83D2727468E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8B8A-48E6-9C2F-F83D2727468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Kaliro-Iganga'!$C$9:$N$9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Kaliro-Iganga'!$C$108:$N$108</c:f>
              <c:numCache>
                <c:formatCode>0.00%</c:formatCode>
                <c:ptCount val="12"/>
                <c:pt idx="0">
                  <c:v>0.26418166238217655</c:v>
                </c:pt>
                <c:pt idx="1">
                  <c:v>9.785775492716367E-2</c:v>
                </c:pt>
                <c:pt idx="2">
                  <c:v>0.11302485004284492</c:v>
                </c:pt>
                <c:pt idx="3">
                  <c:v>0.28903170522707794</c:v>
                </c:pt>
                <c:pt idx="4">
                  <c:v>6.8551842330762643E-3</c:v>
                </c:pt>
                <c:pt idx="5">
                  <c:v>1.0282776349614395E-3</c:v>
                </c:pt>
                <c:pt idx="6">
                  <c:v>0.12039417309340189</c:v>
                </c:pt>
                <c:pt idx="7">
                  <c:v>7.8234790059982878E-2</c:v>
                </c:pt>
                <c:pt idx="8">
                  <c:v>1.7994858611825197E-2</c:v>
                </c:pt>
                <c:pt idx="9">
                  <c:v>9.4258783204798618E-3</c:v>
                </c:pt>
                <c:pt idx="11">
                  <c:v>1.9708654670094255E-3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8B8A-48E6-9C2F-F83D272746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D9B1-462A-9165-7345BB81096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D9B1-462A-9165-7345BB81096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D9B1-462A-9165-7345BB81096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D9B1-462A-9165-7345BB81096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D9B1-462A-9165-7345BB81096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D9B1-462A-9165-7345BB81096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D9B1-462A-9165-7345BB810963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D9B1-462A-9165-7345BB810963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D9B1-462A-9165-7345BB810963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D9B1-462A-9165-7345BB810963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D9B1-462A-9165-7345BB810963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D9B1-462A-9165-7345BB810963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D9B1-462A-9165-7345BB81096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Iganga-Kaliro-2Dir'!$C$9:$N$9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Iganga-Kaliro-2Dir'!$C$107:$N$107</c:f>
              <c:numCache>
                <c:formatCode>0.0%</c:formatCode>
                <c:ptCount val="12"/>
                <c:pt idx="0">
                  <c:v>4.2752297162654093E-2</c:v>
                </c:pt>
                <c:pt idx="1">
                  <c:v>2.2825103054851883E-2</c:v>
                </c:pt>
                <c:pt idx="2">
                  <c:v>1.9119686895590619E-2</c:v>
                </c:pt>
                <c:pt idx="3">
                  <c:v>4.407426461490372E-2</c:v>
                </c:pt>
                <c:pt idx="4">
                  <c:v>1.4326740861818582E-3</c:v>
                </c:pt>
                <c:pt idx="5">
                  <c:v>6.2516687397026554E-4</c:v>
                </c:pt>
                <c:pt idx="6">
                  <c:v>1.7361405062549247E-2</c:v>
                </c:pt>
                <c:pt idx="7">
                  <c:v>1.2496825324468119E-2</c:v>
                </c:pt>
                <c:pt idx="8">
                  <c:v>1.9731829459686506E-3</c:v>
                </c:pt>
                <c:pt idx="9">
                  <c:v>8.9867738133225675E-4</c:v>
                </c:pt>
                <c:pt idx="10">
                  <c:v>0.83605649945623517</c:v>
                </c:pt>
                <c:pt idx="11">
                  <c:v>3.8421714129422563E-4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D9B1-462A-9165-7345BB8109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200" b="1">
                <a:solidFill>
                  <a:schemeClr val="tx1"/>
                </a:solidFill>
                <a:latin typeface="Arial" panose="020B0604020202020204" pitchFamily="34" charset="0"/>
                <a:cs typeface="Arial" panose="020B0604020202020204" pitchFamily="34" charset="0"/>
              </a:rPr>
              <a:t>Average Vehicle Proportions without Motor Cycles</a:t>
            </a:r>
          </a:p>
        </c:rich>
      </c:tx>
      <c:overlay val="0"/>
      <c:spPr>
        <a:noFill/>
        <a:ln>
          <a:noFill/>
        </a:ln>
        <a:effectLst/>
      </c:spPr>
    </c:title>
    <c:autoTitleDeleted val="0"/>
    <c:view3D>
      <c:rotX val="30"/>
      <c:rotY val="0"/>
      <c:depthPercent val="100"/>
      <c:rAngAx val="0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pie3DChart>
        <c:varyColors val="1"/>
        <c:ser>
          <c:idx val="0"/>
          <c:order val="0"/>
          <c:explosion val="9"/>
          <c:dPt>
            <c:idx val="0"/>
            <c:bubble3D val="0"/>
            <c:spPr>
              <a:solidFill>
                <a:schemeClr val="accent1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0EAD-440A-938B-73199DDCAD0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0EAD-440A-938B-73199DDCAD0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0EAD-440A-938B-73199DDCAD0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0EAD-440A-938B-73199DDCAD0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0EAD-440A-938B-73199DDCAD0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0EAD-440A-938B-73199DDCAD0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0EAD-440A-938B-73199DDCAD0D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0EAD-440A-938B-73199DDCAD0D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1-0EAD-440A-938B-73199DDCAD0D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3-0EAD-440A-938B-73199DDCAD0D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5-0EAD-440A-938B-73199DDCAD0D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25400">
                <a:solidFill>
                  <a:schemeClr val="lt1"/>
                </a:solidFill>
              </a:ln>
              <a:effectLst/>
              <a:sp3d contourW="25400">
                <a:contourClr>
                  <a:schemeClr val="lt1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17-0EAD-440A-938B-73199DDCAD0D}"/>
              </c:ext>
            </c:extLst>
          </c:dPt>
          <c:dLbls>
            <c:dLbl>
              <c:idx val="10"/>
              <c:layout>
                <c:manualLayout>
                  <c:x val="-2.617530457693969E-2"/>
                  <c:y val="-3.2434080003295146E-2"/>
                </c:manualLayout>
              </c:layout>
              <c:showLegendKey val="0"/>
              <c:showVal val="1"/>
              <c:showCatName val="1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0EAD-440A-938B-73199DDCAD0D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1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'Avg Week Iganga-Kaliro-2Dir'!$C$9:$N$9</c:f>
              <c:strCache>
                <c:ptCount val="12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 cycles</c:v>
                </c:pt>
                <c:pt idx="11">
                  <c:v>12. Tractors</c:v>
                </c:pt>
              </c:strCache>
            </c:strRef>
          </c:cat>
          <c:val>
            <c:numRef>
              <c:f>'Avg Week Iganga-Kaliro-2Dir'!$C$108:$N$108</c:f>
              <c:numCache>
                <c:formatCode>0.00%</c:formatCode>
                <c:ptCount val="12"/>
                <c:pt idx="0">
                  <c:v>0.26077457795431985</c:v>
                </c:pt>
                <c:pt idx="1">
                  <c:v>0.13922542204568028</c:v>
                </c:pt>
                <c:pt idx="2">
                  <c:v>0.11662363455809338</c:v>
                </c:pt>
                <c:pt idx="3">
                  <c:v>0.26883813306852045</c:v>
                </c:pt>
                <c:pt idx="4">
                  <c:v>8.7388282025819275E-3</c:v>
                </c:pt>
                <c:pt idx="5">
                  <c:v>3.8133068520357508E-3</c:v>
                </c:pt>
                <c:pt idx="6">
                  <c:v>0.10589870903674281</c:v>
                </c:pt>
                <c:pt idx="7">
                  <c:v>7.6226415094339625E-2</c:v>
                </c:pt>
                <c:pt idx="8">
                  <c:v>1.2035749751737839E-2</c:v>
                </c:pt>
                <c:pt idx="9">
                  <c:v>5.4816285998013914E-3</c:v>
                </c:pt>
                <c:pt idx="11">
                  <c:v>2.3435948361469712E-3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0EAD-440A-938B-73199DDCAD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</c:pie3DChart>
      <c:spPr>
        <a:noFill/>
        <a:ln>
          <a:noFill/>
        </a:ln>
        <a:effectLst/>
      </c:spPr>
    </c:plotArea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charts/chart5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vert="horz"/>
          <a:lstStyle/>
          <a:p>
            <a:pPr>
              <a:defRPr/>
            </a:pPr>
            <a:r>
              <a:rPr lang="en-US"/>
              <a:t>Average Hourly Traffic Variation </a:t>
            </a:r>
            <a:endParaRPr lang="x-none"/>
          </a:p>
        </c:rich>
      </c:tx>
      <c:layout>
        <c:manualLayout>
          <c:xMode val="edge"/>
          <c:yMode val="edge"/>
          <c:x val="0.32631032509630192"/>
          <c:y val="2.6504260748158488E-2"/>
        </c:manualLayout>
      </c:layout>
      <c:overlay val="0"/>
      <c:spPr>
        <a:noFill/>
        <a:ln>
          <a:noFill/>
        </a:ln>
        <a:effectLst/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'Avg Week Iganga-Kaliro-2Dir'!$AE$9</c:f>
              <c:strCache>
                <c:ptCount val="1"/>
                <c:pt idx="0">
                  <c:v>Total Excl M/ Cycles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triangle"/>
            <c:size val="6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'Avg Week Iganga-Kaliro-2Dir'!$R$10:$R$33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Iganga-Kaliro-2Dir'!$AE$10:$AE$33</c:f>
              <c:numCache>
                <c:formatCode>0</c:formatCode>
                <c:ptCount val="24"/>
                <c:pt idx="0">
                  <c:v>106.71428571428572</c:v>
                </c:pt>
                <c:pt idx="1">
                  <c:v>82.285714285714278</c:v>
                </c:pt>
                <c:pt idx="2">
                  <c:v>100.14285714285715</c:v>
                </c:pt>
                <c:pt idx="3">
                  <c:v>109</c:v>
                </c:pt>
                <c:pt idx="4">
                  <c:v>104.71428571428571</c:v>
                </c:pt>
                <c:pt idx="5">
                  <c:v>96.285714285714292</c:v>
                </c:pt>
                <c:pt idx="6">
                  <c:v>105.99999999999999</c:v>
                </c:pt>
                <c:pt idx="7">
                  <c:v>117.42857142857142</c:v>
                </c:pt>
                <c:pt idx="8">
                  <c:v>127.42857142857144</c:v>
                </c:pt>
                <c:pt idx="9">
                  <c:v>116.28571428571428</c:v>
                </c:pt>
                <c:pt idx="10">
                  <c:v>123.85714285714283</c:v>
                </c:pt>
                <c:pt idx="11">
                  <c:v>123.57142857142858</c:v>
                </c:pt>
                <c:pt idx="12">
                  <c:v>84</c:v>
                </c:pt>
                <c:pt idx="13">
                  <c:v>69</c:v>
                </c:pt>
                <c:pt idx="14">
                  <c:v>55</c:v>
                </c:pt>
                <c:pt idx="15">
                  <c:v>48.5</c:v>
                </c:pt>
                <c:pt idx="16">
                  <c:v>38</c:v>
                </c:pt>
                <c:pt idx="17">
                  <c:v>25</c:v>
                </c:pt>
                <c:pt idx="18">
                  <c:v>18.5</c:v>
                </c:pt>
                <c:pt idx="19">
                  <c:v>20.5</c:v>
                </c:pt>
                <c:pt idx="20">
                  <c:v>17.5</c:v>
                </c:pt>
                <c:pt idx="21">
                  <c:v>19.5</c:v>
                </c:pt>
                <c:pt idx="22">
                  <c:v>30.5</c:v>
                </c:pt>
                <c:pt idx="23">
                  <c:v>58.5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62E-49EF-995F-724D276C25D4}"/>
            </c:ext>
          </c:extLst>
        </c:ser>
        <c:ser>
          <c:idx val="1"/>
          <c:order val="1"/>
          <c:tx>
            <c:strRef>
              <c:f>'Avg Week Iganga-Kaliro-2Dir'!$AF$9</c:f>
              <c:strCache>
                <c:ptCount val="1"/>
                <c:pt idx="0">
                  <c:v>Total All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square"/>
            <c:size val="6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cat>
            <c:strRef>
              <c:f>'Avg Week Iganga-Kaliro-2Dir'!$R$10:$R$33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Iganga-Kaliro-2Dir'!$AF$10:$AF$33</c:f>
              <c:numCache>
                <c:formatCode>0</c:formatCode>
                <c:ptCount val="24"/>
                <c:pt idx="0">
                  <c:v>592.28571428571422</c:v>
                </c:pt>
                <c:pt idx="1">
                  <c:v>615.42857142857144</c:v>
                </c:pt>
                <c:pt idx="2">
                  <c:v>690.57142857142856</c:v>
                </c:pt>
                <c:pt idx="3">
                  <c:v>729.42857142857133</c:v>
                </c:pt>
                <c:pt idx="4">
                  <c:v>743.28571428571422</c:v>
                </c:pt>
                <c:pt idx="5">
                  <c:v>704</c:v>
                </c:pt>
                <c:pt idx="6">
                  <c:v>674.71428571428578</c:v>
                </c:pt>
                <c:pt idx="7">
                  <c:v>673.85714285714289</c:v>
                </c:pt>
                <c:pt idx="8">
                  <c:v>714.85714285714289</c:v>
                </c:pt>
                <c:pt idx="9">
                  <c:v>679.85714285714289</c:v>
                </c:pt>
                <c:pt idx="10">
                  <c:v>669.42857142857144</c:v>
                </c:pt>
                <c:pt idx="11">
                  <c:v>632.28571428571422</c:v>
                </c:pt>
                <c:pt idx="12">
                  <c:v>605.5</c:v>
                </c:pt>
                <c:pt idx="13">
                  <c:v>535.5</c:v>
                </c:pt>
                <c:pt idx="14">
                  <c:v>428</c:v>
                </c:pt>
                <c:pt idx="15">
                  <c:v>360</c:v>
                </c:pt>
                <c:pt idx="16">
                  <c:v>289.5</c:v>
                </c:pt>
                <c:pt idx="17">
                  <c:v>189</c:v>
                </c:pt>
                <c:pt idx="18">
                  <c:v>83.5</c:v>
                </c:pt>
                <c:pt idx="19">
                  <c:v>54</c:v>
                </c:pt>
                <c:pt idx="20">
                  <c:v>35</c:v>
                </c:pt>
                <c:pt idx="21">
                  <c:v>23</c:v>
                </c:pt>
                <c:pt idx="22">
                  <c:v>51.5</c:v>
                </c:pt>
                <c:pt idx="23">
                  <c:v>194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62E-49EF-995F-724D276C25D4}"/>
            </c:ext>
          </c:extLst>
        </c:ser>
        <c:ser>
          <c:idx val="5"/>
          <c:order val="2"/>
          <c:tx>
            <c:strRef>
              <c:f>'Avg Week Iganga-Kaliro-2Dir'!$AC$9</c:f>
              <c:strCache>
                <c:ptCount val="1"/>
                <c:pt idx="0">
                  <c:v>11. Motorcycles</c:v>
                </c:pt>
              </c:strCache>
            </c:strRef>
          </c:tx>
          <c:cat>
            <c:strRef>
              <c:f>'Avg Week Iganga-Kaliro-2Dir'!$R$10:$R$33</c:f>
              <c:strCache>
                <c:ptCount val="24"/>
                <c:pt idx="0">
                  <c:v>0700-0800</c:v>
                </c:pt>
                <c:pt idx="1">
                  <c:v>0800-0900</c:v>
                </c:pt>
                <c:pt idx="2">
                  <c:v>0900-1000</c:v>
                </c:pt>
                <c:pt idx="3">
                  <c:v>1000-1100</c:v>
                </c:pt>
                <c:pt idx="4">
                  <c:v>1100-1200</c:v>
                </c:pt>
                <c:pt idx="5">
                  <c:v>1200-1300</c:v>
                </c:pt>
                <c:pt idx="6">
                  <c:v>1300-1400</c:v>
                </c:pt>
                <c:pt idx="7">
                  <c:v>1400-1500</c:v>
                </c:pt>
                <c:pt idx="8">
                  <c:v>1500-1600</c:v>
                </c:pt>
                <c:pt idx="9">
                  <c:v>1600-1700</c:v>
                </c:pt>
                <c:pt idx="10">
                  <c:v>1700-1800</c:v>
                </c:pt>
                <c:pt idx="11">
                  <c:v>1800-1900</c:v>
                </c:pt>
                <c:pt idx="12">
                  <c:v>1900-2000</c:v>
                </c:pt>
                <c:pt idx="13">
                  <c:v>2000-2100</c:v>
                </c:pt>
                <c:pt idx="14">
                  <c:v>2100-2200</c:v>
                </c:pt>
                <c:pt idx="15">
                  <c:v>2200-2300</c:v>
                </c:pt>
                <c:pt idx="16">
                  <c:v>2300-0000</c:v>
                </c:pt>
                <c:pt idx="17">
                  <c:v>0000-0100</c:v>
                </c:pt>
                <c:pt idx="18">
                  <c:v>0100-0200</c:v>
                </c:pt>
                <c:pt idx="19">
                  <c:v>0200-0300</c:v>
                </c:pt>
                <c:pt idx="20">
                  <c:v>0300-0400</c:v>
                </c:pt>
                <c:pt idx="21">
                  <c:v>0400-0500</c:v>
                </c:pt>
                <c:pt idx="22">
                  <c:v>0500-0600</c:v>
                </c:pt>
                <c:pt idx="23">
                  <c:v>0600-0700</c:v>
                </c:pt>
              </c:strCache>
            </c:strRef>
          </c:cat>
          <c:val>
            <c:numRef>
              <c:f>'Avg Week Iganga-Kaliro-2Dir'!$AC$10:$AC$33</c:f>
              <c:numCache>
                <c:formatCode>0</c:formatCode>
                <c:ptCount val="24"/>
                <c:pt idx="0">
                  <c:v>485.57142857142861</c:v>
                </c:pt>
                <c:pt idx="1">
                  <c:v>533.14285714285711</c:v>
                </c:pt>
                <c:pt idx="2">
                  <c:v>590.42857142857144</c:v>
                </c:pt>
                <c:pt idx="3">
                  <c:v>620.42857142857133</c:v>
                </c:pt>
                <c:pt idx="4">
                  <c:v>638.57142857142856</c:v>
                </c:pt>
                <c:pt idx="5">
                  <c:v>607.71428571428578</c:v>
                </c:pt>
                <c:pt idx="6">
                  <c:v>568.71428571428578</c:v>
                </c:pt>
                <c:pt idx="7">
                  <c:v>556.42857142857144</c:v>
                </c:pt>
                <c:pt idx="8">
                  <c:v>587.42857142857133</c:v>
                </c:pt>
                <c:pt idx="9">
                  <c:v>563.57142857142856</c:v>
                </c:pt>
                <c:pt idx="10">
                  <c:v>545.57142857142856</c:v>
                </c:pt>
                <c:pt idx="11">
                  <c:v>508.71428571428572</c:v>
                </c:pt>
                <c:pt idx="12">
                  <c:v>521.5</c:v>
                </c:pt>
                <c:pt idx="13">
                  <c:v>466.5</c:v>
                </c:pt>
                <c:pt idx="14">
                  <c:v>373</c:v>
                </c:pt>
                <c:pt idx="15">
                  <c:v>311.5</c:v>
                </c:pt>
                <c:pt idx="16">
                  <c:v>251.5</c:v>
                </c:pt>
                <c:pt idx="17">
                  <c:v>164</c:v>
                </c:pt>
                <c:pt idx="18">
                  <c:v>65</c:v>
                </c:pt>
                <c:pt idx="19">
                  <c:v>33.5</c:v>
                </c:pt>
                <c:pt idx="20">
                  <c:v>17.5</c:v>
                </c:pt>
                <c:pt idx="21">
                  <c:v>3.5</c:v>
                </c:pt>
                <c:pt idx="22">
                  <c:v>21</c:v>
                </c:pt>
                <c:pt idx="23">
                  <c:v>135.5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62E-49EF-995F-724D276C25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811253088"/>
        <c:axId val="811254720"/>
      </c:lineChart>
      <c:catAx>
        <c:axId val="811253088"/>
        <c:scaling>
          <c:orientation val="minMax"/>
        </c:scaling>
        <c:delete val="0"/>
        <c:axPos val="b"/>
        <c:min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5400000"/>
          <a:lstStyle/>
          <a:p>
            <a:pPr>
              <a:defRPr/>
            </a:pPr>
            <a:endParaRPr lang="en-US"/>
          </a:p>
        </c:txPr>
        <c:crossAx val="811254720"/>
        <c:crosses val="autoZero"/>
        <c:auto val="1"/>
        <c:lblAlgn val="ctr"/>
        <c:lblOffset val="100"/>
        <c:noMultiLvlLbl val="0"/>
      </c:catAx>
      <c:valAx>
        <c:axId val="81125472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bg1">
                  <a:lumMod val="7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Traffic Volume 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vert="horz"/>
          <a:lstStyle/>
          <a:p>
            <a:pPr>
              <a:defRPr/>
            </a:pPr>
            <a:endParaRPr lang="en-US"/>
          </a:p>
        </c:txPr>
        <c:crossAx val="811253088"/>
        <c:crosses val="autoZero"/>
        <c:crossBetween val="between"/>
        <c:majorUnit val="250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vert="horz"/>
        <a:lstStyle/>
        <a:p>
          <a:pPr>
            <a:defRPr/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 b="1"/>
      </a:pPr>
      <a:endParaRPr lang="en-US"/>
    </a:p>
  </c:txPr>
  <c:printSettings>
    <c:headerFooter/>
    <c:pageMargins b="0.75000000000000033" l="0.70000000000000029" r="0.70000000000000029" t="0.75000000000000033" header="0.30000000000000016" footer="0.30000000000000016"/>
    <c:pageSetup/>
  </c:printSettings>
</c:chartSpace>
</file>

<file path=xl/charts/chart6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Average Daily Traffic (ADT)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Iganga-Kaliro-2Dir'!$S$9:$AF$9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Iganga-Kaliro-2Dir'!$S$41:$AF$41</c:f>
              <c:numCache>
                <c:formatCode>0</c:formatCode>
                <c:ptCount val="14"/>
                <c:pt idx="0">
                  <c:v>468.92857142857139</c:v>
                </c:pt>
                <c:pt idx="1">
                  <c:v>250.35714285714286</c:v>
                </c:pt>
                <c:pt idx="2">
                  <c:v>209.71428571428572</c:v>
                </c:pt>
                <c:pt idx="3">
                  <c:v>483.42857142857144</c:v>
                </c:pt>
                <c:pt idx="4">
                  <c:v>15.714285714285715</c:v>
                </c:pt>
                <c:pt idx="5">
                  <c:v>6.8571428571428577</c:v>
                </c:pt>
                <c:pt idx="6">
                  <c:v>190.42857142857144</c:v>
                </c:pt>
                <c:pt idx="7">
                  <c:v>137.07142857142856</c:v>
                </c:pt>
                <c:pt idx="8">
                  <c:v>21.642857142857139</c:v>
                </c:pt>
                <c:pt idx="9">
                  <c:v>9.8571428571428577</c:v>
                </c:pt>
                <c:pt idx="10">
                  <c:v>9170.2857142857138</c:v>
                </c:pt>
                <c:pt idx="11">
                  <c:v>4.2142857142857135</c:v>
                </c:pt>
                <c:pt idx="12">
                  <c:v>1798.214285714286</c:v>
                </c:pt>
                <c:pt idx="13">
                  <c:v>10968.5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99-4C69-AC21-EFC854B2B8C1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b="1">
                <a:solidFill>
                  <a:schemeClr val="tx1"/>
                </a:solidFill>
              </a:rPr>
              <a:t>Night Equivalent Factors (NEF)</a:t>
            </a:r>
            <a:r>
              <a:rPr lang="en-US" b="1" baseline="0">
                <a:solidFill>
                  <a:schemeClr val="tx1"/>
                </a:solidFill>
              </a:rPr>
              <a:t> by vehicle class</a:t>
            </a:r>
            <a:endParaRPr lang="en-US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0.28951305428926649"/>
          <c:y val="2.254314649517308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8983112308329878"/>
          <c:y val="0.1045156629382462"/>
          <c:w val="0.64701098217985908"/>
          <c:h val="0.7828249624521264"/>
        </c:manualLayout>
      </c:layout>
      <c:barChart>
        <c:barDir val="bar"/>
        <c:grouping val="clustered"/>
        <c:varyColors val="0"/>
        <c:ser>
          <c:idx val="0"/>
          <c:order val="0"/>
          <c:spPr>
            <a:solidFill>
              <a:schemeClr val="accent2">
                <a:lumMod val="75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0" i="0" u="none" strike="noStrike" kern="1200" baseline="0">
                    <a:solidFill>
                      <a:schemeClr val="tx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'Avg Week Iganga-Kaliro-2Dir'!$S$9:$AF$9</c:f>
              <c:strCache>
                <c:ptCount val="14"/>
                <c:pt idx="0">
                  <c:v>1. Car</c:v>
                </c:pt>
                <c:pt idx="1">
                  <c:v>2. Station Wagon</c:v>
                </c:pt>
                <c:pt idx="2">
                  <c:v>3. Pickups</c:v>
                </c:pt>
                <c:pt idx="3">
                  <c:v>4. Minibus, matatu</c:v>
                </c:pt>
                <c:pt idx="4">
                  <c:v>5. Medium bus </c:v>
                </c:pt>
                <c:pt idx="5">
                  <c:v>6. Large Bus</c:v>
                </c:pt>
                <c:pt idx="6">
                  <c:v>7. Light Truck </c:v>
                </c:pt>
                <c:pt idx="7">
                  <c:v>8. Medium Truck </c:v>
                </c:pt>
                <c:pt idx="8">
                  <c:v>9. Heavy truck </c:v>
                </c:pt>
                <c:pt idx="9">
                  <c:v>10. Truck Trailer </c:v>
                </c:pt>
                <c:pt idx="10">
                  <c:v>11. Motorcycles</c:v>
                </c:pt>
                <c:pt idx="11">
                  <c:v>12. Tractors, Graders</c:v>
                </c:pt>
                <c:pt idx="12">
                  <c:v>Total Excl M/ Cycles</c:v>
                </c:pt>
                <c:pt idx="13">
                  <c:v>Total All</c:v>
                </c:pt>
              </c:strCache>
            </c:strRef>
          </c:cat>
          <c:val>
            <c:numRef>
              <c:f>'Avg Week Iganga-Kaliro-2Dir'!$S$42:$AF$42</c:f>
              <c:numCache>
                <c:formatCode>0.000</c:formatCode>
                <c:ptCount val="14"/>
                <c:pt idx="0">
                  <c:v>1.3734309623430963</c:v>
                </c:pt>
                <c:pt idx="1">
                  <c:v>1.415589660743134</c:v>
                </c:pt>
                <c:pt idx="2">
                  <c:v>1.4007633587786259</c:v>
                </c:pt>
                <c:pt idx="3">
                  <c:v>1.3121364870104693</c:v>
                </c:pt>
                <c:pt idx="4">
                  <c:v>1.0679611650485437</c:v>
                </c:pt>
                <c:pt idx="5">
                  <c:v>1.1707317073170731</c:v>
                </c:pt>
                <c:pt idx="6">
                  <c:v>1.3856548856548856</c:v>
                </c:pt>
                <c:pt idx="7">
                  <c:v>1.3905797101449275</c:v>
                </c:pt>
                <c:pt idx="8">
                  <c:v>1.5303030303030303</c:v>
                </c:pt>
                <c:pt idx="9">
                  <c:v>3.4500000000000006</c:v>
                </c:pt>
                <c:pt idx="10">
                  <c:v>1.347326001175384</c:v>
                </c:pt>
                <c:pt idx="11">
                  <c:v>1.1346153846153846</c:v>
                </c:pt>
                <c:pt idx="12">
                  <c:v>1.3688016528925619</c:v>
                </c:pt>
                <c:pt idx="13">
                  <c:v>1.3508004926108375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455-4226-A173-94523E84717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00"/>
        <c:axId val="613522704"/>
        <c:axId val="613520736"/>
      </c:barChart>
      <c:catAx>
        <c:axId val="613522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0736"/>
        <c:crosses val="autoZero"/>
        <c:auto val="1"/>
        <c:lblAlgn val="ctr"/>
        <c:lblOffset val="100"/>
        <c:noMultiLvlLbl val="0"/>
      </c:catAx>
      <c:valAx>
        <c:axId val="6135207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000" b="0" i="0" u="none" strike="noStrike" kern="1200" baseline="0">
                <a:solidFill>
                  <a:schemeClr val="tx1"/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en-US"/>
          </a:p>
        </c:txPr>
        <c:crossAx val="6135227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bg1">
          <a:lumMod val="6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" Type="http://schemas.openxmlformats.org/officeDocument/2006/relationships/chart" Target="../charts/chart1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7.xml"/><Relationship Id="rId1" Type="http://schemas.openxmlformats.org/officeDocument/2006/relationships/chart" Target="../charts/chart4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6.xml"/><Relationship Id="rId10" Type="http://schemas.openxmlformats.org/officeDocument/2006/relationships/image" Target="../media/image13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.xml"/></Relationships>
</file>

<file path=xl/drawings/_rels/drawing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11.xml"/><Relationship Id="rId1" Type="http://schemas.openxmlformats.org/officeDocument/2006/relationships/chart" Target="../charts/chart8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0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9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15.xml"/><Relationship Id="rId1" Type="http://schemas.openxmlformats.org/officeDocument/2006/relationships/chart" Target="../charts/chart1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1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6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16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1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17.xml"/></Relationships>
</file>

<file path=xl/drawings/_rels/drawing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1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2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0.xml"/></Relationships>
</file>

<file path=xl/drawings/_rels/drawing7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25.xml"/><Relationship Id="rId1" Type="http://schemas.openxmlformats.org/officeDocument/2006/relationships/chart" Target="../charts/chart22.xml"/><Relationship Id="rId6" Type="http://schemas.openxmlformats.org/officeDocument/2006/relationships/image" Target="../media/image5.emf"/><Relationship Id="rId11" Type="http://schemas.openxmlformats.org/officeDocument/2006/relationships/image" Target="../media/image17.jpeg"/><Relationship Id="rId5" Type="http://schemas.openxmlformats.org/officeDocument/2006/relationships/image" Target="../media/image4.emf"/><Relationship Id="rId15" Type="http://schemas.openxmlformats.org/officeDocument/2006/relationships/chart" Target="../charts/chart2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3.xml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" Type="http://schemas.openxmlformats.org/officeDocument/2006/relationships/chart" Target="../charts/chart26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28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27.xml"/></Relationships>
</file>

<file path=xl/drawings/_rels/drawing9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29.xml"/><Relationship Id="rId6" Type="http://schemas.openxmlformats.org/officeDocument/2006/relationships/image" Target="../media/image5.emf"/><Relationship Id="rId11" Type="http://schemas.openxmlformats.org/officeDocument/2006/relationships/image" Target="../media/image19.jpeg"/><Relationship Id="rId5" Type="http://schemas.openxmlformats.org/officeDocument/2006/relationships/image" Target="../media/image4.emf"/><Relationship Id="rId15" Type="http://schemas.openxmlformats.org/officeDocument/2006/relationships/chart" Target="../charts/chart3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0.xml"/></Relationships>
</file>

<file path=xl/drawings/_rels/drawing10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32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34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3.xml"/></Relationships>
</file>

<file path=xl/drawings/_rels/drawing11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1.jpeg"/><Relationship Id="rId2" Type="http://schemas.openxmlformats.org/officeDocument/2006/relationships/image" Target="../media/image1.emf"/><Relationship Id="rId16" Type="http://schemas.openxmlformats.org/officeDocument/2006/relationships/chart" Target="../charts/chart38.xml"/><Relationship Id="rId1" Type="http://schemas.openxmlformats.org/officeDocument/2006/relationships/chart" Target="../charts/chart35.xml"/><Relationship Id="rId6" Type="http://schemas.openxmlformats.org/officeDocument/2006/relationships/image" Target="../media/image5.emf"/><Relationship Id="rId11" Type="http://schemas.openxmlformats.org/officeDocument/2006/relationships/image" Target="../media/image10.jpeg"/><Relationship Id="rId5" Type="http://schemas.openxmlformats.org/officeDocument/2006/relationships/image" Target="../media/image4.emf"/><Relationship Id="rId15" Type="http://schemas.openxmlformats.org/officeDocument/2006/relationships/chart" Target="../charts/chart37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36.xml"/></Relationships>
</file>

<file path=xl/drawings/_rels/drawing12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8.png"/><Relationship Id="rId2" Type="http://schemas.openxmlformats.org/officeDocument/2006/relationships/image" Target="../media/image1.emf"/><Relationship Id="rId16" Type="http://schemas.openxmlformats.org/officeDocument/2006/relationships/chart" Target="../charts/chart42.xml"/><Relationship Id="rId1" Type="http://schemas.openxmlformats.org/officeDocument/2006/relationships/chart" Target="../charts/chart39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1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0.xml"/></Relationships>
</file>

<file path=xl/drawings/_rels/drawing13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46.xml"/><Relationship Id="rId1" Type="http://schemas.openxmlformats.org/officeDocument/2006/relationships/chart" Target="../charts/chart43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5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4.xml"/></Relationships>
</file>

<file path=xl/drawings/_rels/drawing14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6" Type="http://schemas.openxmlformats.org/officeDocument/2006/relationships/chart" Target="../charts/chart50.xml"/><Relationship Id="rId1" Type="http://schemas.openxmlformats.org/officeDocument/2006/relationships/chart" Target="../charts/chart47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49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48.xml"/></Relationships>
</file>

<file path=xl/drawings/_rels/drawing15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1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3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2.xml"/></Relationships>
</file>

<file path=xl/drawings/_rels/drawing16.xml.rels><?xml version="1.0" encoding="UTF-8" standalone="yes"?>
<Relationships xmlns="http://schemas.openxmlformats.org/package/2006/relationships"><Relationship Id="rId8" Type="http://schemas.openxmlformats.org/officeDocument/2006/relationships/image" Target="../media/image7.emf"/><Relationship Id="rId13" Type="http://schemas.openxmlformats.org/officeDocument/2006/relationships/image" Target="../media/image12.jpeg"/><Relationship Id="rId3" Type="http://schemas.openxmlformats.org/officeDocument/2006/relationships/image" Target="../media/image2.emf"/><Relationship Id="rId7" Type="http://schemas.openxmlformats.org/officeDocument/2006/relationships/image" Target="../media/image6.emf"/><Relationship Id="rId12" Type="http://schemas.openxmlformats.org/officeDocument/2006/relationships/image" Target="../media/image15.jpeg"/><Relationship Id="rId2" Type="http://schemas.openxmlformats.org/officeDocument/2006/relationships/image" Target="../media/image1.emf"/><Relationship Id="rId1" Type="http://schemas.openxmlformats.org/officeDocument/2006/relationships/chart" Target="../charts/chart54.xml"/><Relationship Id="rId6" Type="http://schemas.openxmlformats.org/officeDocument/2006/relationships/image" Target="../media/image5.emf"/><Relationship Id="rId11" Type="http://schemas.openxmlformats.org/officeDocument/2006/relationships/image" Target="../media/image14.jpeg"/><Relationship Id="rId5" Type="http://schemas.openxmlformats.org/officeDocument/2006/relationships/image" Target="../media/image4.emf"/><Relationship Id="rId15" Type="http://schemas.openxmlformats.org/officeDocument/2006/relationships/chart" Target="../charts/chart56.xml"/><Relationship Id="rId10" Type="http://schemas.openxmlformats.org/officeDocument/2006/relationships/image" Target="../media/image9.jpeg"/><Relationship Id="rId4" Type="http://schemas.openxmlformats.org/officeDocument/2006/relationships/image" Target="../media/image3.emf"/><Relationship Id="rId9" Type="http://schemas.openxmlformats.org/officeDocument/2006/relationships/image" Target="../media/image8.emf"/><Relationship Id="rId14" Type="http://schemas.openxmlformats.org/officeDocument/2006/relationships/chart" Target="../charts/chart55.xml"/></Relationships>
</file>

<file path=xl/drawings/_rels/drawing17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emf"/><Relationship Id="rId13" Type="http://schemas.openxmlformats.org/officeDocument/2006/relationships/chart" Target="../charts/chart57.xml"/><Relationship Id="rId3" Type="http://schemas.openxmlformats.org/officeDocument/2006/relationships/image" Target="../media/image3.emf"/><Relationship Id="rId7" Type="http://schemas.openxmlformats.org/officeDocument/2006/relationships/image" Target="../media/image7.emf"/><Relationship Id="rId12" Type="http://schemas.openxmlformats.org/officeDocument/2006/relationships/image" Target="../media/image20.jpeg"/><Relationship Id="rId17" Type="http://schemas.openxmlformats.org/officeDocument/2006/relationships/chart" Target="../charts/chart61.xml"/><Relationship Id="rId2" Type="http://schemas.openxmlformats.org/officeDocument/2006/relationships/image" Target="../media/image2.emf"/><Relationship Id="rId16" Type="http://schemas.openxmlformats.org/officeDocument/2006/relationships/chart" Target="../charts/chart60.xml"/><Relationship Id="rId1" Type="http://schemas.openxmlformats.org/officeDocument/2006/relationships/image" Target="../media/image1.emf"/><Relationship Id="rId6" Type="http://schemas.openxmlformats.org/officeDocument/2006/relationships/image" Target="../media/image6.emf"/><Relationship Id="rId11" Type="http://schemas.openxmlformats.org/officeDocument/2006/relationships/image" Target="../media/image18.png"/><Relationship Id="rId5" Type="http://schemas.openxmlformats.org/officeDocument/2006/relationships/image" Target="../media/image5.emf"/><Relationship Id="rId15" Type="http://schemas.openxmlformats.org/officeDocument/2006/relationships/chart" Target="../charts/chart59.xml"/><Relationship Id="rId10" Type="http://schemas.openxmlformats.org/officeDocument/2006/relationships/image" Target="../media/image14.jpeg"/><Relationship Id="rId4" Type="http://schemas.openxmlformats.org/officeDocument/2006/relationships/image" Target="../media/image4.emf"/><Relationship Id="rId9" Type="http://schemas.openxmlformats.org/officeDocument/2006/relationships/image" Target="../media/image9.jpeg"/><Relationship Id="rId14" Type="http://schemas.openxmlformats.org/officeDocument/2006/relationships/chart" Target="../charts/chart5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11CFC8F-8205-41F9-9B66-3FB509C1B37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9668C2-2D94-4C8C-96DE-2CD1278FFA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333500" y="1673906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C5BC59C-7E3C-4E1F-91A2-6F538DE49D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117311" y="1670737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B6741EE-101A-4A6F-997F-922F9E44B8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025475" y="1687514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1DAA80F-C131-44FF-BDF1-CA9E99769D2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627613" y="1691935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F46918-8C1C-4569-909D-FD12E8C597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469001" y="1736837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F735D66-9CA4-4254-B9CE-F7C19D9AC20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170720" y="1702028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74CF17-906F-46A6-B2D3-E4FB5B997C4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042565" y="1674812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7A836CBE-E43B-4747-B456-ED2BC6AB95B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510155" y="1646689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3D52FEC-A071-4566-B75B-A8B46F3354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4861479" y="1693368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522811C-AE7E-45C3-999C-EFC5CE53DDF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797259" y="1646690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3FAFA0F-5253-46F9-B5E5-09FCA768E38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163548" y="1666875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5E2D3460-AF99-4CF8-B315-BC15BD18C03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237448" y="1615168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7CCF053B-5EE4-4D1D-9765-55AB84E67D8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D8383C4-2A7E-4FD9-8219-0A81ADCB04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C2C0347-031E-41BF-9698-B9D2F9703D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4A14BA3-34AF-404D-9061-B4634F44D48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BFC2162-A6BC-4391-9A69-3D8C5544FF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E3FA3AE-9984-4154-B374-4610ED1E6D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2528374-C385-4D0B-BC3C-A1B06CB6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3FE29D3-8F89-4F3F-84DA-37414C1B5B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2C67768-AB9B-43C5-9CF9-EED2366D95F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F28159B-FC13-4FCA-ADF6-4FEC6C38240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30E89F1-CD3B-4869-AE97-8EFA490099E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16B891E8-B6FF-4446-BB0E-8326D5C83C8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A3F91A-FB1F-4FA7-8EC9-86727745CBA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9AAF4C-3770-465C-8BD4-005CF823465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95FF5EB-DAD7-4CB9-A84F-7E6DCE4CA1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C3A10EFF-54D3-42C6-A641-4F2C5D8BB0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2897E610-198F-4797-B1DD-819E571F088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98581BB7-4A56-4ADF-96B2-6F63A98F5A7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CD83B4B-FDF8-4F87-8F75-60637E0F595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EF2E341C-99E0-4E94-B000-EF651B159EE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357BF90-5E78-4CE9-8F6D-17919CF931C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D2510501-ECDE-4C26-91A3-A96646FDA7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27C0573-D332-492A-A3A7-3FE018587CB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F8BE280-8189-4E91-A8F8-A2BBBB1D1F5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908D9BF-8405-4431-A904-8C08188A36B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D73E152-1E1E-4B07-9426-D9D662F02CC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FF81ADE5-C017-481D-AC00-CAB3F2681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BA66D135-723A-4789-B7B4-ECA20A0FFC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A303E91-D188-4198-9869-D6544838D9F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B3035FD1-0A58-44C6-B7CB-2E208566C2C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414DE2D-8B57-4FC6-B505-2EE9020AA5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B1441D28-4BFD-464B-AA5C-64C94D17127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4812AF20-09AA-4DDA-9975-7AE7B3E2948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2C644DC-E669-4020-AC88-491A3FEAB67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E50EFE-1DE0-4F36-B48C-A69FF36114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C5EBDA1F-EC34-4EA9-976D-6289DE0FB9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8A6D516-6369-4DF7-976B-FBD3A1EF043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C2BF08E9-0317-45DF-9764-5E2AFD1532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8647EFF-C4C1-44C3-AC8E-F40BB82E12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484C3A2-0AA3-4E8E-A647-EBD805BB49D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2C3E48D-2F03-4F5E-8402-482EEA7BC39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77F25959-7B9A-4DD0-8D16-556A4E80981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A704E06-1314-4D2D-8CBA-81BD622C6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F8145C8-FE4D-4244-A206-AA0C05319BB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79485777-7D50-46B6-965E-65B58F2D544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656E12E-5B01-4152-825E-79993A11E0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D957C12B-D8EF-4055-B4D0-7E0011F8E18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F5C02A8-A5EC-4B9F-85CB-E1BEE4C52D4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6B69222-0397-44E0-9C74-708D4A6DBD1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2A5628F-C824-44D7-A41E-75796BEF00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D5A5A00-3F3E-4DBA-AD14-690787A24F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95E51A4-0F43-47FB-BCAE-F51F8BAACFA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D630DFB9-D4D4-4CDE-A91B-F1DC724995E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E932A2E4-E7EE-409F-AC15-01426DB5939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FE05EDC-131A-4C10-9500-FACF491A9A7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5C7BC54-4C0E-49B3-A8E3-B116B62A452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51489E6-558E-4134-87C8-4C1F569F608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A18647-F6CB-4D27-8E90-6AF05A17123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690289A6-A003-456F-90CE-D799661B10E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90214C5D-5BBD-405E-BE0F-3B23F9C841F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2887784-3C03-4F6B-9C5B-394BAA31B67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3BBA41DC-5511-41C0-B5A4-3930BD242F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733BC1-F32D-4BE4-972B-658A1C0D2B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30AC53BB-20A6-473E-8FE0-88E6F885D6C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09E55AF-4406-4A38-AA5A-2F1F9B7080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BE5B84F-E7F9-4888-8364-5155D4663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B9F8FE3-434C-498C-B69C-5D6653FA2AA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792E213C-AC12-4AB2-8177-5988196C59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46E9F966-108A-437A-BA82-30567CD847D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33210A5-3608-4FA6-A870-15F7A148ECF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AD2E9C6A-86FC-43C8-ACC5-4E8F1D7C16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23849C80-1C79-4E58-BCA0-DADFCCC7D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1F0B3A3-2D65-4925-A130-ACE32C1696D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5C815D1-3DC3-49D4-8EC4-F0F9844C714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7392CC8-C478-4740-9F98-E794DD06717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394D704-B477-44ED-9B81-731CE82146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99B64C7-FCB5-4657-9490-6332A3AC50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180EDBA-E56F-4F40-8629-7FA88E9F38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41715DD5-608D-41A8-9BD9-0CBABB14A28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418EF71-2456-4AC3-8C28-8D9EEDDA71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61C7AC-8404-4FB2-9E2A-96A3009AB24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685E319-E1D8-4517-B949-556C3CE302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BB457DF-B5A1-410D-9BB1-A95BB7E5D95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230BB277-1955-4EDC-9A5C-BC7DCD1244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E017E93-72EF-48E2-831E-CD7D7EEB40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7DFF92E4-C563-4536-987C-D24D1C74631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79BCA9A5-16A1-413D-8FBC-CB7CC854FD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B408C7D7-F161-4A8D-ACEC-EB041736E1D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497CD0D3-73F8-42EC-85C5-3E1C385FA75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3FD549FA-B008-417E-BF85-75D96392B84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0D5A0C7D-7BAB-4935-8EE1-FEC5A375CDA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1C839DE-231F-4ACD-86F3-F59FB50EF07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2D641106-2317-4F80-87C7-C13B5FB048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E4D0AED3-3098-4D8D-B25D-9F5581AA5D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3CB3AE0-43BD-4850-9667-0DE1DC5258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EEA84219-10C6-4B19-97B2-1D4D595AB4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9B00FFE-DD09-45A9-B33F-4C450DB096F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173AE11-444F-4EC3-B71E-F539F0647A1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FD4C580-EC77-4048-AC2B-2BD67560D2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39518047-B158-4835-92F8-EAC36AEE48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97311B7-08BF-42A8-ACEC-0D016FD3D57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0F041C-2D0D-4BAC-ACDD-966BB38494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FD4D835-662A-4596-8863-F9E128B03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5DCEF17B-C14E-47EA-AF5C-30EE46F71D9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CA8A7C0-DB2A-4BCE-8988-68C272C05D4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10A3017-8013-4BF0-B56E-544ABCD0260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A2E5C341-0FBD-4FBD-A30D-34D8094520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41FAE38C-A41A-46F2-AA04-7F38CF91F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486FF56-DA39-420A-9E58-7B3F931CC9E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313355F-B328-417E-8CC5-FCD157B1FE8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5BCD592-340E-492C-96BD-36C9FC5425A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A000981-BCC2-455D-92B1-84DD7DCCBD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F067BD92-CB62-48CA-9DD0-D7D774A4374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9B28062-6AFE-4011-AC68-49C6148E77A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6BBE398-A56C-48CA-BFC1-610BFA1F68D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16943D-B516-40D0-9F97-98CDF8795F4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13D749C9-5906-4CCA-B152-603DD1B861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11ACD35-E8D5-49D7-8A70-A0EE7F23870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3A3C7FF-69D9-458C-90FE-961D7820FC2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36C6BECF-838E-467B-9866-1751A3FA86A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48C437B6-5E45-41B7-A976-1F2FE4714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4B44EA52-C439-4105-8E19-92FF5E0EEE0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92DAE31-610C-4B7C-92D5-87E8242420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BC5A4F1F-083B-416F-92CC-4CB874426E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28D37E80-8382-43D6-89E4-90052E5CA7D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B672CC8-D710-48E5-AB41-49A38A9B5F3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44</xdr:row>
      <xdr:rowOff>276224</xdr:rowOff>
    </xdr:from>
    <xdr:to>
      <xdr:col>31</xdr:col>
      <xdr:colOff>603250</xdr:colOff>
      <xdr:row>59</xdr:row>
      <xdr:rowOff>69399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090FA51-49AF-4CA3-893F-A6307CD377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AF387249-FF27-4F30-987E-FC22E7B52B3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A32569C-9E75-463F-ACBE-CF56B22E1B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792D3384-2668-4564-822A-662D7C8E54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E13CE831-D300-49E1-8F9A-D08884AEE19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9E34F9B-964E-4D0D-A88C-FC65CFB8657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D160651-F549-4C3F-909F-ED55905A27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0F2A909-B6DE-424E-A030-5AE73C58F1F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973ED4A3-7329-4B47-96A7-1D4BAF08AB8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58E7A2BB-1E98-4723-BFA1-4F9AE593288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8646930-FD6D-4C3B-BCD4-B71CD49281A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E787FB74-CC8A-46EC-9323-5806E88426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A5AD1D5-6AEB-4429-B00D-A6CE4C8EDD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47625</xdr:colOff>
      <xdr:row>62</xdr:row>
      <xdr:rowOff>57150</xdr:rowOff>
    </xdr:from>
    <xdr:to>
      <xdr:col>24</xdr:col>
      <xdr:colOff>190500</xdr:colOff>
      <xdr:row>76</xdr:row>
      <xdr:rowOff>142875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F200170-D06E-4657-AE7F-2C965A096B3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24</xdr:col>
      <xdr:colOff>254001</xdr:colOff>
      <xdr:row>62</xdr:row>
      <xdr:rowOff>63502</xdr:rowOff>
    </xdr:from>
    <xdr:to>
      <xdr:col>31</xdr:col>
      <xdr:colOff>666750</xdr:colOff>
      <xdr:row>76</xdr:row>
      <xdr:rowOff>127000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D7BEA8A8-6B06-44C3-9B82-A3448FA4E5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C078940-D67E-4802-9FBB-4F55C4BD16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D0530FB7-75AB-4825-A797-D7AA75235DC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35A41DF-59D0-4AD7-92C6-E962F44A876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CCC58F1-3EDC-423C-B2A6-04BAD9A48C2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DBBFF5B-347F-438A-8A35-2E65D31C3D1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8A571D3F-AFC5-4A01-A84E-8CEB978B6B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86F93436-8CDE-45F1-868D-1F76FB4087E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F520AE7-EC71-4888-B58B-81185D1654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92A2E0E-4AE9-4466-BC9C-57638934825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D090FDE7-E4CB-4E22-B076-5707B6D0E8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F4AD34A0-4ABD-4539-AB95-A0B25A4F58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D73990A3-EB40-4A65-9507-E2A0F49D17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E3078063-06B0-4C57-8381-301B07C378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4096C3F-CC05-4533-A944-12E0A90C970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A82EA7F7-7ED0-4466-A41A-9E4F7CA51E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D05ED10C-2476-4BCE-8984-47C0B6FAA0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FDDE2E-EA38-4B4D-8F37-64E25CE883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A60D40-9565-4BE5-885C-69774B7BDB0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8DA518A-CF2C-4098-A02A-1FEED12B5F3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D7427E8-FCCB-4B05-902E-94004146B61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C457C5FA-4230-45D3-9BEA-5E77FB0BFD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30933819-0678-4844-93F6-365B817E199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02CCF32F-F899-4E8E-B169-C557ED0E33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0923289F-04AC-42EC-BEB0-F19B76801E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BC56928B-5F6F-4CA9-95A8-F399437D49C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FF91CBE-F1A9-4733-8633-AD10A781A09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C6E00A70-5769-4FF4-BE23-24F31F7307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6B68D07-B3D3-4201-B269-156425BE3DB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C49B6ACB-2E8A-4F79-8D8F-272D6FB94C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1D804CD-FF7D-4398-800E-A1697F34FDE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124A468D-B7E9-45D8-994D-4AB3845E96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B99EDFE-EFBB-4B74-9F4F-C15AA0D8AF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3769D03-56A4-48BA-B708-B148277AB3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2B164D1-D3A6-4F49-9915-40FB592F1B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3CE22DE1-2830-460C-AD37-672B9EDF9D5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F4B4FF9F-7500-457A-A8E0-459FE0B6B5B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0ABC7C4-EBC7-43FB-81F4-8FD3DD6945D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41605433-CB66-4379-9010-6F98A56B22C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9160004-F210-483C-B162-76455BE5213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11BE1DF2-A9D8-4961-907D-55040170AD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B691F47-86A4-4229-906C-ECE96BF798D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DDFCDC9-1F96-4F74-B537-4F2AFC05E93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5EF5D29-A47E-4AF8-85B3-1374B4F6A7C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CABD53E-2D47-4AB7-9914-01C65DBFFA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70D1C830-FF5D-4624-ABBF-4B163D9A5D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FCDC906-6885-45D8-83E7-FFBB67A6322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EE1C5C6E-100B-42E3-92B6-502B45D5AB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A8EE9ABE-75B0-4BCE-B434-CB5CBADB77B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19961</xdr:colOff>
      <xdr:row>31</xdr:row>
      <xdr:rowOff>22224</xdr:rowOff>
    </xdr:from>
    <xdr:to>
      <xdr:col>24</xdr:col>
      <xdr:colOff>460376</xdr:colOff>
      <xdr:row>45</xdr:row>
      <xdr:rowOff>101149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4D07F7-A505-4739-B386-7B6D7DD0896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60BBC979-15AA-4A11-9224-18E0E7CF6E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B8E3D4-7E5F-418C-BBAF-8F5F6270B8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D05A13E-1128-4A13-B522-6EF66121EE1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207A79A5-DE2C-43B6-93E8-029BEE79CCC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6335A27C-6117-4ADE-BAD3-8B5E13539C0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E099A6C3-B976-4FB8-8A58-5E45F6D0F1B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8EA27B75-11E2-47C3-92D0-E1274591C96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2DE68A34-6B83-4CE1-B89D-93C3D05F7CEA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AA6CD2C4-2193-49F0-A361-74A7AAA2905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89D090DF-78EB-40DF-8A6D-54E8002AB20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8CC2D505-B814-4153-9006-3734F691216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849053B-C2A2-4B10-B63A-9FD0112A14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24</xdr:col>
      <xdr:colOff>508000</xdr:colOff>
      <xdr:row>31</xdr:row>
      <xdr:rowOff>9525</xdr:rowOff>
    </xdr:from>
    <xdr:to>
      <xdr:col>31</xdr:col>
      <xdr:colOff>682624</xdr:colOff>
      <xdr:row>45</xdr:row>
      <xdr:rowOff>95250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F75497C2-F34C-49E6-A4E9-41E13AD164E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32</xdr:col>
      <xdr:colOff>285750</xdr:colOff>
      <xdr:row>42</xdr:row>
      <xdr:rowOff>239711</xdr:rowOff>
    </xdr:from>
    <xdr:to>
      <xdr:col>40</xdr:col>
      <xdr:colOff>31750</xdr:colOff>
      <xdr:row>59</xdr:row>
      <xdr:rowOff>63500</xdr:rowOff>
    </xdr:to>
    <xdr:graphicFrame macro="">
      <xdr:nvGraphicFramePr>
        <xdr:cNvPr id="16" name="Chart 15">
          <a:extLst>
            <a:ext uri="{FF2B5EF4-FFF2-40B4-BE49-F238E27FC236}">
              <a16:creationId xmlns:a16="http://schemas.microsoft.com/office/drawing/2014/main" id="{944922A7-8790-46BB-B71A-6BD4B4C9DF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24</xdr:col>
      <xdr:colOff>508000</xdr:colOff>
      <xdr:row>45</xdr:row>
      <xdr:rowOff>142875</xdr:rowOff>
    </xdr:from>
    <xdr:to>
      <xdr:col>31</xdr:col>
      <xdr:colOff>682624</xdr:colOff>
      <xdr:row>59</xdr:row>
      <xdr:rowOff>228600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7F0904D3-4B8A-474B-86E5-F1190B2850C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15874</xdr:colOff>
      <xdr:row>42</xdr:row>
      <xdr:rowOff>276224</xdr:rowOff>
    </xdr:from>
    <xdr:to>
      <xdr:col>27</xdr:col>
      <xdr:colOff>698499</xdr:colOff>
      <xdr:row>59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06C45E2-77C7-4510-884F-FEF0715DDB6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219AEE80-7130-4FE5-8DCD-05DF10B8C22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3E1E659-91F2-4594-978C-33DD6417A5B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82B73A80-E2E3-4174-B73D-D61B63E6008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7E46CF73-4595-47F7-B47F-2B24A9AA94D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7AF59A5-69EA-4554-923B-279A64D6C4C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400AE0E0-9A4F-45E2-BBB2-010A32C6E97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47AD0C11-87DE-4860-AEB0-7F2EB944A61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DB53AA64-9B63-48C4-86C6-C93F9474598C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FA31503D-49F8-4886-9D79-D1CF7783162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D89B662C-1BD4-43B0-ACB7-D5C2088AE053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C2C04AF1-D698-4B62-BF42-BE1F9D58FB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906F0358-DE0D-42DF-9D85-A89ACE83399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</xdr:colOff>
      <xdr:row>60</xdr:row>
      <xdr:rowOff>15875</xdr:rowOff>
    </xdr:from>
    <xdr:to>
      <xdr:col>23</xdr:col>
      <xdr:colOff>15875</xdr:colOff>
      <xdr:row>73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872B518F-3318-457A-AD2F-F257EB81D5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60</xdr:row>
      <xdr:rowOff>0</xdr:rowOff>
    </xdr:from>
    <xdr:to>
      <xdr:col>31</xdr:col>
      <xdr:colOff>1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F07B1E9E-4942-4AD4-98C8-E1AF8366002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19960</xdr:colOff>
      <xdr:row>43</xdr:row>
      <xdr:rowOff>15876</xdr:rowOff>
    </xdr:from>
    <xdr:to>
      <xdr:col>27</xdr:col>
      <xdr:colOff>698499</xdr:colOff>
      <xdr:row>59</xdr:row>
      <xdr:rowOff>31750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0B270C2-815D-4851-AC3C-4EA46B2C64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1A68EABE-F73F-486D-BB3C-58052251225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F9A39479-5D94-439F-AAAE-4B1288B89B1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A639D45-A3C5-49D6-8FD7-337DBA87034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A32685D6-892C-43F5-AFA8-62F9167E79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B110D7-9219-4421-AE6E-5DABBB7FCC3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C9CC16-C5B8-4879-9435-5E3796BA4AE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A9D0DABC-8D47-4952-A548-79AF3DF1FA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AF999087-E9AB-4F93-B9EF-BE24ADD193A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963AAD9-4121-45A3-93F6-094DAF14FE6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9B7D99CA-796E-4A36-B9D3-FD180F1A83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1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7C936931-6EFD-4A74-AEA9-47EEB365E2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200DC7B-A120-4F30-A5FF-185ED29C03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15875</xdr:colOff>
      <xdr:row>60</xdr:row>
      <xdr:rowOff>15875</xdr:rowOff>
    </xdr:from>
    <xdr:to>
      <xdr:col>23</xdr:col>
      <xdr:colOff>0</xdr:colOff>
      <xdr:row>73</xdr:row>
      <xdr:rowOff>47625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57033F9A-A642-43E1-B688-5FBA3AD22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23</xdr:col>
      <xdr:colOff>698501</xdr:colOff>
      <xdr:row>60</xdr:row>
      <xdr:rowOff>0</xdr:rowOff>
    </xdr:from>
    <xdr:to>
      <xdr:col>31</xdr:col>
      <xdr:colOff>15875</xdr:colOff>
      <xdr:row>72</xdr:row>
      <xdr:rowOff>269875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0288892E-53EA-4DAD-967C-F738DF767C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0</xdr:colOff>
      <xdr:row>7</xdr:row>
      <xdr:rowOff>140381</xdr:rowOff>
    </xdr:from>
    <xdr:to>
      <xdr:col>3</xdr:col>
      <xdr:colOff>32576</xdr:colOff>
      <xdr:row>7</xdr:row>
      <xdr:rowOff>541104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092412C-BA1C-4D34-B971-DE0C2104536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514475" y="1969181"/>
          <a:ext cx="766001" cy="400723"/>
        </a:xfrm>
        <a:prstGeom prst="rect">
          <a:avLst/>
        </a:prstGeom>
        <a:noFill/>
      </xdr:spPr>
    </xdr:pic>
    <xdr:clientData/>
  </xdr:twoCellAnchor>
  <xdr:twoCellAnchor>
    <xdr:from>
      <xdr:col>3</xdr:col>
      <xdr:colOff>50386</xdr:colOff>
      <xdr:row>7</xdr:row>
      <xdr:rowOff>137212</xdr:rowOff>
    </xdr:from>
    <xdr:to>
      <xdr:col>3</xdr:col>
      <xdr:colOff>838541</xdr:colOff>
      <xdr:row>7</xdr:row>
      <xdr:rowOff>537935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213F6493-22B5-43D3-89E3-9CBBD5F672E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/>
        <a:srcRect/>
        <a:stretch>
          <a:fillRect/>
        </a:stretch>
      </xdr:blipFill>
      <xdr:spPr bwMode="auto">
        <a:xfrm>
          <a:off x="2298286" y="1966012"/>
          <a:ext cx="788155" cy="400723"/>
        </a:xfrm>
        <a:prstGeom prst="rect">
          <a:avLst/>
        </a:prstGeom>
        <a:noFill/>
      </xdr:spPr>
    </xdr:pic>
    <xdr:clientData/>
  </xdr:twoCellAnchor>
  <xdr:twoCellAnchor>
    <xdr:from>
      <xdr:col>5</xdr:col>
      <xdr:colOff>91650</xdr:colOff>
      <xdr:row>7</xdr:row>
      <xdr:rowOff>153989</xdr:rowOff>
    </xdr:from>
    <xdr:to>
      <xdr:col>5</xdr:col>
      <xdr:colOff>795912</xdr:colOff>
      <xdr:row>7</xdr:row>
      <xdr:rowOff>554712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66A6F653-AFF5-4987-B236-C85A1CE131E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3" cstate="print"/>
        <a:srcRect/>
        <a:stretch>
          <a:fillRect/>
        </a:stretch>
      </xdr:blipFill>
      <xdr:spPr bwMode="auto">
        <a:xfrm>
          <a:off x="4206450" y="1982789"/>
          <a:ext cx="704262" cy="400723"/>
        </a:xfrm>
        <a:prstGeom prst="rect">
          <a:avLst/>
        </a:prstGeom>
        <a:noFill/>
      </xdr:spPr>
    </xdr:pic>
    <xdr:clientData/>
  </xdr:twoCellAnchor>
  <xdr:twoCellAnchor>
    <xdr:from>
      <xdr:col>7</xdr:col>
      <xdr:colOff>122163</xdr:colOff>
      <xdr:row>7</xdr:row>
      <xdr:rowOff>158410</xdr:rowOff>
    </xdr:from>
    <xdr:to>
      <xdr:col>7</xdr:col>
      <xdr:colOff>829350</xdr:colOff>
      <xdr:row>7</xdr:row>
      <xdr:rowOff>539836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BB621B9F-62A3-4E5A-AFD4-DC12703D4B0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4" cstate="print"/>
        <a:srcRect/>
        <a:stretch>
          <a:fillRect/>
        </a:stretch>
      </xdr:blipFill>
      <xdr:spPr bwMode="auto">
        <a:xfrm>
          <a:off x="5808588" y="1987210"/>
          <a:ext cx="707187" cy="381426"/>
        </a:xfrm>
        <a:prstGeom prst="rect">
          <a:avLst/>
        </a:prstGeom>
        <a:noFill/>
      </xdr:spPr>
    </xdr:pic>
    <xdr:clientData/>
  </xdr:twoCellAnchor>
  <xdr:twoCellAnchor>
    <xdr:from>
      <xdr:col>8</xdr:col>
      <xdr:colOff>58676</xdr:colOff>
      <xdr:row>7</xdr:row>
      <xdr:rowOff>203312</xdr:rowOff>
    </xdr:from>
    <xdr:to>
      <xdr:col>8</xdr:col>
      <xdr:colOff>663705</xdr:colOff>
      <xdr:row>7</xdr:row>
      <xdr:rowOff>544285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2AE15982-C002-4BDF-96C3-22A45DA5C7B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5" cstate="print"/>
        <a:srcRect/>
        <a:stretch>
          <a:fillRect/>
        </a:stretch>
      </xdr:blipFill>
      <xdr:spPr bwMode="auto">
        <a:xfrm>
          <a:off x="6649976" y="2032112"/>
          <a:ext cx="605029" cy="340973"/>
        </a:xfrm>
        <a:prstGeom prst="rect">
          <a:avLst/>
        </a:prstGeom>
        <a:noFill/>
      </xdr:spPr>
    </xdr:pic>
    <xdr:clientData/>
  </xdr:twoCellAnchor>
  <xdr:twoCellAnchor>
    <xdr:from>
      <xdr:col>9</xdr:col>
      <xdr:colOff>26970</xdr:colOff>
      <xdr:row>7</xdr:row>
      <xdr:rowOff>168503</xdr:rowOff>
    </xdr:from>
    <xdr:to>
      <xdr:col>9</xdr:col>
      <xdr:colOff>724344</xdr:colOff>
      <xdr:row>7</xdr:row>
      <xdr:rowOff>544287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B3C3AB7B-75D5-418A-958E-EACBF65A125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6" cstate="print"/>
        <a:srcRect/>
        <a:stretch>
          <a:fillRect/>
        </a:stretch>
      </xdr:blipFill>
      <xdr:spPr bwMode="auto">
        <a:xfrm>
          <a:off x="7351695" y="1997303"/>
          <a:ext cx="697374" cy="375784"/>
        </a:xfrm>
        <a:prstGeom prst="rect">
          <a:avLst/>
        </a:prstGeom>
        <a:noFill/>
      </xdr:spPr>
    </xdr:pic>
    <xdr:clientData/>
  </xdr:twoCellAnchor>
  <xdr:twoCellAnchor>
    <xdr:from>
      <xdr:col>10</xdr:col>
      <xdr:colOff>32040</xdr:colOff>
      <xdr:row>7</xdr:row>
      <xdr:rowOff>141287</xdr:rowOff>
    </xdr:from>
    <xdr:to>
      <xdr:col>10</xdr:col>
      <xdr:colOff>680357</xdr:colOff>
      <xdr:row>7</xdr:row>
      <xdr:rowOff>557892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60CF7CE4-A85A-4C22-9DC3-589350809846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7" cstate="print"/>
        <a:srcRect/>
        <a:stretch>
          <a:fillRect/>
        </a:stretch>
      </xdr:blipFill>
      <xdr:spPr bwMode="auto">
        <a:xfrm>
          <a:off x="8223540" y="1970087"/>
          <a:ext cx="648317" cy="416605"/>
        </a:xfrm>
        <a:prstGeom prst="rect">
          <a:avLst/>
        </a:prstGeom>
        <a:noFill/>
      </xdr:spPr>
    </xdr:pic>
    <xdr:clientData/>
  </xdr:twoCellAnchor>
  <xdr:twoCellAnchor>
    <xdr:from>
      <xdr:col>12</xdr:col>
      <xdr:colOff>32780</xdr:colOff>
      <xdr:row>7</xdr:row>
      <xdr:rowOff>113164</xdr:rowOff>
    </xdr:from>
    <xdr:to>
      <xdr:col>12</xdr:col>
      <xdr:colOff>625930</xdr:colOff>
      <xdr:row>7</xdr:row>
      <xdr:rowOff>513887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E90AC934-2ABE-477D-8A15-38EFC0941562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8" cstate="print"/>
        <a:srcRect/>
        <a:stretch>
          <a:fillRect/>
        </a:stretch>
      </xdr:blipFill>
      <xdr:spPr bwMode="auto">
        <a:xfrm>
          <a:off x="9691130" y="1941964"/>
          <a:ext cx="593150" cy="400723"/>
        </a:xfrm>
        <a:prstGeom prst="rect">
          <a:avLst/>
        </a:prstGeom>
        <a:noFill/>
      </xdr:spPr>
    </xdr:pic>
    <xdr:clientData/>
  </xdr:twoCellAnchor>
  <xdr:twoCellAnchor>
    <xdr:from>
      <xdr:col>6</xdr:col>
      <xdr:colOff>89454</xdr:colOff>
      <xdr:row>7</xdr:row>
      <xdr:rowOff>159843</xdr:rowOff>
    </xdr:from>
    <xdr:to>
      <xdr:col>6</xdr:col>
      <xdr:colOff>694305</xdr:colOff>
      <xdr:row>7</xdr:row>
      <xdr:rowOff>519374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2E53BA24-BE44-430F-9803-6A8B6CB29FB7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9" cstate="print"/>
        <a:srcRect/>
        <a:stretch>
          <a:fillRect/>
        </a:stretch>
      </xdr:blipFill>
      <xdr:spPr bwMode="auto">
        <a:xfrm>
          <a:off x="5042454" y="1988643"/>
          <a:ext cx="604851" cy="359531"/>
        </a:xfrm>
        <a:prstGeom prst="rect">
          <a:avLst/>
        </a:prstGeom>
        <a:noFill/>
      </xdr:spPr>
    </xdr:pic>
    <xdr:clientData/>
  </xdr:twoCellAnchor>
  <xdr:twoCellAnchor>
    <xdr:from>
      <xdr:col>11</xdr:col>
      <xdr:colOff>53309</xdr:colOff>
      <xdr:row>7</xdr:row>
      <xdr:rowOff>113165</xdr:rowOff>
    </xdr:from>
    <xdr:to>
      <xdr:col>11</xdr:col>
      <xdr:colOff>653143</xdr:colOff>
      <xdr:row>7</xdr:row>
      <xdr:rowOff>513888</xdr:rowOff>
    </xdr:to>
    <xdr:pic>
      <xdr:nvPicPr>
        <xdr:cNvPr id="12" name="Picture 4">
          <a:extLst>
            <a:ext uri="{FF2B5EF4-FFF2-40B4-BE49-F238E27FC236}">
              <a16:creationId xmlns:a16="http://schemas.microsoft.com/office/drawing/2014/main" id="{11BA8E67-A1DD-42EA-85BC-CB4649F507C1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0" cstate="print"/>
        <a:srcRect/>
        <a:stretch>
          <a:fillRect/>
        </a:stretch>
      </xdr:blipFill>
      <xdr:spPr bwMode="auto">
        <a:xfrm>
          <a:off x="8978234" y="1941965"/>
          <a:ext cx="599834" cy="400723"/>
        </a:xfrm>
        <a:prstGeom prst="rect">
          <a:avLst/>
        </a:prstGeom>
        <a:noFill/>
      </xdr:spPr>
    </xdr:pic>
    <xdr:clientData/>
  </xdr:twoCellAnchor>
  <xdr:twoCellAnchor editAs="oneCell">
    <xdr:from>
      <xdr:col>4</xdr:col>
      <xdr:colOff>134598</xdr:colOff>
      <xdr:row>7</xdr:row>
      <xdr:rowOff>133350</xdr:rowOff>
    </xdr:from>
    <xdr:to>
      <xdr:col>4</xdr:col>
      <xdr:colOff>874373</xdr:colOff>
      <xdr:row>7</xdr:row>
      <xdr:rowOff>527050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FAA7FF40-C1FE-4D4D-88B0-F8E6F921362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xfrm>
          <a:off x="3344523" y="1962150"/>
          <a:ext cx="739775" cy="393700"/>
        </a:xfrm>
        <a:prstGeom prst="rect">
          <a:avLst/>
        </a:prstGeom>
      </xdr:spPr>
    </xdr:pic>
    <xdr:clientData/>
  </xdr:twoCellAnchor>
  <xdr:twoCellAnchor editAs="oneCell">
    <xdr:from>
      <xdr:col>13</xdr:col>
      <xdr:colOff>26648</xdr:colOff>
      <xdr:row>7</xdr:row>
      <xdr:rowOff>81643</xdr:rowOff>
    </xdr:from>
    <xdr:to>
      <xdr:col>13</xdr:col>
      <xdr:colOff>680358</xdr:colOff>
      <xdr:row>7</xdr:row>
      <xdr:rowOff>564242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165D294B-6A53-4A12-9BC4-B2A9462DB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xfrm>
          <a:off x="10418423" y="1910443"/>
          <a:ext cx="653710" cy="482599"/>
        </a:xfrm>
        <a:prstGeom prst="rect">
          <a:avLst/>
        </a:prstGeom>
      </xdr:spPr>
    </xdr:pic>
    <xdr:clientData/>
  </xdr:twoCellAnchor>
  <xdr:twoCellAnchor>
    <xdr:from>
      <xdr:col>17</xdr:col>
      <xdr:colOff>0</xdr:colOff>
      <xdr:row>59</xdr:row>
      <xdr:rowOff>9525</xdr:rowOff>
    </xdr:from>
    <xdr:to>
      <xdr:col>23</xdr:col>
      <xdr:colOff>619125</xdr:colOff>
      <xdr:row>75</xdr:row>
      <xdr:rowOff>31750</xdr:rowOff>
    </xdr:to>
    <xdr:graphicFrame macro="">
      <xdr:nvGraphicFramePr>
        <xdr:cNvPr id="15" name="Chart 14">
          <a:extLst>
            <a:ext uri="{FF2B5EF4-FFF2-40B4-BE49-F238E27FC236}">
              <a16:creationId xmlns:a16="http://schemas.microsoft.com/office/drawing/2014/main" id="{9829EB85-A50A-4379-94F7-6C2E31DC19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17</xdr:col>
      <xdr:colOff>0</xdr:colOff>
      <xdr:row>75</xdr:row>
      <xdr:rowOff>47625</xdr:rowOff>
    </xdr:from>
    <xdr:to>
      <xdr:col>23</xdr:col>
      <xdr:colOff>634999</xdr:colOff>
      <xdr:row>91</xdr:row>
      <xdr:rowOff>63500</xdr:rowOff>
    </xdr:to>
    <xdr:graphicFrame macro="">
      <xdr:nvGraphicFramePr>
        <xdr:cNvPr id="17" name="Chart 16">
          <a:extLst>
            <a:ext uri="{FF2B5EF4-FFF2-40B4-BE49-F238E27FC236}">
              <a16:creationId xmlns:a16="http://schemas.microsoft.com/office/drawing/2014/main" id="{603DD9D7-E468-486E-B0CF-46B1770E47D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17</xdr:col>
      <xdr:colOff>1</xdr:colOff>
      <xdr:row>43</xdr:row>
      <xdr:rowOff>0</xdr:rowOff>
    </xdr:from>
    <xdr:to>
      <xdr:col>28</xdr:col>
      <xdr:colOff>15876</xdr:colOff>
      <xdr:row>59</xdr:row>
      <xdr:rowOff>15875</xdr:rowOff>
    </xdr:to>
    <xdr:graphicFrame macro="">
      <xdr:nvGraphicFramePr>
        <xdr:cNvPr id="18" name="Chart 17">
          <a:extLst>
            <a:ext uri="{FF2B5EF4-FFF2-40B4-BE49-F238E27FC236}">
              <a16:creationId xmlns:a16="http://schemas.microsoft.com/office/drawing/2014/main" id="{1F3C755B-FA06-4641-8226-864954F6E96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23</xdr:col>
      <xdr:colOff>635000</xdr:colOff>
      <xdr:row>59</xdr:row>
      <xdr:rowOff>31750</xdr:rowOff>
    </xdr:from>
    <xdr:to>
      <xdr:col>30</xdr:col>
      <xdr:colOff>619125</xdr:colOff>
      <xdr:row>75</xdr:row>
      <xdr:rowOff>30163</xdr:rowOff>
    </xdr:to>
    <xdr:graphicFrame macro="">
      <xdr:nvGraphicFramePr>
        <xdr:cNvPr id="19" name="Chart 18">
          <a:extLst>
            <a:ext uri="{FF2B5EF4-FFF2-40B4-BE49-F238E27FC236}">
              <a16:creationId xmlns:a16="http://schemas.microsoft.com/office/drawing/2014/main" id="{23627A04-1E0E-4C3A-8B25-FA92ABCB63C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  <xdr:twoCellAnchor>
    <xdr:from>
      <xdr:col>23</xdr:col>
      <xdr:colOff>650875</xdr:colOff>
      <xdr:row>75</xdr:row>
      <xdr:rowOff>47625</xdr:rowOff>
    </xdr:from>
    <xdr:to>
      <xdr:col>30</xdr:col>
      <xdr:colOff>635000</xdr:colOff>
      <xdr:row>91</xdr:row>
      <xdr:rowOff>61913</xdr:rowOff>
    </xdr:to>
    <xdr:graphicFrame macro="">
      <xdr:nvGraphicFramePr>
        <xdr:cNvPr id="20" name="Chart 19">
          <a:extLst>
            <a:ext uri="{FF2B5EF4-FFF2-40B4-BE49-F238E27FC236}">
              <a16:creationId xmlns:a16="http://schemas.microsoft.com/office/drawing/2014/main" id="{7CD2BF54-C297-4A9B-8975-0C4CE3D1A65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C3" sqref="C3:G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1" t="s">
        <v>96</v>
      </c>
      <c r="C3" s="57" t="s">
        <v>176</v>
      </c>
      <c r="D3" s="57"/>
      <c r="E3" s="57"/>
      <c r="F3" s="57"/>
      <c r="G3" s="57"/>
      <c r="H3" s="21"/>
      <c r="I3" s="21"/>
      <c r="J3" s="21"/>
      <c r="K3" s="21"/>
      <c r="L3" s="21"/>
      <c r="M3" s="21"/>
      <c r="N3" s="21"/>
      <c r="O3" s="21"/>
      <c r="P3" s="21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167</v>
      </c>
      <c r="E5" s="3"/>
      <c r="F5" s="41" t="s">
        <v>1</v>
      </c>
      <c r="G5" s="52" t="s">
        <v>165</v>
      </c>
      <c r="H5" s="53"/>
      <c r="I5" s="14"/>
      <c r="J5" s="2" t="s">
        <v>5</v>
      </c>
      <c r="K5" s="52" t="s">
        <v>166</v>
      </c>
      <c r="L5" s="53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163</v>
      </c>
      <c r="E6" s="53"/>
      <c r="F6" s="2" t="s">
        <v>2</v>
      </c>
      <c r="G6" s="52" t="s">
        <v>164</v>
      </c>
      <c r="H6" s="53"/>
      <c r="J6" s="2" t="s">
        <v>21</v>
      </c>
      <c r="K6" s="52" t="s">
        <v>168</v>
      </c>
      <c r="L6" s="53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8</v>
      </c>
      <c r="E10" s="50">
        <v>1</v>
      </c>
      <c r="F10" s="50">
        <v>4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40</v>
      </c>
      <c r="N10" s="50">
        <v>0</v>
      </c>
      <c r="O10" s="15">
        <f t="shared" ref="O10:O57" si="0">SUM(C10:L10,N10)</f>
        <v>19</v>
      </c>
      <c r="P10" s="15">
        <f t="shared" ref="P10:P57" si="1">SUM(C10:N10)</f>
        <v>59</v>
      </c>
      <c r="R10" s="1" t="s">
        <v>6</v>
      </c>
      <c r="S10" s="17">
        <f t="shared" ref="S10:AF10" si="2">SUM(C10:C13)</f>
        <v>12</v>
      </c>
      <c r="T10" s="17">
        <f t="shared" si="2"/>
        <v>12</v>
      </c>
      <c r="U10" s="17">
        <f t="shared" si="2"/>
        <v>8</v>
      </c>
      <c r="V10" s="17">
        <f t="shared" si="2"/>
        <v>23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255</v>
      </c>
      <c r="AD10" s="17">
        <f t="shared" si="2"/>
        <v>0</v>
      </c>
      <c r="AE10" s="31">
        <f t="shared" si="2"/>
        <v>63</v>
      </c>
      <c r="AF10" s="31">
        <f t="shared" si="2"/>
        <v>318</v>
      </c>
    </row>
    <row r="11" spans="2:32" s="6" customFormat="1" ht="23.1" customHeight="1" x14ac:dyDescent="0.25">
      <c r="B11" s="23" t="s">
        <v>38</v>
      </c>
      <c r="C11" s="50">
        <v>4</v>
      </c>
      <c r="D11" s="50">
        <v>0</v>
      </c>
      <c r="E11" s="50">
        <v>3</v>
      </c>
      <c r="F11" s="50">
        <v>5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55</v>
      </c>
      <c r="N11" s="50">
        <v>0</v>
      </c>
      <c r="O11" s="15">
        <f t="shared" si="0"/>
        <v>12</v>
      </c>
      <c r="P11" s="15">
        <f t="shared" si="1"/>
        <v>67</v>
      </c>
      <c r="R11" s="1" t="s">
        <v>7</v>
      </c>
      <c r="S11" s="17">
        <f t="shared" ref="S11:AF11" si="3">SUM(C14:C17)</f>
        <v>14</v>
      </c>
      <c r="T11" s="17">
        <f t="shared" si="3"/>
        <v>19</v>
      </c>
      <c r="U11" s="17">
        <f t="shared" si="3"/>
        <v>10</v>
      </c>
      <c r="V11" s="17">
        <f t="shared" si="3"/>
        <v>12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180</v>
      </c>
      <c r="AD11" s="17">
        <f t="shared" si="3"/>
        <v>1</v>
      </c>
      <c r="AE11" s="31">
        <f t="shared" si="3"/>
        <v>64</v>
      </c>
      <c r="AF11" s="31">
        <f t="shared" si="3"/>
        <v>244</v>
      </c>
    </row>
    <row r="12" spans="2:32" ht="23.1" customHeight="1" x14ac:dyDescent="0.25">
      <c r="B12" s="23" t="s">
        <v>39</v>
      </c>
      <c r="C12" s="50">
        <v>2</v>
      </c>
      <c r="D12" s="50">
        <v>2</v>
      </c>
      <c r="E12" s="50">
        <v>3</v>
      </c>
      <c r="F12" s="50">
        <v>9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80</v>
      </c>
      <c r="N12" s="50">
        <v>0</v>
      </c>
      <c r="O12" s="15">
        <f t="shared" si="0"/>
        <v>19</v>
      </c>
      <c r="P12" s="15">
        <f t="shared" si="1"/>
        <v>99</v>
      </c>
      <c r="R12" s="1" t="s">
        <v>8</v>
      </c>
      <c r="S12" s="17">
        <f t="shared" ref="S12:AF12" si="4">SUM(C18:C21)</f>
        <v>14</v>
      </c>
      <c r="T12" s="17">
        <f t="shared" si="4"/>
        <v>3</v>
      </c>
      <c r="U12" s="17">
        <f t="shared" si="4"/>
        <v>6</v>
      </c>
      <c r="V12" s="17">
        <f t="shared" si="4"/>
        <v>4</v>
      </c>
      <c r="W12" s="17">
        <f t="shared" si="4"/>
        <v>0</v>
      </c>
      <c r="X12" s="17">
        <f t="shared" si="4"/>
        <v>0</v>
      </c>
      <c r="Y12" s="17">
        <f t="shared" si="4"/>
        <v>15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260</v>
      </c>
      <c r="AD12" s="17">
        <f t="shared" si="4"/>
        <v>1</v>
      </c>
      <c r="AE12" s="31">
        <f t="shared" si="4"/>
        <v>45</v>
      </c>
      <c r="AF12" s="31">
        <f t="shared" si="4"/>
        <v>305</v>
      </c>
    </row>
    <row r="13" spans="2:32" ht="23.1" customHeight="1" x14ac:dyDescent="0.25">
      <c r="B13" s="23" t="s">
        <v>40</v>
      </c>
      <c r="C13" s="50">
        <v>3</v>
      </c>
      <c r="D13" s="50">
        <v>2</v>
      </c>
      <c r="E13" s="50">
        <v>1</v>
      </c>
      <c r="F13" s="50">
        <v>5</v>
      </c>
      <c r="G13" s="50">
        <v>0</v>
      </c>
      <c r="H13" s="50">
        <v>0</v>
      </c>
      <c r="I13" s="50">
        <v>2</v>
      </c>
      <c r="J13" s="50">
        <v>0</v>
      </c>
      <c r="K13" s="50">
        <v>0</v>
      </c>
      <c r="L13" s="50">
        <v>0</v>
      </c>
      <c r="M13" s="50">
        <v>80</v>
      </c>
      <c r="N13" s="50">
        <v>0</v>
      </c>
      <c r="O13" s="15">
        <f t="shared" si="0"/>
        <v>13</v>
      </c>
      <c r="P13" s="15">
        <f t="shared" si="1"/>
        <v>93</v>
      </c>
      <c r="R13" s="1" t="s">
        <v>9</v>
      </c>
      <c r="S13" s="17">
        <f t="shared" ref="S13:AF13" si="5">SUM(C22:C25)</f>
        <v>14</v>
      </c>
      <c r="T13" s="17">
        <f t="shared" si="5"/>
        <v>11</v>
      </c>
      <c r="U13" s="17">
        <f t="shared" si="5"/>
        <v>6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5</v>
      </c>
      <c r="AA13" s="17">
        <f t="shared" si="5"/>
        <v>0</v>
      </c>
      <c r="AB13" s="17">
        <f t="shared" si="5"/>
        <v>0</v>
      </c>
      <c r="AC13" s="17">
        <f t="shared" si="5"/>
        <v>361</v>
      </c>
      <c r="AD13" s="17">
        <f t="shared" si="5"/>
        <v>0</v>
      </c>
      <c r="AE13" s="31">
        <f t="shared" si="5"/>
        <v>55</v>
      </c>
      <c r="AF13" s="31">
        <f t="shared" si="5"/>
        <v>416</v>
      </c>
    </row>
    <row r="14" spans="2:32" ht="23.1" customHeight="1" x14ac:dyDescent="0.25">
      <c r="B14" s="23" t="s">
        <v>41</v>
      </c>
      <c r="C14" s="50">
        <v>4</v>
      </c>
      <c r="D14" s="50">
        <v>9</v>
      </c>
      <c r="E14" s="50">
        <v>3</v>
      </c>
      <c r="F14" s="50">
        <v>7</v>
      </c>
      <c r="G14" s="50">
        <v>0</v>
      </c>
      <c r="H14" s="50">
        <v>0</v>
      </c>
      <c r="I14" s="50">
        <v>3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26</v>
      </c>
      <c r="P14" s="15">
        <f t="shared" si="1"/>
        <v>30</v>
      </c>
      <c r="R14" s="1" t="s">
        <v>10</v>
      </c>
      <c r="S14" s="17">
        <f t="shared" ref="S14:AF14" si="6">SUM(C26:C29)</f>
        <v>11</v>
      </c>
      <c r="T14" s="17">
        <f t="shared" si="6"/>
        <v>8</v>
      </c>
      <c r="U14" s="17">
        <f t="shared" si="6"/>
        <v>8</v>
      </c>
      <c r="V14" s="17">
        <f t="shared" si="6"/>
        <v>3</v>
      </c>
      <c r="W14" s="17">
        <f t="shared" si="6"/>
        <v>0</v>
      </c>
      <c r="X14" s="17">
        <f t="shared" si="6"/>
        <v>0</v>
      </c>
      <c r="Y14" s="17">
        <f t="shared" si="6"/>
        <v>6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390</v>
      </c>
      <c r="AD14" s="17">
        <f t="shared" si="6"/>
        <v>0</v>
      </c>
      <c r="AE14" s="31">
        <f t="shared" si="6"/>
        <v>40</v>
      </c>
      <c r="AF14" s="31">
        <f t="shared" si="6"/>
        <v>430</v>
      </c>
    </row>
    <row r="15" spans="2:32" ht="23.1" customHeight="1" x14ac:dyDescent="0.25">
      <c r="B15" s="23" t="s">
        <v>42</v>
      </c>
      <c r="C15" s="50">
        <v>2</v>
      </c>
      <c r="D15" s="50">
        <v>4</v>
      </c>
      <c r="E15" s="50">
        <v>5</v>
      </c>
      <c r="F15" s="50">
        <v>0</v>
      </c>
      <c r="G15" s="50">
        <v>0</v>
      </c>
      <c r="H15" s="50">
        <v>0</v>
      </c>
      <c r="I15" s="50">
        <v>3</v>
      </c>
      <c r="J15" s="50">
        <v>0</v>
      </c>
      <c r="K15" s="50">
        <v>0</v>
      </c>
      <c r="L15" s="50">
        <v>0</v>
      </c>
      <c r="M15" s="50">
        <v>40</v>
      </c>
      <c r="N15" s="50">
        <v>0</v>
      </c>
      <c r="O15" s="15">
        <f t="shared" si="0"/>
        <v>14</v>
      </c>
      <c r="P15" s="15">
        <f t="shared" si="1"/>
        <v>54</v>
      </c>
      <c r="R15" s="1" t="s">
        <v>11</v>
      </c>
      <c r="S15" s="17">
        <f t="shared" ref="S15:AF15" si="7">SUM(C30:C33)</f>
        <v>13</v>
      </c>
      <c r="T15" s="17">
        <f t="shared" si="7"/>
        <v>6</v>
      </c>
      <c r="U15" s="17">
        <f t="shared" si="7"/>
        <v>5</v>
      </c>
      <c r="V15" s="17">
        <f t="shared" si="7"/>
        <v>5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2</v>
      </c>
      <c r="AA15" s="17">
        <f t="shared" si="7"/>
        <v>0</v>
      </c>
      <c r="AB15" s="17">
        <f t="shared" si="7"/>
        <v>0</v>
      </c>
      <c r="AC15" s="17">
        <f t="shared" si="7"/>
        <v>370</v>
      </c>
      <c r="AD15" s="17">
        <f t="shared" si="7"/>
        <v>0</v>
      </c>
      <c r="AE15" s="31">
        <f t="shared" si="7"/>
        <v>37</v>
      </c>
      <c r="AF15" s="31">
        <f t="shared" si="7"/>
        <v>407</v>
      </c>
    </row>
    <row r="16" spans="2:32" ht="23.1" customHeight="1" x14ac:dyDescent="0.25">
      <c r="B16" s="23" t="s">
        <v>43</v>
      </c>
      <c r="C16" s="50">
        <v>4</v>
      </c>
      <c r="D16" s="50">
        <v>6</v>
      </c>
      <c r="E16" s="50">
        <v>1</v>
      </c>
      <c r="F16" s="50">
        <v>3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55</v>
      </c>
      <c r="N16" s="50">
        <v>1</v>
      </c>
      <c r="O16" s="15">
        <f t="shared" si="0"/>
        <v>16</v>
      </c>
      <c r="P16" s="15">
        <f t="shared" si="1"/>
        <v>71</v>
      </c>
      <c r="R16" s="1" t="s">
        <v>12</v>
      </c>
      <c r="S16" s="17">
        <f t="shared" ref="S16:AF16" si="8">SUM(C34:C37)</f>
        <v>16</v>
      </c>
      <c r="T16" s="17">
        <f t="shared" si="8"/>
        <v>5</v>
      </c>
      <c r="U16" s="17">
        <f t="shared" si="8"/>
        <v>7</v>
      </c>
      <c r="V16" s="17">
        <f t="shared" si="8"/>
        <v>16</v>
      </c>
      <c r="W16" s="17">
        <f t="shared" si="8"/>
        <v>0</v>
      </c>
      <c r="X16" s="17">
        <f t="shared" si="8"/>
        <v>0</v>
      </c>
      <c r="Y16" s="17">
        <f t="shared" si="8"/>
        <v>6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255</v>
      </c>
      <c r="AD16" s="17">
        <f t="shared" si="8"/>
        <v>0</v>
      </c>
      <c r="AE16" s="31">
        <f t="shared" si="8"/>
        <v>56</v>
      </c>
      <c r="AF16" s="31">
        <f t="shared" si="8"/>
        <v>311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81</v>
      </c>
      <c r="N17" s="50">
        <v>0</v>
      </c>
      <c r="O17" s="15">
        <f t="shared" si="0"/>
        <v>8</v>
      </c>
      <c r="P17" s="15">
        <f t="shared" si="1"/>
        <v>89</v>
      </c>
      <c r="R17" s="1" t="s">
        <v>13</v>
      </c>
      <c r="S17" s="17">
        <f t="shared" ref="S17:AF17" si="9">SUM(C38:C41)</f>
        <v>13</v>
      </c>
      <c r="T17" s="17">
        <f t="shared" si="9"/>
        <v>17</v>
      </c>
      <c r="U17" s="17">
        <f t="shared" si="9"/>
        <v>5</v>
      </c>
      <c r="V17" s="17">
        <f t="shared" si="9"/>
        <v>11</v>
      </c>
      <c r="W17" s="17">
        <f t="shared" si="9"/>
        <v>0</v>
      </c>
      <c r="X17" s="17">
        <f t="shared" si="9"/>
        <v>0</v>
      </c>
      <c r="Y17" s="17">
        <f t="shared" si="9"/>
        <v>6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250</v>
      </c>
      <c r="AD17" s="17">
        <f t="shared" si="9"/>
        <v>0</v>
      </c>
      <c r="AE17" s="31">
        <f t="shared" si="9"/>
        <v>56</v>
      </c>
      <c r="AF17" s="31">
        <f t="shared" si="9"/>
        <v>306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0</v>
      </c>
      <c r="F18" s="50">
        <v>1</v>
      </c>
      <c r="G18" s="50">
        <v>0</v>
      </c>
      <c r="H18" s="50">
        <v>0</v>
      </c>
      <c r="I18" s="50">
        <v>3</v>
      </c>
      <c r="J18" s="50">
        <v>0</v>
      </c>
      <c r="K18" s="50">
        <v>0</v>
      </c>
      <c r="L18" s="50">
        <v>0</v>
      </c>
      <c r="M18" s="50">
        <v>70</v>
      </c>
      <c r="N18" s="50">
        <v>0</v>
      </c>
      <c r="O18" s="15">
        <f t="shared" si="0"/>
        <v>8</v>
      </c>
      <c r="P18" s="15">
        <f t="shared" si="1"/>
        <v>78</v>
      </c>
      <c r="R18" s="1" t="s">
        <v>14</v>
      </c>
      <c r="S18" s="17">
        <f t="shared" ref="S18:AF18" si="10">SUM(C42:C45)</f>
        <v>22</v>
      </c>
      <c r="T18" s="17">
        <f t="shared" si="10"/>
        <v>10</v>
      </c>
      <c r="U18" s="17">
        <f t="shared" si="10"/>
        <v>13</v>
      </c>
      <c r="V18" s="17">
        <f t="shared" si="10"/>
        <v>56</v>
      </c>
      <c r="W18" s="17">
        <f t="shared" si="10"/>
        <v>0</v>
      </c>
      <c r="X18" s="17">
        <f t="shared" si="10"/>
        <v>0</v>
      </c>
      <c r="Y18" s="17">
        <f t="shared" si="10"/>
        <v>24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410</v>
      </c>
      <c r="AD18" s="17">
        <f t="shared" si="10"/>
        <v>0</v>
      </c>
      <c r="AE18" s="31">
        <f t="shared" si="10"/>
        <v>129</v>
      </c>
      <c r="AF18" s="31">
        <f t="shared" si="10"/>
        <v>539</v>
      </c>
    </row>
    <row r="19" spans="2:32" ht="23.1" customHeight="1" x14ac:dyDescent="0.25">
      <c r="B19" s="23" t="s">
        <v>46</v>
      </c>
      <c r="C19" s="50">
        <v>2</v>
      </c>
      <c r="D19" s="50">
        <v>0</v>
      </c>
      <c r="E19" s="50">
        <v>3</v>
      </c>
      <c r="F19" s="50">
        <v>2</v>
      </c>
      <c r="G19" s="50">
        <v>0</v>
      </c>
      <c r="H19" s="50">
        <v>0</v>
      </c>
      <c r="I19" s="50">
        <v>4</v>
      </c>
      <c r="J19" s="50">
        <v>0</v>
      </c>
      <c r="K19" s="50">
        <v>0</v>
      </c>
      <c r="L19" s="50">
        <v>0</v>
      </c>
      <c r="M19" s="50">
        <v>58</v>
      </c>
      <c r="N19" s="50">
        <v>0</v>
      </c>
      <c r="O19" s="15">
        <f t="shared" si="0"/>
        <v>11</v>
      </c>
      <c r="P19" s="15">
        <f t="shared" si="1"/>
        <v>69</v>
      </c>
      <c r="R19" s="1" t="s">
        <v>15</v>
      </c>
      <c r="S19" s="17">
        <f t="shared" ref="S19:AF19" si="11">SUM(C46:C49)</f>
        <v>12</v>
      </c>
      <c r="T19" s="17">
        <f t="shared" si="11"/>
        <v>15</v>
      </c>
      <c r="U19" s="17">
        <f t="shared" si="11"/>
        <v>12</v>
      </c>
      <c r="V19" s="17">
        <f t="shared" si="11"/>
        <v>38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285</v>
      </c>
      <c r="AD19" s="17">
        <f t="shared" si="11"/>
        <v>0</v>
      </c>
      <c r="AE19" s="31">
        <f t="shared" si="11"/>
        <v>84</v>
      </c>
      <c r="AF19" s="31">
        <f t="shared" si="11"/>
        <v>369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0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51</v>
      </c>
      <c r="N20" s="50">
        <v>0</v>
      </c>
      <c r="O20" s="15">
        <f t="shared" si="0"/>
        <v>6</v>
      </c>
      <c r="P20" s="15">
        <f t="shared" si="1"/>
        <v>57</v>
      </c>
      <c r="R20" s="1" t="s">
        <v>16</v>
      </c>
      <c r="S20" s="17">
        <f t="shared" ref="S20:AF20" si="12">SUM(C50:C53)</f>
        <v>19</v>
      </c>
      <c r="T20" s="17">
        <f t="shared" si="12"/>
        <v>10</v>
      </c>
      <c r="U20" s="17">
        <f t="shared" si="12"/>
        <v>14</v>
      </c>
      <c r="V20" s="17">
        <f t="shared" si="12"/>
        <v>45</v>
      </c>
      <c r="W20" s="17">
        <f t="shared" si="12"/>
        <v>0</v>
      </c>
      <c r="X20" s="17">
        <f t="shared" si="12"/>
        <v>0</v>
      </c>
      <c r="Y20" s="17">
        <f t="shared" si="12"/>
        <v>9</v>
      </c>
      <c r="Z20" s="17">
        <f t="shared" si="12"/>
        <v>2</v>
      </c>
      <c r="AA20" s="17">
        <f t="shared" si="12"/>
        <v>2</v>
      </c>
      <c r="AB20" s="17">
        <f t="shared" si="12"/>
        <v>0</v>
      </c>
      <c r="AC20" s="17">
        <f t="shared" si="12"/>
        <v>240</v>
      </c>
      <c r="AD20" s="17">
        <f t="shared" si="12"/>
        <v>1</v>
      </c>
      <c r="AE20" s="31">
        <f t="shared" si="12"/>
        <v>102</v>
      </c>
      <c r="AF20" s="31">
        <f t="shared" si="12"/>
        <v>342</v>
      </c>
    </row>
    <row r="21" spans="2:32" ht="23.1" customHeight="1" x14ac:dyDescent="0.25">
      <c r="B21" s="23" t="s">
        <v>48</v>
      </c>
      <c r="C21" s="50">
        <v>6</v>
      </c>
      <c r="D21" s="50">
        <v>2</v>
      </c>
      <c r="E21" s="50">
        <v>2</v>
      </c>
      <c r="F21" s="50">
        <v>1</v>
      </c>
      <c r="G21" s="50">
        <v>0</v>
      </c>
      <c r="H21" s="50">
        <v>0</v>
      </c>
      <c r="I21" s="50">
        <v>6</v>
      </c>
      <c r="J21" s="50">
        <v>2</v>
      </c>
      <c r="K21" s="50">
        <v>0</v>
      </c>
      <c r="L21" s="50">
        <v>0</v>
      </c>
      <c r="M21" s="50">
        <v>81</v>
      </c>
      <c r="N21" s="50">
        <v>1</v>
      </c>
      <c r="O21" s="15">
        <f t="shared" si="0"/>
        <v>20</v>
      </c>
      <c r="P21" s="15">
        <f t="shared" si="1"/>
        <v>101</v>
      </c>
      <c r="R21" s="36" t="s">
        <v>20</v>
      </c>
      <c r="S21" s="34">
        <f t="shared" ref="S21:AF21" si="13">SUM(C54:C57)</f>
        <v>11</v>
      </c>
      <c r="T21" s="17">
        <f t="shared" si="13"/>
        <v>9</v>
      </c>
      <c r="U21" s="17">
        <f t="shared" si="13"/>
        <v>2</v>
      </c>
      <c r="V21" s="17">
        <f t="shared" si="13"/>
        <v>42</v>
      </c>
      <c r="W21" s="17">
        <f t="shared" si="13"/>
        <v>0</v>
      </c>
      <c r="X21" s="17">
        <f t="shared" si="13"/>
        <v>0</v>
      </c>
      <c r="Y21" s="17">
        <f t="shared" si="13"/>
        <v>6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235</v>
      </c>
      <c r="AD21" s="17">
        <f t="shared" si="13"/>
        <v>0</v>
      </c>
      <c r="AE21" s="31">
        <f t="shared" si="13"/>
        <v>71</v>
      </c>
      <c r="AF21" s="31">
        <f t="shared" si="13"/>
        <v>306</v>
      </c>
    </row>
    <row r="22" spans="2:32" ht="23.1" customHeight="1" x14ac:dyDescent="0.25">
      <c r="B22" s="23" t="s">
        <v>49</v>
      </c>
      <c r="C22" s="50">
        <v>5</v>
      </c>
      <c r="D22" s="50">
        <v>4</v>
      </c>
      <c r="E22" s="50">
        <v>2</v>
      </c>
      <c r="F22" s="50">
        <v>1</v>
      </c>
      <c r="G22" s="50">
        <v>0</v>
      </c>
      <c r="H22" s="50">
        <v>0</v>
      </c>
      <c r="I22" s="50">
        <v>5</v>
      </c>
      <c r="J22" s="50">
        <v>1</v>
      </c>
      <c r="K22" s="50">
        <v>0</v>
      </c>
      <c r="L22" s="50">
        <v>0</v>
      </c>
      <c r="M22" s="50">
        <v>75</v>
      </c>
      <c r="N22" s="50">
        <v>0</v>
      </c>
      <c r="O22" s="15">
        <f t="shared" si="0"/>
        <v>18</v>
      </c>
      <c r="P22" s="15">
        <f t="shared" si="1"/>
        <v>93</v>
      </c>
      <c r="R22" s="38" t="s">
        <v>90</v>
      </c>
      <c r="S22" s="39">
        <f>MAX(S10:S12)</f>
        <v>14</v>
      </c>
      <c r="T22" s="39">
        <f t="shared" ref="T22:AF22" si="14">MAX(T10:T12)</f>
        <v>19</v>
      </c>
      <c r="U22" s="39">
        <f t="shared" si="14"/>
        <v>10</v>
      </c>
      <c r="V22" s="39">
        <f t="shared" si="14"/>
        <v>23</v>
      </c>
      <c r="W22" s="39">
        <f t="shared" si="14"/>
        <v>0</v>
      </c>
      <c r="X22" s="39">
        <f t="shared" si="14"/>
        <v>0</v>
      </c>
      <c r="Y22" s="39">
        <f t="shared" si="14"/>
        <v>15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260</v>
      </c>
      <c r="AD22" s="39">
        <f t="shared" si="14"/>
        <v>1</v>
      </c>
      <c r="AE22" s="40">
        <f t="shared" si="14"/>
        <v>64</v>
      </c>
      <c r="AF22" s="40">
        <f t="shared" si="14"/>
        <v>318</v>
      </c>
    </row>
    <row r="23" spans="2:32" ht="23.1" customHeight="1" x14ac:dyDescent="0.25">
      <c r="B23" s="23" t="s">
        <v>50</v>
      </c>
      <c r="C23" s="50">
        <v>5</v>
      </c>
      <c r="D23" s="50">
        <v>1</v>
      </c>
      <c r="E23" s="50">
        <v>1</v>
      </c>
      <c r="F23" s="50">
        <v>3</v>
      </c>
      <c r="G23" s="50">
        <v>0</v>
      </c>
      <c r="H23" s="50">
        <v>0</v>
      </c>
      <c r="I23" s="50">
        <v>3</v>
      </c>
      <c r="J23" s="50">
        <v>2</v>
      </c>
      <c r="K23" s="50">
        <v>0</v>
      </c>
      <c r="L23" s="50">
        <v>0</v>
      </c>
      <c r="M23" s="50">
        <v>96</v>
      </c>
      <c r="N23" s="50">
        <v>0</v>
      </c>
      <c r="O23" s="15">
        <f t="shared" si="0"/>
        <v>15</v>
      </c>
      <c r="P23" s="15">
        <f t="shared" si="1"/>
        <v>111</v>
      </c>
      <c r="R23" s="38" t="s">
        <v>91</v>
      </c>
      <c r="S23" s="39">
        <f>MAX(S13:S18)</f>
        <v>22</v>
      </c>
      <c r="T23" s="39">
        <f t="shared" ref="T23:AF23" si="15">MAX(T13:T18)</f>
        <v>17</v>
      </c>
      <c r="U23" s="39">
        <f t="shared" si="15"/>
        <v>13</v>
      </c>
      <c r="V23" s="39">
        <f t="shared" si="15"/>
        <v>56</v>
      </c>
      <c r="W23" s="39">
        <f t="shared" si="15"/>
        <v>0</v>
      </c>
      <c r="X23" s="39">
        <f t="shared" si="15"/>
        <v>0</v>
      </c>
      <c r="Y23" s="39">
        <f t="shared" si="15"/>
        <v>24</v>
      </c>
      <c r="Z23" s="39">
        <f t="shared" si="15"/>
        <v>5</v>
      </c>
      <c r="AA23" s="39">
        <f t="shared" si="15"/>
        <v>1</v>
      </c>
      <c r="AB23" s="39">
        <f t="shared" si="15"/>
        <v>0</v>
      </c>
      <c r="AC23" s="39">
        <f t="shared" si="15"/>
        <v>410</v>
      </c>
      <c r="AD23" s="39">
        <f t="shared" si="15"/>
        <v>0</v>
      </c>
      <c r="AE23" s="40">
        <f t="shared" si="15"/>
        <v>129</v>
      </c>
      <c r="AF23" s="40">
        <f t="shared" si="15"/>
        <v>539</v>
      </c>
    </row>
    <row r="24" spans="2:32" ht="23.1" customHeight="1" x14ac:dyDescent="0.25">
      <c r="B24" s="23" t="s">
        <v>51</v>
      </c>
      <c r="C24" s="50">
        <v>2</v>
      </c>
      <c r="D24" s="50">
        <v>2</v>
      </c>
      <c r="E24" s="50">
        <v>3</v>
      </c>
      <c r="F24" s="50">
        <v>1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90</v>
      </c>
      <c r="N24" s="50">
        <v>0</v>
      </c>
      <c r="O24" s="15">
        <f t="shared" si="0"/>
        <v>11</v>
      </c>
      <c r="P24" s="15">
        <f t="shared" si="1"/>
        <v>101</v>
      </c>
      <c r="R24" s="38" t="s">
        <v>92</v>
      </c>
      <c r="S24" s="39">
        <f>MAX(S19:S21)</f>
        <v>19</v>
      </c>
      <c r="T24" s="39">
        <f t="shared" ref="T24:AF24" si="16">MAX(T19:T21)</f>
        <v>15</v>
      </c>
      <c r="U24" s="39">
        <f t="shared" si="16"/>
        <v>14</v>
      </c>
      <c r="V24" s="39">
        <f t="shared" si="16"/>
        <v>45</v>
      </c>
      <c r="W24" s="39">
        <f t="shared" si="16"/>
        <v>0</v>
      </c>
      <c r="X24" s="39">
        <f t="shared" si="16"/>
        <v>0</v>
      </c>
      <c r="Y24" s="39">
        <f t="shared" si="16"/>
        <v>9</v>
      </c>
      <c r="Z24" s="39">
        <f t="shared" si="16"/>
        <v>3</v>
      </c>
      <c r="AA24" s="39">
        <f t="shared" si="16"/>
        <v>2</v>
      </c>
      <c r="AB24" s="39">
        <f t="shared" si="16"/>
        <v>0</v>
      </c>
      <c r="AC24" s="39">
        <f t="shared" si="16"/>
        <v>285</v>
      </c>
      <c r="AD24" s="39">
        <f t="shared" si="16"/>
        <v>1</v>
      </c>
      <c r="AE24" s="40">
        <f t="shared" si="16"/>
        <v>102</v>
      </c>
      <c r="AF24" s="40">
        <f t="shared" si="16"/>
        <v>369</v>
      </c>
    </row>
    <row r="25" spans="2:32" ht="23.1" customHeight="1" x14ac:dyDescent="0.25">
      <c r="B25" s="23" t="s">
        <v>52</v>
      </c>
      <c r="C25" s="50">
        <v>2</v>
      </c>
      <c r="D25" s="50">
        <v>4</v>
      </c>
      <c r="E25" s="50">
        <v>0</v>
      </c>
      <c r="F25" s="50">
        <v>3</v>
      </c>
      <c r="G25" s="50">
        <v>0</v>
      </c>
      <c r="H25" s="50">
        <v>0</v>
      </c>
      <c r="I25" s="50">
        <v>1</v>
      </c>
      <c r="J25" s="50">
        <v>1</v>
      </c>
      <c r="K25" s="50">
        <v>0</v>
      </c>
      <c r="L25" s="50">
        <v>0</v>
      </c>
      <c r="M25" s="50">
        <v>100</v>
      </c>
      <c r="N25" s="50">
        <v>0</v>
      </c>
      <c r="O25" s="15">
        <f t="shared" si="0"/>
        <v>11</v>
      </c>
      <c r="P25" s="15">
        <f t="shared" si="1"/>
        <v>111</v>
      </c>
      <c r="R25" s="37" t="s">
        <v>85</v>
      </c>
      <c r="S25" s="35">
        <f t="shared" ref="S25:AF25" si="17">SUM(S10:S12)</f>
        <v>40</v>
      </c>
      <c r="T25" s="16">
        <f t="shared" si="17"/>
        <v>34</v>
      </c>
      <c r="U25" s="16">
        <f t="shared" si="17"/>
        <v>24</v>
      </c>
      <c r="V25" s="16">
        <f t="shared" si="17"/>
        <v>39</v>
      </c>
      <c r="W25" s="16">
        <f t="shared" si="17"/>
        <v>0</v>
      </c>
      <c r="X25" s="16">
        <f t="shared" si="17"/>
        <v>0</v>
      </c>
      <c r="Y25" s="16">
        <f t="shared" si="17"/>
        <v>30</v>
      </c>
      <c r="Z25" s="16">
        <f t="shared" si="17"/>
        <v>3</v>
      </c>
      <c r="AA25" s="16">
        <f t="shared" si="17"/>
        <v>0</v>
      </c>
      <c r="AB25" s="16">
        <f t="shared" si="17"/>
        <v>0</v>
      </c>
      <c r="AC25" s="16">
        <f t="shared" si="17"/>
        <v>695</v>
      </c>
      <c r="AD25" s="16">
        <f t="shared" si="17"/>
        <v>2</v>
      </c>
      <c r="AE25" s="32">
        <f t="shared" si="17"/>
        <v>172</v>
      </c>
      <c r="AF25" s="32">
        <f t="shared" si="17"/>
        <v>867</v>
      </c>
    </row>
    <row r="26" spans="2:32" ht="23.1" customHeight="1" x14ac:dyDescent="0.25">
      <c r="B26" s="23" t="s">
        <v>53</v>
      </c>
      <c r="C26" s="50">
        <v>3</v>
      </c>
      <c r="D26" s="50">
        <v>1</v>
      </c>
      <c r="E26" s="50">
        <v>1</v>
      </c>
      <c r="F26" s="50">
        <v>1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125</v>
      </c>
      <c r="N26" s="50">
        <v>0</v>
      </c>
      <c r="O26" s="15">
        <f t="shared" si="0"/>
        <v>7</v>
      </c>
      <c r="P26" s="15">
        <f t="shared" si="1"/>
        <v>132</v>
      </c>
      <c r="R26" s="28" t="s">
        <v>86</v>
      </c>
      <c r="S26" s="16">
        <f t="shared" ref="S26:AF26" si="18">SUM(S13:S18)</f>
        <v>89</v>
      </c>
      <c r="T26" s="16">
        <f t="shared" si="18"/>
        <v>57</v>
      </c>
      <c r="U26" s="16">
        <f t="shared" si="18"/>
        <v>44</v>
      </c>
      <c r="V26" s="16">
        <f t="shared" si="18"/>
        <v>99</v>
      </c>
      <c r="W26" s="16">
        <f t="shared" si="18"/>
        <v>0</v>
      </c>
      <c r="X26" s="16">
        <f t="shared" si="18"/>
        <v>0</v>
      </c>
      <c r="Y26" s="16">
        <f t="shared" si="18"/>
        <v>59</v>
      </c>
      <c r="Z26" s="16">
        <f t="shared" si="18"/>
        <v>24</v>
      </c>
      <c r="AA26" s="16">
        <f t="shared" si="18"/>
        <v>1</v>
      </c>
      <c r="AB26" s="16">
        <f t="shared" si="18"/>
        <v>0</v>
      </c>
      <c r="AC26" s="16">
        <f t="shared" si="18"/>
        <v>2036</v>
      </c>
      <c r="AD26" s="16">
        <f t="shared" si="18"/>
        <v>0</v>
      </c>
      <c r="AE26" s="32">
        <f t="shared" si="18"/>
        <v>373</v>
      </c>
      <c r="AF26" s="32">
        <f t="shared" si="18"/>
        <v>2409</v>
      </c>
    </row>
    <row r="27" spans="2:32" ht="23.1" customHeight="1" x14ac:dyDescent="0.25">
      <c r="B27" s="23" t="s">
        <v>54</v>
      </c>
      <c r="C27" s="50">
        <v>4</v>
      </c>
      <c r="D27" s="50">
        <v>3</v>
      </c>
      <c r="E27" s="50">
        <v>4</v>
      </c>
      <c r="F27" s="50">
        <v>0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95</v>
      </c>
      <c r="N27" s="50">
        <v>0</v>
      </c>
      <c r="O27" s="15">
        <f t="shared" si="0"/>
        <v>13</v>
      </c>
      <c r="P27" s="15">
        <f t="shared" si="1"/>
        <v>108</v>
      </c>
      <c r="R27" s="29" t="s">
        <v>87</v>
      </c>
      <c r="S27" s="16">
        <f t="shared" ref="S27:AF27" si="19">SUM(S19:S21)</f>
        <v>42</v>
      </c>
      <c r="T27" s="16">
        <f t="shared" si="19"/>
        <v>34</v>
      </c>
      <c r="U27" s="16">
        <f t="shared" si="19"/>
        <v>28</v>
      </c>
      <c r="V27" s="16">
        <f t="shared" si="19"/>
        <v>125</v>
      </c>
      <c r="W27" s="16">
        <f t="shared" si="19"/>
        <v>0</v>
      </c>
      <c r="X27" s="16">
        <f t="shared" si="19"/>
        <v>0</v>
      </c>
      <c r="Y27" s="16">
        <f t="shared" si="19"/>
        <v>19</v>
      </c>
      <c r="Z27" s="16">
        <f t="shared" si="19"/>
        <v>6</v>
      </c>
      <c r="AA27" s="16">
        <f t="shared" si="19"/>
        <v>2</v>
      </c>
      <c r="AB27" s="16">
        <f t="shared" si="19"/>
        <v>0</v>
      </c>
      <c r="AC27" s="16">
        <f t="shared" si="19"/>
        <v>760</v>
      </c>
      <c r="AD27" s="16">
        <f t="shared" si="19"/>
        <v>1</v>
      </c>
      <c r="AE27" s="32">
        <f t="shared" si="19"/>
        <v>257</v>
      </c>
      <c r="AF27" s="32">
        <f t="shared" si="19"/>
        <v>1017</v>
      </c>
    </row>
    <row r="28" spans="2:32" ht="23.1" customHeight="1" x14ac:dyDescent="0.25">
      <c r="B28" s="23" t="s">
        <v>55</v>
      </c>
      <c r="C28" s="50">
        <v>3</v>
      </c>
      <c r="D28" s="50">
        <v>2</v>
      </c>
      <c r="E28" s="50">
        <v>2</v>
      </c>
      <c r="F28" s="50">
        <v>1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100</v>
      </c>
      <c r="N28" s="50">
        <v>0</v>
      </c>
      <c r="O28" s="15">
        <f t="shared" si="0"/>
        <v>12</v>
      </c>
      <c r="P28" s="15">
        <f t="shared" si="1"/>
        <v>112</v>
      </c>
      <c r="R28" s="5" t="s">
        <v>17</v>
      </c>
      <c r="S28" s="16">
        <f t="shared" ref="S28:AF28" si="20">SUM(S10:S21)</f>
        <v>171</v>
      </c>
      <c r="T28" s="16">
        <f t="shared" si="20"/>
        <v>125</v>
      </c>
      <c r="U28" s="16">
        <f t="shared" si="20"/>
        <v>96</v>
      </c>
      <c r="V28" s="16">
        <f t="shared" si="20"/>
        <v>263</v>
      </c>
      <c r="W28" s="16">
        <f t="shared" si="20"/>
        <v>0</v>
      </c>
      <c r="X28" s="16">
        <f t="shared" si="20"/>
        <v>0</v>
      </c>
      <c r="Y28" s="16">
        <f t="shared" si="20"/>
        <v>108</v>
      </c>
      <c r="Z28" s="16">
        <f t="shared" si="20"/>
        <v>33</v>
      </c>
      <c r="AA28" s="16">
        <f t="shared" si="20"/>
        <v>3</v>
      </c>
      <c r="AB28" s="16">
        <f t="shared" si="20"/>
        <v>0</v>
      </c>
      <c r="AC28" s="16">
        <f t="shared" si="20"/>
        <v>3491</v>
      </c>
      <c r="AD28" s="16">
        <f t="shared" si="20"/>
        <v>3</v>
      </c>
      <c r="AE28" s="32">
        <f t="shared" si="20"/>
        <v>802</v>
      </c>
      <c r="AF28" s="32">
        <f t="shared" si="20"/>
        <v>4293</v>
      </c>
    </row>
    <row r="29" spans="2:32" ht="23.1" customHeight="1" x14ac:dyDescent="0.25">
      <c r="B29" s="23" t="s">
        <v>56</v>
      </c>
      <c r="C29" s="50">
        <v>1</v>
      </c>
      <c r="D29" s="50">
        <v>2</v>
      </c>
      <c r="E29" s="50">
        <v>1</v>
      </c>
      <c r="F29" s="50">
        <v>1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70</v>
      </c>
      <c r="N29" s="50">
        <v>0</v>
      </c>
      <c r="O29" s="15">
        <f t="shared" si="0"/>
        <v>8</v>
      </c>
      <c r="P29" s="15">
        <f t="shared" si="1"/>
        <v>78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130</v>
      </c>
      <c r="N30" s="50">
        <v>0</v>
      </c>
      <c r="O30" s="15">
        <f t="shared" si="0"/>
        <v>9</v>
      </c>
      <c r="P30" s="15">
        <f t="shared" si="1"/>
        <v>139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0</v>
      </c>
      <c r="F31" s="50">
        <v>2</v>
      </c>
      <c r="G31" s="50">
        <v>0</v>
      </c>
      <c r="H31" s="50">
        <v>0</v>
      </c>
      <c r="I31" s="50">
        <v>3</v>
      </c>
      <c r="J31" s="50">
        <v>0</v>
      </c>
      <c r="K31" s="50">
        <v>0</v>
      </c>
      <c r="L31" s="50">
        <v>0</v>
      </c>
      <c r="M31" s="50">
        <v>90</v>
      </c>
      <c r="N31" s="50">
        <v>0</v>
      </c>
      <c r="O31" s="15">
        <f t="shared" si="0"/>
        <v>10</v>
      </c>
      <c r="P31" s="15">
        <f t="shared" si="1"/>
        <v>100</v>
      </c>
    </row>
    <row r="32" spans="2:32" ht="23.1" customHeight="1" x14ac:dyDescent="0.25">
      <c r="B32" s="24" t="s">
        <v>59</v>
      </c>
      <c r="C32" s="50">
        <v>4</v>
      </c>
      <c r="D32" s="50">
        <v>1</v>
      </c>
      <c r="E32" s="50">
        <v>3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115</v>
      </c>
      <c r="N32" s="50">
        <v>0</v>
      </c>
      <c r="O32" s="15">
        <f t="shared" si="0"/>
        <v>11</v>
      </c>
      <c r="P32" s="15">
        <f t="shared" si="1"/>
        <v>126</v>
      </c>
    </row>
    <row r="33" spans="2:20" ht="23.1" customHeight="1" x14ac:dyDescent="0.25">
      <c r="B33" s="23" t="s">
        <v>60</v>
      </c>
      <c r="C33" s="50">
        <v>2</v>
      </c>
      <c r="D33" s="50">
        <v>1</v>
      </c>
      <c r="E33" s="50">
        <v>2</v>
      </c>
      <c r="F33" s="50">
        <v>0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35</v>
      </c>
      <c r="N33" s="50">
        <v>0</v>
      </c>
      <c r="O33" s="15">
        <f t="shared" si="0"/>
        <v>7</v>
      </c>
      <c r="P33" s="15">
        <f t="shared" si="1"/>
        <v>42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0</v>
      </c>
      <c r="F34" s="50">
        <v>3</v>
      </c>
      <c r="G34" s="50">
        <v>0</v>
      </c>
      <c r="H34" s="50">
        <v>0</v>
      </c>
      <c r="I34" s="50">
        <v>2</v>
      </c>
      <c r="J34" s="50">
        <v>0</v>
      </c>
      <c r="K34" s="50">
        <v>1</v>
      </c>
      <c r="L34" s="50">
        <v>0</v>
      </c>
      <c r="M34" s="50">
        <v>60</v>
      </c>
      <c r="N34" s="50">
        <v>0</v>
      </c>
      <c r="O34" s="15">
        <f t="shared" si="0"/>
        <v>9</v>
      </c>
      <c r="P34" s="15">
        <f t="shared" si="1"/>
        <v>69</v>
      </c>
    </row>
    <row r="35" spans="2:20" ht="23.1" customHeight="1" x14ac:dyDescent="0.25">
      <c r="B35" s="24" t="s">
        <v>62</v>
      </c>
      <c r="C35" s="50">
        <v>8</v>
      </c>
      <c r="D35" s="50">
        <v>1</v>
      </c>
      <c r="E35" s="50">
        <v>1</v>
      </c>
      <c r="F35" s="50">
        <v>6</v>
      </c>
      <c r="G35" s="50">
        <v>0</v>
      </c>
      <c r="H35" s="50">
        <v>0</v>
      </c>
      <c r="I35" s="50">
        <v>3</v>
      </c>
      <c r="J35" s="50">
        <v>2</v>
      </c>
      <c r="K35" s="50">
        <v>0</v>
      </c>
      <c r="L35" s="50">
        <v>0</v>
      </c>
      <c r="M35" s="50">
        <v>90</v>
      </c>
      <c r="N35" s="50">
        <v>0</v>
      </c>
      <c r="O35" s="15">
        <f t="shared" si="0"/>
        <v>21</v>
      </c>
      <c r="P35" s="15">
        <f t="shared" si="1"/>
        <v>111</v>
      </c>
    </row>
    <row r="36" spans="2:20" ht="23.1" customHeight="1" x14ac:dyDescent="0.25">
      <c r="B36" s="24" t="s">
        <v>63</v>
      </c>
      <c r="C36" s="50">
        <v>1</v>
      </c>
      <c r="D36" s="50">
        <v>3</v>
      </c>
      <c r="E36" s="50">
        <v>4</v>
      </c>
      <c r="F36" s="50">
        <v>1</v>
      </c>
      <c r="G36" s="50">
        <v>0</v>
      </c>
      <c r="H36" s="50">
        <v>0</v>
      </c>
      <c r="I36" s="50">
        <v>0</v>
      </c>
      <c r="J36" s="50">
        <v>3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12</v>
      </c>
      <c r="P36" s="15">
        <f t="shared" si="1"/>
        <v>77</v>
      </c>
    </row>
    <row r="37" spans="2:20" ht="23.1" customHeight="1" x14ac:dyDescent="0.25">
      <c r="B37" s="23" t="s">
        <v>64</v>
      </c>
      <c r="C37" s="50">
        <v>4</v>
      </c>
      <c r="D37" s="50">
        <v>1</v>
      </c>
      <c r="E37" s="50">
        <v>2</v>
      </c>
      <c r="F37" s="50">
        <v>6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40</v>
      </c>
      <c r="N37" s="50">
        <v>0</v>
      </c>
      <c r="O37" s="15">
        <f t="shared" si="0"/>
        <v>14</v>
      </c>
      <c r="P37" s="15">
        <f t="shared" si="1"/>
        <v>54</v>
      </c>
    </row>
    <row r="38" spans="2:20" ht="23.1" customHeight="1" x14ac:dyDescent="0.25">
      <c r="B38" s="24" t="s">
        <v>65</v>
      </c>
      <c r="C38" s="50">
        <v>2</v>
      </c>
      <c r="D38" s="50">
        <v>4</v>
      </c>
      <c r="E38" s="50">
        <v>2</v>
      </c>
      <c r="F38" s="50">
        <v>1</v>
      </c>
      <c r="G38" s="50">
        <v>0</v>
      </c>
      <c r="H38" s="50">
        <v>0</v>
      </c>
      <c r="I38" s="50">
        <v>0</v>
      </c>
      <c r="J38" s="50">
        <v>1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10</v>
      </c>
      <c r="P38" s="15">
        <f t="shared" si="1"/>
        <v>70</v>
      </c>
    </row>
    <row r="39" spans="2:20" ht="23.1" customHeight="1" x14ac:dyDescent="0.25">
      <c r="B39" s="24" t="s">
        <v>66</v>
      </c>
      <c r="C39" s="50">
        <v>2</v>
      </c>
      <c r="D39" s="50">
        <v>3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6</v>
      </c>
      <c r="P39" s="15">
        <f t="shared" si="1"/>
        <v>76</v>
      </c>
    </row>
    <row r="40" spans="2:20" ht="23.1" customHeight="1" x14ac:dyDescent="0.25">
      <c r="B40" s="24" t="s">
        <v>67</v>
      </c>
      <c r="C40" s="50">
        <v>5</v>
      </c>
      <c r="D40" s="50">
        <v>7</v>
      </c>
      <c r="E40" s="50">
        <v>0</v>
      </c>
      <c r="F40" s="50">
        <v>10</v>
      </c>
      <c r="G40" s="50">
        <v>0</v>
      </c>
      <c r="H40" s="50">
        <v>0</v>
      </c>
      <c r="I40" s="50">
        <v>3</v>
      </c>
      <c r="J40" s="50">
        <v>0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25</v>
      </c>
      <c r="P40" s="15">
        <f t="shared" si="1"/>
        <v>80</v>
      </c>
    </row>
    <row r="41" spans="2:20" ht="23.1" customHeight="1" x14ac:dyDescent="0.25">
      <c r="B41" s="23" t="s">
        <v>68</v>
      </c>
      <c r="C41" s="50">
        <v>4</v>
      </c>
      <c r="D41" s="50">
        <v>3</v>
      </c>
      <c r="E41" s="50">
        <v>3</v>
      </c>
      <c r="F41" s="50">
        <v>0</v>
      </c>
      <c r="G41" s="50">
        <v>0</v>
      </c>
      <c r="H41" s="50">
        <v>0</v>
      </c>
      <c r="I41" s="50">
        <v>2</v>
      </c>
      <c r="J41" s="50">
        <v>3</v>
      </c>
      <c r="K41" s="50">
        <v>0</v>
      </c>
      <c r="L41" s="50">
        <v>0</v>
      </c>
      <c r="M41" s="50">
        <v>65</v>
      </c>
      <c r="N41" s="50">
        <v>0</v>
      </c>
      <c r="O41" s="15">
        <f t="shared" si="0"/>
        <v>15</v>
      </c>
      <c r="P41" s="15">
        <f t="shared" si="1"/>
        <v>80</v>
      </c>
    </row>
    <row r="42" spans="2:20" ht="23.1" customHeight="1" x14ac:dyDescent="0.25">
      <c r="B42" s="24" t="s">
        <v>69</v>
      </c>
      <c r="C42" s="50">
        <v>10</v>
      </c>
      <c r="D42" s="50">
        <v>3</v>
      </c>
      <c r="E42" s="50">
        <v>0</v>
      </c>
      <c r="F42" s="50">
        <v>20</v>
      </c>
      <c r="G42" s="50">
        <v>0</v>
      </c>
      <c r="H42" s="50">
        <v>0</v>
      </c>
      <c r="I42" s="50">
        <v>15</v>
      </c>
      <c r="J42" s="50">
        <v>0</v>
      </c>
      <c r="K42" s="50">
        <v>0</v>
      </c>
      <c r="L42" s="50">
        <v>0</v>
      </c>
      <c r="M42" s="50">
        <v>60</v>
      </c>
      <c r="N42" s="50">
        <v>0</v>
      </c>
      <c r="O42" s="15">
        <f t="shared" si="0"/>
        <v>48</v>
      </c>
      <c r="P42" s="15">
        <f t="shared" si="1"/>
        <v>108</v>
      </c>
    </row>
    <row r="43" spans="2:20" ht="23.1" customHeight="1" x14ac:dyDescent="0.25">
      <c r="B43" s="23" t="s">
        <v>70</v>
      </c>
      <c r="C43" s="50">
        <v>4</v>
      </c>
      <c r="D43" s="50">
        <v>4</v>
      </c>
      <c r="E43" s="50">
        <v>5</v>
      </c>
      <c r="F43" s="50">
        <v>8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95</v>
      </c>
      <c r="N43" s="50">
        <v>0</v>
      </c>
      <c r="O43" s="15">
        <f t="shared" si="0"/>
        <v>24</v>
      </c>
      <c r="P43" s="15">
        <f t="shared" si="1"/>
        <v>119</v>
      </c>
    </row>
    <row r="44" spans="2:20" ht="23.1" customHeight="1" x14ac:dyDescent="0.25">
      <c r="B44" s="25" t="s">
        <v>71</v>
      </c>
      <c r="C44" s="50">
        <v>3</v>
      </c>
      <c r="D44" s="50">
        <v>0</v>
      </c>
      <c r="E44" s="50">
        <v>4</v>
      </c>
      <c r="F44" s="50">
        <v>3</v>
      </c>
      <c r="G44" s="50">
        <v>0</v>
      </c>
      <c r="H44" s="50">
        <v>0</v>
      </c>
      <c r="I44" s="50">
        <v>0</v>
      </c>
      <c r="J44" s="50">
        <v>4</v>
      </c>
      <c r="K44" s="50">
        <v>0</v>
      </c>
      <c r="L44" s="50">
        <v>0</v>
      </c>
      <c r="M44" s="50">
        <v>100</v>
      </c>
      <c r="N44" s="50">
        <v>0</v>
      </c>
      <c r="O44" s="15">
        <f t="shared" si="0"/>
        <v>14</v>
      </c>
      <c r="P44" s="15">
        <f t="shared" si="1"/>
        <v>114</v>
      </c>
    </row>
    <row r="45" spans="2:20" ht="23.1" customHeight="1" x14ac:dyDescent="0.25">
      <c r="B45" s="23" t="s">
        <v>72</v>
      </c>
      <c r="C45" s="50">
        <v>5</v>
      </c>
      <c r="D45" s="50">
        <v>3</v>
      </c>
      <c r="E45" s="50">
        <v>4</v>
      </c>
      <c r="F45" s="50">
        <v>25</v>
      </c>
      <c r="G45" s="50">
        <v>0</v>
      </c>
      <c r="H45" s="50">
        <v>0</v>
      </c>
      <c r="I45" s="50">
        <v>6</v>
      </c>
      <c r="J45" s="50">
        <v>0</v>
      </c>
      <c r="K45" s="50">
        <v>0</v>
      </c>
      <c r="L45" s="50">
        <v>0</v>
      </c>
      <c r="M45" s="50">
        <v>155</v>
      </c>
      <c r="N45" s="50">
        <v>0</v>
      </c>
      <c r="O45" s="15">
        <f t="shared" si="0"/>
        <v>43</v>
      </c>
      <c r="P45" s="15">
        <f t="shared" si="1"/>
        <v>198</v>
      </c>
    </row>
    <row r="46" spans="2:20" ht="23.1" customHeight="1" x14ac:dyDescent="0.25">
      <c r="B46" s="24" t="s">
        <v>73</v>
      </c>
      <c r="C46" s="50">
        <v>5</v>
      </c>
      <c r="D46" s="50">
        <v>3</v>
      </c>
      <c r="E46" s="50">
        <v>1</v>
      </c>
      <c r="F46" s="50">
        <v>10</v>
      </c>
      <c r="G46" s="50">
        <v>0</v>
      </c>
      <c r="H46" s="50">
        <v>0</v>
      </c>
      <c r="I46" s="50">
        <v>1</v>
      </c>
      <c r="J46" s="50">
        <v>2</v>
      </c>
      <c r="K46" s="50">
        <v>0</v>
      </c>
      <c r="L46" s="50">
        <v>0</v>
      </c>
      <c r="M46" s="50">
        <v>80</v>
      </c>
      <c r="N46" s="50">
        <v>0</v>
      </c>
      <c r="O46" s="15">
        <f t="shared" si="0"/>
        <v>22</v>
      </c>
      <c r="P46" s="15">
        <f t="shared" si="1"/>
        <v>102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6</v>
      </c>
      <c r="E47" s="50">
        <v>1</v>
      </c>
      <c r="F47" s="50">
        <v>3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80</v>
      </c>
      <c r="N47" s="50">
        <v>0</v>
      </c>
      <c r="O47" s="15">
        <f t="shared" si="0"/>
        <v>14</v>
      </c>
      <c r="P47" s="15">
        <f t="shared" si="1"/>
        <v>94</v>
      </c>
      <c r="R47" s="8"/>
      <c r="T47"/>
    </row>
    <row r="48" spans="2:20" ht="23.1" customHeight="1" x14ac:dyDescent="0.25">
      <c r="B48" s="24" t="s">
        <v>75</v>
      </c>
      <c r="C48" s="50">
        <v>1</v>
      </c>
      <c r="D48" s="50">
        <v>4</v>
      </c>
      <c r="E48" s="50">
        <v>5</v>
      </c>
      <c r="F48" s="50">
        <v>20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85</v>
      </c>
      <c r="N48" s="50">
        <v>0</v>
      </c>
      <c r="O48" s="15">
        <f t="shared" si="0"/>
        <v>32</v>
      </c>
      <c r="P48" s="15">
        <f t="shared" si="1"/>
        <v>117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2</v>
      </c>
      <c r="E49" s="50">
        <v>5</v>
      </c>
      <c r="F49" s="50">
        <v>5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40</v>
      </c>
      <c r="N49" s="50">
        <v>0</v>
      </c>
      <c r="O49" s="15">
        <f t="shared" si="0"/>
        <v>16</v>
      </c>
      <c r="P49" s="15">
        <f t="shared" si="1"/>
        <v>56</v>
      </c>
      <c r="R49" s="8"/>
      <c r="T49"/>
    </row>
    <row r="50" spans="2:20" ht="23.1" customHeight="1" x14ac:dyDescent="0.25">
      <c r="B50" s="24" t="s">
        <v>77</v>
      </c>
      <c r="C50" s="50">
        <v>10</v>
      </c>
      <c r="D50" s="50">
        <v>2</v>
      </c>
      <c r="E50" s="50">
        <v>4</v>
      </c>
      <c r="F50" s="50">
        <v>9</v>
      </c>
      <c r="G50" s="50">
        <v>0</v>
      </c>
      <c r="H50" s="50">
        <v>0</v>
      </c>
      <c r="I50" s="50">
        <v>1</v>
      </c>
      <c r="J50" s="50">
        <v>0</v>
      </c>
      <c r="K50" s="50">
        <v>0</v>
      </c>
      <c r="L50" s="50">
        <v>0</v>
      </c>
      <c r="M50" s="50">
        <v>90</v>
      </c>
      <c r="N50" s="50">
        <v>0</v>
      </c>
      <c r="O50" s="15">
        <f t="shared" si="0"/>
        <v>26</v>
      </c>
      <c r="P50" s="15">
        <f t="shared" si="1"/>
        <v>116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2</v>
      </c>
      <c r="E51" s="50">
        <v>5</v>
      </c>
      <c r="F51" s="50">
        <v>3</v>
      </c>
      <c r="G51" s="50">
        <v>0</v>
      </c>
      <c r="H51" s="50">
        <v>0</v>
      </c>
      <c r="I51" s="50">
        <v>3</v>
      </c>
      <c r="J51" s="50">
        <v>2</v>
      </c>
      <c r="K51" s="50">
        <v>0</v>
      </c>
      <c r="L51" s="50">
        <v>0</v>
      </c>
      <c r="M51" s="50">
        <v>80</v>
      </c>
      <c r="N51" s="50">
        <v>0</v>
      </c>
      <c r="O51" s="15">
        <f t="shared" si="0"/>
        <v>17</v>
      </c>
      <c r="P51" s="15">
        <f t="shared" si="1"/>
        <v>97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5</v>
      </c>
      <c r="E52" s="50">
        <v>5</v>
      </c>
      <c r="F52" s="50">
        <v>30</v>
      </c>
      <c r="G52" s="50">
        <v>0</v>
      </c>
      <c r="H52" s="50">
        <v>0</v>
      </c>
      <c r="I52" s="50">
        <v>4</v>
      </c>
      <c r="J52" s="50">
        <v>0</v>
      </c>
      <c r="K52" s="50">
        <v>0</v>
      </c>
      <c r="L52" s="50">
        <v>0</v>
      </c>
      <c r="M52" s="50">
        <v>10</v>
      </c>
      <c r="N52" s="50">
        <v>1</v>
      </c>
      <c r="O52" s="15">
        <f t="shared" si="0"/>
        <v>50</v>
      </c>
      <c r="P52" s="15">
        <f t="shared" si="1"/>
        <v>60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0</v>
      </c>
      <c r="F53" s="50">
        <v>3</v>
      </c>
      <c r="G53" s="50">
        <v>0</v>
      </c>
      <c r="H53" s="50">
        <v>0</v>
      </c>
      <c r="I53" s="50">
        <v>1</v>
      </c>
      <c r="J53" s="50">
        <v>0</v>
      </c>
      <c r="K53" s="50">
        <v>2</v>
      </c>
      <c r="L53" s="50">
        <v>0</v>
      </c>
      <c r="M53" s="50">
        <v>60</v>
      </c>
      <c r="N53" s="50">
        <v>0</v>
      </c>
      <c r="O53" s="15">
        <f t="shared" si="0"/>
        <v>9</v>
      </c>
      <c r="P53" s="15">
        <f t="shared" si="1"/>
        <v>69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1</v>
      </c>
      <c r="F54" s="50">
        <v>30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60</v>
      </c>
      <c r="N54" s="50">
        <v>0</v>
      </c>
      <c r="O54" s="15">
        <f t="shared" si="0"/>
        <v>39</v>
      </c>
      <c r="P54" s="15">
        <f t="shared" si="1"/>
        <v>99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5</v>
      </c>
      <c r="E55" s="50">
        <v>1</v>
      </c>
      <c r="F55" s="50">
        <v>3</v>
      </c>
      <c r="G55" s="50">
        <v>0</v>
      </c>
      <c r="H55" s="50">
        <v>0</v>
      </c>
      <c r="I55" s="50">
        <v>0</v>
      </c>
      <c r="J55" s="50">
        <v>0</v>
      </c>
      <c r="K55" s="50">
        <v>0</v>
      </c>
      <c r="L55" s="50">
        <v>0</v>
      </c>
      <c r="M55" s="50">
        <v>65</v>
      </c>
      <c r="N55" s="50">
        <v>0</v>
      </c>
      <c r="O55" s="15">
        <f t="shared" si="0"/>
        <v>11</v>
      </c>
      <c r="P55" s="15">
        <f t="shared" si="1"/>
        <v>76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1</v>
      </c>
      <c r="E56" s="50">
        <v>0</v>
      </c>
      <c r="F56" s="50">
        <v>4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9</v>
      </c>
      <c r="P56" s="15">
        <f t="shared" si="1"/>
        <v>59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1</v>
      </c>
      <c r="E57" s="50">
        <v>0</v>
      </c>
      <c r="F57" s="50">
        <v>5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60</v>
      </c>
      <c r="N57" s="50">
        <v>0</v>
      </c>
      <c r="O57" s="15">
        <f t="shared" si="0"/>
        <v>12</v>
      </c>
      <c r="P57" s="15">
        <f t="shared" si="1"/>
        <v>72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171</v>
      </c>
      <c r="D58" s="16">
        <f t="shared" si="21"/>
        <v>125</v>
      </c>
      <c r="E58" s="16">
        <f t="shared" si="21"/>
        <v>96</v>
      </c>
      <c r="F58" s="16">
        <f t="shared" si="21"/>
        <v>263</v>
      </c>
      <c r="G58" s="16">
        <f t="shared" si="21"/>
        <v>0</v>
      </c>
      <c r="H58" s="16">
        <f t="shared" si="21"/>
        <v>0</v>
      </c>
      <c r="I58" s="16">
        <f t="shared" si="21"/>
        <v>108</v>
      </c>
      <c r="J58" s="16">
        <f t="shared" si="21"/>
        <v>33</v>
      </c>
      <c r="K58" s="16">
        <f t="shared" si="21"/>
        <v>3</v>
      </c>
      <c r="L58" s="16">
        <f t="shared" si="21"/>
        <v>0</v>
      </c>
      <c r="M58" s="16">
        <f t="shared" si="21"/>
        <v>3491</v>
      </c>
      <c r="N58" s="16">
        <f t="shared" si="21"/>
        <v>3</v>
      </c>
      <c r="O58" s="16">
        <f t="shared" si="21"/>
        <v>802</v>
      </c>
      <c r="P58" s="16">
        <f t="shared" si="21"/>
        <v>4293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3.9832285115303984E-2</v>
      </c>
      <c r="D59" s="43">
        <f t="shared" si="22"/>
        <v>2.9117167481947356E-2</v>
      </c>
      <c r="E59" s="43">
        <f t="shared" si="22"/>
        <v>2.2361984626135568E-2</v>
      </c>
      <c r="F59" s="43">
        <f t="shared" si="22"/>
        <v>6.1262520382017238E-2</v>
      </c>
      <c r="G59" s="43">
        <f t="shared" si="22"/>
        <v>0</v>
      </c>
      <c r="H59" s="43">
        <f t="shared" si="22"/>
        <v>0</v>
      </c>
      <c r="I59" s="43">
        <f t="shared" si="22"/>
        <v>2.5157232704402517E-2</v>
      </c>
      <c r="J59" s="43">
        <f t="shared" si="22"/>
        <v>7.6869322152341019E-3</v>
      </c>
      <c r="K59" s="43">
        <f t="shared" si="22"/>
        <v>6.9881201956673651E-4</v>
      </c>
      <c r="L59" s="43">
        <f t="shared" si="22"/>
        <v>0</v>
      </c>
      <c r="M59" s="43">
        <f t="shared" si="22"/>
        <v>0.81318425343582579</v>
      </c>
      <c r="N59" s="43">
        <f t="shared" si="22"/>
        <v>6.9881201956673651E-4</v>
      </c>
      <c r="R59" s="8"/>
      <c r="T59"/>
    </row>
    <row r="60" spans="2:20" ht="23.1" customHeight="1" x14ac:dyDescent="0.25">
      <c r="B60" s="42" t="s">
        <v>94</v>
      </c>
      <c r="C60" s="44">
        <f>C58/$O$58</f>
        <v>0.21321695760598502</v>
      </c>
      <c r="D60" s="44">
        <f t="shared" ref="D60:N60" si="23">D58/$O$58</f>
        <v>0.15586034912718205</v>
      </c>
      <c r="E60" s="44">
        <f t="shared" si="23"/>
        <v>0.11970074812967581</v>
      </c>
      <c r="F60" s="44">
        <f t="shared" si="23"/>
        <v>0.32793017456359103</v>
      </c>
      <c r="G60" s="44">
        <f t="shared" si="23"/>
        <v>0</v>
      </c>
      <c r="H60" s="44">
        <f t="shared" si="23"/>
        <v>0</v>
      </c>
      <c r="I60" s="44">
        <f t="shared" si="23"/>
        <v>0.13466334164588528</v>
      </c>
      <c r="J60" s="44">
        <f t="shared" si="23"/>
        <v>4.1147132169576058E-2</v>
      </c>
      <c r="K60" s="44">
        <f t="shared" si="23"/>
        <v>3.740648379052369E-3</v>
      </c>
      <c r="L60" s="44">
        <f t="shared" si="23"/>
        <v>0</v>
      </c>
      <c r="M60" s="44"/>
      <c r="N60" s="44">
        <f t="shared" si="23"/>
        <v>3.740648379052369E-3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G5:H5"/>
    <mergeCell ref="G6:H6"/>
    <mergeCell ref="R8:AF8"/>
    <mergeCell ref="B1:AE1"/>
    <mergeCell ref="B2:AE2"/>
    <mergeCell ref="C3:G3"/>
    <mergeCell ref="D6:E6"/>
    <mergeCell ref="K6:L6"/>
    <mergeCell ref="K5:L5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6" sqref="K6:L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'22.08 Iganga-Kaliro'!D5</f>
        <v>22.08.19</v>
      </c>
      <c r="E5" s="3"/>
      <c r="F5" s="41" t="s">
        <v>1</v>
      </c>
      <c r="G5" s="58" t="str">
        <f>'22.08 Iganga-Kaliro'!G5:H5</f>
        <v>Kigulu</v>
      </c>
      <c r="H5" s="59"/>
      <c r="I5" s="14"/>
      <c r="J5" s="2" t="s">
        <v>5</v>
      </c>
      <c r="K5" s="58" t="s">
        <v>169</v>
      </c>
      <c r="L5" s="59"/>
      <c r="M5" s="10"/>
      <c r="N5" s="10"/>
      <c r="O5" s="3"/>
      <c r="P5" s="3"/>
    </row>
    <row r="6" spans="2:32" ht="23.25" customHeight="1" x14ac:dyDescent="0.25">
      <c r="C6" s="2" t="s">
        <v>4</v>
      </c>
      <c r="D6" s="52" t="s">
        <v>164</v>
      </c>
      <c r="E6" s="53"/>
      <c r="F6" s="2" t="s">
        <v>2</v>
      </c>
      <c r="G6" s="52" t="s">
        <v>163</v>
      </c>
      <c r="H6" s="53"/>
      <c r="J6" s="2" t="s">
        <v>21</v>
      </c>
      <c r="K6" s="58" t="str">
        <f>'22.08 Iganga-Kaliro'!K6:L6</f>
        <v>Ivan</v>
      </c>
      <c r="L6" s="59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0</v>
      </c>
      <c r="E10" s="50">
        <v>4</v>
      </c>
      <c r="F10" s="50">
        <v>3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62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72</v>
      </c>
      <c r="R10" s="1" t="s">
        <v>6</v>
      </c>
      <c r="S10" s="17">
        <f t="shared" ref="S10:AF10" si="2">SUM(C10:C13)</f>
        <v>8</v>
      </c>
      <c r="T10" s="17">
        <f t="shared" si="2"/>
        <v>0</v>
      </c>
      <c r="U10" s="17">
        <f t="shared" si="2"/>
        <v>13</v>
      </c>
      <c r="V10" s="17">
        <f t="shared" si="2"/>
        <v>16</v>
      </c>
      <c r="W10" s="17">
        <f t="shared" si="2"/>
        <v>0</v>
      </c>
      <c r="X10" s="17">
        <f t="shared" si="2"/>
        <v>0</v>
      </c>
      <c r="Y10" s="17">
        <f t="shared" si="2"/>
        <v>10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49</v>
      </c>
      <c r="AF10" s="31">
        <f t="shared" si="2"/>
        <v>296</v>
      </c>
    </row>
    <row r="11" spans="2:32" s="6" customFormat="1" ht="23.1" customHeight="1" x14ac:dyDescent="0.25">
      <c r="B11" s="23" t="s">
        <v>38</v>
      </c>
      <c r="C11" s="50">
        <v>3</v>
      </c>
      <c r="D11" s="50">
        <v>0</v>
      </c>
      <c r="E11" s="50">
        <v>5</v>
      </c>
      <c r="F11" s="50">
        <v>4</v>
      </c>
      <c r="G11" s="50">
        <v>0</v>
      </c>
      <c r="H11" s="50">
        <v>0</v>
      </c>
      <c r="I11" s="50">
        <v>2</v>
      </c>
      <c r="J11" s="50">
        <v>0</v>
      </c>
      <c r="K11" s="50">
        <v>0</v>
      </c>
      <c r="L11" s="50">
        <v>0</v>
      </c>
      <c r="M11" s="50">
        <v>59</v>
      </c>
      <c r="N11" s="50">
        <v>0</v>
      </c>
      <c r="O11" s="15">
        <f t="shared" si="0"/>
        <v>14</v>
      </c>
      <c r="P11" s="15">
        <f t="shared" si="1"/>
        <v>73</v>
      </c>
      <c r="R11" s="1" t="s">
        <v>7</v>
      </c>
      <c r="S11" s="17">
        <f t="shared" ref="S11:AF11" si="3">SUM(C14:C17)</f>
        <v>14</v>
      </c>
      <c r="T11" s="17">
        <f t="shared" si="3"/>
        <v>4</v>
      </c>
      <c r="U11" s="17">
        <f t="shared" si="3"/>
        <v>3</v>
      </c>
      <c r="V11" s="17">
        <f t="shared" si="3"/>
        <v>15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254</v>
      </c>
      <c r="AD11" s="17">
        <f t="shared" si="3"/>
        <v>0</v>
      </c>
      <c r="AE11" s="31">
        <f t="shared" si="3"/>
        <v>40</v>
      </c>
      <c r="AF11" s="31">
        <f t="shared" si="3"/>
        <v>294</v>
      </c>
    </row>
    <row r="12" spans="2:32" ht="23.1" customHeight="1" x14ac:dyDescent="0.25">
      <c r="B12" s="23" t="s">
        <v>39</v>
      </c>
      <c r="C12" s="50">
        <v>1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3</v>
      </c>
      <c r="J12" s="50">
        <v>2</v>
      </c>
      <c r="K12" s="50">
        <v>0</v>
      </c>
      <c r="L12" s="50">
        <v>0</v>
      </c>
      <c r="M12" s="50">
        <v>64</v>
      </c>
      <c r="N12" s="50">
        <v>0</v>
      </c>
      <c r="O12" s="15">
        <f t="shared" si="0"/>
        <v>10</v>
      </c>
      <c r="P12" s="15">
        <f t="shared" si="1"/>
        <v>74</v>
      </c>
      <c r="R12" s="1" t="s">
        <v>8</v>
      </c>
      <c r="S12" s="17">
        <f t="shared" ref="S12:AF12" si="4">SUM(C18:C21)</f>
        <v>21</v>
      </c>
      <c r="T12" s="17">
        <f t="shared" si="4"/>
        <v>1</v>
      </c>
      <c r="U12" s="17">
        <f t="shared" si="4"/>
        <v>1</v>
      </c>
      <c r="V12" s="17">
        <f t="shared" si="4"/>
        <v>12</v>
      </c>
      <c r="W12" s="17">
        <f t="shared" si="4"/>
        <v>2</v>
      </c>
      <c r="X12" s="17">
        <f t="shared" si="4"/>
        <v>0</v>
      </c>
      <c r="Y12" s="17">
        <f t="shared" si="4"/>
        <v>5</v>
      </c>
      <c r="Z12" s="17">
        <f t="shared" si="4"/>
        <v>2</v>
      </c>
      <c r="AA12" s="17">
        <f t="shared" si="4"/>
        <v>0</v>
      </c>
      <c r="AB12" s="17">
        <f t="shared" si="4"/>
        <v>0</v>
      </c>
      <c r="AC12" s="17">
        <f t="shared" si="4"/>
        <v>425</v>
      </c>
      <c r="AD12" s="17">
        <f t="shared" si="4"/>
        <v>0</v>
      </c>
      <c r="AE12" s="31">
        <f t="shared" si="4"/>
        <v>44</v>
      </c>
      <c r="AF12" s="31">
        <f t="shared" si="4"/>
        <v>469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3</v>
      </c>
      <c r="F13" s="50">
        <v>6</v>
      </c>
      <c r="G13" s="50">
        <v>0</v>
      </c>
      <c r="H13" s="50">
        <v>0</v>
      </c>
      <c r="I13" s="50">
        <v>5</v>
      </c>
      <c r="J13" s="50">
        <v>0</v>
      </c>
      <c r="K13" s="50">
        <v>0</v>
      </c>
      <c r="L13" s="50">
        <v>0</v>
      </c>
      <c r="M13" s="50">
        <v>62</v>
      </c>
      <c r="N13" s="50">
        <v>0</v>
      </c>
      <c r="O13" s="15">
        <f t="shared" si="0"/>
        <v>15</v>
      </c>
      <c r="P13" s="15">
        <f t="shared" si="1"/>
        <v>77</v>
      </c>
      <c r="R13" s="1" t="s">
        <v>9</v>
      </c>
      <c r="S13" s="17">
        <f t="shared" ref="S13:AF13" si="5">SUM(C22:C25)</f>
        <v>12</v>
      </c>
      <c r="T13" s="17">
        <f t="shared" si="5"/>
        <v>1</v>
      </c>
      <c r="U13" s="17">
        <f t="shared" si="5"/>
        <v>3</v>
      </c>
      <c r="V13" s="17">
        <f t="shared" si="5"/>
        <v>11</v>
      </c>
      <c r="W13" s="17">
        <f t="shared" si="5"/>
        <v>0</v>
      </c>
      <c r="X13" s="17">
        <f t="shared" si="5"/>
        <v>0</v>
      </c>
      <c r="Y13" s="17">
        <f t="shared" si="5"/>
        <v>11</v>
      </c>
      <c r="Z13" s="17">
        <f t="shared" si="5"/>
        <v>2</v>
      </c>
      <c r="AA13" s="17">
        <f t="shared" si="5"/>
        <v>1</v>
      </c>
      <c r="AB13" s="17">
        <f t="shared" si="5"/>
        <v>0</v>
      </c>
      <c r="AC13" s="17">
        <f t="shared" si="5"/>
        <v>381</v>
      </c>
      <c r="AD13" s="17">
        <f t="shared" si="5"/>
        <v>0</v>
      </c>
      <c r="AE13" s="31">
        <f t="shared" si="5"/>
        <v>41</v>
      </c>
      <c r="AF13" s="31">
        <f t="shared" si="5"/>
        <v>422</v>
      </c>
    </row>
    <row r="14" spans="2:32" ht="23.1" customHeight="1" x14ac:dyDescent="0.25">
      <c r="B14" s="23" t="s">
        <v>41</v>
      </c>
      <c r="C14" s="50">
        <v>1</v>
      </c>
      <c r="D14" s="50">
        <v>1</v>
      </c>
      <c r="E14" s="50">
        <v>1</v>
      </c>
      <c r="F14" s="50">
        <v>2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50</v>
      </c>
      <c r="N14" s="50">
        <v>0</v>
      </c>
      <c r="O14" s="15">
        <f t="shared" si="0"/>
        <v>6</v>
      </c>
      <c r="P14" s="15">
        <f t="shared" si="1"/>
        <v>56</v>
      </c>
      <c r="R14" s="1" t="s">
        <v>10</v>
      </c>
      <c r="S14" s="17">
        <f t="shared" ref="S14:AF14" si="6">SUM(C26:C29)</f>
        <v>21</v>
      </c>
      <c r="T14" s="17">
        <f t="shared" si="6"/>
        <v>1</v>
      </c>
      <c r="U14" s="17">
        <f t="shared" si="6"/>
        <v>4</v>
      </c>
      <c r="V14" s="17">
        <f t="shared" si="6"/>
        <v>8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1</v>
      </c>
      <c r="AA14" s="17">
        <f t="shared" si="6"/>
        <v>1</v>
      </c>
      <c r="AB14" s="17">
        <f t="shared" si="6"/>
        <v>0</v>
      </c>
      <c r="AC14" s="17">
        <f t="shared" si="6"/>
        <v>347</v>
      </c>
      <c r="AD14" s="17">
        <f t="shared" si="6"/>
        <v>0</v>
      </c>
      <c r="AE14" s="31">
        <f t="shared" si="6"/>
        <v>41</v>
      </c>
      <c r="AF14" s="31">
        <f t="shared" si="6"/>
        <v>388</v>
      </c>
    </row>
    <row r="15" spans="2:32" ht="23.1" customHeight="1" x14ac:dyDescent="0.25">
      <c r="B15" s="23" t="s">
        <v>42</v>
      </c>
      <c r="C15" s="50">
        <v>2</v>
      </c>
      <c r="D15" s="50">
        <v>2</v>
      </c>
      <c r="E15" s="50">
        <v>1</v>
      </c>
      <c r="F15" s="50">
        <v>4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29</v>
      </c>
      <c r="N15" s="50">
        <v>0</v>
      </c>
      <c r="O15" s="15">
        <f t="shared" si="0"/>
        <v>10</v>
      </c>
      <c r="P15" s="15">
        <f t="shared" si="1"/>
        <v>39</v>
      </c>
      <c r="R15" s="1" t="s">
        <v>11</v>
      </c>
      <c r="S15" s="17">
        <f t="shared" ref="S15:AF15" si="7">SUM(C30:C33)</f>
        <v>9</v>
      </c>
      <c r="T15" s="17">
        <f t="shared" si="7"/>
        <v>2</v>
      </c>
      <c r="U15" s="17">
        <f t="shared" si="7"/>
        <v>3</v>
      </c>
      <c r="V15" s="17">
        <f t="shared" si="7"/>
        <v>7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1</v>
      </c>
      <c r="AA15" s="17">
        <f t="shared" si="7"/>
        <v>1</v>
      </c>
      <c r="AB15" s="17">
        <f t="shared" si="7"/>
        <v>0</v>
      </c>
      <c r="AC15" s="17">
        <f t="shared" si="7"/>
        <v>306</v>
      </c>
      <c r="AD15" s="17">
        <f t="shared" si="7"/>
        <v>0</v>
      </c>
      <c r="AE15" s="31">
        <f t="shared" si="7"/>
        <v>27</v>
      </c>
      <c r="AF15" s="31">
        <f t="shared" si="7"/>
        <v>333</v>
      </c>
    </row>
    <row r="16" spans="2:32" ht="23.1" customHeight="1" x14ac:dyDescent="0.25">
      <c r="B16" s="23" t="s">
        <v>43</v>
      </c>
      <c r="C16" s="50">
        <v>7</v>
      </c>
      <c r="D16" s="50">
        <v>1</v>
      </c>
      <c r="E16" s="50">
        <v>0</v>
      </c>
      <c r="F16" s="50">
        <v>4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75</v>
      </c>
      <c r="N16" s="50">
        <v>0</v>
      </c>
      <c r="O16" s="15">
        <f t="shared" si="0"/>
        <v>14</v>
      </c>
      <c r="P16" s="15">
        <f t="shared" si="1"/>
        <v>89</v>
      </c>
      <c r="R16" s="1" t="s">
        <v>12</v>
      </c>
      <c r="S16" s="17">
        <f t="shared" ref="S16:AF16" si="8">SUM(C34:C37)</f>
        <v>8</v>
      </c>
      <c r="T16" s="17">
        <f t="shared" si="8"/>
        <v>3</v>
      </c>
      <c r="U16" s="17">
        <f t="shared" si="8"/>
        <v>3</v>
      </c>
      <c r="V16" s="17">
        <f t="shared" si="8"/>
        <v>6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12</v>
      </c>
      <c r="AA16" s="17">
        <f t="shared" si="8"/>
        <v>0</v>
      </c>
      <c r="AB16" s="17">
        <f t="shared" si="8"/>
        <v>0</v>
      </c>
      <c r="AC16" s="17">
        <f t="shared" si="8"/>
        <v>350</v>
      </c>
      <c r="AD16" s="17">
        <f t="shared" si="8"/>
        <v>0</v>
      </c>
      <c r="AE16" s="31">
        <f t="shared" si="8"/>
        <v>38</v>
      </c>
      <c r="AF16" s="31">
        <f t="shared" si="8"/>
        <v>388</v>
      </c>
    </row>
    <row r="17" spans="2:32" ht="23.1" customHeight="1" x14ac:dyDescent="0.25">
      <c r="B17" s="23" t="s">
        <v>44</v>
      </c>
      <c r="C17" s="50">
        <v>4</v>
      </c>
      <c r="D17" s="50">
        <v>0</v>
      </c>
      <c r="E17" s="50">
        <v>1</v>
      </c>
      <c r="F17" s="50">
        <v>5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100</v>
      </c>
      <c r="N17" s="50">
        <v>0</v>
      </c>
      <c r="O17" s="15">
        <f t="shared" si="0"/>
        <v>10</v>
      </c>
      <c r="P17" s="15">
        <f t="shared" si="1"/>
        <v>110</v>
      </c>
      <c r="R17" s="1" t="s">
        <v>13</v>
      </c>
      <c r="S17" s="17">
        <f t="shared" ref="S17:AF17" si="9">SUM(C38:C41)</f>
        <v>18</v>
      </c>
      <c r="T17" s="17">
        <f t="shared" si="9"/>
        <v>7</v>
      </c>
      <c r="U17" s="17">
        <f t="shared" si="9"/>
        <v>8</v>
      </c>
      <c r="V17" s="17">
        <f t="shared" si="9"/>
        <v>16</v>
      </c>
      <c r="W17" s="17">
        <f t="shared" si="9"/>
        <v>1</v>
      </c>
      <c r="X17" s="17">
        <f t="shared" si="9"/>
        <v>2</v>
      </c>
      <c r="Y17" s="17">
        <f t="shared" si="9"/>
        <v>3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285</v>
      </c>
      <c r="AD17" s="17">
        <f t="shared" si="9"/>
        <v>0</v>
      </c>
      <c r="AE17" s="31">
        <f t="shared" si="9"/>
        <v>57</v>
      </c>
      <c r="AF17" s="31">
        <f t="shared" si="9"/>
        <v>342</v>
      </c>
    </row>
    <row r="18" spans="2:32" ht="23.1" customHeight="1" x14ac:dyDescent="0.25">
      <c r="B18" s="23" t="s">
        <v>45</v>
      </c>
      <c r="C18" s="50">
        <v>6</v>
      </c>
      <c r="D18" s="50">
        <v>0</v>
      </c>
      <c r="E18" s="50">
        <v>1</v>
      </c>
      <c r="F18" s="50">
        <v>5</v>
      </c>
      <c r="G18" s="50">
        <v>1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80</v>
      </c>
      <c r="N18" s="50">
        <v>0</v>
      </c>
      <c r="O18" s="15">
        <f t="shared" si="0"/>
        <v>15</v>
      </c>
      <c r="P18" s="15">
        <f t="shared" si="1"/>
        <v>95</v>
      </c>
      <c r="R18" s="1" t="s">
        <v>14</v>
      </c>
      <c r="S18" s="17">
        <f t="shared" ref="S18:AF18" si="10">SUM(C42:C45)</f>
        <v>21</v>
      </c>
      <c r="T18" s="17">
        <f t="shared" si="10"/>
        <v>12</v>
      </c>
      <c r="U18" s="17">
        <f t="shared" si="10"/>
        <v>16</v>
      </c>
      <c r="V18" s="17">
        <f t="shared" si="10"/>
        <v>16</v>
      </c>
      <c r="W18" s="17">
        <f t="shared" si="10"/>
        <v>1</v>
      </c>
      <c r="X18" s="17">
        <f t="shared" si="10"/>
        <v>0</v>
      </c>
      <c r="Y18" s="17">
        <f t="shared" si="10"/>
        <v>8</v>
      </c>
      <c r="Z18" s="17">
        <f t="shared" si="10"/>
        <v>7</v>
      </c>
      <c r="AA18" s="17">
        <f t="shared" si="10"/>
        <v>0</v>
      </c>
      <c r="AB18" s="17">
        <f t="shared" si="10"/>
        <v>0</v>
      </c>
      <c r="AC18" s="17">
        <f t="shared" si="10"/>
        <v>246</v>
      </c>
      <c r="AD18" s="17">
        <f t="shared" si="10"/>
        <v>0</v>
      </c>
      <c r="AE18" s="31">
        <f t="shared" si="10"/>
        <v>81</v>
      </c>
      <c r="AF18" s="31">
        <f t="shared" si="10"/>
        <v>327</v>
      </c>
    </row>
    <row r="19" spans="2:32" ht="23.1" customHeight="1" x14ac:dyDescent="0.25">
      <c r="B19" s="23" t="s">
        <v>46</v>
      </c>
      <c r="C19" s="50">
        <v>5</v>
      </c>
      <c r="D19" s="50">
        <v>0</v>
      </c>
      <c r="E19" s="50">
        <v>0</v>
      </c>
      <c r="F19" s="50">
        <v>7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125</v>
      </c>
      <c r="N19" s="50">
        <v>0</v>
      </c>
      <c r="O19" s="15">
        <f t="shared" si="0"/>
        <v>13</v>
      </c>
      <c r="P19" s="15">
        <f t="shared" si="1"/>
        <v>138</v>
      </c>
      <c r="R19" s="1" t="s">
        <v>15</v>
      </c>
      <c r="S19" s="17">
        <f t="shared" ref="S19:AF19" si="11">SUM(C46:C49)</f>
        <v>18</v>
      </c>
      <c r="T19" s="17">
        <f t="shared" si="11"/>
        <v>9</v>
      </c>
      <c r="U19" s="17">
        <f t="shared" si="11"/>
        <v>6</v>
      </c>
      <c r="V19" s="17">
        <f t="shared" si="11"/>
        <v>15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241</v>
      </c>
      <c r="AD19" s="17">
        <f t="shared" si="11"/>
        <v>0</v>
      </c>
      <c r="AE19" s="31">
        <f t="shared" si="11"/>
        <v>53</v>
      </c>
      <c r="AF19" s="31">
        <f t="shared" si="11"/>
        <v>294</v>
      </c>
    </row>
    <row r="20" spans="2:32" ht="23.1" customHeight="1" x14ac:dyDescent="0.25">
      <c r="B20" s="23" t="s">
        <v>47</v>
      </c>
      <c r="C20" s="50">
        <v>5</v>
      </c>
      <c r="D20" s="50">
        <v>0</v>
      </c>
      <c r="E20" s="50">
        <v>0</v>
      </c>
      <c r="F20" s="50">
        <v>0</v>
      </c>
      <c r="G20" s="50">
        <v>0</v>
      </c>
      <c r="H20" s="50">
        <v>0</v>
      </c>
      <c r="I20" s="50">
        <v>1</v>
      </c>
      <c r="J20" s="50">
        <v>2</v>
      </c>
      <c r="K20" s="50">
        <v>0</v>
      </c>
      <c r="L20" s="50">
        <v>0</v>
      </c>
      <c r="M20" s="50">
        <v>105</v>
      </c>
      <c r="N20" s="50">
        <v>0</v>
      </c>
      <c r="O20" s="15">
        <f t="shared" si="0"/>
        <v>8</v>
      </c>
      <c r="P20" s="15">
        <f t="shared" si="1"/>
        <v>113</v>
      </c>
      <c r="R20" s="1" t="s">
        <v>16</v>
      </c>
      <c r="S20" s="17">
        <f t="shared" ref="S20:AF20" si="12">SUM(C50:C53)</f>
        <v>5</v>
      </c>
      <c r="T20" s="17">
        <f t="shared" si="12"/>
        <v>0</v>
      </c>
      <c r="U20" s="17">
        <f t="shared" si="12"/>
        <v>4</v>
      </c>
      <c r="V20" s="17">
        <f t="shared" si="12"/>
        <v>13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223</v>
      </c>
      <c r="AD20" s="17">
        <f t="shared" si="12"/>
        <v>0</v>
      </c>
      <c r="AE20" s="31">
        <f t="shared" si="12"/>
        <v>27</v>
      </c>
      <c r="AF20" s="31">
        <f t="shared" si="12"/>
        <v>250</v>
      </c>
    </row>
    <row r="21" spans="2:32" ht="23.1" customHeight="1" x14ac:dyDescent="0.25">
      <c r="B21" s="23" t="s">
        <v>48</v>
      </c>
      <c r="C21" s="50">
        <v>5</v>
      </c>
      <c r="D21" s="50">
        <v>1</v>
      </c>
      <c r="E21" s="50">
        <v>0</v>
      </c>
      <c r="F21" s="50">
        <v>0</v>
      </c>
      <c r="G21" s="50">
        <v>1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115</v>
      </c>
      <c r="N21" s="50">
        <v>0</v>
      </c>
      <c r="O21" s="15">
        <f t="shared" si="0"/>
        <v>8</v>
      </c>
      <c r="P21" s="15">
        <f t="shared" si="1"/>
        <v>123</v>
      </c>
      <c r="R21" s="36" t="s">
        <v>20</v>
      </c>
      <c r="S21" s="34">
        <f t="shared" ref="S21:AF21" si="13">SUM(C54:C57)</f>
        <v>15</v>
      </c>
      <c r="T21" s="17">
        <f t="shared" si="13"/>
        <v>1</v>
      </c>
      <c r="U21" s="17">
        <f t="shared" si="13"/>
        <v>8</v>
      </c>
      <c r="V21" s="17">
        <f t="shared" si="13"/>
        <v>12</v>
      </c>
      <c r="W21" s="17">
        <f t="shared" si="13"/>
        <v>0</v>
      </c>
      <c r="X21" s="17">
        <f t="shared" si="13"/>
        <v>0</v>
      </c>
      <c r="Y21" s="17">
        <f t="shared" si="13"/>
        <v>1</v>
      </c>
      <c r="Z21" s="17">
        <f t="shared" si="13"/>
        <v>1</v>
      </c>
      <c r="AA21" s="17">
        <f t="shared" si="13"/>
        <v>0</v>
      </c>
      <c r="AB21" s="17">
        <f t="shared" si="13"/>
        <v>0</v>
      </c>
      <c r="AC21" s="17">
        <f t="shared" si="13"/>
        <v>220</v>
      </c>
      <c r="AD21" s="17">
        <f t="shared" si="13"/>
        <v>0</v>
      </c>
      <c r="AE21" s="31">
        <f t="shared" si="13"/>
        <v>38</v>
      </c>
      <c r="AF21" s="31">
        <f t="shared" si="13"/>
        <v>258</v>
      </c>
    </row>
    <row r="22" spans="2:32" ht="23.1" customHeight="1" x14ac:dyDescent="0.25">
      <c r="B22" s="23" t="s">
        <v>49</v>
      </c>
      <c r="C22" s="50">
        <v>5</v>
      </c>
      <c r="D22" s="50">
        <v>0</v>
      </c>
      <c r="E22" s="50">
        <v>1</v>
      </c>
      <c r="F22" s="50">
        <v>4</v>
      </c>
      <c r="G22" s="50">
        <v>0</v>
      </c>
      <c r="H22" s="50">
        <v>0</v>
      </c>
      <c r="I22" s="50">
        <v>4</v>
      </c>
      <c r="J22" s="50">
        <v>1</v>
      </c>
      <c r="K22" s="50">
        <v>0</v>
      </c>
      <c r="L22" s="50">
        <v>0</v>
      </c>
      <c r="M22" s="50">
        <v>117</v>
      </c>
      <c r="N22" s="50">
        <v>0</v>
      </c>
      <c r="O22" s="15">
        <f t="shared" si="0"/>
        <v>15</v>
      </c>
      <c r="P22" s="15">
        <f t="shared" si="1"/>
        <v>132</v>
      </c>
      <c r="R22" s="38" t="s">
        <v>90</v>
      </c>
      <c r="S22" s="39">
        <f>MAX(S10:S12)</f>
        <v>21</v>
      </c>
      <c r="T22" s="39">
        <f t="shared" ref="T22:AF22" si="14">MAX(T10:T12)</f>
        <v>4</v>
      </c>
      <c r="U22" s="39">
        <f t="shared" si="14"/>
        <v>13</v>
      </c>
      <c r="V22" s="39">
        <f t="shared" si="14"/>
        <v>16</v>
      </c>
      <c r="W22" s="39">
        <f t="shared" si="14"/>
        <v>2</v>
      </c>
      <c r="X22" s="39">
        <f t="shared" si="14"/>
        <v>0</v>
      </c>
      <c r="Y22" s="39">
        <f t="shared" si="14"/>
        <v>10</v>
      </c>
      <c r="Z22" s="39">
        <f t="shared" si="14"/>
        <v>2</v>
      </c>
      <c r="AA22" s="39">
        <f t="shared" si="14"/>
        <v>0</v>
      </c>
      <c r="AB22" s="39">
        <f t="shared" si="14"/>
        <v>0</v>
      </c>
      <c r="AC22" s="39">
        <f t="shared" si="14"/>
        <v>425</v>
      </c>
      <c r="AD22" s="39">
        <f t="shared" si="14"/>
        <v>0</v>
      </c>
      <c r="AE22" s="40">
        <f t="shared" si="14"/>
        <v>49</v>
      </c>
      <c r="AF22" s="40">
        <f t="shared" si="14"/>
        <v>469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0</v>
      </c>
      <c r="F23" s="50">
        <v>4</v>
      </c>
      <c r="G23" s="50">
        <v>0</v>
      </c>
      <c r="H23" s="50">
        <v>0</v>
      </c>
      <c r="I23" s="50">
        <v>4</v>
      </c>
      <c r="J23" s="50">
        <v>0</v>
      </c>
      <c r="K23" s="50">
        <v>1</v>
      </c>
      <c r="L23" s="50">
        <v>0</v>
      </c>
      <c r="M23" s="50">
        <v>95</v>
      </c>
      <c r="N23" s="50">
        <v>0</v>
      </c>
      <c r="O23" s="15">
        <f t="shared" si="0"/>
        <v>14</v>
      </c>
      <c r="P23" s="15">
        <f t="shared" si="1"/>
        <v>109</v>
      </c>
      <c r="R23" s="38" t="s">
        <v>91</v>
      </c>
      <c r="S23" s="39">
        <f>MAX(S13:S18)</f>
        <v>21</v>
      </c>
      <c r="T23" s="39">
        <f t="shared" ref="T23:AF23" si="15">MAX(T13:T18)</f>
        <v>12</v>
      </c>
      <c r="U23" s="39">
        <f t="shared" si="15"/>
        <v>16</v>
      </c>
      <c r="V23" s="39">
        <f t="shared" si="15"/>
        <v>16</v>
      </c>
      <c r="W23" s="39">
        <f t="shared" si="15"/>
        <v>1</v>
      </c>
      <c r="X23" s="39">
        <f t="shared" si="15"/>
        <v>2</v>
      </c>
      <c r="Y23" s="39">
        <f t="shared" si="15"/>
        <v>11</v>
      </c>
      <c r="Z23" s="39">
        <f t="shared" si="15"/>
        <v>12</v>
      </c>
      <c r="AA23" s="39">
        <f t="shared" si="15"/>
        <v>1</v>
      </c>
      <c r="AB23" s="39">
        <f t="shared" si="15"/>
        <v>0</v>
      </c>
      <c r="AC23" s="39">
        <f t="shared" si="15"/>
        <v>381</v>
      </c>
      <c r="AD23" s="39">
        <f t="shared" si="15"/>
        <v>0</v>
      </c>
      <c r="AE23" s="40">
        <f t="shared" si="15"/>
        <v>81</v>
      </c>
      <c r="AF23" s="40">
        <f t="shared" si="15"/>
        <v>422</v>
      </c>
    </row>
    <row r="24" spans="2:32" ht="23.1" customHeight="1" x14ac:dyDescent="0.25">
      <c r="B24" s="23" t="s">
        <v>51</v>
      </c>
      <c r="C24" s="50">
        <v>3</v>
      </c>
      <c r="D24" s="50">
        <v>0</v>
      </c>
      <c r="E24" s="50">
        <v>2</v>
      </c>
      <c r="F24" s="50">
        <v>2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98</v>
      </c>
      <c r="N24" s="50">
        <v>0</v>
      </c>
      <c r="O24" s="15">
        <f t="shared" si="0"/>
        <v>10</v>
      </c>
      <c r="P24" s="15">
        <f t="shared" si="1"/>
        <v>108</v>
      </c>
      <c r="R24" s="38" t="s">
        <v>92</v>
      </c>
      <c r="S24" s="39">
        <f>MAX(S19:S21)</f>
        <v>18</v>
      </c>
      <c r="T24" s="39">
        <f t="shared" ref="T24:AF24" si="16">MAX(T19:T21)</f>
        <v>9</v>
      </c>
      <c r="U24" s="39">
        <f t="shared" si="16"/>
        <v>8</v>
      </c>
      <c r="V24" s="39">
        <f t="shared" si="16"/>
        <v>15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1</v>
      </c>
      <c r="AA24" s="39">
        <f t="shared" si="16"/>
        <v>0</v>
      </c>
      <c r="AB24" s="39">
        <f t="shared" si="16"/>
        <v>0</v>
      </c>
      <c r="AC24" s="39">
        <f t="shared" si="16"/>
        <v>241</v>
      </c>
      <c r="AD24" s="39">
        <f t="shared" si="16"/>
        <v>0</v>
      </c>
      <c r="AE24" s="40">
        <f t="shared" si="16"/>
        <v>53</v>
      </c>
      <c r="AF24" s="40">
        <f t="shared" si="16"/>
        <v>294</v>
      </c>
    </row>
    <row r="25" spans="2:32" ht="23.1" customHeight="1" x14ac:dyDescent="0.25">
      <c r="B25" s="23" t="s">
        <v>52</v>
      </c>
      <c r="C25" s="50">
        <v>0</v>
      </c>
      <c r="D25" s="50">
        <v>0</v>
      </c>
      <c r="E25" s="50">
        <v>0</v>
      </c>
      <c r="F25" s="50">
        <v>1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71</v>
      </c>
      <c r="N25" s="50">
        <v>0</v>
      </c>
      <c r="O25" s="15">
        <f t="shared" si="0"/>
        <v>2</v>
      </c>
      <c r="P25" s="15">
        <f t="shared" si="1"/>
        <v>73</v>
      </c>
      <c r="R25" s="37" t="s">
        <v>85</v>
      </c>
      <c r="S25" s="35">
        <f t="shared" ref="S25:AF25" si="17">SUM(S10:S12)</f>
        <v>43</v>
      </c>
      <c r="T25" s="16">
        <f t="shared" si="17"/>
        <v>5</v>
      </c>
      <c r="U25" s="16">
        <f t="shared" si="17"/>
        <v>17</v>
      </c>
      <c r="V25" s="16">
        <f t="shared" si="17"/>
        <v>43</v>
      </c>
      <c r="W25" s="16">
        <f t="shared" si="17"/>
        <v>2</v>
      </c>
      <c r="X25" s="16">
        <f t="shared" si="17"/>
        <v>0</v>
      </c>
      <c r="Y25" s="16">
        <f t="shared" si="17"/>
        <v>18</v>
      </c>
      <c r="Z25" s="16">
        <f t="shared" si="17"/>
        <v>5</v>
      </c>
      <c r="AA25" s="16">
        <f t="shared" si="17"/>
        <v>0</v>
      </c>
      <c r="AB25" s="16">
        <f t="shared" si="17"/>
        <v>0</v>
      </c>
      <c r="AC25" s="16">
        <f t="shared" si="17"/>
        <v>926</v>
      </c>
      <c r="AD25" s="16">
        <f t="shared" si="17"/>
        <v>0</v>
      </c>
      <c r="AE25" s="32">
        <f t="shared" si="17"/>
        <v>133</v>
      </c>
      <c r="AF25" s="32">
        <f t="shared" si="17"/>
        <v>1059</v>
      </c>
    </row>
    <row r="26" spans="2:32" ht="23.1" customHeight="1" x14ac:dyDescent="0.25">
      <c r="B26" s="23" t="s">
        <v>53</v>
      </c>
      <c r="C26" s="50">
        <v>12</v>
      </c>
      <c r="D26" s="50">
        <v>0</v>
      </c>
      <c r="E26" s="50">
        <v>1</v>
      </c>
      <c r="F26" s="50">
        <v>2</v>
      </c>
      <c r="G26" s="50">
        <v>0</v>
      </c>
      <c r="H26" s="50">
        <v>0</v>
      </c>
      <c r="I26" s="50">
        <v>1</v>
      </c>
      <c r="J26" s="50">
        <v>0</v>
      </c>
      <c r="K26" s="50">
        <v>1</v>
      </c>
      <c r="L26" s="50">
        <v>0</v>
      </c>
      <c r="M26" s="50">
        <v>119</v>
      </c>
      <c r="N26" s="50">
        <v>0</v>
      </c>
      <c r="O26" s="15">
        <f t="shared" si="0"/>
        <v>17</v>
      </c>
      <c r="P26" s="15">
        <f t="shared" si="1"/>
        <v>136</v>
      </c>
      <c r="R26" s="28" t="s">
        <v>86</v>
      </c>
      <c r="S26" s="16">
        <f t="shared" ref="S26:AF26" si="18">SUM(S13:S18)</f>
        <v>89</v>
      </c>
      <c r="T26" s="16">
        <f t="shared" si="18"/>
        <v>26</v>
      </c>
      <c r="U26" s="16">
        <f t="shared" si="18"/>
        <v>37</v>
      </c>
      <c r="V26" s="16">
        <f t="shared" si="18"/>
        <v>64</v>
      </c>
      <c r="W26" s="16">
        <f t="shared" si="18"/>
        <v>3</v>
      </c>
      <c r="X26" s="16">
        <f t="shared" si="18"/>
        <v>2</v>
      </c>
      <c r="Y26" s="16">
        <f t="shared" si="18"/>
        <v>36</v>
      </c>
      <c r="Z26" s="16">
        <f t="shared" si="18"/>
        <v>25</v>
      </c>
      <c r="AA26" s="16">
        <f t="shared" si="18"/>
        <v>3</v>
      </c>
      <c r="AB26" s="16">
        <f t="shared" si="18"/>
        <v>0</v>
      </c>
      <c r="AC26" s="16">
        <f t="shared" si="18"/>
        <v>1915</v>
      </c>
      <c r="AD26" s="16">
        <f t="shared" si="18"/>
        <v>0</v>
      </c>
      <c r="AE26" s="32">
        <f t="shared" si="18"/>
        <v>285</v>
      </c>
      <c r="AF26" s="32">
        <f t="shared" si="18"/>
        <v>2200</v>
      </c>
    </row>
    <row r="27" spans="2:32" ht="23.1" customHeight="1" x14ac:dyDescent="0.25">
      <c r="B27" s="23" t="s">
        <v>54</v>
      </c>
      <c r="C27" s="50">
        <v>1</v>
      </c>
      <c r="D27" s="50">
        <v>1</v>
      </c>
      <c r="E27" s="50">
        <v>1</v>
      </c>
      <c r="F27" s="50">
        <v>1</v>
      </c>
      <c r="G27" s="50">
        <v>0</v>
      </c>
      <c r="H27" s="50">
        <v>0</v>
      </c>
      <c r="I27" s="50">
        <v>3</v>
      </c>
      <c r="J27" s="50">
        <v>0</v>
      </c>
      <c r="K27" s="50">
        <v>0</v>
      </c>
      <c r="L27" s="50">
        <v>0</v>
      </c>
      <c r="M27" s="50">
        <v>89</v>
      </c>
      <c r="N27" s="50">
        <v>0</v>
      </c>
      <c r="O27" s="15">
        <f t="shared" si="0"/>
        <v>7</v>
      </c>
      <c r="P27" s="15">
        <f t="shared" si="1"/>
        <v>96</v>
      </c>
      <c r="R27" s="29" t="s">
        <v>87</v>
      </c>
      <c r="S27" s="16">
        <f t="shared" ref="S27:AF27" si="19">SUM(S19:S21)</f>
        <v>38</v>
      </c>
      <c r="T27" s="16">
        <f t="shared" si="19"/>
        <v>10</v>
      </c>
      <c r="U27" s="16">
        <f t="shared" si="19"/>
        <v>18</v>
      </c>
      <c r="V27" s="16">
        <f t="shared" si="19"/>
        <v>40</v>
      </c>
      <c r="W27" s="16">
        <f t="shared" si="19"/>
        <v>0</v>
      </c>
      <c r="X27" s="16">
        <f t="shared" si="19"/>
        <v>0</v>
      </c>
      <c r="Y27" s="16">
        <f t="shared" si="19"/>
        <v>10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684</v>
      </c>
      <c r="AD27" s="16">
        <f t="shared" si="19"/>
        <v>0</v>
      </c>
      <c r="AE27" s="32">
        <f t="shared" si="19"/>
        <v>118</v>
      </c>
      <c r="AF27" s="32">
        <f t="shared" si="19"/>
        <v>802</v>
      </c>
    </row>
    <row r="28" spans="2:32" ht="23.1" customHeight="1" x14ac:dyDescent="0.25">
      <c r="B28" s="23" t="s">
        <v>55</v>
      </c>
      <c r="C28" s="50">
        <v>4</v>
      </c>
      <c r="D28" s="50">
        <v>0</v>
      </c>
      <c r="E28" s="50">
        <v>2</v>
      </c>
      <c r="F28" s="50">
        <v>4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58</v>
      </c>
      <c r="N28" s="50">
        <v>0</v>
      </c>
      <c r="O28" s="15">
        <f t="shared" si="0"/>
        <v>12</v>
      </c>
      <c r="P28" s="15">
        <f t="shared" si="1"/>
        <v>70</v>
      </c>
      <c r="R28" s="5" t="s">
        <v>17</v>
      </c>
      <c r="S28" s="16">
        <f t="shared" ref="S28:AF28" si="20">SUM(S10:S21)</f>
        <v>170</v>
      </c>
      <c r="T28" s="16">
        <f t="shared" si="20"/>
        <v>41</v>
      </c>
      <c r="U28" s="16">
        <f t="shared" si="20"/>
        <v>72</v>
      </c>
      <c r="V28" s="16">
        <f t="shared" si="20"/>
        <v>147</v>
      </c>
      <c r="W28" s="16">
        <f t="shared" si="20"/>
        <v>5</v>
      </c>
      <c r="X28" s="16">
        <f t="shared" si="20"/>
        <v>2</v>
      </c>
      <c r="Y28" s="16">
        <f t="shared" si="20"/>
        <v>64</v>
      </c>
      <c r="Z28" s="16">
        <f t="shared" si="20"/>
        <v>32</v>
      </c>
      <c r="AA28" s="16">
        <f t="shared" si="20"/>
        <v>3</v>
      </c>
      <c r="AB28" s="16">
        <f t="shared" si="20"/>
        <v>0</v>
      </c>
      <c r="AC28" s="16">
        <f t="shared" si="20"/>
        <v>3525</v>
      </c>
      <c r="AD28" s="16">
        <f t="shared" si="20"/>
        <v>0</v>
      </c>
      <c r="AE28" s="32">
        <f t="shared" si="20"/>
        <v>536</v>
      </c>
      <c r="AF28" s="32">
        <f t="shared" si="20"/>
        <v>4061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0</v>
      </c>
      <c r="F29" s="50">
        <v>1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81</v>
      </c>
      <c r="N29" s="50">
        <v>0</v>
      </c>
      <c r="O29" s="15">
        <f t="shared" si="0"/>
        <v>5</v>
      </c>
      <c r="P29" s="15">
        <f t="shared" si="1"/>
        <v>86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1</v>
      </c>
      <c r="E30" s="50">
        <v>1</v>
      </c>
      <c r="F30" s="50">
        <v>2</v>
      </c>
      <c r="G30" s="50">
        <v>0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90</v>
      </c>
      <c r="N30" s="50">
        <v>0</v>
      </c>
      <c r="O30" s="15">
        <f t="shared" si="0"/>
        <v>9</v>
      </c>
      <c r="P30" s="15">
        <f t="shared" si="1"/>
        <v>99</v>
      </c>
    </row>
    <row r="31" spans="2:32" ht="23.1" customHeight="1" x14ac:dyDescent="0.25">
      <c r="B31" s="24" t="s">
        <v>58</v>
      </c>
      <c r="C31" s="50">
        <v>0</v>
      </c>
      <c r="D31" s="50">
        <v>0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1</v>
      </c>
      <c r="K31" s="50">
        <v>1</v>
      </c>
      <c r="L31" s="50">
        <v>0</v>
      </c>
      <c r="M31" s="50">
        <v>89</v>
      </c>
      <c r="N31" s="50">
        <v>0</v>
      </c>
      <c r="O31" s="15">
        <f t="shared" si="0"/>
        <v>3</v>
      </c>
      <c r="P31" s="15">
        <f t="shared" si="1"/>
        <v>92</v>
      </c>
    </row>
    <row r="32" spans="2:32" ht="23.1" customHeight="1" x14ac:dyDescent="0.25">
      <c r="B32" s="24" t="s">
        <v>59</v>
      </c>
      <c r="C32" s="50">
        <v>2</v>
      </c>
      <c r="D32" s="50">
        <v>0</v>
      </c>
      <c r="E32" s="50">
        <v>2</v>
      </c>
      <c r="F32" s="50">
        <v>5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70</v>
      </c>
      <c r="N32" s="50">
        <v>0</v>
      </c>
      <c r="O32" s="15">
        <f t="shared" si="0"/>
        <v>10</v>
      </c>
      <c r="P32" s="15">
        <f t="shared" si="1"/>
        <v>80</v>
      </c>
    </row>
    <row r="33" spans="2:20" ht="23.1" customHeight="1" x14ac:dyDescent="0.25">
      <c r="B33" s="23" t="s">
        <v>60</v>
      </c>
      <c r="C33" s="50">
        <v>3</v>
      </c>
      <c r="D33" s="50">
        <v>1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57</v>
      </c>
      <c r="N33" s="50">
        <v>0</v>
      </c>
      <c r="O33" s="15">
        <f t="shared" si="0"/>
        <v>5</v>
      </c>
      <c r="P33" s="15">
        <f t="shared" si="1"/>
        <v>62</v>
      </c>
    </row>
    <row r="34" spans="2:20" ht="23.1" customHeight="1" x14ac:dyDescent="0.25">
      <c r="B34" s="24" t="s">
        <v>61</v>
      </c>
      <c r="C34" s="50">
        <v>1</v>
      </c>
      <c r="D34" s="50">
        <v>0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80</v>
      </c>
      <c r="N34" s="50">
        <v>0</v>
      </c>
      <c r="O34" s="15">
        <f t="shared" si="0"/>
        <v>8</v>
      </c>
      <c r="P34" s="15">
        <f t="shared" si="1"/>
        <v>88</v>
      </c>
    </row>
    <row r="35" spans="2:20" ht="23.1" customHeight="1" x14ac:dyDescent="0.25">
      <c r="B35" s="24" t="s">
        <v>62</v>
      </c>
      <c r="C35" s="50">
        <v>3</v>
      </c>
      <c r="D35" s="50">
        <v>2</v>
      </c>
      <c r="E35" s="50">
        <v>0</v>
      </c>
      <c r="F35" s="50">
        <v>2</v>
      </c>
      <c r="G35" s="50">
        <v>1</v>
      </c>
      <c r="H35" s="50">
        <v>0</v>
      </c>
      <c r="I35" s="50">
        <v>2</v>
      </c>
      <c r="J35" s="50">
        <v>0</v>
      </c>
      <c r="K35" s="50">
        <v>0</v>
      </c>
      <c r="L35" s="50">
        <v>0</v>
      </c>
      <c r="M35" s="50">
        <v>95</v>
      </c>
      <c r="N35" s="50">
        <v>0</v>
      </c>
      <c r="O35" s="15">
        <f t="shared" si="0"/>
        <v>10</v>
      </c>
      <c r="P35" s="15">
        <f t="shared" si="1"/>
        <v>105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2</v>
      </c>
      <c r="G36" s="50">
        <v>0</v>
      </c>
      <c r="H36" s="50">
        <v>0</v>
      </c>
      <c r="I36" s="50">
        <v>1</v>
      </c>
      <c r="J36" s="50">
        <v>2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8</v>
      </c>
      <c r="P36" s="15">
        <f t="shared" si="1"/>
        <v>73</v>
      </c>
    </row>
    <row r="37" spans="2:20" ht="23.1" customHeight="1" x14ac:dyDescent="0.25">
      <c r="B37" s="23" t="s">
        <v>64</v>
      </c>
      <c r="C37" s="50">
        <v>2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1</v>
      </c>
      <c r="J37" s="50">
        <v>8</v>
      </c>
      <c r="K37" s="50">
        <v>0</v>
      </c>
      <c r="L37" s="50">
        <v>0</v>
      </c>
      <c r="M37" s="50">
        <v>110</v>
      </c>
      <c r="N37" s="50">
        <v>0</v>
      </c>
      <c r="O37" s="15">
        <f t="shared" si="0"/>
        <v>12</v>
      </c>
      <c r="P37" s="15">
        <f t="shared" si="1"/>
        <v>122</v>
      </c>
    </row>
    <row r="38" spans="2:20" ht="23.1" customHeight="1" x14ac:dyDescent="0.25">
      <c r="B38" s="24" t="s">
        <v>65</v>
      </c>
      <c r="C38" s="50">
        <v>3</v>
      </c>
      <c r="D38" s="50">
        <v>2</v>
      </c>
      <c r="E38" s="50">
        <v>1</v>
      </c>
      <c r="F38" s="50">
        <v>6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16</v>
      </c>
      <c r="P38" s="15">
        <f t="shared" si="1"/>
        <v>76</v>
      </c>
    </row>
    <row r="39" spans="2:20" ht="23.1" customHeight="1" x14ac:dyDescent="0.25">
      <c r="B39" s="24" t="s">
        <v>66</v>
      </c>
      <c r="C39" s="50">
        <v>5</v>
      </c>
      <c r="D39" s="50">
        <v>1</v>
      </c>
      <c r="E39" s="50">
        <v>2</v>
      </c>
      <c r="F39" s="50">
        <v>3</v>
      </c>
      <c r="G39" s="50">
        <v>1</v>
      </c>
      <c r="H39" s="50">
        <v>0</v>
      </c>
      <c r="I39" s="50">
        <v>1</v>
      </c>
      <c r="J39" s="50">
        <v>0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13</v>
      </c>
      <c r="P39" s="15">
        <f t="shared" si="1"/>
        <v>83</v>
      </c>
    </row>
    <row r="40" spans="2:20" ht="23.1" customHeight="1" x14ac:dyDescent="0.25">
      <c r="B40" s="24" t="s">
        <v>67</v>
      </c>
      <c r="C40" s="50">
        <v>7</v>
      </c>
      <c r="D40" s="50">
        <v>3</v>
      </c>
      <c r="E40" s="50">
        <v>1</v>
      </c>
      <c r="F40" s="50">
        <v>2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75</v>
      </c>
      <c r="N40" s="50">
        <v>0</v>
      </c>
      <c r="O40" s="15">
        <f t="shared" si="0"/>
        <v>13</v>
      </c>
      <c r="P40" s="15">
        <f t="shared" si="1"/>
        <v>88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4</v>
      </c>
      <c r="F41" s="50">
        <v>5</v>
      </c>
      <c r="G41" s="50">
        <v>0</v>
      </c>
      <c r="H41" s="50">
        <v>2</v>
      </c>
      <c r="I41" s="50">
        <v>0</v>
      </c>
      <c r="J41" s="50">
        <v>0</v>
      </c>
      <c r="K41" s="50">
        <v>0</v>
      </c>
      <c r="L41" s="50">
        <v>0</v>
      </c>
      <c r="M41" s="50">
        <v>80</v>
      </c>
      <c r="N41" s="50">
        <v>0</v>
      </c>
      <c r="O41" s="15">
        <f t="shared" si="0"/>
        <v>15</v>
      </c>
      <c r="P41" s="15">
        <f t="shared" si="1"/>
        <v>95</v>
      </c>
    </row>
    <row r="42" spans="2:20" ht="23.1" customHeight="1" x14ac:dyDescent="0.25">
      <c r="B42" s="24" t="s">
        <v>69</v>
      </c>
      <c r="C42" s="50">
        <v>8</v>
      </c>
      <c r="D42" s="50">
        <v>3</v>
      </c>
      <c r="E42" s="50">
        <v>4</v>
      </c>
      <c r="F42" s="50">
        <v>4</v>
      </c>
      <c r="G42" s="50">
        <v>1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65</v>
      </c>
      <c r="N42" s="50">
        <v>0</v>
      </c>
      <c r="O42" s="15">
        <f t="shared" si="0"/>
        <v>26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2</v>
      </c>
      <c r="D43" s="50">
        <v>5</v>
      </c>
      <c r="E43" s="50">
        <v>5</v>
      </c>
      <c r="F43" s="50">
        <v>5</v>
      </c>
      <c r="G43" s="50">
        <v>0</v>
      </c>
      <c r="H43" s="50">
        <v>0</v>
      </c>
      <c r="I43" s="50">
        <v>2</v>
      </c>
      <c r="J43" s="50">
        <v>4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23</v>
      </c>
      <c r="P43" s="15">
        <f t="shared" si="1"/>
        <v>88</v>
      </c>
    </row>
    <row r="44" spans="2:20" ht="23.1" customHeight="1" x14ac:dyDescent="0.25">
      <c r="B44" s="25" t="s">
        <v>71</v>
      </c>
      <c r="C44" s="50">
        <v>4</v>
      </c>
      <c r="D44" s="50">
        <v>1</v>
      </c>
      <c r="E44" s="50">
        <v>3</v>
      </c>
      <c r="F44" s="50">
        <v>3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60</v>
      </c>
      <c r="N44" s="50">
        <v>0</v>
      </c>
      <c r="O44" s="15">
        <f t="shared" si="0"/>
        <v>14</v>
      </c>
      <c r="P44" s="15">
        <f t="shared" si="1"/>
        <v>74</v>
      </c>
    </row>
    <row r="45" spans="2:20" ht="23.1" customHeight="1" x14ac:dyDescent="0.25">
      <c r="B45" s="23" t="s">
        <v>72</v>
      </c>
      <c r="C45" s="50">
        <v>7</v>
      </c>
      <c r="D45" s="50">
        <v>3</v>
      </c>
      <c r="E45" s="50">
        <v>4</v>
      </c>
      <c r="F45" s="50">
        <v>4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56</v>
      </c>
      <c r="N45" s="50">
        <v>0</v>
      </c>
      <c r="O45" s="15">
        <f t="shared" si="0"/>
        <v>18</v>
      </c>
      <c r="P45" s="15">
        <f t="shared" si="1"/>
        <v>74</v>
      </c>
    </row>
    <row r="46" spans="2:20" ht="23.1" customHeight="1" x14ac:dyDescent="0.25">
      <c r="B46" s="24" t="s">
        <v>73</v>
      </c>
      <c r="C46" s="50">
        <v>5</v>
      </c>
      <c r="D46" s="50">
        <v>1</v>
      </c>
      <c r="E46" s="50">
        <v>2</v>
      </c>
      <c r="F46" s="50">
        <v>5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65</v>
      </c>
      <c r="N46" s="50">
        <v>0</v>
      </c>
      <c r="O46" s="15">
        <f t="shared" si="0"/>
        <v>17</v>
      </c>
      <c r="P46" s="15">
        <f t="shared" si="1"/>
        <v>82</v>
      </c>
      <c r="R46" s="8"/>
      <c r="T46"/>
    </row>
    <row r="47" spans="2:20" ht="23.1" customHeight="1" x14ac:dyDescent="0.25">
      <c r="B47" s="24" t="s">
        <v>74</v>
      </c>
      <c r="C47" s="50">
        <v>6</v>
      </c>
      <c r="D47" s="50">
        <v>3</v>
      </c>
      <c r="E47" s="50">
        <v>2</v>
      </c>
      <c r="F47" s="50">
        <v>3</v>
      </c>
      <c r="G47" s="50">
        <v>0</v>
      </c>
      <c r="H47" s="50">
        <v>0</v>
      </c>
      <c r="I47" s="50">
        <v>1</v>
      </c>
      <c r="J47" s="50">
        <v>0</v>
      </c>
      <c r="K47" s="50">
        <v>0</v>
      </c>
      <c r="L47" s="50">
        <v>0</v>
      </c>
      <c r="M47" s="50">
        <v>55</v>
      </c>
      <c r="N47" s="50">
        <v>0</v>
      </c>
      <c r="O47" s="15">
        <f t="shared" si="0"/>
        <v>15</v>
      </c>
      <c r="P47" s="15">
        <f t="shared" si="1"/>
        <v>70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2</v>
      </c>
      <c r="E48" s="50">
        <v>1</v>
      </c>
      <c r="F48" s="50">
        <v>3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60</v>
      </c>
      <c r="N48" s="50">
        <v>0</v>
      </c>
      <c r="O48" s="15">
        <f t="shared" si="0"/>
        <v>10</v>
      </c>
      <c r="P48" s="15">
        <f t="shared" si="1"/>
        <v>70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3</v>
      </c>
      <c r="E49" s="50">
        <v>1</v>
      </c>
      <c r="F49" s="50">
        <v>4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61</v>
      </c>
      <c r="N49" s="50">
        <v>0</v>
      </c>
      <c r="O49" s="15">
        <f t="shared" si="0"/>
        <v>11</v>
      </c>
      <c r="P49" s="15">
        <f t="shared" si="1"/>
        <v>72</v>
      </c>
      <c r="R49" s="8"/>
      <c r="T49"/>
    </row>
    <row r="50" spans="2:20" ht="23.1" customHeight="1" x14ac:dyDescent="0.25">
      <c r="B50" s="24" t="s">
        <v>77</v>
      </c>
      <c r="C50" s="50">
        <v>1</v>
      </c>
      <c r="D50" s="50">
        <v>0</v>
      </c>
      <c r="E50" s="50">
        <v>1</v>
      </c>
      <c r="F50" s="50">
        <v>4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8</v>
      </c>
      <c r="P50" s="15">
        <f t="shared" si="1"/>
        <v>58</v>
      </c>
      <c r="R50" s="8"/>
      <c r="T50"/>
    </row>
    <row r="51" spans="2:20" ht="23.1" customHeight="1" x14ac:dyDescent="0.25">
      <c r="B51" s="24" t="s">
        <v>78</v>
      </c>
      <c r="C51" s="50">
        <v>2</v>
      </c>
      <c r="D51" s="50">
        <v>0</v>
      </c>
      <c r="E51" s="50">
        <v>0</v>
      </c>
      <c r="F51" s="50">
        <v>5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55</v>
      </c>
      <c r="N51" s="50">
        <v>0</v>
      </c>
      <c r="O51" s="15">
        <f t="shared" si="0"/>
        <v>9</v>
      </c>
      <c r="P51" s="15">
        <f t="shared" si="1"/>
        <v>64</v>
      </c>
      <c r="R51" s="8"/>
      <c r="T51"/>
    </row>
    <row r="52" spans="2:20" ht="23.1" customHeight="1" x14ac:dyDescent="0.25">
      <c r="B52" s="24" t="s">
        <v>79</v>
      </c>
      <c r="C52" s="50">
        <v>0</v>
      </c>
      <c r="D52" s="50">
        <v>0</v>
      </c>
      <c r="E52" s="50">
        <v>1</v>
      </c>
      <c r="F52" s="50">
        <v>2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63</v>
      </c>
      <c r="N52" s="50">
        <v>0</v>
      </c>
      <c r="O52" s="15">
        <f t="shared" si="0"/>
        <v>4</v>
      </c>
      <c r="P52" s="15">
        <f t="shared" si="1"/>
        <v>67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2</v>
      </c>
      <c r="F53" s="50">
        <v>2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6</v>
      </c>
      <c r="P53" s="15">
        <f t="shared" si="1"/>
        <v>61</v>
      </c>
      <c r="R53" s="8"/>
      <c r="T53"/>
    </row>
    <row r="54" spans="2:20" ht="23.1" customHeight="1" x14ac:dyDescent="0.25">
      <c r="B54" s="23" t="s">
        <v>81</v>
      </c>
      <c r="C54" s="50">
        <v>2</v>
      </c>
      <c r="D54" s="50">
        <v>0</v>
      </c>
      <c r="E54" s="50">
        <v>3</v>
      </c>
      <c r="F54" s="50">
        <v>2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63</v>
      </c>
      <c r="N54" s="50">
        <v>0</v>
      </c>
      <c r="O54" s="15">
        <f t="shared" si="0"/>
        <v>8</v>
      </c>
      <c r="P54" s="15">
        <f t="shared" si="1"/>
        <v>71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1</v>
      </c>
      <c r="E55" s="50">
        <v>1</v>
      </c>
      <c r="F55" s="50">
        <v>4</v>
      </c>
      <c r="G55" s="50">
        <v>0</v>
      </c>
      <c r="H55" s="50">
        <v>0</v>
      </c>
      <c r="I55" s="50">
        <v>0</v>
      </c>
      <c r="J55" s="50">
        <v>1</v>
      </c>
      <c r="K55" s="50">
        <v>0</v>
      </c>
      <c r="L55" s="50">
        <v>0</v>
      </c>
      <c r="M55" s="50">
        <v>52</v>
      </c>
      <c r="N55" s="50">
        <v>0</v>
      </c>
      <c r="O55" s="15">
        <f t="shared" si="0"/>
        <v>10</v>
      </c>
      <c r="P55" s="15">
        <f t="shared" si="1"/>
        <v>62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0</v>
      </c>
      <c r="E56" s="50">
        <v>1</v>
      </c>
      <c r="F56" s="50">
        <v>3</v>
      </c>
      <c r="G56" s="50">
        <v>0</v>
      </c>
      <c r="H56" s="50">
        <v>0</v>
      </c>
      <c r="I56" s="50">
        <v>0</v>
      </c>
      <c r="J56" s="50">
        <v>0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10</v>
      </c>
      <c r="P56" s="15">
        <f t="shared" si="1"/>
        <v>60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3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55</v>
      </c>
      <c r="N57" s="50">
        <v>0</v>
      </c>
      <c r="O57" s="15">
        <f t="shared" si="0"/>
        <v>10</v>
      </c>
      <c r="P57" s="15">
        <f t="shared" si="1"/>
        <v>65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170</v>
      </c>
      <c r="D58" s="16">
        <f t="shared" si="21"/>
        <v>41</v>
      </c>
      <c r="E58" s="16">
        <f t="shared" si="21"/>
        <v>72</v>
      </c>
      <c r="F58" s="16">
        <f t="shared" si="21"/>
        <v>147</v>
      </c>
      <c r="G58" s="16">
        <f t="shared" si="21"/>
        <v>5</v>
      </c>
      <c r="H58" s="16">
        <f t="shared" si="21"/>
        <v>2</v>
      </c>
      <c r="I58" s="16">
        <f t="shared" si="21"/>
        <v>64</v>
      </c>
      <c r="J58" s="16">
        <f t="shared" si="21"/>
        <v>32</v>
      </c>
      <c r="K58" s="16">
        <f t="shared" si="21"/>
        <v>3</v>
      </c>
      <c r="L58" s="16">
        <f t="shared" si="21"/>
        <v>0</v>
      </c>
      <c r="M58" s="16">
        <f t="shared" si="21"/>
        <v>3525</v>
      </c>
      <c r="N58" s="16">
        <f t="shared" si="21"/>
        <v>0</v>
      </c>
      <c r="O58" s="16">
        <f t="shared" si="21"/>
        <v>536</v>
      </c>
      <c r="P58" s="16">
        <f t="shared" si="21"/>
        <v>4061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4.1861610440778137E-2</v>
      </c>
      <c r="D59" s="43">
        <f t="shared" si="22"/>
        <v>1.0096035459246491E-2</v>
      </c>
      <c r="E59" s="43">
        <f t="shared" si="22"/>
        <v>1.7729623245506032E-2</v>
      </c>
      <c r="F59" s="43">
        <f t="shared" si="22"/>
        <v>3.6197980792908153E-2</v>
      </c>
      <c r="G59" s="43">
        <f t="shared" si="22"/>
        <v>1.2312238364934746E-3</v>
      </c>
      <c r="H59" s="43">
        <f t="shared" si="22"/>
        <v>4.9248953459738983E-4</v>
      </c>
      <c r="I59" s="43">
        <f t="shared" si="22"/>
        <v>1.5759665107116475E-2</v>
      </c>
      <c r="J59" s="43">
        <f t="shared" si="22"/>
        <v>7.8798325535582373E-3</v>
      </c>
      <c r="K59" s="43">
        <f t="shared" si="22"/>
        <v>7.3873430189608474E-4</v>
      </c>
      <c r="L59" s="43">
        <f t="shared" si="22"/>
        <v>0</v>
      </c>
      <c r="M59" s="43">
        <f t="shared" si="22"/>
        <v>0.86801280472789955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0.31716417910447764</v>
      </c>
      <c r="D60" s="44">
        <f t="shared" ref="D60:N60" si="23">D58/$O$58</f>
        <v>7.6492537313432835E-2</v>
      </c>
      <c r="E60" s="44">
        <f t="shared" si="23"/>
        <v>0.13432835820895522</v>
      </c>
      <c r="F60" s="44">
        <f t="shared" si="23"/>
        <v>0.27425373134328357</v>
      </c>
      <c r="G60" s="44">
        <f t="shared" si="23"/>
        <v>9.3283582089552231E-3</v>
      </c>
      <c r="H60" s="44">
        <f t="shared" si="23"/>
        <v>3.7313432835820895E-3</v>
      </c>
      <c r="I60" s="44">
        <f t="shared" si="23"/>
        <v>0.11940298507462686</v>
      </c>
      <c r="J60" s="44">
        <f t="shared" si="23"/>
        <v>5.9701492537313432E-2</v>
      </c>
      <c r="K60" s="44">
        <f t="shared" si="23"/>
        <v>5.597014925373134E-3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170</v>
      </c>
      <c r="E5" s="3"/>
      <c r="F5" s="41" t="s">
        <v>1</v>
      </c>
      <c r="G5" s="61" t="str">
        <f>'22.08 Iganga-Kaliro'!G5:H5</f>
        <v>Kigulu</v>
      </c>
      <c r="H5" s="62"/>
      <c r="I5" s="14"/>
      <c r="J5" s="2" t="s">
        <v>5</v>
      </c>
      <c r="K5" s="61" t="str">
        <f>'22.08 Iganga-Kaliro'!K5:L5</f>
        <v>Kirabo Edith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'22.08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4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9</v>
      </c>
      <c r="T10" s="17">
        <f t="shared" si="2"/>
        <v>9</v>
      </c>
      <c r="U10" s="17">
        <f t="shared" si="2"/>
        <v>10</v>
      </c>
      <c r="V10" s="17">
        <f t="shared" si="2"/>
        <v>33</v>
      </c>
      <c r="W10" s="17">
        <f t="shared" si="2"/>
        <v>0</v>
      </c>
      <c r="X10" s="17">
        <f t="shared" si="2"/>
        <v>0</v>
      </c>
      <c r="Y10" s="17">
        <f t="shared" si="2"/>
        <v>13</v>
      </c>
      <c r="Z10" s="17">
        <f t="shared" si="2"/>
        <v>6</v>
      </c>
      <c r="AA10" s="17">
        <f t="shared" si="2"/>
        <v>1</v>
      </c>
      <c r="AB10" s="17">
        <f t="shared" si="2"/>
        <v>0</v>
      </c>
      <c r="AC10" s="17">
        <f t="shared" si="2"/>
        <v>345</v>
      </c>
      <c r="AD10" s="17">
        <f t="shared" si="2"/>
        <v>0</v>
      </c>
      <c r="AE10" s="31">
        <f t="shared" si="2"/>
        <v>81</v>
      </c>
      <c r="AF10" s="31">
        <f t="shared" si="2"/>
        <v>426</v>
      </c>
    </row>
    <row r="11" spans="2:32" s="6" customFormat="1" ht="23.1" customHeight="1" x14ac:dyDescent="0.25">
      <c r="B11" s="23" t="s">
        <v>38</v>
      </c>
      <c r="C11" s="50">
        <v>1</v>
      </c>
      <c r="D11" s="50">
        <v>1</v>
      </c>
      <c r="E11" s="50">
        <v>0</v>
      </c>
      <c r="F11" s="50">
        <v>10</v>
      </c>
      <c r="G11" s="50">
        <v>0</v>
      </c>
      <c r="H11" s="50">
        <v>0</v>
      </c>
      <c r="I11" s="50">
        <v>5</v>
      </c>
      <c r="J11" s="50">
        <v>0</v>
      </c>
      <c r="K11" s="50">
        <v>0</v>
      </c>
      <c r="L11" s="50">
        <v>0</v>
      </c>
      <c r="M11" s="50">
        <v>90</v>
      </c>
      <c r="N11" s="50">
        <v>0</v>
      </c>
      <c r="O11" s="15">
        <f t="shared" si="0"/>
        <v>17</v>
      </c>
      <c r="P11" s="15">
        <f t="shared" si="1"/>
        <v>107</v>
      </c>
      <c r="R11" s="1" t="s">
        <v>7</v>
      </c>
      <c r="S11" s="17">
        <f t="shared" ref="S11:AF11" si="3">SUM(C14:C17)</f>
        <v>6</v>
      </c>
      <c r="T11" s="17">
        <f t="shared" si="3"/>
        <v>3</v>
      </c>
      <c r="U11" s="17">
        <f t="shared" si="3"/>
        <v>3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8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300</v>
      </c>
      <c r="AD11" s="17">
        <f t="shared" si="3"/>
        <v>0</v>
      </c>
      <c r="AE11" s="31">
        <f t="shared" si="3"/>
        <v>28</v>
      </c>
      <c r="AF11" s="31">
        <f t="shared" si="3"/>
        <v>328</v>
      </c>
    </row>
    <row r="12" spans="2:32" ht="23.1" customHeight="1" x14ac:dyDescent="0.25">
      <c r="B12" s="23" t="s">
        <v>39</v>
      </c>
      <c r="C12" s="50">
        <v>4</v>
      </c>
      <c r="D12" s="50">
        <v>2</v>
      </c>
      <c r="E12" s="50">
        <v>3</v>
      </c>
      <c r="F12" s="50">
        <v>15</v>
      </c>
      <c r="G12" s="50">
        <v>0</v>
      </c>
      <c r="H12" s="50">
        <v>0</v>
      </c>
      <c r="I12" s="50">
        <v>3</v>
      </c>
      <c r="J12" s="50">
        <v>1</v>
      </c>
      <c r="K12" s="50">
        <v>1</v>
      </c>
      <c r="L12" s="50">
        <v>0</v>
      </c>
      <c r="M12" s="50">
        <v>110</v>
      </c>
      <c r="N12" s="50">
        <v>0</v>
      </c>
      <c r="O12" s="15">
        <f t="shared" si="0"/>
        <v>29</v>
      </c>
      <c r="P12" s="15">
        <f t="shared" si="1"/>
        <v>139</v>
      </c>
      <c r="R12" s="1" t="s">
        <v>8</v>
      </c>
      <c r="S12" s="17">
        <f t="shared" ref="S12:AF12" si="4">SUM(C18:C21)</f>
        <v>13</v>
      </c>
      <c r="T12" s="17">
        <f t="shared" si="4"/>
        <v>1</v>
      </c>
      <c r="U12" s="17">
        <f t="shared" si="4"/>
        <v>6</v>
      </c>
      <c r="V12" s="17">
        <f t="shared" si="4"/>
        <v>11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5</v>
      </c>
      <c r="AA12" s="17">
        <f t="shared" si="4"/>
        <v>0</v>
      </c>
      <c r="AB12" s="17">
        <f t="shared" si="4"/>
        <v>0</v>
      </c>
      <c r="AC12" s="17">
        <f t="shared" si="4"/>
        <v>235</v>
      </c>
      <c r="AD12" s="17">
        <f t="shared" si="4"/>
        <v>1</v>
      </c>
      <c r="AE12" s="31">
        <f t="shared" si="4"/>
        <v>44</v>
      </c>
      <c r="AF12" s="31">
        <f t="shared" si="4"/>
        <v>279</v>
      </c>
    </row>
    <row r="13" spans="2:32" ht="23.1" customHeight="1" x14ac:dyDescent="0.25">
      <c r="B13" s="23" t="s">
        <v>40</v>
      </c>
      <c r="C13" s="50">
        <v>2</v>
      </c>
      <c r="D13" s="50">
        <v>2</v>
      </c>
      <c r="E13" s="50">
        <v>6</v>
      </c>
      <c r="F13" s="50">
        <v>3</v>
      </c>
      <c r="G13" s="50">
        <v>0</v>
      </c>
      <c r="H13" s="50">
        <v>0</v>
      </c>
      <c r="I13" s="50">
        <v>5</v>
      </c>
      <c r="J13" s="50">
        <v>5</v>
      </c>
      <c r="K13" s="50">
        <v>0</v>
      </c>
      <c r="L13" s="50">
        <v>0</v>
      </c>
      <c r="M13" s="50">
        <v>95</v>
      </c>
      <c r="N13" s="50">
        <v>0</v>
      </c>
      <c r="O13" s="15">
        <f t="shared" si="0"/>
        <v>23</v>
      </c>
      <c r="P13" s="15">
        <f t="shared" si="1"/>
        <v>118</v>
      </c>
      <c r="R13" s="1" t="s">
        <v>9</v>
      </c>
      <c r="S13" s="17">
        <f t="shared" ref="S13:AF13" si="5">SUM(C22:C25)</f>
        <v>18</v>
      </c>
      <c r="T13" s="17">
        <f t="shared" si="5"/>
        <v>8</v>
      </c>
      <c r="U13" s="17">
        <f t="shared" si="5"/>
        <v>5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330</v>
      </c>
      <c r="AD13" s="17">
        <f t="shared" si="5"/>
        <v>0</v>
      </c>
      <c r="AE13" s="31">
        <f t="shared" si="5"/>
        <v>55</v>
      </c>
      <c r="AF13" s="31">
        <f t="shared" si="5"/>
        <v>385</v>
      </c>
    </row>
    <row r="14" spans="2:32" ht="23.1" customHeight="1" x14ac:dyDescent="0.25">
      <c r="B14" s="23" t="s">
        <v>41</v>
      </c>
      <c r="C14" s="50">
        <v>5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4</v>
      </c>
      <c r="J14" s="50">
        <v>3</v>
      </c>
      <c r="K14" s="50">
        <v>0</v>
      </c>
      <c r="L14" s="50">
        <v>0</v>
      </c>
      <c r="M14" s="50">
        <v>65</v>
      </c>
      <c r="N14" s="50">
        <v>0</v>
      </c>
      <c r="O14" s="15">
        <f t="shared" si="0"/>
        <v>12</v>
      </c>
      <c r="P14" s="15">
        <f t="shared" si="1"/>
        <v>77</v>
      </c>
      <c r="R14" s="1" t="s">
        <v>10</v>
      </c>
      <c r="S14" s="17">
        <f t="shared" ref="S14:AF14" si="6">SUM(C26:C29)</f>
        <v>14</v>
      </c>
      <c r="T14" s="17">
        <f t="shared" si="6"/>
        <v>10</v>
      </c>
      <c r="U14" s="17">
        <f t="shared" si="6"/>
        <v>4</v>
      </c>
      <c r="V14" s="17">
        <f t="shared" si="6"/>
        <v>12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7</v>
      </c>
      <c r="AA14" s="17">
        <f t="shared" si="6"/>
        <v>0</v>
      </c>
      <c r="AB14" s="17">
        <f t="shared" si="6"/>
        <v>0</v>
      </c>
      <c r="AC14" s="17">
        <f t="shared" si="6"/>
        <v>425</v>
      </c>
      <c r="AD14" s="17">
        <f t="shared" si="6"/>
        <v>0</v>
      </c>
      <c r="AE14" s="31">
        <f t="shared" si="6"/>
        <v>52</v>
      </c>
      <c r="AF14" s="31">
        <f t="shared" si="6"/>
        <v>477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1</v>
      </c>
      <c r="F15" s="50">
        <v>1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65</v>
      </c>
      <c r="N15" s="50">
        <v>0</v>
      </c>
      <c r="O15" s="15">
        <f t="shared" si="0"/>
        <v>4</v>
      </c>
      <c r="P15" s="15">
        <f t="shared" si="1"/>
        <v>69</v>
      </c>
      <c r="R15" s="1" t="s">
        <v>11</v>
      </c>
      <c r="S15" s="17">
        <f t="shared" ref="S15:AF15" si="7">SUM(C30:C33)</f>
        <v>13</v>
      </c>
      <c r="T15" s="17">
        <f t="shared" si="7"/>
        <v>9</v>
      </c>
      <c r="U15" s="17">
        <f t="shared" si="7"/>
        <v>9</v>
      </c>
      <c r="V15" s="17">
        <f t="shared" si="7"/>
        <v>24</v>
      </c>
      <c r="W15" s="17">
        <f t="shared" si="7"/>
        <v>0</v>
      </c>
      <c r="X15" s="17">
        <f t="shared" si="7"/>
        <v>0</v>
      </c>
      <c r="Y15" s="17">
        <f t="shared" si="7"/>
        <v>9</v>
      </c>
      <c r="Z15" s="17">
        <f t="shared" si="7"/>
        <v>9</v>
      </c>
      <c r="AA15" s="17">
        <f t="shared" si="7"/>
        <v>0</v>
      </c>
      <c r="AB15" s="17">
        <f t="shared" si="7"/>
        <v>0</v>
      </c>
      <c r="AC15" s="17">
        <f t="shared" si="7"/>
        <v>330</v>
      </c>
      <c r="AD15" s="17">
        <f t="shared" si="7"/>
        <v>0</v>
      </c>
      <c r="AE15" s="31">
        <f t="shared" si="7"/>
        <v>73</v>
      </c>
      <c r="AF15" s="31">
        <f t="shared" si="7"/>
        <v>403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0</v>
      </c>
      <c r="G16" s="50">
        <v>0</v>
      </c>
      <c r="H16" s="50">
        <v>0</v>
      </c>
      <c r="I16" s="50">
        <v>0</v>
      </c>
      <c r="J16" s="50">
        <v>1</v>
      </c>
      <c r="K16" s="50">
        <v>0</v>
      </c>
      <c r="L16" s="50">
        <v>0</v>
      </c>
      <c r="M16" s="50">
        <v>100</v>
      </c>
      <c r="N16" s="50">
        <v>0</v>
      </c>
      <c r="O16" s="15">
        <f t="shared" si="0"/>
        <v>3</v>
      </c>
      <c r="P16" s="15">
        <f t="shared" si="1"/>
        <v>103</v>
      </c>
      <c r="R16" s="1" t="s">
        <v>12</v>
      </c>
      <c r="S16" s="17">
        <f t="shared" ref="S16:AF16" si="8">SUM(C34:C37)</f>
        <v>25</v>
      </c>
      <c r="T16" s="17">
        <f t="shared" si="8"/>
        <v>9</v>
      </c>
      <c r="U16" s="17">
        <f t="shared" si="8"/>
        <v>15</v>
      </c>
      <c r="V16" s="17">
        <f t="shared" si="8"/>
        <v>21</v>
      </c>
      <c r="W16" s="17">
        <f t="shared" si="8"/>
        <v>0</v>
      </c>
      <c r="X16" s="17">
        <f t="shared" si="8"/>
        <v>0</v>
      </c>
      <c r="Y16" s="17">
        <f t="shared" si="8"/>
        <v>12</v>
      </c>
      <c r="Z16" s="17">
        <f t="shared" si="8"/>
        <v>11</v>
      </c>
      <c r="AA16" s="17">
        <f t="shared" si="8"/>
        <v>0</v>
      </c>
      <c r="AB16" s="17">
        <f t="shared" si="8"/>
        <v>0</v>
      </c>
      <c r="AC16" s="17">
        <f t="shared" si="8"/>
        <v>400</v>
      </c>
      <c r="AD16" s="17">
        <f t="shared" si="8"/>
        <v>0</v>
      </c>
      <c r="AE16" s="31">
        <f t="shared" si="8"/>
        <v>93</v>
      </c>
      <c r="AF16" s="31">
        <f t="shared" si="8"/>
        <v>493</v>
      </c>
    </row>
    <row r="17" spans="2:32" ht="23.1" customHeight="1" x14ac:dyDescent="0.25">
      <c r="B17" s="23" t="s">
        <v>44</v>
      </c>
      <c r="C17" s="50">
        <v>1</v>
      </c>
      <c r="D17" s="50">
        <v>2</v>
      </c>
      <c r="E17" s="50">
        <v>1</v>
      </c>
      <c r="F17" s="50">
        <v>0</v>
      </c>
      <c r="G17" s="50">
        <v>0</v>
      </c>
      <c r="H17" s="50">
        <v>0</v>
      </c>
      <c r="I17" s="50">
        <v>3</v>
      </c>
      <c r="J17" s="50">
        <v>2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9</v>
      </c>
      <c r="P17" s="15">
        <f t="shared" si="1"/>
        <v>79</v>
      </c>
      <c r="R17" s="1" t="s">
        <v>13</v>
      </c>
      <c r="S17" s="17">
        <f t="shared" ref="S17:AF17" si="9">SUM(C38:C41)</f>
        <v>16</v>
      </c>
      <c r="T17" s="17">
        <f t="shared" si="9"/>
        <v>12</v>
      </c>
      <c r="U17" s="17">
        <f t="shared" si="9"/>
        <v>9</v>
      </c>
      <c r="V17" s="17">
        <f t="shared" si="9"/>
        <v>34</v>
      </c>
      <c r="W17" s="17">
        <f t="shared" si="9"/>
        <v>0</v>
      </c>
      <c r="X17" s="17">
        <f t="shared" si="9"/>
        <v>0</v>
      </c>
      <c r="Y17" s="17">
        <f t="shared" si="9"/>
        <v>10</v>
      </c>
      <c r="Z17" s="17">
        <f t="shared" si="9"/>
        <v>9</v>
      </c>
      <c r="AA17" s="17">
        <f t="shared" si="9"/>
        <v>0</v>
      </c>
      <c r="AB17" s="17">
        <f t="shared" si="9"/>
        <v>0</v>
      </c>
      <c r="AC17" s="17">
        <f t="shared" si="9"/>
        <v>370</v>
      </c>
      <c r="AD17" s="17">
        <f t="shared" si="9"/>
        <v>0</v>
      </c>
      <c r="AE17" s="31">
        <f t="shared" si="9"/>
        <v>90</v>
      </c>
      <c r="AF17" s="31">
        <f t="shared" si="9"/>
        <v>460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2</v>
      </c>
      <c r="F18" s="50">
        <v>0</v>
      </c>
      <c r="G18" s="50">
        <v>0</v>
      </c>
      <c r="H18" s="50">
        <v>0</v>
      </c>
      <c r="I18" s="50">
        <v>2</v>
      </c>
      <c r="J18" s="50">
        <v>0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6</v>
      </c>
      <c r="P18" s="15">
        <f t="shared" si="1"/>
        <v>71</v>
      </c>
      <c r="R18" s="1" t="s">
        <v>14</v>
      </c>
      <c r="S18" s="17">
        <f t="shared" ref="S18:AF18" si="10">SUM(C42:C45)</f>
        <v>31</v>
      </c>
      <c r="T18" s="17">
        <f t="shared" si="10"/>
        <v>19</v>
      </c>
      <c r="U18" s="17">
        <f t="shared" si="10"/>
        <v>11</v>
      </c>
      <c r="V18" s="17">
        <f t="shared" si="10"/>
        <v>45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460</v>
      </c>
      <c r="AD18" s="17">
        <f t="shared" si="10"/>
        <v>0</v>
      </c>
      <c r="AE18" s="31">
        <f t="shared" si="10"/>
        <v>117</v>
      </c>
      <c r="AF18" s="31">
        <f t="shared" si="10"/>
        <v>577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2</v>
      </c>
      <c r="F19" s="50">
        <v>4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55</v>
      </c>
      <c r="N19" s="50">
        <v>1</v>
      </c>
      <c r="O19" s="15">
        <f t="shared" si="0"/>
        <v>11</v>
      </c>
      <c r="P19" s="15">
        <f t="shared" si="1"/>
        <v>66</v>
      </c>
      <c r="R19" s="1" t="s">
        <v>15</v>
      </c>
      <c r="S19" s="17">
        <f t="shared" ref="S19:AF19" si="11">SUM(C46:C49)</f>
        <v>18</v>
      </c>
      <c r="T19" s="17">
        <f t="shared" si="11"/>
        <v>13</v>
      </c>
      <c r="U19" s="17">
        <f t="shared" si="11"/>
        <v>12</v>
      </c>
      <c r="V19" s="17">
        <f t="shared" si="11"/>
        <v>31</v>
      </c>
      <c r="W19" s="17">
        <f t="shared" si="11"/>
        <v>0</v>
      </c>
      <c r="X19" s="17">
        <f t="shared" si="11"/>
        <v>0</v>
      </c>
      <c r="Y19" s="17">
        <f t="shared" si="11"/>
        <v>11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470</v>
      </c>
      <c r="AD19" s="17">
        <f t="shared" si="11"/>
        <v>2</v>
      </c>
      <c r="AE19" s="31">
        <f t="shared" si="11"/>
        <v>89</v>
      </c>
      <c r="AF19" s="31">
        <f t="shared" si="11"/>
        <v>559</v>
      </c>
    </row>
    <row r="20" spans="2:32" ht="23.1" customHeight="1" x14ac:dyDescent="0.25">
      <c r="B20" s="23" t="s">
        <v>47</v>
      </c>
      <c r="C20" s="50">
        <v>4</v>
      </c>
      <c r="D20" s="50">
        <v>0</v>
      </c>
      <c r="E20" s="50">
        <v>0</v>
      </c>
      <c r="F20" s="50">
        <v>6</v>
      </c>
      <c r="G20" s="50">
        <v>0</v>
      </c>
      <c r="H20" s="50">
        <v>0</v>
      </c>
      <c r="I20" s="50">
        <v>2</v>
      </c>
      <c r="J20" s="50">
        <v>1</v>
      </c>
      <c r="K20" s="50">
        <v>0</v>
      </c>
      <c r="L20" s="50">
        <v>0</v>
      </c>
      <c r="M20" s="50">
        <v>70</v>
      </c>
      <c r="N20" s="50">
        <v>0</v>
      </c>
      <c r="O20" s="15">
        <f t="shared" si="0"/>
        <v>13</v>
      </c>
      <c r="P20" s="15">
        <f t="shared" si="1"/>
        <v>83</v>
      </c>
      <c r="R20" s="1" t="s">
        <v>16</v>
      </c>
      <c r="S20" s="17">
        <f t="shared" ref="S20:AF20" si="12">SUM(C50:C53)</f>
        <v>21</v>
      </c>
      <c r="T20" s="17">
        <f t="shared" si="12"/>
        <v>12</v>
      </c>
      <c r="U20" s="17">
        <f t="shared" si="12"/>
        <v>16</v>
      </c>
      <c r="V20" s="17">
        <f t="shared" si="12"/>
        <v>35</v>
      </c>
      <c r="W20" s="17">
        <f t="shared" si="12"/>
        <v>0</v>
      </c>
      <c r="X20" s="17">
        <f t="shared" si="12"/>
        <v>0</v>
      </c>
      <c r="Y20" s="17">
        <f t="shared" si="12"/>
        <v>7</v>
      </c>
      <c r="Z20" s="17">
        <f t="shared" si="12"/>
        <v>2</v>
      </c>
      <c r="AA20" s="17">
        <f t="shared" si="12"/>
        <v>0</v>
      </c>
      <c r="AB20" s="17">
        <f t="shared" si="12"/>
        <v>0</v>
      </c>
      <c r="AC20" s="17">
        <f t="shared" si="12"/>
        <v>435</v>
      </c>
      <c r="AD20" s="17">
        <f t="shared" si="12"/>
        <v>2</v>
      </c>
      <c r="AE20" s="31">
        <f t="shared" si="12"/>
        <v>95</v>
      </c>
      <c r="AF20" s="31">
        <f t="shared" si="12"/>
        <v>530</v>
      </c>
    </row>
    <row r="21" spans="2:32" ht="23.1" customHeight="1" x14ac:dyDescent="0.25">
      <c r="B21" s="23" t="s">
        <v>48</v>
      </c>
      <c r="C21" s="50">
        <v>5</v>
      </c>
      <c r="D21" s="50">
        <v>0</v>
      </c>
      <c r="E21" s="50">
        <v>2</v>
      </c>
      <c r="F21" s="50">
        <v>1</v>
      </c>
      <c r="G21" s="50">
        <v>0</v>
      </c>
      <c r="H21" s="50">
        <v>0</v>
      </c>
      <c r="I21" s="50">
        <v>2</v>
      </c>
      <c r="J21" s="50">
        <v>4</v>
      </c>
      <c r="K21" s="50">
        <v>0</v>
      </c>
      <c r="L21" s="50">
        <v>0</v>
      </c>
      <c r="M21" s="50">
        <v>45</v>
      </c>
      <c r="N21" s="50">
        <v>0</v>
      </c>
      <c r="O21" s="15">
        <f t="shared" si="0"/>
        <v>14</v>
      </c>
      <c r="P21" s="15">
        <f t="shared" si="1"/>
        <v>59</v>
      </c>
      <c r="R21" s="36" t="s">
        <v>20</v>
      </c>
      <c r="S21" s="34">
        <f t="shared" ref="S21:AF21" si="13">SUM(C54:C57)</f>
        <v>20</v>
      </c>
      <c r="T21" s="17">
        <f t="shared" si="13"/>
        <v>17</v>
      </c>
      <c r="U21" s="17">
        <f t="shared" si="13"/>
        <v>12</v>
      </c>
      <c r="V21" s="17">
        <f t="shared" si="13"/>
        <v>42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5</v>
      </c>
      <c r="AA21" s="17">
        <f t="shared" si="13"/>
        <v>0</v>
      </c>
      <c r="AB21" s="17">
        <f t="shared" si="13"/>
        <v>0</v>
      </c>
      <c r="AC21" s="17">
        <f t="shared" si="13"/>
        <v>275</v>
      </c>
      <c r="AD21" s="17">
        <f t="shared" si="13"/>
        <v>2</v>
      </c>
      <c r="AE21" s="31">
        <f t="shared" si="13"/>
        <v>106</v>
      </c>
      <c r="AF21" s="31">
        <f t="shared" si="13"/>
        <v>381</v>
      </c>
    </row>
    <row r="22" spans="2:32" ht="23.1" customHeight="1" x14ac:dyDescent="0.25">
      <c r="B22" s="23" t="s">
        <v>49</v>
      </c>
      <c r="C22" s="50">
        <v>5</v>
      </c>
      <c r="D22" s="50">
        <v>4</v>
      </c>
      <c r="E22" s="50">
        <v>1</v>
      </c>
      <c r="F22" s="50">
        <v>3</v>
      </c>
      <c r="G22" s="50">
        <v>0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65</v>
      </c>
      <c r="N22" s="50">
        <v>0</v>
      </c>
      <c r="O22" s="15">
        <f t="shared" si="0"/>
        <v>16</v>
      </c>
      <c r="P22" s="15">
        <f t="shared" si="1"/>
        <v>81</v>
      </c>
      <c r="R22" s="38" t="s">
        <v>90</v>
      </c>
      <c r="S22" s="39">
        <f>MAX(S10:S12)</f>
        <v>13</v>
      </c>
      <c r="T22" s="39">
        <f t="shared" ref="T22:AF22" si="14">MAX(T10:T12)</f>
        <v>9</v>
      </c>
      <c r="U22" s="39">
        <f t="shared" si="14"/>
        <v>10</v>
      </c>
      <c r="V22" s="39">
        <f t="shared" si="14"/>
        <v>33</v>
      </c>
      <c r="W22" s="39">
        <f t="shared" si="14"/>
        <v>0</v>
      </c>
      <c r="X22" s="39">
        <f t="shared" si="14"/>
        <v>0</v>
      </c>
      <c r="Y22" s="39">
        <f t="shared" si="14"/>
        <v>13</v>
      </c>
      <c r="Z22" s="39">
        <f t="shared" si="14"/>
        <v>7</v>
      </c>
      <c r="AA22" s="39">
        <f t="shared" si="14"/>
        <v>1</v>
      </c>
      <c r="AB22" s="39">
        <f t="shared" si="14"/>
        <v>0</v>
      </c>
      <c r="AC22" s="39">
        <f t="shared" si="14"/>
        <v>345</v>
      </c>
      <c r="AD22" s="39">
        <f t="shared" si="14"/>
        <v>1</v>
      </c>
      <c r="AE22" s="40">
        <f t="shared" si="14"/>
        <v>81</v>
      </c>
      <c r="AF22" s="40">
        <f t="shared" si="14"/>
        <v>426</v>
      </c>
    </row>
    <row r="23" spans="2:32" ht="23.1" customHeight="1" x14ac:dyDescent="0.25">
      <c r="B23" s="23" t="s">
        <v>50</v>
      </c>
      <c r="C23" s="50">
        <v>4</v>
      </c>
      <c r="D23" s="50">
        <v>2</v>
      </c>
      <c r="E23" s="50">
        <v>1</v>
      </c>
      <c r="F23" s="50">
        <v>2</v>
      </c>
      <c r="G23" s="50">
        <v>0</v>
      </c>
      <c r="H23" s="50">
        <v>0</v>
      </c>
      <c r="I23" s="50">
        <v>1</v>
      </c>
      <c r="J23" s="50">
        <v>2</v>
      </c>
      <c r="K23" s="50">
        <v>0</v>
      </c>
      <c r="L23" s="50">
        <v>0</v>
      </c>
      <c r="M23" s="50">
        <v>90</v>
      </c>
      <c r="N23" s="50">
        <v>0</v>
      </c>
      <c r="O23" s="15">
        <f t="shared" si="0"/>
        <v>12</v>
      </c>
      <c r="P23" s="15">
        <f t="shared" si="1"/>
        <v>102</v>
      </c>
      <c r="R23" s="38" t="s">
        <v>91</v>
      </c>
      <c r="S23" s="39">
        <f>MAX(S13:S18)</f>
        <v>31</v>
      </c>
      <c r="T23" s="39">
        <f t="shared" ref="T23:AF23" si="15">MAX(T13:T18)</f>
        <v>19</v>
      </c>
      <c r="U23" s="39">
        <f t="shared" si="15"/>
        <v>15</v>
      </c>
      <c r="V23" s="39">
        <f t="shared" si="15"/>
        <v>45</v>
      </c>
      <c r="W23" s="39">
        <f t="shared" si="15"/>
        <v>0</v>
      </c>
      <c r="X23" s="39">
        <f t="shared" si="15"/>
        <v>0</v>
      </c>
      <c r="Y23" s="39">
        <f t="shared" si="15"/>
        <v>12</v>
      </c>
      <c r="Z23" s="39">
        <f t="shared" si="15"/>
        <v>11</v>
      </c>
      <c r="AA23" s="39">
        <f t="shared" si="15"/>
        <v>0</v>
      </c>
      <c r="AB23" s="39">
        <f t="shared" si="15"/>
        <v>0</v>
      </c>
      <c r="AC23" s="39">
        <f t="shared" si="15"/>
        <v>460</v>
      </c>
      <c r="AD23" s="39">
        <f t="shared" si="15"/>
        <v>0</v>
      </c>
      <c r="AE23" s="40">
        <f t="shared" si="15"/>
        <v>117</v>
      </c>
      <c r="AF23" s="40">
        <f t="shared" si="15"/>
        <v>577</v>
      </c>
    </row>
    <row r="24" spans="2:32" ht="23.1" customHeight="1" x14ac:dyDescent="0.25">
      <c r="B24" s="23" t="s">
        <v>51</v>
      </c>
      <c r="C24" s="50">
        <v>5</v>
      </c>
      <c r="D24" s="50">
        <v>1</v>
      </c>
      <c r="E24" s="50">
        <v>1</v>
      </c>
      <c r="F24" s="50">
        <v>0</v>
      </c>
      <c r="G24" s="50">
        <v>0</v>
      </c>
      <c r="H24" s="50">
        <v>0</v>
      </c>
      <c r="I24" s="50">
        <v>2</v>
      </c>
      <c r="J24" s="50">
        <v>3</v>
      </c>
      <c r="K24" s="50">
        <v>0</v>
      </c>
      <c r="L24" s="50">
        <v>0</v>
      </c>
      <c r="M24" s="50">
        <v>85</v>
      </c>
      <c r="N24" s="50">
        <v>0</v>
      </c>
      <c r="O24" s="15">
        <f t="shared" si="0"/>
        <v>12</v>
      </c>
      <c r="P24" s="15">
        <f t="shared" si="1"/>
        <v>97</v>
      </c>
      <c r="R24" s="38" t="s">
        <v>92</v>
      </c>
      <c r="S24" s="39">
        <f>MAX(S19:S21)</f>
        <v>21</v>
      </c>
      <c r="T24" s="39">
        <f t="shared" ref="T24:AF24" si="16">MAX(T19:T21)</f>
        <v>17</v>
      </c>
      <c r="U24" s="39">
        <f t="shared" si="16"/>
        <v>16</v>
      </c>
      <c r="V24" s="39">
        <f t="shared" si="16"/>
        <v>42</v>
      </c>
      <c r="W24" s="39">
        <f t="shared" si="16"/>
        <v>0</v>
      </c>
      <c r="X24" s="39">
        <f t="shared" si="16"/>
        <v>0</v>
      </c>
      <c r="Y24" s="39">
        <f t="shared" si="16"/>
        <v>11</v>
      </c>
      <c r="Z24" s="39">
        <f t="shared" si="16"/>
        <v>5</v>
      </c>
      <c r="AA24" s="39">
        <f t="shared" si="16"/>
        <v>0</v>
      </c>
      <c r="AB24" s="39">
        <f t="shared" si="16"/>
        <v>0</v>
      </c>
      <c r="AC24" s="39">
        <f t="shared" si="16"/>
        <v>470</v>
      </c>
      <c r="AD24" s="39">
        <f t="shared" si="16"/>
        <v>2</v>
      </c>
      <c r="AE24" s="40">
        <f t="shared" si="16"/>
        <v>106</v>
      </c>
      <c r="AF24" s="40">
        <f t="shared" si="16"/>
        <v>559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2</v>
      </c>
      <c r="F25" s="50">
        <v>4</v>
      </c>
      <c r="G25" s="50">
        <v>0</v>
      </c>
      <c r="H25" s="50">
        <v>0</v>
      </c>
      <c r="I25" s="50">
        <v>2</v>
      </c>
      <c r="J25" s="50">
        <v>2</v>
      </c>
      <c r="K25" s="50">
        <v>0</v>
      </c>
      <c r="L25" s="50">
        <v>0</v>
      </c>
      <c r="M25" s="50">
        <v>90</v>
      </c>
      <c r="N25" s="50">
        <v>0</v>
      </c>
      <c r="O25" s="15">
        <f t="shared" si="0"/>
        <v>15</v>
      </c>
      <c r="P25" s="15">
        <f t="shared" si="1"/>
        <v>105</v>
      </c>
      <c r="R25" s="37" t="s">
        <v>85</v>
      </c>
      <c r="S25" s="35">
        <f t="shared" ref="S25:AF25" si="17">SUM(S10:S12)</f>
        <v>28</v>
      </c>
      <c r="T25" s="16">
        <f t="shared" si="17"/>
        <v>13</v>
      </c>
      <c r="U25" s="16">
        <f t="shared" si="17"/>
        <v>19</v>
      </c>
      <c r="V25" s="16">
        <f t="shared" si="17"/>
        <v>45</v>
      </c>
      <c r="W25" s="16">
        <f t="shared" si="17"/>
        <v>0</v>
      </c>
      <c r="X25" s="16">
        <f t="shared" si="17"/>
        <v>0</v>
      </c>
      <c r="Y25" s="16">
        <f t="shared" si="17"/>
        <v>28</v>
      </c>
      <c r="Z25" s="16">
        <f t="shared" si="17"/>
        <v>18</v>
      </c>
      <c r="AA25" s="16">
        <f t="shared" si="17"/>
        <v>1</v>
      </c>
      <c r="AB25" s="16">
        <f t="shared" si="17"/>
        <v>0</v>
      </c>
      <c r="AC25" s="16">
        <f t="shared" si="17"/>
        <v>880</v>
      </c>
      <c r="AD25" s="16">
        <f t="shared" si="17"/>
        <v>1</v>
      </c>
      <c r="AE25" s="32">
        <f t="shared" si="17"/>
        <v>153</v>
      </c>
      <c r="AF25" s="32">
        <f t="shared" si="17"/>
        <v>1033</v>
      </c>
    </row>
    <row r="26" spans="2:32" ht="23.1" customHeight="1" x14ac:dyDescent="0.25">
      <c r="B26" s="23" t="s">
        <v>53</v>
      </c>
      <c r="C26" s="50">
        <v>5</v>
      </c>
      <c r="D26" s="50">
        <v>2</v>
      </c>
      <c r="E26" s="50">
        <v>0</v>
      </c>
      <c r="F26" s="50">
        <v>3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11</v>
      </c>
      <c r="P26" s="15">
        <f t="shared" si="1"/>
        <v>71</v>
      </c>
      <c r="R26" s="28" t="s">
        <v>86</v>
      </c>
      <c r="S26" s="16">
        <f t="shared" ref="S26:AF26" si="18">SUM(S13:S18)</f>
        <v>117</v>
      </c>
      <c r="T26" s="16">
        <f t="shared" si="18"/>
        <v>67</v>
      </c>
      <c r="U26" s="16">
        <f t="shared" si="18"/>
        <v>53</v>
      </c>
      <c r="V26" s="16">
        <f t="shared" si="18"/>
        <v>145</v>
      </c>
      <c r="W26" s="16">
        <f t="shared" si="18"/>
        <v>0</v>
      </c>
      <c r="X26" s="16">
        <f t="shared" si="18"/>
        <v>0</v>
      </c>
      <c r="Y26" s="16">
        <f t="shared" si="18"/>
        <v>50</v>
      </c>
      <c r="Z26" s="16">
        <f t="shared" si="18"/>
        <v>48</v>
      </c>
      <c r="AA26" s="16">
        <f t="shared" si="18"/>
        <v>0</v>
      </c>
      <c r="AB26" s="16">
        <f t="shared" si="18"/>
        <v>0</v>
      </c>
      <c r="AC26" s="16">
        <f t="shared" si="18"/>
        <v>2315</v>
      </c>
      <c r="AD26" s="16">
        <f t="shared" si="18"/>
        <v>0</v>
      </c>
      <c r="AE26" s="32">
        <f t="shared" si="18"/>
        <v>480</v>
      </c>
      <c r="AF26" s="32">
        <f t="shared" si="18"/>
        <v>2795</v>
      </c>
    </row>
    <row r="27" spans="2:32" ht="23.1" customHeight="1" x14ac:dyDescent="0.25">
      <c r="B27" s="23" t="s">
        <v>54</v>
      </c>
      <c r="C27" s="50">
        <v>3</v>
      </c>
      <c r="D27" s="50">
        <v>3</v>
      </c>
      <c r="E27" s="50">
        <v>1</v>
      </c>
      <c r="F27" s="50">
        <v>5</v>
      </c>
      <c r="G27" s="50">
        <v>0</v>
      </c>
      <c r="H27" s="50">
        <v>0</v>
      </c>
      <c r="I27" s="50">
        <v>2</v>
      </c>
      <c r="J27" s="50">
        <v>1</v>
      </c>
      <c r="K27" s="50">
        <v>0</v>
      </c>
      <c r="L27" s="50">
        <v>0</v>
      </c>
      <c r="M27" s="50">
        <v>125</v>
      </c>
      <c r="N27" s="50">
        <v>0</v>
      </c>
      <c r="O27" s="15">
        <f t="shared" si="0"/>
        <v>15</v>
      </c>
      <c r="P27" s="15">
        <f t="shared" si="1"/>
        <v>140</v>
      </c>
      <c r="R27" s="29" t="s">
        <v>87</v>
      </c>
      <c r="S27" s="16">
        <f t="shared" ref="S27:AF27" si="19">SUM(S19:S21)</f>
        <v>59</v>
      </c>
      <c r="T27" s="16">
        <f t="shared" si="19"/>
        <v>42</v>
      </c>
      <c r="U27" s="16">
        <f t="shared" si="19"/>
        <v>40</v>
      </c>
      <c r="V27" s="16">
        <f t="shared" si="19"/>
        <v>108</v>
      </c>
      <c r="W27" s="16">
        <f t="shared" si="19"/>
        <v>0</v>
      </c>
      <c r="X27" s="16">
        <f t="shared" si="19"/>
        <v>0</v>
      </c>
      <c r="Y27" s="16">
        <f t="shared" si="19"/>
        <v>26</v>
      </c>
      <c r="Z27" s="16">
        <f t="shared" si="19"/>
        <v>9</v>
      </c>
      <c r="AA27" s="16">
        <f t="shared" si="19"/>
        <v>0</v>
      </c>
      <c r="AB27" s="16">
        <f t="shared" si="19"/>
        <v>0</v>
      </c>
      <c r="AC27" s="16">
        <f t="shared" si="19"/>
        <v>1180</v>
      </c>
      <c r="AD27" s="16">
        <f t="shared" si="19"/>
        <v>6</v>
      </c>
      <c r="AE27" s="32">
        <f t="shared" si="19"/>
        <v>290</v>
      </c>
      <c r="AF27" s="32">
        <f t="shared" si="19"/>
        <v>1470</v>
      </c>
    </row>
    <row r="28" spans="2:32" ht="23.1" customHeight="1" x14ac:dyDescent="0.25">
      <c r="B28" s="23" t="s">
        <v>55</v>
      </c>
      <c r="C28" s="50">
        <v>2</v>
      </c>
      <c r="D28" s="50">
        <v>2</v>
      </c>
      <c r="E28" s="50">
        <v>0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85</v>
      </c>
      <c r="N28" s="50">
        <v>0</v>
      </c>
      <c r="O28" s="15">
        <f t="shared" si="0"/>
        <v>7</v>
      </c>
      <c r="P28" s="15">
        <f t="shared" si="1"/>
        <v>92</v>
      </c>
      <c r="R28" s="5" t="s">
        <v>17</v>
      </c>
      <c r="S28" s="16">
        <f t="shared" ref="S28:AF28" si="20">SUM(S10:S21)</f>
        <v>204</v>
      </c>
      <c r="T28" s="16">
        <f t="shared" si="20"/>
        <v>122</v>
      </c>
      <c r="U28" s="16">
        <f t="shared" si="20"/>
        <v>112</v>
      </c>
      <c r="V28" s="16">
        <f t="shared" si="20"/>
        <v>298</v>
      </c>
      <c r="W28" s="16">
        <f t="shared" si="20"/>
        <v>0</v>
      </c>
      <c r="X28" s="16">
        <f t="shared" si="20"/>
        <v>0</v>
      </c>
      <c r="Y28" s="16">
        <f t="shared" si="20"/>
        <v>104</v>
      </c>
      <c r="Z28" s="16">
        <f t="shared" si="20"/>
        <v>75</v>
      </c>
      <c r="AA28" s="16">
        <f t="shared" si="20"/>
        <v>1</v>
      </c>
      <c r="AB28" s="16">
        <f t="shared" si="20"/>
        <v>0</v>
      </c>
      <c r="AC28" s="16">
        <f t="shared" si="20"/>
        <v>4375</v>
      </c>
      <c r="AD28" s="16">
        <f t="shared" si="20"/>
        <v>7</v>
      </c>
      <c r="AE28" s="32">
        <f t="shared" si="20"/>
        <v>923</v>
      </c>
      <c r="AF28" s="32">
        <f t="shared" si="20"/>
        <v>5298</v>
      </c>
    </row>
    <row r="29" spans="2:32" ht="23.1" customHeight="1" x14ac:dyDescent="0.25">
      <c r="B29" s="23" t="s">
        <v>56</v>
      </c>
      <c r="C29" s="50">
        <v>4</v>
      </c>
      <c r="D29" s="50">
        <v>3</v>
      </c>
      <c r="E29" s="50">
        <v>3</v>
      </c>
      <c r="F29" s="50">
        <v>3</v>
      </c>
      <c r="G29" s="50">
        <v>0</v>
      </c>
      <c r="H29" s="50">
        <v>0</v>
      </c>
      <c r="I29" s="50">
        <v>2</v>
      </c>
      <c r="J29" s="50">
        <v>4</v>
      </c>
      <c r="K29" s="50">
        <v>0</v>
      </c>
      <c r="L29" s="50">
        <v>0</v>
      </c>
      <c r="M29" s="50">
        <v>155</v>
      </c>
      <c r="N29" s="50">
        <v>0</v>
      </c>
      <c r="O29" s="15">
        <f t="shared" si="0"/>
        <v>19</v>
      </c>
      <c r="P29" s="15">
        <f t="shared" si="1"/>
        <v>174</v>
      </c>
      <c r="R29"/>
      <c r="S29" s="20"/>
      <c r="T29" s="19"/>
    </row>
    <row r="30" spans="2:32" ht="23.1" customHeight="1" x14ac:dyDescent="0.25">
      <c r="B30" s="23" t="s">
        <v>57</v>
      </c>
      <c r="C30" s="50">
        <v>1</v>
      </c>
      <c r="D30" s="50">
        <v>3</v>
      </c>
      <c r="E30" s="50">
        <v>2</v>
      </c>
      <c r="F30" s="50">
        <v>10</v>
      </c>
      <c r="G30" s="50">
        <v>0</v>
      </c>
      <c r="H30" s="50">
        <v>0</v>
      </c>
      <c r="I30" s="50">
        <v>2</v>
      </c>
      <c r="J30" s="50">
        <v>3</v>
      </c>
      <c r="K30" s="50">
        <v>0</v>
      </c>
      <c r="L30" s="50">
        <v>0</v>
      </c>
      <c r="M30" s="50">
        <v>80</v>
      </c>
      <c r="N30" s="50">
        <v>0</v>
      </c>
      <c r="O30" s="15">
        <f t="shared" si="0"/>
        <v>21</v>
      </c>
      <c r="P30" s="15">
        <f t="shared" si="1"/>
        <v>101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1</v>
      </c>
      <c r="F31" s="50">
        <v>4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75</v>
      </c>
      <c r="N31" s="50">
        <v>0</v>
      </c>
      <c r="O31" s="15">
        <f t="shared" si="0"/>
        <v>12</v>
      </c>
      <c r="P31" s="15">
        <f t="shared" si="1"/>
        <v>87</v>
      </c>
    </row>
    <row r="32" spans="2:32" ht="23.1" customHeight="1" x14ac:dyDescent="0.25">
      <c r="B32" s="24" t="s">
        <v>59</v>
      </c>
      <c r="C32" s="50">
        <v>5</v>
      </c>
      <c r="D32" s="50">
        <v>3</v>
      </c>
      <c r="E32" s="50">
        <v>5</v>
      </c>
      <c r="F32" s="50">
        <v>8</v>
      </c>
      <c r="G32" s="50">
        <v>0</v>
      </c>
      <c r="H32" s="50">
        <v>0</v>
      </c>
      <c r="I32" s="50">
        <v>4</v>
      </c>
      <c r="J32" s="50">
        <v>3</v>
      </c>
      <c r="K32" s="50">
        <v>0</v>
      </c>
      <c r="L32" s="50">
        <v>0</v>
      </c>
      <c r="M32" s="50">
        <v>80</v>
      </c>
      <c r="N32" s="50">
        <v>0</v>
      </c>
      <c r="O32" s="15">
        <f t="shared" si="0"/>
        <v>28</v>
      </c>
      <c r="P32" s="15">
        <f t="shared" si="1"/>
        <v>108</v>
      </c>
    </row>
    <row r="33" spans="2:20" ht="23.1" customHeight="1" x14ac:dyDescent="0.25">
      <c r="B33" s="23" t="s">
        <v>60</v>
      </c>
      <c r="C33" s="50">
        <v>4</v>
      </c>
      <c r="D33" s="50">
        <v>2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2</v>
      </c>
      <c r="K33" s="50">
        <v>0</v>
      </c>
      <c r="L33" s="50">
        <v>0</v>
      </c>
      <c r="M33" s="50">
        <v>95</v>
      </c>
      <c r="N33" s="50">
        <v>0</v>
      </c>
      <c r="O33" s="15">
        <f t="shared" si="0"/>
        <v>12</v>
      </c>
      <c r="P33" s="15">
        <f t="shared" si="1"/>
        <v>107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4</v>
      </c>
      <c r="F34" s="50">
        <v>10</v>
      </c>
      <c r="G34" s="50">
        <v>0</v>
      </c>
      <c r="H34" s="50">
        <v>0</v>
      </c>
      <c r="I34" s="50">
        <v>1</v>
      </c>
      <c r="J34" s="50">
        <v>3</v>
      </c>
      <c r="K34" s="50">
        <v>0</v>
      </c>
      <c r="L34" s="50">
        <v>0</v>
      </c>
      <c r="M34" s="50">
        <v>75</v>
      </c>
      <c r="N34" s="50">
        <v>0</v>
      </c>
      <c r="O34" s="15">
        <f t="shared" si="0"/>
        <v>22</v>
      </c>
      <c r="P34" s="15">
        <f t="shared" si="1"/>
        <v>97</v>
      </c>
    </row>
    <row r="35" spans="2:20" ht="23.1" customHeight="1" x14ac:dyDescent="0.25">
      <c r="B35" s="24" t="s">
        <v>62</v>
      </c>
      <c r="C35" s="50">
        <v>8</v>
      </c>
      <c r="D35" s="50">
        <v>3</v>
      </c>
      <c r="E35" s="50">
        <v>5</v>
      </c>
      <c r="F35" s="50">
        <v>3</v>
      </c>
      <c r="G35" s="50">
        <v>0</v>
      </c>
      <c r="H35" s="50">
        <v>0</v>
      </c>
      <c r="I35" s="50">
        <v>3</v>
      </c>
      <c r="J35" s="50">
        <v>4</v>
      </c>
      <c r="K35" s="50">
        <v>0</v>
      </c>
      <c r="L35" s="50">
        <v>0</v>
      </c>
      <c r="M35" s="50">
        <v>80</v>
      </c>
      <c r="N35" s="50">
        <v>0</v>
      </c>
      <c r="O35" s="15">
        <f t="shared" si="0"/>
        <v>26</v>
      </c>
      <c r="P35" s="15">
        <f t="shared" si="1"/>
        <v>106</v>
      </c>
    </row>
    <row r="36" spans="2:20" ht="23.1" customHeight="1" x14ac:dyDescent="0.25">
      <c r="B36" s="24" t="s">
        <v>63</v>
      </c>
      <c r="C36" s="50">
        <v>10</v>
      </c>
      <c r="D36" s="50">
        <v>3</v>
      </c>
      <c r="E36" s="50">
        <v>3</v>
      </c>
      <c r="F36" s="50">
        <v>4</v>
      </c>
      <c r="G36" s="50">
        <v>0</v>
      </c>
      <c r="H36" s="50">
        <v>0</v>
      </c>
      <c r="I36" s="50">
        <v>5</v>
      </c>
      <c r="J36" s="50">
        <v>3</v>
      </c>
      <c r="K36" s="50">
        <v>0</v>
      </c>
      <c r="L36" s="50">
        <v>0</v>
      </c>
      <c r="M36" s="50">
        <v>90</v>
      </c>
      <c r="N36" s="50">
        <v>0</v>
      </c>
      <c r="O36" s="15">
        <f t="shared" si="0"/>
        <v>28</v>
      </c>
      <c r="P36" s="15">
        <f t="shared" si="1"/>
        <v>118</v>
      </c>
    </row>
    <row r="37" spans="2:20" ht="23.1" customHeight="1" x14ac:dyDescent="0.25">
      <c r="B37" s="23" t="s">
        <v>64</v>
      </c>
      <c r="C37" s="50">
        <v>4</v>
      </c>
      <c r="D37" s="50">
        <v>2</v>
      </c>
      <c r="E37" s="50">
        <v>3</v>
      </c>
      <c r="F37" s="50">
        <v>4</v>
      </c>
      <c r="G37" s="50">
        <v>0</v>
      </c>
      <c r="H37" s="50">
        <v>0</v>
      </c>
      <c r="I37" s="50">
        <v>3</v>
      </c>
      <c r="J37" s="50">
        <v>1</v>
      </c>
      <c r="K37" s="50">
        <v>0</v>
      </c>
      <c r="L37" s="50">
        <v>0</v>
      </c>
      <c r="M37" s="50">
        <v>155</v>
      </c>
      <c r="N37" s="50">
        <v>0</v>
      </c>
      <c r="O37" s="15">
        <f t="shared" si="0"/>
        <v>17</v>
      </c>
      <c r="P37" s="15">
        <f t="shared" si="1"/>
        <v>172</v>
      </c>
    </row>
    <row r="38" spans="2:20" ht="23.1" customHeight="1" x14ac:dyDescent="0.25">
      <c r="B38" s="24" t="s">
        <v>65</v>
      </c>
      <c r="C38" s="50">
        <v>3</v>
      </c>
      <c r="D38" s="50">
        <v>2</v>
      </c>
      <c r="E38" s="50">
        <v>5</v>
      </c>
      <c r="F38" s="50">
        <v>15</v>
      </c>
      <c r="G38" s="50">
        <v>0</v>
      </c>
      <c r="H38" s="50">
        <v>0</v>
      </c>
      <c r="I38" s="50">
        <v>3</v>
      </c>
      <c r="J38" s="50">
        <v>4</v>
      </c>
      <c r="K38" s="50">
        <v>0</v>
      </c>
      <c r="L38" s="50">
        <v>0</v>
      </c>
      <c r="M38" s="50">
        <v>95</v>
      </c>
      <c r="N38" s="50">
        <v>0</v>
      </c>
      <c r="O38" s="15">
        <f t="shared" si="0"/>
        <v>32</v>
      </c>
      <c r="P38" s="15">
        <f t="shared" si="1"/>
        <v>127</v>
      </c>
    </row>
    <row r="39" spans="2:20" ht="23.1" customHeight="1" x14ac:dyDescent="0.25">
      <c r="B39" s="24" t="s">
        <v>66</v>
      </c>
      <c r="C39" s="50">
        <v>6</v>
      </c>
      <c r="D39" s="50">
        <v>3</v>
      </c>
      <c r="E39" s="50">
        <v>1</v>
      </c>
      <c r="F39" s="50">
        <v>4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95</v>
      </c>
      <c r="N39" s="50">
        <v>0</v>
      </c>
      <c r="O39" s="15">
        <f t="shared" si="0"/>
        <v>16</v>
      </c>
      <c r="P39" s="15">
        <f t="shared" si="1"/>
        <v>111</v>
      </c>
    </row>
    <row r="40" spans="2:20" ht="23.1" customHeight="1" x14ac:dyDescent="0.25">
      <c r="B40" s="24" t="s">
        <v>67</v>
      </c>
      <c r="C40" s="50">
        <v>2</v>
      </c>
      <c r="D40" s="50">
        <v>3</v>
      </c>
      <c r="E40" s="50">
        <v>1</v>
      </c>
      <c r="F40" s="50">
        <v>5</v>
      </c>
      <c r="G40" s="50">
        <v>0</v>
      </c>
      <c r="H40" s="50">
        <v>0</v>
      </c>
      <c r="I40" s="50">
        <v>2</v>
      </c>
      <c r="J40" s="50">
        <v>2</v>
      </c>
      <c r="K40" s="50">
        <v>0</v>
      </c>
      <c r="L40" s="50">
        <v>0</v>
      </c>
      <c r="M40" s="50">
        <v>100</v>
      </c>
      <c r="N40" s="50">
        <v>0</v>
      </c>
      <c r="O40" s="15">
        <f t="shared" si="0"/>
        <v>15</v>
      </c>
      <c r="P40" s="15">
        <f t="shared" si="1"/>
        <v>115</v>
      </c>
    </row>
    <row r="41" spans="2:20" ht="23.1" customHeight="1" x14ac:dyDescent="0.25">
      <c r="B41" s="23" t="s">
        <v>68</v>
      </c>
      <c r="C41" s="50">
        <v>5</v>
      </c>
      <c r="D41" s="50">
        <v>4</v>
      </c>
      <c r="E41" s="50">
        <v>2</v>
      </c>
      <c r="F41" s="50">
        <v>10</v>
      </c>
      <c r="G41" s="50">
        <v>0</v>
      </c>
      <c r="H41" s="50">
        <v>0</v>
      </c>
      <c r="I41" s="50">
        <v>4</v>
      </c>
      <c r="J41" s="50">
        <v>2</v>
      </c>
      <c r="K41" s="50">
        <v>0</v>
      </c>
      <c r="L41" s="50">
        <v>0</v>
      </c>
      <c r="M41" s="50">
        <v>80</v>
      </c>
      <c r="N41" s="50">
        <v>0</v>
      </c>
      <c r="O41" s="15">
        <f t="shared" si="0"/>
        <v>27</v>
      </c>
      <c r="P41" s="15">
        <f t="shared" si="1"/>
        <v>107</v>
      </c>
    </row>
    <row r="42" spans="2:20" ht="23.1" customHeight="1" x14ac:dyDescent="0.25">
      <c r="B42" s="24" t="s">
        <v>69</v>
      </c>
      <c r="C42" s="50">
        <v>3</v>
      </c>
      <c r="D42" s="50">
        <v>5</v>
      </c>
      <c r="E42" s="50">
        <v>5</v>
      </c>
      <c r="F42" s="50">
        <v>15</v>
      </c>
      <c r="G42" s="50">
        <v>0</v>
      </c>
      <c r="H42" s="50">
        <v>0</v>
      </c>
      <c r="I42" s="50">
        <v>4</v>
      </c>
      <c r="J42" s="50">
        <v>1</v>
      </c>
      <c r="K42" s="50">
        <v>0</v>
      </c>
      <c r="L42" s="50">
        <v>0</v>
      </c>
      <c r="M42" s="50">
        <v>135</v>
      </c>
      <c r="N42" s="50">
        <v>0</v>
      </c>
      <c r="O42" s="15">
        <f t="shared" si="0"/>
        <v>33</v>
      </c>
      <c r="P42" s="15">
        <f t="shared" si="1"/>
        <v>168</v>
      </c>
    </row>
    <row r="43" spans="2:20" ht="23.1" customHeight="1" x14ac:dyDescent="0.25">
      <c r="B43" s="23" t="s">
        <v>70</v>
      </c>
      <c r="C43" s="50">
        <v>9</v>
      </c>
      <c r="D43" s="50">
        <v>10</v>
      </c>
      <c r="E43" s="50">
        <v>2</v>
      </c>
      <c r="F43" s="50">
        <v>20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115</v>
      </c>
      <c r="N43" s="50">
        <v>0</v>
      </c>
      <c r="O43" s="15">
        <f t="shared" si="0"/>
        <v>44</v>
      </c>
      <c r="P43" s="15">
        <f t="shared" si="1"/>
        <v>159</v>
      </c>
    </row>
    <row r="44" spans="2:20" ht="23.1" customHeight="1" x14ac:dyDescent="0.25">
      <c r="B44" s="25" t="s">
        <v>71</v>
      </c>
      <c r="C44" s="50">
        <v>4</v>
      </c>
      <c r="D44" s="50">
        <v>2</v>
      </c>
      <c r="E44" s="50">
        <v>0</v>
      </c>
      <c r="F44" s="50">
        <v>5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110</v>
      </c>
      <c r="N44" s="50">
        <v>0</v>
      </c>
      <c r="O44" s="15">
        <f t="shared" si="0"/>
        <v>12</v>
      </c>
      <c r="P44" s="15">
        <f t="shared" si="1"/>
        <v>122</v>
      </c>
    </row>
    <row r="45" spans="2:20" ht="23.1" customHeight="1" x14ac:dyDescent="0.25">
      <c r="B45" s="23" t="s">
        <v>72</v>
      </c>
      <c r="C45" s="50">
        <v>15</v>
      </c>
      <c r="D45" s="50">
        <v>2</v>
      </c>
      <c r="E45" s="50">
        <v>4</v>
      </c>
      <c r="F45" s="50">
        <v>5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100</v>
      </c>
      <c r="N45" s="50">
        <v>0</v>
      </c>
      <c r="O45" s="15">
        <f t="shared" si="0"/>
        <v>28</v>
      </c>
      <c r="P45" s="15">
        <f t="shared" si="1"/>
        <v>128</v>
      </c>
    </row>
    <row r="46" spans="2:20" ht="23.1" customHeight="1" x14ac:dyDescent="0.25">
      <c r="B46" s="24" t="s">
        <v>73</v>
      </c>
      <c r="C46" s="50">
        <v>4</v>
      </c>
      <c r="D46" s="50">
        <v>1</v>
      </c>
      <c r="E46" s="50">
        <v>1</v>
      </c>
      <c r="F46" s="50">
        <v>7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135</v>
      </c>
      <c r="N46" s="50">
        <v>0</v>
      </c>
      <c r="O46" s="15">
        <f t="shared" si="0"/>
        <v>14</v>
      </c>
      <c r="P46" s="15">
        <f t="shared" si="1"/>
        <v>149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5</v>
      </c>
      <c r="E47" s="50">
        <v>3</v>
      </c>
      <c r="F47" s="50">
        <v>15</v>
      </c>
      <c r="G47" s="50">
        <v>0</v>
      </c>
      <c r="H47" s="50">
        <v>0</v>
      </c>
      <c r="I47" s="50">
        <v>5</v>
      </c>
      <c r="J47" s="50">
        <v>0</v>
      </c>
      <c r="K47" s="50">
        <v>0</v>
      </c>
      <c r="L47" s="50">
        <v>0</v>
      </c>
      <c r="M47" s="50">
        <v>105</v>
      </c>
      <c r="N47" s="50">
        <v>1</v>
      </c>
      <c r="O47" s="15">
        <f t="shared" si="0"/>
        <v>32</v>
      </c>
      <c r="P47" s="15">
        <f t="shared" si="1"/>
        <v>137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2</v>
      </c>
      <c r="E48" s="50">
        <v>1</v>
      </c>
      <c r="F48" s="50">
        <v>4</v>
      </c>
      <c r="G48" s="50">
        <v>0</v>
      </c>
      <c r="H48" s="50">
        <v>0</v>
      </c>
      <c r="I48" s="50">
        <v>4</v>
      </c>
      <c r="J48" s="50">
        <v>0</v>
      </c>
      <c r="K48" s="50">
        <v>0</v>
      </c>
      <c r="L48" s="50">
        <v>0</v>
      </c>
      <c r="M48" s="50">
        <v>115</v>
      </c>
      <c r="N48" s="50">
        <v>0</v>
      </c>
      <c r="O48" s="15">
        <f t="shared" si="0"/>
        <v>16</v>
      </c>
      <c r="P48" s="15">
        <f t="shared" si="1"/>
        <v>131</v>
      </c>
      <c r="R48" s="8"/>
      <c r="T48"/>
    </row>
    <row r="49" spans="2:20" ht="23.1" customHeight="1" x14ac:dyDescent="0.25">
      <c r="B49" s="23" t="s">
        <v>76</v>
      </c>
      <c r="C49" s="50">
        <v>6</v>
      </c>
      <c r="D49" s="50">
        <v>5</v>
      </c>
      <c r="E49" s="50">
        <v>7</v>
      </c>
      <c r="F49" s="50">
        <v>5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115</v>
      </c>
      <c r="N49" s="50">
        <v>1</v>
      </c>
      <c r="O49" s="15">
        <f t="shared" si="0"/>
        <v>27</v>
      </c>
      <c r="P49" s="15">
        <f t="shared" si="1"/>
        <v>142</v>
      </c>
      <c r="R49" s="8"/>
      <c r="T49"/>
    </row>
    <row r="50" spans="2:20" ht="23.1" customHeight="1" x14ac:dyDescent="0.25">
      <c r="B50" s="24" t="s">
        <v>77</v>
      </c>
      <c r="C50" s="50">
        <v>4</v>
      </c>
      <c r="D50" s="50">
        <v>2</v>
      </c>
      <c r="E50" s="50">
        <v>3</v>
      </c>
      <c r="F50" s="50">
        <v>10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120</v>
      </c>
      <c r="N50" s="50">
        <v>0</v>
      </c>
      <c r="O50" s="15">
        <f t="shared" si="0"/>
        <v>22</v>
      </c>
      <c r="P50" s="15">
        <f t="shared" si="1"/>
        <v>142</v>
      </c>
      <c r="R50" s="8"/>
      <c r="T50"/>
    </row>
    <row r="51" spans="2:20" ht="23.1" customHeight="1" x14ac:dyDescent="0.25">
      <c r="B51" s="24" t="s">
        <v>78</v>
      </c>
      <c r="C51" s="50">
        <v>5</v>
      </c>
      <c r="D51" s="50">
        <v>3</v>
      </c>
      <c r="E51" s="50">
        <v>4</v>
      </c>
      <c r="F51" s="50">
        <v>8</v>
      </c>
      <c r="G51" s="50">
        <v>0</v>
      </c>
      <c r="H51" s="50">
        <v>0</v>
      </c>
      <c r="I51" s="50">
        <v>2</v>
      </c>
      <c r="J51" s="50">
        <v>1</v>
      </c>
      <c r="K51" s="50">
        <v>0</v>
      </c>
      <c r="L51" s="50">
        <v>0</v>
      </c>
      <c r="M51" s="50">
        <v>105</v>
      </c>
      <c r="N51" s="50">
        <v>1</v>
      </c>
      <c r="O51" s="15">
        <f t="shared" si="0"/>
        <v>24</v>
      </c>
      <c r="P51" s="15">
        <f t="shared" si="1"/>
        <v>129</v>
      </c>
      <c r="R51" s="8"/>
      <c r="T51"/>
    </row>
    <row r="52" spans="2:20" ht="23.1" customHeight="1" x14ac:dyDescent="0.25">
      <c r="B52" s="24" t="s">
        <v>79</v>
      </c>
      <c r="C52" s="50">
        <v>4</v>
      </c>
      <c r="D52" s="50">
        <v>2</v>
      </c>
      <c r="E52" s="50">
        <v>1</v>
      </c>
      <c r="F52" s="50">
        <v>13</v>
      </c>
      <c r="G52" s="50">
        <v>0</v>
      </c>
      <c r="H52" s="50">
        <v>0</v>
      </c>
      <c r="I52" s="50">
        <v>1</v>
      </c>
      <c r="J52" s="50">
        <v>0</v>
      </c>
      <c r="K52" s="50">
        <v>0</v>
      </c>
      <c r="L52" s="50">
        <v>0</v>
      </c>
      <c r="M52" s="50">
        <v>115</v>
      </c>
      <c r="N52" s="50">
        <v>0</v>
      </c>
      <c r="O52" s="15">
        <f t="shared" si="0"/>
        <v>21</v>
      </c>
      <c r="P52" s="15">
        <f t="shared" si="1"/>
        <v>136</v>
      </c>
      <c r="R52" s="8"/>
      <c r="T52"/>
    </row>
    <row r="53" spans="2:20" ht="23.1" customHeight="1" x14ac:dyDescent="0.25">
      <c r="B53" s="23" t="s">
        <v>80</v>
      </c>
      <c r="C53" s="50">
        <v>8</v>
      </c>
      <c r="D53" s="50">
        <v>5</v>
      </c>
      <c r="E53" s="50">
        <v>8</v>
      </c>
      <c r="F53" s="50">
        <v>4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95</v>
      </c>
      <c r="N53" s="50">
        <v>1</v>
      </c>
      <c r="O53" s="15">
        <f t="shared" si="0"/>
        <v>28</v>
      </c>
      <c r="P53" s="15">
        <f t="shared" si="1"/>
        <v>123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8</v>
      </c>
      <c r="E54" s="50">
        <v>4</v>
      </c>
      <c r="F54" s="50">
        <v>15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45</v>
      </c>
      <c r="N54" s="50">
        <v>1</v>
      </c>
      <c r="O54" s="15">
        <f t="shared" si="0"/>
        <v>37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3</v>
      </c>
      <c r="D55" s="50">
        <v>2</v>
      </c>
      <c r="E55" s="50">
        <v>3</v>
      </c>
      <c r="F55" s="50">
        <v>8</v>
      </c>
      <c r="G55" s="50">
        <v>0</v>
      </c>
      <c r="H55" s="50">
        <v>0</v>
      </c>
      <c r="I55" s="50">
        <v>4</v>
      </c>
      <c r="J55" s="50">
        <v>2</v>
      </c>
      <c r="K55" s="50">
        <v>0</v>
      </c>
      <c r="L55" s="50">
        <v>0</v>
      </c>
      <c r="M55" s="50">
        <v>60</v>
      </c>
      <c r="N55" s="50">
        <v>0</v>
      </c>
      <c r="O55" s="15">
        <f t="shared" si="0"/>
        <v>22</v>
      </c>
      <c r="P55" s="15">
        <f t="shared" si="1"/>
        <v>82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4</v>
      </c>
      <c r="E56" s="50">
        <v>3</v>
      </c>
      <c r="F56" s="50">
        <v>10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80</v>
      </c>
      <c r="N56" s="50">
        <v>1</v>
      </c>
      <c r="O56" s="15">
        <f t="shared" si="0"/>
        <v>25</v>
      </c>
      <c r="P56" s="15">
        <f t="shared" si="1"/>
        <v>105</v>
      </c>
      <c r="R56" s="8"/>
      <c r="T56"/>
    </row>
    <row r="57" spans="2:20" ht="23.1" customHeight="1" x14ac:dyDescent="0.25">
      <c r="B57" s="23" t="s">
        <v>84</v>
      </c>
      <c r="C57" s="50">
        <v>5</v>
      </c>
      <c r="D57" s="50">
        <v>3</v>
      </c>
      <c r="E57" s="50">
        <v>2</v>
      </c>
      <c r="F57" s="50">
        <v>9</v>
      </c>
      <c r="G57" s="50">
        <v>0</v>
      </c>
      <c r="H57" s="50">
        <v>0</v>
      </c>
      <c r="I57" s="50">
        <v>1</v>
      </c>
      <c r="J57" s="50">
        <v>2</v>
      </c>
      <c r="K57" s="50">
        <v>0</v>
      </c>
      <c r="L57" s="50">
        <v>0</v>
      </c>
      <c r="M57" s="50">
        <v>90</v>
      </c>
      <c r="N57" s="50">
        <v>0</v>
      </c>
      <c r="O57" s="15">
        <f t="shared" si="0"/>
        <v>22</v>
      </c>
      <c r="P57" s="15">
        <f t="shared" si="1"/>
        <v>112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204</v>
      </c>
      <c r="D58" s="16">
        <f t="shared" si="21"/>
        <v>122</v>
      </c>
      <c r="E58" s="16">
        <f t="shared" si="21"/>
        <v>112</v>
      </c>
      <c r="F58" s="16">
        <f t="shared" si="21"/>
        <v>298</v>
      </c>
      <c r="G58" s="16">
        <f t="shared" si="21"/>
        <v>0</v>
      </c>
      <c r="H58" s="16">
        <f t="shared" si="21"/>
        <v>0</v>
      </c>
      <c r="I58" s="16">
        <f t="shared" si="21"/>
        <v>104</v>
      </c>
      <c r="J58" s="16">
        <f t="shared" si="21"/>
        <v>75</v>
      </c>
      <c r="K58" s="16">
        <f t="shared" si="21"/>
        <v>1</v>
      </c>
      <c r="L58" s="16">
        <f t="shared" si="21"/>
        <v>0</v>
      </c>
      <c r="M58" s="16">
        <f t="shared" si="21"/>
        <v>4375</v>
      </c>
      <c r="N58" s="16">
        <f t="shared" si="21"/>
        <v>7</v>
      </c>
      <c r="O58" s="16">
        <f t="shared" si="21"/>
        <v>923</v>
      </c>
      <c r="P58" s="16">
        <f t="shared" si="21"/>
        <v>5298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3.8505096262740658E-2</v>
      </c>
      <c r="D59" s="43">
        <f t="shared" si="22"/>
        <v>2.3027557568893922E-2</v>
      </c>
      <c r="E59" s="43">
        <f t="shared" si="22"/>
        <v>2.1140052850132124E-2</v>
      </c>
      <c r="F59" s="43">
        <f t="shared" si="22"/>
        <v>5.6247640619101549E-2</v>
      </c>
      <c r="G59" s="43">
        <f t="shared" si="22"/>
        <v>0</v>
      </c>
      <c r="H59" s="43">
        <f t="shared" si="22"/>
        <v>0</v>
      </c>
      <c r="I59" s="43">
        <f t="shared" si="22"/>
        <v>1.9630049075122689E-2</v>
      </c>
      <c r="J59" s="43">
        <f t="shared" si="22"/>
        <v>1.4156285390713477E-2</v>
      </c>
      <c r="K59" s="43">
        <f t="shared" si="22"/>
        <v>1.8875047187617969E-4</v>
      </c>
      <c r="L59" s="43">
        <f t="shared" si="22"/>
        <v>0</v>
      </c>
      <c r="M59" s="43">
        <f t="shared" si="22"/>
        <v>0.82578331445828612</v>
      </c>
      <c r="N59" s="43">
        <f t="shared" si="22"/>
        <v>1.3212533031332577E-3</v>
      </c>
      <c r="R59" s="8"/>
      <c r="T59"/>
    </row>
    <row r="60" spans="2:20" ht="23.1" customHeight="1" x14ac:dyDescent="0.25">
      <c r="B60" s="42" t="s">
        <v>94</v>
      </c>
      <c r="C60" s="44">
        <f>C58/$O$58</f>
        <v>0.2210184182015168</v>
      </c>
      <c r="D60" s="44">
        <f t="shared" ref="D60:N60" si="23">D58/$O$58</f>
        <v>0.13217768147345613</v>
      </c>
      <c r="E60" s="44">
        <f t="shared" si="23"/>
        <v>0.12134344528710726</v>
      </c>
      <c r="F60" s="44">
        <f t="shared" si="23"/>
        <v>0.32286023835319611</v>
      </c>
      <c r="G60" s="44">
        <f t="shared" si="23"/>
        <v>0</v>
      </c>
      <c r="H60" s="44">
        <f t="shared" si="23"/>
        <v>0</v>
      </c>
      <c r="I60" s="44">
        <f t="shared" si="23"/>
        <v>0.11267605633802817</v>
      </c>
      <c r="J60" s="44">
        <f t="shared" si="23"/>
        <v>8.1256771397616473E-2</v>
      </c>
      <c r="K60" s="44">
        <f t="shared" si="23"/>
        <v>1.0834236186348862E-3</v>
      </c>
      <c r="L60" s="44">
        <f t="shared" si="23"/>
        <v>0</v>
      </c>
      <c r="M60" s="44"/>
      <c r="N60" s="44">
        <f t="shared" si="23"/>
        <v>7.5839653304442039E-3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'23.08 Iganga-Kaliro'!D5</f>
        <v>23.08.19</v>
      </c>
      <c r="E5" s="3"/>
      <c r="F5" s="41" t="s">
        <v>1</v>
      </c>
      <c r="G5" s="61" t="str">
        <f>'22.08 Iganga-Kaliro'!G5:H5</f>
        <v>Kigulu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'22.08 Kaliro-Iganga'!G6:H6</f>
        <v>Iganga</v>
      </c>
      <c r="H6" s="62"/>
      <c r="J6" s="2" t="s">
        <v>21</v>
      </c>
      <c r="K6" s="61" t="str">
        <f>'22.08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4</v>
      </c>
      <c r="D10" s="50">
        <v>2</v>
      </c>
      <c r="E10" s="50">
        <v>4</v>
      </c>
      <c r="F10" s="50">
        <v>6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95</v>
      </c>
      <c r="N10" s="50">
        <v>0</v>
      </c>
      <c r="O10" s="15">
        <f t="shared" ref="O10:O57" si="0">SUM(C10:L10,N10)</f>
        <v>18</v>
      </c>
      <c r="P10" s="15">
        <f t="shared" ref="P10:P57" si="1">SUM(C10:N10)</f>
        <v>113</v>
      </c>
      <c r="R10" s="1" t="s">
        <v>6</v>
      </c>
      <c r="S10" s="17">
        <f t="shared" ref="S10:AF10" si="2">SUM(C10:C13)</f>
        <v>14</v>
      </c>
      <c r="T10" s="17">
        <f t="shared" si="2"/>
        <v>2</v>
      </c>
      <c r="U10" s="17">
        <f t="shared" si="2"/>
        <v>8</v>
      </c>
      <c r="V10" s="17">
        <f t="shared" si="2"/>
        <v>17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376</v>
      </c>
      <c r="AD10" s="17">
        <f t="shared" si="2"/>
        <v>0</v>
      </c>
      <c r="AE10" s="31">
        <f t="shared" si="2"/>
        <v>43</v>
      </c>
      <c r="AF10" s="31">
        <f t="shared" si="2"/>
        <v>419</v>
      </c>
    </row>
    <row r="11" spans="2:32" s="6" customFormat="1" ht="23.1" customHeight="1" x14ac:dyDescent="0.25">
      <c r="B11" s="23" t="s">
        <v>38</v>
      </c>
      <c r="C11" s="50">
        <v>5</v>
      </c>
      <c r="D11" s="50">
        <v>0</v>
      </c>
      <c r="E11" s="50">
        <v>1</v>
      </c>
      <c r="F11" s="50">
        <v>4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101</v>
      </c>
      <c r="N11" s="50">
        <v>0</v>
      </c>
      <c r="O11" s="15">
        <f t="shared" si="0"/>
        <v>10</v>
      </c>
      <c r="P11" s="15">
        <f t="shared" si="1"/>
        <v>111</v>
      </c>
      <c r="R11" s="1" t="s">
        <v>7</v>
      </c>
      <c r="S11" s="17">
        <f t="shared" ref="S11:AF11" si="3">SUM(C14:C17)</f>
        <v>4</v>
      </c>
      <c r="T11" s="17">
        <f t="shared" si="3"/>
        <v>0</v>
      </c>
      <c r="U11" s="17">
        <f t="shared" si="3"/>
        <v>3</v>
      </c>
      <c r="V11" s="17">
        <f t="shared" si="3"/>
        <v>30</v>
      </c>
      <c r="W11" s="17">
        <f t="shared" si="3"/>
        <v>1</v>
      </c>
      <c r="X11" s="17">
        <f t="shared" si="3"/>
        <v>0</v>
      </c>
      <c r="Y11" s="17">
        <f t="shared" si="3"/>
        <v>1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330</v>
      </c>
      <c r="AD11" s="17">
        <f t="shared" si="3"/>
        <v>0</v>
      </c>
      <c r="AE11" s="31">
        <f t="shared" si="3"/>
        <v>40</v>
      </c>
      <c r="AF11" s="31">
        <f t="shared" si="3"/>
        <v>370</v>
      </c>
    </row>
    <row r="12" spans="2:32" ht="23.1" customHeight="1" x14ac:dyDescent="0.25">
      <c r="B12" s="23" t="s">
        <v>39</v>
      </c>
      <c r="C12" s="50">
        <v>3</v>
      </c>
      <c r="D12" s="50">
        <v>0</v>
      </c>
      <c r="E12" s="50">
        <v>1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95</v>
      </c>
      <c r="N12" s="50">
        <v>0</v>
      </c>
      <c r="O12" s="15">
        <f t="shared" si="0"/>
        <v>7</v>
      </c>
      <c r="P12" s="15">
        <f t="shared" si="1"/>
        <v>102</v>
      </c>
      <c r="R12" s="1" t="s">
        <v>8</v>
      </c>
      <c r="S12" s="17">
        <f t="shared" ref="S12:AF12" si="4">SUM(C18:C21)</f>
        <v>16</v>
      </c>
      <c r="T12" s="17">
        <f t="shared" si="4"/>
        <v>5</v>
      </c>
      <c r="U12" s="17">
        <f t="shared" si="4"/>
        <v>2</v>
      </c>
      <c r="V12" s="17">
        <f t="shared" si="4"/>
        <v>15</v>
      </c>
      <c r="W12" s="17">
        <f t="shared" si="4"/>
        <v>1</v>
      </c>
      <c r="X12" s="17">
        <f t="shared" si="4"/>
        <v>0</v>
      </c>
      <c r="Y12" s="17">
        <f t="shared" si="4"/>
        <v>2</v>
      </c>
      <c r="Z12" s="17">
        <f t="shared" si="4"/>
        <v>0</v>
      </c>
      <c r="AA12" s="17">
        <f t="shared" si="4"/>
        <v>0</v>
      </c>
      <c r="AB12" s="17">
        <f t="shared" si="4"/>
        <v>0</v>
      </c>
      <c r="AC12" s="17">
        <f t="shared" si="4"/>
        <v>376</v>
      </c>
      <c r="AD12" s="17">
        <f t="shared" si="4"/>
        <v>0</v>
      </c>
      <c r="AE12" s="31">
        <f t="shared" si="4"/>
        <v>41</v>
      </c>
      <c r="AF12" s="31">
        <f t="shared" si="4"/>
        <v>417</v>
      </c>
    </row>
    <row r="13" spans="2:32" ht="23.1" customHeight="1" x14ac:dyDescent="0.25">
      <c r="B13" s="23" t="s">
        <v>40</v>
      </c>
      <c r="C13" s="50">
        <v>2</v>
      </c>
      <c r="D13" s="50">
        <v>0</v>
      </c>
      <c r="E13" s="50">
        <v>2</v>
      </c>
      <c r="F13" s="50">
        <v>4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85</v>
      </c>
      <c r="N13" s="50">
        <v>0</v>
      </c>
      <c r="O13" s="15">
        <f t="shared" si="0"/>
        <v>8</v>
      </c>
      <c r="P13" s="15">
        <f t="shared" si="1"/>
        <v>93</v>
      </c>
      <c r="R13" s="1" t="s">
        <v>9</v>
      </c>
      <c r="S13" s="17">
        <f t="shared" ref="S13:AF13" si="5">SUM(C22:C25)</f>
        <v>21</v>
      </c>
      <c r="T13" s="17">
        <f t="shared" si="5"/>
        <v>4</v>
      </c>
      <c r="U13" s="17">
        <f t="shared" si="5"/>
        <v>1</v>
      </c>
      <c r="V13" s="17">
        <f t="shared" si="5"/>
        <v>11</v>
      </c>
      <c r="W13" s="17">
        <f t="shared" si="5"/>
        <v>1</v>
      </c>
      <c r="X13" s="17">
        <f t="shared" si="5"/>
        <v>0</v>
      </c>
      <c r="Y13" s="17">
        <f t="shared" si="5"/>
        <v>5</v>
      </c>
      <c r="Z13" s="17">
        <f t="shared" si="5"/>
        <v>1</v>
      </c>
      <c r="AA13" s="17">
        <f t="shared" si="5"/>
        <v>0</v>
      </c>
      <c r="AB13" s="17">
        <f t="shared" si="5"/>
        <v>0</v>
      </c>
      <c r="AC13" s="17">
        <f t="shared" si="5"/>
        <v>312</v>
      </c>
      <c r="AD13" s="17">
        <f t="shared" si="5"/>
        <v>2</v>
      </c>
      <c r="AE13" s="31">
        <f t="shared" si="5"/>
        <v>46</v>
      </c>
      <c r="AF13" s="31">
        <f t="shared" si="5"/>
        <v>358</v>
      </c>
    </row>
    <row r="14" spans="2:32" ht="23.1" customHeight="1" x14ac:dyDescent="0.25">
      <c r="B14" s="23" t="s">
        <v>41</v>
      </c>
      <c r="C14" s="50">
        <v>3</v>
      </c>
      <c r="D14" s="50">
        <v>0</v>
      </c>
      <c r="E14" s="50">
        <v>2</v>
      </c>
      <c r="F14" s="50">
        <v>8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75</v>
      </c>
      <c r="N14" s="50">
        <v>0</v>
      </c>
      <c r="O14" s="15">
        <f t="shared" si="0"/>
        <v>13</v>
      </c>
      <c r="P14" s="15">
        <f t="shared" si="1"/>
        <v>88</v>
      </c>
      <c r="R14" s="1" t="s">
        <v>10</v>
      </c>
      <c r="S14" s="17">
        <f t="shared" ref="S14:AF14" si="6">SUM(C26:C29)</f>
        <v>15</v>
      </c>
      <c r="T14" s="17">
        <f t="shared" si="6"/>
        <v>1</v>
      </c>
      <c r="U14" s="17">
        <f t="shared" si="6"/>
        <v>7</v>
      </c>
      <c r="V14" s="17">
        <f t="shared" si="6"/>
        <v>15</v>
      </c>
      <c r="W14" s="17">
        <f t="shared" si="6"/>
        <v>1</v>
      </c>
      <c r="X14" s="17">
        <f t="shared" si="6"/>
        <v>0</v>
      </c>
      <c r="Y14" s="17">
        <f t="shared" si="6"/>
        <v>6</v>
      </c>
      <c r="Z14" s="17">
        <f t="shared" si="6"/>
        <v>1</v>
      </c>
      <c r="AA14" s="17">
        <f t="shared" si="6"/>
        <v>0</v>
      </c>
      <c r="AB14" s="17">
        <f t="shared" si="6"/>
        <v>0</v>
      </c>
      <c r="AC14" s="17">
        <f t="shared" si="6"/>
        <v>395</v>
      </c>
      <c r="AD14" s="17">
        <f t="shared" si="6"/>
        <v>0</v>
      </c>
      <c r="AE14" s="31">
        <f t="shared" si="6"/>
        <v>46</v>
      </c>
      <c r="AF14" s="31">
        <f t="shared" si="6"/>
        <v>441</v>
      </c>
    </row>
    <row r="15" spans="2:32" ht="23.1" customHeight="1" x14ac:dyDescent="0.25">
      <c r="B15" s="23" t="s">
        <v>42</v>
      </c>
      <c r="C15" s="50">
        <v>0</v>
      </c>
      <c r="D15" s="50">
        <v>0</v>
      </c>
      <c r="E15" s="50">
        <v>0</v>
      </c>
      <c r="F15" s="50">
        <v>9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80</v>
      </c>
      <c r="N15" s="50">
        <v>0</v>
      </c>
      <c r="O15" s="15">
        <f t="shared" si="0"/>
        <v>9</v>
      </c>
      <c r="P15" s="15">
        <f t="shared" si="1"/>
        <v>89</v>
      </c>
      <c r="R15" s="1" t="s">
        <v>11</v>
      </c>
      <c r="S15" s="17">
        <f t="shared" ref="S15:AF15" si="7">SUM(C30:C33)</f>
        <v>7</v>
      </c>
      <c r="T15" s="17">
        <f t="shared" si="7"/>
        <v>5</v>
      </c>
      <c r="U15" s="17">
        <f t="shared" si="7"/>
        <v>3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4</v>
      </c>
      <c r="Z15" s="17">
        <f t="shared" si="7"/>
        <v>9</v>
      </c>
      <c r="AA15" s="17">
        <f t="shared" si="7"/>
        <v>0</v>
      </c>
      <c r="AB15" s="17">
        <f t="shared" si="7"/>
        <v>0</v>
      </c>
      <c r="AC15" s="17">
        <f t="shared" si="7"/>
        <v>335</v>
      </c>
      <c r="AD15" s="17">
        <f t="shared" si="7"/>
        <v>1</v>
      </c>
      <c r="AE15" s="31">
        <f t="shared" si="7"/>
        <v>33</v>
      </c>
      <c r="AF15" s="31">
        <f t="shared" si="7"/>
        <v>368</v>
      </c>
    </row>
    <row r="16" spans="2:32" ht="23.1" customHeight="1" x14ac:dyDescent="0.25">
      <c r="B16" s="23" t="s">
        <v>43</v>
      </c>
      <c r="C16" s="50">
        <v>1</v>
      </c>
      <c r="D16" s="50">
        <v>0</v>
      </c>
      <c r="E16" s="50">
        <v>0</v>
      </c>
      <c r="F16" s="50">
        <v>6</v>
      </c>
      <c r="G16" s="50">
        <v>1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85</v>
      </c>
      <c r="N16" s="50">
        <v>0</v>
      </c>
      <c r="O16" s="15">
        <f t="shared" si="0"/>
        <v>8</v>
      </c>
      <c r="P16" s="15">
        <f t="shared" si="1"/>
        <v>93</v>
      </c>
      <c r="R16" s="1" t="s">
        <v>12</v>
      </c>
      <c r="S16" s="17">
        <f t="shared" ref="S16:AF16" si="8">SUM(C34:C37)</f>
        <v>8</v>
      </c>
      <c r="T16" s="17">
        <f t="shared" si="8"/>
        <v>2</v>
      </c>
      <c r="U16" s="17">
        <f t="shared" si="8"/>
        <v>5</v>
      </c>
      <c r="V16" s="17">
        <f t="shared" si="8"/>
        <v>9</v>
      </c>
      <c r="W16" s="17">
        <f t="shared" si="8"/>
        <v>1</v>
      </c>
      <c r="X16" s="17">
        <f t="shared" si="8"/>
        <v>0</v>
      </c>
      <c r="Y16" s="17">
        <f t="shared" si="8"/>
        <v>5</v>
      </c>
      <c r="Z16" s="17">
        <f t="shared" si="8"/>
        <v>0</v>
      </c>
      <c r="AA16" s="17">
        <f t="shared" si="8"/>
        <v>0</v>
      </c>
      <c r="AB16" s="17">
        <f t="shared" si="8"/>
        <v>0</v>
      </c>
      <c r="AC16" s="17">
        <f t="shared" si="8"/>
        <v>302</v>
      </c>
      <c r="AD16" s="17">
        <f t="shared" si="8"/>
        <v>0</v>
      </c>
      <c r="AE16" s="31">
        <f t="shared" si="8"/>
        <v>30</v>
      </c>
      <c r="AF16" s="31">
        <f t="shared" si="8"/>
        <v>332</v>
      </c>
    </row>
    <row r="17" spans="2:32" ht="23.1" customHeight="1" x14ac:dyDescent="0.25">
      <c r="B17" s="23" t="s">
        <v>44</v>
      </c>
      <c r="C17" s="50">
        <v>0</v>
      </c>
      <c r="D17" s="50">
        <v>0</v>
      </c>
      <c r="E17" s="50">
        <v>1</v>
      </c>
      <c r="F17" s="50">
        <v>7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90</v>
      </c>
      <c r="N17" s="50">
        <v>0</v>
      </c>
      <c r="O17" s="15">
        <f t="shared" si="0"/>
        <v>10</v>
      </c>
      <c r="P17" s="15">
        <f t="shared" si="1"/>
        <v>100</v>
      </c>
      <c r="R17" s="1" t="s">
        <v>13</v>
      </c>
      <c r="S17" s="17">
        <f t="shared" ref="S17:AF17" si="9">SUM(C38:C41)</f>
        <v>10</v>
      </c>
      <c r="T17" s="17">
        <f t="shared" si="9"/>
        <v>7</v>
      </c>
      <c r="U17" s="17">
        <f t="shared" si="9"/>
        <v>9</v>
      </c>
      <c r="V17" s="17">
        <f t="shared" si="9"/>
        <v>17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2</v>
      </c>
      <c r="AA17" s="17">
        <f t="shared" si="9"/>
        <v>0</v>
      </c>
      <c r="AB17" s="17">
        <f t="shared" si="9"/>
        <v>0</v>
      </c>
      <c r="AC17" s="17">
        <f t="shared" si="9"/>
        <v>309</v>
      </c>
      <c r="AD17" s="17">
        <f t="shared" si="9"/>
        <v>0</v>
      </c>
      <c r="AE17" s="31">
        <f t="shared" si="9"/>
        <v>49</v>
      </c>
      <c r="AF17" s="31">
        <f t="shared" si="9"/>
        <v>358</v>
      </c>
    </row>
    <row r="18" spans="2:32" ht="23.1" customHeight="1" x14ac:dyDescent="0.25">
      <c r="B18" s="23" t="s">
        <v>45</v>
      </c>
      <c r="C18" s="50">
        <v>5</v>
      </c>
      <c r="D18" s="50">
        <v>2</v>
      </c>
      <c r="E18" s="50">
        <v>1</v>
      </c>
      <c r="F18" s="50">
        <v>3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91</v>
      </c>
      <c r="N18" s="50">
        <v>0</v>
      </c>
      <c r="O18" s="15">
        <f t="shared" si="0"/>
        <v>11</v>
      </c>
      <c r="P18" s="15">
        <f t="shared" si="1"/>
        <v>102</v>
      </c>
      <c r="R18" s="1" t="s">
        <v>14</v>
      </c>
      <c r="S18" s="17">
        <f t="shared" ref="S18:AF18" si="10">SUM(C42:C45)</f>
        <v>10</v>
      </c>
      <c r="T18" s="17">
        <f t="shared" si="10"/>
        <v>3</v>
      </c>
      <c r="U18" s="17">
        <f t="shared" si="10"/>
        <v>7</v>
      </c>
      <c r="V18" s="17">
        <f t="shared" si="10"/>
        <v>19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2</v>
      </c>
      <c r="AA18" s="17">
        <f t="shared" si="10"/>
        <v>0</v>
      </c>
      <c r="AB18" s="17">
        <f t="shared" si="10"/>
        <v>0</v>
      </c>
      <c r="AC18" s="17">
        <f t="shared" si="10"/>
        <v>279</v>
      </c>
      <c r="AD18" s="17">
        <f t="shared" si="10"/>
        <v>0</v>
      </c>
      <c r="AE18" s="31">
        <f t="shared" si="10"/>
        <v>45</v>
      </c>
      <c r="AF18" s="31">
        <f t="shared" si="10"/>
        <v>324</v>
      </c>
    </row>
    <row r="19" spans="2:32" ht="23.1" customHeight="1" x14ac:dyDescent="0.25">
      <c r="B19" s="23" t="s">
        <v>46</v>
      </c>
      <c r="C19" s="50">
        <v>8</v>
      </c>
      <c r="D19" s="50">
        <v>2</v>
      </c>
      <c r="E19" s="50">
        <v>0</v>
      </c>
      <c r="F19" s="50">
        <v>6</v>
      </c>
      <c r="G19" s="50">
        <v>0</v>
      </c>
      <c r="H19" s="50">
        <v>0</v>
      </c>
      <c r="I19" s="50">
        <v>1</v>
      </c>
      <c r="J19" s="50">
        <v>0</v>
      </c>
      <c r="K19" s="50">
        <v>0</v>
      </c>
      <c r="L19" s="50">
        <v>0</v>
      </c>
      <c r="M19" s="50">
        <v>100</v>
      </c>
      <c r="N19" s="50">
        <v>0</v>
      </c>
      <c r="O19" s="15">
        <f t="shared" si="0"/>
        <v>17</v>
      </c>
      <c r="P19" s="15">
        <f t="shared" si="1"/>
        <v>117</v>
      </c>
      <c r="R19" s="1" t="s">
        <v>15</v>
      </c>
      <c r="S19" s="17">
        <f t="shared" ref="S19:AF19" si="11">SUM(C46:C49)</f>
        <v>7</v>
      </c>
      <c r="T19" s="17">
        <f t="shared" si="11"/>
        <v>1</v>
      </c>
      <c r="U19" s="17">
        <f t="shared" si="11"/>
        <v>4</v>
      </c>
      <c r="V19" s="17">
        <f t="shared" si="11"/>
        <v>23</v>
      </c>
      <c r="W19" s="17">
        <f t="shared" si="11"/>
        <v>0</v>
      </c>
      <c r="X19" s="17">
        <f t="shared" si="11"/>
        <v>0</v>
      </c>
      <c r="Y19" s="17">
        <f t="shared" si="11"/>
        <v>10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294</v>
      </c>
      <c r="AD19" s="17">
        <f t="shared" si="11"/>
        <v>0</v>
      </c>
      <c r="AE19" s="31">
        <f t="shared" si="11"/>
        <v>47</v>
      </c>
      <c r="AF19" s="31">
        <f t="shared" si="11"/>
        <v>341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0</v>
      </c>
      <c r="F20" s="50">
        <v>5</v>
      </c>
      <c r="G20" s="50">
        <v>0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95</v>
      </c>
      <c r="N20" s="50">
        <v>0</v>
      </c>
      <c r="O20" s="15">
        <f t="shared" si="0"/>
        <v>8</v>
      </c>
      <c r="P20" s="15">
        <f t="shared" si="1"/>
        <v>103</v>
      </c>
      <c r="R20" s="1" t="s">
        <v>16</v>
      </c>
      <c r="S20" s="17">
        <f t="shared" ref="S20:AF20" si="12">SUM(C50:C53)</f>
        <v>9</v>
      </c>
      <c r="T20" s="17">
        <f t="shared" si="12"/>
        <v>0</v>
      </c>
      <c r="U20" s="17">
        <f t="shared" si="12"/>
        <v>7</v>
      </c>
      <c r="V20" s="17">
        <f t="shared" si="12"/>
        <v>25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0</v>
      </c>
      <c r="AA20" s="17">
        <f t="shared" si="12"/>
        <v>0</v>
      </c>
      <c r="AB20" s="17">
        <f t="shared" si="12"/>
        <v>0</v>
      </c>
      <c r="AC20" s="17">
        <f t="shared" si="12"/>
        <v>273</v>
      </c>
      <c r="AD20" s="17">
        <f t="shared" si="12"/>
        <v>0</v>
      </c>
      <c r="AE20" s="31">
        <f t="shared" si="12"/>
        <v>44</v>
      </c>
      <c r="AF20" s="31">
        <f t="shared" si="12"/>
        <v>317</v>
      </c>
    </row>
    <row r="21" spans="2:32" ht="23.1" customHeight="1" x14ac:dyDescent="0.25">
      <c r="B21" s="23" t="s">
        <v>48</v>
      </c>
      <c r="C21" s="50">
        <v>0</v>
      </c>
      <c r="D21" s="50">
        <v>1</v>
      </c>
      <c r="E21" s="50">
        <v>1</v>
      </c>
      <c r="F21" s="50">
        <v>1</v>
      </c>
      <c r="G21" s="50">
        <v>1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90</v>
      </c>
      <c r="N21" s="50">
        <v>0</v>
      </c>
      <c r="O21" s="15">
        <f t="shared" si="0"/>
        <v>5</v>
      </c>
      <c r="P21" s="15">
        <f t="shared" si="1"/>
        <v>95</v>
      </c>
      <c r="R21" s="36" t="s">
        <v>20</v>
      </c>
      <c r="S21" s="34">
        <f t="shared" ref="S21:AF21" si="13">SUM(C54:C57)</f>
        <v>16</v>
      </c>
      <c r="T21" s="17">
        <f t="shared" si="13"/>
        <v>10</v>
      </c>
      <c r="U21" s="17">
        <f t="shared" si="13"/>
        <v>5</v>
      </c>
      <c r="V21" s="17">
        <f t="shared" si="13"/>
        <v>21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0</v>
      </c>
      <c r="AA21" s="17">
        <f t="shared" si="13"/>
        <v>0</v>
      </c>
      <c r="AB21" s="17">
        <f t="shared" si="13"/>
        <v>0</v>
      </c>
      <c r="AC21" s="17">
        <f t="shared" si="13"/>
        <v>263</v>
      </c>
      <c r="AD21" s="17">
        <f t="shared" si="13"/>
        <v>0</v>
      </c>
      <c r="AE21" s="31">
        <f t="shared" si="13"/>
        <v>59</v>
      </c>
      <c r="AF21" s="31">
        <f t="shared" si="13"/>
        <v>322</v>
      </c>
    </row>
    <row r="22" spans="2:32" ht="23.1" customHeight="1" x14ac:dyDescent="0.25">
      <c r="B22" s="23" t="s">
        <v>49</v>
      </c>
      <c r="C22" s="50">
        <v>3</v>
      </c>
      <c r="D22" s="50">
        <v>2</v>
      </c>
      <c r="E22" s="50">
        <v>0</v>
      </c>
      <c r="F22" s="50">
        <v>2</v>
      </c>
      <c r="G22" s="50">
        <v>1</v>
      </c>
      <c r="H22" s="50">
        <v>0</v>
      </c>
      <c r="I22" s="50">
        <v>2</v>
      </c>
      <c r="J22" s="50">
        <v>1</v>
      </c>
      <c r="K22" s="50">
        <v>0</v>
      </c>
      <c r="L22" s="50">
        <v>0</v>
      </c>
      <c r="M22" s="50">
        <v>71</v>
      </c>
      <c r="N22" s="50">
        <v>2</v>
      </c>
      <c r="O22" s="15">
        <f t="shared" si="0"/>
        <v>13</v>
      </c>
      <c r="P22" s="15">
        <f t="shared" si="1"/>
        <v>84</v>
      </c>
      <c r="R22" s="38" t="s">
        <v>90</v>
      </c>
      <c r="S22" s="39">
        <f>MAX(S10:S12)</f>
        <v>16</v>
      </c>
      <c r="T22" s="39">
        <f t="shared" ref="T22:AF22" si="14">MAX(T10:T12)</f>
        <v>5</v>
      </c>
      <c r="U22" s="39">
        <f t="shared" si="14"/>
        <v>8</v>
      </c>
      <c r="V22" s="39">
        <f t="shared" si="14"/>
        <v>30</v>
      </c>
      <c r="W22" s="39">
        <f t="shared" si="14"/>
        <v>1</v>
      </c>
      <c r="X22" s="39">
        <f t="shared" si="14"/>
        <v>0</v>
      </c>
      <c r="Y22" s="39">
        <f t="shared" si="14"/>
        <v>2</v>
      </c>
      <c r="Z22" s="39">
        <f t="shared" si="14"/>
        <v>1</v>
      </c>
      <c r="AA22" s="39">
        <f t="shared" si="14"/>
        <v>0</v>
      </c>
      <c r="AB22" s="39">
        <f t="shared" si="14"/>
        <v>0</v>
      </c>
      <c r="AC22" s="39">
        <f t="shared" si="14"/>
        <v>376</v>
      </c>
      <c r="AD22" s="39">
        <f t="shared" si="14"/>
        <v>0</v>
      </c>
      <c r="AE22" s="40">
        <f t="shared" si="14"/>
        <v>43</v>
      </c>
      <c r="AF22" s="40">
        <f t="shared" si="14"/>
        <v>419</v>
      </c>
    </row>
    <row r="23" spans="2:32" ht="23.1" customHeight="1" x14ac:dyDescent="0.25">
      <c r="B23" s="23" t="s">
        <v>50</v>
      </c>
      <c r="C23" s="50">
        <v>4</v>
      </c>
      <c r="D23" s="50">
        <v>1</v>
      </c>
      <c r="E23" s="50">
        <v>1</v>
      </c>
      <c r="F23" s="50">
        <v>1</v>
      </c>
      <c r="G23" s="50">
        <v>0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70</v>
      </c>
      <c r="N23" s="50">
        <v>0</v>
      </c>
      <c r="O23" s="15">
        <f t="shared" si="0"/>
        <v>8</v>
      </c>
      <c r="P23" s="15">
        <f t="shared" si="1"/>
        <v>78</v>
      </c>
      <c r="R23" s="38" t="s">
        <v>91</v>
      </c>
      <c r="S23" s="39">
        <f>MAX(S13:S18)</f>
        <v>21</v>
      </c>
      <c r="T23" s="39">
        <f t="shared" ref="T23:AF23" si="15">MAX(T13:T18)</f>
        <v>7</v>
      </c>
      <c r="U23" s="39">
        <f t="shared" si="15"/>
        <v>9</v>
      </c>
      <c r="V23" s="39">
        <f t="shared" si="15"/>
        <v>19</v>
      </c>
      <c r="W23" s="39">
        <f t="shared" si="15"/>
        <v>1</v>
      </c>
      <c r="X23" s="39">
        <f t="shared" si="15"/>
        <v>0</v>
      </c>
      <c r="Y23" s="39">
        <f t="shared" si="15"/>
        <v>6</v>
      </c>
      <c r="Z23" s="39">
        <f t="shared" si="15"/>
        <v>9</v>
      </c>
      <c r="AA23" s="39">
        <f t="shared" si="15"/>
        <v>0</v>
      </c>
      <c r="AB23" s="39">
        <f t="shared" si="15"/>
        <v>0</v>
      </c>
      <c r="AC23" s="39">
        <f t="shared" si="15"/>
        <v>395</v>
      </c>
      <c r="AD23" s="39">
        <f t="shared" si="15"/>
        <v>2</v>
      </c>
      <c r="AE23" s="40">
        <f t="shared" si="15"/>
        <v>49</v>
      </c>
      <c r="AF23" s="40">
        <f t="shared" si="15"/>
        <v>441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0</v>
      </c>
      <c r="F24" s="50">
        <v>6</v>
      </c>
      <c r="G24" s="50">
        <v>0</v>
      </c>
      <c r="H24" s="50">
        <v>0</v>
      </c>
      <c r="I24" s="50">
        <v>2</v>
      </c>
      <c r="J24" s="50">
        <v>0</v>
      </c>
      <c r="K24" s="50">
        <v>0</v>
      </c>
      <c r="L24" s="50">
        <v>0</v>
      </c>
      <c r="M24" s="50">
        <v>93</v>
      </c>
      <c r="N24" s="50">
        <v>0</v>
      </c>
      <c r="O24" s="15">
        <f t="shared" si="0"/>
        <v>16</v>
      </c>
      <c r="P24" s="15">
        <f t="shared" si="1"/>
        <v>109</v>
      </c>
      <c r="R24" s="38" t="s">
        <v>92</v>
      </c>
      <c r="S24" s="39">
        <f>MAX(S19:S21)</f>
        <v>16</v>
      </c>
      <c r="T24" s="39">
        <f t="shared" ref="T24:AF24" si="16">MAX(T19:T21)</f>
        <v>10</v>
      </c>
      <c r="U24" s="39">
        <f t="shared" si="16"/>
        <v>7</v>
      </c>
      <c r="V24" s="39">
        <f t="shared" si="16"/>
        <v>25</v>
      </c>
      <c r="W24" s="39">
        <f t="shared" si="16"/>
        <v>0</v>
      </c>
      <c r="X24" s="39">
        <f t="shared" si="16"/>
        <v>0</v>
      </c>
      <c r="Y24" s="39">
        <f t="shared" si="16"/>
        <v>10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294</v>
      </c>
      <c r="AD24" s="39">
        <f t="shared" si="16"/>
        <v>0</v>
      </c>
      <c r="AE24" s="40">
        <f t="shared" si="16"/>
        <v>59</v>
      </c>
      <c r="AF24" s="40">
        <f t="shared" si="16"/>
        <v>341</v>
      </c>
    </row>
    <row r="25" spans="2:32" ht="23.1" customHeight="1" x14ac:dyDescent="0.25">
      <c r="B25" s="23" t="s">
        <v>52</v>
      </c>
      <c r="C25" s="50">
        <v>6</v>
      </c>
      <c r="D25" s="50">
        <v>1</v>
      </c>
      <c r="E25" s="50">
        <v>0</v>
      </c>
      <c r="F25" s="50">
        <v>2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78</v>
      </c>
      <c r="N25" s="50">
        <v>0</v>
      </c>
      <c r="O25" s="15">
        <f t="shared" si="0"/>
        <v>9</v>
      </c>
      <c r="P25" s="15">
        <f t="shared" si="1"/>
        <v>87</v>
      </c>
      <c r="R25" s="37" t="s">
        <v>85</v>
      </c>
      <c r="S25" s="35">
        <f t="shared" ref="S25:AF25" si="17">SUM(S10:S12)</f>
        <v>34</v>
      </c>
      <c r="T25" s="16">
        <f t="shared" si="17"/>
        <v>7</v>
      </c>
      <c r="U25" s="16">
        <f t="shared" si="17"/>
        <v>13</v>
      </c>
      <c r="V25" s="16">
        <f t="shared" si="17"/>
        <v>62</v>
      </c>
      <c r="W25" s="16">
        <f t="shared" si="17"/>
        <v>2</v>
      </c>
      <c r="X25" s="16">
        <f t="shared" si="17"/>
        <v>0</v>
      </c>
      <c r="Y25" s="16">
        <f t="shared" si="17"/>
        <v>5</v>
      </c>
      <c r="Z25" s="16">
        <f t="shared" si="17"/>
        <v>1</v>
      </c>
      <c r="AA25" s="16">
        <f t="shared" si="17"/>
        <v>0</v>
      </c>
      <c r="AB25" s="16">
        <f t="shared" si="17"/>
        <v>0</v>
      </c>
      <c r="AC25" s="16">
        <f t="shared" si="17"/>
        <v>1082</v>
      </c>
      <c r="AD25" s="16">
        <f t="shared" si="17"/>
        <v>0</v>
      </c>
      <c r="AE25" s="32">
        <f t="shared" si="17"/>
        <v>124</v>
      </c>
      <c r="AF25" s="32">
        <f t="shared" si="17"/>
        <v>1206</v>
      </c>
    </row>
    <row r="26" spans="2:32" ht="23.1" customHeight="1" x14ac:dyDescent="0.25">
      <c r="B26" s="23" t="s">
        <v>53</v>
      </c>
      <c r="C26" s="50">
        <v>4</v>
      </c>
      <c r="D26" s="50">
        <v>0</v>
      </c>
      <c r="E26" s="50">
        <v>2</v>
      </c>
      <c r="F26" s="50">
        <v>2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115</v>
      </c>
      <c r="N26" s="50">
        <v>0</v>
      </c>
      <c r="O26" s="15">
        <f t="shared" si="0"/>
        <v>11</v>
      </c>
      <c r="P26" s="15">
        <f t="shared" si="1"/>
        <v>126</v>
      </c>
      <c r="R26" s="28" t="s">
        <v>86</v>
      </c>
      <c r="S26" s="16">
        <f t="shared" ref="S26:AF26" si="18">SUM(S13:S18)</f>
        <v>71</v>
      </c>
      <c r="T26" s="16">
        <f t="shared" si="18"/>
        <v>22</v>
      </c>
      <c r="U26" s="16">
        <f t="shared" si="18"/>
        <v>32</v>
      </c>
      <c r="V26" s="16">
        <f t="shared" si="18"/>
        <v>75</v>
      </c>
      <c r="W26" s="16">
        <f t="shared" si="18"/>
        <v>3</v>
      </c>
      <c r="X26" s="16">
        <f t="shared" si="18"/>
        <v>0</v>
      </c>
      <c r="Y26" s="16">
        <f t="shared" si="18"/>
        <v>28</v>
      </c>
      <c r="Z26" s="16">
        <f t="shared" si="18"/>
        <v>15</v>
      </c>
      <c r="AA26" s="16">
        <f t="shared" si="18"/>
        <v>0</v>
      </c>
      <c r="AB26" s="16">
        <f t="shared" si="18"/>
        <v>0</v>
      </c>
      <c r="AC26" s="16">
        <f t="shared" si="18"/>
        <v>1932</v>
      </c>
      <c r="AD26" s="16">
        <f t="shared" si="18"/>
        <v>3</v>
      </c>
      <c r="AE26" s="32">
        <f t="shared" si="18"/>
        <v>249</v>
      </c>
      <c r="AF26" s="32">
        <f t="shared" si="18"/>
        <v>2181</v>
      </c>
    </row>
    <row r="27" spans="2:32" ht="23.1" customHeight="1" x14ac:dyDescent="0.25">
      <c r="B27" s="23" t="s">
        <v>54</v>
      </c>
      <c r="C27" s="50">
        <v>1</v>
      </c>
      <c r="D27" s="50">
        <v>0</v>
      </c>
      <c r="E27" s="50">
        <v>3</v>
      </c>
      <c r="F27" s="50">
        <v>4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80</v>
      </c>
      <c r="N27" s="50">
        <v>0</v>
      </c>
      <c r="O27" s="15">
        <f t="shared" si="0"/>
        <v>9</v>
      </c>
      <c r="P27" s="15">
        <f t="shared" si="1"/>
        <v>89</v>
      </c>
      <c r="R27" s="29" t="s">
        <v>87</v>
      </c>
      <c r="S27" s="16">
        <f t="shared" ref="S27:AF27" si="19">SUM(S19:S21)</f>
        <v>32</v>
      </c>
      <c r="T27" s="16">
        <f t="shared" si="19"/>
        <v>11</v>
      </c>
      <c r="U27" s="16">
        <f t="shared" si="19"/>
        <v>16</v>
      </c>
      <c r="V27" s="16">
        <f t="shared" si="19"/>
        <v>69</v>
      </c>
      <c r="W27" s="16">
        <f t="shared" si="19"/>
        <v>0</v>
      </c>
      <c r="X27" s="16">
        <f t="shared" si="19"/>
        <v>0</v>
      </c>
      <c r="Y27" s="16">
        <f t="shared" si="19"/>
        <v>20</v>
      </c>
      <c r="Z27" s="16">
        <f t="shared" si="19"/>
        <v>2</v>
      </c>
      <c r="AA27" s="16">
        <f t="shared" si="19"/>
        <v>0</v>
      </c>
      <c r="AB27" s="16">
        <f t="shared" si="19"/>
        <v>0</v>
      </c>
      <c r="AC27" s="16">
        <f t="shared" si="19"/>
        <v>830</v>
      </c>
      <c r="AD27" s="16">
        <f t="shared" si="19"/>
        <v>0</v>
      </c>
      <c r="AE27" s="32">
        <f t="shared" si="19"/>
        <v>150</v>
      </c>
      <c r="AF27" s="32">
        <f t="shared" si="19"/>
        <v>980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2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100</v>
      </c>
      <c r="N28" s="50">
        <v>0</v>
      </c>
      <c r="O28" s="15">
        <f t="shared" si="0"/>
        <v>12</v>
      </c>
      <c r="P28" s="15">
        <f t="shared" si="1"/>
        <v>112</v>
      </c>
      <c r="R28" s="5" t="s">
        <v>17</v>
      </c>
      <c r="S28" s="16">
        <f t="shared" ref="S28:AF28" si="20">SUM(S10:S21)</f>
        <v>137</v>
      </c>
      <c r="T28" s="16">
        <f t="shared" si="20"/>
        <v>40</v>
      </c>
      <c r="U28" s="16">
        <f t="shared" si="20"/>
        <v>61</v>
      </c>
      <c r="V28" s="16">
        <f t="shared" si="20"/>
        <v>206</v>
      </c>
      <c r="W28" s="16">
        <f t="shared" si="20"/>
        <v>5</v>
      </c>
      <c r="X28" s="16">
        <f t="shared" si="20"/>
        <v>0</v>
      </c>
      <c r="Y28" s="16">
        <f t="shared" si="20"/>
        <v>53</v>
      </c>
      <c r="Z28" s="16">
        <f t="shared" si="20"/>
        <v>18</v>
      </c>
      <c r="AA28" s="16">
        <f t="shared" si="20"/>
        <v>0</v>
      </c>
      <c r="AB28" s="16">
        <f t="shared" si="20"/>
        <v>0</v>
      </c>
      <c r="AC28" s="16">
        <f t="shared" si="20"/>
        <v>3844</v>
      </c>
      <c r="AD28" s="16">
        <f t="shared" si="20"/>
        <v>3</v>
      </c>
      <c r="AE28" s="32">
        <f t="shared" si="20"/>
        <v>523</v>
      </c>
      <c r="AF28" s="32">
        <f t="shared" si="20"/>
        <v>4367</v>
      </c>
    </row>
    <row r="29" spans="2:32" ht="23.1" customHeight="1" x14ac:dyDescent="0.25">
      <c r="B29" s="23" t="s">
        <v>56</v>
      </c>
      <c r="C29" s="50">
        <v>5</v>
      </c>
      <c r="D29" s="50">
        <v>0</v>
      </c>
      <c r="E29" s="50">
        <v>0</v>
      </c>
      <c r="F29" s="50">
        <v>6</v>
      </c>
      <c r="G29" s="50">
        <v>1</v>
      </c>
      <c r="H29" s="50">
        <v>0</v>
      </c>
      <c r="I29" s="50">
        <v>2</v>
      </c>
      <c r="J29" s="50">
        <v>0</v>
      </c>
      <c r="K29" s="50">
        <v>0</v>
      </c>
      <c r="L29" s="50">
        <v>0</v>
      </c>
      <c r="M29" s="50">
        <v>100</v>
      </c>
      <c r="N29" s="50">
        <v>0</v>
      </c>
      <c r="O29" s="15">
        <f t="shared" si="0"/>
        <v>14</v>
      </c>
      <c r="P29" s="15">
        <f t="shared" si="1"/>
        <v>114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0</v>
      </c>
      <c r="E30" s="50">
        <v>0</v>
      </c>
      <c r="F30" s="50">
        <v>1</v>
      </c>
      <c r="G30" s="50">
        <v>0</v>
      </c>
      <c r="H30" s="50">
        <v>0</v>
      </c>
      <c r="I30" s="50">
        <v>2</v>
      </c>
      <c r="J30" s="50">
        <v>1</v>
      </c>
      <c r="K30" s="50">
        <v>0</v>
      </c>
      <c r="L30" s="50">
        <v>0</v>
      </c>
      <c r="M30" s="50">
        <v>80</v>
      </c>
      <c r="N30" s="50">
        <v>1</v>
      </c>
      <c r="O30" s="15">
        <f t="shared" si="0"/>
        <v>10</v>
      </c>
      <c r="P30" s="15">
        <f t="shared" si="1"/>
        <v>90</v>
      </c>
    </row>
    <row r="31" spans="2:32" ht="23.1" customHeight="1" x14ac:dyDescent="0.25">
      <c r="B31" s="24" t="s">
        <v>58</v>
      </c>
      <c r="C31" s="50">
        <v>0</v>
      </c>
      <c r="D31" s="50">
        <v>1</v>
      </c>
      <c r="E31" s="50">
        <v>0</v>
      </c>
      <c r="F31" s="50">
        <v>0</v>
      </c>
      <c r="G31" s="50">
        <v>0</v>
      </c>
      <c r="H31" s="50">
        <v>0</v>
      </c>
      <c r="I31" s="50">
        <v>1</v>
      </c>
      <c r="J31" s="50">
        <v>2</v>
      </c>
      <c r="K31" s="50">
        <v>0</v>
      </c>
      <c r="L31" s="50">
        <v>0</v>
      </c>
      <c r="M31" s="50">
        <v>95</v>
      </c>
      <c r="N31" s="50">
        <v>0</v>
      </c>
      <c r="O31" s="15">
        <f t="shared" si="0"/>
        <v>4</v>
      </c>
      <c r="P31" s="15">
        <f t="shared" si="1"/>
        <v>99</v>
      </c>
    </row>
    <row r="32" spans="2:32" ht="23.1" customHeight="1" x14ac:dyDescent="0.25">
      <c r="B32" s="24" t="s">
        <v>59</v>
      </c>
      <c r="C32" s="50">
        <v>2</v>
      </c>
      <c r="D32" s="50">
        <v>3</v>
      </c>
      <c r="E32" s="50">
        <v>1</v>
      </c>
      <c r="F32" s="50">
        <v>2</v>
      </c>
      <c r="G32" s="50">
        <v>0</v>
      </c>
      <c r="H32" s="50">
        <v>0</v>
      </c>
      <c r="I32" s="50">
        <v>1</v>
      </c>
      <c r="J32" s="50">
        <v>4</v>
      </c>
      <c r="K32" s="50">
        <v>0</v>
      </c>
      <c r="L32" s="50">
        <v>0</v>
      </c>
      <c r="M32" s="50">
        <v>85</v>
      </c>
      <c r="N32" s="50">
        <v>0</v>
      </c>
      <c r="O32" s="15">
        <f t="shared" si="0"/>
        <v>13</v>
      </c>
      <c r="P32" s="15">
        <f t="shared" si="1"/>
        <v>98</v>
      </c>
    </row>
    <row r="33" spans="2:20" ht="23.1" customHeight="1" x14ac:dyDescent="0.25">
      <c r="B33" s="23" t="s">
        <v>60</v>
      </c>
      <c r="C33" s="50">
        <v>0</v>
      </c>
      <c r="D33" s="50">
        <v>1</v>
      </c>
      <c r="E33" s="50">
        <v>2</v>
      </c>
      <c r="F33" s="50">
        <v>1</v>
      </c>
      <c r="G33" s="50">
        <v>0</v>
      </c>
      <c r="H33" s="50">
        <v>0</v>
      </c>
      <c r="I33" s="50">
        <v>0</v>
      </c>
      <c r="J33" s="50">
        <v>2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6</v>
      </c>
      <c r="P33" s="15">
        <f t="shared" si="1"/>
        <v>81</v>
      </c>
    </row>
    <row r="34" spans="2:20" ht="23.1" customHeight="1" x14ac:dyDescent="0.25">
      <c r="B34" s="24" t="s">
        <v>61</v>
      </c>
      <c r="C34" s="50">
        <v>3</v>
      </c>
      <c r="D34" s="50">
        <v>0</v>
      </c>
      <c r="E34" s="50">
        <v>3</v>
      </c>
      <c r="F34" s="50">
        <v>1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8</v>
      </c>
      <c r="P34" s="15">
        <f t="shared" si="1"/>
        <v>78</v>
      </c>
    </row>
    <row r="35" spans="2:20" ht="23.1" customHeight="1" x14ac:dyDescent="0.25">
      <c r="B35" s="24" t="s">
        <v>62</v>
      </c>
      <c r="C35" s="50">
        <v>1</v>
      </c>
      <c r="D35" s="50">
        <v>0</v>
      </c>
      <c r="E35" s="50">
        <v>0</v>
      </c>
      <c r="F35" s="50">
        <v>1</v>
      </c>
      <c r="G35" s="50">
        <v>1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3</v>
      </c>
      <c r="P35" s="15">
        <f t="shared" si="1"/>
        <v>78</v>
      </c>
    </row>
    <row r="36" spans="2:20" ht="23.1" customHeight="1" x14ac:dyDescent="0.25">
      <c r="B36" s="24" t="s">
        <v>63</v>
      </c>
      <c r="C36" s="50">
        <v>2</v>
      </c>
      <c r="D36" s="50">
        <v>1</v>
      </c>
      <c r="E36" s="50">
        <v>0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81</v>
      </c>
      <c r="N36" s="50">
        <v>0</v>
      </c>
      <c r="O36" s="15">
        <f t="shared" si="0"/>
        <v>7</v>
      </c>
      <c r="P36" s="15">
        <f t="shared" si="1"/>
        <v>88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2</v>
      </c>
      <c r="F37" s="50">
        <v>4</v>
      </c>
      <c r="G37" s="50">
        <v>0</v>
      </c>
      <c r="H37" s="50">
        <v>0</v>
      </c>
      <c r="I37" s="50">
        <v>3</v>
      </c>
      <c r="J37" s="50">
        <v>0</v>
      </c>
      <c r="K37" s="50">
        <v>0</v>
      </c>
      <c r="L37" s="50">
        <v>0</v>
      </c>
      <c r="M37" s="50">
        <v>76</v>
      </c>
      <c r="N37" s="50">
        <v>0</v>
      </c>
      <c r="O37" s="15">
        <f t="shared" si="0"/>
        <v>12</v>
      </c>
      <c r="P37" s="15">
        <f t="shared" si="1"/>
        <v>88</v>
      </c>
    </row>
    <row r="38" spans="2:20" ht="23.1" customHeight="1" x14ac:dyDescent="0.25">
      <c r="B38" s="24" t="s">
        <v>65</v>
      </c>
      <c r="C38" s="50">
        <v>3</v>
      </c>
      <c r="D38" s="50">
        <v>3</v>
      </c>
      <c r="E38" s="50">
        <v>5</v>
      </c>
      <c r="F38" s="50">
        <v>5</v>
      </c>
      <c r="G38" s="50">
        <v>0</v>
      </c>
      <c r="H38" s="50">
        <v>0</v>
      </c>
      <c r="I38" s="50">
        <v>1</v>
      </c>
      <c r="J38" s="50">
        <v>2</v>
      </c>
      <c r="K38" s="50">
        <v>0</v>
      </c>
      <c r="L38" s="50">
        <v>0</v>
      </c>
      <c r="M38" s="50">
        <v>77</v>
      </c>
      <c r="N38" s="50">
        <v>0</v>
      </c>
      <c r="O38" s="15">
        <f t="shared" si="0"/>
        <v>19</v>
      </c>
      <c r="P38" s="15">
        <f t="shared" si="1"/>
        <v>96</v>
      </c>
    </row>
    <row r="39" spans="2:20" ht="23.1" customHeight="1" x14ac:dyDescent="0.25">
      <c r="B39" s="24" t="s">
        <v>66</v>
      </c>
      <c r="C39" s="50">
        <v>1</v>
      </c>
      <c r="D39" s="50">
        <v>1</v>
      </c>
      <c r="E39" s="50">
        <v>0</v>
      </c>
      <c r="F39" s="50">
        <v>6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82</v>
      </c>
      <c r="N39" s="50">
        <v>0</v>
      </c>
      <c r="O39" s="15">
        <f t="shared" si="0"/>
        <v>10</v>
      </c>
      <c r="P39" s="15">
        <f t="shared" si="1"/>
        <v>92</v>
      </c>
    </row>
    <row r="40" spans="2:20" ht="23.1" customHeight="1" x14ac:dyDescent="0.25">
      <c r="B40" s="24" t="s">
        <v>67</v>
      </c>
      <c r="C40" s="50">
        <v>4</v>
      </c>
      <c r="D40" s="50">
        <v>0</v>
      </c>
      <c r="E40" s="50">
        <v>0</v>
      </c>
      <c r="F40" s="50">
        <v>3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79</v>
      </c>
      <c r="N40" s="50">
        <v>0</v>
      </c>
      <c r="O40" s="15">
        <f t="shared" si="0"/>
        <v>8</v>
      </c>
      <c r="P40" s="15">
        <f t="shared" si="1"/>
        <v>87</v>
      </c>
    </row>
    <row r="41" spans="2:20" ht="23.1" customHeight="1" x14ac:dyDescent="0.25">
      <c r="B41" s="23" t="s">
        <v>68</v>
      </c>
      <c r="C41" s="50">
        <v>2</v>
      </c>
      <c r="D41" s="50">
        <v>3</v>
      </c>
      <c r="E41" s="50">
        <v>4</v>
      </c>
      <c r="F41" s="50">
        <v>3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71</v>
      </c>
      <c r="N41" s="50">
        <v>0</v>
      </c>
      <c r="O41" s="15">
        <f t="shared" si="0"/>
        <v>12</v>
      </c>
      <c r="P41" s="15">
        <f t="shared" si="1"/>
        <v>83</v>
      </c>
    </row>
    <row r="42" spans="2:20" ht="23.1" customHeight="1" x14ac:dyDescent="0.25">
      <c r="B42" s="24" t="s">
        <v>69</v>
      </c>
      <c r="C42" s="50">
        <v>2</v>
      </c>
      <c r="D42" s="50">
        <v>2</v>
      </c>
      <c r="E42" s="50">
        <v>1</v>
      </c>
      <c r="F42" s="50">
        <v>5</v>
      </c>
      <c r="G42" s="50">
        <v>0</v>
      </c>
      <c r="H42" s="50">
        <v>0</v>
      </c>
      <c r="I42" s="50">
        <v>2</v>
      </c>
      <c r="J42" s="50">
        <v>0</v>
      </c>
      <c r="K42" s="50">
        <v>0</v>
      </c>
      <c r="L42" s="50">
        <v>0</v>
      </c>
      <c r="M42" s="50">
        <v>79</v>
      </c>
      <c r="N42" s="50">
        <v>0</v>
      </c>
      <c r="O42" s="15">
        <f t="shared" si="0"/>
        <v>12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3</v>
      </c>
      <c r="D43" s="50">
        <v>0</v>
      </c>
      <c r="E43" s="50">
        <v>2</v>
      </c>
      <c r="F43" s="50">
        <v>6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60</v>
      </c>
      <c r="N43" s="50">
        <v>0</v>
      </c>
      <c r="O43" s="15">
        <f t="shared" si="0"/>
        <v>14</v>
      </c>
      <c r="P43" s="15">
        <f t="shared" si="1"/>
        <v>74</v>
      </c>
    </row>
    <row r="44" spans="2:20" ht="23.1" customHeight="1" x14ac:dyDescent="0.25">
      <c r="B44" s="25" t="s">
        <v>71</v>
      </c>
      <c r="C44" s="50">
        <v>1</v>
      </c>
      <c r="D44" s="50">
        <v>0</v>
      </c>
      <c r="E44" s="50">
        <v>0</v>
      </c>
      <c r="F44" s="50">
        <v>3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72</v>
      </c>
      <c r="N44" s="50">
        <v>0</v>
      </c>
      <c r="O44" s="15">
        <f t="shared" si="0"/>
        <v>5</v>
      </c>
      <c r="P44" s="15">
        <f t="shared" si="1"/>
        <v>77</v>
      </c>
    </row>
    <row r="45" spans="2:20" ht="23.1" customHeight="1" x14ac:dyDescent="0.25">
      <c r="B45" s="23" t="s">
        <v>72</v>
      </c>
      <c r="C45" s="50">
        <v>4</v>
      </c>
      <c r="D45" s="50">
        <v>1</v>
      </c>
      <c r="E45" s="50">
        <v>4</v>
      </c>
      <c r="F45" s="50">
        <v>5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68</v>
      </c>
      <c r="N45" s="50">
        <v>0</v>
      </c>
      <c r="O45" s="15">
        <f t="shared" si="0"/>
        <v>14</v>
      </c>
      <c r="P45" s="15">
        <f t="shared" si="1"/>
        <v>82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1</v>
      </c>
      <c r="F46" s="50">
        <v>2</v>
      </c>
      <c r="G46" s="50">
        <v>0</v>
      </c>
      <c r="H46" s="50">
        <v>0</v>
      </c>
      <c r="I46" s="50">
        <v>0</v>
      </c>
      <c r="J46" s="50">
        <v>2</v>
      </c>
      <c r="K46" s="50">
        <v>0</v>
      </c>
      <c r="L46" s="50">
        <v>0</v>
      </c>
      <c r="M46" s="50">
        <v>63</v>
      </c>
      <c r="N46" s="50">
        <v>0</v>
      </c>
      <c r="O46" s="15">
        <f t="shared" si="0"/>
        <v>9</v>
      </c>
      <c r="P46" s="15">
        <f t="shared" si="1"/>
        <v>72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0</v>
      </c>
      <c r="E47" s="50">
        <v>0</v>
      </c>
      <c r="F47" s="50">
        <v>6</v>
      </c>
      <c r="G47" s="50">
        <v>0</v>
      </c>
      <c r="H47" s="50">
        <v>0</v>
      </c>
      <c r="I47" s="50">
        <v>2</v>
      </c>
      <c r="J47" s="50">
        <v>0</v>
      </c>
      <c r="K47" s="50">
        <v>0</v>
      </c>
      <c r="L47" s="50">
        <v>0</v>
      </c>
      <c r="M47" s="50">
        <v>72</v>
      </c>
      <c r="N47" s="50">
        <v>0</v>
      </c>
      <c r="O47" s="15">
        <f t="shared" si="0"/>
        <v>9</v>
      </c>
      <c r="P47" s="15">
        <f t="shared" si="1"/>
        <v>81</v>
      </c>
      <c r="R47" s="8"/>
      <c r="T47"/>
    </row>
    <row r="48" spans="2:20" ht="23.1" customHeight="1" x14ac:dyDescent="0.25">
      <c r="B48" s="24" t="s">
        <v>75</v>
      </c>
      <c r="C48" s="50">
        <v>0</v>
      </c>
      <c r="D48" s="50">
        <v>0</v>
      </c>
      <c r="E48" s="50">
        <v>3</v>
      </c>
      <c r="F48" s="50">
        <v>7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76</v>
      </c>
      <c r="N48" s="50">
        <v>0</v>
      </c>
      <c r="O48" s="15">
        <f t="shared" si="0"/>
        <v>13</v>
      </c>
      <c r="P48" s="15">
        <f t="shared" si="1"/>
        <v>89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0</v>
      </c>
      <c r="F49" s="50">
        <v>8</v>
      </c>
      <c r="G49" s="50">
        <v>0</v>
      </c>
      <c r="H49" s="50">
        <v>0</v>
      </c>
      <c r="I49" s="50">
        <v>5</v>
      </c>
      <c r="J49" s="50">
        <v>0</v>
      </c>
      <c r="K49" s="50">
        <v>0</v>
      </c>
      <c r="L49" s="50">
        <v>0</v>
      </c>
      <c r="M49" s="50">
        <v>83</v>
      </c>
      <c r="N49" s="50">
        <v>0</v>
      </c>
      <c r="O49" s="15">
        <f t="shared" si="0"/>
        <v>16</v>
      </c>
      <c r="P49" s="15">
        <f t="shared" si="1"/>
        <v>99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0</v>
      </c>
      <c r="E50" s="50">
        <v>3</v>
      </c>
      <c r="F50" s="50">
        <v>7</v>
      </c>
      <c r="G50" s="50">
        <v>0</v>
      </c>
      <c r="H50" s="50">
        <v>0</v>
      </c>
      <c r="I50" s="50">
        <v>3</v>
      </c>
      <c r="J50" s="50">
        <v>0</v>
      </c>
      <c r="K50" s="50">
        <v>0</v>
      </c>
      <c r="L50" s="50">
        <v>0</v>
      </c>
      <c r="M50" s="50">
        <v>53</v>
      </c>
      <c r="N50" s="50">
        <v>0</v>
      </c>
      <c r="O50" s="15">
        <f t="shared" si="0"/>
        <v>18</v>
      </c>
      <c r="P50" s="15">
        <f t="shared" si="1"/>
        <v>71</v>
      </c>
      <c r="R50" s="8"/>
      <c r="T50"/>
    </row>
    <row r="51" spans="2:20" ht="23.1" customHeight="1" x14ac:dyDescent="0.25">
      <c r="B51" s="24" t="s">
        <v>78</v>
      </c>
      <c r="C51" s="50">
        <v>1</v>
      </c>
      <c r="D51" s="50">
        <v>0</v>
      </c>
      <c r="E51" s="50">
        <v>3</v>
      </c>
      <c r="F51" s="50">
        <v>9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72</v>
      </c>
      <c r="N51" s="50">
        <v>0</v>
      </c>
      <c r="O51" s="15">
        <f t="shared" si="0"/>
        <v>13</v>
      </c>
      <c r="P51" s="15">
        <f t="shared" si="1"/>
        <v>85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0</v>
      </c>
      <c r="E52" s="50">
        <v>1</v>
      </c>
      <c r="F52" s="50">
        <v>4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83</v>
      </c>
      <c r="N52" s="50">
        <v>0</v>
      </c>
      <c r="O52" s="15">
        <f t="shared" si="0"/>
        <v>8</v>
      </c>
      <c r="P52" s="15">
        <f t="shared" si="1"/>
        <v>91</v>
      </c>
      <c r="R52" s="8"/>
      <c r="T52"/>
    </row>
    <row r="53" spans="2:20" ht="23.1" customHeight="1" x14ac:dyDescent="0.25">
      <c r="B53" s="23" t="s">
        <v>80</v>
      </c>
      <c r="C53" s="50">
        <v>0</v>
      </c>
      <c r="D53" s="50">
        <v>0</v>
      </c>
      <c r="E53" s="50">
        <v>0</v>
      </c>
      <c r="F53" s="50">
        <v>5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5</v>
      </c>
      <c r="P53" s="15">
        <f t="shared" si="1"/>
        <v>70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1</v>
      </c>
      <c r="F54" s="50">
        <v>4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84</v>
      </c>
      <c r="N54" s="50">
        <v>0</v>
      </c>
      <c r="O54" s="15">
        <f t="shared" si="0"/>
        <v>10</v>
      </c>
      <c r="P54" s="15">
        <f t="shared" si="1"/>
        <v>94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2</v>
      </c>
      <c r="F55" s="50">
        <v>8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63</v>
      </c>
      <c r="N55" s="50">
        <v>0</v>
      </c>
      <c r="O55" s="15">
        <f t="shared" si="0"/>
        <v>17</v>
      </c>
      <c r="P55" s="15">
        <f t="shared" si="1"/>
        <v>80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3</v>
      </c>
      <c r="E56" s="50">
        <v>2</v>
      </c>
      <c r="F56" s="50">
        <v>6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15</v>
      </c>
      <c r="P56" s="15">
        <f t="shared" si="1"/>
        <v>75</v>
      </c>
      <c r="R56" s="8"/>
      <c r="T56"/>
    </row>
    <row r="57" spans="2:20" ht="23.1" customHeight="1" x14ac:dyDescent="0.25">
      <c r="B57" s="23" t="s">
        <v>84</v>
      </c>
      <c r="C57" s="50">
        <v>7</v>
      </c>
      <c r="D57" s="50">
        <v>5</v>
      </c>
      <c r="E57" s="50">
        <v>0</v>
      </c>
      <c r="F57" s="50">
        <v>3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56</v>
      </c>
      <c r="N57" s="50">
        <v>0</v>
      </c>
      <c r="O57" s="15">
        <f t="shared" si="0"/>
        <v>17</v>
      </c>
      <c r="P57" s="15">
        <f t="shared" si="1"/>
        <v>73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137</v>
      </c>
      <c r="D58" s="16">
        <f t="shared" si="21"/>
        <v>40</v>
      </c>
      <c r="E58" s="16">
        <f t="shared" si="21"/>
        <v>61</v>
      </c>
      <c r="F58" s="16">
        <f t="shared" si="21"/>
        <v>206</v>
      </c>
      <c r="G58" s="16">
        <f t="shared" si="21"/>
        <v>5</v>
      </c>
      <c r="H58" s="16">
        <f t="shared" si="21"/>
        <v>0</v>
      </c>
      <c r="I58" s="16">
        <f t="shared" si="21"/>
        <v>53</v>
      </c>
      <c r="J58" s="16">
        <f t="shared" si="21"/>
        <v>18</v>
      </c>
      <c r="K58" s="16">
        <f t="shared" si="21"/>
        <v>0</v>
      </c>
      <c r="L58" s="16">
        <f t="shared" si="21"/>
        <v>0</v>
      </c>
      <c r="M58" s="16">
        <f t="shared" si="21"/>
        <v>3844</v>
      </c>
      <c r="N58" s="16">
        <f t="shared" si="21"/>
        <v>3</v>
      </c>
      <c r="O58" s="16">
        <f t="shared" si="21"/>
        <v>523</v>
      </c>
      <c r="P58" s="16">
        <f t="shared" si="21"/>
        <v>4367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3.1371651019006186E-2</v>
      </c>
      <c r="D59" s="43">
        <f t="shared" si="22"/>
        <v>9.1596061369361124E-3</v>
      </c>
      <c r="E59" s="43">
        <f t="shared" si="22"/>
        <v>1.3968399358827571E-2</v>
      </c>
      <c r="F59" s="43">
        <f t="shared" si="22"/>
        <v>4.7171971605220978E-2</v>
      </c>
      <c r="G59" s="43">
        <f t="shared" si="22"/>
        <v>1.1449507671170141E-3</v>
      </c>
      <c r="H59" s="43">
        <f t="shared" si="22"/>
        <v>0</v>
      </c>
      <c r="I59" s="43">
        <f t="shared" si="22"/>
        <v>1.2136478131440347E-2</v>
      </c>
      <c r="J59" s="43">
        <f t="shared" si="22"/>
        <v>4.1218227616212503E-3</v>
      </c>
      <c r="K59" s="43">
        <f t="shared" si="22"/>
        <v>0</v>
      </c>
      <c r="L59" s="43">
        <f t="shared" si="22"/>
        <v>0</v>
      </c>
      <c r="M59" s="43">
        <f t="shared" si="22"/>
        <v>0.88023814975956038</v>
      </c>
      <c r="N59" s="43">
        <f t="shared" si="22"/>
        <v>6.8697046027020841E-4</v>
      </c>
      <c r="R59" s="8"/>
      <c r="T59"/>
    </row>
    <row r="60" spans="2:20" ht="23.1" customHeight="1" x14ac:dyDescent="0.25">
      <c r="B60" s="42" t="s">
        <v>94</v>
      </c>
      <c r="C60" s="44">
        <f>C58/$O$58</f>
        <v>0.26195028680688337</v>
      </c>
      <c r="D60" s="44">
        <f t="shared" ref="D60:N60" si="23">D58/$O$58</f>
        <v>7.6481835564053538E-2</v>
      </c>
      <c r="E60" s="44">
        <f t="shared" si="23"/>
        <v>0.11663479923518165</v>
      </c>
      <c r="F60" s="44">
        <f t="shared" si="23"/>
        <v>0.39388145315487572</v>
      </c>
      <c r="G60" s="44">
        <f t="shared" si="23"/>
        <v>9.5602294455066923E-3</v>
      </c>
      <c r="H60" s="44">
        <f t="shared" si="23"/>
        <v>0</v>
      </c>
      <c r="I60" s="44">
        <f t="shared" si="23"/>
        <v>0.10133843212237094</v>
      </c>
      <c r="J60" s="44">
        <f t="shared" si="23"/>
        <v>3.4416826003824091E-2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5.7361376673040155E-3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3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171</v>
      </c>
      <c r="E5" s="3"/>
      <c r="F5" s="41" t="s">
        <v>1</v>
      </c>
      <c r="G5" s="61" t="str">
        <f>'27.08 Kaliro-Iganga'!G5:H5</f>
        <v>Kigulu</v>
      </c>
      <c r="H5" s="62"/>
      <c r="I5" s="14"/>
      <c r="J5" s="2" t="s">
        <v>5</v>
      </c>
      <c r="K5" s="61" t="str">
        <f>'22.08 Iganga-Kaliro'!K5:L5</f>
        <v>Kirabo Edith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'27.08 Kaliro-Iganga'!K6:L6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8</v>
      </c>
      <c r="D10" s="50">
        <v>3</v>
      </c>
      <c r="E10" s="50">
        <v>5</v>
      </c>
      <c r="F10" s="50">
        <v>20</v>
      </c>
      <c r="G10" s="50">
        <v>12</v>
      </c>
      <c r="H10" s="50">
        <v>3</v>
      </c>
      <c r="I10" s="50">
        <v>5</v>
      </c>
      <c r="J10" s="50">
        <v>1</v>
      </c>
      <c r="K10" s="50">
        <v>2</v>
      </c>
      <c r="L10" s="50">
        <v>0</v>
      </c>
      <c r="M10" s="50">
        <v>3</v>
      </c>
      <c r="N10" s="50">
        <v>0</v>
      </c>
      <c r="O10" s="15">
        <f t="shared" ref="O10:O57" si="0">SUM(C10:L10,N10)</f>
        <v>59</v>
      </c>
      <c r="P10" s="15">
        <f t="shared" ref="P10:P57" si="1">SUM(C10:N10)</f>
        <v>62</v>
      </c>
      <c r="R10" s="1" t="s">
        <v>6</v>
      </c>
      <c r="S10" s="17">
        <f t="shared" ref="S10:AF10" si="2">SUM(C10:C13)</f>
        <v>11</v>
      </c>
      <c r="T10" s="17">
        <f t="shared" si="2"/>
        <v>8</v>
      </c>
      <c r="U10" s="17">
        <f t="shared" si="2"/>
        <v>12</v>
      </c>
      <c r="V10" s="17">
        <f t="shared" si="2"/>
        <v>30</v>
      </c>
      <c r="W10" s="17">
        <f t="shared" si="2"/>
        <v>20</v>
      </c>
      <c r="X10" s="17">
        <f t="shared" si="2"/>
        <v>10</v>
      </c>
      <c r="Y10" s="17">
        <f t="shared" si="2"/>
        <v>9</v>
      </c>
      <c r="Z10" s="17">
        <f t="shared" si="2"/>
        <v>1</v>
      </c>
      <c r="AA10" s="17">
        <f t="shared" si="2"/>
        <v>2</v>
      </c>
      <c r="AB10" s="17">
        <f t="shared" si="2"/>
        <v>0</v>
      </c>
      <c r="AC10" s="17">
        <f t="shared" si="2"/>
        <v>103</v>
      </c>
      <c r="AD10" s="17">
        <f t="shared" si="2"/>
        <v>1</v>
      </c>
      <c r="AE10" s="31">
        <f t="shared" si="2"/>
        <v>104</v>
      </c>
      <c r="AF10" s="31">
        <f t="shared" si="2"/>
        <v>207</v>
      </c>
    </row>
    <row r="11" spans="2:32" s="6" customFormat="1" ht="23.1" customHeight="1" x14ac:dyDescent="0.25">
      <c r="B11" s="45" t="s">
        <v>38</v>
      </c>
      <c r="C11" s="50">
        <v>2</v>
      </c>
      <c r="D11" s="50">
        <v>3</v>
      </c>
      <c r="E11" s="50">
        <v>5</v>
      </c>
      <c r="F11" s="50">
        <v>8</v>
      </c>
      <c r="G11" s="50">
        <v>5</v>
      </c>
      <c r="H11" s="50">
        <v>2</v>
      </c>
      <c r="I11" s="50">
        <v>1</v>
      </c>
      <c r="J11" s="50">
        <v>0</v>
      </c>
      <c r="K11" s="50">
        <v>0</v>
      </c>
      <c r="L11" s="50">
        <v>0</v>
      </c>
      <c r="M11" s="50">
        <v>35</v>
      </c>
      <c r="N11" s="50">
        <v>0</v>
      </c>
      <c r="O11" s="15">
        <f t="shared" si="0"/>
        <v>26</v>
      </c>
      <c r="P11" s="15">
        <f t="shared" si="1"/>
        <v>61</v>
      </c>
      <c r="R11" s="1" t="s">
        <v>7</v>
      </c>
      <c r="S11" s="17">
        <f t="shared" ref="S11:AF11" si="3">SUM(C14:C17)</f>
        <v>15</v>
      </c>
      <c r="T11" s="17">
        <f t="shared" si="3"/>
        <v>9</v>
      </c>
      <c r="U11" s="17">
        <f t="shared" si="3"/>
        <v>5</v>
      </c>
      <c r="V11" s="17">
        <f t="shared" si="3"/>
        <v>11</v>
      </c>
      <c r="W11" s="17">
        <f t="shared" si="3"/>
        <v>4</v>
      </c>
      <c r="X11" s="17">
        <f t="shared" si="3"/>
        <v>0</v>
      </c>
      <c r="Y11" s="17">
        <f t="shared" si="3"/>
        <v>7</v>
      </c>
      <c r="Z11" s="17">
        <f t="shared" si="3"/>
        <v>5</v>
      </c>
      <c r="AA11" s="17">
        <f t="shared" si="3"/>
        <v>6</v>
      </c>
      <c r="AB11" s="17">
        <f t="shared" si="3"/>
        <v>0</v>
      </c>
      <c r="AC11" s="17">
        <f t="shared" si="3"/>
        <v>327</v>
      </c>
      <c r="AD11" s="17">
        <f t="shared" si="3"/>
        <v>0</v>
      </c>
      <c r="AE11" s="31">
        <f t="shared" si="3"/>
        <v>62</v>
      </c>
      <c r="AF11" s="31">
        <f t="shared" si="3"/>
        <v>389</v>
      </c>
    </row>
    <row r="12" spans="2:32" ht="23.1" customHeight="1" x14ac:dyDescent="0.25">
      <c r="B12" s="45" t="s">
        <v>39</v>
      </c>
      <c r="C12" s="50">
        <v>1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0</v>
      </c>
      <c r="L12" s="50">
        <v>0</v>
      </c>
      <c r="M12" s="50">
        <v>15</v>
      </c>
      <c r="N12" s="50">
        <v>1</v>
      </c>
      <c r="O12" s="15">
        <f t="shared" si="0"/>
        <v>4</v>
      </c>
      <c r="P12" s="15">
        <f t="shared" si="1"/>
        <v>19</v>
      </c>
      <c r="R12" s="1" t="s">
        <v>8</v>
      </c>
      <c r="S12" s="17">
        <f t="shared" ref="S12:AF12" si="4">SUM(C18:C21)</f>
        <v>12</v>
      </c>
      <c r="T12" s="17">
        <f t="shared" si="4"/>
        <v>11</v>
      </c>
      <c r="U12" s="17">
        <f t="shared" si="4"/>
        <v>5</v>
      </c>
      <c r="V12" s="17">
        <f t="shared" si="4"/>
        <v>14</v>
      </c>
      <c r="W12" s="17">
        <f t="shared" si="4"/>
        <v>6</v>
      </c>
      <c r="X12" s="17">
        <f t="shared" si="4"/>
        <v>6</v>
      </c>
      <c r="Y12" s="17">
        <f t="shared" si="4"/>
        <v>4</v>
      </c>
      <c r="Z12" s="17">
        <f t="shared" si="4"/>
        <v>12</v>
      </c>
      <c r="AA12" s="17">
        <f t="shared" si="4"/>
        <v>3</v>
      </c>
      <c r="AB12" s="17">
        <f t="shared" si="4"/>
        <v>0</v>
      </c>
      <c r="AC12" s="17">
        <f t="shared" si="4"/>
        <v>343</v>
      </c>
      <c r="AD12" s="17">
        <f t="shared" si="4"/>
        <v>0</v>
      </c>
      <c r="AE12" s="31">
        <f t="shared" si="4"/>
        <v>73</v>
      </c>
      <c r="AF12" s="31">
        <f t="shared" si="4"/>
        <v>416</v>
      </c>
    </row>
    <row r="13" spans="2:32" ht="23.1" customHeight="1" x14ac:dyDescent="0.25">
      <c r="B13" s="45" t="s">
        <v>40</v>
      </c>
      <c r="C13" s="50">
        <v>0</v>
      </c>
      <c r="D13" s="50">
        <v>1</v>
      </c>
      <c r="E13" s="50">
        <v>2</v>
      </c>
      <c r="F13" s="50">
        <v>2</v>
      </c>
      <c r="G13" s="50">
        <v>3</v>
      </c>
      <c r="H13" s="50">
        <v>5</v>
      </c>
      <c r="I13" s="50">
        <v>2</v>
      </c>
      <c r="J13" s="50">
        <v>0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15</v>
      </c>
      <c r="P13" s="15">
        <f t="shared" si="1"/>
        <v>65</v>
      </c>
      <c r="R13" s="1" t="s">
        <v>9</v>
      </c>
      <c r="S13" s="17">
        <f t="shared" ref="S13:AF13" si="5">SUM(C22:C25)</f>
        <v>14</v>
      </c>
      <c r="T13" s="17">
        <f t="shared" si="5"/>
        <v>10</v>
      </c>
      <c r="U13" s="17">
        <f t="shared" si="5"/>
        <v>4</v>
      </c>
      <c r="V13" s="17">
        <f t="shared" si="5"/>
        <v>19</v>
      </c>
      <c r="W13" s="17">
        <f t="shared" si="5"/>
        <v>3</v>
      </c>
      <c r="X13" s="17">
        <f t="shared" si="5"/>
        <v>2</v>
      </c>
      <c r="Y13" s="17">
        <f t="shared" si="5"/>
        <v>4</v>
      </c>
      <c r="Z13" s="17">
        <f t="shared" si="5"/>
        <v>10</v>
      </c>
      <c r="AA13" s="17">
        <f t="shared" si="5"/>
        <v>2</v>
      </c>
      <c r="AB13" s="17">
        <f t="shared" si="5"/>
        <v>1</v>
      </c>
      <c r="AC13" s="17">
        <f t="shared" si="5"/>
        <v>270</v>
      </c>
      <c r="AD13" s="17">
        <f t="shared" si="5"/>
        <v>0</v>
      </c>
      <c r="AE13" s="31">
        <f t="shared" si="5"/>
        <v>69</v>
      </c>
      <c r="AF13" s="31">
        <f t="shared" si="5"/>
        <v>339</v>
      </c>
    </row>
    <row r="14" spans="2:32" ht="23.1" customHeight="1" x14ac:dyDescent="0.25">
      <c r="B14" s="45" t="s">
        <v>41</v>
      </c>
      <c r="C14" s="50">
        <v>5</v>
      </c>
      <c r="D14" s="50">
        <v>4</v>
      </c>
      <c r="E14" s="50">
        <v>0</v>
      </c>
      <c r="F14" s="50">
        <v>3</v>
      </c>
      <c r="G14" s="50">
        <v>2</v>
      </c>
      <c r="H14" s="50">
        <v>0</v>
      </c>
      <c r="I14" s="50">
        <v>2</v>
      </c>
      <c r="J14" s="50">
        <v>0</v>
      </c>
      <c r="K14" s="50">
        <v>3</v>
      </c>
      <c r="L14" s="50">
        <v>0</v>
      </c>
      <c r="M14" s="50">
        <v>112</v>
      </c>
      <c r="N14" s="50">
        <v>0</v>
      </c>
      <c r="O14" s="15">
        <f t="shared" si="0"/>
        <v>19</v>
      </c>
      <c r="P14" s="15">
        <f t="shared" si="1"/>
        <v>131</v>
      </c>
      <c r="R14" s="1" t="s">
        <v>10</v>
      </c>
      <c r="S14" s="17">
        <f t="shared" ref="S14:AF14" si="6">SUM(C26:C29)</f>
        <v>5</v>
      </c>
      <c r="T14" s="17">
        <f t="shared" si="6"/>
        <v>9</v>
      </c>
      <c r="U14" s="17">
        <f t="shared" si="6"/>
        <v>4</v>
      </c>
      <c r="V14" s="17">
        <f t="shared" si="6"/>
        <v>7</v>
      </c>
      <c r="W14" s="17">
        <f t="shared" si="6"/>
        <v>2</v>
      </c>
      <c r="X14" s="17">
        <f t="shared" si="6"/>
        <v>1</v>
      </c>
      <c r="Y14" s="17">
        <f t="shared" si="6"/>
        <v>5</v>
      </c>
      <c r="Z14" s="17">
        <f t="shared" si="6"/>
        <v>6</v>
      </c>
      <c r="AA14" s="17">
        <f t="shared" si="6"/>
        <v>6</v>
      </c>
      <c r="AB14" s="17">
        <f t="shared" si="6"/>
        <v>1</v>
      </c>
      <c r="AC14" s="17">
        <f t="shared" si="6"/>
        <v>267</v>
      </c>
      <c r="AD14" s="17">
        <f t="shared" si="6"/>
        <v>0</v>
      </c>
      <c r="AE14" s="31">
        <f t="shared" si="6"/>
        <v>46</v>
      </c>
      <c r="AF14" s="31">
        <f t="shared" si="6"/>
        <v>313</v>
      </c>
    </row>
    <row r="15" spans="2:32" ht="23.1" customHeight="1" x14ac:dyDescent="0.25">
      <c r="B15" s="45" t="s">
        <v>42</v>
      </c>
      <c r="C15" s="50">
        <v>7</v>
      </c>
      <c r="D15" s="50">
        <v>3</v>
      </c>
      <c r="E15" s="50">
        <v>0</v>
      </c>
      <c r="F15" s="50">
        <v>3</v>
      </c>
      <c r="G15" s="50">
        <v>2</v>
      </c>
      <c r="H15" s="50">
        <v>0</v>
      </c>
      <c r="I15" s="50">
        <v>2</v>
      </c>
      <c r="J15" s="50">
        <v>1</v>
      </c>
      <c r="K15" s="50">
        <v>1</v>
      </c>
      <c r="L15" s="50">
        <v>0</v>
      </c>
      <c r="M15" s="50">
        <v>95</v>
      </c>
      <c r="N15" s="50">
        <v>0</v>
      </c>
      <c r="O15" s="15">
        <f t="shared" si="0"/>
        <v>19</v>
      </c>
      <c r="P15" s="15">
        <f t="shared" si="1"/>
        <v>114</v>
      </c>
      <c r="R15" s="1" t="s">
        <v>11</v>
      </c>
      <c r="S15" s="17">
        <f t="shared" ref="S15:AF15" si="7">SUM(C30:C33)</f>
        <v>10</v>
      </c>
      <c r="T15" s="17">
        <f t="shared" si="7"/>
        <v>12</v>
      </c>
      <c r="U15" s="17">
        <f t="shared" si="7"/>
        <v>3</v>
      </c>
      <c r="V15" s="17">
        <f t="shared" si="7"/>
        <v>12</v>
      </c>
      <c r="W15" s="17">
        <f t="shared" si="7"/>
        <v>3</v>
      </c>
      <c r="X15" s="17">
        <f t="shared" si="7"/>
        <v>2</v>
      </c>
      <c r="Y15" s="17">
        <f t="shared" si="7"/>
        <v>10</v>
      </c>
      <c r="Z15" s="17">
        <f t="shared" si="7"/>
        <v>7</v>
      </c>
      <c r="AA15" s="17">
        <f t="shared" si="7"/>
        <v>2</v>
      </c>
      <c r="AB15" s="17">
        <f t="shared" si="7"/>
        <v>0</v>
      </c>
      <c r="AC15" s="17">
        <f t="shared" si="7"/>
        <v>240</v>
      </c>
      <c r="AD15" s="17">
        <f t="shared" si="7"/>
        <v>0</v>
      </c>
      <c r="AE15" s="31">
        <f t="shared" si="7"/>
        <v>61</v>
      </c>
      <c r="AF15" s="31">
        <f t="shared" si="7"/>
        <v>301</v>
      </c>
    </row>
    <row r="16" spans="2:32" ht="23.1" customHeight="1" x14ac:dyDescent="0.25">
      <c r="B16" s="45" t="s">
        <v>43</v>
      </c>
      <c r="C16" s="50">
        <v>2</v>
      </c>
      <c r="D16" s="50">
        <v>0</v>
      </c>
      <c r="E16" s="50">
        <v>3</v>
      </c>
      <c r="F16" s="50">
        <v>1</v>
      </c>
      <c r="G16" s="50">
        <v>0</v>
      </c>
      <c r="H16" s="50">
        <v>0</v>
      </c>
      <c r="I16" s="50">
        <v>3</v>
      </c>
      <c r="J16" s="50">
        <v>0</v>
      </c>
      <c r="K16" s="50">
        <v>0</v>
      </c>
      <c r="L16" s="50">
        <v>0</v>
      </c>
      <c r="M16" s="50">
        <v>60</v>
      </c>
      <c r="N16" s="50">
        <v>0</v>
      </c>
      <c r="O16" s="15">
        <f t="shared" si="0"/>
        <v>9</v>
      </c>
      <c r="P16" s="15">
        <f t="shared" si="1"/>
        <v>69</v>
      </c>
      <c r="R16" s="1" t="s">
        <v>12</v>
      </c>
      <c r="S16" s="17">
        <f t="shared" ref="S16:AF16" si="8">SUM(C34:C37)</f>
        <v>4</v>
      </c>
      <c r="T16" s="17">
        <f t="shared" si="8"/>
        <v>8</v>
      </c>
      <c r="U16" s="17">
        <f t="shared" si="8"/>
        <v>1</v>
      </c>
      <c r="V16" s="17">
        <f t="shared" si="8"/>
        <v>16</v>
      </c>
      <c r="W16" s="17">
        <f t="shared" si="8"/>
        <v>9</v>
      </c>
      <c r="X16" s="17">
        <f t="shared" si="8"/>
        <v>5</v>
      </c>
      <c r="Y16" s="17">
        <f t="shared" si="8"/>
        <v>6</v>
      </c>
      <c r="Z16" s="17">
        <f t="shared" si="8"/>
        <v>5</v>
      </c>
      <c r="AA16" s="17">
        <f t="shared" si="8"/>
        <v>3</v>
      </c>
      <c r="AB16" s="17">
        <f t="shared" si="8"/>
        <v>3</v>
      </c>
      <c r="AC16" s="17">
        <f t="shared" si="8"/>
        <v>265</v>
      </c>
      <c r="AD16" s="17">
        <f t="shared" si="8"/>
        <v>0</v>
      </c>
      <c r="AE16" s="31">
        <f t="shared" si="8"/>
        <v>60</v>
      </c>
      <c r="AF16" s="31">
        <f t="shared" si="8"/>
        <v>325</v>
      </c>
    </row>
    <row r="17" spans="2:32" ht="23.1" customHeight="1" x14ac:dyDescent="0.25">
      <c r="B17" s="45" t="s">
        <v>44</v>
      </c>
      <c r="C17" s="50">
        <v>1</v>
      </c>
      <c r="D17" s="50">
        <v>2</v>
      </c>
      <c r="E17" s="50">
        <v>2</v>
      </c>
      <c r="F17" s="50">
        <v>4</v>
      </c>
      <c r="G17" s="50">
        <v>0</v>
      </c>
      <c r="H17" s="50">
        <v>0</v>
      </c>
      <c r="I17" s="50">
        <v>0</v>
      </c>
      <c r="J17" s="50">
        <v>4</v>
      </c>
      <c r="K17" s="50">
        <v>2</v>
      </c>
      <c r="L17" s="50">
        <v>0</v>
      </c>
      <c r="M17" s="50">
        <v>60</v>
      </c>
      <c r="N17" s="50">
        <v>0</v>
      </c>
      <c r="O17" s="15">
        <f t="shared" si="0"/>
        <v>15</v>
      </c>
      <c r="P17" s="15">
        <f t="shared" si="1"/>
        <v>75</v>
      </c>
      <c r="R17" s="1" t="s">
        <v>13</v>
      </c>
      <c r="S17" s="17">
        <f t="shared" ref="S17:AF17" si="9">SUM(C38:C41)</f>
        <v>20</v>
      </c>
      <c r="T17" s="17">
        <f t="shared" si="9"/>
        <v>9</v>
      </c>
      <c r="U17" s="17">
        <f t="shared" si="9"/>
        <v>6</v>
      </c>
      <c r="V17" s="17">
        <f t="shared" si="9"/>
        <v>29</v>
      </c>
      <c r="W17" s="17">
        <f t="shared" si="9"/>
        <v>0</v>
      </c>
      <c r="X17" s="17">
        <f t="shared" si="9"/>
        <v>3</v>
      </c>
      <c r="Y17" s="17">
        <f t="shared" si="9"/>
        <v>6</v>
      </c>
      <c r="Z17" s="17">
        <f t="shared" si="9"/>
        <v>21</v>
      </c>
      <c r="AA17" s="17">
        <f t="shared" si="9"/>
        <v>3</v>
      </c>
      <c r="AB17" s="17">
        <f t="shared" si="9"/>
        <v>8</v>
      </c>
      <c r="AC17" s="17">
        <f t="shared" si="9"/>
        <v>220</v>
      </c>
      <c r="AD17" s="17">
        <f t="shared" si="9"/>
        <v>0</v>
      </c>
      <c r="AE17" s="31">
        <f t="shared" si="9"/>
        <v>105</v>
      </c>
      <c r="AF17" s="31">
        <f t="shared" si="9"/>
        <v>325</v>
      </c>
    </row>
    <row r="18" spans="2:32" ht="23.1" customHeight="1" x14ac:dyDescent="0.25">
      <c r="B18" s="45" t="s">
        <v>45</v>
      </c>
      <c r="C18" s="50">
        <v>1</v>
      </c>
      <c r="D18" s="50">
        <v>1</v>
      </c>
      <c r="E18" s="50">
        <v>1</v>
      </c>
      <c r="F18" s="50">
        <v>0</v>
      </c>
      <c r="G18" s="50">
        <v>1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115</v>
      </c>
      <c r="N18" s="50">
        <v>0</v>
      </c>
      <c r="O18" s="15">
        <f t="shared" si="0"/>
        <v>4</v>
      </c>
      <c r="P18" s="15">
        <f t="shared" si="1"/>
        <v>119</v>
      </c>
      <c r="R18" s="1" t="s">
        <v>14</v>
      </c>
      <c r="S18" s="17">
        <f t="shared" ref="S18:AF18" si="10">SUM(C42:C45)</f>
        <v>5</v>
      </c>
      <c r="T18" s="17">
        <f t="shared" si="10"/>
        <v>11</v>
      </c>
      <c r="U18" s="17">
        <f t="shared" si="10"/>
        <v>5</v>
      </c>
      <c r="V18" s="17">
        <f t="shared" si="10"/>
        <v>5</v>
      </c>
      <c r="W18" s="17">
        <f t="shared" si="10"/>
        <v>1</v>
      </c>
      <c r="X18" s="17">
        <f t="shared" si="10"/>
        <v>2</v>
      </c>
      <c r="Y18" s="17">
        <f t="shared" si="10"/>
        <v>6</v>
      </c>
      <c r="Z18" s="17">
        <f t="shared" si="10"/>
        <v>5</v>
      </c>
      <c r="AA18" s="17">
        <f t="shared" si="10"/>
        <v>5</v>
      </c>
      <c r="AB18" s="17">
        <f t="shared" si="10"/>
        <v>0</v>
      </c>
      <c r="AC18" s="17">
        <f t="shared" si="10"/>
        <v>234</v>
      </c>
      <c r="AD18" s="17">
        <f t="shared" si="10"/>
        <v>0</v>
      </c>
      <c r="AE18" s="31">
        <f t="shared" si="10"/>
        <v>45</v>
      </c>
      <c r="AF18" s="31">
        <f t="shared" si="10"/>
        <v>279</v>
      </c>
    </row>
    <row r="19" spans="2:32" ht="23.1" customHeight="1" x14ac:dyDescent="0.25">
      <c r="B19" s="45" t="s">
        <v>46</v>
      </c>
      <c r="C19" s="50">
        <v>1</v>
      </c>
      <c r="D19" s="50">
        <v>6</v>
      </c>
      <c r="E19" s="50">
        <v>2</v>
      </c>
      <c r="F19" s="50">
        <v>6</v>
      </c>
      <c r="G19" s="50">
        <v>3</v>
      </c>
      <c r="H19" s="50">
        <v>6</v>
      </c>
      <c r="I19" s="50">
        <v>1</v>
      </c>
      <c r="J19" s="50">
        <v>2</v>
      </c>
      <c r="K19" s="50">
        <v>2</v>
      </c>
      <c r="L19" s="50">
        <v>0</v>
      </c>
      <c r="M19" s="50">
        <v>88</v>
      </c>
      <c r="N19" s="50">
        <v>0</v>
      </c>
      <c r="O19" s="15">
        <f t="shared" si="0"/>
        <v>29</v>
      </c>
      <c r="P19" s="15">
        <f t="shared" si="1"/>
        <v>117</v>
      </c>
      <c r="R19" s="1" t="s">
        <v>15</v>
      </c>
      <c r="S19" s="17">
        <f t="shared" ref="S19:AF19" si="11">SUM(C46:C49)</f>
        <v>7</v>
      </c>
      <c r="T19" s="17">
        <f t="shared" si="11"/>
        <v>17</v>
      </c>
      <c r="U19" s="17">
        <f t="shared" si="11"/>
        <v>6</v>
      </c>
      <c r="V19" s="17">
        <f t="shared" si="11"/>
        <v>6</v>
      </c>
      <c r="W19" s="17">
        <f t="shared" si="11"/>
        <v>4</v>
      </c>
      <c r="X19" s="17">
        <f t="shared" si="11"/>
        <v>1</v>
      </c>
      <c r="Y19" s="17">
        <f t="shared" si="11"/>
        <v>3</v>
      </c>
      <c r="Z19" s="17">
        <f t="shared" si="11"/>
        <v>2</v>
      </c>
      <c r="AA19" s="17">
        <f t="shared" si="11"/>
        <v>1</v>
      </c>
      <c r="AB19" s="17">
        <f t="shared" si="11"/>
        <v>1</v>
      </c>
      <c r="AC19" s="17">
        <f t="shared" si="11"/>
        <v>258</v>
      </c>
      <c r="AD19" s="17">
        <f t="shared" si="11"/>
        <v>0</v>
      </c>
      <c r="AE19" s="31">
        <f t="shared" si="11"/>
        <v>48</v>
      </c>
      <c r="AF19" s="31">
        <f t="shared" si="11"/>
        <v>306</v>
      </c>
    </row>
    <row r="20" spans="2:32" ht="23.1" customHeight="1" x14ac:dyDescent="0.25">
      <c r="B20" s="45" t="s">
        <v>47</v>
      </c>
      <c r="C20" s="50">
        <v>10</v>
      </c>
      <c r="D20" s="50">
        <v>4</v>
      </c>
      <c r="E20" s="50">
        <v>2</v>
      </c>
      <c r="F20" s="50">
        <v>6</v>
      </c>
      <c r="G20" s="50">
        <v>1</v>
      </c>
      <c r="H20" s="50">
        <v>0</v>
      </c>
      <c r="I20" s="50">
        <v>0</v>
      </c>
      <c r="J20" s="50">
        <v>10</v>
      </c>
      <c r="K20" s="50">
        <v>1</v>
      </c>
      <c r="L20" s="50">
        <v>0</v>
      </c>
      <c r="M20" s="50">
        <v>60</v>
      </c>
      <c r="N20" s="50">
        <v>0</v>
      </c>
      <c r="O20" s="15">
        <f t="shared" si="0"/>
        <v>34</v>
      </c>
      <c r="P20" s="15">
        <f t="shared" si="1"/>
        <v>94</v>
      </c>
      <c r="R20" s="1" t="s">
        <v>16</v>
      </c>
      <c r="S20" s="17">
        <f t="shared" ref="S20:AF20" si="12">SUM(C50:C53)</f>
        <v>9</v>
      </c>
      <c r="T20" s="17">
        <f t="shared" si="12"/>
        <v>16</v>
      </c>
      <c r="U20" s="17">
        <f t="shared" si="12"/>
        <v>5</v>
      </c>
      <c r="V20" s="17">
        <f t="shared" si="12"/>
        <v>25</v>
      </c>
      <c r="W20" s="17">
        <f t="shared" si="12"/>
        <v>2</v>
      </c>
      <c r="X20" s="17">
        <f t="shared" si="12"/>
        <v>1</v>
      </c>
      <c r="Y20" s="17">
        <f t="shared" si="12"/>
        <v>4</v>
      </c>
      <c r="Z20" s="17">
        <f t="shared" si="12"/>
        <v>7</v>
      </c>
      <c r="AA20" s="17">
        <f t="shared" si="12"/>
        <v>3</v>
      </c>
      <c r="AB20" s="17">
        <f t="shared" si="12"/>
        <v>0</v>
      </c>
      <c r="AC20" s="17">
        <f t="shared" si="12"/>
        <v>284</v>
      </c>
      <c r="AD20" s="17">
        <f t="shared" si="12"/>
        <v>0</v>
      </c>
      <c r="AE20" s="31">
        <f t="shared" si="12"/>
        <v>72</v>
      </c>
      <c r="AF20" s="31">
        <f t="shared" si="12"/>
        <v>356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0</v>
      </c>
      <c r="F21" s="50">
        <v>2</v>
      </c>
      <c r="G21" s="50">
        <v>1</v>
      </c>
      <c r="H21" s="50">
        <v>0</v>
      </c>
      <c r="I21" s="50">
        <v>3</v>
      </c>
      <c r="J21" s="50">
        <v>0</v>
      </c>
      <c r="K21" s="50">
        <v>0</v>
      </c>
      <c r="L21" s="50">
        <v>0</v>
      </c>
      <c r="M21" s="50">
        <v>80</v>
      </c>
      <c r="N21" s="50">
        <v>0</v>
      </c>
      <c r="O21" s="15">
        <f t="shared" si="0"/>
        <v>6</v>
      </c>
      <c r="P21" s="15">
        <f t="shared" si="1"/>
        <v>86</v>
      </c>
      <c r="R21" s="36" t="s">
        <v>20</v>
      </c>
      <c r="S21" s="34">
        <f t="shared" ref="S21:AF21" si="13">SUM(C54:C57)</f>
        <v>10</v>
      </c>
      <c r="T21" s="17">
        <f t="shared" si="13"/>
        <v>4</v>
      </c>
      <c r="U21" s="17">
        <f t="shared" si="13"/>
        <v>0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3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110</v>
      </c>
      <c r="AD21" s="17">
        <f t="shared" si="13"/>
        <v>0</v>
      </c>
      <c r="AE21" s="31">
        <f t="shared" si="13"/>
        <v>31</v>
      </c>
      <c r="AF21" s="31">
        <f t="shared" si="13"/>
        <v>141</v>
      </c>
    </row>
    <row r="22" spans="2:32" ht="23.1" customHeight="1" x14ac:dyDescent="0.25">
      <c r="B22" s="45" t="s">
        <v>49</v>
      </c>
      <c r="C22" s="50">
        <v>5</v>
      </c>
      <c r="D22" s="50">
        <v>2</v>
      </c>
      <c r="E22" s="50">
        <v>2</v>
      </c>
      <c r="F22" s="50">
        <v>10</v>
      </c>
      <c r="G22" s="50">
        <v>1</v>
      </c>
      <c r="H22" s="50">
        <v>1</v>
      </c>
      <c r="I22" s="50">
        <v>2</v>
      </c>
      <c r="J22" s="50">
        <v>4</v>
      </c>
      <c r="K22" s="50">
        <v>0</v>
      </c>
      <c r="L22" s="50">
        <v>0</v>
      </c>
      <c r="M22" s="50">
        <v>85</v>
      </c>
      <c r="N22" s="50">
        <v>0</v>
      </c>
      <c r="O22" s="15">
        <f t="shared" si="0"/>
        <v>27</v>
      </c>
      <c r="P22" s="15">
        <f t="shared" si="1"/>
        <v>112</v>
      </c>
      <c r="R22" s="36" t="s">
        <v>146</v>
      </c>
      <c r="S22" s="34">
        <f>SUM(C58:C61)</f>
        <v>8</v>
      </c>
      <c r="T22" s="34">
        <f t="shared" ref="T22:AF22" si="14">SUM(D58:D61)</f>
        <v>6</v>
      </c>
      <c r="U22" s="34">
        <f t="shared" si="14"/>
        <v>1</v>
      </c>
      <c r="V22" s="34">
        <f t="shared" si="14"/>
        <v>4</v>
      </c>
      <c r="W22" s="34">
        <f t="shared" si="14"/>
        <v>0</v>
      </c>
      <c r="X22" s="34">
        <f t="shared" si="14"/>
        <v>0</v>
      </c>
      <c r="Y22" s="34">
        <f t="shared" si="14"/>
        <v>1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130</v>
      </c>
      <c r="AD22" s="34">
        <f t="shared" si="14"/>
        <v>0</v>
      </c>
      <c r="AE22" s="31">
        <f t="shared" si="14"/>
        <v>21</v>
      </c>
      <c r="AF22" s="31">
        <f t="shared" si="14"/>
        <v>151</v>
      </c>
    </row>
    <row r="23" spans="2:32" ht="23.1" customHeight="1" x14ac:dyDescent="0.25">
      <c r="B23" s="45" t="s">
        <v>50</v>
      </c>
      <c r="C23" s="50">
        <v>3</v>
      </c>
      <c r="D23" s="50">
        <v>3</v>
      </c>
      <c r="E23" s="50">
        <v>1</v>
      </c>
      <c r="F23" s="50">
        <v>2</v>
      </c>
      <c r="G23" s="50">
        <v>0</v>
      </c>
      <c r="H23" s="50">
        <v>0</v>
      </c>
      <c r="I23" s="50">
        <v>1</v>
      </c>
      <c r="J23" s="50">
        <v>3</v>
      </c>
      <c r="K23" s="50">
        <v>0</v>
      </c>
      <c r="L23" s="50">
        <v>1</v>
      </c>
      <c r="M23" s="50">
        <v>55</v>
      </c>
      <c r="N23" s="50">
        <v>0</v>
      </c>
      <c r="O23" s="15">
        <f t="shared" si="0"/>
        <v>14</v>
      </c>
      <c r="P23" s="15">
        <f t="shared" si="1"/>
        <v>69</v>
      </c>
      <c r="R23" s="36" t="s">
        <v>147</v>
      </c>
      <c r="S23" s="34">
        <f>SUM(C62:C65)</f>
        <v>6</v>
      </c>
      <c r="T23" s="34">
        <f t="shared" ref="T23:AF23" si="15">SUM(D62:D65)</f>
        <v>3</v>
      </c>
      <c r="U23" s="34">
        <f t="shared" si="15"/>
        <v>3</v>
      </c>
      <c r="V23" s="34">
        <f t="shared" si="15"/>
        <v>7</v>
      </c>
      <c r="W23" s="34">
        <f t="shared" si="15"/>
        <v>0</v>
      </c>
      <c r="X23" s="34">
        <f t="shared" si="15"/>
        <v>0</v>
      </c>
      <c r="Y23" s="34">
        <f t="shared" si="15"/>
        <v>3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112</v>
      </c>
      <c r="AD23" s="34">
        <f t="shared" si="15"/>
        <v>0</v>
      </c>
      <c r="AE23" s="31">
        <f t="shared" si="15"/>
        <v>22</v>
      </c>
      <c r="AF23" s="31">
        <f t="shared" si="15"/>
        <v>134</v>
      </c>
    </row>
    <row r="24" spans="2:32" ht="23.1" customHeight="1" x14ac:dyDescent="0.25">
      <c r="B24" s="45" t="s">
        <v>51</v>
      </c>
      <c r="C24" s="50">
        <v>5</v>
      </c>
      <c r="D24" s="50">
        <v>4</v>
      </c>
      <c r="E24" s="50">
        <v>0</v>
      </c>
      <c r="F24" s="50">
        <v>5</v>
      </c>
      <c r="G24" s="50">
        <v>1</v>
      </c>
      <c r="H24" s="50">
        <v>0</v>
      </c>
      <c r="I24" s="50">
        <v>0</v>
      </c>
      <c r="J24" s="50">
        <v>1</v>
      </c>
      <c r="K24" s="50">
        <v>1</v>
      </c>
      <c r="L24" s="50">
        <v>0</v>
      </c>
      <c r="M24" s="50">
        <v>60</v>
      </c>
      <c r="N24" s="50">
        <v>0</v>
      </c>
      <c r="O24" s="15">
        <f t="shared" si="0"/>
        <v>17</v>
      </c>
      <c r="P24" s="15">
        <f t="shared" si="1"/>
        <v>77</v>
      </c>
      <c r="R24" s="36" t="s">
        <v>148</v>
      </c>
      <c r="S24" s="34">
        <f>SUM(C66:C69)</f>
        <v>10</v>
      </c>
      <c r="T24" s="34">
        <f t="shared" ref="T24:AF24" si="16">SUM(D66:D69)</f>
        <v>3</v>
      </c>
      <c r="U24" s="34">
        <f t="shared" si="16"/>
        <v>6</v>
      </c>
      <c r="V24" s="34">
        <f t="shared" si="16"/>
        <v>13</v>
      </c>
      <c r="W24" s="34">
        <f t="shared" si="16"/>
        <v>0</v>
      </c>
      <c r="X24" s="34">
        <f t="shared" si="16"/>
        <v>0</v>
      </c>
      <c r="Y24" s="34">
        <f t="shared" si="16"/>
        <v>0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195</v>
      </c>
      <c r="AD24" s="34">
        <f t="shared" si="16"/>
        <v>0</v>
      </c>
      <c r="AE24" s="31">
        <f t="shared" si="16"/>
        <v>33</v>
      </c>
      <c r="AF24" s="31">
        <f t="shared" si="16"/>
        <v>228</v>
      </c>
    </row>
    <row r="25" spans="2:32" ht="23.1" customHeight="1" x14ac:dyDescent="0.25">
      <c r="B25" s="45" t="s">
        <v>52</v>
      </c>
      <c r="C25" s="50">
        <v>1</v>
      </c>
      <c r="D25" s="50">
        <v>1</v>
      </c>
      <c r="E25" s="50">
        <v>1</v>
      </c>
      <c r="F25" s="50">
        <v>2</v>
      </c>
      <c r="G25" s="50">
        <v>1</v>
      </c>
      <c r="H25" s="50">
        <v>1</v>
      </c>
      <c r="I25" s="50">
        <v>1</v>
      </c>
      <c r="J25" s="50">
        <v>2</v>
      </c>
      <c r="K25" s="50">
        <v>1</v>
      </c>
      <c r="L25" s="50">
        <v>0</v>
      </c>
      <c r="M25" s="50">
        <v>70</v>
      </c>
      <c r="N25" s="50">
        <v>0</v>
      </c>
      <c r="O25" s="15">
        <f t="shared" si="0"/>
        <v>11</v>
      </c>
      <c r="P25" s="15">
        <f t="shared" si="1"/>
        <v>81</v>
      </c>
      <c r="R25" s="36" t="s">
        <v>149</v>
      </c>
      <c r="S25" s="34">
        <f>SUM(C70:C73)</f>
        <v>7</v>
      </c>
      <c r="T25" s="34">
        <f t="shared" ref="T25:AF25" si="17">SUM(D70:D73)</f>
        <v>6</v>
      </c>
      <c r="U25" s="34">
        <f t="shared" si="17"/>
        <v>1</v>
      </c>
      <c r="V25" s="34">
        <f t="shared" si="17"/>
        <v>11</v>
      </c>
      <c r="W25" s="34">
        <f t="shared" si="17"/>
        <v>0</v>
      </c>
      <c r="X25" s="34">
        <f t="shared" si="17"/>
        <v>0</v>
      </c>
      <c r="Y25" s="34">
        <f t="shared" si="17"/>
        <v>0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200</v>
      </c>
      <c r="AD25" s="34">
        <f t="shared" si="17"/>
        <v>0</v>
      </c>
      <c r="AE25" s="31">
        <f t="shared" si="17"/>
        <v>26</v>
      </c>
      <c r="AF25" s="31">
        <f t="shared" si="17"/>
        <v>226</v>
      </c>
    </row>
    <row r="26" spans="2:32" ht="23.1" customHeight="1" x14ac:dyDescent="0.25">
      <c r="B26" s="45" t="s">
        <v>53</v>
      </c>
      <c r="C26" s="50">
        <v>2</v>
      </c>
      <c r="D26" s="50">
        <v>3</v>
      </c>
      <c r="E26" s="50">
        <v>1</v>
      </c>
      <c r="F26" s="50">
        <v>1</v>
      </c>
      <c r="G26" s="50">
        <v>1</v>
      </c>
      <c r="H26" s="50">
        <v>0</v>
      </c>
      <c r="I26" s="50">
        <v>1</v>
      </c>
      <c r="J26" s="50">
        <v>2</v>
      </c>
      <c r="K26" s="50">
        <v>1</v>
      </c>
      <c r="L26" s="50">
        <v>1</v>
      </c>
      <c r="M26" s="50">
        <v>85</v>
      </c>
      <c r="N26" s="50">
        <v>0</v>
      </c>
      <c r="O26" s="15">
        <f t="shared" si="0"/>
        <v>13</v>
      </c>
      <c r="P26" s="15">
        <f t="shared" si="1"/>
        <v>98</v>
      </c>
      <c r="R26" s="36" t="s">
        <v>150</v>
      </c>
      <c r="S26" s="34">
        <f>SUM(C74:C77)</f>
        <v>5</v>
      </c>
      <c r="T26" s="34">
        <f t="shared" ref="T26:AF26" si="18">SUM(D74:D77)</f>
        <v>5</v>
      </c>
      <c r="U26" s="34">
        <f t="shared" si="18"/>
        <v>1</v>
      </c>
      <c r="V26" s="34">
        <f t="shared" si="18"/>
        <v>4</v>
      </c>
      <c r="W26" s="34">
        <f t="shared" si="18"/>
        <v>0</v>
      </c>
      <c r="X26" s="34">
        <f t="shared" si="18"/>
        <v>0</v>
      </c>
      <c r="Y26" s="34">
        <f t="shared" si="18"/>
        <v>1</v>
      </c>
      <c r="Z26" s="34">
        <f t="shared" si="18"/>
        <v>0</v>
      </c>
      <c r="AA26" s="34">
        <f t="shared" si="18"/>
        <v>0</v>
      </c>
      <c r="AB26" s="34">
        <f t="shared" si="18"/>
        <v>0</v>
      </c>
      <c r="AC26" s="34">
        <f t="shared" si="18"/>
        <v>95</v>
      </c>
      <c r="AD26" s="34">
        <f t="shared" si="18"/>
        <v>0</v>
      </c>
      <c r="AE26" s="31">
        <f t="shared" si="18"/>
        <v>16</v>
      </c>
      <c r="AF26" s="31">
        <f t="shared" si="18"/>
        <v>111</v>
      </c>
    </row>
    <row r="27" spans="2:32" ht="23.1" customHeight="1" x14ac:dyDescent="0.25">
      <c r="B27" s="45" t="s">
        <v>54</v>
      </c>
      <c r="C27" s="50">
        <v>0</v>
      </c>
      <c r="D27" s="50">
        <v>2</v>
      </c>
      <c r="E27" s="50">
        <v>0</v>
      </c>
      <c r="F27" s="50">
        <v>1</v>
      </c>
      <c r="G27" s="50">
        <v>1</v>
      </c>
      <c r="H27" s="50">
        <v>0</v>
      </c>
      <c r="I27" s="50">
        <v>1</v>
      </c>
      <c r="J27" s="50">
        <v>0</v>
      </c>
      <c r="K27" s="50">
        <v>1</v>
      </c>
      <c r="L27" s="50">
        <v>0</v>
      </c>
      <c r="M27" s="50">
        <v>75</v>
      </c>
      <c r="N27" s="50">
        <v>0</v>
      </c>
      <c r="O27" s="15">
        <f t="shared" si="0"/>
        <v>6</v>
      </c>
      <c r="P27" s="15">
        <f t="shared" si="1"/>
        <v>81</v>
      </c>
      <c r="R27" s="36" t="s">
        <v>151</v>
      </c>
      <c r="S27" s="34">
        <f>SUM(C78:C81)</f>
        <v>4</v>
      </c>
      <c r="T27" s="34">
        <f t="shared" ref="T27:AF27" si="19">SUM(D78:D81)</f>
        <v>4</v>
      </c>
      <c r="U27" s="34">
        <f t="shared" si="19"/>
        <v>3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0</v>
      </c>
      <c r="AA27" s="34">
        <f t="shared" si="19"/>
        <v>0</v>
      </c>
      <c r="AB27" s="34">
        <f t="shared" si="19"/>
        <v>0</v>
      </c>
      <c r="AC27" s="34">
        <f t="shared" si="19"/>
        <v>75</v>
      </c>
      <c r="AD27" s="34">
        <f t="shared" si="19"/>
        <v>0</v>
      </c>
      <c r="AE27" s="31">
        <f t="shared" si="19"/>
        <v>12</v>
      </c>
      <c r="AF27" s="31">
        <f t="shared" si="19"/>
        <v>87</v>
      </c>
    </row>
    <row r="28" spans="2:32" ht="23.1" customHeight="1" x14ac:dyDescent="0.25">
      <c r="B28" s="45" t="s">
        <v>55</v>
      </c>
      <c r="C28" s="50">
        <v>0</v>
      </c>
      <c r="D28" s="50">
        <v>1</v>
      </c>
      <c r="E28" s="50">
        <v>1</v>
      </c>
      <c r="F28" s="50">
        <v>2</v>
      </c>
      <c r="G28" s="50">
        <v>0</v>
      </c>
      <c r="H28" s="50">
        <v>1</v>
      </c>
      <c r="I28" s="50">
        <v>1</v>
      </c>
      <c r="J28" s="50">
        <v>1</v>
      </c>
      <c r="K28" s="50">
        <v>1</v>
      </c>
      <c r="L28" s="50">
        <v>0</v>
      </c>
      <c r="M28" s="50">
        <v>32</v>
      </c>
      <c r="N28" s="50">
        <v>0</v>
      </c>
      <c r="O28" s="15">
        <f t="shared" si="0"/>
        <v>8</v>
      </c>
      <c r="P28" s="15">
        <f t="shared" si="1"/>
        <v>40</v>
      </c>
      <c r="R28" s="36" t="s">
        <v>152</v>
      </c>
      <c r="S28" s="34">
        <f>SUM(C82:C85)</f>
        <v>2</v>
      </c>
      <c r="T28" s="34">
        <f t="shared" ref="T28:AF28" si="20">SUM(D82:D85)</f>
        <v>4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</v>
      </c>
      <c r="Z28" s="34">
        <f t="shared" si="20"/>
        <v>0</v>
      </c>
      <c r="AA28" s="34">
        <f t="shared" si="20"/>
        <v>0</v>
      </c>
      <c r="AB28" s="34">
        <f t="shared" si="20"/>
        <v>0</v>
      </c>
      <c r="AC28" s="34">
        <f t="shared" si="20"/>
        <v>42</v>
      </c>
      <c r="AD28" s="34">
        <f t="shared" si="20"/>
        <v>0</v>
      </c>
      <c r="AE28" s="31">
        <f t="shared" si="20"/>
        <v>9</v>
      </c>
      <c r="AF28" s="31">
        <f t="shared" si="20"/>
        <v>51</v>
      </c>
    </row>
    <row r="29" spans="2:32" ht="23.1" customHeight="1" x14ac:dyDescent="0.25">
      <c r="B29" s="45" t="s">
        <v>56</v>
      </c>
      <c r="C29" s="50">
        <v>3</v>
      </c>
      <c r="D29" s="50">
        <v>3</v>
      </c>
      <c r="E29" s="50">
        <v>2</v>
      </c>
      <c r="F29" s="50">
        <v>3</v>
      </c>
      <c r="G29" s="50">
        <v>0</v>
      </c>
      <c r="H29" s="50">
        <v>0</v>
      </c>
      <c r="I29" s="50">
        <v>2</v>
      </c>
      <c r="J29" s="50">
        <v>3</v>
      </c>
      <c r="K29" s="50">
        <v>3</v>
      </c>
      <c r="L29" s="50">
        <v>0</v>
      </c>
      <c r="M29" s="50">
        <v>75</v>
      </c>
      <c r="N29" s="50">
        <v>0</v>
      </c>
      <c r="O29" s="15">
        <f t="shared" si="0"/>
        <v>19</v>
      </c>
      <c r="P29" s="15">
        <f t="shared" si="1"/>
        <v>94</v>
      </c>
      <c r="R29" s="36" t="s">
        <v>153</v>
      </c>
      <c r="S29" s="34">
        <f>SUM(C86:C89)</f>
        <v>0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19</v>
      </c>
      <c r="AD29" s="34">
        <f t="shared" si="21"/>
        <v>0</v>
      </c>
      <c r="AE29" s="31">
        <f t="shared" si="21"/>
        <v>2</v>
      </c>
      <c r="AF29" s="31">
        <f t="shared" si="21"/>
        <v>21</v>
      </c>
    </row>
    <row r="30" spans="2:32" ht="23.1" customHeight="1" x14ac:dyDescent="0.25">
      <c r="B30" s="45" t="s">
        <v>57</v>
      </c>
      <c r="C30" s="50">
        <v>2</v>
      </c>
      <c r="D30" s="50">
        <v>2</v>
      </c>
      <c r="E30" s="50">
        <v>1</v>
      </c>
      <c r="F30" s="50">
        <v>5</v>
      </c>
      <c r="G30" s="50">
        <v>1</v>
      </c>
      <c r="H30" s="50">
        <v>0</v>
      </c>
      <c r="I30" s="50">
        <v>1</v>
      </c>
      <c r="J30" s="50">
        <v>0</v>
      </c>
      <c r="K30" s="50">
        <v>0</v>
      </c>
      <c r="L30" s="50">
        <v>0</v>
      </c>
      <c r="M30" s="50">
        <v>65</v>
      </c>
      <c r="N30" s="50">
        <v>0</v>
      </c>
      <c r="O30" s="15">
        <f t="shared" si="0"/>
        <v>12</v>
      </c>
      <c r="P30" s="15">
        <f t="shared" si="1"/>
        <v>77</v>
      </c>
      <c r="R30" s="36" t="s">
        <v>154</v>
      </c>
      <c r="S30" s="34">
        <f>SUM(C90:C93)</f>
        <v>0</v>
      </c>
      <c r="T30" s="34">
        <f t="shared" ref="T30:AF30" si="22">SUM(D90:D93)</f>
        <v>0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9</v>
      </c>
      <c r="AD30" s="34">
        <f t="shared" si="22"/>
        <v>0</v>
      </c>
      <c r="AE30" s="31">
        <f t="shared" si="22"/>
        <v>4</v>
      </c>
      <c r="AF30" s="31">
        <f t="shared" si="22"/>
        <v>13</v>
      </c>
    </row>
    <row r="31" spans="2:32" ht="23.1" customHeight="1" x14ac:dyDescent="0.25">
      <c r="B31" s="46" t="s">
        <v>58</v>
      </c>
      <c r="C31" s="50">
        <v>5</v>
      </c>
      <c r="D31" s="50">
        <v>5</v>
      </c>
      <c r="E31" s="50">
        <v>2</v>
      </c>
      <c r="F31" s="50">
        <v>4</v>
      </c>
      <c r="G31" s="50">
        <v>1</v>
      </c>
      <c r="H31" s="50">
        <v>1</v>
      </c>
      <c r="I31" s="50">
        <v>5</v>
      </c>
      <c r="J31" s="50">
        <v>5</v>
      </c>
      <c r="K31" s="50">
        <v>0</v>
      </c>
      <c r="L31" s="50">
        <v>0</v>
      </c>
      <c r="M31" s="50">
        <v>60</v>
      </c>
      <c r="N31" s="50">
        <v>0</v>
      </c>
      <c r="O31" s="15">
        <f t="shared" si="0"/>
        <v>28</v>
      </c>
      <c r="P31" s="15">
        <f t="shared" si="1"/>
        <v>88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2</v>
      </c>
      <c r="AA31" s="34">
        <f t="shared" si="23"/>
        <v>0</v>
      </c>
      <c r="AB31" s="34">
        <f t="shared" si="23"/>
        <v>0</v>
      </c>
      <c r="AC31" s="34">
        <f t="shared" si="23"/>
        <v>2</v>
      </c>
      <c r="AD31" s="34">
        <f t="shared" si="23"/>
        <v>0</v>
      </c>
      <c r="AE31" s="31">
        <f t="shared" si="23"/>
        <v>4</v>
      </c>
      <c r="AF31" s="31">
        <f t="shared" si="23"/>
        <v>6</v>
      </c>
    </row>
    <row r="32" spans="2:32" ht="23.1" customHeight="1" x14ac:dyDescent="0.25">
      <c r="B32" s="46" t="s">
        <v>59</v>
      </c>
      <c r="C32" s="50">
        <v>2</v>
      </c>
      <c r="D32" s="50">
        <v>3</v>
      </c>
      <c r="E32" s="50">
        <v>0</v>
      </c>
      <c r="F32" s="50">
        <v>2</v>
      </c>
      <c r="G32" s="50">
        <v>0</v>
      </c>
      <c r="H32" s="50">
        <v>0</v>
      </c>
      <c r="I32" s="50">
        <v>2</v>
      </c>
      <c r="J32" s="50">
        <v>0</v>
      </c>
      <c r="K32" s="50">
        <v>1</v>
      </c>
      <c r="L32" s="50">
        <v>0</v>
      </c>
      <c r="M32" s="50">
        <v>60</v>
      </c>
      <c r="N32" s="50">
        <v>0</v>
      </c>
      <c r="O32" s="15">
        <f t="shared" si="0"/>
        <v>10</v>
      </c>
      <c r="P32" s="15">
        <f t="shared" si="1"/>
        <v>70</v>
      </c>
      <c r="R32" s="33" t="s">
        <v>156</v>
      </c>
      <c r="S32" s="34">
        <f>SUM(C98:C101)</f>
        <v>1</v>
      </c>
      <c r="T32" s="34">
        <f t="shared" ref="T32:AF32" si="24">SUM(D98:D101)</f>
        <v>1</v>
      </c>
      <c r="U32" s="34">
        <f t="shared" si="24"/>
        <v>2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1</v>
      </c>
      <c r="Z32" s="34">
        <f t="shared" si="24"/>
        <v>1</v>
      </c>
      <c r="AA32" s="34">
        <f t="shared" si="24"/>
        <v>0</v>
      </c>
      <c r="AB32" s="34">
        <f t="shared" si="24"/>
        <v>0</v>
      </c>
      <c r="AC32" s="34">
        <f t="shared" si="24"/>
        <v>12</v>
      </c>
      <c r="AD32" s="34">
        <f t="shared" si="24"/>
        <v>0</v>
      </c>
      <c r="AE32" s="31">
        <f t="shared" si="24"/>
        <v>8</v>
      </c>
      <c r="AF32" s="31">
        <f t="shared" si="24"/>
        <v>20</v>
      </c>
    </row>
    <row r="33" spans="2:32" ht="23.1" customHeight="1" x14ac:dyDescent="0.25">
      <c r="B33" s="45" t="s">
        <v>60</v>
      </c>
      <c r="C33" s="50">
        <v>1</v>
      </c>
      <c r="D33" s="50">
        <v>2</v>
      </c>
      <c r="E33" s="50">
        <v>0</v>
      </c>
      <c r="F33" s="50">
        <v>1</v>
      </c>
      <c r="G33" s="50">
        <v>1</v>
      </c>
      <c r="H33" s="50">
        <v>1</v>
      </c>
      <c r="I33" s="50">
        <v>2</v>
      </c>
      <c r="J33" s="50">
        <v>2</v>
      </c>
      <c r="K33" s="50">
        <v>1</v>
      </c>
      <c r="L33" s="50">
        <v>0</v>
      </c>
      <c r="M33" s="50">
        <v>55</v>
      </c>
      <c r="N33" s="50">
        <v>0</v>
      </c>
      <c r="O33" s="15">
        <f t="shared" si="0"/>
        <v>11</v>
      </c>
      <c r="P33" s="15">
        <f t="shared" si="1"/>
        <v>66</v>
      </c>
      <c r="R33" s="33" t="s">
        <v>157</v>
      </c>
      <c r="S33" s="34">
        <f>SUM(C102:C105)</f>
        <v>3</v>
      </c>
      <c r="T33" s="34">
        <f t="shared" ref="T33:AF33" si="25">SUM(D102:D105)</f>
        <v>4</v>
      </c>
      <c r="U33" s="34">
        <f t="shared" si="25"/>
        <v>2</v>
      </c>
      <c r="V33" s="34">
        <f t="shared" si="25"/>
        <v>11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38</v>
      </c>
      <c r="AD33" s="34">
        <f t="shared" si="25"/>
        <v>0</v>
      </c>
      <c r="AE33" s="31">
        <f t="shared" si="25"/>
        <v>24</v>
      </c>
      <c r="AF33" s="31">
        <f t="shared" si="25"/>
        <v>62</v>
      </c>
    </row>
    <row r="34" spans="2:32" ht="23.1" customHeight="1" x14ac:dyDescent="0.25">
      <c r="B34" s="46" t="s">
        <v>61</v>
      </c>
      <c r="C34" s="50">
        <v>1</v>
      </c>
      <c r="D34" s="50">
        <v>3</v>
      </c>
      <c r="E34" s="50">
        <v>0</v>
      </c>
      <c r="F34" s="50">
        <v>2</v>
      </c>
      <c r="G34" s="50">
        <v>1</v>
      </c>
      <c r="H34" s="50">
        <v>0</v>
      </c>
      <c r="I34" s="50">
        <v>1</v>
      </c>
      <c r="J34" s="50">
        <v>1</v>
      </c>
      <c r="K34" s="50">
        <v>0</v>
      </c>
      <c r="L34" s="50">
        <v>0</v>
      </c>
      <c r="M34" s="50">
        <v>80</v>
      </c>
      <c r="N34" s="50">
        <v>0</v>
      </c>
      <c r="O34" s="15">
        <f t="shared" si="0"/>
        <v>9</v>
      </c>
      <c r="P34" s="15">
        <f t="shared" si="1"/>
        <v>89</v>
      </c>
      <c r="R34" s="38" t="s">
        <v>90</v>
      </c>
      <c r="S34" s="39">
        <f t="shared" ref="S34:AF34" si="26">MAX(S10:S12)</f>
        <v>15</v>
      </c>
      <c r="T34" s="39">
        <f t="shared" si="26"/>
        <v>11</v>
      </c>
      <c r="U34" s="39">
        <f t="shared" si="26"/>
        <v>12</v>
      </c>
      <c r="V34" s="39">
        <f t="shared" si="26"/>
        <v>30</v>
      </c>
      <c r="W34" s="39">
        <f t="shared" si="26"/>
        <v>20</v>
      </c>
      <c r="X34" s="39">
        <f t="shared" si="26"/>
        <v>10</v>
      </c>
      <c r="Y34" s="39">
        <f t="shared" si="26"/>
        <v>9</v>
      </c>
      <c r="Z34" s="39">
        <f t="shared" si="26"/>
        <v>12</v>
      </c>
      <c r="AA34" s="39">
        <f t="shared" si="26"/>
        <v>6</v>
      </c>
      <c r="AB34" s="39">
        <f t="shared" si="26"/>
        <v>0</v>
      </c>
      <c r="AC34" s="39">
        <f t="shared" si="26"/>
        <v>343</v>
      </c>
      <c r="AD34" s="39">
        <f t="shared" si="26"/>
        <v>1</v>
      </c>
      <c r="AE34" s="40">
        <f t="shared" si="26"/>
        <v>104</v>
      </c>
      <c r="AF34" s="40">
        <f t="shared" si="26"/>
        <v>416</v>
      </c>
    </row>
    <row r="35" spans="2:32" ht="23.1" customHeight="1" x14ac:dyDescent="0.25">
      <c r="B35" s="46" t="s">
        <v>62</v>
      </c>
      <c r="C35" s="50">
        <v>1</v>
      </c>
      <c r="D35" s="50">
        <v>2</v>
      </c>
      <c r="E35" s="50">
        <v>1</v>
      </c>
      <c r="F35" s="50">
        <v>10</v>
      </c>
      <c r="G35" s="50">
        <v>2</v>
      </c>
      <c r="H35" s="50">
        <v>2</v>
      </c>
      <c r="I35" s="50">
        <v>1</v>
      </c>
      <c r="J35" s="50">
        <v>3</v>
      </c>
      <c r="K35" s="50">
        <v>1</v>
      </c>
      <c r="L35" s="50">
        <v>0</v>
      </c>
      <c r="M35" s="50">
        <v>55</v>
      </c>
      <c r="N35" s="50">
        <v>0</v>
      </c>
      <c r="O35" s="15">
        <f t="shared" si="0"/>
        <v>23</v>
      </c>
      <c r="P35" s="15">
        <f t="shared" si="1"/>
        <v>78</v>
      </c>
      <c r="R35" s="38" t="s">
        <v>91</v>
      </c>
      <c r="S35" s="39">
        <f t="shared" ref="S35:AF35" si="27">MAX(S13:S18)</f>
        <v>20</v>
      </c>
      <c r="T35" s="39">
        <f t="shared" si="27"/>
        <v>12</v>
      </c>
      <c r="U35" s="39">
        <f t="shared" si="27"/>
        <v>6</v>
      </c>
      <c r="V35" s="39">
        <f t="shared" si="27"/>
        <v>29</v>
      </c>
      <c r="W35" s="39">
        <f t="shared" si="27"/>
        <v>9</v>
      </c>
      <c r="X35" s="39">
        <f t="shared" si="27"/>
        <v>5</v>
      </c>
      <c r="Y35" s="39">
        <f t="shared" si="27"/>
        <v>10</v>
      </c>
      <c r="Z35" s="39">
        <f t="shared" si="27"/>
        <v>21</v>
      </c>
      <c r="AA35" s="39">
        <f t="shared" si="27"/>
        <v>6</v>
      </c>
      <c r="AB35" s="39">
        <f t="shared" si="27"/>
        <v>8</v>
      </c>
      <c r="AC35" s="39">
        <f t="shared" si="27"/>
        <v>270</v>
      </c>
      <c r="AD35" s="39">
        <f t="shared" si="27"/>
        <v>0</v>
      </c>
      <c r="AE35" s="40">
        <f t="shared" si="27"/>
        <v>105</v>
      </c>
      <c r="AF35" s="40">
        <f t="shared" si="27"/>
        <v>339</v>
      </c>
    </row>
    <row r="36" spans="2:32" ht="23.1" customHeight="1" x14ac:dyDescent="0.25">
      <c r="B36" s="46" t="s">
        <v>63</v>
      </c>
      <c r="C36" s="50">
        <v>1</v>
      </c>
      <c r="D36" s="50">
        <v>2</v>
      </c>
      <c r="E36" s="50">
        <v>0</v>
      </c>
      <c r="F36" s="50">
        <v>1</v>
      </c>
      <c r="G36" s="50">
        <v>3</v>
      </c>
      <c r="H36" s="50">
        <v>1</v>
      </c>
      <c r="I36" s="50">
        <v>3</v>
      </c>
      <c r="J36" s="50">
        <v>1</v>
      </c>
      <c r="K36" s="50">
        <v>2</v>
      </c>
      <c r="L36" s="50">
        <v>3</v>
      </c>
      <c r="M36" s="50">
        <v>75</v>
      </c>
      <c r="N36" s="50">
        <v>0</v>
      </c>
      <c r="O36" s="15">
        <f t="shared" si="0"/>
        <v>17</v>
      </c>
      <c r="P36" s="15">
        <f t="shared" si="1"/>
        <v>92</v>
      </c>
      <c r="R36" s="38" t="s">
        <v>92</v>
      </c>
      <c r="S36" s="39">
        <f t="shared" ref="S36:AF36" si="28">MAX(S19:S21)</f>
        <v>10</v>
      </c>
      <c r="T36" s="39">
        <f t="shared" si="28"/>
        <v>17</v>
      </c>
      <c r="U36" s="39">
        <f t="shared" si="28"/>
        <v>6</v>
      </c>
      <c r="V36" s="39">
        <f t="shared" si="28"/>
        <v>25</v>
      </c>
      <c r="W36" s="39">
        <f t="shared" si="28"/>
        <v>4</v>
      </c>
      <c r="X36" s="39">
        <f t="shared" si="28"/>
        <v>1</v>
      </c>
      <c r="Y36" s="39">
        <f t="shared" si="28"/>
        <v>4</v>
      </c>
      <c r="Z36" s="39">
        <f t="shared" si="28"/>
        <v>7</v>
      </c>
      <c r="AA36" s="39">
        <f t="shared" si="28"/>
        <v>3</v>
      </c>
      <c r="AB36" s="39">
        <f t="shared" si="28"/>
        <v>1</v>
      </c>
      <c r="AC36" s="39">
        <f t="shared" si="28"/>
        <v>284</v>
      </c>
      <c r="AD36" s="39">
        <f t="shared" si="28"/>
        <v>0</v>
      </c>
      <c r="AE36" s="40">
        <f t="shared" si="28"/>
        <v>72</v>
      </c>
      <c r="AF36" s="40">
        <f t="shared" si="28"/>
        <v>356</v>
      </c>
    </row>
    <row r="37" spans="2:32" ht="23.1" customHeight="1" x14ac:dyDescent="0.25">
      <c r="B37" s="45" t="s">
        <v>64</v>
      </c>
      <c r="C37" s="50">
        <v>1</v>
      </c>
      <c r="D37" s="50">
        <v>1</v>
      </c>
      <c r="E37" s="50">
        <v>0</v>
      </c>
      <c r="F37" s="50">
        <v>3</v>
      </c>
      <c r="G37" s="50">
        <v>3</v>
      </c>
      <c r="H37" s="50">
        <v>2</v>
      </c>
      <c r="I37" s="50">
        <v>1</v>
      </c>
      <c r="J37" s="50">
        <v>0</v>
      </c>
      <c r="K37" s="50">
        <v>0</v>
      </c>
      <c r="L37" s="50">
        <v>0</v>
      </c>
      <c r="M37" s="50">
        <v>55</v>
      </c>
      <c r="N37" s="50">
        <v>0</v>
      </c>
      <c r="O37" s="15">
        <f t="shared" si="0"/>
        <v>11</v>
      </c>
      <c r="P37" s="15">
        <f t="shared" si="1"/>
        <v>66</v>
      </c>
      <c r="R37" s="37" t="s">
        <v>85</v>
      </c>
      <c r="S37" s="35">
        <f t="shared" ref="S37:AF37" si="29">SUM(S10:S12)</f>
        <v>38</v>
      </c>
      <c r="T37" s="16">
        <f t="shared" si="29"/>
        <v>28</v>
      </c>
      <c r="U37" s="16">
        <f t="shared" si="29"/>
        <v>22</v>
      </c>
      <c r="V37" s="16">
        <f t="shared" si="29"/>
        <v>55</v>
      </c>
      <c r="W37" s="16">
        <f t="shared" si="29"/>
        <v>30</v>
      </c>
      <c r="X37" s="16">
        <f t="shared" si="29"/>
        <v>16</v>
      </c>
      <c r="Y37" s="16">
        <f t="shared" si="29"/>
        <v>20</v>
      </c>
      <c r="Z37" s="16">
        <f t="shared" si="29"/>
        <v>18</v>
      </c>
      <c r="AA37" s="16">
        <f t="shared" si="29"/>
        <v>11</v>
      </c>
      <c r="AB37" s="16">
        <f t="shared" si="29"/>
        <v>0</v>
      </c>
      <c r="AC37" s="16">
        <f t="shared" si="29"/>
        <v>773</v>
      </c>
      <c r="AD37" s="16">
        <f t="shared" si="29"/>
        <v>1</v>
      </c>
      <c r="AE37" s="32">
        <f t="shared" si="29"/>
        <v>239</v>
      </c>
      <c r="AF37" s="32">
        <f t="shared" si="29"/>
        <v>1012</v>
      </c>
    </row>
    <row r="38" spans="2:32" ht="23.1" customHeight="1" x14ac:dyDescent="0.25">
      <c r="B38" s="46" t="s">
        <v>65</v>
      </c>
      <c r="C38" s="50">
        <v>9</v>
      </c>
      <c r="D38" s="50">
        <v>5</v>
      </c>
      <c r="E38" s="50">
        <v>2</v>
      </c>
      <c r="F38" s="50">
        <v>16</v>
      </c>
      <c r="G38" s="50">
        <v>0</v>
      </c>
      <c r="H38" s="50">
        <v>3</v>
      </c>
      <c r="I38" s="50">
        <v>0</v>
      </c>
      <c r="J38" s="50">
        <v>4</v>
      </c>
      <c r="K38" s="50">
        <v>0</v>
      </c>
      <c r="L38" s="50">
        <v>5</v>
      </c>
      <c r="M38" s="50">
        <v>70</v>
      </c>
      <c r="N38" s="50">
        <v>0</v>
      </c>
      <c r="O38" s="15">
        <f t="shared" si="0"/>
        <v>44</v>
      </c>
      <c r="P38" s="15">
        <f t="shared" si="1"/>
        <v>114</v>
      </c>
      <c r="R38" s="28" t="s">
        <v>86</v>
      </c>
      <c r="S38" s="16">
        <f t="shared" ref="S38:AF38" si="30">SUM(S13:S18)</f>
        <v>58</v>
      </c>
      <c r="T38" s="16">
        <f t="shared" si="30"/>
        <v>59</v>
      </c>
      <c r="U38" s="16">
        <f t="shared" si="30"/>
        <v>23</v>
      </c>
      <c r="V38" s="16">
        <f t="shared" si="30"/>
        <v>88</v>
      </c>
      <c r="W38" s="16">
        <f t="shared" si="30"/>
        <v>18</v>
      </c>
      <c r="X38" s="16">
        <f t="shared" si="30"/>
        <v>15</v>
      </c>
      <c r="Y38" s="16">
        <f t="shared" si="30"/>
        <v>37</v>
      </c>
      <c r="Z38" s="16">
        <f t="shared" si="30"/>
        <v>54</v>
      </c>
      <c r="AA38" s="16">
        <f t="shared" si="30"/>
        <v>21</v>
      </c>
      <c r="AB38" s="16">
        <f t="shared" si="30"/>
        <v>13</v>
      </c>
      <c r="AC38" s="16">
        <f t="shared" si="30"/>
        <v>1496</v>
      </c>
      <c r="AD38" s="16">
        <f t="shared" si="30"/>
        <v>0</v>
      </c>
      <c r="AE38" s="32">
        <f t="shared" si="30"/>
        <v>386</v>
      </c>
      <c r="AF38" s="32">
        <f t="shared" si="30"/>
        <v>1882</v>
      </c>
    </row>
    <row r="39" spans="2:32" ht="23.1" customHeight="1" x14ac:dyDescent="0.25">
      <c r="B39" s="46" t="s">
        <v>66</v>
      </c>
      <c r="C39" s="50">
        <v>7</v>
      </c>
      <c r="D39" s="50">
        <v>3</v>
      </c>
      <c r="E39" s="50">
        <v>3</v>
      </c>
      <c r="F39" s="50">
        <v>12</v>
      </c>
      <c r="G39" s="50">
        <v>0</v>
      </c>
      <c r="H39" s="50">
        <v>0</v>
      </c>
      <c r="I39" s="50">
        <v>4</v>
      </c>
      <c r="J39" s="50">
        <v>2</v>
      </c>
      <c r="K39" s="50">
        <v>0</v>
      </c>
      <c r="L39" s="50">
        <v>0</v>
      </c>
      <c r="M39" s="50">
        <v>75</v>
      </c>
      <c r="N39" s="50">
        <v>0</v>
      </c>
      <c r="O39" s="15">
        <f t="shared" si="0"/>
        <v>31</v>
      </c>
      <c r="P39" s="15">
        <f t="shared" si="1"/>
        <v>106</v>
      </c>
      <c r="R39" s="29" t="s">
        <v>87</v>
      </c>
      <c r="S39" s="16">
        <f t="shared" ref="S39:AF39" si="31">SUM(S19:S21)</f>
        <v>26</v>
      </c>
      <c r="T39" s="16">
        <f t="shared" si="31"/>
        <v>37</v>
      </c>
      <c r="U39" s="16">
        <f t="shared" si="31"/>
        <v>11</v>
      </c>
      <c r="V39" s="16">
        <f t="shared" si="31"/>
        <v>42</v>
      </c>
      <c r="W39" s="16">
        <f t="shared" si="31"/>
        <v>6</v>
      </c>
      <c r="X39" s="16">
        <f t="shared" si="31"/>
        <v>2</v>
      </c>
      <c r="Y39" s="16">
        <f t="shared" si="31"/>
        <v>10</v>
      </c>
      <c r="Z39" s="16">
        <f t="shared" si="31"/>
        <v>12</v>
      </c>
      <c r="AA39" s="16">
        <f t="shared" si="31"/>
        <v>4</v>
      </c>
      <c r="AB39" s="16">
        <f t="shared" si="31"/>
        <v>1</v>
      </c>
      <c r="AC39" s="16">
        <f t="shared" si="31"/>
        <v>652</v>
      </c>
      <c r="AD39" s="16">
        <f t="shared" si="31"/>
        <v>0</v>
      </c>
      <c r="AE39" s="32">
        <f t="shared" si="31"/>
        <v>151</v>
      </c>
      <c r="AF39" s="32">
        <f t="shared" si="31"/>
        <v>803</v>
      </c>
    </row>
    <row r="40" spans="2:32" ht="23.1" customHeight="1" x14ac:dyDescent="0.25">
      <c r="B40" s="46" t="s">
        <v>67</v>
      </c>
      <c r="C40" s="50">
        <v>2</v>
      </c>
      <c r="D40" s="50">
        <v>0</v>
      </c>
      <c r="E40" s="50">
        <v>0</v>
      </c>
      <c r="F40" s="50">
        <v>0</v>
      </c>
      <c r="G40" s="50">
        <v>0</v>
      </c>
      <c r="H40" s="50">
        <v>0</v>
      </c>
      <c r="I40" s="50">
        <v>1</v>
      </c>
      <c r="J40" s="50">
        <v>15</v>
      </c>
      <c r="K40" s="50">
        <v>3</v>
      </c>
      <c r="L40" s="50">
        <v>3</v>
      </c>
      <c r="M40" s="50">
        <v>40</v>
      </c>
      <c r="N40" s="50">
        <v>0</v>
      </c>
      <c r="O40" s="15">
        <f t="shared" si="0"/>
        <v>24</v>
      </c>
      <c r="P40" s="15">
        <f t="shared" si="1"/>
        <v>64</v>
      </c>
      <c r="R40" s="5" t="s">
        <v>17</v>
      </c>
      <c r="S40" s="16">
        <f t="shared" ref="S40:AF40" si="32">SUM(S10:S21)</f>
        <v>122</v>
      </c>
      <c r="T40" s="16">
        <f t="shared" si="32"/>
        <v>124</v>
      </c>
      <c r="U40" s="16">
        <f t="shared" si="32"/>
        <v>56</v>
      </c>
      <c r="V40" s="16">
        <f t="shared" si="32"/>
        <v>185</v>
      </c>
      <c r="W40" s="16">
        <f t="shared" si="32"/>
        <v>54</v>
      </c>
      <c r="X40" s="16">
        <f t="shared" si="32"/>
        <v>33</v>
      </c>
      <c r="Y40" s="16">
        <f t="shared" si="32"/>
        <v>67</v>
      </c>
      <c r="Z40" s="16">
        <f t="shared" si="32"/>
        <v>84</v>
      </c>
      <c r="AA40" s="16">
        <f t="shared" si="32"/>
        <v>36</v>
      </c>
      <c r="AB40" s="16">
        <f t="shared" si="32"/>
        <v>14</v>
      </c>
      <c r="AC40" s="16">
        <f t="shared" si="32"/>
        <v>2921</v>
      </c>
      <c r="AD40" s="16">
        <f t="shared" si="32"/>
        <v>1</v>
      </c>
      <c r="AE40" s="32">
        <f t="shared" si="32"/>
        <v>776</v>
      </c>
      <c r="AF40" s="32">
        <f t="shared" si="32"/>
        <v>3697</v>
      </c>
    </row>
    <row r="41" spans="2:32" ht="23.1" customHeight="1" x14ac:dyDescent="0.25">
      <c r="B41" s="45" t="s">
        <v>68</v>
      </c>
      <c r="C41" s="50">
        <v>2</v>
      </c>
      <c r="D41" s="50">
        <v>1</v>
      </c>
      <c r="E41" s="50">
        <v>1</v>
      </c>
      <c r="F41" s="50">
        <v>1</v>
      </c>
      <c r="G41" s="50">
        <v>0</v>
      </c>
      <c r="H41" s="50">
        <v>0</v>
      </c>
      <c r="I41" s="50">
        <v>1</v>
      </c>
      <c r="J41" s="50">
        <v>0</v>
      </c>
      <c r="K41" s="50">
        <v>0</v>
      </c>
      <c r="L41" s="50">
        <v>0</v>
      </c>
      <c r="M41" s="50">
        <v>35</v>
      </c>
      <c r="N41" s="50">
        <v>0</v>
      </c>
      <c r="O41" s="15">
        <f t="shared" si="0"/>
        <v>6</v>
      </c>
      <c r="P41" s="15">
        <f t="shared" si="1"/>
        <v>41</v>
      </c>
      <c r="R41" s="5" t="s">
        <v>159</v>
      </c>
      <c r="S41" s="16">
        <f>SUM(S10:S33)</f>
        <v>168</v>
      </c>
      <c r="T41" s="16">
        <f t="shared" ref="T41:AF41" si="33">SUM(T10:T33)</f>
        <v>160</v>
      </c>
      <c r="U41" s="16">
        <f t="shared" si="33"/>
        <v>78</v>
      </c>
      <c r="V41" s="16">
        <f t="shared" si="33"/>
        <v>240</v>
      </c>
      <c r="W41" s="16">
        <f t="shared" si="33"/>
        <v>54</v>
      </c>
      <c r="X41" s="16">
        <f t="shared" si="33"/>
        <v>34</v>
      </c>
      <c r="Y41" s="16">
        <f t="shared" si="33"/>
        <v>78</v>
      </c>
      <c r="Z41" s="16">
        <f t="shared" si="33"/>
        <v>94</v>
      </c>
      <c r="AA41" s="16">
        <f t="shared" si="33"/>
        <v>36</v>
      </c>
      <c r="AB41" s="16">
        <f t="shared" si="33"/>
        <v>14</v>
      </c>
      <c r="AC41" s="16">
        <f t="shared" si="33"/>
        <v>3850</v>
      </c>
      <c r="AD41" s="16">
        <f t="shared" si="33"/>
        <v>1</v>
      </c>
      <c r="AE41" s="32">
        <f t="shared" si="33"/>
        <v>957</v>
      </c>
      <c r="AF41" s="32">
        <f t="shared" si="33"/>
        <v>4807</v>
      </c>
    </row>
    <row r="42" spans="2:32" ht="23.1" customHeight="1" x14ac:dyDescent="0.25">
      <c r="B42" s="46" t="s">
        <v>69</v>
      </c>
      <c r="C42" s="50">
        <v>2</v>
      </c>
      <c r="D42" s="50">
        <v>2</v>
      </c>
      <c r="E42" s="50">
        <v>1</v>
      </c>
      <c r="F42" s="50">
        <v>3</v>
      </c>
      <c r="G42" s="50">
        <v>0</v>
      </c>
      <c r="H42" s="50">
        <v>0</v>
      </c>
      <c r="I42" s="50">
        <v>4</v>
      </c>
      <c r="J42" s="50">
        <v>2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14</v>
      </c>
      <c r="P42" s="15">
        <f t="shared" si="1"/>
        <v>84</v>
      </c>
      <c r="R42" s="5" t="s">
        <v>160</v>
      </c>
      <c r="S42" s="48">
        <f>S41/S40</f>
        <v>1.3770491803278688</v>
      </c>
      <c r="T42" s="48">
        <f t="shared" ref="T42:AF42" si="34">T41/T40</f>
        <v>1.2903225806451613</v>
      </c>
      <c r="U42" s="48">
        <f t="shared" si="34"/>
        <v>1.3928571428571428</v>
      </c>
      <c r="V42" s="48">
        <f t="shared" si="34"/>
        <v>1.2972972972972974</v>
      </c>
      <c r="W42" s="48">
        <f t="shared" si="34"/>
        <v>1</v>
      </c>
      <c r="X42" s="48">
        <f t="shared" si="34"/>
        <v>1.0303030303030303</v>
      </c>
      <c r="Y42" s="48">
        <f t="shared" si="34"/>
        <v>1.164179104477612</v>
      </c>
      <c r="Z42" s="48">
        <f t="shared" si="34"/>
        <v>1.1190476190476191</v>
      </c>
      <c r="AA42" s="48">
        <f t="shared" si="34"/>
        <v>1</v>
      </c>
      <c r="AB42" s="48">
        <f t="shared" si="34"/>
        <v>1</v>
      </c>
      <c r="AC42" s="48">
        <f t="shared" si="34"/>
        <v>1.3180417665183157</v>
      </c>
      <c r="AD42" s="48">
        <f t="shared" si="34"/>
        <v>1</v>
      </c>
      <c r="AE42" s="48">
        <f t="shared" si="34"/>
        <v>1.2332474226804124</v>
      </c>
      <c r="AF42" s="48">
        <f t="shared" si="34"/>
        <v>1.3002434406275358</v>
      </c>
    </row>
    <row r="43" spans="2:32" ht="23.1" customHeight="1" x14ac:dyDescent="0.25">
      <c r="B43" s="45" t="s">
        <v>70</v>
      </c>
      <c r="C43" s="50">
        <v>1</v>
      </c>
      <c r="D43" s="50">
        <v>4</v>
      </c>
      <c r="E43" s="50">
        <v>3</v>
      </c>
      <c r="F43" s="50">
        <v>1</v>
      </c>
      <c r="G43" s="50">
        <v>0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58</v>
      </c>
      <c r="N43" s="50">
        <v>0</v>
      </c>
      <c r="O43" s="15">
        <f t="shared" si="0"/>
        <v>12</v>
      </c>
      <c r="P43" s="15">
        <f t="shared" si="1"/>
        <v>70</v>
      </c>
    </row>
    <row r="44" spans="2:32" ht="23.1" customHeight="1" x14ac:dyDescent="0.25">
      <c r="B44" s="47" t="s">
        <v>71</v>
      </c>
      <c r="C44" s="50">
        <v>1</v>
      </c>
      <c r="D44" s="50">
        <v>0</v>
      </c>
      <c r="E44" s="50">
        <v>1</v>
      </c>
      <c r="F44" s="50">
        <v>1</v>
      </c>
      <c r="G44" s="50">
        <v>1</v>
      </c>
      <c r="H44" s="50">
        <v>2</v>
      </c>
      <c r="I44" s="50">
        <v>1</v>
      </c>
      <c r="J44" s="50">
        <v>0</v>
      </c>
      <c r="K44" s="50">
        <v>3</v>
      </c>
      <c r="L44" s="50">
        <v>0</v>
      </c>
      <c r="M44" s="50">
        <v>65</v>
      </c>
      <c r="N44" s="50">
        <v>0</v>
      </c>
      <c r="O44" s="15">
        <f t="shared" si="0"/>
        <v>10</v>
      </c>
      <c r="P44" s="15">
        <f t="shared" si="1"/>
        <v>75</v>
      </c>
    </row>
    <row r="45" spans="2:32" ht="23.1" customHeight="1" x14ac:dyDescent="0.25">
      <c r="B45" s="45" t="s">
        <v>72</v>
      </c>
      <c r="C45" s="50">
        <v>1</v>
      </c>
      <c r="D45" s="50">
        <v>5</v>
      </c>
      <c r="E45" s="50">
        <v>0</v>
      </c>
      <c r="F45" s="50">
        <v>0</v>
      </c>
      <c r="G45" s="50">
        <v>0</v>
      </c>
      <c r="H45" s="50">
        <v>0</v>
      </c>
      <c r="I45" s="50">
        <v>0</v>
      </c>
      <c r="J45" s="50">
        <v>1</v>
      </c>
      <c r="K45" s="50">
        <v>2</v>
      </c>
      <c r="L45" s="50">
        <v>0</v>
      </c>
      <c r="M45" s="50">
        <v>41</v>
      </c>
      <c r="N45" s="50">
        <v>0</v>
      </c>
      <c r="O45" s="15">
        <f t="shared" si="0"/>
        <v>9</v>
      </c>
      <c r="P45" s="15">
        <f t="shared" si="1"/>
        <v>50</v>
      </c>
    </row>
    <row r="46" spans="2:32" ht="23.1" customHeight="1" x14ac:dyDescent="0.25">
      <c r="B46" s="46" t="s">
        <v>73</v>
      </c>
      <c r="C46" s="50">
        <v>2</v>
      </c>
      <c r="D46" s="50">
        <v>7</v>
      </c>
      <c r="E46" s="50">
        <v>1</v>
      </c>
      <c r="F46" s="50">
        <v>1</v>
      </c>
      <c r="G46" s="50">
        <v>0</v>
      </c>
      <c r="H46" s="50">
        <v>0</v>
      </c>
      <c r="I46" s="50">
        <v>1</v>
      </c>
      <c r="J46" s="50">
        <v>1</v>
      </c>
      <c r="K46" s="50">
        <v>0</v>
      </c>
      <c r="L46" s="50">
        <v>0</v>
      </c>
      <c r="M46" s="50">
        <v>68</v>
      </c>
      <c r="N46" s="50">
        <v>0</v>
      </c>
      <c r="O46" s="15">
        <f t="shared" si="0"/>
        <v>13</v>
      </c>
      <c r="P46" s="15">
        <f t="shared" si="1"/>
        <v>81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3</v>
      </c>
      <c r="E47" s="50">
        <v>1</v>
      </c>
      <c r="F47" s="50">
        <v>3</v>
      </c>
      <c r="G47" s="50">
        <v>1</v>
      </c>
      <c r="H47" s="50">
        <v>0</v>
      </c>
      <c r="I47" s="50">
        <v>0</v>
      </c>
      <c r="J47" s="50">
        <v>0</v>
      </c>
      <c r="K47" s="50">
        <v>1</v>
      </c>
      <c r="L47" s="50">
        <v>0</v>
      </c>
      <c r="M47" s="50">
        <v>90</v>
      </c>
      <c r="N47" s="50">
        <v>0</v>
      </c>
      <c r="O47" s="15">
        <f t="shared" si="0"/>
        <v>11</v>
      </c>
      <c r="P47" s="15">
        <f t="shared" si="1"/>
        <v>101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2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1</v>
      </c>
      <c r="M48" s="50">
        <v>30</v>
      </c>
      <c r="N48" s="50">
        <v>0</v>
      </c>
      <c r="O48" s="15">
        <f t="shared" si="0"/>
        <v>4</v>
      </c>
      <c r="P48" s="15">
        <f t="shared" si="1"/>
        <v>34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5</v>
      </c>
      <c r="E49" s="50">
        <v>4</v>
      </c>
      <c r="F49" s="50">
        <v>2</v>
      </c>
      <c r="G49" s="50">
        <v>3</v>
      </c>
      <c r="H49" s="50">
        <v>1</v>
      </c>
      <c r="I49" s="50">
        <v>2</v>
      </c>
      <c r="J49" s="50">
        <v>1</v>
      </c>
      <c r="K49" s="50">
        <v>0</v>
      </c>
      <c r="L49" s="50">
        <v>0</v>
      </c>
      <c r="M49" s="50">
        <v>70</v>
      </c>
      <c r="N49" s="50">
        <v>0</v>
      </c>
      <c r="O49" s="15">
        <f t="shared" si="0"/>
        <v>20</v>
      </c>
      <c r="P49" s="15">
        <f t="shared" si="1"/>
        <v>90</v>
      </c>
      <c r="R49" s="8"/>
      <c r="T49"/>
    </row>
    <row r="50" spans="2:20" ht="23.1" customHeight="1" x14ac:dyDescent="0.25">
      <c r="B50" s="46" t="s">
        <v>77</v>
      </c>
      <c r="C50" s="50">
        <v>1</v>
      </c>
      <c r="D50" s="50">
        <v>4</v>
      </c>
      <c r="E50" s="50">
        <v>0</v>
      </c>
      <c r="F50" s="50">
        <v>4</v>
      </c>
      <c r="G50" s="50">
        <v>0</v>
      </c>
      <c r="H50" s="50">
        <v>0</v>
      </c>
      <c r="I50" s="50">
        <v>1</v>
      </c>
      <c r="J50" s="50">
        <v>3</v>
      </c>
      <c r="K50" s="50">
        <v>3</v>
      </c>
      <c r="L50" s="50">
        <v>0</v>
      </c>
      <c r="M50" s="50">
        <v>75</v>
      </c>
      <c r="N50" s="50">
        <v>0</v>
      </c>
      <c r="O50" s="15">
        <f t="shared" si="0"/>
        <v>16</v>
      </c>
      <c r="P50" s="15">
        <f t="shared" si="1"/>
        <v>91</v>
      </c>
      <c r="R50" s="8"/>
      <c r="T50"/>
    </row>
    <row r="51" spans="2:20" ht="23.1" customHeight="1" x14ac:dyDescent="0.25">
      <c r="B51" s="46" t="s">
        <v>78</v>
      </c>
      <c r="C51" s="50">
        <v>0</v>
      </c>
      <c r="D51" s="50">
        <v>4</v>
      </c>
      <c r="E51" s="50">
        <v>0</v>
      </c>
      <c r="F51" s="50">
        <v>2</v>
      </c>
      <c r="G51" s="50">
        <v>1</v>
      </c>
      <c r="H51" s="50">
        <v>1</v>
      </c>
      <c r="I51" s="50">
        <v>1</v>
      </c>
      <c r="J51" s="50">
        <v>0</v>
      </c>
      <c r="K51" s="50">
        <v>0</v>
      </c>
      <c r="L51" s="50">
        <v>0</v>
      </c>
      <c r="M51" s="50">
        <v>66</v>
      </c>
      <c r="N51" s="50">
        <v>0</v>
      </c>
      <c r="O51" s="15">
        <f t="shared" si="0"/>
        <v>9</v>
      </c>
      <c r="P51" s="15">
        <f t="shared" si="1"/>
        <v>75</v>
      </c>
      <c r="R51" s="8"/>
      <c r="T51"/>
    </row>
    <row r="52" spans="2:20" ht="23.1" customHeight="1" x14ac:dyDescent="0.25">
      <c r="B52" s="46" t="s">
        <v>79</v>
      </c>
      <c r="C52" s="50">
        <v>3</v>
      </c>
      <c r="D52" s="50">
        <v>2</v>
      </c>
      <c r="E52" s="50">
        <v>0</v>
      </c>
      <c r="F52" s="50">
        <v>9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55</v>
      </c>
      <c r="N52" s="50">
        <v>0</v>
      </c>
      <c r="O52" s="15">
        <f t="shared" si="0"/>
        <v>16</v>
      </c>
      <c r="P52" s="15">
        <f t="shared" si="1"/>
        <v>71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6</v>
      </c>
      <c r="E53" s="50">
        <v>5</v>
      </c>
      <c r="F53" s="50">
        <v>10</v>
      </c>
      <c r="G53" s="50">
        <v>1</v>
      </c>
      <c r="H53" s="50">
        <v>0</v>
      </c>
      <c r="I53" s="50">
        <v>1</v>
      </c>
      <c r="J53" s="50">
        <v>3</v>
      </c>
      <c r="K53" s="50">
        <v>0</v>
      </c>
      <c r="L53" s="50">
        <v>0</v>
      </c>
      <c r="M53" s="50">
        <v>88</v>
      </c>
      <c r="N53" s="50">
        <v>0</v>
      </c>
      <c r="O53" s="15">
        <f t="shared" si="0"/>
        <v>31</v>
      </c>
      <c r="P53" s="15">
        <f t="shared" si="1"/>
        <v>119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2</v>
      </c>
      <c r="E54" s="50">
        <v>0</v>
      </c>
      <c r="F54" s="50">
        <v>5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25</v>
      </c>
      <c r="N54" s="50">
        <v>0</v>
      </c>
      <c r="O54" s="15">
        <f t="shared" si="0"/>
        <v>12</v>
      </c>
      <c r="P54" s="15">
        <f t="shared" si="1"/>
        <v>37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1</v>
      </c>
      <c r="E55" s="50">
        <v>0</v>
      </c>
      <c r="F55" s="50">
        <v>3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40</v>
      </c>
      <c r="N55" s="50">
        <v>0</v>
      </c>
      <c r="O55" s="15">
        <f t="shared" si="0"/>
        <v>10</v>
      </c>
      <c r="P55" s="15">
        <f t="shared" si="1"/>
        <v>50</v>
      </c>
      <c r="R55" s="8"/>
      <c r="T55"/>
    </row>
    <row r="56" spans="2:20" ht="23.1" customHeight="1" x14ac:dyDescent="0.25">
      <c r="B56" s="45" t="s">
        <v>83</v>
      </c>
      <c r="C56" s="50">
        <v>2</v>
      </c>
      <c r="D56" s="50">
        <v>1</v>
      </c>
      <c r="E56" s="50">
        <v>0</v>
      </c>
      <c r="F56" s="50">
        <v>0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20</v>
      </c>
      <c r="N56" s="50">
        <v>0</v>
      </c>
      <c r="O56" s="15">
        <f t="shared" si="0"/>
        <v>5</v>
      </c>
      <c r="P56" s="15">
        <f t="shared" si="1"/>
        <v>25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0</v>
      </c>
      <c r="E57" s="50">
        <v>0</v>
      </c>
      <c r="F57" s="50">
        <v>3</v>
      </c>
      <c r="G57" s="50">
        <v>0</v>
      </c>
      <c r="H57" s="50">
        <v>0</v>
      </c>
      <c r="I57" s="50">
        <v>0</v>
      </c>
      <c r="J57" s="50">
        <v>0</v>
      </c>
      <c r="K57" s="50">
        <v>0</v>
      </c>
      <c r="L57" s="50">
        <v>0</v>
      </c>
      <c r="M57" s="50">
        <v>25</v>
      </c>
      <c r="N57" s="50">
        <v>0</v>
      </c>
      <c r="O57" s="15">
        <f t="shared" si="0"/>
        <v>4</v>
      </c>
      <c r="P57" s="15">
        <f t="shared" si="1"/>
        <v>29</v>
      </c>
      <c r="R57" s="8"/>
      <c r="T57"/>
    </row>
    <row r="58" spans="2:20" ht="23.1" customHeight="1" x14ac:dyDescent="0.25">
      <c r="B58" s="45" t="s">
        <v>99</v>
      </c>
      <c r="C58" s="50">
        <v>2</v>
      </c>
      <c r="D58" s="50">
        <v>1</v>
      </c>
      <c r="E58" s="50">
        <v>0</v>
      </c>
      <c r="F58" s="50">
        <v>0</v>
      </c>
      <c r="G58" s="50">
        <v>0</v>
      </c>
      <c r="H58" s="50">
        <v>0</v>
      </c>
      <c r="I58" s="50">
        <v>1</v>
      </c>
      <c r="J58" s="50">
        <v>0</v>
      </c>
      <c r="K58" s="50">
        <v>0</v>
      </c>
      <c r="L58" s="50">
        <v>0</v>
      </c>
      <c r="M58" s="50">
        <v>35</v>
      </c>
      <c r="N58" s="50">
        <v>0</v>
      </c>
      <c r="O58" s="15">
        <f t="shared" ref="O58:O105" si="35">SUM(C58:L58,N58)</f>
        <v>4</v>
      </c>
      <c r="P58" s="15">
        <f t="shared" ref="P58:P105" si="36">SUM(C58:N58)</f>
        <v>39</v>
      </c>
      <c r="R58" s="8"/>
      <c r="T58"/>
    </row>
    <row r="59" spans="2:20" ht="23.1" customHeight="1" x14ac:dyDescent="0.25">
      <c r="B59" s="45" t="s">
        <v>100</v>
      </c>
      <c r="C59" s="50">
        <v>3</v>
      </c>
      <c r="D59" s="50">
        <v>2</v>
      </c>
      <c r="E59" s="50">
        <v>0</v>
      </c>
      <c r="F59" s="50">
        <v>1</v>
      </c>
      <c r="G59" s="50">
        <v>0</v>
      </c>
      <c r="H59" s="50">
        <v>0</v>
      </c>
      <c r="I59" s="50">
        <v>0</v>
      </c>
      <c r="J59" s="50">
        <v>0</v>
      </c>
      <c r="K59" s="50">
        <v>0</v>
      </c>
      <c r="L59" s="50">
        <v>0</v>
      </c>
      <c r="M59" s="50">
        <v>25</v>
      </c>
      <c r="N59" s="50">
        <v>0</v>
      </c>
      <c r="O59" s="15">
        <f t="shared" si="35"/>
        <v>6</v>
      </c>
      <c r="P59" s="15">
        <f t="shared" si="36"/>
        <v>31</v>
      </c>
      <c r="R59" s="8"/>
      <c r="T59"/>
    </row>
    <row r="60" spans="2:20" ht="23.1" customHeight="1" x14ac:dyDescent="0.25">
      <c r="B60" s="45" t="s">
        <v>101</v>
      </c>
      <c r="C60" s="50">
        <v>2</v>
      </c>
      <c r="D60" s="50">
        <v>1</v>
      </c>
      <c r="E60" s="50">
        <v>0</v>
      </c>
      <c r="F60" s="50">
        <v>3</v>
      </c>
      <c r="G60" s="50">
        <v>0</v>
      </c>
      <c r="H60" s="50">
        <v>0</v>
      </c>
      <c r="I60" s="50">
        <v>0</v>
      </c>
      <c r="J60" s="50">
        <v>1</v>
      </c>
      <c r="K60" s="50">
        <v>0</v>
      </c>
      <c r="L60" s="50">
        <v>0</v>
      </c>
      <c r="M60" s="50">
        <v>30</v>
      </c>
      <c r="N60" s="50">
        <v>0</v>
      </c>
      <c r="O60" s="15">
        <f t="shared" si="35"/>
        <v>7</v>
      </c>
      <c r="P60" s="15">
        <f t="shared" si="36"/>
        <v>37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2</v>
      </c>
      <c r="E61" s="50">
        <v>1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40</v>
      </c>
      <c r="N61" s="50">
        <v>0</v>
      </c>
      <c r="O61" s="15">
        <f t="shared" si="35"/>
        <v>4</v>
      </c>
      <c r="P61" s="15">
        <f t="shared" si="36"/>
        <v>44</v>
      </c>
      <c r="R61" s="8"/>
      <c r="T61"/>
    </row>
    <row r="62" spans="2:20" ht="23.1" customHeight="1" x14ac:dyDescent="0.25">
      <c r="B62" s="45" t="s">
        <v>107</v>
      </c>
      <c r="C62" s="50">
        <v>2</v>
      </c>
      <c r="D62" s="50">
        <v>1</v>
      </c>
      <c r="E62" s="50">
        <v>0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25</v>
      </c>
      <c r="N62" s="50">
        <v>0</v>
      </c>
      <c r="O62" s="15">
        <f t="shared" si="35"/>
        <v>5</v>
      </c>
      <c r="P62" s="15">
        <f t="shared" si="36"/>
        <v>30</v>
      </c>
      <c r="R62" s="8"/>
      <c r="T62"/>
    </row>
    <row r="63" spans="2:20" ht="23.1" customHeight="1" x14ac:dyDescent="0.25">
      <c r="B63" s="45" t="s">
        <v>108</v>
      </c>
      <c r="C63" s="50">
        <v>3</v>
      </c>
      <c r="D63" s="50">
        <v>0</v>
      </c>
      <c r="E63" s="50">
        <v>0</v>
      </c>
      <c r="F63" s="50">
        <v>0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40</v>
      </c>
      <c r="N63" s="50">
        <v>0</v>
      </c>
      <c r="O63" s="15">
        <f t="shared" si="35"/>
        <v>4</v>
      </c>
      <c r="P63" s="15">
        <f t="shared" si="36"/>
        <v>44</v>
      </c>
      <c r="R63" s="8"/>
      <c r="T63"/>
    </row>
    <row r="64" spans="2:20" ht="23.1" customHeight="1" x14ac:dyDescent="0.25">
      <c r="B64" s="45" t="s">
        <v>109</v>
      </c>
      <c r="C64" s="50">
        <v>0</v>
      </c>
      <c r="D64" s="50">
        <v>2</v>
      </c>
      <c r="E64" s="50">
        <v>1</v>
      </c>
      <c r="F64" s="50">
        <v>3</v>
      </c>
      <c r="G64" s="50">
        <v>0</v>
      </c>
      <c r="H64" s="50">
        <v>0</v>
      </c>
      <c r="I64" s="50">
        <v>1</v>
      </c>
      <c r="J64" s="50">
        <v>0</v>
      </c>
      <c r="K64" s="50">
        <v>0</v>
      </c>
      <c r="L64" s="50">
        <v>0</v>
      </c>
      <c r="M64" s="50">
        <v>22</v>
      </c>
      <c r="N64" s="50">
        <v>0</v>
      </c>
      <c r="O64" s="15">
        <f t="shared" si="35"/>
        <v>7</v>
      </c>
      <c r="P64" s="15">
        <f t="shared" si="36"/>
        <v>29</v>
      </c>
      <c r="R64" s="8"/>
      <c r="T64"/>
    </row>
    <row r="65" spans="2:20" ht="23.1" customHeight="1" x14ac:dyDescent="0.25">
      <c r="B65" s="45" t="s">
        <v>158</v>
      </c>
      <c r="C65" s="50">
        <v>1</v>
      </c>
      <c r="D65" s="50">
        <v>0</v>
      </c>
      <c r="E65" s="50">
        <v>2</v>
      </c>
      <c r="F65" s="50">
        <v>2</v>
      </c>
      <c r="G65" s="50">
        <v>0</v>
      </c>
      <c r="H65" s="50">
        <v>0</v>
      </c>
      <c r="I65" s="50">
        <v>1</v>
      </c>
      <c r="J65" s="50">
        <v>0</v>
      </c>
      <c r="K65" s="50">
        <v>0</v>
      </c>
      <c r="L65" s="50">
        <v>0</v>
      </c>
      <c r="M65" s="50">
        <v>25</v>
      </c>
      <c r="N65" s="50">
        <v>0</v>
      </c>
      <c r="O65" s="15">
        <f t="shared" si="35"/>
        <v>6</v>
      </c>
      <c r="P65" s="15">
        <f t="shared" si="36"/>
        <v>31</v>
      </c>
      <c r="R65" s="8"/>
      <c r="T65"/>
    </row>
    <row r="66" spans="2:20" ht="23.1" customHeight="1" x14ac:dyDescent="0.25">
      <c r="B66" s="45" t="s">
        <v>103</v>
      </c>
      <c r="C66" s="50">
        <v>4</v>
      </c>
      <c r="D66" s="50">
        <v>0</v>
      </c>
      <c r="E66" s="50">
        <v>2</v>
      </c>
      <c r="F66" s="50">
        <v>5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50</v>
      </c>
      <c r="N66" s="50">
        <v>0</v>
      </c>
      <c r="O66" s="15">
        <f t="shared" si="35"/>
        <v>11</v>
      </c>
      <c r="P66" s="15">
        <f t="shared" si="36"/>
        <v>61</v>
      </c>
      <c r="R66" s="8"/>
      <c r="T66"/>
    </row>
    <row r="67" spans="2:20" ht="23.1" customHeight="1" x14ac:dyDescent="0.25">
      <c r="B67" s="45" t="s">
        <v>104</v>
      </c>
      <c r="C67" s="50">
        <v>2</v>
      </c>
      <c r="D67" s="50">
        <v>1</v>
      </c>
      <c r="E67" s="50">
        <v>0</v>
      </c>
      <c r="F67" s="50">
        <v>3</v>
      </c>
      <c r="G67" s="50">
        <v>0</v>
      </c>
      <c r="H67" s="50">
        <v>0</v>
      </c>
      <c r="I67" s="50">
        <v>0</v>
      </c>
      <c r="J67" s="50">
        <v>1</v>
      </c>
      <c r="K67" s="50">
        <v>0</v>
      </c>
      <c r="L67" s="50">
        <v>0</v>
      </c>
      <c r="M67" s="50">
        <v>55</v>
      </c>
      <c r="N67" s="50">
        <v>0</v>
      </c>
      <c r="O67" s="15">
        <f t="shared" si="35"/>
        <v>7</v>
      </c>
      <c r="P67" s="15">
        <f t="shared" si="36"/>
        <v>62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1</v>
      </c>
      <c r="E68" s="50">
        <v>1</v>
      </c>
      <c r="F68" s="50">
        <v>2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50</v>
      </c>
      <c r="N68" s="50">
        <v>0</v>
      </c>
      <c r="O68" s="15">
        <f t="shared" si="35"/>
        <v>7</v>
      </c>
      <c r="P68" s="15">
        <f t="shared" si="36"/>
        <v>57</v>
      </c>
      <c r="R68" s="8"/>
      <c r="T68"/>
    </row>
    <row r="69" spans="2:20" ht="23.1" customHeight="1" x14ac:dyDescent="0.25">
      <c r="B69" s="45" t="s">
        <v>106</v>
      </c>
      <c r="C69" s="50">
        <v>1</v>
      </c>
      <c r="D69" s="50">
        <v>1</v>
      </c>
      <c r="E69" s="50">
        <v>3</v>
      </c>
      <c r="F69" s="50">
        <v>3</v>
      </c>
      <c r="G69" s="50">
        <v>0</v>
      </c>
      <c r="H69" s="50">
        <v>0</v>
      </c>
      <c r="I69" s="50">
        <v>0</v>
      </c>
      <c r="J69" s="50">
        <v>0</v>
      </c>
      <c r="K69" s="50">
        <v>0</v>
      </c>
      <c r="L69" s="50">
        <v>0</v>
      </c>
      <c r="M69" s="50">
        <v>40</v>
      </c>
      <c r="N69" s="50">
        <v>0</v>
      </c>
      <c r="O69" s="15">
        <f t="shared" si="35"/>
        <v>8</v>
      </c>
      <c r="P69" s="15">
        <f t="shared" si="36"/>
        <v>48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1</v>
      </c>
      <c r="E70" s="50">
        <v>0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50</v>
      </c>
      <c r="N70" s="50">
        <v>0</v>
      </c>
      <c r="O70" s="15">
        <f t="shared" si="35"/>
        <v>3</v>
      </c>
      <c r="P70" s="15">
        <f t="shared" si="36"/>
        <v>53</v>
      </c>
      <c r="R70" s="8"/>
      <c r="T70"/>
    </row>
    <row r="71" spans="2:20" ht="23.1" customHeight="1" x14ac:dyDescent="0.25">
      <c r="B71" s="45" t="s">
        <v>111</v>
      </c>
      <c r="C71" s="50">
        <v>2</v>
      </c>
      <c r="D71" s="50">
        <v>2</v>
      </c>
      <c r="E71" s="50">
        <v>1</v>
      </c>
      <c r="F71" s="50">
        <v>4</v>
      </c>
      <c r="G71" s="50">
        <v>0</v>
      </c>
      <c r="H71" s="50">
        <v>0</v>
      </c>
      <c r="I71" s="50">
        <v>0</v>
      </c>
      <c r="J71" s="50">
        <v>0</v>
      </c>
      <c r="K71" s="50">
        <v>0</v>
      </c>
      <c r="L71" s="50">
        <v>0</v>
      </c>
      <c r="M71" s="50">
        <v>55</v>
      </c>
      <c r="N71" s="50">
        <v>0</v>
      </c>
      <c r="O71" s="15">
        <f t="shared" si="35"/>
        <v>9</v>
      </c>
      <c r="P71" s="15">
        <f t="shared" si="36"/>
        <v>64</v>
      </c>
      <c r="R71" s="8"/>
      <c r="T71"/>
    </row>
    <row r="72" spans="2:20" ht="23.1" customHeight="1" x14ac:dyDescent="0.25">
      <c r="B72" s="45" t="s">
        <v>112</v>
      </c>
      <c r="C72" s="50">
        <v>1</v>
      </c>
      <c r="D72" s="50">
        <v>1</v>
      </c>
      <c r="E72" s="50">
        <v>0</v>
      </c>
      <c r="F72" s="50">
        <v>3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50</v>
      </c>
      <c r="N72" s="50">
        <v>0</v>
      </c>
      <c r="O72" s="15">
        <f t="shared" si="35"/>
        <v>5</v>
      </c>
      <c r="P72" s="15">
        <f t="shared" si="36"/>
        <v>55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2</v>
      </c>
      <c r="E73" s="50">
        <v>0</v>
      </c>
      <c r="F73" s="50">
        <v>4</v>
      </c>
      <c r="G73" s="50">
        <v>0</v>
      </c>
      <c r="H73" s="50">
        <v>0</v>
      </c>
      <c r="I73" s="50">
        <v>0</v>
      </c>
      <c r="J73" s="50">
        <v>1</v>
      </c>
      <c r="K73" s="50">
        <v>0</v>
      </c>
      <c r="L73" s="50">
        <v>0</v>
      </c>
      <c r="M73" s="50">
        <v>45</v>
      </c>
      <c r="N73" s="50">
        <v>0</v>
      </c>
      <c r="O73" s="15">
        <f t="shared" si="35"/>
        <v>9</v>
      </c>
      <c r="P73" s="15">
        <f t="shared" si="36"/>
        <v>54</v>
      </c>
      <c r="R73" s="8"/>
      <c r="T73"/>
    </row>
    <row r="74" spans="2:20" ht="23.1" customHeight="1" x14ac:dyDescent="0.25">
      <c r="B74" s="45" t="s">
        <v>114</v>
      </c>
      <c r="C74" s="50">
        <v>2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25</v>
      </c>
      <c r="N74" s="50">
        <v>0</v>
      </c>
      <c r="O74" s="15">
        <f t="shared" si="35"/>
        <v>4</v>
      </c>
      <c r="P74" s="15">
        <f t="shared" si="36"/>
        <v>29</v>
      </c>
      <c r="R74" s="8"/>
      <c r="T74"/>
    </row>
    <row r="75" spans="2:20" ht="23.1" customHeight="1" x14ac:dyDescent="0.25">
      <c r="B75" s="45" t="s">
        <v>115</v>
      </c>
      <c r="C75" s="50">
        <v>1</v>
      </c>
      <c r="D75" s="50">
        <v>1</v>
      </c>
      <c r="E75" s="50">
        <v>0</v>
      </c>
      <c r="F75" s="50">
        <v>0</v>
      </c>
      <c r="G75" s="50">
        <v>0</v>
      </c>
      <c r="H75" s="50">
        <v>0</v>
      </c>
      <c r="I75" s="50">
        <v>0</v>
      </c>
      <c r="J75" s="50">
        <v>0</v>
      </c>
      <c r="K75" s="50">
        <v>0</v>
      </c>
      <c r="L75" s="50">
        <v>0</v>
      </c>
      <c r="M75" s="50">
        <v>27</v>
      </c>
      <c r="N75" s="50">
        <v>0</v>
      </c>
      <c r="O75" s="15">
        <f t="shared" si="35"/>
        <v>2</v>
      </c>
      <c r="P75" s="15">
        <f t="shared" si="36"/>
        <v>29</v>
      </c>
      <c r="R75" s="8"/>
      <c r="T75"/>
    </row>
    <row r="76" spans="2:20" ht="23.1" customHeight="1" x14ac:dyDescent="0.25">
      <c r="B76" s="45" t="s">
        <v>116</v>
      </c>
      <c r="C76" s="50">
        <v>2</v>
      </c>
      <c r="D76" s="50">
        <v>1</v>
      </c>
      <c r="E76" s="50">
        <v>0</v>
      </c>
      <c r="F76" s="50">
        <v>3</v>
      </c>
      <c r="G76" s="50">
        <v>0</v>
      </c>
      <c r="H76" s="50">
        <v>0</v>
      </c>
      <c r="I76" s="50">
        <v>0</v>
      </c>
      <c r="J76" s="50">
        <v>0</v>
      </c>
      <c r="K76" s="50">
        <v>0</v>
      </c>
      <c r="L76" s="50">
        <v>0</v>
      </c>
      <c r="M76" s="50">
        <v>23</v>
      </c>
      <c r="N76" s="50">
        <v>0</v>
      </c>
      <c r="O76" s="15">
        <f t="shared" si="35"/>
        <v>6</v>
      </c>
      <c r="P76" s="15">
        <f t="shared" si="36"/>
        <v>29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2</v>
      </c>
      <c r="E77" s="50">
        <v>1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20</v>
      </c>
      <c r="N77" s="50">
        <v>0</v>
      </c>
      <c r="O77" s="15">
        <f t="shared" si="35"/>
        <v>4</v>
      </c>
      <c r="P77" s="15">
        <f t="shared" si="36"/>
        <v>24</v>
      </c>
      <c r="R77" s="8"/>
      <c r="T77"/>
    </row>
    <row r="78" spans="2:20" ht="23.1" customHeight="1" x14ac:dyDescent="0.25">
      <c r="B78" s="46" t="s">
        <v>118</v>
      </c>
      <c r="C78" s="50">
        <v>2</v>
      </c>
      <c r="D78" s="50">
        <v>1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20</v>
      </c>
      <c r="N78" s="50">
        <v>0</v>
      </c>
      <c r="O78" s="15">
        <f t="shared" si="35"/>
        <v>3</v>
      </c>
      <c r="P78" s="15">
        <f t="shared" si="36"/>
        <v>23</v>
      </c>
      <c r="R78" s="8"/>
      <c r="T78"/>
    </row>
    <row r="79" spans="2:20" ht="23.1" customHeight="1" x14ac:dyDescent="0.25">
      <c r="B79" s="45" t="s">
        <v>119</v>
      </c>
      <c r="C79" s="50">
        <v>1</v>
      </c>
      <c r="D79" s="50">
        <v>1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23</v>
      </c>
      <c r="N79" s="50">
        <v>0</v>
      </c>
      <c r="O79" s="15">
        <f t="shared" si="35"/>
        <v>3</v>
      </c>
      <c r="P79" s="15">
        <f t="shared" si="36"/>
        <v>26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2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17</v>
      </c>
      <c r="N80" s="50">
        <v>0</v>
      </c>
      <c r="O80" s="15">
        <f t="shared" si="35"/>
        <v>5</v>
      </c>
      <c r="P80" s="15">
        <f t="shared" si="36"/>
        <v>22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0</v>
      </c>
      <c r="F81" s="50">
        <v>0</v>
      </c>
      <c r="G81" s="50">
        <v>0</v>
      </c>
      <c r="H81" s="50">
        <v>0</v>
      </c>
      <c r="I81" s="50">
        <v>0</v>
      </c>
      <c r="J81" s="50">
        <v>0</v>
      </c>
      <c r="K81" s="50">
        <v>0</v>
      </c>
      <c r="L81" s="50">
        <v>0</v>
      </c>
      <c r="M81" s="50">
        <v>15</v>
      </c>
      <c r="N81" s="50">
        <v>0</v>
      </c>
      <c r="O81" s="15">
        <f t="shared" si="35"/>
        <v>1</v>
      </c>
      <c r="P81" s="15">
        <f t="shared" si="36"/>
        <v>16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2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12</v>
      </c>
      <c r="N82" s="50">
        <v>0</v>
      </c>
      <c r="O82" s="15">
        <f t="shared" si="35"/>
        <v>4</v>
      </c>
      <c r="P82" s="15">
        <f t="shared" si="36"/>
        <v>16</v>
      </c>
      <c r="R82" s="8"/>
      <c r="T82"/>
    </row>
    <row r="83" spans="2:20" ht="23.1" customHeight="1" x14ac:dyDescent="0.25">
      <c r="B83" s="45" t="s">
        <v>123</v>
      </c>
      <c r="C83" s="50">
        <v>1</v>
      </c>
      <c r="D83" s="50">
        <v>1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10</v>
      </c>
      <c r="N83" s="50">
        <v>0</v>
      </c>
      <c r="O83" s="15">
        <f t="shared" si="35"/>
        <v>3</v>
      </c>
      <c r="P83" s="15">
        <f t="shared" si="36"/>
        <v>13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1</v>
      </c>
      <c r="E84" s="50">
        <v>1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11</v>
      </c>
      <c r="N84" s="50">
        <v>0</v>
      </c>
      <c r="O84" s="15">
        <f t="shared" si="35"/>
        <v>2</v>
      </c>
      <c r="P84" s="15">
        <f t="shared" si="36"/>
        <v>13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9</v>
      </c>
      <c r="N85" s="50">
        <v>0</v>
      </c>
      <c r="O85" s="15">
        <f t="shared" si="35"/>
        <v>0</v>
      </c>
      <c r="P85" s="15">
        <f t="shared" si="36"/>
        <v>9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1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6</v>
      </c>
      <c r="N86" s="50">
        <v>0</v>
      </c>
      <c r="O86" s="15">
        <f t="shared" si="35"/>
        <v>1</v>
      </c>
      <c r="P86" s="15">
        <f t="shared" si="36"/>
        <v>7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5</v>
      </c>
      <c r="N87" s="50">
        <v>0</v>
      </c>
      <c r="O87" s="15">
        <f t="shared" si="35"/>
        <v>1</v>
      </c>
      <c r="P87" s="15">
        <f t="shared" si="36"/>
        <v>6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4</v>
      </c>
      <c r="N88" s="50">
        <v>0</v>
      </c>
      <c r="O88" s="15">
        <f t="shared" si="35"/>
        <v>0</v>
      </c>
      <c r="P88" s="15">
        <f t="shared" si="36"/>
        <v>4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0</v>
      </c>
      <c r="M89" s="50">
        <v>4</v>
      </c>
      <c r="N89" s="50">
        <v>0</v>
      </c>
      <c r="O89" s="15">
        <f t="shared" si="35"/>
        <v>0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0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1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1</v>
      </c>
      <c r="P90" s="15">
        <f t="shared" si="36"/>
        <v>4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1</v>
      </c>
      <c r="J91" s="50">
        <v>0</v>
      </c>
      <c r="K91" s="50">
        <v>0</v>
      </c>
      <c r="L91" s="50">
        <v>0</v>
      </c>
      <c r="M91" s="50">
        <v>3</v>
      </c>
      <c r="N91" s="50">
        <v>0</v>
      </c>
      <c r="O91" s="15">
        <f t="shared" si="35"/>
        <v>1</v>
      </c>
      <c r="P91" s="15">
        <f t="shared" si="36"/>
        <v>4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2</v>
      </c>
      <c r="N92" s="50">
        <v>0</v>
      </c>
      <c r="O92" s="15">
        <f t="shared" si="35"/>
        <v>1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0</v>
      </c>
      <c r="E93" s="50">
        <v>0</v>
      </c>
      <c r="F93" s="50">
        <v>0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1</v>
      </c>
      <c r="N93" s="50">
        <v>0</v>
      </c>
      <c r="O93" s="15">
        <f t="shared" si="35"/>
        <v>1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2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2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0</v>
      </c>
      <c r="P95" s="15">
        <f t="shared" si="36"/>
        <v>0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1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1</v>
      </c>
      <c r="P96" s="15">
        <f t="shared" si="36"/>
        <v>2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1</v>
      </c>
      <c r="I97" s="50">
        <v>0</v>
      </c>
      <c r="J97" s="50">
        <v>0</v>
      </c>
      <c r="K97" s="50">
        <v>0</v>
      </c>
      <c r="L97" s="50">
        <v>0</v>
      </c>
      <c r="M97" s="50">
        <v>1</v>
      </c>
      <c r="N97" s="50">
        <v>0</v>
      </c>
      <c r="O97" s="15">
        <f t="shared" si="35"/>
        <v>1</v>
      </c>
      <c r="P97" s="15">
        <f t="shared" si="36"/>
        <v>2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1</v>
      </c>
      <c r="E98" s="50">
        <v>2</v>
      </c>
      <c r="F98" s="50">
        <v>2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4</v>
      </c>
      <c r="N98" s="50">
        <v>0</v>
      </c>
      <c r="O98" s="15">
        <f t="shared" si="35"/>
        <v>5</v>
      </c>
      <c r="P98" s="15">
        <f t="shared" si="36"/>
        <v>9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1</v>
      </c>
      <c r="P99" s="15">
        <f t="shared" si="36"/>
        <v>6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0</v>
      </c>
      <c r="G100" s="50">
        <v>0</v>
      </c>
      <c r="H100" s="50">
        <v>0</v>
      </c>
      <c r="I100" s="50">
        <v>0</v>
      </c>
      <c r="J100" s="50">
        <v>1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1</v>
      </c>
      <c r="P100" s="15">
        <f t="shared" si="36"/>
        <v>3</v>
      </c>
      <c r="R100" s="8"/>
      <c r="T100"/>
    </row>
    <row r="101" spans="2:20" ht="23.1" customHeight="1" x14ac:dyDescent="0.25">
      <c r="B101" s="45" t="s">
        <v>141</v>
      </c>
      <c r="C101" s="50">
        <v>1</v>
      </c>
      <c r="D101" s="50">
        <v>0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1</v>
      </c>
      <c r="N101" s="50">
        <v>0</v>
      </c>
      <c r="O101" s="15">
        <f t="shared" si="35"/>
        <v>1</v>
      </c>
      <c r="P101" s="15">
        <f t="shared" si="36"/>
        <v>2</v>
      </c>
      <c r="R101" s="8"/>
      <c r="T101"/>
    </row>
    <row r="102" spans="2:20" ht="23.1" customHeight="1" x14ac:dyDescent="0.25">
      <c r="B102" s="46" t="s">
        <v>142</v>
      </c>
      <c r="C102" s="50">
        <v>0</v>
      </c>
      <c r="D102" s="50">
        <v>2</v>
      </c>
      <c r="E102" s="50">
        <v>1</v>
      </c>
      <c r="F102" s="50">
        <v>4</v>
      </c>
      <c r="G102" s="50">
        <v>0</v>
      </c>
      <c r="H102" s="50">
        <v>0</v>
      </c>
      <c r="I102" s="50">
        <v>1</v>
      </c>
      <c r="J102" s="50">
        <v>0</v>
      </c>
      <c r="K102" s="50">
        <v>0</v>
      </c>
      <c r="L102" s="50">
        <v>0</v>
      </c>
      <c r="M102" s="50">
        <v>15</v>
      </c>
      <c r="N102" s="50">
        <v>0</v>
      </c>
      <c r="O102" s="15">
        <f t="shared" si="35"/>
        <v>8</v>
      </c>
      <c r="P102" s="15">
        <f t="shared" si="36"/>
        <v>23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0</v>
      </c>
      <c r="E103" s="50">
        <v>0</v>
      </c>
      <c r="F103" s="50">
        <v>0</v>
      </c>
      <c r="G103" s="50">
        <v>0</v>
      </c>
      <c r="H103" s="50">
        <v>0</v>
      </c>
      <c r="I103" s="50">
        <v>1</v>
      </c>
      <c r="J103" s="50">
        <v>2</v>
      </c>
      <c r="K103" s="50">
        <v>0</v>
      </c>
      <c r="L103" s="50">
        <v>0</v>
      </c>
      <c r="M103" s="50">
        <v>8</v>
      </c>
      <c r="N103" s="50">
        <v>0</v>
      </c>
      <c r="O103" s="15">
        <f t="shared" si="35"/>
        <v>5</v>
      </c>
      <c r="P103" s="15">
        <f t="shared" si="36"/>
        <v>13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10</v>
      </c>
      <c r="N104" s="50">
        <v>0</v>
      </c>
      <c r="O104" s="15">
        <f t="shared" si="35"/>
        <v>3</v>
      </c>
      <c r="P104" s="15">
        <f t="shared" si="36"/>
        <v>13</v>
      </c>
      <c r="R104" s="8"/>
      <c r="T104"/>
    </row>
    <row r="105" spans="2:20" ht="23.1" customHeight="1" x14ac:dyDescent="0.25">
      <c r="B105" s="45" t="s">
        <v>145</v>
      </c>
      <c r="C105" s="50">
        <v>1</v>
      </c>
      <c r="D105" s="50">
        <v>2</v>
      </c>
      <c r="E105" s="50">
        <v>0</v>
      </c>
      <c r="F105" s="50">
        <v>5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5</v>
      </c>
      <c r="N105" s="50">
        <v>0</v>
      </c>
      <c r="O105" s="15">
        <f t="shared" si="35"/>
        <v>8</v>
      </c>
      <c r="P105" s="15">
        <f t="shared" si="36"/>
        <v>13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168</v>
      </c>
      <c r="D106" s="16">
        <f t="shared" ref="D106:P106" si="37">SUM(D10:D105)</f>
        <v>160</v>
      </c>
      <c r="E106" s="16">
        <f t="shared" si="37"/>
        <v>78</v>
      </c>
      <c r="F106" s="16">
        <f t="shared" si="37"/>
        <v>240</v>
      </c>
      <c r="G106" s="16">
        <f t="shared" si="37"/>
        <v>54</v>
      </c>
      <c r="H106" s="16">
        <f t="shared" si="37"/>
        <v>34</v>
      </c>
      <c r="I106" s="16">
        <f t="shared" si="37"/>
        <v>78</v>
      </c>
      <c r="J106" s="16">
        <f t="shared" si="37"/>
        <v>94</v>
      </c>
      <c r="K106" s="16">
        <f t="shared" si="37"/>
        <v>36</v>
      </c>
      <c r="L106" s="16">
        <f t="shared" si="37"/>
        <v>14</v>
      </c>
      <c r="M106" s="16">
        <f t="shared" si="37"/>
        <v>3850</v>
      </c>
      <c r="N106" s="16">
        <f t="shared" si="37"/>
        <v>1</v>
      </c>
      <c r="O106" s="16">
        <f t="shared" si="37"/>
        <v>957</v>
      </c>
      <c r="P106" s="16">
        <f t="shared" si="37"/>
        <v>4807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3.4949032660703143E-2</v>
      </c>
      <c r="D107" s="43">
        <f t="shared" si="38"/>
        <v>3.3284793010193471E-2</v>
      </c>
      <c r="E107" s="43">
        <f t="shared" si="38"/>
        <v>1.6226336592469314E-2</v>
      </c>
      <c r="F107" s="43">
        <f t="shared" si="38"/>
        <v>4.9927189515290203E-2</v>
      </c>
      <c r="G107" s="43">
        <f t="shared" si="38"/>
        <v>1.1233617640940295E-2</v>
      </c>
      <c r="H107" s="43">
        <f t="shared" si="38"/>
        <v>7.0730185146661122E-3</v>
      </c>
      <c r="I107" s="43">
        <f t="shared" si="38"/>
        <v>1.6226336592469314E-2</v>
      </c>
      <c r="J107" s="43">
        <f t="shared" si="38"/>
        <v>1.9554815893488661E-2</v>
      </c>
      <c r="K107" s="43">
        <f t="shared" si="38"/>
        <v>7.4890784272935301E-3</v>
      </c>
      <c r="L107" s="43">
        <f t="shared" si="38"/>
        <v>2.9124193883919283E-3</v>
      </c>
      <c r="M107" s="43">
        <f t="shared" si="38"/>
        <v>0.8009153318077803</v>
      </c>
      <c r="N107" s="43">
        <f t="shared" si="38"/>
        <v>2.0802995631370917E-4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0.17554858934169279</v>
      </c>
      <c r="D108" s="44">
        <f t="shared" ref="D108:N108" si="39">D106/$O$106</f>
        <v>0.16718913270637409</v>
      </c>
      <c r="E108" s="44">
        <f t="shared" si="39"/>
        <v>8.1504702194357362E-2</v>
      </c>
      <c r="F108" s="44">
        <f t="shared" si="39"/>
        <v>0.2507836990595611</v>
      </c>
      <c r="G108" s="44">
        <f t="shared" si="39"/>
        <v>5.6426332288401257E-2</v>
      </c>
      <c r="H108" s="44">
        <f t="shared" si="39"/>
        <v>3.5527690700104496E-2</v>
      </c>
      <c r="I108" s="44">
        <f t="shared" si="39"/>
        <v>8.1504702194357362E-2</v>
      </c>
      <c r="J108" s="44">
        <f t="shared" si="39"/>
        <v>9.8223615464994779E-2</v>
      </c>
      <c r="K108" s="44">
        <f t="shared" si="39"/>
        <v>3.7617554858934171E-2</v>
      </c>
      <c r="L108" s="44">
        <f t="shared" si="39"/>
        <v>1.4629049111807733E-2</v>
      </c>
      <c r="M108" s="44"/>
      <c r="N108" s="44">
        <f t="shared" si="39"/>
        <v>1.0449320794148381E-3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honeticPr fontId="14" type="noConversion"/>
  <pageMargins left="0" right="0" top="0" bottom="0" header="0.15748031496063" footer="0.118110236220472"/>
  <pageSetup paperSize="9" scale="40" orientation="landscape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0" zoomScale="60" workbookViewId="0">
      <selection activeCell="H19" sqref="H19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'24.08 Iganga-Kaliro-24h'!D5</f>
        <v>24.08.19</v>
      </c>
      <c r="E5" s="3"/>
      <c r="F5" s="41" t="s">
        <v>1</v>
      </c>
      <c r="G5" s="61" t="str">
        <f>'24.08 Iganga-Kaliro-24h'!G5:H5</f>
        <v>Kigulu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'23.08 Kaliro-Iganga'!G6:H6</f>
        <v>Iganga</v>
      </c>
      <c r="H6" s="62"/>
      <c r="J6" s="2" t="s">
        <v>21</v>
      </c>
      <c r="K6" s="61" t="str">
        <f>'24.08 Iganga-Kaliro-24h'!K6:L6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3</v>
      </c>
      <c r="D10" s="50">
        <v>2</v>
      </c>
      <c r="E10" s="50">
        <v>4</v>
      </c>
      <c r="F10" s="50">
        <v>6</v>
      </c>
      <c r="G10" s="50">
        <v>0</v>
      </c>
      <c r="H10" s="50">
        <v>0</v>
      </c>
      <c r="I10" s="50">
        <v>0</v>
      </c>
      <c r="J10" s="50">
        <v>0</v>
      </c>
      <c r="K10" s="50">
        <v>0</v>
      </c>
      <c r="L10" s="50">
        <v>0</v>
      </c>
      <c r="M10" s="50">
        <v>25</v>
      </c>
      <c r="N10" s="50">
        <v>0</v>
      </c>
      <c r="O10" s="15">
        <f t="shared" ref="O10:O73" si="0">SUM(C10:L10,N10)</f>
        <v>15</v>
      </c>
      <c r="P10" s="15">
        <f t="shared" ref="P10:P73" si="1">SUM(C10:N10)</f>
        <v>40</v>
      </c>
      <c r="R10" s="1" t="s">
        <v>6</v>
      </c>
      <c r="S10" s="17">
        <f t="shared" ref="S10:AF10" si="2">SUM(C10:C13)</f>
        <v>9</v>
      </c>
      <c r="T10" s="17">
        <f t="shared" si="2"/>
        <v>4</v>
      </c>
      <c r="U10" s="17">
        <f t="shared" si="2"/>
        <v>10</v>
      </c>
      <c r="V10" s="17">
        <f t="shared" si="2"/>
        <v>17</v>
      </c>
      <c r="W10" s="17">
        <f t="shared" si="2"/>
        <v>0</v>
      </c>
      <c r="X10" s="17">
        <f t="shared" si="2"/>
        <v>1</v>
      </c>
      <c r="Y10" s="17">
        <f t="shared" si="2"/>
        <v>0</v>
      </c>
      <c r="Z10" s="17">
        <f t="shared" si="2"/>
        <v>0</v>
      </c>
      <c r="AA10" s="17">
        <f t="shared" si="2"/>
        <v>0</v>
      </c>
      <c r="AB10" s="17">
        <f t="shared" si="2"/>
        <v>0</v>
      </c>
      <c r="AC10" s="17">
        <f t="shared" si="2"/>
        <v>200</v>
      </c>
      <c r="AD10" s="17">
        <f t="shared" si="2"/>
        <v>0</v>
      </c>
      <c r="AE10" s="31">
        <f t="shared" si="2"/>
        <v>41</v>
      </c>
      <c r="AF10" s="31">
        <f t="shared" si="2"/>
        <v>241</v>
      </c>
    </row>
    <row r="11" spans="2:32" s="6" customFormat="1" ht="23.1" customHeight="1" x14ac:dyDescent="0.25">
      <c r="B11" s="45" t="s">
        <v>38</v>
      </c>
      <c r="C11" s="50">
        <v>4</v>
      </c>
      <c r="D11" s="50">
        <v>1</v>
      </c>
      <c r="E11" s="50">
        <v>5</v>
      </c>
      <c r="F11" s="50">
        <v>7</v>
      </c>
      <c r="G11" s="50">
        <v>0</v>
      </c>
      <c r="H11" s="50">
        <v>0</v>
      </c>
      <c r="I11" s="50">
        <v>0</v>
      </c>
      <c r="J11" s="50">
        <v>0</v>
      </c>
      <c r="K11" s="50">
        <v>0</v>
      </c>
      <c r="L11" s="50">
        <v>0</v>
      </c>
      <c r="M11" s="50">
        <v>63</v>
      </c>
      <c r="N11" s="50">
        <v>0</v>
      </c>
      <c r="O11" s="15">
        <f t="shared" si="0"/>
        <v>17</v>
      </c>
      <c r="P11" s="15">
        <f t="shared" si="1"/>
        <v>80</v>
      </c>
      <c r="R11" s="1" t="s">
        <v>7</v>
      </c>
      <c r="S11" s="17">
        <f t="shared" ref="S11:AF11" si="3">SUM(C14:C17)</f>
        <v>22</v>
      </c>
      <c r="T11" s="17">
        <f t="shared" si="3"/>
        <v>6</v>
      </c>
      <c r="U11" s="17">
        <f t="shared" si="3"/>
        <v>2</v>
      </c>
      <c r="V11" s="17">
        <f t="shared" si="3"/>
        <v>17</v>
      </c>
      <c r="W11" s="17">
        <f t="shared" si="3"/>
        <v>0</v>
      </c>
      <c r="X11" s="17">
        <f t="shared" si="3"/>
        <v>1</v>
      </c>
      <c r="Y11" s="17">
        <f t="shared" si="3"/>
        <v>3</v>
      </c>
      <c r="Z11" s="17">
        <f t="shared" si="3"/>
        <v>6</v>
      </c>
      <c r="AA11" s="17">
        <f t="shared" si="3"/>
        <v>0</v>
      </c>
      <c r="AB11" s="17">
        <f t="shared" si="3"/>
        <v>0</v>
      </c>
      <c r="AC11" s="17">
        <f t="shared" si="3"/>
        <v>483</v>
      </c>
      <c r="AD11" s="17">
        <f t="shared" si="3"/>
        <v>0</v>
      </c>
      <c r="AE11" s="31">
        <f t="shared" si="3"/>
        <v>57</v>
      </c>
      <c r="AF11" s="31">
        <f t="shared" si="3"/>
        <v>540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3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55</v>
      </c>
      <c r="N12" s="50">
        <v>0</v>
      </c>
      <c r="O12" s="15">
        <f t="shared" si="0"/>
        <v>4</v>
      </c>
      <c r="P12" s="15">
        <f t="shared" si="1"/>
        <v>59</v>
      </c>
      <c r="R12" s="1" t="s">
        <v>8</v>
      </c>
      <c r="S12" s="17">
        <f t="shared" ref="S12:AF12" si="4">SUM(C18:C21)</f>
        <v>20</v>
      </c>
      <c r="T12" s="17">
        <f t="shared" si="4"/>
        <v>5</v>
      </c>
      <c r="U12" s="17">
        <f t="shared" si="4"/>
        <v>3</v>
      </c>
      <c r="V12" s="17">
        <f t="shared" si="4"/>
        <v>15</v>
      </c>
      <c r="W12" s="17">
        <f t="shared" si="4"/>
        <v>4</v>
      </c>
      <c r="X12" s="17">
        <f t="shared" si="4"/>
        <v>1</v>
      </c>
      <c r="Y12" s="17">
        <f t="shared" si="4"/>
        <v>5</v>
      </c>
      <c r="Z12" s="17">
        <f t="shared" si="4"/>
        <v>3</v>
      </c>
      <c r="AA12" s="17">
        <f t="shared" si="4"/>
        <v>2</v>
      </c>
      <c r="AB12" s="17">
        <f t="shared" si="4"/>
        <v>0</v>
      </c>
      <c r="AC12" s="17">
        <f t="shared" si="4"/>
        <v>338</v>
      </c>
      <c r="AD12" s="17">
        <f t="shared" si="4"/>
        <v>0</v>
      </c>
      <c r="AE12" s="31">
        <f t="shared" si="4"/>
        <v>58</v>
      </c>
      <c r="AF12" s="31">
        <f t="shared" si="4"/>
        <v>396</v>
      </c>
    </row>
    <row r="13" spans="2:32" ht="23.1" customHeight="1" x14ac:dyDescent="0.25">
      <c r="B13" s="45" t="s">
        <v>40</v>
      </c>
      <c r="C13" s="50">
        <v>1</v>
      </c>
      <c r="D13" s="50">
        <v>1</v>
      </c>
      <c r="E13" s="50">
        <v>1</v>
      </c>
      <c r="F13" s="50">
        <v>1</v>
      </c>
      <c r="G13" s="50">
        <v>0</v>
      </c>
      <c r="H13" s="50">
        <v>1</v>
      </c>
      <c r="I13" s="50">
        <v>0</v>
      </c>
      <c r="J13" s="50">
        <v>0</v>
      </c>
      <c r="K13" s="50">
        <v>0</v>
      </c>
      <c r="L13" s="50">
        <v>0</v>
      </c>
      <c r="M13" s="50">
        <v>57</v>
      </c>
      <c r="N13" s="50">
        <v>0</v>
      </c>
      <c r="O13" s="15">
        <f t="shared" si="0"/>
        <v>5</v>
      </c>
      <c r="P13" s="15">
        <f t="shared" si="1"/>
        <v>62</v>
      </c>
      <c r="R13" s="1" t="s">
        <v>9</v>
      </c>
      <c r="S13" s="17">
        <f t="shared" ref="S13:AF13" si="5">SUM(C22:C25)</f>
        <v>14</v>
      </c>
      <c r="T13" s="17">
        <f t="shared" si="5"/>
        <v>6</v>
      </c>
      <c r="U13" s="17">
        <f t="shared" si="5"/>
        <v>2</v>
      </c>
      <c r="V13" s="17">
        <f t="shared" si="5"/>
        <v>18</v>
      </c>
      <c r="W13" s="17">
        <f t="shared" si="5"/>
        <v>0</v>
      </c>
      <c r="X13" s="17">
        <f t="shared" si="5"/>
        <v>0</v>
      </c>
      <c r="Y13" s="17">
        <f t="shared" si="5"/>
        <v>10</v>
      </c>
      <c r="Z13" s="17">
        <f t="shared" si="5"/>
        <v>4</v>
      </c>
      <c r="AA13" s="17">
        <f t="shared" si="5"/>
        <v>0</v>
      </c>
      <c r="AB13" s="17">
        <f t="shared" si="5"/>
        <v>0</v>
      </c>
      <c r="AC13" s="17">
        <f t="shared" si="5"/>
        <v>338</v>
      </c>
      <c r="AD13" s="17">
        <f t="shared" si="5"/>
        <v>0</v>
      </c>
      <c r="AE13" s="31">
        <f t="shared" si="5"/>
        <v>54</v>
      </c>
      <c r="AF13" s="31">
        <f t="shared" si="5"/>
        <v>392</v>
      </c>
    </row>
    <row r="14" spans="2:32" ht="23.1" customHeight="1" x14ac:dyDescent="0.25">
      <c r="B14" s="45" t="s">
        <v>41</v>
      </c>
      <c r="C14" s="50">
        <v>5</v>
      </c>
      <c r="D14" s="50">
        <v>3</v>
      </c>
      <c r="E14" s="50">
        <v>0</v>
      </c>
      <c r="F14" s="50">
        <v>3</v>
      </c>
      <c r="G14" s="50">
        <v>0</v>
      </c>
      <c r="H14" s="50">
        <v>0</v>
      </c>
      <c r="I14" s="50">
        <v>2</v>
      </c>
      <c r="J14" s="50">
        <v>2</v>
      </c>
      <c r="K14" s="50">
        <v>0</v>
      </c>
      <c r="L14" s="50">
        <v>0</v>
      </c>
      <c r="M14" s="50">
        <v>120</v>
      </c>
      <c r="N14" s="50">
        <v>0</v>
      </c>
      <c r="O14" s="15">
        <f t="shared" si="0"/>
        <v>15</v>
      </c>
      <c r="P14" s="15">
        <f t="shared" si="1"/>
        <v>135</v>
      </c>
      <c r="R14" s="1" t="s">
        <v>10</v>
      </c>
      <c r="S14" s="17">
        <f t="shared" ref="S14:AF14" si="6">SUM(C26:C29)</f>
        <v>14</v>
      </c>
      <c r="T14" s="17">
        <f t="shared" si="6"/>
        <v>9</v>
      </c>
      <c r="U14" s="17">
        <f t="shared" si="6"/>
        <v>3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2</v>
      </c>
      <c r="Z14" s="17">
        <f t="shared" si="6"/>
        <v>4</v>
      </c>
      <c r="AA14" s="17">
        <f t="shared" si="6"/>
        <v>1</v>
      </c>
      <c r="AB14" s="17">
        <f t="shared" si="6"/>
        <v>0</v>
      </c>
      <c r="AC14" s="17">
        <f t="shared" si="6"/>
        <v>253</v>
      </c>
      <c r="AD14" s="17">
        <f t="shared" si="6"/>
        <v>0</v>
      </c>
      <c r="AE14" s="31">
        <f t="shared" si="6"/>
        <v>47</v>
      </c>
      <c r="AF14" s="31">
        <f t="shared" si="6"/>
        <v>300</v>
      </c>
    </row>
    <row r="15" spans="2:32" ht="23.1" customHeight="1" x14ac:dyDescent="0.25">
      <c r="B15" s="45" t="s">
        <v>42</v>
      </c>
      <c r="C15" s="50">
        <v>6</v>
      </c>
      <c r="D15" s="50">
        <v>2</v>
      </c>
      <c r="E15" s="50">
        <v>2</v>
      </c>
      <c r="F15" s="50">
        <v>4</v>
      </c>
      <c r="G15" s="50">
        <v>0</v>
      </c>
      <c r="H15" s="50">
        <v>0</v>
      </c>
      <c r="I15" s="50">
        <v>0</v>
      </c>
      <c r="J15" s="50">
        <v>2</v>
      </c>
      <c r="K15" s="50">
        <v>0</v>
      </c>
      <c r="L15" s="50">
        <v>0</v>
      </c>
      <c r="M15" s="50">
        <v>117</v>
      </c>
      <c r="N15" s="50">
        <v>0</v>
      </c>
      <c r="O15" s="15">
        <f t="shared" si="0"/>
        <v>16</v>
      </c>
      <c r="P15" s="15">
        <f t="shared" si="1"/>
        <v>133</v>
      </c>
      <c r="R15" s="1" t="s">
        <v>11</v>
      </c>
      <c r="S15" s="17">
        <f t="shared" ref="S15:AF15" si="7">SUM(C30:C33)</f>
        <v>17</v>
      </c>
      <c r="T15" s="17">
        <f t="shared" si="7"/>
        <v>4</v>
      </c>
      <c r="U15" s="17">
        <f t="shared" si="7"/>
        <v>5</v>
      </c>
      <c r="V15" s="17">
        <f t="shared" si="7"/>
        <v>22</v>
      </c>
      <c r="W15" s="17">
        <f t="shared" si="7"/>
        <v>1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265</v>
      </c>
      <c r="AD15" s="17">
        <f t="shared" si="7"/>
        <v>0</v>
      </c>
      <c r="AE15" s="31">
        <f t="shared" si="7"/>
        <v>59</v>
      </c>
      <c r="AF15" s="31">
        <f t="shared" si="7"/>
        <v>324</v>
      </c>
    </row>
    <row r="16" spans="2:32" ht="23.1" customHeight="1" x14ac:dyDescent="0.25">
      <c r="B16" s="45" t="s">
        <v>43</v>
      </c>
      <c r="C16" s="50">
        <v>4</v>
      </c>
      <c r="D16" s="50">
        <v>0</v>
      </c>
      <c r="E16" s="50">
        <v>0</v>
      </c>
      <c r="F16" s="50">
        <v>7</v>
      </c>
      <c r="G16" s="50">
        <v>0</v>
      </c>
      <c r="H16" s="50">
        <v>1</v>
      </c>
      <c r="I16" s="50">
        <v>0</v>
      </c>
      <c r="J16" s="50">
        <v>1</v>
      </c>
      <c r="K16" s="50">
        <v>0</v>
      </c>
      <c r="L16" s="50">
        <v>0</v>
      </c>
      <c r="M16" s="50">
        <v>114</v>
      </c>
      <c r="N16" s="50">
        <v>0</v>
      </c>
      <c r="O16" s="15">
        <f t="shared" si="0"/>
        <v>13</v>
      </c>
      <c r="P16" s="15">
        <f t="shared" si="1"/>
        <v>127</v>
      </c>
      <c r="R16" s="1" t="s">
        <v>12</v>
      </c>
      <c r="S16" s="17">
        <f t="shared" ref="S16:AF16" si="8">SUM(C34:C37)</f>
        <v>13</v>
      </c>
      <c r="T16" s="17">
        <f t="shared" si="8"/>
        <v>5</v>
      </c>
      <c r="U16" s="17">
        <f t="shared" si="8"/>
        <v>4</v>
      </c>
      <c r="V16" s="17">
        <f t="shared" si="8"/>
        <v>9</v>
      </c>
      <c r="W16" s="17">
        <f t="shared" si="8"/>
        <v>0</v>
      </c>
      <c r="X16" s="17">
        <f t="shared" si="8"/>
        <v>0</v>
      </c>
      <c r="Y16" s="17">
        <f t="shared" si="8"/>
        <v>5</v>
      </c>
      <c r="Z16" s="17">
        <f t="shared" si="8"/>
        <v>5</v>
      </c>
      <c r="AA16" s="17">
        <f t="shared" si="8"/>
        <v>1</v>
      </c>
      <c r="AB16" s="17">
        <f t="shared" si="8"/>
        <v>0</v>
      </c>
      <c r="AC16" s="17">
        <f t="shared" si="8"/>
        <v>207</v>
      </c>
      <c r="AD16" s="17">
        <f t="shared" si="8"/>
        <v>0</v>
      </c>
      <c r="AE16" s="31">
        <f t="shared" si="8"/>
        <v>42</v>
      </c>
      <c r="AF16" s="31">
        <f t="shared" si="8"/>
        <v>249</v>
      </c>
    </row>
    <row r="17" spans="2:32" ht="23.1" customHeight="1" x14ac:dyDescent="0.25">
      <c r="B17" s="45" t="s">
        <v>44</v>
      </c>
      <c r="C17" s="50">
        <v>7</v>
      </c>
      <c r="D17" s="50">
        <v>1</v>
      </c>
      <c r="E17" s="50">
        <v>0</v>
      </c>
      <c r="F17" s="50">
        <v>3</v>
      </c>
      <c r="G17" s="50">
        <v>0</v>
      </c>
      <c r="H17" s="50">
        <v>0</v>
      </c>
      <c r="I17" s="50">
        <v>1</v>
      </c>
      <c r="J17" s="50">
        <v>1</v>
      </c>
      <c r="K17" s="50">
        <v>0</v>
      </c>
      <c r="L17" s="50">
        <v>0</v>
      </c>
      <c r="M17" s="50">
        <v>132</v>
      </c>
      <c r="N17" s="50">
        <v>0</v>
      </c>
      <c r="O17" s="15">
        <f t="shared" si="0"/>
        <v>13</v>
      </c>
      <c r="P17" s="15">
        <f t="shared" si="1"/>
        <v>145</v>
      </c>
      <c r="R17" s="1" t="s">
        <v>13</v>
      </c>
      <c r="S17" s="17">
        <f t="shared" ref="S17:AF17" si="9">SUM(C38:C41)</f>
        <v>16</v>
      </c>
      <c r="T17" s="17">
        <f t="shared" si="9"/>
        <v>7</v>
      </c>
      <c r="U17" s="17">
        <f t="shared" si="9"/>
        <v>2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3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252</v>
      </c>
      <c r="AD17" s="17">
        <f t="shared" si="9"/>
        <v>1</v>
      </c>
      <c r="AE17" s="31">
        <f t="shared" si="9"/>
        <v>44</v>
      </c>
      <c r="AF17" s="31">
        <f t="shared" si="9"/>
        <v>296</v>
      </c>
    </row>
    <row r="18" spans="2:32" ht="23.1" customHeight="1" x14ac:dyDescent="0.25">
      <c r="B18" s="45" t="s">
        <v>45</v>
      </c>
      <c r="C18" s="50">
        <v>3</v>
      </c>
      <c r="D18" s="50">
        <v>2</v>
      </c>
      <c r="E18" s="50">
        <v>1</v>
      </c>
      <c r="F18" s="50">
        <v>4</v>
      </c>
      <c r="G18" s="50">
        <v>0</v>
      </c>
      <c r="H18" s="50">
        <v>0</v>
      </c>
      <c r="I18" s="50">
        <v>3</v>
      </c>
      <c r="J18" s="50">
        <v>1</v>
      </c>
      <c r="K18" s="50">
        <v>1</v>
      </c>
      <c r="L18" s="50">
        <v>0</v>
      </c>
      <c r="M18" s="50">
        <v>95</v>
      </c>
      <c r="N18" s="50">
        <v>0</v>
      </c>
      <c r="O18" s="15">
        <f t="shared" si="0"/>
        <v>15</v>
      </c>
      <c r="P18" s="15">
        <f t="shared" si="1"/>
        <v>110</v>
      </c>
      <c r="R18" s="1" t="s">
        <v>14</v>
      </c>
      <c r="S18" s="17">
        <f t="shared" ref="S18:AF18" si="10">SUM(C42:C45)</f>
        <v>10</v>
      </c>
      <c r="T18" s="17">
        <f t="shared" si="10"/>
        <v>8</v>
      </c>
      <c r="U18" s="17">
        <f t="shared" si="10"/>
        <v>2</v>
      </c>
      <c r="V18" s="17">
        <f t="shared" si="10"/>
        <v>8</v>
      </c>
      <c r="W18" s="17">
        <f t="shared" si="10"/>
        <v>1</v>
      </c>
      <c r="X18" s="17">
        <f t="shared" si="10"/>
        <v>0</v>
      </c>
      <c r="Y18" s="17">
        <f t="shared" si="10"/>
        <v>9</v>
      </c>
      <c r="Z18" s="17">
        <f t="shared" si="10"/>
        <v>2</v>
      </c>
      <c r="AA18" s="17">
        <f t="shared" si="10"/>
        <v>3</v>
      </c>
      <c r="AB18" s="17">
        <f t="shared" si="10"/>
        <v>0</v>
      </c>
      <c r="AC18" s="17">
        <f t="shared" si="10"/>
        <v>280</v>
      </c>
      <c r="AD18" s="17">
        <f t="shared" si="10"/>
        <v>0</v>
      </c>
      <c r="AE18" s="31">
        <f t="shared" si="10"/>
        <v>43</v>
      </c>
      <c r="AF18" s="31">
        <f t="shared" si="10"/>
        <v>323</v>
      </c>
    </row>
    <row r="19" spans="2:32" ht="23.1" customHeight="1" x14ac:dyDescent="0.25">
      <c r="B19" s="45" t="s">
        <v>46</v>
      </c>
      <c r="C19" s="50">
        <v>8</v>
      </c>
      <c r="D19" s="50">
        <v>1</v>
      </c>
      <c r="E19" s="50">
        <v>2</v>
      </c>
      <c r="F19" s="50">
        <v>6</v>
      </c>
      <c r="G19" s="50">
        <v>1</v>
      </c>
      <c r="H19" s="50">
        <v>1</v>
      </c>
      <c r="I19" s="50">
        <v>0</v>
      </c>
      <c r="J19" s="50">
        <v>2</v>
      </c>
      <c r="K19" s="50">
        <v>1</v>
      </c>
      <c r="L19" s="50">
        <v>0</v>
      </c>
      <c r="M19" s="50">
        <v>91</v>
      </c>
      <c r="N19" s="50">
        <v>0</v>
      </c>
      <c r="O19" s="15">
        <f t="shared" si="0"/>
        <v>22</v>
      </c>
      <c r="P19" s="15">
        <f t="shared" si="1"/>
        <v>113</v>
      </c>
      <c r="R19" s="1" t="s">
        <v>15</v>
      </c>
      <c r="S19" s="17">
        <f t="shared" ref="S19:AF19" si="11">SUM(C46:C49)</f>
        <v>14</v>
      </c>
      <c r="T19" s="17">
        <f t="shared" si="11"/>
        <v>5</v>
      </c>
      <c r="U19" s="17">
        <f t="shared" si="11"/>
        <v>2</v>
      </c>
      <c r="V19" s="17">
        <f t="shared" si="11"/>
        <v>9</v>
      </c>
      <c r="W19" s="17">
        <f t="shared" si="11"/>
        <v>0</v>
      </c>
      <c r="X19" s="17">
        <f t="shared" si="11"/>
        <v>0</v>
      </c>
      <c r="Y19" s="17">
        <f t="shared" si="11"/>
        <v>5</v>
      </c>
      <c r="Z19" s="17">
        <f t="shared" si="11"/>
        <v>5</v>
      </c>
      <c r="AA19" s="17">
        <f t="shared" si="11"/>
        <v>2</v>
      </c>
      <c r="AB19" s="17">
        <f t="shared" si="11"/>
        <v>1</v>
      </c>
      <c r="AC19" s="17">
        <f t="shared" si="11"/>
        <v>330</v>
      </c>
      <c r="AD19" s="17">
        <f t="shared" si="11"/>
        <v>0</v>
      </c>
      <c r="AE19" s="31">
        <f t="shared" si="11"/>
        <v>43</v>
      </c>
      <c r="AF19" s="31">
        <f t="shared" si="11"/>
        <v>373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4</v>
      </c>
      <c r="G20" s="50">
        <v>0</v>
      </c>
      <c r="H20" s="50">
        <v>0</v>
      </c>
      <c r="I20" s="50">
        <v>2</v>
      </c>
      <c r="J20" s="50">
        <v>0</v>
      </c>
      <c r="K20" s="50">
        <v>0</v>
      </c>
      <c r="L20" s="50">
        <v>0</v>
      </c>
      <c r="M20" s="50">
        <v>95</v>
      </c>
      <c r="N20" s="50">
        <v>0</v>
      </c>
      <c r="O20" s="15">
        <f t="shared" si="0"/>
        <v>8</v>
      </c>
      <c r="P20" s="15">
        <f t="shared" si="1"/>
        <v>103</v>
      </c>
      <c r="R20" s="1" t="s">
        <v>16</v>
      </c>
      <c r="S20" s="17">
        <f t="shared" ref="S20:AF20" si="12">SUM(C50:C53)</f>
        <v>16</v>
      </c>
      <c r="T20" s="17">
        <f t="shared" si="12"/>
        <v>16</v>
      </c>
      <c r="U20" s="17">
        <f t="shared" si="12"/>
        <v>5</v>
      </c>
      <c r="V20" s="17">
        <f t="shared" si="12"/>
        <v>16</v>
      </c>
      <c r="W20" s="17">
        <f t="shared" si="12"/>
        <v>1</v>
      </c>
      <c r="X20" s="17">
        <f t="shared" si="12"/>
        <v>0</v>
      </c>
      <c r="Y20" s="17">
        <f t="shared" si="12"/>
        <v>5</v>
      </c>
      <c r="Z20" s="17">
        <f t="shared" si="12"/>
        <v>9</v>
      </c>
      <c r="AA20" s="17">
        <f t="shared" si="12"/>
        <v>4</v>
      </c>
      <c r="AB20" s="17">
        <f t="shared" si="12"/>
        <v>0</v>
      </c>
      <c r="AC20" s="17">
        <f t="shared" si="12"/>
        <v>262</v>
      </c>
      <c r="AD20" s="17">
        <f t="shared" si="12"/>
        <v>0</v>
      </c>
      <c r="AE20" s="31">
        <f t="shared" si="12"/>
        <v>72</v>
      </c>
      <c r="AF20" s="31">
        <f t="shared" si="12"/>
        <v>334</v>
      </c>
    </row>
    <row r="21" spans="2:32" ht="23.1" customHeight="1" x14ac:dyDescent="0.25">
      <c r="B21" s="45" t="s">
        <v>48</v>
      </c>
      <c r="C21" s="50">
        <v>7</v>
      </c>
      <c r="D21" s="50">
        <v>2</v>
      </c>
      <c r="E21" s="50">
        <v>0</v>
      </c>
      <c r="F21" s="50">
        <v>1</v>
      </c>
      <c r="G21" s="50">
        <v>3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57</v>
      </c>
      <c r="N21" s="50">
        <v>0</v>
      </c>
      <c r="O21" s="15">
        <f t="shared" si="0"/>
        <v>13</v>
      </c>
      <c r="P21" s="15">
        <f t="shared" si="1"/>
        <v>70</v>
      </c>
      <c r="R21" s="36" t="s">
        <v>20</v>
      </c>
      <c r="S21" s="34">
        <f t="shared" ref="S21:AF21" si="13">SUM(C54:C57)</f>
        <v>23</v>
      </c>
      <c r="T21" s="17">
        <f t="shared" si="13"/>
        <v>6</v>
      </c>
      <c r="U21" s="17">
        <f t="shared" si="13"/>
        <v>8</v>
      </c>
      <c r="V21" s="17">
        <f t="shared" si="13"/>
        <v>26</v>
      </c>
      <c r="W21" s="17">
        <f t="shared" si="13"/>
        <v>0</v>
      </c>
      <c r="X21" s="17">
        <f t="shared" si="13"/>
        <v>0</v>
      </c>
      <c r="Y21" s="17">
        <f t="shared" si="13"/>
        <v>8</v>
      </c>
      <c r="Z21" s="17">
        <f t="shared" si="13"/>
        <v>3</v>
      </c>
      <c r="AA21" s="17">
        <f t="shared" si="13"/>
        <v>0</v>
      </c>
      <c r="AB21" s="17">
        <f t="shared" si="13"/>
        <v>0</v>
      </c>
      <c r="AC21" s="17">
        <f t="shared" si="13"/>
        <v>307</v>
      </c>
      <c r="AD21" s="17">
        <f t="shared" si="13"/>
        <v>0</v>
      </c>
      <c r="AE21" s="31">
        <f t="shared" si="13"/>
        <v>74</v>
      </c>
      <c r="AF21" s="31">
        <f t="shared" si="13"/>
        <v>381</v>
      </c>
    </row>
    <row r="22" spans="2:32" ht="23.1" customHeight="1" x14ac:dyDescent="0.25">
      <c r="B22" s="45" t="s">
        <v>49</v>
      </c>
      <c r="C22" s="50">
        <v>3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73</v>
      </c>
      <c r="N22" s="50">
        <v>0</v>
      </c>
      <c r="O22" s="15">
        <f t="shared" si="0"/>
        <v>10</v>
      </c>
      <c r="P22" s="15">
        <f t="shared" si="1"/>
        <v>83</v>
      </c>
      <c r="R22" s="36" t="s">
        <v>146</v>
      </c>
      <c r="S22" s="34">
        <f>SUM(C58:C61)</f>
        <v>11</v>
      </c>
      <c r="T22" s="34">
        <f t="shared" ref="T22:AF22" si="14">SUM(D58:D61)</f>
        <v>2</v>
      </c>
      <c r="U22" s="34">
        <f t="shared" si="14"/>
        <v>0</v>
      </c>
      <c r="V22" s="34">
        <f t="shared" si="14"/>
        <v>13</v>
      </c>
      <c r="W22" s="34">
        <f t="shared" si="14"/>
        <v>0</v>
      </c>
      <c r="X22" s="34">
        <f t="shared" si="14"/>
        <v>0</v>
      </c>
      <c r="Y22" s="34">
        <f t="shared" si="14"/>
        <v>11</v>
      </c>
      <c r="Z22" s="34">
        <f t="shared" si="14"/>
        <v>0</v>
      </c>
      <c r="AA22" s="34">
        <f t="shared" si="14"/>
        <v>0</v>
      </c>
      <c r="AB22" s="34">
        <f t="shared" si="14"/>
        <v>0</v>
      </c>
      <c r="AC22" s="34">
        <f t="shared" si="14"/>
        <v>287</v>
      </c>
      <c r="AD22" s="34">
        <f t="shared" si="14"/>
        <v>0</v>
      </c>
      <c r="AE22" s="31">
        <f t="shared" si="14"/>
        <v>37</v>
      </c>
      <c r="AF22" s="31">
        <f t="shared" si="14"/>
        <v>324</v>
      </c>
    </row>
    <row r="23" spans="2:32" ht="23.1" customHeight="1" x14ac:dyDescent="0.25">
      <c r="B23" s="45" t="s">
        <v>50</v>
      </c>
      <c r="C23" s="50">
        <v>2</v>
      </c>
      <c r="D23" s="50">
        <v>1</v>
      </c>
      <c r="E23" s="50">
        <v>0</v>
      </c>
      <c r="F23" s="50">
        <v>5</v>
      </c>
      <c r="G23" s="50">
        <v>0</v>
      </c>
      <c r="H23" s="50">
        <v>0</v>
      </c>
      <c r="I23" s="50">
        <v>3</v>
      </c>
      <c r="J23" s="50">
        <v>0</v>
      </c>
      <c r="K23" s="50">
        <v>0</v>
      </c>
      <c r="L23" s="50">
        <v>0</v>
      </c>
      <c r="M23" s="50">
        <v>97</v>
      </c>
      <c r="N23" s="50">
        <v>0</v>
      </c>
      <c r="O23" s="15">
        <f t="shared" si="0"/>
        <v>11</v>
      </c>
      <c r="P23" s="15">
        <f t="shared" si="1"/>
        <v>108</v>
      </c>
      <c r="R23" s="36" t="s">
        <v>147</v>
      </c>
      <c r="S23" s="34">
        <f>SUM(C62:C65)</f>
        <v>12</v>
      </c>
      <c r="T23" s="34">
        <f t="shared" ref="T23:AF23" si="15">SUM(D62:D65)</f>
        <v>6</v>
      </c>
      <c r="U23" s="34">
        <f t="shared" si="15"/>
        <v>8</v>
      </c>
      <c r="V23" s="34">
        <f t="shared" si="15"/>
        <v>8</v>
      </c>
      <c r="W23" s="34">
        <f t="shared" si="15"/>
        <v>0</v>
      </c>
      <c r="X23" s="34">
        <f t="shared" si="15"/>
        <v>0</v>
      </c>
      <c r="Y23" s="34">
        <f t="shared" si="15"/>
        <v>0</v>
      </c>
      <c r="Z23" s="34">
        <f t="shared" si="15"/>
        <v>0</v>
      </c>
      <c r="AA23" s="34">
        <f t="shared" si="15"/>
        <v>0</v>
      </c>
      <c r="AB23" s="34">
        <f t="shared" si="15"/>
        <v>0</v>
      </c>
      <c r="AC23" s="34">
        <f t="shared" si="15"/>
        <v>218</v>
      </c>
      <c r="AD23" s="34">
        <f t="shared" si="15"/>
        <v>0</v>
      </c>
      <c r="AE23" s="31">
        <f t="shared" si="15"/>
        <v>34</v>
      </c>
      <c r="AF23" s="31">
        <f t="shared" si="15"/>
        <v>252</v>
      </c>
    </row>
    <row r="24" spans="2:32" ht="23.1" customHeight="1" x14ac:dyDescent="0.25">
      <c r="B24" s="45" t="s">
        <v>51</v>
      </c>
      <c r="C24" s="50">
        <v>3</v>
      </c>
      <c r="D24" s="50">
        <v>0</v>
      </c>
      <c r="E24" s="50">
        <v>1</v>
      </c>
      <c r="F24" s="50">
        <v>7</v>
      </c>
      <c r="G24" s="50">
        <v>0</v>
      </c>
      <c r="H24" s="50">
        <v>0</v>
      </c>
      <c r="I24" s="50">
        <v>3</v>
      </c>
      <c r="J24" s="50">
        <v>2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16</v>
      </c>
      <c r="P24" s="15">
        <f t="shared" si="1"/>
        <v>86</v>
      </c>
      <c r="R24" s="36" t="s">
        <v>148</v>
      </c>
      <c r="S24" s="34">
        <f>SUM(C66:C69)</f>
        <v>5</v>
      </c>
      <c r="T24" s="34">
        <f t="shared" ref="T24:AF24" si="16">SUM(D66:D69)</f>
        <v>2</v>
      </c>
      <c r="U24" s="34">
        <f t="shared" si="16"/>
        <v>2</v>
      </c>
      <c r="V24" s="34">
        <f t="shared" si="16"/>
        <v>6</v>
      </c>
      <c r="W24" s="34">
        <f t="shared" si="16"/>
        <v>0</v>
      </c>
      <c r="X24" s="34">
        <f t="shared" si="16"/>
        <v>0</v>
      </c>
      <c r="Y24" s="34">
        <f t="shared" si="16"/>
        <v>2</v>
      </c>
      <c r="Z24" s="34">
        <f t="shared" si="16"/>
        <v>3</v>
      </c>
      <c r="AA24" s="34">
        <f t="shared" si="16"/>
        <v>0</v>
      </c>
      <c r="AB24" s="34">
        <f t="shared" si="16"/>
        <v>0</v>
      </c>
      <c r="AC24" s="34">
        <f t="shared" si="16"/>
        <v>163</v>
      </c>
      <c r="AD24" s="34">
        <f t="shared" si="16"/>
        <v>0</v>
      </c>
      <c r="AE24" s="31">
        <f t="shared" si="16"/>
        <v>20</v>
      </c>
      <c r="AF24" s="31">
        <f t="shared" si="16"/>
        <v>183</v>
      </c>
    </row>
    <row r="25" spans="2:32" ht="23.1" customHeight="1" x14ac:dyDescent="0.25">
      <c r="B25" s="45" t="s">
        <v>52</v>
      </c>
      <c r="C25" s="50">
        <v>6</v>
      </c>
      <c r="D25" s="50">
        <v>3</v>
      </c>
      <c r="E25" s="50">
        <v>0</v>
      </c>
      <c r="F25" s="50">
        <v>3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98</v>
      </c>
      <c r="N25" s="50">
        <v>0</v>
      </c>
      <c r="O25" s="15">
        <f t="shared" si="0"/>
        <v>17</v>
      </c>
      <c r="P25" s="15">
        <f t="shared" si="1"/>
        <v>115</v>
      </c>
      <c r="R25" s="36" t="s">
        <v>149</v>
      </c>
      <c r="S25" s="34">
        <f>SUM(C70:C73)</f>
        <v>7</v>
      </c>
      <c r="T25" s="34">
        <f t="shared" ref="T25:AF25" si="17">SUM(D70:D73)</f>
        <v>4</v>
      </c>
      <c r="U25" s="34">
        <f t="shared" si="17"/>
        <v>0</v>
      </c>
      <c r="V25" s="34">
        <f t="shared" si="17"/>
        <v>6</v>
      </c>
      <c r="W25" s="34">
        <f t="shared" si="17"/>
        <v>0</v>
      </c>
      <c r="X25" s="34">
        <f t="shared" si="17"/>
        <v>0</v>
      </c>
      <c r="Y25" s="34">
        <f t="shared" si="17"/>
        <v>3</v>
      </c>
      <c r="Z25" s="34">
        <f t="shared" si="17"/>
        <v>0</v>
      </c>
      <c r="AA25" s="34">
        <f t="shared" si="17"/>
        <v>0</v>
      </c>
      <c r="AB25" s="34">
        <f t="shared" si="17"/>
        <v>0</v>
      </c>
      <c r="AC25" s="34">
        <f t="shared" si="17"/>
        <v>104</v>
      </c>
      <c r="AD25" s="34">
        <f t="shared" si="17"/>
        <v>0</v>
      </c>
      <c r="AE25" s="31">
        <f t="shared" si="17"/>
        <v>20</v>
      </c>
      <c r="AF25" s="31">
        <f t="shared" si="17"/>
        <v>124</v>
      </c>
    </row>
    <row r="26" spans="2:32" ht="23.1" customHeight="1" x14ac:dyDescent="0.25">
      <c r="B26" s="45" t="s">
        <v>53</v>
      </c>
      <c r="C26" s="50">
        <v>8</v>
      </c>
      <c r="D26" s="50">
        <v>2</v>
      </c>
      <c r="E26" s="50">
        <v>0</v>
      </c>
      <c r="F26" s="50">
        <v>3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13</v>
      </c>
      <c r="P26" s="15">
        <f t="shared" si="1"/>
        <v>103</v>
      </c>
      <c r="R26" s="36" t="s">
        <v>150</v>
      </c>
      <c r="S26" s="34">
        <f>SUM(C74:C77)</f>
        <v>1</v>
      </c>
      <c r="T26" s="34">
        <f t="shared" ref="T26:AF26" si="18">SUM(D74:D77)</f>
        <v>1</v>
      </c>
      <c r="U26" s="34">
        <f t="shared" si="18"/>
        <v>2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2</v>
      </c>
      <c r="AA26" s="34">
        <f t="shared" si="18"/>
        <v>2</v>
      </c>
      <c r="AB26" s="34">
        <f t="shared" si="18"/>
        <v>0</v>
      </c>
      <c r="AC26" s="34">
        <f t="shared" si="18"/>
        <v>110</v>
      </c>
      <c r="AD26" s="34">
        <f t="shared" si="18"/>
        <v>0</v>
      </c>
      <c r="AE26" s="31">
        <f t="shared" si="18"/>
        <v>12</v>
      </c>
      <c r="AF26" s="31">
        <f t="shared" si="18"/>
        <v>122</v>
      </c>
    </row>
    <row r="27" spans="2:32" ht="23.1" customHeight="1" x14ac:dyDescent="0.25">
      <c r="B27" s="45" t="s">
        <v>54</v>
      </c>
      <c r="C27" s="50">
        <v>1</v>
      </c>
      <c r="D27" s="50">
        <v>3</v>
      </c>
      <c r="E27" s="50">
        <v>1</v>
      </c>
      <c r="F27" s="50">
        <v>5</v>
      </c>
      <c r="G27" s="50">
        <v>0</v>
      </c>
      <c r="H27" s="50">
        <v>0</v>
      </c>
      <c r="I27" s="50">
        <v>0</v>
      </c>
      <c r="J27" s="50">
        <v>0</v>
      </c>
      <c r="K27" s="50">
        <v>0</v>
      </c>
      <c r="L27" s="50">
        <v>0</v>
      </c>
      <c r="M27" s="50">
        <v>33</v>
      </c>
      <c r="N27" s="50">
        <v>0</v>
      </c>
      <c r="O27" s="15">
        <f t="shared" si="0"/>
        <v>10</v>
      </c>
      <c r="P27" s="15">
        <f t="shared" si="1"/>
        <v>43</v>
      </c>
      <c r="R27" s="36" t="s">
        <v>151</v>
      </c>
      <c r="S27" s="34">
        <f>SUM(C78:C81)</f>
        <v>1</v>
      </c>
      <c r="T27" s="34">
        <f t="shared" ref="T27:AF27" si="19">SUM(D78:D81)</f>
        <v>1</v>
      </c>
      <c r="U27" s="34">
        <f t="shared" si="19"/>
        <v>2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2</v>
      </c>
      <c r="AB27" s="34">
        <f t="shared" si="19"/>
        <v>0</v>
      </c>
      <c r="AC27" s="34">
        <f t="shared" si="19"/>
        <v>36</v>
      </c>
      <c r="AD27" s="34">
        <f t="shared" si="19"/>
        <v>0</v>
      </c>
      <c r="AE27" s="31">
        <f t="shared" si="19"/>
        <v>10</v>
      </c>
      <c r="AF27" s="31">
        <f t="shared" si="19"/>
        <v>46</v>
      </c>
    </row>
    <row r="28" spans="2:32" ht="23.1" customHeight="1" x14ac:dyDescent="0.25">
      <c r="B28" s="45" t="s">
        <v>55</v>
      </c>
      <c r="C28" s="50">
        <v>4</v>
      </c>
      <c r="D28" s="50">
        <v>2</v>
      </c>
      <c r="E28" s="50">
        <v>1</v>
      </c>
      <c r="F28" s="50">
        <v>2</v>
      </c>
      <c r="G28" s="50">
        <v>0</v>
      </c>
      <c r="H28" s="50">
        <v>0</v>
      </c>
      <c r="I28" s="50">
        <v>2</v>
      </c>
      <c r="J28" s="50">
        <v>4</v>
      </c>
      <c r="K28" s="50">
        <v>1</v>
      </c>
      <c r="L28" s="50">
        <v>0</v>
      </c>
      <c r="M28" s="50">
        <v>72</v>
      </c>
      <c r="N28" s="50">
        <v>0</v>
      </c>
      <c r="O28" s="15">
        <f t="shared" si="0"/>
        <v>16</v>
      </c>
      <c r="P28" s="15">
        <f t="shared" si="1"/>
        <v>88</v>
      </c>
      <c r="R28" s="36" t="s">
        <v>152</v>
      </c>
      <c r="S28" s="34">
        <f>SUM(C82:C85)</f>
        <v>0</v>
      </c>
      <c r="T28" s="34">
        <f t="shared" ref="T28:AF28" si="20">SUM(D82:D85)</f>
        <v>0</v>
      </c>
      <c r="U28" s="34">
        <f t="shared" si="20"/>
        <v>1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3</v>
      </c>
      <c r="Z28" s="34">
        <f t="shared" si="20"/>
        <v>0</v>
      </c>
      <c r="AA28" s="34">
        <f t="shared" si="20"/>
        <v>1</v>
      </c>
      <c r="AB28" s="34">
        <f t="shared" si="20"/>
        <v>0</v>
      </c>
      <c r="AC28" s="34">
        <f t="shared" si="20"/>
        <v>8</v>
      </c>
      <c r="AD28" s="34">
        <f t="shared" si="20"/>
        <v>0</v>
      </c>
      <c r="AE28" s="31">
        <f t="shared" si="20"/>
        <v>5</v>
      </c>
      <c r="AF28" s="31">
        <f t="shared" si="20"/>
        <v>13</v>
      </c>
    </row>
    <row r="29" spans="2:32" ht="23.1" customHeight="1" x14ac:dyDescent="0.25">
      <c r="B29" s="45" t="s">
        <v>56</v>
      </c>
      <c r="C29" s="50">
        <v>1</v>
      </c>
      <c r="D29" s="50">
        <v>2</v>
      </c>
      <c r="E29" s="50">
        <v>1</v>
      </c>
      <c r="F29" s="50">
        <v>4</v>
      </c>
      <c r="G29" s="50">
        <v>0</v>
      </c>
      <c r="H29" s="50">
        <v>0</v>
      </c>
      <c r="I29" s="50">
        <v>0</v>
      </c>
      <c r="J29" s="50">
        <v>0</v>
      </c>
      <c r="K29" s="50">
        <v>0</v>
      </c>
      <c r="L29" s="50">
        <v>0</v>
      </c>
      <c r="M29" s="50">
        <v>58</v>
      </c>
      <c r="N29" s="50">
        <v>0</v>
      </c>
      <c r="O29" s="15">
        <f t="shared" si="0"/>
        <v>8</v>
      </c>
      <c r="P29" s="15">
        <f t="shared" si="1"/>
        <v>66</v>
      </c>
      <c r="R29" s="36" t="s">
        <v>153</v>
      </c>
      <c r="S29" s="34">
        <f>SUM(C86:C89)</f>
        <v>2</v>
      </c>
      <c r="T29" s="34">
        <f t="shared" ref="T29:AF29" si="21">SUM(D86:D89)</f>
        <v>1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3</v>
      </c>
      <c r="Z29" s="34">
        <f t="shared" si="21"/>
        <v>0</v>
      </c>
      <c r="AA29" s="34">
        <f t="shared" si="21"/>
        <v>1</v>
      </c>
      <c r="AB29" s="34">
        <f t="shared" si="21"/>
        <v>0</v>
      </c>
      <c r="AC29" s="34">
        <f t="shared" si="21"/>
        <v>0</v>
      </c>
      <c r="AD29" s="34">
        <f t="shared" si="21"/>
        <v>0</v>
      </c>
      <c r="AE29" s="31">
        <f t="shared" si="21"/>
        <v>10</v>
      </c>
      <c r="AF29" s="31">
        <f t="shared" si="21"/>
        <v>10</v>
      </c>
    </row>
    <row r="30" spans="2:32" ht="23.1" customHeight="1" x14ac:dyDescent="0.25">
      <c r="B30" s="45" t="s">
        <v>57</v>
      </c>
      <c r="C30" s="50">
        <v>8</v>
      </c>
      <c r="D30" s="50">
        <v>2</v>
      </c>
      <c r="E30" s="50">
        <v>1</v>
      </c>
      <c r="F30" s="50">
        <v>5</v>
      </c>
      <c r="G30" s="50">
        <v>1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60</v>
      </c>
      <c r="N30" s="50">
        <v>0</v>
      </c>
      <c r="O30" s="15">
        <f t="shared" si="0"/>
        <v>17</v>
      </c>
      <c r="P30" s="15">
        <f t="shared" si="1"/>
        <v>77</v>
      </c>
      <c r="R30" s="36" t="s">
        <v>154</v>
      </c>
      <c r="S30" s="34">
        <f>SUM(C90:C93)</f>
        <v>2</v>
      </c>
      <c r="T30" s="34">
        <f t="shared" ref="T30:AF30" si="22">SUM(D90:D93)</f>
        <v>4</v>
      </c>
      <c r="U30" s="34">
        <f t="shared" si="22"/>
        <v>2</v>
      </c>
      <c r="V30" s="34">
        <f t="shared" si="22"/>
        <v>3</v>
      </c>
      <c r="W30" s="34">
        <f t="shared" si="22"/>
        <v>0</v>
      </c>
      <c r="X30" s="34">
        <f t="shared" si="22"/>
        <v>0</v>
      </c>
      <c r="Y30" s="34">
        <f t="shared" si="22"/>
        <v>4</v>
      </c>
      <c r="Z30" s="34">
        <f t="shared" si="22"/>
        <v>2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17</v>
      </c>
      <c r="AF30" s="31">
        <f t="shared" si="22"/>
        <v>20</v>
      </c>
    </row>
    <row r="31" spans="2:32" ht="23.1" customHeight="1" x14ac:dyDescent="0.25">
      <c r="B31" s="46" t="s">
        <v>58</v>
      </c>
      <c r="C31" s="50">
        <v>4</v>
      </c>
      <c r="D31" s="50">
        <v>0</v>
      </c>
      <c r="E31" s="50">
        <v>0</v>
      </c>
      <c r="F31" s="50">
        <v>3</v>
      </c>
      <c r="G31" s="50">
        <v>0</v>
      </c>
      <c r="H31" s="50">
        <v>0</v>
      </c>
      <c r="I31" s="50">
        <v>2</v>
      </c>
      <c r="J31" s="50">
        <v>4</v>
      </c>
      <c r="K31" s="50">
        <v>0</v>
      </c>
      <c r="L31" s="50">
        <v>0</v>
      </c>
      <c r="M31" s="50">
        <v>95</v>
      </c>
      <c r="N31" s="50">
        <v>0</v>
      </c>
      <c r="O31" s="15">
        <f t="shared" si="0"/>
        <v>13</v>
      </c>
      <c r="P31" s="15">
        <f t="shared" si="1"/>
        <v>108</v>
      </c>
      <c r="R31" s="36" t="s">
        <v>155</v>
      </c>
      <c r="S31" s="34">
        <f>SUM(C94:C97)</f>
        <v>3</v>
      </c>
      <c r="T31" s="34">
        <f t="shared" ref="T31:AF31" si="23">SUM(D94:D97)</f>
        <v>2</v>
      </c>
      <c r="U31" s="34">
        <f t="shared" si="23"/>
        <v>5</v>
      </c>
      <c r="V31" s="34">
        <f t="shared" si="23"/>
        <v>5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3</v>
      </c>
      <c r="AD31" s="34">
        <f t="shared" si="23"/>
        <v>0</v>
      </c>
      <c r="AE31" s="31">
        <f t="shared" si="23"/>
        <v>18</v>
      </c>
      <c r="AF31" s="31">
        <f t="shared" si="23"/>
        <v>21</v>
      </c>
    </row>
    <row r="32" spans="2:32" ht="23.1" customHeight="1" x14ac:dyDescent="0.25">
      <c r="B32" s="46" t="s">
        <v>59</v>
      </c>
      <c r="C32" s="50">
        <v>3</v>
      </c>
      <c r="D32" s="50">
        <v>0</v>
      </c>
      <c r="E32" s="50">
        <v>2</v>
      </c>
      <c r="F32" s="50">
        <v>7</v>
      </c>
      <c r="G32" s="50">
        <v>0</v>
      </c>
      <c r="H32" s="50">
        <v>0</v>
      </c>
      <c r="I32" s="50">
        <v>2</v>
      </c>
      <c r="J32" s="50">
        <v>0</v>
      </c>
      <c r="K32" s="50">
        <v>0</v>
      </c>
      <c r="L32" s="50">
        <v>0</v>
      </c>
      <c r="M32" s="50">
        <v>50</v>
      </c>
      <c r="N32" s="50">
        <v>0</v>
      </c>
      <c r="O32" s="15">
        <f t="shared" si="0"/>
        <v>14</v>
      </c>
      <c r="P32" s="15">
        <f t="shared" si="1"/>
        <v>64</v>
      </c>
      <c r="R32" s="33" t="s">
        <v>156</v>
      </c>
      <c r="S32" s="34">
        <f>SUM(C98:C101)</f>
        <v>0</v>
      </c>
      <c r="T32" s="34">
        <f t="shared" ref="T32:AF32" si="24">SUM(D98:D101)</f>
        <v>1</v>
      </c>
      <c r="U32" s="34">
        <f t="shared" si="24"/>
        <v>1</v>
      </c>
      <c r="V32" s="34">
        <f t="shared" si="24"/>
        <v>3</v>
      </c>
      <c r="W32" s="34">
        <f t="shared" si="24"/>
        <v>0</v>
      </c>
      <c r="X32" s="34">
        <f t="shared" si="24"/>
        <v>0</v>
      </c>
      <c r="Y32" s="34">
        <f t="shared" si="24"/>
        <v>4</v>
      </c>
      <c r="Z32" s="34">
        <f t="shared" si="24"/>
        <v>3</v>
      </c>
      <c r="AA32" s="34">
        <f t="shared" si="24"/>
        <v>0</v>
      </c>
      <c r="AB32" s="34">
        <f t="shared" si="24"/>
        <v>0</v>
      </c>
      <c r="AC32" s="34">
        <f t="shared" si="24"/>
        <v>10</v>
      </c>
      <c r="AD32" s="34">
        <f t="shared" si="24"/>
        <v>0</v>
      </c>
      <c r="AE32" s="31">
        <f t="shared" si="24"/>
        <v>12</v>
      </c>
      <c r="AF32" s="31">
        <f t="shared" si="24"/>
        <v>22</v>
      </c>
    </row>
    <row r="33" spans="2:32" ht="23.1" customHeight="1" x14ac:dyDescent="0.25">
      <c r="B33" s="45" t="s">
        <v>60</v>
      </c>
      <c r="C33" s="50">
        <v>2</v>
      </c>
      <c r="D33" s="50">
        <v>2</v>
      </c>
      <c r="E33" s="50">
        <v>2</v>
      </c>
      <c r="F33" s="50">
        <v>7</v>
      </c>
      <c r="G33" s="50">
        <v>0</v>
      </c>
      <c r="H33" s="50">
        <v>0</v>
      </c>
      <c r="I33" s="50">
        <v>2</v>
      </c>
      <c r="J33" s="50">
        <v>0</v>
      </c>
      <c r="K33" s="50">
        <v>0</v>
      </c>
      <c r="L33" s="50">
        <v>0</v>
      </c>
      <c r="M33" s="50">
        <v>60</v>
      </c>
      <c r="N33" s="50">
        <v>0</v>
      </c>
      <c r="O33" s="15">
        <f t="shared" si="0"/>
        <v>15</v>
      </c>
      <c r="P33" s="15">
        <f t="shared" si="1"/>
        <v>75</v>
      </c>
      <c r="R33" s="33" t="s">
        <v>157</v>
      </c>
      <c r="S33" s="34">
        <f>SUM(C102:C105)</f>
        <v>4</v>
      </c>
      <c r="T33" s="34">
        <f t="shared" ref="T33:AF33" si="25">SUM(D102:D105)</f>
        <v>3</v>
      </c>
      <c r="U33" s="34">
        <f t="shared" si="25"/>
        <v>1</v>
      </c>
      <c r="V33" s="34">
        <f t="shared" si="25"/>
        <v>9</v>
      </c>
      <c r="W33" s="34">
        <f t="shared" si="25"/>
        <v>0</v>
      </c>
      <c r="X33" s="34">
        <f t="shared" si="25"/>
        <v>0</v>
      </c>
      <c r="Y33" s="34">
        <f t="shared" si="25"/>
        <v>3</v>
      </c>
      <c r="Z33" s="34">
        <f t="shared" si="25"/>
        <v>2</v>
      </c>
      <c r="AA33" s="34">
        <f t="shared" si="25"/>
        <v>1</v>
      </c>
      <c r="AB33" s="34">
        <f t="shared" si="25"/>
        <v>0</v>
      </c>
      <c r="AC33" s="34">
        <f t="shared" si="25"/>
        <v>33</v>
      </c>
      <c r="AD33" s="34">
        <f t="shared" si="25"/>
        <v>0</v>
      </c>
      <c r="AE33" s="31">
        <f t="shared" si="25"/>
        <v>23</v>
      </c>
      <c r="AF33" s="31">
        <f t="shared" si="25"/>
        <v>56</v>
      </c>
    </row>
    <row r="34" spans="2:32" ht="23.1" customHeight="1" x14ac:dyDescent="0.25">
      <c r="B34" s="46" t="s">
        <v>61</v>
      </c>
      <c r="C34" s="50">
        <v>5</v>
      </c>
      <c r="D34" s="50">
        <v>0</v>
      </c>
      <c r="E34" s="50">
        <v>1</v>
      </c>
      <c r="F34" s="50">
        <v>0</v>
      </c>
      <c r="G34" s="50">
        <v>0</v>
      </c>
      <c r="H34" s="50">
        <v>0</v>
      </c>
      <c r="I34" s="50">
        <v>1</v>
      </c>
      <c r="J34" s="50">
        <v>1</v>
      </c>
      <c r="K34" s="50">
        <v>1</v>
      </c>
      <c r="L34" s="50">
        <v>0</v>
      </c>
      <c r="M34" s="50">
        <v>40</v>
      </c>
      <c r="N34" s="50">
        <v>0</v>
      </c>
      <c r="O34" s="15">
        <f t="shared" si="0"/>
        <v>9</v>
      </c>
      <c r="P34" s="15">
        <f t="shared" si="1"/>
        <v>49</v>
      </c>
      <c r="R34" s="38" t="s">
        <v>90</v>
      </c>
      <c r="S34" s="39">
        <f t="shared" ref="S34:AF34" si="26">MAX(S10:S12)</f>
        <v>22</v>
      </c>
      <c r="T34" s="39">
        <f t="shared" si="26"/>
        <v>6</v>
      </c>
      <c r="U34" s="39">
        <f t="shared" si="26"/>
        <v>10</v>
      </c>
      <c r="V34" s="39">
        <f t="shared" si="26"/>
        <v>17</v>
      </c>
      <c r="W34" s="39">
        <f t="shared" si="26"/>
        <v>4</v>
      </c>
      <c r="X34" s="39">
        <f t="shared" si="26"/>
        <v>1</v>
      </c>
      <c r="Y34" s="39">
        <f t="shared" si="26"/>
        <v>5</v>
      </c>
      <c r="Z34" s="39">
        <f t="shared" si="26"/>
        <v>6</v>
      </c>
      <c r="AA34" s="39">
        <f t="shared" si="26"/>
        <v>2</v>
      </c>
      <c r="AB34" s="39">
        <f t="shared" si="26"/>
        <v>0</v>
      </c>
      <c r="AC34" s="39">
        <f t="shared" si="26"/>
        <v>483</v>
      </c>
      <c r="AD34" s="39">
        <f t="shared" si="26"/>
        <v>0</v>
      </c>
      <c r="AE34" s="40">
        <f t="shared" si="26"/>
        <v>58</v>
      </c>
      <c r="AF34" s="40">
        <f t="shared" si="26"/>
        <v>540</v>
      </c>
    </row>
    <row r="35" spans="2:32" ht="23.1" customHeight="1" x14ac:dyDescent="0.25">
      <c r="B35" s="46" t="s">
        <v>62</v>
      </c>
      <c r="C35" s="50">
        <v>1</v>
      </c>
      <c r="D35" s="50">
        <v>2</v>
      </c>
      <c r="E35" s="50">
        <v>0</v>
      </c>
      <c r="F35" s="50">
        <v>1</v>
      </c>
      <c r="G35" s="50">
        <v>0</v>
      </c>
      <c r="H35" s="50">
        <v>0</v>
      </c>
      <c r="I35" s="50">
        <v>3</v>
      </c>
      <c r="J35" s="50">
        <v>1</v>
      </c>
      <c r="K35" s="50">
        <v>0</v>
      </c>
      <c r="L35" s="50">
        <v>0</v>
      </c>
      <c r="M35" s="50">
        <v>60</v>
      </c>
      <c r="N35" s="50">
        <v>0</v>
      </c>
      <c r="O35" s="15">
        <f t="shared" si="0"/>
        <v>8</v>
      </c>
      <c r="P35" s="15">
        <f t="shared" si="1"/>
        <v>68</v>
      </c>
      <c r="R35" s="38" t="s">
        <v>91</v>
      </c>
      <c r="S35" s="39">
        <f t="shared" ref="S35:AF35" si="27">MAX(S13:S18)</f>
        <v>17</v>
      </c>
      <c r="T35" s="39">
        <f t="shared" si="27"/>
        <v>9</v>
      </c>
      <c r="U35" s="39">
        <f t="shared" si="27"/>
        <v>5</v>
      </c>
      <c r="V35" s="39">
        <f t="shared" si="27"/>
        <v>22</v>
      </c>
      <c r="W35" s="39">
        <f t="shared" si="27"/>
        <v>1</v>
      </c>
      <c r="X35" s="39">
        <f t="shared" si="27"/>
        <v>0</v>
      </c>
      <c r="Y35" s="39">
        <f t="shared" si="27"/>
        <v>10</v>
      </c>
      <c r="Z35" s="39">
        <f t="shared" si="27"/>
        <v>5</v>
      </c>
      <c r="AA35" s="39">
        <f t="shared" si="27"/>
        <v>3</v>
      </c>
      <c r="AB35" s="39">
        <f t="shared" si="27"/>
        <v>0</v>
      </c>
      <c r="AC35" s="39">
        <f t="shared" si="27"/>
        <v>338</v>
      </c>
      <c r="AD35" s="39">
        <f t="shared" si="27"/>
        <v>1</v>
      </c>
      <c r="AE35" s="40">
        <f t="shared" si="27"/>
        <v>59</v>
      </c>
      <c r="AF35" s="40">
        <f t="shared" si="27"/>
        <v>392</v>
      </c>
    </row>
    <row r="36" spans="2:32" ht="23.1" customHeight="1" x14ac:dyDescent="0.25">
      <c r="B36" s="46" t="s">
        <v>63</v>
      </c>
      <c r="C36" s="50">
        <v>3</v>
      </c>
      <c r="D36" s="50">
        <v>2</v>
      </c>
      <c r="E36" s="50">
        <v>2</v>
      </c>
      <c r="F36" s="50">
        <v>3</v>
      </c>
      <c r="G36" s="50">
        <v>0</v>
      </c>
      <c r="H36" s="50">
        <v>0</v>
      </c>
      <c r="I36" s="50">
        <v>1</v>
      </c>
      <c r="J36" s="50">
        <v>0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11</v>
      </c>
      <c r="P36" s="15">
        <f t="shared" si="1"/>
        <v>71</v>
      </c>
      <c r="R36" s="38" t="s">
        <v>92</v>
      </c>
      <c r="S36" s="39">
        <f t="shared" ref="S36:AF36" si="28">MAX(S19:S21)</f>
        <v>23</v>
      </c>
      <c r="T36" s="39">
        <f t="shared" si="28"/>
        <v>16</v>
      </c>
      <c r="U36" s="39">
        <f t="shared" si="28"/>
        <v>8</v>
      </c>
      <c r="V36" s="39">
        <f t="shared" si="28"/>
        <v>26</v>
      </c>
      <c r="W36" s="39">
        <f t="shared" si="28"/>
        <v>1</v>
      </c>
      <c r="X36" s="39">
        <f t="shared" si="28"/>
        <v>0</v>
      </c>
      <c r="Y36" s="39">
        <f t="shared" si="28"/>
        <v>8</v>
      </c>
      <c r="Z36" s="39">
        <f t="shared" si="28"/>
        <v>9</v>
      </c>
      <c r="AA36" s="39">
        <f t="shared" si="28"/>
        <v>4</v>
      </c>
      <c r="AB36" s="39">
        <f t="shared" si="28"/>
        <v>1</v>
      </c>
      <c r="AC36" s="39">
        <f t="shared" si="28"/>
        <v>330</v>
      </c>
      <c r="AD36" s="39">
        <f t="shared" si="28"/>
        <v>0</v>
      </c>
      <c r="AE36" s="40">
        <f t="shared" si="28"/>
        <v>74</v>
      </c>
      <c r="AF36" s="40">
        <f t="shared" si="28"/>
        <v>381</v>
      </c>
    </row>
    <row r="37" spans="2:32" ht="23.1" customHeight="1" x14ac:dyDescent="0.25">
      <c r="B37" s="45" t="s">
        <v>64</v>
      </c>
      <c r="C37" s="50">
        <v>4</v>
      </c>
      <c r="D37" s="50">
        <v>1</v>
      </c>
      <c r="E37" s="50">
        <v>1</v>
      </c>
      <c r="F37" s="50">
        <v>5</v>
      </c>
      <c r="G37" s="50">
        <v>0</v>
      </c>
      <c r="H37" s="50">
        <v>0</v>
      </c>
      <c r="I37" s="50">
        <v>0</v>
      </c>
      <c r="J37" s="50">
        <v>3</v>
      </c>
      <c r="K37" s="50">
        <v>0</v>
      </c>
      <c r="L37" s="50">
        <v>0</v>
      </c>
      <c r="M37" s="50">
        <v>47</v>
      </c>
      <c r="N37" s="50">
        <v>0</v>
      </c>
      <c r="O37" s="15">
        <f t="shared" si="0"/>
        <v>14</v>
      </c>
      <c r="P37" s="15">
        <f t="shared" si="1"/>
        <v>61</v>
      </c>
      <c r="R37" s="37" t="s">
        <v>85</v>
      </c>
      <c r="S37" s="35">
        <f t="shared" ref="S37:AF37" si="29">SUM(S10:S12)</f>
        <v>51</v>
      </c>
      <c r="T37" s="16">
        <f t="shared" si="29"/>
        <v>15</v>
      </c>
      <c r="U37" s="16">
        <f t="shared" si="29"/>
        <v>15</v>
      </c>
      <c r="V37" s="16">
        <f t="shared" si="29"/>
        <v>49</v>
      </c>
      <c r="W37" s="16">
        <f t="shared" si="29"/>
        <v>4</v>
      </c>
      <c r="X37" s="16">
        <f t="shared" si="29"/>
        <v>3</v>
      </c>
      <c r="Y37" s="16">
        <f t="shared" si="29"/>
        <v>8</v>
      </c>
      <c r="Z37" s="16">
        <f t="shared" si="29"/>
        <v>9</v>
      </c>
      <c r="AA37" s="16">
        <f t="shared" si="29"/>
        <v>2</v>
      </c>
      <c r="AB37" s="16">
        <f t="shared" si="29"/>
        <v>0</v>
      </c>
      <c r="AC37" s="16">
        <f t="shared" si="29"/>
        <v>1021</v>
      </c>
      <c r="AD37" s="16">
        <f t="shared" si="29"/>
        <v>0</v>
      </c>
      <c r="AE37" s="32">
        <f t="shared" si="29"/>
        <v>156</v>
      </c>
      <c r="AF37" s="32">
        <f t="shared" si="29"/>
        <v>1177</v>
      </c>
    </row>
    <row r="38" spans="2:32" ht="23.1" customHeight="1" x14ac:dyDescent="0.25">
      <c r="B38" s="46" t="s">
        <v>65</v>
      </c>
      <c r="C38" s="50">
        <v>5</v>
      </c>
      <c r="D38" s="50">
        <v>3</v>
      </c>
      <c r="E38" s="50">
        <v>0</v>
      </c>
      <c r="F38" s="50">
        <v>3</v>
      </c>
      <c r="G38" s="50">
        <v>0</v>
      </c>
      <c r="H38" s="50">
        <v>0</v>
      </c>
      <c r="I38" s="50">
        <v>1</v>
      </c>
      <c r="J38" s="50">
        <v>1</v>
      </c>
      <c r="K38" s="50">
        <v>0</v>
      </c>
      <c r="L38" s="50">
        <v>0</v>
      </c>
      <c r="M38" s="50">
        <v>61</v>
      </c>
      <c r="N38" s="50">
        <v>0</v>
      </c>
      <c r="O38" s="15">
        <f t="shared" si="0"/>
        <v>13</v>
      </c>
      <c r="P38" s="15">
        <f t="shared" si="1"/>
        <v>74</v>
      </c>
      <c r="R38" s="28" t="s">
        <v>86</v>
      </c>
      <c r="S38" s="16">
        <f t="shared" ref="S38:AF38" si="30">SUM(S13:S18)</f>
        <v>84</v>
      </c>
      <c r="T38" s="16">
        <f t="shared" si="30"/>
        <v>39</v>
      </c>
      <c r="U38" s="16">
        <f t="shared" si="30"/>
        <v>18</v>
      </c>
      <c r="V38" s="16">
        <f t="shared" si="30"/>
        <v>83</v>
      </c>
      <c r="W38" s="16">
        <f t="shared" si="30"/>
        <v>2</v>
      </c>
      <c r="X38" s="16">
        <f t="shared" si="30"/>
        <v>0</v>
      </c>
      <c r="Y38" s="16">
        <f t="shared" si="30"/>
        <v>35</v>
      </c>
      <c r="Z38" s="16">
        <f t="shared" si="30"/>
        <v>22</v>
      </c>
      <c r="AA38" s="16">
        <f t="shared" si="30"/>
        <v>5</v>
      </c>
      <c r="AB38" s="16">
        <f t="shared" si="30"/>
        <v>0</v>
      </c>
      <c r="AC38" s="16">
        <f t="shared" si="30"/>
        <v>1595</v>
      </c>
      <c r="AD38" s="16">
        <f t="shared" si="30"/>
        <v>1</v>
      </c>
      <c r="AE38" s="32">
        <f t="shared" si="30"/>
        <v>289</v>
      </c>
      <c r="AF38" s="32">
        <f t="shared" si="30"/>
        <v>1884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0</v>
      </c>
      <c r="F39" s="50">
        <v>3</v>
      </c>
      <c r="G39" s="50">
        <v>0</v>
      </c>
      <c r="H39" s="50">
        <v>0</v>
      </c>
      <c r="I39" s="50">
        <v>2</v>
      </c>
      <c r="J39" s="50">
        <v>0</v>
      </c>
      <c r="K39" s="50">
        <v>0</v>
      </c>
      <c r="L39" s="50">
        <v>0</v>
      </c>
      <c r="M39" s="50">
        <v>40</v>
      </c>
      <c r="N39" s="50">
        <v>0</v>
      </c>
      <c r="O39" s="15">
        <f t="shared" si="0"/>
        <v>6</v>
      </c>
      <c r="P39" s="15">
        <f t="shared" si="1"/>
        <v>46</v>
      </c>
      <c r="R39" s="29" t="s">
        <v>87</v>
      </c>
      <c r="S39" s="16">
        <f t="shared" ref="S39:AF39" si="31">SUM(S19:S21)</f>
        <v>53</v>
      </c>
      <c r="T39" s="16">
        <f t="shared" si="31"/>
        <v>27</v>
      </c>
      <c r="U39" s="16">
        <f t="shared" si="31"/>
        <v>15</v>
      </c>
      <c r="V39" s="16">
        <f t="shared" si="31"/>
        <v>51</v>
      </c>
      <c r="W39" s="16">
        <f t="shared" si="31"/>
        <v>1</v>
      </c>
      <c r="X39" s="16">
        <f t="shared" si="31"/>
        <v>0</v>
      </c>
      <c r="Y39" s="16">
        <f t="shared" si="31"/>
        <v>18</v>
      </c>
      <c r="Z39" s="16">
        <f t="shared" si="31"/>
        <v>17</v>
      </c>
      <c r="AA39" s="16">
        <f t="shared" si="31"/>
        <v>6</v>
      </c>
      <c r="AB39" s="16">
        <f t="shared" si="31"/>
        <v>1</v>
      </c>
      <c r="AC39" s="16">
        <f t="shared" si="31"/>
        <v>899</v>
      </c>
      <c r="AD39" s="16">
        <f t="shared" si="31"/>
        <v>0</v>
      </c>
      <c r="AE39" s="32">
        <f t="shared" si="31"/>
        <v>189</v>
      </c>
      <c r="AF39" s="32">
        <f t="shared" si="31"/>
        <v>1088</v>
      </c>
    </row>
    <row r="40" spans="2:32" ht="23.1" customHeight="1" x14ac:dyDescent="0.25">
      <c r="B40" s="46" t="s">
        <v>67</v>
      </c>
      <c r="C40" s="50">
        <v>5</v>
      </c>
      <c r="D40" s="50">
        <v>2</v>
      </c>
      <c r="E40" s="50">
        <v>0</v>
      </c>
      <c r="F40" s="50">
        <v>4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67</v>
      </c>
      <c r="N40" s="50">
        <v>1</v>
      </c>
      <c r="O40" s="15">
        <f t="shared" si="0"/>
        <v>14</v>
      </c>
      <c r="P40" s="15">
        <f t="shared" si="1"/>
        <v>81</v>
      </c>
      <c r="R40" s="5" t="s">
        <v>17</v>
      </c>
      <c r="S40" s="16">
        <f t="shared" ref="S40:AF40" si="32">SUM(S10:S21)</f>
        <v>188</v>
      </c>
      <c r="T40" s="16">
        <f t="shared" si="32"/>
        <v>81</v>
      </c>
      <c r="U40" s="16">
        <f t="shared" si="32"/>
        <v>48</v>
      </c>
      <c r="V40" s="16">
        <f t="shared" si="32"/>
        <v>183</v>
      </c>
      <c r="W40" s="16">
        <f t="shared" si="32"/>
        <v>7</v>
      </c>
      <c r="X40" s="16">
        <f t="shared" si="32"/>
        <v>3</v>
      </c>
      <c r="Y40" s="16">
        <f t="shared" si="32"/>
        <v>61</v>
      </c>
      <c r="Z40" s="16">
        <f t="shared" si="32"/>
        <v>48</v>
      </c>
      <c r="AA40" s="16">
        <f t="shared" si="32"/>
        <v>13</v>
      </c>
      <c r="AB40" s="16">
        <f t="shared" si="32"/>
        <v>1</v>
      </c>
      <c r="AC40" s="16">
        <f t="shared" si="32"/>
        <v>3515</v>
      </c>
      <c r="AD40" s="16">
        <f t="shared" si="32"/>
        <v>1</v>
      </c>
      <c r="AE40" s="32">
        <f t="shared" si="32"/>
        <v>634</v>
      </c>
      <c r="AF40" s="32">
        <f t="shared" si="32"/>
        <v>4149</v>
      </c>
    </row>
    <row r="41" spans="2:32" ht="23.1" customHeight="1" x14ac:dyDescent="0.25">
      <c r="B41" s="45" t="s">
        <v>68</v>
      </c>
      <c r="C41" s="50">
        <v>5</v>
      </c>
      <c r="D41" s="50">
        <v>2</v>
      </c>
      <c r="E41" s="50">
        <v>2</v>
      </c>
      <c r="F41" s="50">
        <v>2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84</v>
      </c>
      <c r="N41" s="50">
        <v>0</v>
      </c>
      <c r="O41" s="15">
        <f t="shared" si="0"/>
        <v>11</v>
      </c>
      <c r="P41" s="15">
        <f t="shared" si="1"/>
        <v>95</v>
      </c>
      <c r="R41" s="5" t="s">
        <v>159</v>
      </c>
      <c r="S41" s="16">
        <f>SUM(S10:S33)</f>
        <v>236</v>
      </c>
      <c r="T41" s="16">
        <f t="shared" ref="T41:AF41" si="33">SUM(T10:T33)</f>
        <v>108</v>
      </c>
      <c r="U41" s="16">
        <f t="shared" si="33"/>
        <v>74</v>
      </c>
      <c r="V41" s="16">
        <f t="shared" si="33"/>
        <v>239</v>
      </c>
      <c r="W41" s="16">
        <f t="shared" si="33"/>
        <v>7</v>
      </c>
      <c r="X41" s="16">
        <f t="shared" si="33"/>
        <v>3</v>
      </c>
      <c r="Y41" s="16">
        <f t="shared" si="33"/>
        <v>100</v>
      </c>
      <c r="Z41" s="16">
        <f t="shared" si="33"/>
        <v>63</v>
      </c>
      <c r="AA41" s="16">
        <f t="shared" si="33"/>
        <v>20</v>
      </c>
      <c r="AB41" s="16">
        <f t="shared" si="33"/>
        <v>1</v>
      </c>
      <c r="AC41" s="16">
        <f t="shared" si="33"/>
        <v>4490</v>
      </c>
      <c r="AD41" s="16">
        <f t="shared" si="33"/>
        <v>1</v>
      </c>
      <c r="AE41" s="32">
        <f t="shared" si="33"/>
        <v>852</v>
      </c>
      <c r="AF41" s="32">
        <f t="shared" si="33"/>
        <v>5342</v>
      </c>
    </row>
    <row r="42" spans="2:32" ht="23.1" customHeight="1" x14ac:dyDescent="0.25">
      <c r="B42" s="46" t="s">
        <v>69</v>
      </c>
      <c r="C42" s="50">
        <v>2</v>
      </c>
      <c r="D42" s="50">
        <v>1</v>
      </c>
      <c r="E42" s="50">
        <v>1</v>
      </c>
      <c r="F42" s="50">
        <v>6</v>
      </c>
      <c r="G42" s="50">
        <v>0</v>
      </c>
      <c r="H42" s="50">
        <v>0</v>
      </c>
      <c r="I42" s="50">
        <v>1</v>
      </c>
      <c r="J42" s="50">
        <v>0</v>
      </c>
      <c r="K42" s="50">
        <v>1</v>
      </c>
      <c r="L42" s="50">
        <v>0</v>
      </c>
      <c r="M42" s="50">
        <v>50</v>
      </c>
      <c r="N42" s="50">
        <v>0</v>
      </c>
      <c r="O42" s="15">
        <f t="shared" si="0"/>
        <v>12</v>
      </c>
      <c r="P42" s="15">
        <f t="shared" si="1"/>
        <v>62</v>
      </c>
      <c r="R42" s="5" t="s">
        <v>160</v>
      </c>
      <c r="S42" s="48">
        <f>S41/S40</f>
        <v>1.2553191489361701</v>
      </c>
      <c r="T42" s="48">
        <f t="shared" ref="T42:AF42" si="34">T41/T40</f>
        <v>1.3333333333333333</v>
      </c>
      <c r="U42" s="48">
        <f t="shared" si="34"/>
        <v>1.5416666666666667</v>
      </c>
      <c r="V42" s="48">
        <f t="shared" si="34"/>
        <v>1.3060109289617485</v>
      </c>
      <c r="W42" s="48">
        <f t="shared" si="34"/>
        <v>1</v>
      </c>
      <c r="X42" s="48">
        <f t="shared" si="34"/>
        <v>1</v>
      </c>
      <c r="Y42" s="48">
        <f t="shared" si="34"/>
        <v>1.639344262295082</v>
      </c>
      <c r="Z42" s="48">
        <f t="shared" si="34"/>
        <v>1.3125</v>
      </c>
      <c r="AA42" s="48">
        <f t="shared" si="34"/>
        <v>1.5384615384615385</v>
      </c>
      <c r="AB42" s="48">
        <f t="shared" si="34"/>
        <v>1</v>
      </c>
      <c r="AC42" s="48">
        <f t="shared" si="34"/>
        <v>1.2773826458036985</v>
      </c>
      <c r="AD42" s="48">
        <f t="shared" si="34"/>
        <v>1</v>
      </c>
      <c r="AE42" s="48">
        <f t="shared" si="34"/>
        <v>1.3438485804416405</v>
      </c>
      <c r="AF42" s="48">
        <f t="shared" si="34"/>
        <v>1.2875391660641118</v>
      </c>
    </row>
    <row r="43" spans="2:32" ht="23.1" customHeight="1" x14ac:dyDescent="0.25">
      <c r="B43" s="45" t="s">
        <v>70</v>
      </c>
      <c r="C43" s="50">
        <v>3</v>
      </c>
      <c r="D43" s="50">
        <v>2</v>
      </c>
      <c r="E43" s="50">
        <v>0</v>
      </c>
      <c r="F43" s="50">
        <v>1</v>
      </c>
      <c r="G43" s="50">
        <v>0</v>
      </c>
      <c r="H43" s="50">
        <v>0</v>
      </c>
      <c r="I43" s="50">
        <v>4</v>
      </c>
      <c r="J43" s="50">
        <v>2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12</v>
      </c>
      <c r="P43" s="15">
        <f t="shared" si="1"/>
        <v>77</v>
      </c>
    </row>
    <row r="44" spans="2:32" ht="23.1" customHeight="1" x14ac:dyDescent="0.25">
      <c r="B44" s="47" t="s">
        <v>71</v>
      </c>
      <c r="C44" s="50">
        <v>1</v>
      </c>
      <c r="D44" s="50">
        <v>2</v>
      </c>
      <c r="E44" s="50">
        <v>1</v>
      </c>
      <c r="F44" s="50">
        <v>1</v>
      </c>
      <c r="G44" s="50">
        <v>0</v>
      </c>
      <c r="H44" s="50">
        <v>0</v>
      </c>
      <c r="I44" s="50">
        <v>0</v>
      </c>
      <c r="J44" s="50">
        <v>0</v>
      </c>
      <c r="K44" s="50">
        <v>1</v>
      </c>
      <c r="L44" s="50">
        <v>0</v>
      </c>
      <c r="M44" s="50">
        <v>100</v>
      </c>
      <c r="N44" s="50">
        <v>0</v>
      </c>
      <c r="O44" s="15">
        <f t="shared" si="0"/>
        <v>6</v>
      </c>
      <c r="P44" s="15">
        <f t="shared" si="1"/>
        <v>106</v>
      </c>
    </row>
    <row r="45" spans="2:32" ht="23.1" customHeight="1" x14ac:dyDescent="0.25">
      <c r="B45" s="45" t="s">
        <v>72</v>
      </c>
      <c r="C45" s="50">
        <v>4</v>
      </c>
      <c r="D45" s="50">
        <v>3</v>
      </c>
      <c r="E45" s="50">
        <v>0</v>
      </c>
      <c r="F45" s="50">
        <v>0</v>
      </c>
      <c r="G45" s="50">
        <v>1</v>
      </c>
      <c r="H45" s="50">
        <v>0</v>
      </c>
      <c r="I45" s="50">
        <v>4</v>
      </c>
      <c r="J45" s="50">
        <v>0</v>
      </c>
      <c r="K45" s="50">
        <v>1</v>
      </c>
      <c r="L45" s="50">
        <v>0</v>
      </c>
      <c r="M45" s="50">
        <v>65</v>
      </c>
      <c r="N45" s="50">
        <v>0</v>
      </c>
      <c r="O45" s="15">
        <f t="shared" si="0"/>
        <v>13</v>
      </c>
      <c r="P45" s="15">
        <f t="shared" si="1"/>
        <v>78</v>
      </c>
    </row>
    <row r="46" spans="2:32" ht="23.1" customHeight="1" x14ac:dyDescent="0.25">
      <c r="B46" s="46" t="s">
        <v>73</v>
      </c>
      <c r="C46" s="50">
        <v>8</v>
      </c>
      <c r="D46" s="50">
        <v>2</v>
      </c>
      <c r="E46" s="50">
        <v>1</v>
      </c>
      <c r="F46" s="50">
        <v>6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80</v>
      </c>
      <c r="N46" s="50">
        <v>0</v>
      </c>
      <c r="O46" s="15">
        <f t="shared" si="0"/>
        <v>21</v>
      </c>
      <c r="P46" s="15">
        <f t="shared" si="1"/>
        <v>101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0</v>
      </c>
      <c r="E47" s="50">
        <v>0</v>
      </c>
      <c r="F47" s="50">
        <v>1</v>
      </c>
      <c r="G47" s="50">
        <v>0</v>
      </c>
      <c r="H47" s="50">
        <v>0</v>
      </c>
      <c r="I47" s="50">
        <v>2</v>
      </c>
      <c r="J47" s="50">
        <v>1</v>
      </c>
      <c r="K47" s="50">
        <v>1</v>
      </c>
      <c r="L47" s="50">
        <v>0</v>
      </c>
      <c r="M47" s="50">
        <v>75</v>
      </c>
      <c r="N47" s="50">
        <v>0</v>
      </c>
      <c r="O47" s="15">
        <f t="shared" si="0"/>
        <v>7</v>
      </c>
      <c r="P47" s="15">
        <f t="shared" si="1"/>
        <v>82</v>
      </c>
      <c r="R47" s="8"/>
      <c r="T47"/>
    </row>
    <row r="48" spans="2:32" ht="23.1" customHeight="1" x14ac:dyDescent="0.25">
      <c r="B48" s="46" t="s">
        <v>75</v>
      </c>
      <c r="C48" s="50">
        <v>1</v>
      </c>
      <c r="D48" s="50">
        <v>2</v>
      </c>
      <c r="E48" s="50">
        <v>1</v>
      </c>
      <c r="F48" s="50">
        <v>1</v>
      </c>
      <c r="G48" s="50">
        <v>0</v>
      </c>
      <c r="H48" s="50">
        <v>0</v>
      </c>
      <c r="I48" s="50">
        <v>1</v>
      </c>
      <c r="J48" s="50">
        <v>1</v>
      </c>
      <c r="K48" s="50">
        <v>1</v>
      </c>
      <c r="L48" s="50">
        <v>1</v>
      </c>
      <c r="M48" s="50">
        <v>80</v>
      </c>
      <c r="N48" s="50">
        <v>0</v>
      </c>
      <c r="O48" s="15">
        <f t="shared" si="0"/>
        <v>9</v>
      </c>
      <c r="P48" s="15">
        <f t="shared" si="1"/>
        <v>89</v>
      </c>
      <c r="R48" s="8"/>
      <c r="T48"/>
    </row>
    <row r="49" spans="2:20" ht="23.1" customHeight="1" x14ac:dyDescent="0.25">
      <c r="B49" s="45" t="s">
        <v>76</v>
      </c>
      <c r="C49" s="50">
        <v>3</v>
      </c>
      <c r="D49" s="50">
        <v>1</v>
      </c>
      <c r="E49" s="50">
        <v>0</v>
      </c>
      <c r="F49" s="50">
        <v>1</v>
      </c>
      <c r="G49" s="50">
        <v>0</v>
      </c>
      <c r="H49" s="50">
        <v>0</v>
      </c>
      <c r="I49" s="50">
        <v>0</v>
      </c>
      <c r="J49" s="50">
        <v>1</v>
      </c>
      <c r="K49" s="50">
        <v>0</v>
      </c>
      <c r="L49" s="50">
        <v>0</v>
      </c>
      <c r="M49" s="50">
        <v>95</v>
      </c>
      <c r="N49" s="50">
        <v>0</v>
      </c>
      <c r="O49" s="15">
        <f t="shared" si="0"/>
        <v>6</v>
      </c>
      <c r="P49" s="15">
        <f t="shared" si="1"/>
        <v>101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2</v>
      </c>
      <c r="E50" s="50">
        <v>1</v>
      </c>
      <c r="F50" s="50">
        <v>2</v>
      </c>
      <c r="G50" s="50">
        <v>0</v>
      </c>
      <c r="H50" s="50">
        <v>0</v>
      </c>
      <c r="I50" s="50">
        <v>2</v>
      </c>
      <c r="J50" s="50">
        <v>2</v>
      </c>
      <c r="K50" s="50">
        <v>1</v>
      </c>
      <c r="L50" s="50">
        <v>0</v>
      </c>
      <c r="M50" s="50">
        <v>60</v>
      </c>
      <c r="N50" s="50">
        <v>0</v>
      </c>
      <c r="O50" s="15">
        <f t="shared" si="0"/>
        <v>13</v>
      </c>
      <c r="P50" s="15">
        <f t="shared" si="1"/>
        <v>73</v>
      </c>
      <c r="R50" s="8"/>
      <c r="T50"/>
    </row>
    <row r="51" spans="2:20" ht="23.1" customHeight="1" x14ac:dyDescent="0.25">
      <c r="B51" s="46" t="s">
        <v>78</v>
      </c>
      <c r="C51" s="50">
        <v>8</v>
      </c>
      <c r="D51" s="50">
        <v>3</v>
      </c>
      <c r="E51" s="50">
        <v>1</v>
      </c>
      <c r="F51" s="50">
        <v>5</v>
      </c>
      <c r="G51" s="50">
        <v>0</v>
      </c>
      <c r="H51" s="50">
        <v>0</v>
      </c>
      <c r="I51" s="50">
        <v>1</v>
      </c>
      <c r="J51" s="50">
        <v>2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20</v>
      </c>
      <c r="P51" s="15">
        <f t="shared" si="1"/>
        <v>90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6</v>
      </c>
      <c r="E52" s="50">
        <v>1</v>
      </c>
      <c r="F52" s="50">
        <v>4</v>
      </c>
      <c r="G52" s="50">
        <v>0</v>
      </c>
      <c r="H52" s="50">
        <v>0</v>
      </c>
      <c r="I52" s="50">
        <v>0</v>
      </c>
      <c r="J52" s="50">
        <v>2</v>
      </c>
      <c r="K52" s="50">
        <v>3</v>
      </c>
      <c r="L52" s="50">
        <v>0</v>
      </c>
      <c r="M52" s="50">
        <v>61</v>
      </c>
      <c r="N52" s="50">
        <v>0</v>
      </c>
      <c r="O52" s="15">
        <f t="shared" si="0"/>
        <v>18</v>
      </c>
      <c r="P52" s="15">
        <f t="shared" si="1"/>
        <v>79</v>
      </c>
      <c r="R52" s="8"/>
      <c r="T52"/>
    </row>
    <row r="53" spans="2:20" ht="23.1" customHeight="1" x14ac:dyDescent="0.25">
      <c r="B53" s="45" t="s">
        <v>80</v>
      </c>
      <c r="C53" s="50">
        <v>3</v>
      </c>
      <c r="D53" s="50">
        <v>5</v>
      </c>
      <c r="E53" s="50">
        <v>2</v>
      </c>
      <c r="F53" s="50">
        <v>5</v>
      </c>
      <c r="G53" s="50">
        <v>1</v>
      </c>
      <c r="H53" s="50">
        <v>0</v>
      </c>
      <c r="I53" s="50">
        <v>2</v>
      </c>
      <c r="J53" s="50">
        <v>3</v>
      </c>
      <c r="K53" s="50">
        <v>0</v>
      </c>
      <c r="L53" s="50">
        <v>0</v>
      </c>
      <c r="M53" s="50">
        <v>71</v>
      </c>
      <c r="N53" s="50">
        <v>0</v>
      </c>
      <c r="O53" s="15">
        <f t="shared" si="0"/>
        <v>21</v>
      </c>
      <c r="P53" s="15">
        <f t="shared" si="1"/>
        <v>92</v>
      </c>
      <c r="R53" s="8"/>
      <c r="T53"/>
    </row>
    <row r="54" spans="2:20" ht="23.1" customHeight="1" x14ac:dyDescent="0.25">
      <c r="B54" s="45" t="s">
        <v>81</v>
      </c>
      <c r="C54" s="50">
        <v>7</v>
      </c>
      <c r="D54" s="50">
        <v>3</v>
      </c>
      <c r="E54" s="50">
        <v>1</v>
      </c>
      <c r="F54" s="50">
        <v>9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67</v>
      </c>
      <c r="N54" s="50">
        <v>0</v>
      </c>
      <c r="O54" s="15">
        <f t="shared" si="0"/>
        <v>23</v>
      </c>
      <c r="P54" s="15">
        <f t="shared" si="1"/>
        <v>90</v>
      </c>
      <c r="R54" s="8"/>
      <c r="T54"/>
    </row>
    <row r="55" spans="2:20" ht="23.1" customHeight="1" x14ac:dyDescent="0.25">
      <c r="B55" s="45" t="s">
        <v>82</v>
      </c>
      <c r="C55" s="50">
        <v>8</v>
      </c>
      <c r="D55" s="50">
        <v>0</v>
      </c>
      <c r="E55" s="50">
        <v>3</v>
      </c>
      <c r="F55" s="50">
        <v>6</v>
      </c>
      <c r="G55" s="50">
        <v>0</v>
      </c>
      <c r="H55" s="50">
        <v>0</v>
      </c>
      <c r="I55" s="50">
        <v>2</v>
      </c>
      <c r="J55" s="50">
        <v>2</v>
      </c>
      <c r="K55" s="50">
        <v>0</v>
      </c>
      <c r="L55" s="50">
        <v>0</v>
      </c>
      <c r="M55" s="50">
        <v>74</v>
      </c>
      <c r="N55" s="50">
        <v>0</v>
      </c>
      <c r="O55" s="15">
        <f t="shared" si="0"/>
        <v>21</v>
      </c>
      <c r="P55" s="15">
        <f t="shared" si="1"/>
        <v>95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2</v>
      </c>
      <c r="E56" s="50">
        <v>4</v>
      </c>
      <c r="F56" s="50">
        <v>4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85</v>
      </c>
      <c r="N56" s="50">
        <v>0</v>
      </c>
      <c r="O56" s="15">
        <f t="shared" si="0"/>
        <v>17</v>
      </c>
      <c r="P56" s="15">
        <f t="shared" si="1"/>
        <v>102</v>
      </c>
      <c r="R56" s="8"/>
      <c r="T56"/>
    </row>
    <row r="57" spans="2:20" ht="23.1" customHeight="1" x14ac:dyDescent="0.25">
      <c r="B57" s="45" t="s">
        <v>84</v>
      </c>
      <c r="C57" s="50">
        <v>4</v>
      </c>
      <c r="D57" s="50">
        <v>1</v>
      </c>
      <c r="E57" s="50">
        <v>0</v>
      </c>
      <c r="F57" s="50">
        <v>7</v>
      </c>
      <c r="G57" s="50">
        <v>0</v>
      </c>
      <c r="H57" s="50">
        <v>0</v>
      </c>
      <c r="I57" s="50">
        <v>0</v>
      </c>
      <c r="J57" s="50">
        <v>1</v>
      </c>
      <c r="K57" s="50">
        <v>0</v>
      </c>
      <c r="L57" s="50">
        <v>0</v>
      </c>
      <c r="M57" s="50">
        <v>81</v>
      </c>
      <c r="N57" s="50">
        <v>0</v>
      </c>
      <c r="O57" s="15">
        <f t="shared" si="0"/>
        <v>13</v>
      </c>
      <c r="P57" s="15">
        <f t="shared" si="1"/>
        <v>94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2</v>
      </c>
      <c r="E58" s="50">
        <v>0</v>
      </c>
      <c r="F58" s="50">
        <v>4</v>
      </c>
      <c r="G58" s="50">
        <v>0</v>
      </c>
      <c r="H58" s="50">
        <v>0</v>
      </c>
      <c r="I58" s="50">
        <v>3</v>
      </c>
      <c r="J58" s="50">
        <v>0</v>
      </c>
      <c r="K58" s="50">
        <v>0</v>
      </c>
      <c r="L58" s="50">
        <v>0</v>
      </c>
      <c r="M58" s="50">
        <v>67</v>
      </c>
      <c r="N58" s="50">
        <v>0</v>
      </c>
      <c r="O58" s="15">
        <f t="shared" si="0"/>
        <v>12</v>
      </c>
      <c r="P58" s="15">
        <f t="shared" si="1"/>
        <v>79</v>
      </c>
      <c r="R58" s="8"/>
      <c r="T58"/>
    </row>
    <row r="59" spans="2:20" ht="23.1" customHeight="1" x14ac:dyDescent="0.25">
      <c r="B59" s="45" t="s">
        <v>100</v>
      </c>
      <c r="C59" s="50">
        <v>2</v>
      </c>
      <c r="D59" s="50">
        <v>0</v>
      </c>
      <c r="E59" s="50">
        <v>0</v>
      </c>
      <c r="F59" s="50">
        <v>3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75</v>
      </c>
      <c r="N59" s="50">
        <v>0</v>
      </c>
      <c r="O59" s="15">
        <f t="shared" si="0"/>
        <v>6</v>
      </c>
      <c r="P59" s="15">
        <f t="shared" si="1"/>
        <v>81</v>
      </c>
      <c r="R59" s="8"/>
      <c r="T59"/>
    </row>
    <row r="60" spans="2:20" ht="23.1" customHeight="1" x14ac:dyDescent="0.25">
      <c r="B60" s="45" t="s">
        <v>101</v>
      </c>
      <c r="C60" s="50">
        <v>5</v>
      </c>
      <c r="D60" s="50">
        <v>0</v>
      </c>
      <c r="E60" s="50">
        <v>0</v>
      </c>
      <c r="F60" s="50">
        <v>1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73</v>
      </c>
      <c r="N60" s="50">
        <v>0</v>
      </c>
      <c r="O60" s="15">
        <f t="shared" si="0"/>
        <v>7</v>
      </c>
      <c r="P60" s="15">
        <f t="shared" si="1"/>
        <v>80</v>
      </c>
      <c r="R60" s="8"/>
      <c r="T60"/>
    </row>
    <row r="61" spans="2:20" ht="23.1" customHeight="1" x14ac:dyDescent="0.25">
      <c r="B61" s="45" t="s">
        <v>102</v>
      </c>
      <c r="C61" s="50">
        <v>1</v>
      </c>
      <c r="D61" s="50">
        <v>0</v>
      </c>
      <c r="E61" s="50">
        <v>0</v>
      </c>
      <c r="F61" s="50">
        <v>5</v>
      </c>
      <c r="G61" s="50">
        <v>0</v>
      </c>
      <c r="H61" s="50">
        <v>0</v>
      </c>
      <c r="I61" s="50">
        <v>6</v>
      </c>
      <c r="J61" s="50">
        <v>0</v>
      </c>
      <c r="K61" s="50">
        <v>0</v>
      </c>
      <c r="L61" s="50">
        <v>0</v>
      </c>
      <c r="M61" s="50">
        <v>72</v>
      </c>
      <c r="N61" s="50">
        <v>0</v>
      </c>
      <c r="O61" s="15">
        <f t="shared" si="0"/>
        <v>12</v>
      </c>
      <c r="P61" s="15">
        <f t="shared" si="1"/>
        <v>84</v>
      </c>
      <c r="R61" s="8"/>
      <c r="T61"/>
    </row>
    <row r="62" spans="2:20" ht="23.1" customHeight="1" x14ac:dyDescent="0.25">
      <c r="B62" s="45" t="s">
        <v>107</v>
      </c>
      <c r="C62" s="50">
        <v>3</v>
      </c>
      <c r="D62" s="50">
        <v>0</v>
      </c>
      <c r="E62" s="50">
        <v>2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61</v>
      </c>
      <c r="N62" s="50">
        <v>0</v>
      </c>
      <c r="O62" s="15">
        <f t="shared" si="0"/>
        <v>7</v>
      </c>
      <c r="P62" s="15">
        <f t="shared" si="1"/>
        <v>68</v>
      </c>
      <c r="R62" s="8"/>
      <c r="T62"/>
    </row>
    <row r="63" spans="2:20" ht="23.1" customHeight="1" x14ac:dyDescent="0.25">
      <c r="B63" s="45" t="s">
        <v>108</v>
      </c>
      <c r="C63" s="50">
        <v>4</v>
      </c>
      <c r="D63" s="50">
        <v>3</v>
      </c>
      <c r="E63" s="50">
        <v>1</v>
      </c>
      <c r="F63" s="50">
        <v>3</v>
      </c>
      <c r="G63" s="50">
        <v>0</v>
      </c>
      <c r="H63" s="50">
        <v>0</v>
      </c>
      <c r="I63" s="50">
        <v>0</v>
      </c>
      <c r="J63" s="50">
        <v>0</v>
      </c>
      <c r="K63" s="50">
        <v>0</v>
      </c>
      <c r="L63" s="50">
        <v>0</v>
      </c>
      <c r="M63" s="50">
        <v>58</v>
      </c>
      <c r="N63" s="50">
        <v>0</v>
      </c>
      <c r="O63" s="15">
        <f t="shared" si="0"/>
        <v>11</v>
      </c>
      <c r="P63" s="15">
        <f t="shared" si="1"/>
        <v>69</v>
      </c>
      <c r="R63" s="8"/>
      <c r="T63"/>
    </row>
    <row r="64" spans="2:20" ht="23.1" customHeight="1" x14ac:dyDescent="0.25">
      <c r="B64" s="45" t="s">
        <v>109</v>
      </c>
      <c r="C64" s="50">
        <v>5</v>
      </c>
      <c r="D64" s="50">
        <v>3</v>
      </c>
      <c r="E64" s="50">
        <v>3</v>
      </c>
      <c r="F64" s="50">
        <v>2</v>
      </c>
      <c r="G64" s="50">
        <v>0</v>
      </c>
      <c r="H64" s="50">
        <v>0</v>
      </c>
      <c r="I64" s="50">
        <v>0</v>
      </c>
      <c r="J64" s="50">
        <v>0</v>
      </c>
      <c r="K64" s="50">
        <v>0</v>
      </c>
      <c r="L64" s="50">
        <v>0</v>
      </c>
      <c r="M64" s="50">
        <v>52</v>
      </c>
      <c r="N64" s="50">
        <v>0</v>
      </c>
      <c r="O64" s="15">
        <f t="shared" si="0"/>
        <v>13</v>
      </c>
      <c r="P64" s="15">
        <f t="shared" si="1"/>
        <v>65</v>
      </c>
      <c r="R64" s="8"/>
      <c r="T64"/>
    </row>
    <row r="65" spans="2:20" ht="23.1" customHeight="1" x14ac:dyDescent="0.25">
      <c r="B65" s="45" t="s">
        <v>158</v>
      </c>
      <c r="C65" s="50">
        <v>0</v>
      </c>
      <c r="D65" s="50">
        <v>0</v>
      </c>
      <c r="E65" s="50">
        <v>2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47</v>
      </c>
      <c r="N65" s="50">
        <v>0</v>
      </c>
      <c r="O65" s="15">
        <f t="shared" si="0"/>
        <v>3</v>
      </c>
      <c r="P65" s="15">
        <f t="shared" si="1"/>
        <v>50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1</v>
      </c>
      <c r="F66" s="50">
        <v>2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45</v>
      </c>
      <c r="N66" s="50">
        <v>0</v>
      </c>
      <c r="O66" s="15">
        <f t="shared" si="0"/>
        <v>6</v>
      </c>
      <c r="P66" s="15">
        <f t="shared" si="1"/>
        <v>51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47</v>
      </c>
      <c r="N67" s="50">
        <v>0</v>
      </c>
      <c r="O67" s="15">
        <f t="shared" si="0"/>
        <v>4</v>
      </c>
      <c r="P67" s="15">
        <f t="shared" si="1"/>
        <v>51</v>
      </c>
      <c r="R67" s="8"/>
      <c r="T67"/>
    </row>
    <row r="68" spans="2:20" ht="23.1" customHeight="1" x14ac:dyDescent="0.25">
      <c r="B68" s="45" t="s">
        <v>105</v>
      </c>
      <c r="C68" s="50">
        <v>0</v>
      </c>
      <c r="D68" s="50">
        <v>1</v>
      </c>
      <c r="E68" s="50">
        <v>0</v>
      </c>
      <c r="F68" s="50">
        <v>1</v>
      </c>
      <c r="G68" s="50">
        <v>0</v>
      </c>
      <c r="H68" s="50">
        <v>0</v>
      </c>
      <c r="I68" s="50">
        <v>0</v>
      </c>
      <c r="J68" s="50">
        <v>0</v>
      </c>
      <c r="K68" s="50">
        <v>0</v>
      </c>
      <c r="L68" s="50">
        <v>0</v>
      </c>
      <c r="M68" s="50">
        <v>36</v>
      </c>
      <c r="N68" s="50">
        <v>0</v>
      </c>
      <c r="O68" s="15">
        <f t="shared" si="0"/>
        <v>2</v>
      </c>
      <c r="P68" s="15">
        <f t="shared" si="1"/>
        <v>38</v>
      </c>
      <c r="R68" s="8"/>
      <c r="T68"/>
    </row>
    <row r="69" spans="2:20" ht="23.1" customHeight="1" x14ac:dyDescent="0.25">
      <c r="B69" s="45" t="s">
        <v>106</v>
      </c>
      <c r="C69" s="50">
        <v>0</v>
      </c>
      <c r="D69" s="50">
        <v>0</v>
      </c>
      <c r="E69" s="50">
        <v>1</v>
      </c>
      <c r="F69" s="50">
        <v>2</v>
      </c>
      <c r="G69" s="50">
        <v>0</v>
      </c>
      <c r="H69" s="50">
        <v>0</v>
      </c>
      <c r="I69" s="50">
        <v>2</v>
      </c>
      <c r="J69" s="50">
        <v>3</v>
      </c>
      <c r="K69" s="50">
        <v>0</v>
      </c>
      <c r="L69" s="50">
        <v>0</v>
      </c>
      <c r="M69" s="50">
        <v>35</v>
      </c>
      <c r="N69" s="50">
        <v>0</v>
      </c>
      <c r="O69" s="15">
        <f t="shared" si="0"/>
        <v>8</v>
      </c>
      <c r="P69" s="15">
        <f t="shared" si="1"/>
        <v>43</v>
      </c>
      <c r="R69" s="8"/>
      <c r="T69"/>
    </row>
    <row r="70" spans="2:20" ht="23.1" customHeight="1" x14ac:dyDescent="0.25">
      <c r="B70" s="45" t="s">
        <v>110</v>
      </c>
      <c r="C70" s="50">
        <v>3</v>
      </c>
      <c r="D70" s="50">
        <v>1</v>
      </c>
      <c r="E70" s="50">
        <v>0</v>
      </c>
      <c r="F70" s="50">
        <v>1</v>
      </c>
      <c r="G70" s="50">
        <v>0</v>
      </c>
      <c r="H70" s="50">
        <v>0</v>
      </c>
      <c r="I70" s="50">
        <v>1</v>
      </c>
      <c r="J70" s="50">
        <v>0</v>
      </c>
      <c r="K70" s="50">
        <v>0</v>
      </c>
      <c r="L70" s="50">
        <v>0</v>
      </c>
      <c r="M70" s="50">
        <v>30</v>
      </c>
      <c r="N70" s="50">
        <v>0</v>
      </c>
      <c r="O70" s="15">
        <f t="shared" si="0"/>
        <v>6</v>
      </c>
      <c r="P70" s="15">
        <f t="shared" si="1"/>
        <v>36</v>
      </c>
      <c r="R70" s="8"/>
      <c r="T70"/>
    </row>
    <row r="71" spans="2:20" ht="23.1" customHeight="1" x14ac:dyDescent="0.25">
      <c r="B71" s="45" t="s">
        <v>111</v>
      </c>
      <c r="C71" s="50">
        <v>0</v>
      </c>
      <c r="D71" s="50">
        <v>0</v>
      </c>
      <c r="E71" s="50">
        <v>0</v>
      </c>
      <c r="F71" s="50">
        <v>1</v>
      </c>
      <c r="G71" s="50">
        <v>0</v>
      </c>
      <c r="H71" s="50">
        <v>0</v>
      </c>
      <c r="I71" s="50">
        <v>2</v>
      </c>
      <c r="J71" s="50">
        <v>0</v>
      </c>
      <c r="K71" s="50">
        <v>0</v>
      </c>
      <c r="L71" s="50">
        <v>0</v>
      </c>
      <c r="M71" s="50">
        <v>27</v>
      </c>
      <c r="N71" s="50">
        <v>0</v>
      </c>
      <c r="O71" s="15">
        <f t="shared" si="0"/>
        <v>3</v>
      </c>
      <c r="P71" s="15">
        <f t="shared" si="1"/>
        <v>30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3</v>
      </c>
      <c r="E72" s="50">
        <v>0</v>
      </c>
      <c r="F72" s="50">
        <v>3</v>
      </c>
      <c r="G72" s="50">
        <v>0</v>
      </c>
      <c r="H72" s="50">
        <v>0</v>
      </c>
      <c r="I72" s="50">
        <v>0</v>
      </c>
      <c r="J72" s="50">
        <v>0</v>
      </c>
      <c r="K72" s="50">
        <v>0</v>
      </c>
      <c r="L72" s="50">
        <v>0</v>
      </c>
      <c r="M72" s="50">
        <v>26</v>
      </c>
      <c r="N72" s="50">
        <v>0</v>
      </c>
      <c r="O72" s="15">
        <f t="shared" si="0"/>
        <v>8</v>
      </c>
      <c r="P72" s="15">
        <f t="shared" si="1"/>
        <v>34</v>
      </c>
      <c r="R72" s="8"/>
      <c r="T72"/>
    </row>
    <row r="73" spans="2:20" ht="23.1" customHeight="1" x14ac:dyDescent="0.25">
      <c r="B73" s="45" t="s">
        <v>113</v>
      </c>
      <c r="C73" s="50">
        <v>2</v>
      </c>
      <c r="D73" s="50">
        <v>0</v>
      </c>
      <c r="E73" s="50">
        <v>0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21</v>
      </c>
      <c r="N73" s="50">
        <v>0</v>
      </c>
      <c r="O73" s="15">
        <f t="shared" si="0"/>
        <v>3</v>
      </c>
      <c r="P73" s="15">
        <f t="shared" si="1"/>
        <v>24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0</v>
      </c>
      <c r="E74" s="50">
        <v>0</v>
      </c>
      <c r="F74" s="50">
        <v>1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52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55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1</v>
      </c>
      <c r="E75" s="50">
        <v>2</v>
      </c>
      <c r="F75" s="50">
        <v>0</v>
      </c>
      <c r="G75" s="50">
        <v>0</v>
      </c>
      <c r="H75" s="50">
        <v>0</v>
      </c>
      <c r="I75" s="50">
        <v>0</v>
      </c>
      <c r="J75" s="50">
        <v>1</v>
      </c>
      <c r="K75" s="50">
        <v>0</v>
      </c>
      <c r="L75" s="50">
        <v>0</v>
      </c>
      <c r="M75" s="50">
        <v>20</v>
      </c>
      <c r="N75" s="50">
        <v>0</v>
      </c>
      <c r="O75" s="15">
        <f t="shared" si="35"/>
        <v>4</v>
      </c>
      <c r="P75" s="15">
        <f t="shared" si="36"/>
        <v>24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2</v>
      </c>
      <c r="J76" s="50">
        <v>0</v>
      </c>
      <c r="K76" s="50">
        <v>2</v>
      </c>
      <c r="L76" s="50">
        <v>0</v>
      </c>
      <c r="M76" s="50">
        <v>20</v>
      </c>
      <c r="N76" s="50">
        <v>0</v>
      </c>
      <c r="O76" s="15">
        <f t="shared" si="35"/>
        <v>4</v>
      </c>
      <c r="P76" s="15">
        <f t="shared" si="36"/>
        <v>24</v>
      </c>
      <c r="R76" s="8"/>
      <c r="T76"/>
    </row>
    <row r="77" spans="2:20" ht="23.1" customHeight="1" x14ac:dyDescent="0.25">
      <c r="B77" s="45" t="s">
        <v>117</v>
      </c>
      <c r="C77" s="50">
        <v>0</v>
      </c>
      <c r="D77" s="50">
        <v>0</v>
      </c>
      <c r="E77" s="50">
        <v>0</v>
      </c>
      <c r="F77" s="50">
        <v>0</v>
      </c>
      <c r="G77" s="50">
        <v>0</v>
      </c>
      <c r="H77" s="50">
        <v>0</v>
      </c>
      <c r="I77" s="50">
        <v>0</v>
      </c>
      <c r="J77" s="50">
        <v>1</v>
      </c>
      <c r="K77" s="50">
        <v>0</v>
      </c>
      <c r="L77" s="50">
        <v>0</v>
      </c>
      <c r="M77" s="50">
        <v>18</v>
      </c>
      <c r="N77" s="50">
        <v>0</v>
      </c>
      <c r="O77" s="15">
        <f t="shared" si="35"/>
        <v>1</v>
      </c>
      <c r="P77" s="15">
        <f t="shared" si="36"/>
        <v>19</v>
      </c>
      <c r="R77" s="8"/>
      <c r="T77"/>
    </row>
    <row r="78" spans="2:20" ht="23.1" customHeight="1" x14ac:dyDescent="0.25">
      <c r="B78" s="46" t="s">
        <v>118</v>
      </c>
      <c r="C78" s="50">
        <v>1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0</v>
      </c>
      <c r="K78" s="50">
        <v>0</v>
      </c>
      <c r="L78" s="50">
        <v>0</v>
      </c>
      <c r="M78" s="50">
        <v>8</v>
      </c>
      <c r="N78" s="50">
        <v>0</v>
      </c>
      <c r="O78" s="15">
        <f t="shared" si="35"/>
        <v>1</v>
      </c>
      <c r="P78" s="15">
        <f t="shared" si="36"/>
        <v>9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0</v>
      </c>
      <c r="E79" s="50">
        <v>0</v>
      </c>
      <c r="F79" s="50">
        <v>1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10</v>
      </c>
      <c r="N79" s="50">
        <v>0</v>
      </c>
      <c r="O79" s="15">
        <f t="shared" si="35"/>
        <v>1</v>
      </c>
      <c r="P79" s="15">
        <f t="shared" si="36"/>
        <v>11</v>
      </c>
      <c r="R79" s="8"/>
      <c r="T79"/>
    </row>
    <row r="80" spans="2:20" ht="23.1" customHeight="1" x14ac:dyDescent="0.25">
      <c r="B80" s="47" t="s">
        <v>120</v>
      </c>
      <c r="C80" s="50">
        <v>0</v>
      </c>
      <c r="D80" s="50">
        <v>0</v>
      </c>
      <c r="E80" s="50">
        <v>0</v>
      </c>
      <c r="F80" s="50">
        <v>0</v>
      </c>
      <c r="G80" s="50">
        <v>0</v>
      </c>
      <c r="H80" s="50">
        <v>0</v>
      </c>
      <c r="I80" s="50">
        <v>1</v>
      </c>
      <c r="J80" s="50">
        <v>0</v>
      </c>
      <c r="K80" s="50">
        <v>0</v>
      </c>
      <c r="L80" s="50">
        <v>0</v>
      </c>
      <c r="M80" s="50">
        <v>11</v>
      </c>
      <c r="N80" s="50">
        <v>0</v>
      </c>
      <c r="O80" s="15">
        <f t="shared" si="35"/>
        <v>1</v>
      </c>
      <c r="P80" s="15">
        <f t="shared" si="36"/>
        <v>12</v>
      </c>
      <c r="R80" s="8"/>
      <c r="T80"/>
    </row>
    <row r="81" spans="2:20" ht="23.1" customHeight="1" x14ac:dyDescent="0.25">
      <c r="B81" s="45" t="s">
        <v>121</v>
      </c>
      <c r="C81" s="50">
        <v>0</v>
      </c>
      <c r="D81" s="50">
        <v>1</v>
      </c>
      <c r="E81" s="50">
        <v>2</v>
      </c>
      <c r="F81" s="50">
        <v>0</v>
      </c>
      <c r="G81" s="50">
        <v>0</v>
      </c>
      <c r="H81" s="50">
        <v>0</v>
      </c>
      <c r="I81" s="50">
        <v>0</v>
      </c>
      <c r="J81" s="50">
        <v>2</v>
      </c>
      <c r="K81" s="50">
        <v>2</v>
      </c>
      <c r="L81" s="50">
        <v>0</v>
      </c>
      <c r="M81" s="50">
        <v>7</v>
      </c>
      <c r="N81" s="50">
        <v>0</v>
      </c>
      <c r="O81" s="15">
        <f t="shared" si="35"/>
        <v>7</v>
      </c>
      <c r="P81" s="15">
        <f t="shared" si="36"/>
        <v>14</v>
      </c>
      <c r="R81" s="8"/>
      <c r="T81"/>
    </row>
    <row r="82" spans="2:20" ht="23.1" customHeight="1" x14ac:dyDescent="0.25">
      <c r="B82" s="46" t="s">
        <v>122</v>
      </c>
      <c r="C82" s="50">
        <v>0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3</v>
      </c>
      <c r="N82" s="50">
        <v>0</v>
      </c>
      <c r="O82" s="15">
        <f t="shared" si="35"/>
        <v>1</v>
      </c>
      <c r="P82" s="15">
        <f t="shared" si="36"/>
        <v>4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0</v>
      </c>
      <c r="E83" s="50">
        <v>1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2</v>
      </c>
      <c r="N83" s="50">
        <v>0</v>
      </c>
      <c r="O83" s="15">
        <f t="shared" si="35"/>
        <v>1</v>
      </c>
      <c r="P83" s="15">
        <f t="shared" si="36"/>
        <v>3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3</v>
      </c>
      <c r="N84" s="50">
        <v>0</v>
      </c>
      <c r="O84" s="15">
        <f t="shared" si="35"/>
        <v>0</v>
      </c>
      <c r="P84" s="15">
        <f t="shared" si="36"/>
        <v>3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2</v>
      </c>
      <c r="J85" s="50">
        <v>0</v>
      </c>
      <c r="K85" s="50">
        <v>1</v>
      </c>
      <c r="L85" s="50">
        <v>0</v>
      </c>
      <c r="M85" s="50">
        <v>0</v>
      </c>
      <c r="N85" s="50">
        <v>0</v>
      </c>
      <c r="O85" s="15">
        <f t="shared" si="35"/>
        <v>3</v>
      </c>
      <c r="P85" s="15">
        <f t="shared" si="36"/>
        <v>3</v>
      </c>
      <c r="R85" s="8"/>
      <c r="T85"/>
    </row>
    <row r="86" spans="2:20" ht="23.1" customHeight="1" x14ac:dyDescent="0.25">
      <c r="B86" s="46" t="s">
        <v>126</v>
      </c>
      <c r="C86" s="50">
        <v>1</v>
      </c>
      <c r="D86" s="50">
        <v>1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1</v>
      </c>
      <c r="L86" s="50">
        <v>0</v>
      </c>
      <c r="M86" s="50">
        <v>0</v>
      </c>
      <c r="N86" s="50">
        <v>0</v>
      </c>
      <c r="O86" s="15">
        <f t="shared" si="35"/>
        <v>3</v>
      </c>
      <c r="P86" s="15">
        <f t="shared" si="36"/>
        <v>3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0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0</v>
      </c>
      <c r="P87" s="15">
        <f t="shared" si="36"/>
        <v>0</v>
      </c>
      <c r="R87" s="8"/>
      <c r="T87"/>
    </row>
    <row r="88" spans="2:20" ht="23.1" customHeight="1" x14ac:dyDescent="0.25">
      <c r="B88" s="47" t="s">
        <v>128</v>
      </c>
      <c r="C88" s="50">
        <v>0</v>
      </c>
      <c r="D88" s="50">
        <v>0</v>
      </c>
      <c r="E88" s="50">
        <v>0</v>
      </c>
      <c r="F88" s="50">
        <v>1</v>
      </c>
      <c r="G88" s="50">
        <v>0</v>
      </c>
      <c r="H88" s="50">
        <v>0</v>
      </c>
      <c r="I88" s="50">
        <v>2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3</v>
      </c>
      <c r="P88" s="15">
        <f t="shared" si="36"/>
        <v>3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0</v>
      </c>
      <c r="E89" s="50">
        <v>2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0</v>
      </c>
      <c r="N89" s="50">
        <v>0</v>
      </c>
      <c r="O89" s="15">
        <f t="shared" si="35"/>
        <v>4</v>
      </c>
      <c r="P89" s="15">
        <f t="shared" si="36"/>
        <v>4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0</v>
      </c>
      <c r="N90" s="50">
        <v>0</v>
      </c>
      <c r="O90" s="15">
        <f t="shared" si="35"/>
        <v>1</v>
      </c>
      <c r="P90" s="15">
        <f t="shared" si="36"/>
        <v>1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3</v>
      </c>
      <c r="J91" s="50">
        <v>2</v>
      </c>
      <c r="K91" s="50">
        <v>0</v>
      </c>
      <c r="L91" s="50">
        <v>0</v>
      </c>
      <c r="M91" s="50">
        <v>1</v>
      </c>
      <c r="N91" s="50">
        <v>0</v>
      </c>
      <c r="O91" s="15">
        <f t="shared" si="35"/>
        <v>5</v>
      </c>
      <c r="P91" s="15">
        <f t="shared" si="36"/>
        <v>6</v>
      </c>
      <c r="R91" s="8"/>
      <c r="T91"/>
    </row>
    <row r="92" spans="2:20" ht="23.1" customHeight="1" x14ac:dyDescent="0.25">
      <c r="B92" s="47" t="s">
        <v>132</v>
      </c>
      <c r="C92" s="50">
        <v>1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3</v>
      </c>
      <c r="E93" s="50">
        <v>0</v>
      </c>
      <c r="F93" s="50">
        <v>3</v>
      </c>
      <c r="G93" s="50">
        <v>0</v>
      </c>
      <c r="H93" s="50">
        <v>0</v>
      </c>
      <c r="I93" s="50">
        <v>1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8</v>
      </c>
      <c r="P93" s="15">
        <f t="shared" si="36"/>
        <v>10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1</v>
      </c>
      <c r="E94" s="50">
        <v>2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0</v>
      </c>
      <c r="N94" s="50">
        <v>0</v>
      </c>
      <c r="O94" s="15">
        <f t="shared" si="35"/>
        <v>3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0</v>
      </c>
      <c r="G95" s="50">
        <v>0</v>
      </c>
      <c r="H95" s="50">
        <v>0</v>
      </c>
      <c r="I95" s="50">
        <v>2</v>
      </c>
      <c r="J95" s="50">
        <v>1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3</v>
      </c>
      <c r="P95" s="15">
        <f t="shared" si="36"/>
        <v>3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1</v>
      </c>
      <c r="E96" s="50">
        <v>2</v>
      </c>
      <c r="F96" s="50">
        <v>4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1</v>
      </c>
      <c r="N96" s="50">
        <v>0</v>
      </c>
      <c r="O96" s="15">
        <f t="shared" si="35"/>
        <v>7</v>
      </c>
      <c r="P96" s="15">
        <f t="shared" si="36"/>
        <v>8</v>
      </c>
      <c r="R96" s="8"/>
      <c r="T96"/>
    </row>
    <row r="97" spans="2:20" ht="23.1" customHeight="1" x14ac:dyDescent="0.25">
      <c r="B97" s="45" t="s">
        <v>137</v>
      </c>
      <c r="C97" s="50">
        <v>3</v>
      </c>
      <c r="D97" s="50">
        <v>0</v>
      </c>
      <c r="E97" s="50">
        <v>1</v>
      </c>
      <c r="F97" s="50">
        <v>1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2</v>
      </c>
      <c r="N97" s="50">
        <v>0</v>
      </c>
      <c r="O97" s="15">
        <f t="shared" si="35"/>
        <v>5</v>
      </c>
      <c r="P97" s="15">
        <f t="shared" si="36"/>
        <v>7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0</v>
      </c>
      <c r="F98" s="50">
        <v>0</v>
      </c>
      <c r="G98" s="50">
        <v>0</v>
      </c>
      <c r="H98" s="50">
        <v>0</v>
      </c>
      <c r="I98" s="50">
        <v>3</v>
      </c>
      <c r="J98" s="50">
        <v>1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4</v>
      </c>
      <c r="P98" s="15">
        <f t="shared" si="36"/>
        <v>7</v>
      </c>
      <c r="R98" s="8"/>
      <c r="T98"/>
    </row>
    <row r="99" spans="2:20" ht="23.1" customHeight="1" x14ac:dyDescent="0.25">
      <c r="B99" s="45" t="s">
        <v>139</v>
      </c>
      <c r="C99" s="50">
        <v>0</v>
      </c>
      <c r="D99" s="50">
        <v>0</v>
      </c>
      <c r="E99" s="50">
        <v>0</v>
      </c>
      <c r="F99" s="50">
        <v>2</v>
      </c>
      <c r="G99" s="50">
        <v>0</v>
      </c>
      <c r="H99" s="50">
        <v>0</v>
      </c>
      <c r="I99" s="50">
        <v>1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1</v>
      </c>
      <c r="E100" s="50">
        <v>1</v>
      </c>
      <c r="F100" s="50">
        <v>0</v>
      </c>
      <c r="G100" s="50">
        <v>0</v>
      </c>
      <c r="H100" s="50">
        <v>0</v>
      </c>
      <c r="I100" s="50">
        <v>0</v>
      </c>
      <c r="J100" s="50">
        <v>2</v>
      </c>
      <c r="K100" s="50">
        <v>0</v>
      </c>
      <c r="L100" s="50">
        <v>0</v>
      </c>
      <c r="M100" s="50">
        <v>2</v>
      </c>
      <c r="N100" s="50">
        <v>0</v>
      </c>
      <c r="O100" s="15">
        <f t="shared" si="35"/>
        <v>4</v>
      </c>
      <c r="P100" s="15">
        <f t="shared" si="36"/>
        <v>6</v>
      </c>
      <c r="R100" s="8"/>
      <c r="T100"/>
    </row>
    <row r="101" spans="2:20" ht="23.1" customHeight="1" x14ac:dyDescent="0.25">
      <c r="B101" s="45" t="s">
        <v>141</v>
      </c>
      <c r="C101" s="50">
        <v>0</v>
      </c>
      <c r="D101" s="50">
        <v>0</v>
      </c>
      <c r="E101" s="50">
        <v>0</v>
      </c>
      <c r="F101" s="50">
        <v>1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5</v>
      </c>
      <c r="N101" s="50">
        <v>0</v>
      </c>
      <c r="O101" s="15">
        <f t="shared" si="35"/>
        <v>1</v>
      </c>
      <c r="P101" s="15">
        <f t="shared" si="36"/>
        <v>6</v>
      </c>
      <c r="R101" s="8"/>
      <c r="T101"/>
    </row>
    <row r="102" spans="2:20" ht="23.1" customHeight="1" x14ac:dyDescent="0.25">
      <c r="B102" s="46" t="s">
        <v>142</v>
      </c>
      <c r="C102" s="50">
        <v>1</v>
      </c>
      <c r="D102" s="50">
        <v>2</v>
      </c>
      <c r="E102" s="50">
        <v>0</v>
      </c>
      <c r="F102" s="50">
        <v>3</v>
      </c>
      <c r="G102" s="50">
        <v>0</v>
      </c>
      <c r="H102" s="50">
        <v>0</v>
      </c>
      <c r="I102" s="50">
        <v>0</v>
      </c>
      <c r="J102" s="50">
        <v>2</v>
      </c>
      <c r="K102" s="50">
        <v>0</v>
      </c>
      <c r="L102" s="50">
        <v>0</v>
      </c>
      <c r="M102" s="50">
        <v>6</v>
      </c>
      <c r="N102" s="50">
        <v>0</v>
      </c>
      <c r="O102" s="15">
        <f t="shared" si="35"/>
        <v>8</v>
      </c>
      <c r="P102" s="15">
        <f t="shared" si="36"/>
        <v>14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1</v>
      </c>
      <c r="E103" s="50">
        <v>0</v>
      </c>
      <c r="F103" s="50">
        <v>1</v>
      </c>
      <c r="G103" s="50">
        <v>0</v>
      </c>
      <c r="H103" s="50">
        <v>0</v>
      </c>
      <c r="I103" s="50">
        <v>3</v>
      </c>
      <c r="J103" s="50">
        <v>0</v>
      </c>
      <c r="K103" s="50">
        <v>0</v>
      </c>
      <c r="L103" s="50">
        <v>0</v>
      </c>
      <c r="M103" s="50">
        <v>5</v>
      </c>
      <c r="N103" s="50">
        <v>0</v>
      </c>
      <c r="O103" s="15">
        <f t="shared" si="35"/>
        <v>5</v>
      </c>
      <c r="P103" s="15">
        <f t="shared" si="36"/>
        <v>10</v>
      </c>
      <c r="R103" s="8"/>
      <c r="T103"/>
    </row>
    <row r="104" spans="2:20" ht="23.1" customHeight="1" x14ac:dyDescent="0.25">
      <c r="B104" s="47" t="s">
        <v>144</v>
      </c>
      <c r="C104" s="50">
        <v>3</v>
      </c>
      <c r="D104" s="50">
        <v>0</v>
      </c>
      <c r="E104" s="50">
        <v>1</v>
      </c>
      <c r="F104" s="50">
        <v>2</v>
      </c>
      <c r="G104" s="50">
        <v>0</v>
      </c>
      <c r="H104" s="50">
        <v>0</v>
      </c>
      <c r="I104" s="50">
        <v>0</v>
      </c>
      <c r="J104" s="50">
        <v>0</v>
      </c>
      <c r="K104" s="50">
        <v>1</v>
      </c>
      <c r="L104" s="50">
        <v>0</v>
      </c>
      <c r="M104" s="50">
        <v>3</v>
      </c>
      <c r="N104" s="50">
        <v>0</v>
      </c>
      <c r="O104" s="15">
        <f t="shared" si="35"/>
        <v>7</v>
      </c>
      <c r="P104" s="15">
        <f t="shared" si="36"/>
        <v>10</v>
      </c>
      <c r="R104" s="8"/>
      <c r="T104"/>
    </row>
    <row r="105" spans="2:20" ht="23.1" customHeight="1" x14ac:dyDescent="0.25">
      <c r="B105" s="45" t="s">
        <v>145</v>
      </c>
      <c r="C105" s="50">
        <v>0</v>
      </c>
      <c r="D105" s="50">
        <v>0</v>
      </c>
      <c r="E105" s="50">
        <v>0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19</v>
      </c>
      <c r="N105" s="50">
        <v>0</v>
      </c>
      <c r="O105" s="15">
        <f t="shared" si="35"/>
        <v>3</v>
      </c>
      <c r="P105" s="15">
        <f t="shared" si="36"/>
        <v>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236</v>
      </c>
      <c r="D106" s="16">
        <f t="shared" ref="D106:P106" si="37">SUM(D10:D105)</f>
        <v>108</v>
      </c>
      <c r="E106" s="16">
        <f t="shared" si="37"/>
        <v>74</v>
      </c>
      <c r="F106" s="16">
        <f t="shared" si="37"/>
        <v>239</v>
      </c>
      <c r="G106" s="16">
        <f t="shared" si="37"/>
        <v>7</v>
      </c>
      <c r="H106" s="16">
        <f t="shared" si="37"/>
        <v>3</v>
      </c>
      <c r="I106" s="16">
        <f t="shared" si="37"/>
        <v>100</v>
      </c>
      <c r="J106" s="16">
        <f t="shared" si="37"/>
        <v>63</v>
      </c>
      <c r="K106" s="16">
        <f t="shared" si="37"/>
        <v>20</v>
      </c>
      <c r="L106" s="16">
        <f t="shared" si="37"/>
        <v>1</v>
      </c>
      <c r="M106" s="16">
        <f t="shared" si="37"/>
        <v>4490</v>
      </c>
      <c r="N106" s="16">
        <f t="shared" si="37"/>
        <v>1</v>
      </c>
      <c r="O106" s="16">
        <f t="shared" si="37"/>
        <v>852</v>
      </c>
      <c r="P106" s="16">
        <f t="shared" si="37"/>
        <v>5342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4.4178210408086858E-2</v>
      </c>
      <c r="D107" s="43">
        <f t="shared" si="38"/>
        <v>2.0217147135904157E-2</v>
      </c>
      <c r="E107" s="43">
        <f t="shared" si="38"/>
        <v>1.3852489704230626E-2</v>
      </c>
      <c r="F107" s="43">
        <f t="shared" si="38"/>
        <v>4.4739797828528639E-2</v>
      </c>
      <c r="G107" s="43">
        <f t="shared" si="38"/>
        <v>1.3103706476974915E-3</v>
      </c>
      <c r="H107" s="43">
        <f t="shared" si="38"/>
        <v>5.6158742044178209E-4</v>
      </c>
      <c r="I107" s="43">
        <f t="shared" si="38"/>
        <v>1.8719580681392737E-2</v>
      </c>
      <c r="J107" s="43">
        <f t="shared" si="38"/>
        <v>1.1793335829277425E-2</v>
      </c>
      <c r="K107" s="43">
        <f t="shared" si="38"/>
        <v>3.7439161362785474E-3</v>
      </c>
      <c r="L107" s="43">
        <f t="shared" si="38"/>
        <v>1.8719580681392738E-4</v>
      </c>
      <c r="M107" s="43">
        <f t="shared" si="38"/>
        <v>0.84050917259453384</v>
      </c>
      <c r="N107" s="43">
        <f t="shared" si="38"/>
        <v>1.8719580681392738E-4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0.27699530516431925</v>
      </c>
      <c r="D108" s="44">
        <f t="shared" ref="D108:N108" si="39">D106/$O$106</f>
        <v>0.12676056338028169</v>
      </c>
      <c r="E108" s="44">
        <f t="shared" si="39"/>
        <v>8.6854460093896718E-2</v>
      </c>
      <c r="F108" s="44">
        <f t="shared" si="39"/>
        <v>0.28051643192488263</v>
      </c>
      <c r="G108" s="44">
        <f t="shared" si="39"/>
        <v>8.2159624413145546E-3</v>
      </c>
      <c r="H108" s="44">
        <f t="shared" si="39"/>
        <v>3.5211267605633804E-3</v>
      </c>
      <c r="I108" s="44">
        <f t="shared" si="39"/>
        <v>0.11737089201877934</v>
      </c>
      <c r="J108" s="44">
        <f t="shared" si="39"/>
        <v>7.3943661971830985E-2</v>
      </c>
      <c r="K108" s="44">
        <f t="shared" si="39"/>
        <v>2.3474178403755867E-2</v>
      </c>
      <c r="L108" s="44">
        <f t="shared" si="39"/>
        <v>1.1737089201877935E-3</v>
      </c>
      <c r="M108" s="44"/>
      <c r="N108" s="44">
        <f t="shared" si="39"/>
        <v>1.1737089201877935E-3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172</v>
      </c>
      <c r="E5" s="3"/>
      <c r="F5" s="41" t="s">
        <v>1</v>
      </c>
      <c r="G5" s="61" t="str">
        <f>'22.08 Iganga-Kaliro'!G5:H5</f>
        <v>Kigulu</v>
      </c>
      <c r="H5" s="62"/>
      <c r="I5" s="14"/>
      <c r="J5" s="2" t="s">
        <v>5</v>
      </c>
      <c r="K5" s="61" t="str">
        <f>'22.08 Iganga-Kaliro'!K5:L5</f>
        <v>Kirabo Edith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'22.08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1</v>
      </c>
      <c r="E10" s="50">
        <v>0</v>
      </c>
      <c r="F10" s="50">
        <v>5</v>
      </c>
      <c r="G10" s="50">
        <v>0</v>
      </c>
      <c r="H10" s="50">
        <v>0</v>
      </c>
      <c r="I10" s="50">
        <v>1</v>
      </c>
      <c r="J10" s="50">
        <v>1</v>
      </c>
      <c r="K10" s="50">
        <v>0</v>
      </c>
      <c r="L10" s="50">
        <v>0</v>
      </c>
      <c r="M10" s="50">
        <v>50</v>
      </c>
      <c r="N10" s="50">
        <v>0</v>
      </c>
      <c r="O10" s="15">
        <f t="shared" ref="O10:O57" si="0">SUM(C10:L10,N10)</f>
        <v>10</v>
      </c>
      <c r="P10" s="15">
        <f t="shared" ref="P10:P57" si="1">SUM(C10:N10)</f>
        <v>60</v>
      </c>
      <c r="R10" s="1" t="s">
        <v>6</v>
      </c>
      <c r="S10" s="17">
        <f t="shared" ref="S10:AF10" si="2">SUM(C10:C13)</f>
        <v>6</v>
      </c>
      <c r="T10" s="17">
        <f t="shared" si="2"/>
        <v>5</v>
      </c>
      <c r="U10" s="17">
        <f t="shared" si="2"/>
        <v>5</v>
      </c>
      <c r="V10" s="17">
        <f t="shared" si="2"/>
        <v>14</v>
      </c>
      <c r="W10" s="17">
        <f t="shared" si="2"/>
        <v>0</v>
      </c>
      <c r="X10" s="17">
        <f t="shared" si="2"/>
        <v>0</v>
      </c>
      <c r="Y10" s="17">
        <f t="shared" si="2"/>
        <v>7</v>
      </c>
      <c r="Z10" s="17">
        <f t="shared" si="2"/>
        <v>5</v>
      </c>
      <c r="AA10" s="17">
        <f t="shared" si="2"/>
        <v>0</v>
      </c>
      <c r="AB10" s="17">
        <f t="shared" si="2"/>
        <v>0</v>
      </c>
      <c r="AC10" s="17">
        <f t="shared" si="2"/>
        <v>240</v>
      </c>
      <c r="AD10" s="17">
        <f t="shared" si="2"/>
        <v>0</v>
      </c>
      <c r="AE10" s="31">
        <f t="shared" si="2"/>
        <v>42</v>
      </c>
      <c r="AF10" s="31">
        <f t="shared" si="2"/>
        <v>282</v>
      </c>
    </row>
    <row r="11" spans="2:32" s="6" customFormat="1" ht="23.1" customHeight="1" x14ac:dyDescent="0.25">
      <c r="B11" s="23" t="s">
        <v>38</v>
      </c>
      <c r="C11" s="50">
        <v>2</v>
      </c>
      <c r="D11" s="50">
        <v>1</v>
      </c>
      <c r="E11" s="50">
        <v>0</v>
      </c>
      <c r="F11" s="50">
        <v>4</v>
      </c>
      <c r="G11" s="50">
        <v>0</v>
      </c>
      <c r="H11" s="50">
        <v>0</v>
      </c>
      <c r="I11" s="50">
        <v>3</v>
      </c>
      <c r="J11" s="50">
        <v>1</v>
      </c>
      <c r="K11" s="50">
        <v>0</v>
      </c>
      <c r="L11" s="50">
        <v>0</v>
      </c>
      <c r="M11" s="50">
        <v>70</v>
      </c>
      <c r="N11" s="50">
        <v>0</v>
      </c>
      <c r="O11" s="15">
        <f t="shared" si="0"/>
        <v>11</v>
      </c>
      <c r="P11" s="15">
        <f t="shared" si="1"/>
        <v>81</v>
      </c>
      <c r="R11" s="1" t="s">
        <v>7</v>
      </c>
      <c r="S11" s="17">
        <f t="shared" ref="S11:AF11" si="3">SUM(C14:C17)</f>
        <v>7</v>
      </c>
      <c r="T11" s="17">
        <f t="shared" si="3"/>
        <v>8</v>
      </c>
      <c r="U11" s="17">
        <f t="shared" si="3"/>
        <v>0</v>
      </c>
      <c r="V11" s="17">
        <f t="shared" si="3"/>
        <v>1</v>
      </c>
      <c r="W11" s="17">
        <f t="shared" si="3"/>
        <v>0</v>
      </c>
      <c r="X11" s="17">
        <f t="shared" si="3"/>
        <v>0</v>
      </c>
      <c r="Y11" s="17">
        <f t="shared" si="3"/>
        <v>1</v>
      </c>
      <c r="Z11" s="17">
        <f t="shared" si="3"/>
        <v>4</v>
      </c>
      <c r="AA11" s="17">
        <f t="shared" si="3"/>
        <v>0</v>
      </c>
      <c r="AB11" s="17">
        <f t="shared" si="3"/>
        <v>0</v>
      </c>
      <c r="AC11" s="17">
        <f t="shared" si="3"/>
        <v>195</v>
      </c>
      <c r="AD11" s="17">
        <f t="shared" si="3"/>
        <v>0</v>
      </c>
      <c r="AE11" s="31">
        <f t="shared" si="3"/>
        <v>21</v>
      </c>
      <c r="AF11" s="31">
        <f t="shared" si="3"/>
        <v>216</v>
      </c>
    </row>
    <row r="12" spans="2:32" ht="23.1" customHeight="1" x14ac:dyDescent="0.25">
      <c r="B12" s="23" t="s">
        <v>39</v>
      </c>
      <c r="C12" s="50">
        <v>0</v>
      </c>
      <c r="D12" s="50">
        <v>2</v>
      </c>
      <c r="E12" s="50">
        <v>3</v>
      </c>
      <c r="F12" s="50">
        <v>2</v>
      </c>
      <c r="G12" s="50">
        <v>0</v>
      </c>
      <c r="H12" s="50">
        <v>0</v>
      </c>
      <c r="I12" s="50">
        <v>2</v>
      </c>
      <c r="J12" s="50">
        <v>2</v>
      </c>
      <c r="K12" s="50">
        <v>0</v>
      </c>
      <c r="L12" s="50">
        <v>0</v>
      </c>
      <c r="M12" s="50">
        <v>70</v>
      </c>
      <c r="N12" s="50">
        <v>0</v>
      </c>
      <c r="O12" s="15">
        <f t="shared" si="0"/>
        <v>11</v>
      </c>
      <c r="P12" s="15">
        <f t="shared" si="1"/>
        <v>81</v>
      </c>
      <c r="R12" s="1" t="s">
        <v>8</v>
      </c>
      <c r="S12" s="17">
        <f t="shared" ref="S12:AF12" si="4">SUM(C18:C21)</f>
        <v>10</v>
      </c>
      <c r="T12" s="17">
        <f t="shared" si="4"/>
        <v>7</v>
      </c>
      <c r="U12" s="17">
        <f t="shared" si="4"/>
        <v>3</v>
      </c>
      <c r="V12" s="17">
        <f t="shared" si="4"/>
        <v>5</v>
      </c>
      <c r="W12" s="17">
        <f t="shared" si="4"/>
        <v>0</v>
      </c>
      <c r="X12" s="17">
        <f t="shared" si="4"/>
        <v>0</v>
      </c>
      <c r="Y12" s="17">
        <f t="shared" si="4"/>
        <v>4</v>
      </c>
      <c r="Z12" s="17">
        <f t="shared" si="4"/>
        <v>5</v>
      </c>
      <c r="AA12" s="17">
        <f t="shared" si="4"/>
        <v>1</v>
      </c>
      <c r="AB12" s="17">
        <f t="shared" si="4"/>
        <v>0</v>
      </c>
      <c r="AC12" s="17">
        <f t="shared" si="4"/>
        <v>220</v>
      </c>
      <c r="AD12" s="17">
        <f t="shared" si="4"/>
        <v>0</v>
      </c>
      <c r="AE12" s="31">
        <f t="shared" si="4"/>
        <v>35</v>
      </c>
      <c r="AF12" s="31">
        <f t="shared" si="4"/>
        <v>255</v>
      </c>
    </row>
    <row r="13" spans="2:32" ht="23.1" customHeight="1" x14ac:dyDescent="0.25">
      <c r="B13" s="23" t="s">
        <v>40</v>
      </c>
      <c r="C13" s="50">
        <v>2</v>
      </c>
      <c r="D13" s="50">
        <v>1</v>
      </c>
      <c r="E13" s="50">
        <v>2</v>
      </c>
      <c r="F13" s="50">
        <v>3</v>
      </c>
      <c r="G13" s="50">
        <v>0</v>
      </c>
      <c r="H13" s="50">
        <v>0</v>
      </c>
      <c r="I13" s="50">
        <v>1</v>
      </c>
      <c r="J13" s="50">
        <v>1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10</v>
      </c>
      <c r="P13" s="15">
        <f t="shared" si="1"/>
        <v>60</v>
      </c>
      <c r="R13" s="1" t="s">
        <v>9</v>
      </c>
      <c r="S13" s="17">
        <f t="shared" ref="S13:AF13" si="5">SUM(C22:C25)</f>
        <v>17</v>
      </c>
      <c r="T13" s="17">
        <f t="shared" si="5"/>
        <v>14</v>
      </c>
      <c r="U13" s="17">
        <f t="shared" si="5"/>
        <v>2</v>
      </c>
      <c r="V13" s="17">
        <f t="shared" si="5"/>
        <v>11</v>
      </c>
      <c r="W13" s="17">
        <f t="shared" si="5"/>
        <v>0</v>
      </c>
      <c r="X13" s="17">
        <f t="shared" si="5"/>
        <v>0</v>
      </c>
      <c r="Y13" s="17">
        <f t="shared" si="5"/>
        <v>5</v>
      </c>
      <c r="Z13" s="17">
        <f t="shared" si="5"/>
        <v>8</v>
      </c>
      <c r="AA13" s="17">
        <f t="shared" si="5"/>
        <v>0</v>
      </c>
      <c r="AB13" s="17">
        <f t="shared" si="5"/>
        <v>0</v>
      </c>
      <c r="AC13" s="17">
        <f t="shared" si="5"/>
        <v>355</v>
      </c>
      <c r="AD13" s="17">
        <f t="shared" si="5"/>
        <v>1</v>
      </c>
      <c r="AE13" s="31">
        <f t="shared" si="5"/>
        <v>58</v>
      </c>
      <c r="AF13" s="31">
        <f t="shared" si="5"/>
        <v>413</v>
      </c>
    </row>
    <row r="14" spans="2:32" ht="23.1" customHeight="1" x14ac:dyDescent="0.25">
      <c r="B14" s="23" t="s">
        <v>41</v>
      </c>
      <c r="C14" s="50">
        <v>0</v>
      </c>
      <c r="D14" s="50">
        <v>1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15</v>
      </c>
      <c r="N14" s="50">
        <v>0</v>
      </c>
      <c r="O14" s="15">
        <f t="shared" si="0"/>
        <v>2</v>
      </c>
      <c r="P14" s="15">
        <f t="shared" si="1"/>
        <v>17</v>
      </c>
      <c r="R14" s="1" t="s">
        <v>10</v>
      </c>
      <c r="S14" s="17">
        <f t="shared" ref="S14:AF14" si="6">SUM(C26:C29)</f>
        <v>16</v>
      </c>
      <c r="T14" s="17">
        <f t="shared" si="6"/>
        <v>16</v>
      </c>
      <c r="U14" s="17">
        <f t="shared" si="6"/>
        <v>5</v>
      </c>
      <c r="V14" s="17">
        <f t="shared" si="6"/>
        <v>6</v>
      </c>
      <c r="W14" s="17">
        <f t="shared" si="6"/>
        <v>1</v>
      </c>
      <c r="X14" s="17">
        <f t="shared" si="6"/>
        <v>0</v>
      </c>
      <c r="Y14" s="17">
        <f t="shared" si="6"/>
        <v>9</v>
      </c>
      <c r="Z14" s="17">
        <f t="shared" si="6"/>
        <v>9</v>
      </c>
      <c r="AA14" s="17">
        <f t="shared" si="6"/>
        <v>0</v>
      </c>
      <c r="AB14" s="17">
        <f t="shared" si="6"/>
        <v>0</v>
      </c>
      <c r="AC14" s="17">
        <f t="shared" si="6"/>
        <v>265</v>
      </c>
      <c r="AD14" s="17">
        <f t="shared" si="6"/>
        <v>0</v>
      </c>
      <c r="AE14" s="31">
        <f t="shared" si="6"/>
        <v>62</v>
      </c>
      <c r="AF14" s="31">
        <f t="shared" si="6"/>
        <v>327</v>
      </c>
    </row>
    <row r="15" spans="2:32" ht="23.1" customHeight="1" x14ac:dyDescent="0.25">
      <c r="B15" s="23" t="s">
        <v>42</v>
      </c>
      <c r="C15" s="50">
        <v>3</v>
      </c>
      <c r="D15" s="50">
        <v>1</v>
      </c>
      <c r="E15" s="50">
        <v>0</v>
      </c>
      <c r="F15" s="50">
        <v>1</v>
      </c>
      <c r="G15" s="50">
        <v>0</v>
      </c>
      <c r="H15" s="50">
        <v>0</v>
      </c>
      <c r="I15" s="50">
        <v>0</v>
      </c>
      <c r="J15" s="50">
        <v>1</v>
      </c>
      <c r="K15" s="50">
        <v>0</v>
      </c>
      <c r="L15" s="50">
        <v>0</v>
      </c>
      <c r="M15" s="50">
        <v>35</v>
      </c>
      <c r="N15" s="50">
        <v>0</v>
      </c>
      <c r="O15" s="15">
        <f t="shared" si="0"/>
        <v>6</v>
      </c>
      <c r="P15" s="15">
        <f t="shared" si="1"/>
        <v>41</v>
      </c>
      <c r="R15" s="1" t="s">
        <v>11</v>
      </c>
      <c r="S15" s="17">
        <f t="shared" ref="S15:AF15" si="7">SUM(C30:C33)</f>
        <v>12</v>
      </c>
      <c r="T15" s="17">
        <f t="shared" si="7"/>
        <v>14</v>
      </c>
      <c r="U15" s="17">
        <f t="shared" si="7"/>
        <v>6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6</v>
      </c>
      <c r="Z15" s="17">
        <f t="shared" si="7"/>
        <v>4</v>
      </c>
      <c r="AA15" s="17">
        <f t="shared" si="7"/>
        <v>1</v>
      </c>
      <c r="AB15" s="17">
        <f t="shared" si="7"/>
        <v>0</v>
      </c>
      <c r="AC15" s="17">
        <f t="shared" si="7"/>
        <v>345</v>
      </c>
      <c r="AD15" s="17">
        <f t="shared" si="7"/>
        <v>0</v>
      </c>
      <c r="AE15" s="31">
        <f t="shared" si="7"/>
        <v>53</v>
      </c>
      <c r="AF15" s="31">
        <f t="shared" si="7"/>
        <v>398</v>
      </c>
    </row>
    <row r="16" spans="2:32" ht="23.1" customHeight="1" x14ac:dyDescent="0.25">
      <c r="B16" s="23" t="s">
        <v>43</v>
      </c>
      <c r="C16" s="50">
        <v>1</v>
      </c>
      <c r="D16" s="50">
        <v>2</v>
      </c>
      <c r="E16" s="50">
        <v>0</v>
      </c>
      <c r="F16" s="50">
        <v>0</v>
      </c>
      <c r="G16" s="50">
        <v>0</v>
      </c>
      <c r="H16" s="50">
        <v>0</v>
      </c>
      <c r="I16" s="50">
        <v>1</v>
      </c>
      <c r="J16" s="50">
        <v>1</v>
      </c>
      <c r="K16" s="50">
        <v>0</v>
      </c>
      <c r="L16" s="50">
        <v>0</v>
      </c>
      <c r="M16" s="50">
        <v>75</v>
      </c>
      <c r="N16" s="50">
        <v>0</v>
      </c>
      <c r="O16" s="15">
        <f t="shared" si="0"/>
        <v>5</v>
      </c>
      <c r="P16" s="15">
        <f t="shared" si="1"/>
        <v>80</v>
      </c>
      <c r="R16" s="1" t="s">
        <v>12</v>
      </c>
      <c r="S16" s="17">
        <f t="shared" ref="S16:AF16" si="8">SUM(C34:C37)</f>
        <v>10</v>
      </c>
      <c r="T16" s="17">
        <f t="shared" si="8"/>
        <v>8</v>
      </c>
      <c r="U16" s="17">
        <f t="shared" si="8"/>
        <v>4</v>
      </c>
      <c r="V16" s="17">
        <f t="shared" si="8"/>
        <v>21</v>
      </c>
      <c r="W16" s="17">
        <f t="shared" si="8"/>
        <v>0</v>
      </c>
      <c r="X16" s="17">
        <f t="shared" si="8"/>
        <v>0</v>
      </c>
      <c r="Y16" s="17">
        <f t="shared" si="8"/>
        <v>2</v>
      </c>
      <c r="Z16" s="17">
        <f t="shared" si="8"/>
        <v>3</v>
      </c>
      <c r="AA16" s="17">
        <f t="shared" si="8"/>
        <v>0</v>
      </c>
      <c r="AB16" s="17">
        <f t="shared" si="8"/>
        <v>0</v>
      </c>
      <c r="AC16" s="17">
        <f t="shared" si="8"/>
        <v>230</v>
      </c>
      <c r="AD16" s="17">
        <f t="shared" si="8"/>
        <v>0</v>
      </c>
      <c r="AE16" s="31">
        <f t="shared" si="8"/>
        <v>48</v>
      </c>
      <c r="AF16" s="31">
        <f t="shared" si="8"/>
        <v>278</v>
      </c>
    </row>
    <row r="17" spans="2:32" ht="23.1" customHeight="1" x14ac:dyDescent="0.25">
      <c r="B17" s="23" t="s">
        <v>44</v>
      </c>
      <c r="C17" s="50">
        <v>3</v>
      </c>
      <c r="D17" s="50">
        <v>4</v>
      </c>
      <c r="E17" s="50">
        <v>0</v>
      </c>
      <c r="F17" s="50">
        <v>0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8</v>
      </c>
      <c r="P17" s="15">
        <f t="shared" si="1"/>
        <v>78</v>
      </c>
      <c r="R17" s="1" t="s">
        <v>13</v>
      </c>
      <c r="S17" s="17">
        <f t="shared" ref="S17:AF17" si="9">SUM(C38:C41)</f>
        <v>13</v>
      </c>
      <c r="T17" s="17">
        <f t="shared" si="9"/>
        <v>9</v>
      </c>
      <c r="U17" s="17">
        <f t="shared" si="9"/>
        <v>6</v>
      </c>
      <c r="V17" s="17">
        <f t="shared" si="9"/>
        <v>12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4</v>
      </c>
      <c r="AA17" s="17">
        <f t="shared" si="9"/>
        <v>0</v>
      </c>
      <c r="AB17" s="17">
        <f t="shared" si="9"/>
        <v>0</v>
      </c>
      <c r="AC17" s="17">
        <f t="shared" si="9"/>
        <v>280</v>
      </c>
      <c r="AD17" s="17">
        <f t="shared" si="9"/>
        <v>0</v>
      </c>
      <c r="AE17" s="31">
        <f t="shared" si="9"/>
        <v>45</v>
      </c>
      <c r="AF17" s="31">
        <f t="shared" si="9"/>
        <v>325</v>
      </c>
    </row>
    <row r="18" spans="2:32" ht="23.1" customHeight="1" x14ac:dyDescent="0.25">
      <c r="B18" s="23" t="s">
        <v>45</v>
      </c>
      <c r="C18" s="50">
        <v>1</v>
      </c>
      <c r="D18" s="50">
        <v>1</v>
      </c>
      <c r="E18" s="50">
        <v>0</v>
      </c>
      <c r="F18" s="50">
        <v>2</v>
      </c>
      <c r="G18" s="50">
        <v>0</v>
      </c>
      <c r="H18" s="50">
        <v>0</v>
      </c>
      <c r="I18" s="50">
        <v>0</v>
      </c>
      <c r="J18" s="50">
        <v>0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4</v>
      </c>
      <c r="P18" s="15">
        <f t="shared" si="1"/>
        <v>69</v>
      </c>
      <c r="R18" s="1" t="s">
        <v>14</v>
      </c>
      <c r="S18" s="17">
        <f t="shared" ref="S18:AF18" si="10">SUM(C42:C45)</f>
        <v>10</v>
      </c>
      <c r="T18" s="17">
        <f t="shared" si="10"/>
        <v>5</v>
      </c>
      <c r="U18" s="17">
        <f t="shared" si="10"/>
        <v>7</v>
      </c>
      <c r="V18" s="17">
        <f t="shared" si="10"/>
        <v>13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250</v>
      </c>
      <c r="AD18" s="17">
        <f t="shared" si="10"/>
        <v>0</v>
      </c>
      <c r="AE18" s="31">
        <f t="shared" si="10"/>
        <v>44</v>
      </c>
      <c r="AF18" s="31">
        <f t="shared" si="10"/>
        <v>294</v>
      </c>
    </row>
    <row r="19" spans="2:32" ht="23.1" customHeight="1" x14ac:dyDescent="0.25">
      <c r="B19" s="23" t="s">
        <v>46</v>
      </c>
      <c r="C19" s="50">
        <v>2</v>
      </c>
      <c r="D19" s="50">
        <v>2</v>
      </c>
      <c r="E19" s="50">
        <v>1</v>
      </c>
      <c r="F19" s="50">
        <v>0</v>
      </c>
      <c r="G19" s="50">
        <v>0</v>
      </c>
      <c r="H19" s="50">
        <v>0</v>
      </c>
      <c r="I19" s="50">
        <v>1</v>
      </c>
      <c r="J19" s="50">
        <v>2</v>
      </c>
      <c r="K19" s="50">
        <v>1</v>
      </c>
      <c r="L19" s="50">
        <v>0</v>
      </c>
      <c r="M19" s="50">
        <v>55</v>
      </c>
      <c r="N19" s="50">
        <v>0</v>
      </c>
      <c r="O19" s="15">
        <f t="shared" si="0"/>
        <v>9</v>
      </c>
      <c r="P19" s="15">
        <f t="shared" si="1"/>
        <v>64</v>
      </c>
      <c r="R19" s="1" t="s">
        <v>15</v>
      </c>
      <c r="S19" s="17">
        <f t="shared" ref="S19:AF19" si="11">SUM(C46:C49)</f>
        <v>20</v>
      </c>
      <c r="T19" s="17">
        <f t="shared" si="11"/>
        <v>14</v>
      </c>
      <c r="U19" s="17">
        <f t="shared" si="11"/>
        <v>3</v>
      </c>
      <c r="V19" s="17">
        <f t="shared" si="11"/>
        <v>5</v>
      </c>
      <c r="W19" s="17">
        <f t="shared" si="11"/>
        <v>0</v>
      </c>
      <c r="X19" s="17">
        <f t="shared" si="11"/>
        <v>0</v>
      </c>
      <c r="Y19" s="17">
        <f t="shared" si="11"/>
        <v>2</v>
      </c>
      <c r="Z19" s="17">
        <f t="shared" si="11"/>
        <v>1</v>
      </c>
      <c r="AA19" s="17">
        <f t="shared" si="11"/>
        <v>0</v>
      </c>
      <c r="AB19" s="17">
        <f t="shared" si="11"/>
        <v>0</v>
      </c>
      <c r="AC19" s="17">
        <f t="shared" si="11"/>
        <v>230</v>
      </c>
      <c r="AD19" s="17">
        <f t="shared" si="11"/>
        <v>2</v>
      </c>
      <c r="AE19" s="31">
        <f t="shared" si="11"/>
        <v>47</v>
      </c>
      <c r="AF19" s="31">
        <f t="shared" si="11"/>
        <v>277</v>
      </c>
    </row>
    <row r="20" spans="2:32" ht="23.1" customHeight="1" x14ac:dyDescent="0.25">
      <c r="B20" s="23" t="s">
        <v>47</v>
      </c>
      <c r="C20" s="50">
        <v>5</v>
      </c>
      <c r="D20" s="50">
        <v>3</v>
      </c>
      <c r="E20" s="50">
        <v>1</v>
      </c>
      <c r="F20" s="50">
        <v>3</v>
      </c>
      <c r="G20" s="50">
        <v>0</v>
      </c>
      <c r="H20" s="50">
        <v>0</v>
      </c>
      <c r="I20" s="50">
        <v>3</v>
      </c>
      <c r="J20" s="50">
        <v>2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17</v>
      </c>
      <c r="P20" s="15">
        <f t="shared" si="1"/>
        <v>77</v>
      </c>
      <c r="R20" s="1" t="s">
        <v>16</v>
      </c>
      <c r="S20" s="17">
        <f t="shared" ref="S20:AF20" si="12">SUM(C50:C53)</f>
        <v>12</v>
      </c>
      <c r="T20" s="17">
        <f t="shared" si="12"/>
        <v>7</v>
      </c>
      <c r="U20" s="17">
        <f t="shared" si="12"/>
        <v>5</v>
      </c>
      <c r="V20" s="17">
        <f t="shared" si="12"/>
        <v>3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1</v>
      </c>
      <c r="AA20" s="17">
        <f t="shared" si="12"/>
        <v>0</v>
      </c>
      <c r="AB20" s="17">
        <f t="shared" si="12"/>
        <v>0</v>
      </c>
      <c r="AC20" s="17">
        <f t="shared" si="12"/>
        <v>245</v>
      </c>
      <c r="AD20" s="17">
        <f t="shared" si="12"/>
        <v>0</v>
      </c>
      <c r="AE20" s="31">
        <f t="shared" si="12"/>
        <v>31</v>
      </c>
      <c r="AF20" s="31">
        <f t="shared" si="12"/>
        <v>276</v>
      </c>
    </row>
    <row r="21" spans="2:32" ht="23.1" customHeight="1" x14ac:dyDescent="0.25">
      <c r="B21" s="23" t="s">
        <v>48</v>
      </c>
      <c r="C21" s="50">
        <v>2</v>
      </c>
      <c r="D21" s="50">
        <v>1</v>
      </c>
      <c r="E21" s="50">
        <v>1</v>
      </c>
      <c r="F21" s="50">
        <v>0</v>
      </c>
      <c r="G21" s="50">
        <v>0</v>
      </c>
      <c r="H21" s="50">
        <v>0</v>
      </c>
      <c r="I21" s="50">
        <v>0</v>
      </c>
      <c r="J21" s="50">
        <v>1</v>
      </c>
      <c r="K21" s="50">
        <v>0</v>
      </c>
      <c r="L21" s="50">
        <v>0</v>
      </c>
      <c r="M21" s="50">
        <v>40</v>
      </c>
      <c r="N21" s="50">
        <v>0</v>
      </c>
      <c r="O21" s="15">
        <f t="shared" si="0"/>
        <v>5</v>
      </c>
      <c r="P21" s="15">
        <f t="shared" si="1"/>
        <v>45</v>
      </c>
      <c r="R21" s="36" t="s">
        <v>20</v>
      </c>
      <c r="S21" s="34">
        <f t="shared" ref="S21:AF21" si="13">SUM(C54:C57)</f>
        <v>10</v>
      </c>
      <c r="T21" s="17">
        <f t="shared" si="13"/>
        <v>8</v>
      </c>
      <c r="U21" s="17">
        <f t="shared" si="13"/>
        <v>4</v>
      </c>
      <c r="V21" s="17">
        <f t="shared" si="13"/>
        <v>11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260</v>
      </c>
      <c r="AD21" s="17">
        <f t="shared" si="13"/>
        <v>0</v>
      </c>
      <c r="AE21" s="31">
        <f t="shared" si="13"/>
        <v>40</v>
      </c>
      <c r="AF21" s="31">
        <f t="shared" si="13"/>
        <v>300</v>
      </c>
    </row>
    <row r="22" spans="2:32" ht="23.1" customHeight="1" x14ac:dyDescent="0.25">
      <c r="B22" s="23" t="s">
        <v>49</v>
      </c>
      <c r="C22" s="50">
        <v>5</v>
      </c>
      <c r="D22" s="50">
        <v>4</v>
      </c>
      <c r="E22" s="50">
        <v>0</v>
      </c>
      <c r="F22" s="50">
        <v>5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60</v>
      </c>
      <c r="N22" s="50">
        <v>0</v>
      </c>
      <c r="O22" s="15">
        <f t="shared" si="0"/>
        <v>18</v>
      </c>
      <c r="P22" s="15">
        <f t="shared" si="1"/>
        <v>78</v>
      </c>
      <c r="R22" s="38" t="s">
        <v>90</v>
      </c>
      <c r="S22" s="39">
        <f>MAX(S10:S12)</f>
        <v>10</v>
      </c>
      <c r="T22" s="39">
        <f t="shared" ref="T22:AF22" si="14">MAX(T10:T12)</f>
        <v>8</v>
      </c>
      <c r="U22" s="39">
        <f t="shared" si="14"/>
        <v>5</v>
      </c>
      <c r="V22" s="39">
        <f t="shared" si="14"/>
        <v>14</v>
      </c>
      <c r="W22" s="39">
        <f t="shared" si="14"/>
        <v>0</v>
      </c>
      <c r="X22" s="39">
        <f t="shared" si="14"/>
        <v>0</v>
      </c>
      <c r="Y22" s="39">
        <f t="shared" si="14"/>
        <v>7</v>
      </c>
      <c r="Z22" s="39">
        <f t="shared" si="14"/>
        <v>5</v>
      </c>
      <c r="AA22" s="39">
        <f t="shared" si="14"/>
        <v>1</v>
      </c>
      <c r="AB22" s="39">
        <f t="shared" si="14"/>
        <v>0</v>
      </c>
      <c r="AC22" s="39">
        <f t="shared" si="14"/>
        <v>240</v>
      </c>
      <c r="AD22" s="39">
        <f t="shared" si="14"/>
        <v>0</v>
      </c>
      <c r="AE22" s="40">
        <f t="shared" si="14"/>
        <v>42</v>
      </c>
      <c r="AF22" s="40">
        <f t="shared" si="14"/>
        <v>282</v>
      </c>
    </row>
    <row r="23" spans="2:32" ht="23.1" customHeight="1" x14ac:dyDescent="0.25">
      <c r="B23" s="23" t="s">
        <v>50</v>
      </c>
      <c r="C23" s="50">
        <v>5</v>
      </c>
      <c r="D23" s="50">
        <v>4</v>
      </c>
      <c r="E23" s="50">
        <v>1</v>
      </c>
      <c r="F23" s="50">
        <v>3</v>
      </c>
      <c r="G23" s="50">
        <v>0</v>
      </c>
      <c r="H23" s="50">
        <v>0</v>
      </c>
      <c r="I23" s="50">
        <v>2</v>
      </c>
      <c r="J23" s="50">
        <v>3</v>
      </c>
      <c r="K23" s="50">
        <v>0</v>
      </c>
      <c r="L23" s="50">
        <v>0</v>
      </c>
      <c r="M23" s="50">
        <v>90</v>
      </c>
      <c r="N23" s="50">
        <v>1</v>
      </c>
      <c r="O23" s="15">
        <f t="shared" si="0"/>
        <v>19</v>
      </c>
      <c r="P23" s="15">
        <f t="shared" si="1"/>
        <v>109</v>
      </c>
      <c r="R23" s="38" t="s">
        <v>91</v>
      </c>
      <c r="S23" s="39">
        <f>MAX(S13:S18)</f>
        <v>17</v>
      </c>
      <c r="T23" s="39">
        <f t="shared" ref="T23:AF23" si="15">MAX(T13:T18)</f>
        <v>16</v>
      </c>
      <c r="U23" s="39">
        <f t="shared" si="15"/>
        <v>7</v>
      </c>
      <c r="V23" s="39">
        <f t="shared" si="15"/>
        <v>21</v>
      </c>
      <c r="W23" s="39">
        <f t="shared" si="15"/>
        <v>1</v>
      </c>
      <c r="X23" s="39">
        <f t="shared" si="15"/>
        <v>0</v>
      </c>
      <c r="Y23" s="39">
        <f t="shared" si="15"/>
        <v>9</v>
      </c>
      <c r="Z23" s="39">
        <f t="shared" si="15"/>
        <v>9</v>
      </c>
      <c r="AA23" s="39">
        <f t="shared" si="15"/>
        <v>1</v>
      </c>
      <c r="AB23" s="39">
        <f t="shared" si="15"/>
        <v>0</v>
      </c>
      <c r="AC23" s="39">
        <f t="shared" si="15"/>
        <v>355</v>
      </c>
      <c r="AD23" s="39">
        <f t="shared" si="15"/>
        <v>1</v>
      </c>
      <c r="AE23" s="40">
        <f t="shared" si="15"/>
        <v>62</v>
      </c>
      <c r="AF23" s="40">
        <f t="shared" si="15"/>
        <v>413</v>
      </c>
    </row>
    <row r="24" spans="2:32" ht="23.1" customHeight="1" x14ac:dyDescent="0.25">
      <c r="B24" s="23" t="s">
        <v>51</v>
      </c>
      <c r="C24" s="50">
        <v>4</v>
      </c>
      <c r="D24" s="50">
        <v>4</v>
      </c>
      <c r="E24" s="50">
        <v>0</v>
      </c>
      <c r="F24" s="50">
        <v>2</v>
      </c>
      <c r="G24" s="50">
        <v>0</v>
      </c>
      <c r="H24" s="50">
        <v>0</v>
      </c>
      <c r="I24" s="50">
        <v>0</v>
      </c>
      <c r="J24" s="50">
        <v>1</v>
      </c>
      <c r="K24" s="50">
        <v>0</v>
      </c>
      <c r="L24" s="50">
        <v>0</v>
      </c>
      <c r="M24" s="50">
        <v>120</v>
      </c>
      <c r="N24" s="50">
        <v>0</v>
      </c>
      <c r="O24" s="15">
        <f t="shared" si="0"/>
        <v>11</v>
      </c>
      <c r="P24" s="15">
        <f t="shared" si="1"/>
        <v>131</v>
      </c>
      <c r="R24" s="38" t="s">
        <v>92</v>
      </c>
      <c r="S24" s="39">
        <f>MAX(S19:S21)</f>
        <v>20</v>
      </c>
      <c r="T24" s="39">
        <f t="shared" ref="T24:AF24" si="16">MAX(T19:T21)</f>
        <v>14</v>
      </c>
      <c r="U24" s="39">
        <f t="shared" si="16"/>
        <v>5</v>
      </c>
      <c r="V24" s="39">
        <f t="shared" si="16"/>
        <v>11</v>
      </c>
      <c r="W24" s="39">
        <f t="shared" si="16"/>
        <v>0</v>
      </c>
      <c r="X24" s="39">
        <f t="shared" si="16"/>
        <v>0</v>
      </c>
      <c r="Y24" s="39">
        <f t="shared" si="16"/>
        <v>5</v>
      </c>
      <c r="Z24" s="39">
        <f t="shared" si="16"/>
        <v>2</v>
      </c>
      <c r="AA24" s="39">
        <f t="shared" si="16"/>
        <v>0</v>
      </c>
      <c r="AB24" s="39">
        <f t="shared" si="16"/>
        <v>0</v>
      </c>
      <c r="AC24" s="39">
        <f t="shared" si="16"/>
        <v>260</v>
      </c>
      <c r="AD24" s="39">
        <f t="shared" si="16"/>
        <v>2</v>
      </c>
      <c r="AE24" s="40">
        <f t="shared" si="16"/>
        <v>47</v>
      </c>
      <c r="AF24" s="40">
        <f t="shared" si="16"/>
        <v>300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1</v>
      </c>
      <c r="F25" s="50">
        <v>1</v>
      </c>
      <c r="G25" s="50">
        <v>0</v>
      </c>
      <c r="H25" s="50">
        <v>0</v>
      </c>
      <c r="I25" s="50">
        <v>1</v>
      </c>
      <c r="J25" s="50">
        <v>2</v>
      </c>
      <c r="K25" s="50">
        <v>0</v>
      </c>
      <c r="L25" s="50">
        <v>0</v>
      </c>
      <c r="M25" s="50">
        <v>85</v>
      </c>
      <c r="N25" s="50">
        <v>0</v>
      </c>
      <c r="O25" s="15">
        <f t="shared" si="0"/>
        <v>10</v>
      </c>
      <c r="P25" s="15">
        <f t="shared" si="1"/>
        <v>95</v>
      </c>
      <c r="R25" s="37" t="s">
        <v>85</v>
      </c>
      <c r="S25" s="35">
        <f t="shared" ref="S25:AF25" si="17">SUM(S10:S12)</f>
        <v>23</v>
      </c>
      <c r="T25" s="16">
        <f t="shared" si="17"/>
        <v>20</v>
      </c>
      <c r="U25" s="16">
        <f t="shared" si="17"/>
        <v>8</v>
      </c>
      <c r="V25" s="16">
        <f t="shared" si="17"/>
        <v>20</v>
      </c>
      <c r="W25" s="16">
        <f t="shared" si="17"/>
        <v>0</v>
      </c>
      <c r="X25" s="16">
        <f t="shared" si="17"/>
        <v>0</v>
      </c>
      <c r="Y25" s="16">
        <f t="shared" si="17"/>
        <v>12</v>
      </c>
      <c r="Z25" s="16">
        <f t="shared" si="17"/>
        <v>14</v>
      </c>
      <c r="AA25" s="16">
        <f t="shared" si="17"/>
        <v>1</v>
      </c>
      <c r="AB25" s="16">
        <f t="shared" si="17"/>
        <v>0</v>
      </c>
      <c r="AC25" s="16">
        <f t="shared" si="17"/>
        <v>655</v>
      </c>
      <c r="AD25" s="16">
        <f t="shared" si="17"/>
        <v>0</v>
      </c>
      <c r="AE25" s="32">
        <f t="shared" si="17"/>
        <v>98</v>
      </c>
      <c r="AF25" s="32">
        <f t="shared" si="17"/>
        <v>753</v>
      </c>
    </row>
    <row r="26" spans="2:32" ht="23.1" customHeight="1" x14ac:dyDescent="0.25">
      <c r="B26" s="23" t="s">
        <v>53</v>
      </c>
      <c r="C26" s="50">
        <v>3</v>
      </c>
      <c r="D26" s="50">
        <v>3</v>
      </c>
      <c r="E26" s="50">
        <v>2</v>
      </c>
      <c r="F26" s="50">
        <v>2</v>
      </c>
      <c r="G26" s="50">
        <v>0</v>
      </c>
      <c r="H26" s="50">
        <v>0</v>
      </c>
      <c r="I26" s="50">
        <v>0</v>
      </c>
      <c r="J26" s="50">
        <v>0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10</v>
      </c>
      <c r="P26" s="15">
        <f t="shared" si="1"/>
        <v>75</v>
      </c>
      <c r="R26" s="28" t="s">
        <v>86</v>
      </c>
      <c r="S26" s="16">
        <f t="shared" ref="S26:AF26" si="18">SUM(S13:S18)</f>
        <v>78</v>
      </c>
      <c r="T26" s="16">
        <f t="shared" si="18"/>
        <v>66</v>
      </c>
      <c r="U26" s="16">
        <f t="shared" si="18"/>
        <v>30</v>
      </c>
      <c r="V26" s="16">
        <f t="shared" si="18"/>
        <v>73</v>
      </c>
      <c r="W26" s="16">
        <f t="shared" si="18"/>
        <v>1</v>
      </c>
      <c r="X26" s="16">
        <f t="shared" si="18"/>
        <v>0</v>
      </c>
      <c r="Y26" s="16">
        <f t="shared" si="18"/>
        <v>27</v>
      </c>
      <c r="Z26" s="16">
        <f t="shared" si="18"/>
        <v>33</v>
      </c>
      <c r="AA26" s="16">
        <f t="shared" si="18"/>
        <v>1</v>
      </c>
      <c r="AB26" s="16">
        <f t="shared" si="18"/>
        <v>0</v>
      </c>
      <c r="AC26" s="16">
        <f t="shared" si="18"/>
        <v>1725</v>
      </c>
      <c r="AD26" s="16">
        <f t="shared" si="18"/>
        <v>1</v>
      </c>
      <c r="AE26" s="32">
        <f t="shared" si="18"/>
        <v>310</v>
      </c>
      <c r="AF26" s="32">
        <f t="shared" si="18"/>
        <v>2035</v>
      </c>
    </row>
    <row r="27" spans="2:32" ht="23.1" customHeight="1" x14ac:dyDescent="0.25">
      <c r="B27" s="23" t="s">
        <v>54</v>
      </c>
      <c r="C27" s="50">
        <v>4</v>
      </c>
      <c r="D27" s="50">
        <v>5</v>
      </c>
      <c r="E27" s="50">
        <v>1</v>
      </c>
      <c r="F27" s="50">
        <v>1</v>
      </c>
      <c r="G27" s="50">
        <v>0</v>
      </c>
      <c r="H27" s="50">
        <v>0</v>
      </c>
      <c r="I27" s="50">
        <v>2</v>
      </c>
      <c r="J27" s="50">
        <v>3</v>
      </c>
      <c r="K27" s="50">
        <v>0</v>
      </c>
      <c r="L27" s="50">
        <v>0</v>
      </c>
      <c r="M27" s="50">
        <v>65</v>
      </c>
      <c r="N27" s="50">
        <v>0</v>
      </c>
      <c r="O27" s="15">
        <f t="shared" si="0"/>
        <v>16</v>
      </c>
      <c r="P27" s="15">
        <f t="shared" si="1"/>
        <v>81</v>
      </c>
      <c r="R27" s="29" t="s">
        <v>87</v>
      </c>
      <c r="S27" s="16">
        <f t="shared" ref="S27:AF27" si="19">SUM(S19:S21)</f>
        <v>42</v>
      </c>
      <c r="T27" s="16">
        <f t="shared" si="19"/>
        <v>29</v>
      </c>
      <c r="U27" s="16">
        <f t="shared" si="19"/>
        <v>12</v>
      </c>
      <c r="V27" s="16">
        <f t="shared" si="19"/>
        <v>19</v>
      </c>
      <c r="W27" s="16">
        <f t="shared" si="19"/>
        <v>0</v>
      </c>
      <c r="X27" s="16">
        <f t="shared" si="19"/>
        <v>0</v>
      </c>
      <c r="Y27" s="16">
        <f t="shared" si="19"/>
        <v>10</v>
      </c>
      <c r="Z27" s="16">
        <f t="shared" si="19"/>
        <v>4</v>
      </c>
      <c r="AA27" s="16">
        <f t="shared" si="19"/>
        <v>0</v>
      </c>
      <c r="AB27" s="16">
        <f t="shared" si="19"/>
        <v>0</v>
      </c>
      <c r="AC27" s="16">
        <f t="shared" si="19"/>
        <v>735</v>
      </c>
      <c r="AD27" s="16">
        <f t="shared" si="19"/>
        <v>2</v>
      </c>
      <c r="AE27" s="32">
        <f t="shared" si="19"/>
        <v>118</v>
      </c>
      <c r="AF27" s="32">
        <f t="shared" si="19"/>
        <v>853</v>
      </c>
    </row>
    <row r="28" spans="2:32" ht="23.1" customHeight="1" x14ac:dyDescent="0.25">
      <c r="B28" s="23" t="s">
        <v>55</v>
      </c>
      <c r="C28" s="50">
        <v>4</v>
      </c>
      <c r="D28" s="50">
        <v>4</v>
      </c>
      <c r="E28" s="50">
        <v>1</v>
      </c>
      <c r="F28" s="50">
        <v>2</v>
      </c>
      <c r="G28" s="50">
        <v>1</v>
      </c>
      <c r="H28" s="50">
        <v>0</v>
      </c>
      <c r="I28" s="50">
        <v>3</v>
      </c>
      <c r="J28" s="50">
        <v>3</v>
      </c>
      <c r="K28" s="50">
        <v>0</v>
      </c>
      <c r="L28" s="50">
        <v>0</v>
      </c>
      <c r="M28" s="50">
        <v>70</v>
      </c>
      <c r="N28" s="50">
        <v>0</v>
      </c>
      <c r="O28" s="15">
        <f t="shared" si="0"/>
        <v>18</v>
      </c>
      <c r="P28" s="15">
        <f t="shared" si="1"/>
        <v>88</v>
      </c>
      <c r="R28" s="5" t="s">
        <v>17</v>
      </c>
      <c r="S28" s="16">
        <f t="shared" ref="S28:AF28" si="20">SUM(S10:S21)</f>
        <v>143</v>
      </c>
      <c r="T28" s="16">
        <f t="shared" si="20"/>
        <v>115</v>
      </c>
      <c r="U28" s="16">
        <f t="shared" si="20"/>
        <v>50</v>
      </c>
      <c r="V28" s="16">
        <f t="shared" si="20"/>
        <v>112</v>
      </c>
      <c r="W28" s="16">
        <f t="shared" si="20"/>
        <v>1</v>
      </c>
      <c r="X28" s="16">
        <f t="shared" si="20"/>
        <v>0</v>
      </c>
      <c r="Y28" s="16">
        <f t="shared" si="20"/>
        <v>49</v>
      </c>
      <c r="Z28" s="16">
        <f t="shared" si="20"/>
        <v>51</v>
      </c>
      <c r="AA28" s="16">
        <f t="shared" si="20"/>
        <v>2</v>
      </c>
      <c r="AB28" s="16">
        <f t="shared" si="20"/>
        <v>0</v>
      </c>
      <c r="AC28" s="16">
        <f t="shared" si="20"/>
        <v>3115</v>
      </c>
      <c r="AD28" s="16">
        <f t="shared" si="20"/>
        <v>3</v>
      </c>
      <c r="AE28" s="32">
        <f t="shared" si="20"/>
        <v>526</v>
      </c>
      <c r="AF28" s="32">
        <f t="shared" si="20"/>
        <v>3641</v>
      </c>
    </row>
    <row r="29" spans="2:32" ht="23.1" customHeight="1" x14ac:dyDescent="0.25">
      <c r="B29" s="23" t="s">
        <v>56</v>
      </c>
      <c r="C29" s="50">
        <v>5</v>
      </c>
      <c r="D29" s="50">
        <v>4</v>
      </c>
      <c r="E29" s="50">
        <v>1</v>
      </c>
      <c r="F29" s="50">
        <v>1</v>
      </c>
      <c r="G29" s="50">
        <v>0</v>
      </c>
      <c r="H29" s="50">
        <v>0</v>
      </c>
      <c r="I29" s="50">
        <v>4</v>
      </c>
      <c r="J29" s="50">
        <v>3</v>
      </c>
      <c r="K29" s="50">
        <v>0</v>
      </c>
      <c r="L29" s="50">
        <v>0</v>
      </c>
      <c r="M29" s="50">
        <v>65</v>
      </c>
      <c r="N29" s="50">
        <v>0</v>
      </c>
      <c r="O29" s="15">
        <f t="shared" si="0"/>
        <v>18</v>
      </c>
      <c r="P29" s="15">
        <f t="shared" si="1"/>
        <v>83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4</v>
      </c>
      <c r="E30" s="50">
        <v>1</v>
      </c>
      <c r="F30" s="50">
        <v>0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40</v>
      </c>
      <c r="N30" s="50">
        <v>0</v>
      </c>
      <c r="O30" s="15">
        <f t="shared" si="0"/>
        <v>13</v>
      </c>
      <c r="P30" s="15">
        <f t="shared" si="1"/>
        <v>53</v>
      </c>
    </row>
    <row r="31" spans="2:32" ht="23.1" customHeight="1" x14ac:dyDescent="0.25">
      <c r="B31" s="24" t="s">
        <v>58</v>
      </c>
      <c r="C31" s="50">
        <v>3</v>
      </c>
      <c r="D31" s="50">
        <v>5</v>
      </c>
      <c r="E31" s="50">
        <v>3</v>
      </c>
      <c r="F31" s="50">
        <v>5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19</v>
      </c>
      <c r="P31" s="15">
        <f t="shared" si="1"/>
        <v>84</v>
      </c>
    </row>
    <row r="32" spans="2:32" ht="23.1" customHeight="1" x14ac:dyDescent="0.25">
      <c r="B32" s="24" t="s">
        <v>59</v>
      </c>
      <c r="C32" s="50">
        <v>2</v>
      </c>
      <c r="D32" s="50">
        <v>3</v>
      </c>
      <c r="E32" s="50">
        <v>1</v>
      </c>
      <c r="F32" s="50">
        <v>3</v>
      </c>
      <c r="G32" s="50">
        <v>0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85</v>
      </c>
      <c r="N32" s="50">
        <v>0</v>
      </c>
      <c r="O32" s="15">
        <f t="shared" si="0"/>
        <v>12</v>
      </c>
      <c r="P32" s="15">
        <f t="shared" si="1"/>
        <v>97</v>
      </c>
    </row>
    <row r="33" spans="2:20" ht="23.1" customHeight="1" x14ac:dyDescent="0.25">
      <c r="B33" s="23" t="s">
        <v>60</v>
      </c>
      <c r="C33" s="50">
        <v>2</v>
      </c>
      <c r="D33" s="50">
        <v>2</v>
      </c>
      <c r="E33" s="50">
        <v>1</v>
      </c>
      <c r="F33" s="50">
        <v>2</v>
      </c>
      <c r="G33" s="50">
        <v>0</v>
      </c>
      <c r="H33" s="50">
        <v>0</v>
      </c>
      <c r="I33" s="50">
        <v>1</v>
      </c>
      <c r="J33" s="50">
        <v>0</v>
      </c>
      <c r="K33" s="50">
        <v>1</v>
      </c>
      <c r="L33" s="50">
        <v>0</v>
      </c>
      <c r="M33" s="50">
        <v>155</v>
      </c>
      <c r="N33" s="50">
        <v>0</v>
      </c>
      <c r="O33" s="15">
        <f t="shared" si="0"/>
        <v>9</v>
      </c>
      <c r="P33" s="15">
        <f t="shared" si="1"/>
        <v>164</v>
      </c>
    </row>
    <row r="34" spans="2:20" ht="23.1" customHeight="1" x14ac:dyDescent="0.25">
      <c r="B34" s="24" t="s">
        <v>61</v>
      </c>
      <c r="C34" s="50">
        <v>5</v>
      </c>
      <c r="D34" s="50">
        <v>4</v>
      </c>
      <c r="E34" s="50">
        <v>2</v>
      </c>
      <c r="F34" s="50">
        <v>15</v>
      </c>
      <c r="G34" s="50">
        <v>0</v>
      </c>
      <c r="H34" s="50">
        <v>0</v>
      </c>
      <c r="I34" s="50">
        <v>2</v>
      </c>
      <c r="J34" s="50">
        <v>3</v>
      </c>
      <c r="K34" s="50">
        <v>0</v>
      </c>
      <c r="L34" s="50">
        <v>0</v>
      </c>
      <c r="M34" s="50">
        <v>50</v>
      </c>
      <c r="N34" s="50">
        <v>0</v>
      </c>
      <c r="O34" s="15">
        <f t="shared" si="0"/>
        <v>31</v>
      </c>
      <c r="P34" s="15">
        <f t="shared" si="1"/>
        <v>81</v>
      </c>
    </row>
    <row r="35" spans="2:20" ht="23.1" customHeight="1" x14ac:dyDescent="0.25">
      <c r="B35" s="24" t="s">
        <v>62</v>
      </c>
      <c r="C35" s="50">
        <v>2</v>
      </c>
      <c r="D35" s="50">
        <v>1</v>
      </c>
      <c r="E35" s="50">
        <v>0</v>
      </c>
      <c r="F35" s="50">
        <v>2</v>
      </c>
      <c r="G35" s="50">
        <v>0</v>
      </c>
      <c r="H35" s="50">
        <v>0</v>
      </c>
      <c r="I35" s="50">
        <v>0</v>
      </c>
      <c r="J35" s="50">
        <v>0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5</v>
      </c>
      <c r="P35" s="15">
        <f t="shared" si="1"/>
        <v>60</v>
      </c>
    </row>
    <row r="36" spans="2:20" ht="23.1" customHeight="1" x14ac:dyDescent="0.25">
      <c r="B36" s="24" t="s">
        <v>63</v>
      </c>
      <c r="C36" s="50">
        <v>1</v>
      </c>
      <c r="D36" s="50">
        <v>2</v>
      </c>
      <c r="E36" s="50">
        <v>0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7</v>
      </c>
      <c r="P36" s="15">
        <f t="shared" si="1"/>
        <v>67</v>
      </c>
    </row>
    <row r="37" spans="2:20" ht="23.1" customHeight="1" x14ac:dyDescent="0.25">
      <c r="B37" s="23" t="s">
        <v>64</v>
      </c>
      <c r="C37" s="50">
        <v>2</v>
      </c>
      <c r="D37" s="50">
        <v>1</v>
      </c>
      <c r="E37" s="50">
        <v>2</v>
      </c>
      <c r="F37" s="50">
        <v>0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65</v>
      </c>
      <c r="N37" s="50">
        <v>0</v>
      </c>
      <c r="O37" s="15">
        <f t="shared" si="0"/>
        <v>5</v>
      </c>
      <c r="P37" s="15">
        <f t="shared" si="1"/>
        <v>70</v>
      </c>
    </row>
    <row r="38" spans="2:20" ht="23.1" customHeight="1" x14ac:dyDescent="0.25">
      <c r="B38" s="24" t="s">
        <v>65</v>
      </c>
      <c r="C38" s="50">
        <v>2</v>
      </c>
      <c r="D38" s="50">
        <v>1</v>
      </c>
      <c r="E38" s="50">
        <v>0</v>
      </c>
      <c r="F38" s="50">
        <v>3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65</v>
      </c>
      <c r="N38" s="50">
        <v>0</v>
      </c>
      <c r="O38" s="15">
        <f t="shared" si="0"/>
        <v>7</v>
      </c>
      <c r="P38" s="15">
        <f t="shared" si="1"/>
        <v>72</v>
      </c>
    </row>
    <row r="39" spans="2:20" ht="23.1" customHeight="1" x14ac:dyDescent="0.25">
      <c r="B39" s="24" t="s">
        <v>66</v>
      </c>
      <c r="C39" s="50">
        <v>5</v>
      </c>
      <c r="D39" s="50">
        <v>2</v>
      </c>
      <c r="E39" s="50">
        <v>4</v>
      </c>
      <c r="F39" s="50">
        <v>2</v>
      </c>
      <c r="G39" s="50">
        <v>0</v>
      </c>
      <c r="H39" s="50">
        <v>0</v>
      </c>
      <c r="I39" s="50">
        <v>0</v>
      </c>
      <c r="J39" s="50">
        <v>2</v>
      </c>
      <c r="K39" s="50">
        <v>0</v>
      </c>
      <c r="L39" s="50">
        <v>0</v>
      </c>
      <c r="M39" s="50">
        <v>80</v>
      </c>
      <c r="N39" s="50">
        <v>0</v>
      </c>
      <c r="O39" s="15">
        <f t="shared" si="0"/>
        <v>15</v>
      </c>
      <c r="P39" s="15">
        <f t="shared" si="1"/>
        <v>95</v>
      </c>
    </row>
    <row r="40" spans="2:20" ht="23.1" customHeight="1" x14ac:dyDescent="0.25">
      <c r="B40" s="24" t="s">
        <v>67</v>
      </c>
      <c r="C40" s="50">
        <v>4</v>
      </c>
      <c r="D40" s="50">
        <v>3</v>
      </c>
      <c r="E40" s="50">
        <v>2</v>
      </c>
      <c r="F40" s="50">
        <v>5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14</v>
      </c>
      <c r="P40" s="15">
        <f t="shared" si="1"/>
        <v>74</v>
      </c>
    </row>
    <row r="41" spans="2:20" ht="23.1" customHeight="1" x14ac:dyDescent="0.25">
      <c r="B41" s="23" t="s">
        <v>68</v>
      </c>
      <c r="C41" s="50">
        <v>2</v>
      </c>
      <c r="D41" s="50">
        <v>3</v>
      </c>
      <c r="E41" s="50">
        <v>0</v>
      </c>
      <c r="F41" s="50">
        <v>2</v>
      </c>
      <c r="G41" s="50">
        <v>0</v>
      </c>
      <c r="H41" s="50">
        <v>0</v>
      </c>
      <c r="I41" s="50">
        <v>0</v>
      </c>
      <c r="J41" s="50">
        <v>2</v>
      </c>
      <c r="K41" s="50">
        <v>0</v>
      </c>
      <c r="L41" s="50">
        <v>0</v>
      </c>
      <c r="M41" s="50">
        <v>75</v>
      </c>
      <c r="N41" s="50">
        <v>0</v>
      </c>
      <c r="O41" s="15">
        <f t="shared" si="0"/>
        <v>9</v>
      </c>
      <c r="P41" s="15">
        <f t="shared" si="1"/>
        <v>84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0</v>
      </c>
      <c r="F42" s="50">
        <v>4</v>
      </c>
      <c r="G42" s="50">
        <v>0</v>
      </c>
      <c r="H42" s="50">
        <v>0</v>
      </c>
      <c r="I42" s="50">
        <v>1</v>
      </c>
      <c r="J42" s="50">
        <v>3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12</v>
      </c>
      <c r="P42" s="15">
        <f t="shared" si="1"/>
        <v>82</v>
      </c>
    </row>
    <row r="43" spans="2:20" ht="23.1" customHeight="1" x14ac:dyDescent="0.25">
      <c r="B43" s="23" t="s">
        <v>70</v>
      </c>
      <c r="C43" s="50">
        <v>2</v>
      </c>
      <c r="D43" s="50">
        <v>1</v>
      </c>
      <c r="E43" s="50">
        <v>2</v>
      </c>
      <c r="F43" s="50">
        <v>0</v>
      </c>
      <c r="G43" s="50">
        <v>0</v>
      </c>
      <c r="H43" s="50">
        <v>0</v>
      </c>
      <c r="I43" s="50">
        <v>0</v>
      </c>
      <c r="J43" s="50">
        <v>0</v>
      </c>
      <c r="K43" s="50">
        <v>0</v>
      </c>
      <c r="L43" s="50">
        <v>0</v>
      </c>
      <c r="M43" s="50">
        <v>70</v>
      </c>
      <c r="N43" s="50">
        <v>0</v>
      </c>
      <c r="O43" s="15">
        <f t="shared" si="0"/>
        <v>5</v>
      </c>
      <c r="P43" s="15">
        <f t="shared" si="1"/>
        <v>75</v>
      </c>
    </row>
    <row r="44" spans="2:20" ht="23.1" customHeight="1" x14ac:dyDescent="0.25">
      <c r="B44" s="25" t="s">
        <v>71</v>
      </c>
      <c r="C44" s="50">
        <v>3</v>
      </c>
      <c r="D44" s="50">
        <v>1</v>
      </c>
      <c r="E44" s="50">
        <v>2</v>
      </c>
      <c r="F44" s="50">
        <v>4</v>
      </c>
      <c r="G44" s="50">
        <v>0</v>
      </c>
      <c r="H44" s="50">
        <v>0</v>
      </c>
      <c r="I44" s="50">
        <v>2</v>
      </c>
      <c r="J44" s="50">
        <v>1</v>
      </c>
      <c r="K44" s="50">
        <v>0</v>
      </c>
      <c r="L44" s="50">
        <v>0</v>
      </c>
      <c r="M44" s="50">
        <v>50</v>
      </c>
      <c r="N44" s="50">
        <v>0</v>
      </c>
      <c r="O44" s="15">
        <f t="shared" si="0"/>
        <v>13</v>
      </c>
      <c r="P44" s="15">
        <f t="shared" si="1"/>
        <v>63</v>
      </c>
    </row>
    <row r="45" spans="2:20" ht="23.1" customHeight="1" x14ac:dyDescent="0.25">
      <c r="B45" s="23" t="s">
        <v>72</v>
      </c>
      <c r="C45" s="50">
        <v>2</v>
      </c>
      <c r="D45" s="50">
        <v>2</v>
      </c>
      <c r="E45" s="50">
        <v>3</v>
      </c>
      <c r="F45" s="50">
        <v>5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60</v>
      </c>
      <c r="N45" s="50">
        <v>0</v>
      </c>
      <c r="O45" s="15">
        <f t="shared" si="0"/>
        <v>14</v>
      </c>
      <c r="P45" s="15">
        <f t="shared" si="1"/>
        <v>74</v>
      </c>
    </row>
    <row r="46" spans="2:20" ht="23.1" customHeight="1" x14ac:dyDescent="0.25">
      <c r="B46" s="24" t="s">
        <v>73</v>
      </c>
      <c r="C46" s="50">
        <v>5</v>
      </c>
      <c r="D46" s="50">
        <v>2</v>
      </c>
      <c r="E46" s="50">
        <v>0</v>
      </c>
      <c r="F46" s="50">
        <v>3</v>
      </c>
      <c r="G46" s="50">
        <v>0</v>
      </c>
      <c r="H46" s="50">
        <v>0</v>
      </c>
      <c r="I46" s="50">
        <v>1</v>
      </c>
      <c r="J46" s="50">
        <v>0</v>
      </c>
      <c r="K46" s="50">
        <v>0</v>
      </c>
      <c r="L46" s="50">
        <v>0</v>
      </c>
      <c r="M46" s="50">
        <v>60</v>
      </c>
      <c r="N46" s="50">
        <v>0</v>
      </c>
      <c r="O46" s="15">
        <f t="shared" si="0"/>
        <v>11</v>
      </c>
      <c r="P46" s="15">
        <f t="shared" si="1"/>
        <v>71</v>
      </c>
      <c r="R46" s="8"/>
      <c r="T46"/>
    </row>
    <row r="47" spans="2:20" ht="23.1" customHeight="1" x14ac:dyDescent="0.25">
      <c r="B47" s="24" t="s">
        <v>74</v>
      </c>
      <c r="C47" s="50">
        <v>7</v>
      </c>
      <c r="D47" s="50">
        <v>5</v>
      </c>
      <c r="E47" s="50">
        <v>0</v>
      </c>
      <c r="F47" s="50">
        <v>2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55</v>
      </c>
      <c r="N47" s="50">
        <v>2</v>
      </c>
      <c r="O47" s="15">
        <f t="shared" si="0"/>
        <v>18</v>
      </c>
      <c r="P47" s="15">
        <f t="shared" si="1"/>
        <v>73</v>
      </c>
      <c r="R47" s="8"/>
      <c r="T47"/>
    </row>
    <row r="48" spans="2:20" ht="23.1" customHeight="1" x14ac:dyDescent="0.25">
      <c r="B48" s="24" t="s">
        <v>75</v>
      </c>
      <c r="C48" s="50">
        <v>3</v>
      </c>
      <c r="D48" s="50">
        <v>4</v>
      </c>
      <c r="E48" s="50">
        <v>2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55</v>
      </c>
      <c r="N48" s="50">
        <v>0</v>
      </c>
      <c r="O48" s="15">
        <f t="shared" si="0"/>
        <v>9</v>
      </c>
      <c r="P48" s="15">
        <f t="shared" si="1"/>
        <v>64</v>
      </c>
      <c r="R48" s="8"/>
      <c r="T48"/>
    </row>
    <row r="49" spans="2:20" ht="23.1" customHeight="1" x14ac:dyDescent="0.25">
      <c r="B49" s="23" t="s">
        <v>76</v>
      </c>
      <c r="C49" s="50">
        <v>5</v>
      </c>
      <c r="D49" s="50">
        <v>3</v>
      </c>
      <c r="E49" s="50">
        <v>1</v>
      </c>
      <c r="F49" s="50">
        <v>0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9</v>
      </c>
      <c r="P49" s="15">
        <f t="shared" si="1"/>
        <v>69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2</v>
      </c>
      <c r="E50" s="50">
        <v>0</v>
      </c>
      <c r="F50" s="50">
        <v>0</v>
      </c>
      <c r="G50" s="50">
        <v>0</v>
      </c>
      <c r="H50" s="50">
        <v>0</v>
      </c>
      <c r="I50" s="50">
        <v>2</v>
      </c>
      <c r="J50" s="50">
        <v>0</v>
      </c>
      <c r="K50" s="50">
        <v>0</v>
      </c>
      <c r="L50" s="50">
        <v>0</v>
      </c>
      <c r="M50" s="50">
        <v>50</v>
      </c>
      <c r="N50" s="50">
        <v>0</v>
      </c>
      <c r="O50" s="15">
        <f t="shared" si="0"/>
        <v>7</v>
      </c>
      <c r="P50" s="15">
        <f t="shared" si="1"/>
        <v>57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3</v>
      </c>
      <c r="E51" s="50">
        <v>1</v>
      </c>
      <c r="F51" s="50">
        <v>2</v>
      </c>
      <c r="G51" s="50">
        <v>0</v>
      </c>
      <c r="H51" s="50">
        <v>0</v>
      </c>
      <c r="I51" s="50">
        <v>1</v>
      </c>
      <c r="J51" s="50">
        <v>1</v>
      </c>
      <c r="K51" s="50">
        <v>0</v>
      </c>
      <c r="L51" s="50">
        <v>0</v>
      </c>
      <c r="M51" s="50">
        <v>70</v>
      </c>
      <c r="N51" s="50">
        <v>0</v>
      </c>
      <c r="O51" s="15">
        <f t="shared" si="0"/>
        <v>12</v>
      </c>
      <c r="P51" s="15">
        <f t="shared" si="1"/>
        <v>82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2</v>
      </c>
      <c r="F52" s="50">
        <v>1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70</v>
      </c>
      <c r="N52" s="50">
        <v>0</v>
      </c>
      <c r="O52" s="15">
        <f t="shared" si="0"/>
        <v>7</v>
      </c>
      <c r="P52" s="15">
        <f t="shared" si="1"/>
        <v>77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1</v>
      </c>
      <c r="E53" s="50">
        <v>2</v>
      </c>
      <c r="F53" s="50">
        <v>0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55</v>
      </c>
      <c r="N53" s="50">
        <v>0</v>
      </c>
      <c r="O53" s="15">
        <f t="shared" si="0"/>
        <v>5</v>
      </c>
      <c r="P53" s="15">
        <f t="shared" si="1"/>
        <v>60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0</v>
      </c>
      <c r="F54" s="50">
        <v>3</v>
      </c>
      <c r="G54" s="50">
        <v>0</v>
      </c>
      <c r="H54" s="50">
        <v>0</v>
      </c>
      <c r="I54" s="50">
        <v>1</v>
      </c>
      <c r="J54" s="50">
        <v>0</v>
      </c>
      <c r="K54" s="50">
        <v>0</v>
      </c>
      <c r="L54" s="50">
        <v>0</v>
      </c>
      <c r="M54" s="50">
        <v>65</v>
      </c>
      <c r="N54" s="50">
        <v>0</v>
      </c>
      <c r="O54" s="15">
        <f t="shared" si="0"/>
        <v>9</v>
      </c>
      <c r="P54" s="15">
        <f t="shared" si="1"/>
        <v>74</v>
      </c>
      <c r="R54" s="8"/>
      <c r="T54"/>
    </row>
    <row r="55" spans="2:20" ht="23.1" customHeight="1" x14ac:dyDescent="0.25">
      <c r="B55" s="23" t="s">
        <v>82</v>
      </c>
      <c r="C55" s="50">
        <v>2</v>
      </c>
      <c r="D55" s="50">
        <v>1</v>
      </c>
      <c r="E55" s="50">
        <v>2</v>
      </c>
      <c r="F55" s="50">
        <v>0</v>
      </c>
      <c r="G55" s="50">
        <v>0</v>
      </c>
      <c r="H55" s="50">
        <v>0</v>
      </c>
      <c r="I55" s="50">
        <v>2</v>
      </c>
      <c r="J55" s="50">
        <v>0</v>
      </c>
      <c r="K55" s="50">
        <v>0</v>
      </c>
      <c r="L55" s="50">
        <v>0</v>
      </c>
      <c r="M55" s="50">
        <v>55</v>
      </c>
      <c r="N55" s="50">
        <v>0</v>
      </c>
      <c r="O55" s="15">
        <f t="shared" si="0"/>
        <v>7</v>
      </c>
      <c r="P55" s="15">
        <f t="shared" si="1"/>
        <v>62</v>
      </c>
      <c r="R55" s="8"/>
      <c r="T55"/>
    </row>
    <row r="56" spans="2:20" ht="23.1" customHeight="1" x14ac:dyDescent="0.25">
      <c r="B56" s="23" t="s">
        <v>83</v>
      </c>
      <c r="C56" s="50">
        <v>3</v>
      </c>
      <c r="D56" s="50">
        <v>2</v>
      </c>
      <c r="E56" s="50">
        <v>1</v>
      </c>
      <c r="F56" s="50">
        <v>5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70</v>
      </c>
      <c r="N56" s="50">
        <v>0</v>
      </c>
      <c r="O56" s="15">
        <f t="shared" si="0"/>
        <v>13</v>
      </c>
      <c r="P56" s="15">
        <f t="shared" si="1"/>
        <v>83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3</v>
      </c>
      <c r="E57" s="50">
        <v>1</v>
      </c>
      <c r="F57" s="50">
        <v>3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70</v>
      </c>
      <c r="N57" s="50">
        <v>0</v>
      </c>
      <c r="O57" s="15">
        <f t="shared" si="0"/>
        <v>11</v>
      </c>
      <c r="P57" s="15">
        <f t="shared" si="1"/>
        <v>81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143</v>
      </c>
      <c r="D58" s="16">
        <f t="shared" si="21"/>
        <v>115</v>
      </c>
      <c r="E58" s="16">
        <f t="shared" si="21"/>
        <v>50</v>
      </c>
      <c r="F58" s="16">
        <f t="shared" si="21"/>
        <v>112</v>
      </c>
      <c r="G58" s="16">
        <f t="shared" si="21"/>
        <v>1</v>
      </c>
      <c r="H58" s="16">
        <f t="shared" si="21"/>
        <v>0</v>
      </c>
      <c r="I58" s="16">
        <f t="shared" si="21"/>
        <v>49</v>
      </c>
      <c r="J58" s="16">
        <f t="shared" si="21"/>
        <v>51</v>
      </c>
      <c r="K58" s="16">
        <f t="shared" si="21"/>
        <v>2</v>
      </c>
      <c r="L58" s="16">
        <f t="shared" si="21"/>
        <v>0</v>
      </c>
      <c r="M58" s="16">
        <f t="shared" si="21"/>
        <v>3115</v>
      </c>
      <c r="N58" s="16">
        <f t="shared" si="21"/>
        <v>3</v>
      </c>
      <c r="O58" s="16">
        <f t="shared" si="21"/>
        <v>526</v>
      </c>
      <c r="P58" s="16">
        <f t="shared" si="21"/>
        <v>3641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3.9274924471299093E-2</v>
      </c>
      <c r="D59" s="43">
        <f t="shared" si="22"/>
        <v>3.1584729469925847E-2</v>
      </c>
      <c r="E59" s="43">
        <f t="shared" si="22"/>
        <v>1.3732491073880802E-2</v>
      </c>
      <c r="F59" s="43">
        <f t="shared" si="22"/>
        <v>3.0760780005492996E-2</v>
      </c>
      <c r="G59" s="43">
        <f t="shared" si="22"/>
        <v>2.7464982147761604E-4</v>
      </c>
      <c r="H59" s="43">
        <f t="shared" si="22"/>
        <v>0</v>
      </c>
      <c r="I59" s="43">
        <f t="shared" si="22"/>
        <v>1.3457841252403187E-2</v>
      </c>
      <c r="J59" s="43">
        <f t="shared" si="22"/>
        <v>1.4007140895358419E-2</v>
      </c>
      <c r="K59" s="43">
        <f t="shared" si="22"/>
        <v>5.4929964295523208E-4</v>
      </c>
      <c r="L59" s="43">
        <f t="shared" si="22"/>
        <v>0</v>
      </c>
      <c r="M59" s="43">
        <f t="shared" si="22"/>
        <v>0.85553419390277397</v>
      </c>
      <c r="N59" s="43">
        <f t="shared" si="22"/>
        <v>8.2394946443284812E-4</v>
      </c>
      <c r="R59" s="8"/>
      <c r="T59"/>
    </row>
    <row r="60" spans="2:20" ht="23.1" customHeight="1" x14ac:dyDescent="0.25">
      <c r="B60" s="42" t="s">
        <v>94</v>
      </c>
      <c r="C60" s="44">
        <f>C58/$O$58</f>
        <v>0.27186311787072243</v>
      </c>
      <c r="D60" s="44">
        <f t="shared" ref="D60:N60" si="23">D58/$O$58</f>
        <v>0.21863117870722434</v>
      </c>
      <c r="E60" s="44">
        <f t="shared" si="23"/>
        <v>9.5057034220532313E-2</v>
      </c>
      <c r="F60" s="44">
        <f t="shared" si="23"/>
        <v>0.21292775665399238</v>
      </c>
      <c r="G60" s="44">
        <f t="shared" si="23"/>
        <v>1.9011406844106464E-3</v>
      </c>
      <c r="H60" s="44">
        <f t="shared" si="23"/>
        <v>0</v>
      </c>
      <c r="I60" s="44">
        <f t="shared" si="23"/>
        <v>9.3155893536121678E-2</v>
      </c>
      <c r="J60" s="44">
        <f t="shared" si="23"/>
        <v>9.6958174904942962E-2</v>
      </c>
      <c r="K60" s="44">
        <f t="shared" si="23"/>
        <v>3.8022813688212928E-3</v>
      </c>
      <c r="L60" s="44">
        <f t="shared" si="23"/>
        <v>0</v>
      </c>
      <c r="M60" s="44"/>
      <c r="N60" s="44">
        <f t="shared" si="23"/>
        <v>5.7034220532319393E-3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K5" sqref="K5:L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'25.08 Iganga-Kaliro'!D5</f>
        <v>25.08.19</v>
      </c>
      <c r="E5" s="3"/>
      <c r="F5" s="41" t="s">
        <v>1</v>
      </c>
      <c r="G5" s="61" t="str">
        <f>'22.08 Iganga-Kaliro'!G5:H5</f>
        <v>Kigulu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'22.08 Kaliro-Iganga'!G6:H6</f>
        <v>Iganga</v>
      </c>
      <c r="H6" s="62"/>
      <c r="J6" s="2" t="s">
        <v>21</v>
      </c>
      <c r="K6" s="61" t="str">
        <f>'22.08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6</v>
      </c>
      <c r="D10" s="50">
        <v>3</v>
      </c>
      <c r="E10" s="50">
        <v>2</v>
      </c>
      <c r="F10" s="50">
        <v>4</v>
      </c>
      <c r="G10" s="50">
        <v>0</v>
      </c>
      <c r="H10" s="50">
        <v>0</v>
      </c>
      <c r="I10" s="50">
        <v>3</v>
      </c>
      <c r="J10" s="50">
        <v>2</v>
      </c>
      <c r="K10" s="50">
        <v>0</v>
      </c>
      <c r="L10" s="50">
        <v>0</v>
      </c>
      <c r="M10" s="50">
        <v>69</v>
      </c>
      <c r="N10" s="50">
        <v>0</v>
      </c>
      <c r="O10" s="15">
        <f t="shared" ref="O10:O57" si="0">SUM(C10:L10,N10)</f>
        <v>20</v>
      </c>
      <c r="P10" s="15">
        <f t="shared" ref="P10:P57" si="1">SUM(C10:N10)</f>
        <v>89</v>
      </c>
      <c r="R10" s="1" t="s">
        <v>6</v>
      </c>
      <c r="S10" s="17">
        <f t="shared" ref="S10:AF10" si="2">SUM(C10:C13)</f>
        <v>19</v>
      </c>
      <c r="T10" s="17">
        <f t="shared" si="2"/>
        <v>10</v>
      </c>
      <c r="U10" s="17">
        <f t="shared" si="2"/>
        <v>8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8</v>
      </c>
      <c r="Z10" s="17">
        <f t="shared" si="2"/>
        <v>3</v>
      </c>
      <c r="AA10" s="17">
        <f t="shared" si="2"/>
        <v>0</v>
      </c>
      <c r="AB10" s="17">
        <f t="shared" si="2"/>
        <v>0</v>
      </c>
      <c r="AC10" s="17">
        <f t="shared" si="2"/>
        <v>292</v>
      </c>
      <c r="AD10" s="17">
        <f t="shared" si="2"/>
        <v>0</v>
      </c>
      <c r="AE10" s="31">
        <f t="shared" si="2"/>
        <v>52</v>
      </c>
      <c r="AF10" s="31">
        <f t="shared" si="2"/>
        <v>344</v>
      </c>
    </row>
    <row r="11" spans="2:32" s="6" customFormat="1" ht="23.1" customHeight="1" x14ac:dyDescent="0.25">
      <c r="B11" s="23" t="s">
        <v>38</v>
      </c>
      <c r="C11" s="50">
        <v>5</v>
      </c>
      <c r="D11" s="50">
        <v>2</v>
      </c>
      <c r="E11" s="50">
        <v>1</v>
      </c>
      <c r="F11" s="50">
        <v>0</v>
      </c>
      <c r="G11" s="50">
        <v>0</v>
      </c>
      <c r="H11" s="50">
        <v>0</v>
      </c>
      <c r="I11" s="50">
        <v>2</v>
      </c>
      <c r="J11" s="50">
        <v>1</v>
      </c>
      <c r="K11" s="50">
        <v>0</v>
      </c>
      <c r="L11" s="50">
        <v>0</v>
      </c>
      <c r="M11" s="50">
        <v>72</v>
      </c>
      <c r="N11" s="50">
        <v>0</v>
      </c>
      <c r="O11" s="15">
        <f t="shared" si="0"/>
        <v>11</v>
      </c>
      <c r="P11" s="15">
        <f t="shared" si="1"/>
        <v>83</v>
      </c>
      <c r="R11" s="1" t="s">
        <v>7</v>
      </c>
      <c r="S11" s="17">
        <f t="shared" ref="S11:AF11" si="3">SUM(C14:C17)</f>
        <v>5</v>
      </c>
      <c r="T11" s="17">
        <f t="shared" si="3"/>
        <v>0</v>
      </c>
      <c r="U11" s="17">
        <f t="shared" si="3"/>
        <v>0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0</v>
      </c>
      <c r="AA11" s="17">
        <f t="shared" si="3"/>
        <v>1</v>
      </c>
      <c r="AB11" s="17">
        <f t="shared" si="3"/>
        <v>0</v>
      </c>
      <c r="AC11" s="17">
        <f t="shared" si="3"/>
        <v>184</v>
      </c>
      <c r="AD11" s="17">
        <f t="shared" si="3"/>
        <v>0</v>
      </c>
      <c r="AE11" s="31">
        <f t="shared" si="3"/>
        <v>15</v>
      </c>
      <c r="AF11" s="31">
        <f t="shared" si="3"/>
        <v>199</v>
      </c>
    </row>
    <row r="12" spans="2:32" ht="23.1" customHeight="1" x14ac:dyDescent="0.25">
      <c r="B12" s="23" t="s">
        <v>39</v>
      </c>
      <c r="C12" s="50">
        <v>3</v>
      </c>
      <c r="D12" s="50">
        <v>1</v>
      </c>
      <c r="E12" s="50">
        <v>4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77</v>
      </c>
      <c r="N12" s="50">
        <v>0</v>
      </c>
      <c r="O12" s="15">
        <f t="shared" si="0"/>
        <v>8</v>
      </c>
      <c r="P12" s="15">
        <f t="shared" si="1"/>
        <v>85</v>
      </c>
      <c r="R12" s="1" t="s">
        <v>8</v>
      </c>
      <c r="S12" s="17">
        <f t="shared" ref="S12:AF12" si="4">SUM(C18:C21)</f>
        <v>16</v>
      </c>
      <c r="T12" s="17">
        <f t="shared" si="4"/>
        <v>0</v>
      </c>
      <c r="U12" s="17">
        <f t="shared" si="4"/>
        <v>4</v>
      </c>
      <c r="V12" s="17">
        <f t="shared" si="4"/>
        <v>14</v>
      </c>
      <c r="W12" s="17">
        <f t="shared" si="4"/>
        <v>2</v>
      </c>
      <c r="X12" s="17">
        <f t="shared" si="4"/>
        <v>0</v>
      </c>
      <c r="Y12" s="17">
        <f t="shared" si="4"/>
        <v>2</v>
      </c>
      <c r="Z12" s="17">
        <f t="shared" si="4"/>
        <v>3</v>
      </c>
      <c r="AA12" s="17">
        <f t="shared" si="4"/>
        <v>0</v>
      </c>
      <c r="AB12" s="17">
        <f t="shared" si="4"/>
        <v>0</v>
      </c>
      <c r="AC12" s="17">
        <f t="shared" si="4"/>
        <v>281</v>
      </c>
      <c r="AD12" s="17">
        <f t="shared" si="4"/>
        <v>0</v>
      </c>
      <c r="AE12" s="31">
        <f t="shared" si="4"/>
        <v>41</v>
      </c>
      <c r="AF12" s="31">
        <f t="shared" si="4"/>
        <v>322</v>
      </c>
    </row>
    <row r="13" spans="2:32" ht="23.1" customHeight="1" x14ac:dyDescent="0.25">
      <c r="B13" s="23" t="s">
        <v>40</v>
      </c>
      <c r="C13" s="50">
        <v>5</v>
      </c>
      <c r="D13" s="50">
        <v>4</v>
      </c>
      <c r="E13" s="50">
        <v>1</v>
      </c>
      <c r="F13" s="50">
        <v>0</v>
      </c>
      <c r="G13" s="50">
        <v>0</v>
      </c>
      <c r="H13" s="50">
        <v>0</v>
      </c>
      <c r="I13" s="50">
        <v>3</v>
      </c>
      <c r="J13" s="50">
        <v>0</v>
      </c>
      <c r="K13" s="50">
        <v>0</v>
      </c>
      <c r="L13" s="50">
        <v>0</v>
      </c>
      <c r="M13" s="50">
        <v>74</v>
      </c>
      <c r="N13" s="50">
        <v>0</v>
      </c>
      <c r="O13" s="15">
        <f t="shared" si="0"/>
        <v>13</v>
      </c>
      <c r="P13" s="15">
        <f t="shared" si="1"/>
        <v>87</v>
      </c>
      <c r="R13" s="1" t="s">
        <v>9</v>
      </c>
      <c r="S13" s="17">
        <f t="shared" ref="S13:AF13" si="5">SUM(C22:C25)</f>
        <v>24</v>
      </c>
      <c r="T13" s="17">
        <f t="shared" si="5"/>
        <v>4</v>
      </c>
      <c r="U13" s="17">
        <f t="shared" si="5"/>
        <v>2</v>
      </c>
      <c r="V13" s="17">
        <f t="shared" si="5"/>
        <v>8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348</v>
      </c>
      <c r="AD13" s="17">
        <f t="shared" si="5"/>
        <v>0</v>
      </c>
      <c r="AE13" s="31">
        <f t="shared" si="5"/>
        <v>44</v>
      </c>
      <c r="AF13" s="31">
        <f t="shared" si="5"/>
        <v>392</v>
      </c>
    </row>
    <row r="14" spans="2:32" ht="23.1" customHeight="1" x14ac:dyDescent="0.25">
      <c r="B14" s="23" t="s">
        <v>41</v>
      </c>
      <c r="C14" s="50">
        <v>0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15</v>
      </c>
      <c r="N14" s="50">
        <v>0</v>
      </c>
      <c r="O14" s="15">
        <f t="shared" si="0"/>
        <v>0</v>
      </c>
      <c r="P14" s="15">
        <f t="shared" si="1"/>
        <v>15</v>
      </c>
      <c r="R14" s="1" t="s">
        <v>10</v>
      </c>
      <c r="S14" s="17">
        <f t="shared" ref="S14:AF14" si="6">SUM(C26:C29)</f>
        <v>24</v>
      </c>
      <c r="T14" s="17">
        <f t="shared" si="6"/>
        <v>1</v>
      </c>
      <c r="U14" s="17">
        <f t="shared" si="6"/>
        <v>0</v>
      </c>
      <c r="V14" s="17">
        <f t="shared" si="6"/>
        <v>18</v>
      </c>
      <c r="W14" s="17">
        <f t="shared" si="6"/>
        <v>0</v>
      </c>
      <c r="X14" s="17">
        <f t="shared" si="6"/>
        <v>0</v>
      </c>
      <c r="Y14" s="17">
        <f t="shared" si="6"/>
        <v>8</v>
      </c>
      <c r="Z14" s="17">
        <f t="shared" si="6"/>
        <v>1</v>
      </c>
      <c r="AA14" s="17">
        <f t="shared" si="6"/>
        <v>0</v>
      </c>
      <c r="AB14" s="17">
        <f t="shared" si="6"/>
        <v>1</v>
      </c>
      <c r="AC14" s="17">
        <f t="shared" si="6"/>
        <v>392</v>
      </c>
      <c r="AD14" s="17">
        <f t="shared" si="6"/>
        <v>0</v>
      </c>
      <c r="AE14" s="31">
        <f t="shared" si="6"/>
        <v>53</v>
      </c>
      <c r="AF14" s="31">
        <f t="shared" si="6"/>
        <v>445</v>
      </c>
    </row>
    <row r="15" spans="2:32" ht="23.1" customHeight="1" x14ac:dyDescent="0.25">
      <c r="B15" s="23" t="s">
        <v>42</v>
      </c>
      <c r="C15" s="50">
        <v>2</v>
      </c>
      <c r="D15" s="50">
        <v>0</v>
      </c>
      <c r="E15" s="50">
        <v>0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1</v>
      </c>
      <c r="L15" s="50">
        <v>0</v>
      </c>
      <c r="M15" s="50">
        <v>40</v>
      </c>
      <c r="N15" s="50">
        <v>0</v>
      </c>
      <c r="O15" s="15">
        <f t="shared" si="0"/>
        <v>5</v>
      </c>
      <c r="P15" s="15">
        <f t="shared" si="1"/>
        <v>45</v>
      </c>
      <c r="R15" s="1" t="s">
        <v>11</v>
      </c>
      <c r="S15" s="17">
        <f t="shared" ref="S15:AF15" si="7">SUM(C30:C33)</f>
        <v>11</v>
      </c>
      <c r="T15" s="17">
        <f t="shared" si="7"/>
        <v>0</v>
      </c>
      <c r="U15" s="17">
        <f t="shared" si="7"/>
        <v>0</v>
      </c>
      <c r="V15" s="17">
        <f t="shared" si="7"/>
        <v>4</v>
      </c>
      <c r="W15" s="17">
        <f t="shared" si="7"/>
        <v>0</v>
      </c>
      <c r="X15" s="17">
        <f t="shared" si="7"/>
        <v>0</v>
      </c>
      <c r="Y15" s="17">
        <f t="shared" si="7"/>
        <v>12</v>
      </c>
      <c r="Z15" s="17">
        <f t="shared" si="7"/>
        <v>0</v>
      </c>
      <c r="AA15" s="17">
        <f t="shared" si="7"/>
        <v>0</v>
      </c>
      <c r="AB15" s="17">
        <f t="shared" si="7"/>
        <v>0</v>
      </c>
      <c r="AC15" s="17">
        <f t="shared" si="7"/>
        <v>336</v>
      </c>
      <c r="AD15" s="17">
        <f t="shared" si="7"/>
        <v>1</v>
      </c>
      <c r="AE15" s="31">
        <f t="shared" si="7"/>
        <v>28</v>
      </c>
      <c r="AF15" s="31">
        <f t="shared" si="7"/>
        <v>364</v>
      </c>
    </row>
    <row r="16" spans="2:32" ht="23.1" customHeight="1" x14ac:dyDescent="0.25">
      <c r="B16" s="23" t="s">
        <v>43</v>
      </c>
      <c r="C16" s="50">
        <v>0</v>
      </c>
      <c r="D16" s="50">
        <v>0</v>
      </c>
      <c r="E16" s="50">
        <v>0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64</v>
      </c>
      <c r="N16" s="50">
        <v>0</v>
      </c>
      <c r="O16" s="15">
        <f t="shared" si="0"/>
        <v>4</v>
      </c>
      <c r="P16" s="15">
        <f t="shared" si="1"/>
        <v>68</v>
      </c>
      <c r="R16" s="1" t="s">
        <v>12</v>
      </c>
      <c r="S16" s="17">
        <f t="shared" ref="S16:AF16" si="8">SUM(C34:C37)</f>
        <v>16</v>
      </c>
      <c r="T16" s="17">
        <f t="shared" si="8"/>
        <v>5</v>
      </c>
      <c r="U16" s="17">
        <f t="shared" si="8"/>
        <v>5</v>
      </c>
      <c r="V16" s="17">
        <f t="shared" si="8"/>
        <v>3</v>
      </c>
      <c r="W16" s="17">
        <f t="shared" si="8"/>
        <v>0</v>
      </c>
      <c r="X16" s="17">
        <f t="shared" si="8"/>
        <v>0</v>
      </c>
      <c r="Y16" s="17">
        <f t="shared" si="8"/>
        <v>1</v>
      </c>
      <c r="Z16" s="17">
        <f t="shared" si="8"/>
        <v>1</v>
      </c>
      <c r="AA16" s="17">
        <f t="shared" si="8"/>
        <v>1</v>
      </c>
      <c r="AB16" s="17">
        <f t="shared" si="8"/>
        <v>0</v>
      </c>
      <c r="AC16" s="17">
        <f t="shared" si="8"/>
        <v>284</v>
      </c>
      <c r="AD16" s="17">
        <f t="shared" si="8"/>
        <v>0</v>
      </c>
      <c r="AE16" s="31">
        <f t="shared" si="8"/>
        <v>32</v>
      </c>
      <c r="AF16" s="31">
        <f t="shared" si="8"/>
        <v>316</v>
      </c>
    </row>
    <row r="17" spans="2:32" ht="23.1" customHeight="1" x14ac:dyDescent="0.25">
      <c r="B17" s="23" t="s">
        <v>44</v>
      </c>
      <c r="C17" s="50">
        <v>3</v>
      </c>
      <c r="D17" s="50">
        <v>0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65</v>
      </c>
      <c r="N17" s="50">
        <v>0</v>
      </c>
      <c r="O17" s="15">
        <f t="shared" si="0"/>
        <v>6</v>
      </c>
      <c r="P17" s="15">
        <f t="shared" si="1"/>
        <v>71</v>
      </c>
      <c r="R17" s="1" t="s">
        <v>13</v>
      </c>
      <c r="S17" s="17">
        <f t="shared" ref="S17:AF17" si="9">SUM(C38:C41)</f>
        <v>23</v>
      </c>
      <c r="T17" s="17">
        <f t="shared" si="9"/>
        <v>7</v>
      </c>
      <c r="U17" s="17">
        <f t="shared" si="9"/>
        <v>1</v>
      </c>
      <c r="V17" s="17">
        <f t="shared" si="9"/>
        <v>10</v>
      </c>
      <c r="W17" s="17">
        <f t="shared" si="9"/>
        <v>0</v>
      </c>
      <c r="X17" s="17">
        <f t="shared" si="9"/>
        <v>0</v>
      </c>
      <c r="Y17" s="17">
        <f t="shared" si="9"/>
        <v>7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320</v>
      </c>
      <c r="AD17" s="17">
        <f t="shared" si="9"/>
        <v>0</v>
      </c>
      <c r="AE17" s="31">
        <f t="shared" si="9"/>
        <v>51</v>
      </c>
      <c r="AF17" s="31">
        <f t="shared" si="9"/>
        <v>371</v>
      </c>
    </row>
    <row r="18" spans="2:32" ht="23.1" customHeight="1" x14ac:dyDescent="0.25">
      <c r="B18" s="23" t="s">
        <v>45</v>
      </c>
      <c r="C18" s="50">
        <v>6</v>
      </c>
      <c r="D18" s="50">
        <v>0</v>
      </c>
      <c r="E18" s="50">
        <v>1</v>
      </c>
      <c r="F18" s="50">
        <v>5</v>
      </c>
      <c r="G18" s="50">
        <v>1</v>
      </c>
      <c r="H18" s="50">
        <v>0</v>
      </c>
      <c r="I18" s="50">
        <v>0</v>
      </c>
      <c r="J18" s="50">
        <v>1</v>
      </c>
      <c r="K18" s="50">
        <v>0</v>
      </c>
      <c r="L18" s="50">
        <v>0</v>
      </c>
      <c r="M18" s="50">
        <v>85</v>
      </c>
      <c r="N18" s="50">
        <v>0</v>
      </c>
      <c r="O18" s="15">
        <f t="shared" si="0"/>
        <v>14</v>
      </c>
      <c r="P18" s="15">
        <f t="shared" si="1"/>
        <v>99</v>
      </c>
      <c r="R18" s="1" t="s">
        <v>14</v>
      </c>
      <c r="S18" s="17">
        <f t="shared" ref="S18:AF18" si="10">SUM(C42:C45)</f>
        <v>28</v>
      </c>
      <c r="T18" s="17">
        <f t="shared" si="10"/>
        <v>4</v>
      </c>
      <c r="U18" s="17">
        <f t="shared" si="10"/>
        <v>6</v>
      </c>
      <c r="V18" s="17">
        <f t="shared" si="10"/>
        <v>7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6</v>
      </c>
      <c r="AA18" s="17">
        <f t="shared" si="10"/>
        <v>0</v>
      </c>
      <c r="AB18" s="17">
        <f t="shared" si="10"/>
        <v>1</v>
      </c>
      <c r="AC18" s="17">
        <f t="shared" si="10"/>
        <v>339</v>
      </c>
      <c r="AD18" s="17">
        <f t="shared" si="10"/>
        <v>0</v>
      </c>
      <c r="AE18" s="31">
        <f t="shared" si="10"/>
        <v>56</v>
      </c>
      <c r="AF18" s="31">
        <f t="shared" si="10"/>
        <v>395</v>
      </c>
    </row>
    <row r="19" spans="2:32" ht="23.1" customHeight="1" x14ac:dyDescent="0.25">
      <c r="B19" s="23" t="s">
        <v>46</v>
      </c>
      <c r="C19" s="50">
        <v>3</v>
      </c>
      <c r="D19" s="50">
        <v>0</v>
      </c>
      <c r="E19" s="50">
        <v>0</v>
      </c>
      <c r="F19" s="50">
        <v>1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70</v>
      </c>
      <c r="N19" s="50">
        <v>0</v>
      </c>
      <c r="O19" s="15">
        <f t="shared" si="0"/>
        <v>7</v>
      </c>
      <c r="P19" s="15">
        <f t="shared" si="1"/>
        <v>77</v>
      </c>
      <c r="R19" s="1" t="s">
        <v>15</v>
      </c>
      <c r="S19" s="17">
        <f t="shared" ref="S19:AF19" si="11">SUM(C46:C49)</f>
        <v>14</v>
      </c>
      <c r="T19" s="17">
        <f t="shared" si="11"/>
        <v>4</v>
      </c>
      <c r="U19" s="17">
        <f t="shared" si="11"/>
        <v>11</v>
      </c>
      <c r="V19" s="17">
        <f t="shared" si="11"/>
        <v>26</v>
      </c>
      <c r="W19" s="17">
        <f t="shared" si="11"/>
        <v>1</v>
      </c>
      <c r="X19" s="17">
        <f t="shared" si="11"/>
        <v>0</v>
      </c>
      <c r="Y19" s="17">
        <f t="shared" si="11"/>
        <v>6</v>
      </c>
      <c r="Z19" s="17">
        <f t="shared" si="11"/>
        <v>0</v>
      </c>
      <c r="AA19" s="17">
        <f t="shared" si="11"/>
        <v>0</v>
      </c>
      <c r="AB19" s="17">
        <f t="shared" si="11"/>
        <v>0</v>
      </c>
      <c r="AC19" s="17">
        <f t="shared" si="11"/>
        <v>270</v>
      </c>
      <c r="AD19" s="17">
        <f t="shared" si="11"/>
        <v>0</v>
      </c>
      <c r="AE19" s="31">
        <f t="shared" si="11"/>
        <v>62</v>
      </c>
      <c r="AF19" s="31">
        <f t="shared" si="11"/>
        <v>332</v>
      </c>
    </row>
    <row r="20" spans="2:32" ht="23.1" customHeight="1" x14ac:dyDescent="0.25">
      <c r="B20" s="23" t="s">
        <v>47</v>
      </c>
      <c r="C20" s="50">
        <v>3</v>
      </c>
      <c r="D20" s="50">
        <v>0</v>
      </c>
      <c r="E20" s="50">
        <v>1</v>
      </c>
      <c r="F20" s="50">
        <v>4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9</v>
      </c>
      <c r="P20" s="15">
        <f t="shared" si="1"/>
        <v>69</v>
      </c>
      <c r="R20" s="1" t="s">
        <v>16</v>
      </c>
      <c r="S20" s="17">
        <f t="shared" ref="S20:AF20" si="12">SUM(C50:C53)</f>
        <v>16</v>
      </c>
      <c r="T20" s="17">
        <f t="shared" si="12"/>
        <v>5</v>
      </c>
      <c r="U20" s="17">
        <f t="shared" si="12"/>
        <v>7</v>
      </c>
      <c r="V20" s="17">
        <f t="shared" si="12"/>
        <v>20</v>
      </c>
      <c r="W20" s="17">
        <f t="shared" si="12"/>
        <v>2</v>
      </c>
      <c r="X20" s="17">
        <f t="shared" si="12"/>
        <v>0</v>
      </c>
      <c r="Y20" s="17">
        <f t="shared" si="12"/>
        <v>10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263</v>
      </c>
      <c r="AD20" s="17">
        <f t="shared" si="12"/>
        <v>0</v>
      </c>
      <c r="AE20" s="31">
        <f t="shared" si="12"/>
        <v>65</v>
      </c>
      <c r="AF20" s="31">
        <f t="shared" si="12"/>
        <v>328</v>
      </c>
    </row>
    <row r="21" spans="2:32" ht="23.1" customHeight="1" x14ac:dyDescent="0.25">
      <c r="B21" s="23" t="s">
        <v>48</v>
      </c>
      <c r="C21" s="50">
        <v>4</v>
      </c>
      <c r="D21" s="50">
        <v>0</v>
      </c>
      <c r="E21" s="50">
        <v>2</v>
      </c>
      <c r="F21" s="50">
        <v>4</v>
      </c>
      <c r="G21" s="50">
        <v>0</v>
      </c>
      <c r="H21" s="50">
        <v>0</v>
      </c>
      <c r="I21" s="50">
        <v>1</v>
      </c>
      <c r="J21" s="50">
        <v>0</v>
      </c>
      <c r="K21" s="50">
        <v>0</v>
      </c>
      <c r="L21" s="50">
        <v>0</v>
      </c>
      <c r="M21" s="50">
        <v>66</v>
      </c>
      <c r="N21" s="50">
        <v>0</v>
      </c>
      <c r="O21" s="15">
        <f t="shared" si="0"/>
        <v>11</v>
      </c>
      <c r="P21" s="15">
        <f t="shared" si="1"/>
        <v>77</v>
      </c>
      <c r="R21" s="36" t="s">
        <v>20</v>
      </c>
      <c r="S21" s="34">
        <f t="shared" ref="S21:AF21" si="13">SUM(C54:C57)</f>
        <v>24</v>
      </c>
      <c r="T21" s="17">
        <f t="shared" si="13"/>
        <v>4</v>
      </c>
      <c r="U21" s="17">
        <f t="shared" si="13"/>
        <v>12</v>
      </c>
      <c r="V21" s="17">
        <f t="shared" si="13"/>
        <v>26</v>
      </c>
      <c r="W21" s="17">
        <f t="shared" si="13"/>
        <v>1</v>
      </c>
      <c r="X21" s="17">
        <f t="shared" si="13"/>
        <v>0</v>
      </c>
      <c r="Y21" s="17">
        <f t="shared" si="13"/>
        <v>5</v>
      </c>
      <c r="Z21" s="17">
        <f t="shared" si="13"/>
        <v>6</v>
      </c>
      <c r="AA21" s="17">
        <f t="shared" si="13"/>
        <v>0</v>
      </c>
      <c r="AB21" s="17">
        <f t="shared" si="13"/>
        <v>0</v>
      </c>
      <c r="AC21" s="17">
        <f t="shared" si="13"/>
        <v>289</v>
      </c>
      <c r="AD21" s="17">
        <f t="shared" si="13"/>
        <v>0</v>
      </c>
      <c r="AE21" s="31">
        <f t="shared" si="13"/>
        <v>78</v>
      </c>
      <c r="AF21" s="31">
        <f t="shared" si="13"/>
        <v>367</v>
      </c>
    </row>
    <row r="22" spans="2:32" ht="23.1" customHeight="1" x14ac:dyDescent="0.25">
      <c r="B22" s="23" t="s">
        <v>49</v>
      </c>
      <c r="C22" s="50">
        <v>6</v>
      </c>
      <c r="D22" s="50">
        <v>2</v>
      </c>
      <c r="E22" s="50">
        <v>1</v>
      </c>
      <c r="F22" s="50">
        <v>3</v>
      </c>
      <c r="G22" s="50">
        <v>0</v>
      </c>
      <c r="H22" s="50">
        <v>0</v>
      </c>
      <c r="I22" s="50">
        <v>1</v>
      </c>
      <c r="J22" s="50">
        <v>1</v>
      </c>
      <c r="K22" s="50">
        <v>0</v>
      </c>
      <c r="L22" s="50">
        <v>0</v>
      </c>
      <c r="M22" s="50">
        <v>67</v>
      </c>
      <c r="N22" s="50">
        <v>0</v>
      </c>
      <c r="O22" s="15">
        <f t="shared" si="0"/>
        <v>14</v>
      </c>
      <c r="P22" s="15">
        <f t="shared" si="1"/>
        <v>81</v>
      </c>
      <c r="R22" s="38" t="s">
        <v>90</v>
      </c>
      <c r="S22" s="39">
        <f>MAX(S10:S12)</f>
        <v>19</v>
      </c>
      <c r="T22" s="39">
        <f t="shared" ref="T22:AF22" si="14">MAX(T10:T12)</f>
        <v>10</v>
      </c>
      <c r="U22" s="39">
        <f t="shared" si="14"/>
        <v>8</v>
      </c>
      <c r="V22" s="39">
        <f t="shared" si="14"/>
        <v>14</v>
      </c>
      <c r="W22" s="39">
        <f t="shared" si="14"/>
        <v>2</v>
      </c>
      <c r="X22" s="39">
        <f t="shared" si="14"/>
        <v>0</v>
      </c>
      <c r="Y22" s="39">
        <f t="shared" si="14"/>
        <v>8</v>
      </c>
      <c r="Z22" s="39">
        <f t="shared" si="14"/>
        <v>3</v>
      </c>
      <c r="AA22" s="39">
        <f t="shared" si="14"/>
        <v>1</v>
      </c>
      <c r="AB22" s="39">
        <f t="shared" si="14"/>
        <v>0</v>
      </c>
      <c r="AC22" s="39">
        <f t="shared" si="14"/>
        <v>292</v>
      </c>
      <c r="AD22" s="39">
        <f t="shared" si="14"/>
        <v>0</v>
      </c>
      <c r="AE22" s="40">
        <f t="shared" si="14"/>
        <v>52</v>
      </c>
      <c r="AF22" s="40">
        <f t="shared" si="14"/>
        <v>344</v>
      </c>
    </row>
    <row r="23" spans="2:32" ht="23.1" customHeight="1" x14ac:dyDescent="0.25">
      <c r="B23" s="23" t="s">
        <v>50</v>
      </c>
      <c r="C23" s="50">
        <v>8</v>
      </c>
      <c r="D23" s="50">
        <v>0</v>
      </c>
      <c r="E23" s="50">
        <v>0</v>
      </c>
      <c r="F23" s="50">
        <v>0</v>
      </c>
      <c r="G23" s="50">
        <v>0</v>
      </c>
      <c r="H23" s="50">
        <v>0</v>
      </c>
      <c r="I23" s="50">
        <v>1</v>
      </c>
      <c r="J23" s="50">
        <v>2</v>
      </c>
      <c r="K23" s="50">
        <v>0</v>
      </c>
      <c r="L23" s="50">
        <v>0</v>
      </c>
      <c r="M23" s="50">
        <v>92</v>
      </c>
      <c r="N23" s="50">
        <v>0</v>
      </c>
      <c r="O23" s="15">
        <f t="shared" si="0"/>
        <v>11</v>
      </c>
      <c r="P23" s="15">
        <f t="shared" si="1"/>
        <v>103</v>
      </c>
      <c r="R23" s="38" t="s">
        <v>91</v>
      </c>
      <c r="S23" s="39">
        <f>MAX(S13:S18)</f>
        <v>28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18</v>
      </c>
      <c r="W23" s="39">
        <f t="shared" si="15"/>
        <v>0</v>
      </c>
      <c r="X23" s="39">
        <f t="shared" si="15"/>
        <v>0</v>
      </c>
      <c r="Y23" s="39">
        <f t="shared" si="15"/>
        <v>12</v>
      </c>
      <c r="Z23" s="39">
        <f t="shared" si="15"/>
        <v>6</v>
      </c>
      <c r="AA23" s="39">
        <f t="shared" si="15"/>
        <v>1</v>
      </c>
      <c r="AB23" s="39">
        <f t="shared" si="15"/>
        <v>1</v>
      </c>
      <c r="AC23" s="39">
        <f t="shared" si="15"/>
        <v>392</v>
      </c>
      <c r="AD23" s="39">
        <f t="shared" si="15"/>
        <v>1</v>
      </c>
      <c r="AE23" s="40">
        <f t="shared" si="15"/>
        <v>56</v>
      </c>
      <c r="AF23" s="40">
        <f t="shared" si="15"/>
        <v>445</v>
      </c>
    </row>
    <row r="24" spans="2:32" ht="23.1" customHeight="1" x14ac:dyDescent="0.25">
      <c r="B24" s="23" t="s">
        <v>51</v>
      </c>
      <c r="C24" s="50">
        <v>8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0</v>
      </c>
      <c r="J24" s="50">
        <v>0</v>
      </c>
      <c r="K24" s="50">
        <v>0</v>
      </c>
      <c r="L24" s="50">
        <v>0</v>
      </c>
      <c r="M24" s="50">
        <v>89</v>
      </c>
      <c r="N24" s="50">
        <v>0</v>
      </c>
      <c r="O24" s="15">
        <f t="shared" si="0"/>
        <v>11</v>
      </c>
      <c r="P24" s="15">
        <f t="shared" si="1"/>
        <v>100</v>
      </c>
      <c r="R24" s="38" t="s">
        <v>92</v>
      </c>
      <c r="S24" s="39">
        <f>MAX(S19:S21)</f>
        <v>24</v>
      </c>
      <c r="T24" s="39">
        <f t="shared" ref="T24:AF24" si="16">MAX(T19:T21)</f>
        <v>5</v>
      </c>
      <c r="U24" s="39">
        <f t="shared" si="16"/>
        <v>12</v>
      </c>
      <c r="V24" s="39">
        <f t="shared" si="16"/>
        <v>26</v>
      </c>
      <c r="W24" s="39">
        <f t="shared" si="16"/>
        <v>2</v>
      </c>
      <c r="X24" s="39">
        <f t="shared" si="16"/>
        <v>0</v>
      </c>
      <c r="Y24" s="39">
        <f t="shared" si="16"/>
        <v>10</v>
      </c>
      <c r="Z24" s="39">
        <f t="shared" si="16"/>
        <v>6</v>
      </c>
      <c r="AA24" s="39">
        <f t="shared" si="16"/>
        <v>0</v>
      </c>
      <c r="AB24" s="39">
        <f t="shared" si="16"/>
        <v>0</v>
      </c>
      <c r="AC24" s="39">
        <f t="shared" si="16"/>
        <v>289</v>
      </c>
      <c r="AD24" s="39">
        <f t="shared" si="16"/>
        <v>0</v>
      </c>
      <c r="AE24" s="40">
        <f t="shared" si="16"/>
        <v>78</v>
      </c>
      <c r="AF24" s="40">
        <f t="shared" si="16"/>
        <v>367</v>
      </c>
    </row>
    <row r="25" spans="2:32" ht="23.1" customHeight="1" x14ac:dyDescent="0.25">
      <c r="B25" s="23" t="s">
        <v>52</v>
      </c>
      <c r="C25" s="50">
        <v>2</v>
      </c>
      <c r="D25" s="50">
        <v>2</v>
      </c>
      <c r="E25" s="50">
        <v>0</v>
      </c>
      <c r="F25" s="50">
        <v>3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100</v>
      </c>
      <c r="N25" s="50">
        <v>0</v>
      </c>
      <c r="O25" s="15">
        <f t="shared" si="0"/>
        <v>8</v>
      </c>
      <c r="P25" s="15">
        <f t="shared" si="1"/>
        <v>108</v>
      </c>
      <c r="R25" s="37" t="s">
        <v>85</v>
      </c>
      <c r="S25" s="35">
        <f t="shared" ref="S25:AF25" si="17">SUM(S10:S12)</f>
        <v>40</v>
      </c>
      <c r="T25" s="16">
        <f t="shared" si="17"/>
        <v>10</v>
      </c>
      <c r="U25" s="16">
        <f t="shared" si="17"/>
        <v>12</v>
      </c>
      <c r="V25" s="16">
        <f t="shared" si="17"/>
        <v>24</v>
      </c>
      <c r="W25" s="16">
        <f t="shared" si="17"/>
        <v>2</v>
      </c>
      <c r="X25" s="16">
        <f t="shared" si="17"/>
        <v>0</v>
      </c>
      <c r="Y25" s="16">
        <f t="shared" si="17"/>
        <v>13</v>
      </c>
      <c r="Z25" s="16">
        <f t="shared" si="17"/>
        <v>6</v>
      </c>
      <c r="AA25" s="16">
        <f t="shared" si="17"/>
        <v>1</v>
      </c>
      <c r="AB25" s="16">
        <f t="shared" si="17"/>
        <v>0</v>
      </c>
      <c r="AC25" s="16">
        <f t="shared" si="17"/>
        <v>757</v>
      </c>
      <c r="AD25" s="16">
        <f t="shared" si="17"/>
        <v>0</v>
      </c>
      <c r="AE25" s="32">
        <f t="shared" si="17"/>
        <v>108</v>
      </c>
      <c r="AF25" s="32">
        <f t="shared" si="17"/>
        <v>865</v>
      </c>
    </row>
    <row r="26" spans="2:32" ht="23.1" customHeight="1" x14ac:dyDescent="0.25">
      <c r="B26" s="23" t="s">
        <v>53</v>
      </c>
      <c r="C26" s="50">
        <v>1</v>
      </c>
      <c r="D26" s="50">
        <v>0</v>
      </c>
      <c r="E26" s="50">
        <v>0</v>
      </c>
      <c r="F26" s="50">
        <v>3</v>
      </c>
      <c r="G26" s="50">
        <v>0</v>
      </c>
      <c r="H26" s="50">
        <v>0</v>
      </c>
      <c r="I26" s="50">
        <v>2</v>
      </c>
      <c r="J26" s="50">
        <v>0</v>
      </c>
      <c r="K26" s="50">
        <v>0</v>
      </c>
      <c r="L26" s="50">
        <v>0</v>
      </c>
      <c r="M26" s="50">
        <v>105</v>
      </c>
      <c r="N26" s="50">
        <v>0</v>
      </c>
      <c r="O26" s="15">
        <f t="shared" si="0"/>
        <v>6</v>
      </c>
      <c r="P26" s="15">
        <f t="shared" si="1"/>
        <v>111</v>
      </c>
      <c r="R26" s="28" t="s">
        <v>86</v>
      </c>
      <c r="S26" s="16">
        <f t="shared" ref="S26:AF26" si="18">SUM(S13:S18)</f>
        <v>126</v>
      </c>
      <c r="T26" s="16">
        <f t="shared" si="18"/>
        <v>21</v>
      </c>
      <c r="U26" s="16">
        <f t="shared" si="18"/>
        <v>14</v>
      </c>
      <c r="V26" s="16">
        <f t="shared" si="18"/>
        <v>50</v>
      </c>
      <c r="W26" s="16">
        <f t="shared" si="18"/>
        <v>0</v>
      </c>
      <c r="X26" s="16">
        <f t="shared" si="18"/>
        <v>0</v>
      </c>
      <c r="Y26" s="16">
        <f t="shared" si="18"/>
        <v>35</v>
      </c>
      <c r="Z26" s="16">
        <f t="shared" si="18"/>
        <v>14</v>
      </c>
      <c r="AA26" s="16">
        <f t="shared" si="18"/>
        <v>1</v>
      </c>
      <c r="AB26" s="16">
        <f t="shared" si="18"/>
        <v>2</v>
      </c>
      <c r="AC26" s="16">
        <f t="shared" si="18"/>
        <v>2019</v>
      </c>
      <c r="AD26" s="16">
        <f t="shared" si="18"/>
        <v>1</v>
      </c>
      <c r="AE26" s="32">
        <f t="shared" si="18"/>
        <v>264</v>
      </c>
      <c r="AF26" s="32">
        <f t="shared" si="18"/>
        <v>2283</v>
      </c>
    </row>
    <row r="27" spans="2:32" ht="23.1" customHeight="1" x14ac:dyDescent="0.25">
      <c r="B27" s="23" t="s">
        <v>54</v>
      </c>
      <c r="C27" s="50">
        <v>5</v>
      </c>
      <c r="D27" s="50">
        <v>1</v>
      </c>
      <c r="E27" s="50">
        <v>0</v>
      </c>
      <c r="F27" s="50">
        <v>2</v>
      </c>
      <c r="G27" s="50">
        <v>0</v>
      </c>
      <c r="H27" s="50">
        <v>0</v>
      </c>
      <c r="I27" s="50">
        <v>2</v>
      </c>
      <c r="J27" s="50">
        <v>0</v>
      </c>
      <c r="K27" s="50">
        <v>0</v>
      </c>
      <c r="L27" s="50">
        <v>0</v>
      </c>
      <c r="M27" s="50">
        <v>105</v>
      </c>
      <c r="N27" s="50">
        <v>0</v>
      </c>
      <c r="O27" s="15">
        <f t="shared" si="0"/>
        <v>10</v>
      </c>
      <c r="P27" s="15">
        <f t="shared" si="1"/>
        <v>115</v>
      </c>
      <c r="R27" s="29" t="s">
        <v>87</v>
      </c>
      <c r="S27" s="16">
        <f t="shared" ref="S27:AF27" si="19">SUM(S19:S21)</f>
        <v>54</v>
      </c>
      <c r="T27" s="16">
        <f t="shared" si="19"/>
        <v>13</v>
      </c>
      <c r="U27" s="16">
        <f t="shared" si="19"/>
        <v>30</v>
      </c>
      <c r="V27" s="16">
        <f t="shared" si="19"/>
        <v>72</v>
      </c>
      <c r="W27" s="16">
        <f t="shared" si="19"/>
        <v>4</v>
      </c>
      <c r="X27" s="16">
        <f t="shared" si="19"/>
        <v>0</v>
      </c>
      <c r="Y27" s="16">
        <f t="shared" si="19"/>
        <v>21</v>
      </c>
      <c r="Z27" s="16">
        <f t="shared" si="19"/>
        <v>11</v>
      </c>
      <c r="AA27" s="16">
        <f t="shared" si="19"/>
        <v>0</v>
      </c>
      <c r="AB27" s="16">
        <f t="shared" si="19"/>
        <v>0</v>
      </c>
      <c r="AC27" s="16">
        <f t="shared" si="19"/>
        <v>822</v>
      </c>
      <c r="AD27" s="16">
        <f t="shared" si="19"/>
        <v>0</v>
      </c>
      <c r="AE27" s="32">
        <f t="shared" si="19"/>
        <v>205</v>
      </c>
      <c r="AF27" s="32">
        <f t="shared" si="19"/>
        <v>1027</v>
      </c>
    </row>
    <row r="28" spans="2:32" ht="23.1" customHeight="1" x14ac:dyDescent="0.25">
      <c r="B28" s="23" t="s">
        <v>55</v>
      </c>
      <c r="C28" s="50">
        <v>12</v>
      </c>
      <c r="D28" s="50">
        <v>0</v>
      </c>
      <c r="E28" s="50">
        <v>0</v>
      </c>
      <c r="F28" s="50">
        <v>6</v>
      </c>
      <c r="G28" s="50">
        <v>0</v>
      </c>
      <c r="H28" s="50">
        <v>0</v>
      </c>
      <c r="I28" s="50">
        <v>3</v>
      </c>
      <c r="J28" s="50">
        <v>1</v>
      </c>
      <c r="K28" s="50">
        <v>0</v>
      </c>
      <c r="L28" s="50">
        <v>1</v>
      </c>
      <c r="M28" s="50">
        <v>110</v>
      </c>
      <c r="N28" s="50">
        <v>0</v>
      </c>
      <c r="O28" s="15">
        <f t="shared" si="0"/>
        <v>23</v>
      </c>
      <c r="P28" s="15">
        <f t="shared" si="1"/>
        <v>133</v>
      </c>
      <c r="R28" s="5" t="s">
        <v>17</v>
      </c>
      <c r="S28" s="16">
        <f t="shared" ref="S28:AF28" si="20">SUM(S10:S21)</f>
        <v>220</v>
      </c>
      <c r="T28" s="16">
        <f t="shared" si="20"/>
        <v>44</v>
      </c>
      <c r="U28" s="16">
        <f t="shared" si="20"/>
        <v>56</v>
      </c>
      <c r="V28" s="16">
        <f t="shared" si="20"/>
        <v>146</v>
      </c>
      <c r="W28" s="16">
        <f t="shared" si="20"/>
        <v>6</v>
      </c>
      <c r="X28" s="16">
        <f t="shared" si="20"/>
        <v>0</v>
      </c>
      <c r="Y28" s="16">
        <f t="shared" si="20"/>
        <v>69</v>
      </c>
      <c r="Z28" s="16">
        <f t="shared" si="20"/>
        <v>31</v>
      </c>
      <c r="AA28" s="16">
        <f t="shared" si="20"/>
        <v>2</v>
      </c>
      <c r="AB28" s="16">
        <f t="shared" si="20"/>
        <v>2</v>
      </c>
      <c r="AC28" s="16">
        <f t="shared" si="20"/>
        <v>3598</v>
      </c>
      <c r="AD28" s="16">
        <f t="shared" si="20"/>
        <v>1</v>
      </c>
      <c r="AE28" s="32">
        <f t="shared" si="20"/>
        <v>577</v>
      </c>
      <c r="AF28" s="32">
        <f t="shared" si="20"/>
        <v>4175</v>
      </c>
    </row>
    <row r="29" spans="2:32" ht="23.1" customHeight="1" x14ac:dyDescent="0.25">
      <c r="B29" s="23" t="s">
        <v>56</v>
      </c>
      <c r="C29" s="50">
        <v>6</v>
      </c>
      <c r="D29" s="50">
        <v>0</v>
      </c>
      <c r="E29" s="50">
        <v>0</v>
      </c>
      <c r="F29" s="50">
        <v>7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72</v>
      </c>
      <c r="N29" s="50">
        <v>0</v>
      </c>
      <c r="O29" s="15">
        <f t="shared" si="0"/>
        <v>14</v>
      </c>
      <c r="P29" s="15">
        <f t="shared" si="1"/>
        <v>86</v>
      </c>
      <c r="R29"/>
      <c r="S29" s="20"/>
      <c r="T29" s="19"/>
    </row>
    <row r="30" spans="2:32" ht="23.1" customHeight="1" x14ac:dyDescent="0.25">
      <c r="B30" s="23" t="s">
        <v>57</v>
      </c>
      <c r="C30" s="50">
        <v>4</v>
      </c>
      <c r="D30" s="50">
        <v>0</v>
      </c>
      <c r="E30" s="50">
        <v>0</v>
      </c>
      <c r="F30" s="50">
        <v>2</v>
      </c>
      <c r="G30" s="50">
        <v>0</v>
      </c>
      <c r="H30" s="50">
        <v>0</v>
      </c>
      <c r="I30" s="50">
        <v>5</v>
      </c>
      <c r="J30" s="50">
        <v>0</v>
      </c>
      <c r="K30" s="50">
        <v>0</v>
      </c>
      <c r="L30" s="50">
        <v>0</v>
      </c>
      <c r="M30" s="50">
        <v>95</v>
      </c>
      <c r="N30" s="50">
        <v>0</v>
      </c>
      <c r="O30" s="15">
        <f t="shared" si="0"/>
        <v>11</v>
      </c>
      <c r="P30" s="15">
        <f t="shared" si="1"/>
        <v>106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0</v>
      </c>
      <c r="F31" s="50">
        <v>2</v>
      </c>
      <c r="G31" s="50">
        <v>0</v>
      </c>
      <c r="H31" s="50">
        <v>0</v>
      </c>
      <c r="I31" s="50">
        <v>6</v>
      </c>
      <c r="J31" s="50">
        <v>0</v>
      </c>
      <c r="K31" s="50">
        <v>0</v>
      </c>
      <c r="L31" s="50">
        <v>0</v>
      </c>
      <c r="M31" s="50">
        <v>90</v>
      </c>
      <c r="N31" s="50">
        <v>0</v>
      </c>
      <c r="O31" s="15">
        <f t="shared" si="0"/>
        <v>10</v>
      </c>
      <c r="P31" s="15">
        <f t="shared" si="1"/>
        <v>100</v>
      </c>
    </row>
    <row r="32" spans="2:32" ht="23.1" customHeight="1" x14ac:dyDescent="0.25">
      <c r="B32" s="24" t="s">
        <v>59</v>
      </c>
      <c r="C32" s="50">
        <v>3</v>
      </c>
      <c r="D32" s="50">
        <v>0</v>
      </c>
      <c r="E32" s="50">
        <v>0</v>
      </c>
      <c r="F32" s="50">
        <v>0</v>
      </c>
      <c r="G32" s="50">
        <v>0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71</v>
      </c>
      <c r="N32" s="50">
        <v>0</v>
      </c>
      <c r="O32" s="15">
        <f t="shared" si="0"/>
        <v>3</v>
      </c>
      <c r="P32" s="15">
        <f t="shared" si="1"/>
        <v>74</v>
      </c>
    </row>
    <row r="33" spans="2:20" ht="23.1" customHeight="1" x14ac:dyDescent="0.25">
      <c r="B33" s="23" t="s">
        <v>60</v>
      </c>
      <c r="C33" s="50">
        <v>2</v>
      </c>
      <c r="D33" s="50">
        <v>0</v>
      </c>
      <c r="E33" s="50">
        <v>0</v>
      </c>
      <c r="F33" s="50">
        <v>0</v>
      </c>
      <c r="G33" s="50">
        <v>0</v>
      </c>
      <c r="H33" s="50">
        <v>0</v>
      </c>
      <c r="I33" s="50">
        <v>1</v>
      </c>
      <c r="J33" s="50">
        <v>0</v>
      </c>
      <c r="K33" s="50">
        <v>0</v>
      </c>
      <c r="L33" s="50">
        <v>0</v>
      </c>
      <c r="M33" s="50">
        <v>80</v>
      </c>
      <c r="N33" s="50">
        <v>1</v>
      </c>
      <c r="O33" s="15">
        <f t="shared" si="0"/>
        <v>4</v>
      </c>
      <c r="P33" s="15">
        <f t="shared" si="1"/>
        <v>84</v>
      </c>
    </row>
    <row r="34" spans="2:20" ht="23.1" customHeight="1" x14ac:dyDescent="0.25">
      <c r="B34" s="24" t="s">
        <v>61</v>
      </c>
      <c r="C34" s="50">
        <v>5</v>
      </c>
      <c r="D34" s="50">
        <v>2</v>
      </c>
      <c r="E34" s="50">
        <v>3</v>
      </c>
      <c r="F34" s="50">
        <v>2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12</v>
      </c>
      <c r="P34" s="15">
        <f t="shared" si="1"/>
        <v>82</v>
      </c>
    </row>
    <row r="35" spans="2:20" ht="23.1" customHeight="1" x14ac:dyDescent="0.25">
      <c r="B35" s="24" t="s">
        <v>62</v>
      </c>
      <c r="C35" s="50">
        <v>3</v>
      </c>
      <c r="D35" s="50">
        <v>2</v>
      </c>
      <c r="E35" s="50">
        <v>1</v>
      </c>
      <c r="F35" s="50">
        <v>0</v>
      </c>
      <c r="G35" s="50">
        <v>0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74</v>
      </c>
      <c r="N35" s="50">
        <v>0</v>
      </c>
      <c r="O35" s="15">
        <f t="shared" si="0"/>
        <v>7</v>
      </c>
      <c r="P35" s="15">
        <f t="shared" si="1"/>
        <v>81</v>
      </c>
    </row>
    <row r="36" spans="2:20" ht="23.1" customHeight="1" x14ac:dyDescent="0.25">
      <c r="B36" s="24" t="s">
        <v>63</v>
      </c>
      <c r="C36" s="50">
        <v>3</v>
      </c>
      <c r="D36" s="50">
        <v>1</v>
      </c>
      <c r="E36" s="50">
        <v>1</v>
      </c>
      <c r="F36" s="50">
        <v>0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60</v>
      </c>
      <c r="N36" s="50">
        <v>0</v>
      </c>
      <c r="O36" s="15">
        <f t="shared" si="0"/>
        <v>5</v>
      </c>
      <c r="P36" s="15">
        <f t="shared" si="1"/>
        <v>65</v>
      </c>
    </row>
    <row r="37" spans="2:20" ht="23.1" customHeight="1" x14ac:dyDescent="0.25">
      <c r="B37" s="23" t="s">
        <v>64</v>
      </c>
      <c r="C37" s="50">
        <v>5</v>
      </c>
      <c r="D37" s="50">
        <v>0</v>
      </c>
      <c r="E37" s="50">
        <v>0</v>
      </c>
      <c r="F37" s="50">
        <v>1</v>
      </c>
      <c r="G37" s="50">
        <v>0</v>
      </c>
      <c r="H37" s="50">
        <v>0</v>
      </c>
      <c r="I37" s="50">
        <v>0</v>
      </c>
      <c r="J37" s="50">
        <v>1</v>
      </c>
      <c r="K37" s="50">
        <v>1</v>
      </c>
      <c r="L37" s="50">
        <v>0</v>
      </c>
      <c r="M37" s="50">
        <v>80</v>
      </c>
      <c r="N37" s="50">
        <v>0</v>
      </c>
      <c r="O37" s="15">
        <f t="shared" si="0"/>
        <v>8</v>
      </c>
      <c r="P37" s="15">
        <f t="shared" si="1"/>
        <v>88</v>
      </c>
    </row>
    <row r="38" spans="2:20" ht="23.1" customHeight="1" x14ac:dyDescent="0.25">
      <c r="B38" s="24" t="s">
        <v>65</v>
      </c>
      <c r="C38" s="50">
        <v>6</v>
      </c>
      <c r="D38" s="50">
        <v>2</v>
      </c>
      <c r="E38" s="50">
        <v>0</v>
      </c>
      <c r="F38" s="50">
        <v>2</v>
      </c>
      <c r="G38" s="50">
        <v>0</v>
      </c>
      <c r="H38" s="50">
        <v>0</v>
      </c>
      <c r="I38" s="50">
        <v>1</v>
      </c>
      <c r="J38" s="50">
        <v>0</v>
      </c>
      <c r="K38" s="50">
        <v>0</v>
      </c>
      <c r="L38" s="50">
        <v>0</v>
      </c>
      <c r="M38" s="50">
        <v>69</v>
      </c>
      <c r="N38" s="50">
        <v>0</v>
      </c>
      <c r="O38" s="15">
        <f t="shared" si="0"/>
        <v>11</v>
      </c>
      <c r="P38" s="15">
        <f t="shared" si="1"/>
        <v>80</v>
      </c>
    </row>
    <row r="39" spans="2:20" ht="23.1" customHeight="1" x14ac:dyDescent="0.25">
      <c r="B39" s="24" t="s">
        <v>66</v>
      </c>
      <c r="C39" s="50">
        <v>8</v>
      </c>
      <c r="D39" s="50">
        <v>3</v>
      </c>
      <c r="E39" s="50">
        <v>0</v>
      </c>
      <c r="F39" s="50">
        <v>4</v>
      </c>
      <c r="G39" s="50">
        <v>0</v>
      </c>
      <c r="H39" s="50">
        <v>0</v>
      </c>
      <c r="I39" s="50">
        <v>4</v>
      </c>
      <c r="J39" s="50">
        <v>1</v>
      </c>
      <c r="K39" s="50">
        <v>0</v>
      </c>
      <c r="L39" s="50">
        <v>0</v>
      </c>
      <c r="M39" s="50">
        <v>88</v>
      </c>
      <c r="N39" s="50">
        <v>0</v>
      </c>
      <c r="O39" s="15">
        <f t="shared" si="0"/>
        <v>20</v>
      </c>
      <c r="P39" s="15">
        <f t="shared" si="1"/>
        <v>108</v>
      </c>
    </row>
    <row r="40" spans="2:20" ht="23.1" customHeight="1" x14ac:dyDescent="0.25">
      <c r="B40" s="24" t="s">
        <v>67</v>
      </c>
      <c r="C40" s="50">
        <v>3</v>
      </c>
      <c r="D40" s="50">
        <v>0</v>
      </c>
      <c r="E40" s="50">
        <v>1</v>
      </c>
      <c r="F40" s="50">
        <v>2</v>
      </c>
      <c r="G40" s="50">
        <v>0</v>
      </c>
      <c r="H40" s="50">
        <v>0</v>
      </c>
      <c r="I40" s="50">
        <v>1</v>
      </c>
      <c r="J40" s="50">
        <v>1</v>
      </c>
      <c r="K40" s="50">
        <v>0</v>
      </c>
      <c r="L40" s="50">
        <v>0</v>
      </c>
      <c r="M40" s="50">
        <v>85</v>
      </c>
      <c r="N40" s="50">
        <v>0</v>
      </c>
      <c r="O40" s="15">
        <f t="shared" si="0"/>
        <v>8</v>
      </c>
      <c r="P40" s="15">
        <f t="shared" si="1"/>
        <v>93</v>
      </c>
    </row>
    <row r="41" spans="2:20" ht="23.1" customHeight="1" x14ac:dyDescent="0.25">
      <c r="B41" s="23" t="s">
        <v>68</v>
      </c>
      <c r="C41" s="50">
        <v>6</v>
      </c>
      <c r="D41" s="50">
        <v>2</v>
      </c>
      <c r="E41" s="50">
        <v>0</v>
      </c>
      <c r="F41" s="50">
        <v>2</v>
      </c>
      <c r="G41" s="50">
        <v>0</v>
      </c>
      <c r="H41" s="50">
        <v>0</v>
      </c>
      <c r="I41" s="50">
        <v>1</v>
      </c>
      <c r="J41" s="50">
        <v>1</v>
      </c>
      <c r="K41" s="50">
        <v>0</v>
      </c>
      <c r="L41" s="50">
        <v>0</v>
      </c>
      <c r="M41" s="50">
        <v>78</v>
      </c>
      <c r="N41" s="50">
        <v>0</v>
      </c>
      <c r="O41" s="15">
        <f t="shared" si="0"/>
        <v>12</v>
      </c>
      <c r="P41" s="15">
        <f t="shared" si="1"/>
        <v>90</v>
      </c>
    </row>
    <row r="42" spans="2:20" ht="23.1" customHeight="1" x14ac:dyDescent="0.25">
      <c r="B42" s="24" t="s">
        <v>69</v>
      </c>
      <c r="C42" s="50">
        <v>9</v>
      </c>
      <c r="D42" s="50">
        <v>1</v>
      </c>
      <c r="E42" s="50">
        <v>1</v>
      </c>
      <c r="F42" s="50">
        <v>2</v>
      </c>
      <c r="G42" s="50">
        <v>0</v>
      </c>
      <c r="H42" s="50">
        <v>0</v>
      </c>
      <c r="I42" s="50">
        <v>0</v>
      </c>
      <c r="J42" s="50">
        <v>1</v>
      </c>
      <c r="K42" s="50">
        <v>0</v>
      </c>
      <c r="L42" s="50">
        <v>1</v>
      </c>
      <c r="M42" s="50">
        <v>93</v>
      </c>
      <c r="N42" s="50">
        <v>0</v>
      </c>
      <c r="O42" s="15">
        <f t="shared" si="0"/>
        <v>15</v>
      </c>
      <c r="P42" s="15">
        <f t="shared" si="1"/>
        <v>108</v>
      </c>
    </row>
    <row r="43" spans="2:20" ht="23.1" customHeight="1" x14ac:dyDescent="0.25">
      <c r="B43" s="23" t="s">
        <v>70</v>
      </c>
      <c r="C43" s="50">
        <v>8</v>
      </c>
      <c r="D43" s="50">
        <v>3</v>
      </c>
      <c r="E43" s="50">
        <v>1</v>
      </c>
      <c r="F43" s="50">
        <v>2</v>
      </c>
      <c r="G43" s="50">
        <v>0</v>
      </c>
      <c r="H43" s="50">
        <v>0</v>
      </c>
      <c r="I43" s="50">
        <v>3</v>
      </c>
      <c r="J43" s="50">
        <v>3</v>
      </c>
      <c r="K43" s="50">
        <v>0</v>
      </c>
      <c r="L43" s="50">
        <v>0</v>
      </c>
      <c r="M43" s="50">
        <v>105</v>
      </c>
      <c r="N43" s="50">
        <v>0</v>
      </c>
      <c r="O43" s="15">
        <f t="shared" si="0"/>
        <v>20</v>
      </c>
      <c r="P43" s="15">
        <f t="shared" si="1"/>
        <v>125</v>
      </c>
    </row>
    <row r="44" spans="2:20" ht="23.1" customHeight="1" x14ac:dyDescent="0.25">
      <c r="B44" s="25" t="s">
        <v>71</v>
      </c>
      <c r="C44" s="50">
        <v>9</v>
      </c>
      <c r="D44" s="50">
        <v>0</v>
      </c>
      <c r="E44" s="50">
        <v>3</v>
      </c>
      <c r="F44" s="50">
        <v>2</v>
      </c>
      <c r="G44" s="50">
        <v>0</v>
      </c>
      <c r="H44" s="50">
        <v>0</v>
      </c>
      <c r="I44" s="50">
        <v>1</v>
      </c>
      <c r="J44" s="50">
        <v>2</v>
      </c>
      <c r="K44" s="50">
        <v>0</v>
      </c>
      <c r="L44" s="50">
        <v>0</v>
      </c>
      <c r="M44" s="50">
        <v>91</v>
      </c>
      <c r="N44" s="50">
        <v>0</v>
      </c>
      <c r="O44" s="15">
        <f t="shared" si="0"/>
        <v>17</v>
      </c>
      <c r="P44" s="15">
        <f t="shared" si="1"/>
        <v>108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1</v>
      </c>
      <c r="F45" s="50">
        <v>1</v>
      </c>
      <c r="G45" s="50">
        <v>0</v>
      </c>
      <c r="H45" s="50">
        <v>0</v>
      </c>
      <c r="I45" s="50">
        <v>0</v>
      </c>
      <c r="J45" s="50">
        <v>0</v>
      </c>
      <c r="K45" s="50">
        <v>0</v>
      </c>
      <c r="L45" s="50">
        <v>0</v>
      </c>
      <c r="M45" s="50">
        <v>50</v>
      </c>
      <c r="N45" s="50">
        <v>0</v>
      </c>
      <c r="O45" s="15">
        <f t="shared" si="0"/>
        <v>4</v>
      </c>
      <c r="P45" s="15">
        <f t="shared" si="1"/>
        <v>54</v>
      </c>
    </row>
    <row r="46" spans="2:20" ht="23.1" customHeight="1" x14ac:dyDescent="0.25">
      <c r="B46" s="24" t="s">
        <v>73</v>
      </c>
      <c r="C46" s="50">
        <v>4</v>
      </c>
      <c r="D46" s="50">
        <v>0</v>
      </c>
      <c r="E46" s="50">
        <v>3</v>
      </c>
      <c r="F46" s="50">
        <v>4</v>
      </c>
      <c r="G46" s="50">
        <v>1</v>
      </c>
      <c r="H46" s="50">
        <v>0</v>
      </c>
      <c r="I46" s="50">
        <v>0</v>
      </c>
      <c r="J46" s="50">
        <v>0</v>
      </c>
      <c r="K46" s="50">
        <v>0</v>
      </c>
      <c r="L46" s="50">
        <v>0</v>
      </c>
      <c r="M46" s="50">
        <v>68</v>
      </c>
      <c r="N46" s="50">
        <v>0</v>
      </c>
      <c r="O46" s="15">
        <f t="shared" si="0"/>
        <v>12</v>
      </c>
      <c r="P46" s="15">
        <f t="shared" si="1"/>
        <v>80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1</v>
      </c>
      <c r="E47" s="50">
        <v>0</v>
      </c>
      <c r="F47" s="50">
        <v>5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69</v>
      </c>
      <c r="N47" s="50">
        <v>0</v>
      </c>
      <c r="O47" s="15">
        <f t="shared" si="0"/>
        <v>11</v>
      </c>
      <c r="P47" s="15">
        <f t="shared" si="1"/>
        <v>80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3</v>
      </c>
      <c r="E48" s="50">
        <v>3</v>
      </c>
      <c r="F48" s="50">
        <v>8</v>
      </c>
      <c r="G48" s="50">
        <v>0</v>
      </c>
      <c r="H48" s="50">
        <v>0</v>
      </c>
      <c r="I48" s="50">
        <v>3</v>
      </c>
      <c r="J48" s="50">
        <v>0</v>
      </c>
      <c r="K48" s="50">
        <v>0</v>
      </c>
      <c r="L48" s="50">
        <v>0</v>
      </c>
      <c r="M48" s="50">
        <v>70</v>
      </c>
      <c r="N48" s="50">
        <v>0</v>
      </c>
      <c r="O48" s="15">
        <f t="shared" si="0"/>
        <v>22</v>
      </c>
      <c r="P48" s="15">
        <f t="shared" si="1"/>
        <v>92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0</v>
      </c>
      <c r="E49" s="50">
        <v>5</v>
      </c>
      <c r="F49" s="50">
        <v>9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63</v>
      </c>
      <c r="N49" s="50">
        <v>0</v>
      </c>
      <c r="O49" s="15">
        <f t="shared" si="0"/>
        <v>17</v>
      </c>
      <c r="P49" s="15">
        <f t="shared" si="1"/>
        <v>80</v>
      </c>
      <c r="R49" s="8"/>
      <c r="T49"/>
    </row>
    <row r="50" spans="2:20" ht="23.1" customHeight="1" x14ac:dyDescent="0.25">
      <c r="B50" s="24" t="s">
        <v>77</v>
      </c>
      <c r="C50" s="50">
        <v>6</v>
      </c>
      <c r="D50" s="50">
        <v>2</v>
      </c>
      <c r="E50" s="50">
        <v>1</v>
      </c>
      <c r="F50" s="50">
        <v>7</v>
      </c>
      <c r="G50" s="50">
        <v>1</v>
      </c>
      <c r="H50" s="50">
        <v>0</v>
      </c>
      <c r="I50" s="50">
        <v>5</v>
      </c>
      <c r="J50" s="50">
        <v>2</v>
      </c>
      <c r="K50" s="50">
        <v>0</v>
      </c>
      <c r="L50" s="50">
        <v>0</v>
      </c>
      <c r="M50" s="50">
        <v>72</v>
      </c>
      <c r="N50" s="50">
        <v>0</v>
      </c>
      <c r="O50" s="15">
        <f t="shared" si="0"/>
        <v>24</v>
      </c>
      <c r="P50" s="15">
        <f t="shared" si="1"/>
        <v>96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2</v>
      </c>
      <c r="E51" s="50">
        <v>2</v>
      </c>
      <c r="F51" s="50">
        <v>5</v>
      </c>
      <c r="G51" s="50">
        <v>0</v>
      </c>
      <c r="H51" s="50">
        <v>0</v>
      </c>
      <c r="I51" s="50">
        <v>0</v>
      </c>
      <c r="J51" s="50">
        <v>0</v>
      </c>
      <c r="K51" s="50">
        <v>0</v>
      </c>
      <c r="L51" s="50">
        <v>0</v>
      </c>
      <c r="M51" s="50">
        <v>63</v>
      </c>
      <c r="N51" s="50">
        <v>0</v>
      </c>
      <c r="O51" s="15">
        <f t="shared" si="0"/>
        <v>12</v>
      </c>
      <c r="P51" s="15">
        <f t="shared" si="1"/>
        <v>75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1</v>
      </c>
      <c r="E52" s="50">
        <v>0</v>
      </c>
      <c r="F52" s="50">
        <v>5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65</v>
      </c>
      <c r="N52" s="50">
        <v>0</v>
      </c>
      <c r="O52" s="15">
        <f t="shared" si="0"/>
        <v>11</v>
      </c>
      <c r="P52" s="15">
        <f t="shared" si="1"/>
        <v>76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0</v>
      </c>
      <c r="E53" s="50">
        <v>4</v>
      </c>
      <c r="F53" s="50">
        <v>3</v>
      </c>
      <c r="G53" s="50">
        <v>1</v>
      </c>
      <c r="H53" s="50">
        <v>0</v>
      </c>
      <c r="I53" s="50">
        <v>4</v>
      </c>
      <c r="J53" s="50">
        <v>2</v>
      </c>
      <c r="K53" s="50">
        <v>0</v>
      </c>
      <c r="L53" s="50">
        <v>0</v>
      </c>
      <c r="M53" s="50">
        <v>63</v>
      </c>
      <c r="N53" s="50">
        <v>0</v>
      </c>
      <c r="O53" s="15">
        <f t="shared" si="0"/>
        <v>18</v>
      </c>
      <c r="P53" s="15">
        <f t="shared" si="1"/>
        <v>81</v>
      </c>
      <c r="R53" s="8"/>
      <c r="T53"/>
    </row>
    <row r="54" spans="2:20" ht="23.1" customHeight="1" x14ac:dyDescent="0.25">
      <c r="B54" s="23" t="s">
        <v>81</v>
      </c>
      <c r="C54" s="50">
        <v>6</v>
      </c>
      <c r="D54" s="50">
        <v>1</v>
      </c>
      <c r="E54" s="50">
        <v>4</v>
      </c>
      <c r="F54" s="50">
        <v>8</v>
      </c>
      <c r="G54" s="50">
        <v>0</v>
      </c>
      <c r="H54" s="50">
        <v>0</v>
      </c>
      <c r="I54" s="50">
        <v>3</v>
      </c>
      <c r="J54" s="50">
        <v>0</v>
      </c>
      <c r="K54" s="50">
        <v>0</v>
      </c>
      <c r="L54" s="50">
        <v>0</v>
      </c>
      <c r="M54" s="50">
        <v>68</v>
      </c>
      <c r="N54" s="50">
        <v>0</v>
      </c>
      <c r="O54" s="15">
        <f t="shared" si="0"/>
        <v>22</v>
      </c>
      <c r="P54" s="15">
        <f t="shared" si="1"/>
        <v>90</v>
      </c>
      <c r="R54" s="8"/>
      <c r="T54"/>
    </row>
    <row r="55" spans="2:20" ht="23.1" customHeight="1" x14ac:dyDescent="0.25">
      <c r="B55" s="23" t="s">
        <v>82</v>
      </c>
      <c r="C55" s="50">
        <v>8</v>
      </c>
      <c r="D55" s="50">
        <v>2</v>
      </c>
      <c r="E55" s="50">
        <v>3</v>
      </c>
      <c r="F55" s="50">
        <v>9</v>
      </c>
      <c r="G55" s="50">
        <v>1</v>
      </c>
      <c r="H55" s="50">
        <v>0</v>
      </c>
      <c r="I55" s="50">
        <v>0</v>
      </c>
      <c r="J55" s="50">
        <v>4</v>
      </c>
      <c r="K55" s="50">
        <v>0</v>
      </c>
      <c r="L55" s="50">
        <v>0</v>
      </c>
      <c r="M55" s="50">
        <v>73</v>
      </c>
      <c r="N55" s="50">
        <v>0</v>
      </c>
      <c r="O55" s="15">
        <f t="shared" si="0"/>
        <v>27</v>
      </c>
      <c r="P55" s="15">
        <f t="shared" si="1"/>
        <v>100</v>
      </c>
      <c r="R55" s="8"/>
      <c r="T55"/>
    </row>
    <row r="56" spans="2:20" ht="23.1" customHeight="1" x14ac:dyDescent="0.25">
      <c r="B56" s="23" t="s">
        <v>83</v>
      </c>
      <c r="C56" s="50">
        <v>6</v>
      </c>
      <c r="D56" s="50">
        <v>1</v>
      </c>
      <c r="E56" s="50">
        <v>1</v>
      </c>
      <c r="F56" s="50">
        <v>5</v>
      </c>
      <c r="G56" s="50">
        <v>0</v>
      </c>
      <c r="H56" s="50">
        <v>0</v>
      </c>
      <c r="I56" s="50">
        <v>0</v>
      </c>
      <c r="J56" s="50">
        <v>2</v>
      </c>
      <c r="K56" s="50">
        <v>0</v>
      </c>
      <c r="L56" s="50">
        <v>0</v>
      </c>
      <c r="M56" s="50">
        <v>84</v>
      </c>
      <c r="N56" s="50">
        <v>0</v>
      </c>
      <c r="O56" s="15">
        <f t="shared" si="0"/>
        <v>15</v>
      </c>
      <c r="P56" s="15">
        <f t="shared" si="1"/>
        <v>99</v>
      </c>
      <c r="R56" s="8"/>
      <c r="T56"/>
    </row>
    <row r="57" spans="2:20" ht="23.1" customHeight="1" x14ac:dyDescent="0.25">
      <c r="B57" s="23" t="s">
        <v>84</v>
      </c>
      <c r="C57" s="50">
        <v>4</v>
      </c>
      <c r="D57" s="50">
        <v>0</v>
      </c>
      <c r="E57" s="50">
        <v>4</v>
      </c>
      <c r="F57" s="50">
        <v>4</v>
      </c>
      <c r="G57" s="50">
        <v>0</v>
      </c>
      <c r="H57" s="50">
        <v>0</v>
      </c>
      <c r="I57" s="50">
        <v>2</v>
      </c>
      <c r="J57" s="50">
        <v>0</v>
      </c>
      <c r="K57" s="50">
        <v>0</v>
      </c>
      <c r="L57" s="50">
        <v>0</v>
      </c>
      <c r="M57" s="50">
        <v>64</v>
      </c>
      <c r="N57" s="50">
        <v>0</v>
      </c>
      <c r="O57" s="15">
        <f t="shared" si="0"/>
        <v>14</v>
      </c>
      <c r="P57" s="15">
        <f t="shared" si="1"/>
        <v>78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220</v>
      </c>
      <c r="D58" s="16">
        <f t="shared" si="21"/>
        <v>44</v>
      </c>
      <c r="E58" s="16">
        <f t="shared" si="21"/>
        <v>56</v>
      </c>
      <c r="F58" s="16">
        <f t="shared" si="21"/>
        <v>146</v>
      </c>
      <c r="G58" s="16">
        <f t="shared" si="21"/>
        <v>6</v>
      </c>
      <c r="H58" s="16">
        <f t="shared" si="21"/>
        <v>0</v>
      </c>
      <c r="I58" s="16">
        <f t="shared" si="21"/>
        <v>69</v>
      </c>
      <c r="J58" s="16">
        <f t="shared" si="21"/>
        <v>31</v>
      </c>
      <c r="K58" s="16">
        <f t="shared" si="21"/>
        <v>2</v>
      </c>
      <c r="L58" s="16">
        <f t="shared" si="21"/>
        <v>2</v>
      </c>
      <c r="M58" s="16">
        <f t="shared" si="21"/>
        <v>3598</v>
      </c>
      <c r="N58" s="16">
        <f t="shared" si="21"/>
        <v>1</v>
      </c>
      <c r="O58" s="16">
        <f t="shared" si="21"/>
        <v>577</v>
      </c>
      <c r="P58" s="16">
        <f t="shared" si="21"/>
        <v>4175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5.2694610778443111E-2</v>
      </c>
      <c r="D59" s="43">
        <f t="shared" si="22"/>
        <v>1.0538922155688623E-2</v>
      </c>
      <c r="E59" s="43">
        <f t="shared" si="22"/>
        <v>1.3413173652694611E-2</v>
      </c>
      <c r="F59" s="43">
        <f t="shared" si="22"/>
        <v>3.4970059880239518E-2</v>
      </c>
      <c r="G59" s="43">
        <f t="shared" si="22"/>
        <v>1.437125748502994E-3</v>
      </c>
      <c r="H59" s="43">
        <f t="shared" si="22"/>
        <v>0</v>
      </c>
      <c r="I59" s="43">
        <f t="shared" si="22"/>
        <v>1.6526946107784431E-2</v>
      </c>
      <c r="J59" s="43">
        <f t="shared" si="22"/>
        <v>7.4251497005988027E-3</v>
      </c>
      <c r="K59" s="43">
        <f t="shared" si="22"/>
        <v>4.7904191616766467E-4</v>
      </c>
      <c r="L59" s="43">
        <f t="shared" si="22"/>
        <v>4.7904191616766467E-4</v>
      </c>
      <c r="M59" s="43">
        <f t="shared" si="22"/>
        <v>0.86179640718562878</v>
      </c>
      <c r="N59" s="43">
        <f t="shared" si="22"/>
        <v>2.3952095808383233E-4</v>
      </c>
      <c r="R59" s="8"/>
      <c r="T59"/>
    </row>
    <row r="60" spans="2:20" ht="23.1" customHeight="1" x14ac:dyDescent="0.25">
      <c r="B60" s="42" t="s">
        <v>94</v>
      </c>
      <c r="C60" s="44">
        <f>C58/$O$58</f>
        <v>0.38128249566724437</v>
      </c>
      <c r="D60" s="44">
        <f t="shared" ref="D60:N60" si="23">D58/$O$58</f>
        <v>7.6256499133448868E-2</v>
      </c>
      <c r="E60" s="44">
        <f t="shared" si="23"/>
        <v>9.7053726169844021E-2</v>
      </c>
      <c r="F60" s="44">
        <f t="shared" si="23"/>
        <v>0.2530329289428076</v>
      </c>
      <c r="G60" s="44">
        <f t="shared" si="23"/>
        <v>1.0398613518197574E-2</v>
      </c>
      <c r="H60" s="44">
        <f t="shared" si="23"/>
        <v>0</v>
      </c>
      <c r="I60" s="44">
        <f t="shared" si="23"/>
        <v>0.1195840554592721</v>
      </c>
      <c r="J60" s="44">
        <f t="shared" si="23"/>
        <v>5.3726169844020795E-2</v>
      </c>
      <c r="K60" s="44">
        <f t="shared" si="23"/>
        <v>3.4662045060658577E-3</v>
      </c>
      <c r="L60" s="44">
        <f t="shared" si="23"/>
        <v>3.4662045060658577E-3</v>
      </c>
      <c r="M60" s="44"/>
      <c r="N60" s="44">
        <f t="shared" si="23"/>
        <v>1.7331022530329288E-3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49" zoomScale="60" workbookViewId="0">
      <selection activeCell="X104" sqref="X104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173</v>
      </c>
      <c r="E5" s="3"/>
      <c r="F5" s="41" t="s">
        <v>1</v>
      </c>
      <c r="G5" s="61" t="str">
        <f>'24.08 Kaliro-Iganga-24h'!G5:H5</f>
        <v>Kigulu</v>
      </c>
      <c r="H5" s="62"/>
      <c r="I5" s="14"/>
      <c r="J5" s="2" t="s">
        <v>5</v>
      </c>
      <c r="K5" s="61" t="str">
        <f>'22.08 Iganga-Kaliro'!K5:L5</f>
        <v>Kirabo Edith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'24.08 Kaliro-Iganga-24h'!K6:L6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4</v>
      </c>
      <c r="D10" s="50">
        <v>1</v>
      </c>
      <c r="E10" s="50">
        <v>1</v>
      </c>
      <c r="F10" s="50">
        <v>0</v>
      </c>
      <c r="G10" s="50">
        <v>0</v>
      </c>
      <c r="H10" s="50">
        <v>0</v>
      </c>
      <c r="I10" s="50">
        <v>2</v>
      </c>
      <c r="J10" s="50">
        <v>0</v>
      </c>
      <c r="K10" s="50">
        <v>0</v>
      </c>
      <c r="L10" s="50">
        <v>0</v>
      </c>
      <c r="M10" s="50">
        <v>30</v>
      </c>
      <c r="N10" s="50">
        <v>0</v>
      </c>
      <c r="O10" s="15">
        <f t="shared" ref="O10:O73" si="0">SUM(C10:L10,N10)</f>
        <v>8</v>
      </c>
      <c r="P10" s="15">
        <f t="shared" ref="P10:P73" si="1">SUM(C10:N10)</f>
        <v>38</v>
      </c>
      <c r="R10" s="1" t="s">
        <v>6</v>
      </c>
      <c r="S10" s="17">
        <f t="shared" ref="S10:AF10" si="2">SUM(C10:C13)</f>
        <v>9</v>
      </c>
      <c r="T10" s="17">
        <f t="shared" si="2"/>
        <v>4</v>
      </c>
      <c r="U10" s="17">
        <f t="shared" si="2"/>
        <v>1</v>
      </c>
      <c r="V10" s="17">
        <f t="shared" si="2"/>
        <v>3</v>
      </c>
      <c r="W10" s="17">
        <f t="shared" si="2"/>
        <v>0</v>
      </c>
      <c r="X10" s="17">
        <f t="shared" si="2"/>
        <v>0</v>
      </c>
      <c r="Y10" s="17">
        <f t="shared" si="2"/>
        <v>2</v>
      </c>
      <c r="Z10" s="17">
        <f t="shared" si="2"/>
        <v>1</v>
      </c>
      <c r="AA10" s="17">
        <f t="shared" si="2"/>
        <v>0</v>
      </c>
      <c r="AB10" s="17">
        <f t="shared" si="2"/>
        <v>0</v>
      </c>
      <c r="AC10" s="17">
        <f t="shared" si="2"/>
        <v>125</v>
      </c>
      <c r="AD10" s="17">
        <f t="shared" si="2"/>
        <v>0</v>
      </c>
      <c r="AE10" s="31">
        <f t="shared" si="2"/>
        <v>20</v>
      </c>
      <c r="AF10" s="31">
        <f t="shared" si="2"/>
        <v>145</v>
      </c>
    </row>
    <row r="11" spans="2:32" s="6" customFormat="1" ht="23.1" customHeight="1" x14ac:dyDescent="0.25">
      <c r="B11" s="45" t="s">
        <v>38</v>
      </c>
      <c r="C11" s="50">
        <v>2</v>
      </c>
      <c r="D11" s="50">
        <v>1</v>
      </c>
      <c r="E11" s="50">
        <v>0</v>
      </c>
      <c r="F11" s="50">
        <v>0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25</v>
      </c>
      <c r="N11" s="50">
        <v>0</v>
      </c>
      <c r="O11" s="15">
        <f t="shared" si="0"/>
        <v>4</v>
      </c>
      <c r="P11" s="15">
        <f t="shared" si="1"/>
        <v>29</v>
      </c>
      <c r="R11" s="1" t="s">
        <v>7</v>
      </c>
      <c r="S11" s="17">
        <f t="shared" ref="S11:AF11" si="3">SUM(C14:C17)</f>
        <v>7</v>
      </c>
      <c r="T11" s="17">
        <f t="shared" si="3"/>
        <v>6</v>
      </c>
      <c r="U11" s="17">
        <f t="shared" si="3"/>
        <v>0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2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152</v>
      </c>
      <c r="AD11" s="17">
        <f t="shared" si="3"/>
        <v>1</v>
      </c>
      <c r="AE11" s="31">
        <f t="shared" si="3"/>
        <v>22</v>
      </c>
      <c r="AF11" s="31">
        <f t="shared" si="3"/>
        <v>174</v>
      </c>
    </row>
    <row r="12" spans="2:32" ht="23.1" customHeight="1" x14ac:dyDescent="0.25">
      <c r="B12" s="45" t="s">
        <v>39</v>
      </c>
      <c r="C12" s="50">
        <v>1</v>
      </c>
      <c r="D12" s="50">
        <v>1</v>
      </c>
      <c r="E12" s="50">
        <v>0</v>
      </c>
      <c r="F12" s="50">
        <v>0</v>
      </c>
      <c r="G12" s="50">
        <v>0</v>
      </c>
      <c r="H12" s="50">
        <v>0</v>
      </c>
      <c r="I12" s="50">
        <v>0</v>
      </c>
      <c r="J12" s="50">
        <v>0</v>
      </c>
      <c r="K12" s="50">
        <v>0</v>
      </c>
      <c r="L12" s="50">
        <v>0</v>
      </c>
      <c r="M12" s="50">
        <v>45</v>
      </c>
      <c r="N12" s="50">
        <v>0</v>
      </c>
      <c r="O12" s="15">
        <f t="shared" si="0"/>
        <v>2</v>
      </c>
      <c r="P12" s="15">
        <f t="shared" si="1"/>
        <v>47</v>
      </c>
      <c r="R12" s="1" t="s">
        <v>8</v>
      </c>
      <c r="S12" s="17">
        <f t="shared" ref="S12:AF12" si="4">SUM(C18:C21)</f>
        <v>18</v>
      </c>
      <c r="T12" s="17">
        <f t="shared" si="4"/>
        <v>11</v>
      </c>
      <c r="U12" s="17">
        <f t="shared" si="4"/>
        <v>7</v>
      </c>
      <c r="V12" s="17">
        <f t="shared" si="4"/>
        <v>10</v>
      </c>
      <c r="W12" s="17">
        <f t="shared" si="4"/>
        <v>0</v>
      </c>
      <c r="X12" s="17">
        <f t="shared" si="4"/>
        <v>0</v>
      </c>
      <c r="Y12" s="17">
        <f t="shared" si="4"/>
        <v>5</v>
      </c>
      <c r="Z12" s="17">
        <f t="shared" si="4"/>
        <v>6</v>
      </c>
      <c r="AA12" s="17">
        <f t="shared" si="4"/>
        <v>1</v>
      </c>
      <c r="AB12" s="17">
        <f t="shared" si="4"/>
        <v>0</v>
      </c>
      <c r="AC12" s="17">
        <f t="shared" si="4"/>
        <v>345</v>
      </c>
      <c r="AD12" s="17">
        <f t="shared" si="4"/>
        <v>0</v>
      </c>
      <c r="AE12" s="31">
        <f t="shared" si="4"/>
        <v>58</v>
      </c>
      <c r="AF12" s="31">
        <f t="shared" si="4"/>
        <v>403</v>
      </c>
    </row>
    <row r="13" spans="2:32" ht="23.1" customHeight="1" x14ac:dyDescent="0.25">
      <c r="B13" s="45" t="s">
        <v>40</v>
      </c>
      <c r="C13" s="50">
        <v>2</v>
      </c>
      <c r="D13" s="50">
        <v>1</v>
      </c>
      <c r="E13" s="50">
        <v>0</v>
      </c>
      <c r="F13" s="50">
        <v>3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25</v>
      </c>
      <c r="N13" s="50">
        <v>0</v>
      </c>
      <c r="O13" s="15">
        <f t="shared" si="0"/>
        <v>6</v>
      </c>
      <c r="P13" s="15">
        <f t="shared" si="1"/>
        <v>31</v>
      </c>
      <c r="R13" s="1" t="s">
        <v>9</v>
      </c>
      <c r="S13" s="17">
        <f t="shared" ref="S13:AF13" si="5">SUM(C22:C25)</f>
        <v>15</v>
      </c>
      <c r="T13" s="17">
        <f t="shared" si="5"/>
        <v>6</v>
      </c>
      <c r="U13" s="17">
        <f t="shared" si="5"/>
        <v>6</v>
      </c>
      <c r="V13" s="17">
        <f t="shared" si="5"/>
        <v>9</v>
      </c>
      <c r="W13" s="17">
        <f t="shared" si="5"/>
        <v>0</v>
      </c>
      <c r="X13" s="17">
        <f t="shared" si="5"/>
        <v>0</v>
      </c>
      <c r="Y13" s="17">
        <f t="shared" si="5"/>
        <v>7</v>
      </c>
      <c r="Z13" s="17">
        <f t="shared" si="5"/>
        <v>7</v>
      </c>
      <c r="AA13" s="17">
        <f t="shared" si="5"/>
        <v>0</v>
      </c>
      <c r="AB13" s="17">
        <f t="shared" si="5"/>
        <v>0</v>
      </c>
      <c r="AC13" s="17">
        <f t="shared" si="5"/>
        <v>346</v>
      </c>
      <c r="AD13" s="17">
        <f t="shared" si="5"/>
        <v>0</v>
      </c>
      <c r="AE13" s="31">
        <f t="shared" si="5"/>
        <v>50</v>
      </c>
      <c r="AF13" s="31">
        <f t="shared" si="5"/>
        <v>396</v>
      </c>
    </row>
    <row r="14" spans="2:32" ht="23.1" customHeight="1" x14ac:dyDescent="0.25">
      <c r="B14" s="45" t="s">
        <v>41</v>
      </c>
      <c r="C14" s="50">
        <v>2</v>
      </c>
      <c r="D14" s="50">
        <v>0</v>
      </c>
      <c r="E14" s="50">
        <v>0</v>
      </c>
      <c r="F14" s="50">
        <v>0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</v>
      </c>
      <c r="N14" s="50">
        <v>0</v>
      </c>
      <c r="O14" s="15">
        <f t="shared" si="0"/>
        <v>2</v>
      </c>
      <c r="P14" s="15">
        <f t="shared" si="1"/>
        <v>6</v>
      </c>
      <c r="R14" s="1" t="s">
        <v>10</v>
      </c>
      <c r="S14" s="17">
        <f t="shared" ref="S14:AF14" si="6">SUM(C26:C29)</f>
        <v>14</v>
      </c>
      <c r="T14" s="17">
        <f t="shared" si="6"/>
        <v>7</v>
      </c>
      <c r="U14" s="17">
        <f t="shared" si="6"/>
        <v>8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12</v>
      </c>
      <c r="Z14" s="17">
        <f t="shared" si="6"/>
        <v>8</v>
      </c>
      <c r="AA14" s="17">
        <f t="shared" si="6"/>
        <v>0</v>
      </c>
      <c r="AB14" s="17">
        <f t="shared" si="6"/>
        <v>0</v>
      </c>
      <c r="AC14" s="17">
        <f t="shared" si="6"/>
        <v>345</v>
      </c>
      <c r="AD14" s="17">
        <f t="shared" si="6"/>
        <v>1</v>
      </c>
      <c r="AE14" s="31">
        <f t="shared" si="6"/>
        <v>64</v>
      </c>
      <c r="AF14" s="31">
        <f t="shared" si="6"/>
        <v>409</v>
      </c>
    </row>
    <row r="15" spans="2:32" ht="23.1" customHeight="1" x14ac:dyDescent="0.25">
      <c r="B15" s="45" t="s">
        <v>42</v>
      </c>
      <c r="C15" s="50">
        <v>1</v>
      </c>
      <c r="D15" s="50">
        <v>2</v>
      </c>
      <c r="E15" s="50">
        <v>0</v>
      </c>
      <c r="F15" s="50">
        <v>0</v>
      </c>
      <c r="G15" s="50">
        <v>0</v>
      </c>
      <c r="H15" s="50">
        <v>0</v>
      </c>
      <c r="I15" s="50">
        <v>2</v>
      </c>
      <c r="J15" s="50">
        <v>0</v>
      </c>
      <c r="K15" s="50">
        <v>0</v>
      </c>
      <c r="L15" s="50">
        <v>0</v>
      </c>
      <c r="M15" s="50">
        <v>8</v>
      </c>
      <c r="N15" s="50">
        <v>0</v>
      </c>
      <c r="O15" s="15">
        <f t="shared" si="0"/>
        <v>5</v>
      </c>
      <c r="P15" s="15">
        <f t="shared" si="1"/>
        <v>13</v>
      </c>
      <c r="R15" s="1" t="s">
        <v>11</v>
      </c>
      <c r="S15" s="17">
        <f t="shared" ref="S15:AF15" si="7">SUM(C30:C33)</f>
        <v>14</v>
      </c>
      <c r="T15" s="17">
        <f t="shared" si="7"/>
        <v>10</v>
      </c>
      <c r="U15" s="17">
        <f t="shared" si="7"/>
        <v>1</v>
      </c>
      <c r="V15" s="17">
        <f t="shared" si="7"/>
        <v>14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3</v>
      </c>
      <c r="AA15" s="17">
        <f t="shared" si="7"/>
        <v>0</v>
      </c>
      <c r="AB15" s="17">
        <f t="shared" si="7"/>
        <v>0</v>
      </c>
      <c r="AC15" s="17">
        <f t="shared" si="7"/>
        <v>280</v>
      </c>
      <c r="AD15" s="17">
        <f t="shared" si="7"/>
        <v>0</v>
      </c>
      <c r="AE15" s="31">
        <f t="shared" si="7"/>
        <v>47</v>
      </c>
      <c r="AF15" s="31">
        <f t="shared" si="7"/>
        <v>327</v>
      </c>
    </row>
    <row r="16" spans="2:32" ht="23.1" customHeight="1" x14ac:dyDescent="0.25">
      <c r="B16" s="45" t="s">
        <v>43</v>
      </c>
      <c r="C16" s="50">
        <v>2</v>
      </c>
      <c r="D16" s="50">
        <v>1</v>
      </c>
      <c r="E16" s="50">
        <v>0</v>
      </c>
      <c r="F16" s="50">
        <v>3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60</v>
      </c>
      <c r="N16" s="50">
        <v>0</v>
      </c>
      <c r="O16" s="15">
        <f t="shared" si="0"/>
        <v>6</v>
      </c>
      <c r="P16" s="15">
        <f t="shared" si="1"/>
        <v>66</v>
      </c>
      <c r="R16" s="1" t="s">
        <v>12</v>
      </c>
      <c r="S16" s="17">
        <f t="shared" ref="S16:AF16" si="8">SUM(C34:C37)</f>
        <v>17</v>
      </c>
      <c r="T16" s="17">
        <f t="shared" si="8"/>
        <v>16</v>
      </c>
      <c r="U16" s="17">
        <f t="shared" si="8"/>
        <v>4</v>
      </c>
      <c r="V16" s="17">
        <f t="shared" si="8"/>
        <v>14</v>
      </c>
      <c r="W16" s="17">
        <f t="shared" si="8"/>
        <v>1</v>
      </c>
      <c r="X16" s="17">
        <f t="shared" si="8"/>
        <v>0</v>
      </c>
      <c r="Y16" s="17">
        <f t="shared" si="8"/>
        <v>7</v>
      </c>
      <c r="Z16" s="17">
        <f t="shared" si="8"/>
        <v>7</v>
      </c>
      <c r="AA16" s="17">
        <f t="shared" si="8"/>
        <v>0</v>
      </c>
      <c r="AB16" s="17">
        <f t="shared" si="8"/>
        <v>0</v>
      </c>
      <c r="AC16" s="17">
        <f t="shared" si="8"/>
        <v>265</v>
      </c>
      <c r="AD16" s="17">
        <f t="shared" si="8"/>
        <v>0</v>
      </c>
      <c r="AE16" s="31">
        <f t="shared" si="8"/>
        <v>66</v>
      </c>
      <c r="AF16" s="31">
        <f t="shared" si="8"/>
        <v>331</v>
      </c>
    </row>
    <row r="17" spans="2:32" ht="23.1" customHeight="1" x14ac:dyDescent="0.25">
      <c r="B17" s="45" t="s">
        <v>44</v>
      </c>
      <c r="C17" s="50">
        <v>2</v>
      </c>
      <c r="D17" s="50">
        <v>3</v>
      </c>
      <c r="E17" s="50">
        <v>0</v>
      </c>
      <c r="F17" s="50">
        <v>3</v>
      </c>
      <c r="G17" s="50">
        <v>0</v>
      </c>
      <c r="H17" s="50">
        <v>0</v>
      </c>
      <c r="I17" s="50">
        <v>0</v>
      </c>
      <c r="J17" s="50">
        <v>0</v>
      </c>
      <c r="K17" s="50">
        <v>0</v>
      </c>
      <c r="L17" s="50">
        <v>0</v>
      </c>
      <c r="M17" s="50">
        <v>80</v>
      </c>
      <c r="N17" s="50">
        <v>1</v>
      </c>
      <c r="O17" s="15">
        <f t="shared" si="0"/>
        <v>9</v>
      </c>
      <c r="P17" s="15">
        <f t="shared" si="1"/>
        <v>89</v>
      </c>
      <c r="R17" s="1" t="s">
        <v>13</v>
      </c>
      <c r="S17" s="17">
        <f t="shared" ref="S17:AF17" si="9">SUM(C38:C41)</f>
        <v>15</v>
      </c>
      <c r="T17" s="17">
        <f t="shared" si="9"/>
        <v>8</v>
      </c>
      <c r="U17" s="17">
        <f t="shared" si="9"/>
        <v>5</v>
      </c>
      <c r="V17" s="17">
        <f t="shared" si="9"/>
        <v>13</v>
      </c>
      <c r="W17" s="17">
        <f t="shared" si="9"/>
        <v>2</v>
      </c>
      <c r="X17" s="17">
        <f t="shared" si="9"/>
        <v>1</v>
      </c>
      <c r="Y17" s="17">
        <f t="shared" si="9"/>
        <v>7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230</v>
      </c>
      <c r="AD17" s="17">
        <f t="shared" si="9"/>
        <v>0</v>
      </c>
      <c r="AE17" s="31">
        <f t="shared" si="9"/>
        <v>58</v>
      </c>
      <c r="AF17" s="31">
        <f t="shared" si="9"/>
        <v>288</v>
      </c>
    </row>
    <row r="18" spans="2:32" ht="23.1" customHeight="1" x14ac:dyDescent="0.25">
      <c r="B18" s="45" t="s">
        <v>45</v>
      </c>
      <c r="C18" s="50">
        <v>6</v>
      </c>
      <c r="D18" s="50">
        <v>3</v>
      </c>
      <c r="E18" s="50">
        <v>1</v>
      </c>
      <c r="F18" s="50">
        <v>2</v>
      </c>
      <c r="G18" s="50">
        <v>0</v>
      </c>
      <c r="H18" s="50">
        <v>0</v>
      </c>
      <c r="I18" s="50">
        <v>0</v>
      </c>
      <c r="J18" s="50">
        <v>1</v>
      </c>
      <c r="K18" s="50">
        <v>1</v>
      </c>
      <c r="L18" s="50">
        <v>0</v>
      </c>
      <c r="M18" s="50">
        <v>80</v>
      </c>
      <c r="N18" s="50">
        <v>0</v>
      </c>
      <c r="O18" s="15">
        <f t="shared" si="0"/>
        <v>14</v>
      </c>
      <c r="P18" s="15">
        <f t="shared" si="1"/>
        <v>94</v>
      </c>
      <c r="R18" s="1" t="s">
        <v>14</v>
      </c>
      <c r="S18" s="17">
        <f t="shared" ref="S18:AF18" si="10">SUM(C42:C45)</f>
        <v>13</v>
      </c>
      <c r="T18" s="17">
        <f t="shared" si="10"/>
        <v>9</v>
      </c>
      <c r="U18" s="17">
        <f t="shared" si="10"/>
        <v>8</v>
      </c>
      <c r="V18" s="17">
        <f t="shared" si="10"/>
        <v>8</v>
      </c>
      <c r="W18" s="17">
        <f t="shared" si="10"/>
        <v>5</v>
      </c>
      <c r="X18" s="17">
        <f t="shared" si="10"/>
        <v>0</v>
      </c>
      <c r="Y18" s="17">
        <f t="shared" si="10"/>
        <v>4</v>
      </c>
      <c r="Z18" s="17">
        <f t="shared" si="10"/>
        <v>7</v>
      </c>
      <c r="AA18" s="17">
        <f t="shared" si="10"/>
        <v>0</v>
      </c>
      <c r="AB18" s="17">
        <f t="shared" si="10"/>
        <v>0</v>
      </c>
      <c r="AC18" s="17">
        <f t="shared" si="10"/>
        <v>260</v>
      </c>
      <c r="AD18" s="17">
        <f t="shared" si="10"/>
        <v>0</v>
      </c>
      <c r="AE18" s="31">
        <f t="shared" si="10"/>
        <v>54</v>
      </c>
      <c r="AF18" s="31">
        <f t="shared" si="10"/>
        <v>314</v>
      </c>
    </row>
    <row r="19" spans="2:32" ht="23.1" customHeight="1" x14ac:dyDescent="0.25">
      <c r="B19" s="45" t="s">
        <v>46</v>
      </c>
      <c r="C19" s="50">
        <v>5</v>
      </c>
      <c r="D19" s="50">
        <v>3</v>
      </c>
      <c r="E19" s="50">
        <v>2</v>
      </c>
      <c r="F19" s="50">
        <v>3</v>
      </c>
      <c r="G19" s="50">
        <v>0</v>
      </c>
      <c r="H19" s="50">
        <v>0</v>
      </c>
      <c r="I19" s="50">
        <v>3</v>
      </c>
      <c r="J19" s="50">
        <v>1</v>
      </c>
      <c r="K19" s="50">
        <v>0</v>
      </c>
      <c r="L19" s="50">
        <v>0</v>
      </c>
      <c r="M19" s="50">
        <v>90</v>
      </c>
      <c r="N19" s="50">
        <v>0</v>
      </c>
      <c r="O19" s="15">
        <f t="shared" si="0"/>
        <v>17</v>
      </c>
      <c r="P19" s="15">
        <f t="shared" si="1"/>
        <v>107</v>
      </c>
      <c r="R19" s="1" t="s">
        <v>15</v>
      </c>
      <c r="S19" s="17">
        <f t="shared" ref="S19:AF19" si="11">SUM(C46:C49)</f>
        <v>10</v>
      </c>
      <c r="T19" s="17">
        <f t="shared" si="11"/>
        <v>5</v>
      </c>
      <c r="U19" s="17">
        <f t="shared" si="11"/>
        <v>2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4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275</v>
      </c>
      <c r="AD19" s="17">
        <f t="shared" si="11"/>
        <v>0</v>
      </c>
      <c r="AE19" s="31">
        <f t="shared" si="11"/>
        <v>34</v>
      </c>
      <c r="AF19" s="31">
        <f t="shared" si="11"/>
        <v>309</v>
      </c>
    </row>
    <row r="20" spans="2:32" ht="23.1" customHeight="1" x14ac:dyDescent="0.25">
      <c r="B20" s="45" t="s">
        <v>47</v>
      </c>
      <c r="C20" s="50">
        <v>2</v>
      </c>
      <c r="D20" s="50">
        <v>1</v>
      </c>
      <c r="E20" s="50">
        <v>1</v>
      </c>
      <c r="F20" s="50">
        <v>2</v>
      </c>
      <c r="G20" s="50">
        <v>0</v>
      </c>
      <c r="H20" s="50">
        <v>0</v>
      </c>
      <c r="I20" s="50">
        <v>0</v>
      </c>
      <c r="J20" s="50">
        <v>1</v>
      </c>
      <c r="K20" s="50">
        <v>0</v>
      </c>
      <c r="L20" s="50">
        <v>0</v>
      </c>
      <c r="M20" s="50">
        <v>90</v>
      </c>
      <c r="N20" s="50">
        <v>0</v>
      </c>
      <c r="O20" s="15">
        <f t="shared" si="0"/>
        <v>7</v>
      </c>
      <c r="P20" s="15">
        <f t="shared" si="1"/>
        <v>97</v>
      </c>
      <c r="R20" s="1" t="s">
        <v>16</v>
      </c>
      <c r="S20" s="17">
        <f t="shared" ref="S20:AF20" si="12">SUM(C50:C53)</f>
        <v>16</v>
      </c>
      <c r="T20" s="17">
        <f t="shared" si="12"/>
        <v>8</v>
      </c>
      <c r="U20" s="17">
        <f t="shared" si="12"/>
        <v>7</v>
      </c>
      <c r="V20" s="17">
        <f t="shared" si="12"/>
        <v>14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6</v>
      </c>
      <c r="AA20" s="17">
        <f t="shared" si="12"/>
        <v>0</v>
      </c>
      <c r="AB20" s="17">
        <f t="shared" si="12"/>
        <v>0</v>
      </c>
      <c r="AC20" s="17">
        <f t="shared" si="12"/>
        <v>280</v>
      </c>
      <c r="AD20" s="17">
        <f t="shared" si="12"/>
        <v>0</v>
      </c>
      <c r="AE20" s="31">
        <f t="shared" si="12"/>
        <v>58</v>
      </c>
      <c r="AF20" s="31">
        <f t="shared" si="12"/>
        <v>338</v>
      </c>
    </row>
    <row r="21" spans="2:32" ht="23.1" customHeight="1" x14ac:dyDescent="0.25">
      <c r="B21" s="45" t="s">
        <v>48</v>
      </c>
      <c r="C21" s="50">
        <v>5</v>
      </c>
      <c r="D21" s="50">
        <v>4</v>
      </c>
      <c r="E21" s="50">
        <v>3</v>
      </c>
      <c r="F21" s="50">
        <v>3</v>
      </c>
      <c r="G21" s="50">
        <v>0</v>
      </c>
      <c r="H21" s="50">
        <v>0</v>
      </c>
      <c r="I21" s="50">
        <v>2</v>
      </c>
      <c r="J21" s="50">
        <v>3</v>
      </c>
      <c r="K21" s="50">
        <v>0</v>
      </c>
      <c r="L21" s="50">
        <v>0</v>
      </c>
      <c r="M21" s="50">
        <v>85</v>
      </c>
      <c r="N21" s="50">
        <v>0</v>
      </c>
      <c r="O21" s="15">
        <f t="shared" si="0"/>
        <v>20</v>
      </c>
      <c r="P21" s="15">
        <f t="shared" si="1"/>
        <v>105</v>
      </c>
      <c r="R21" s="36" t="s">
        <v>20</v>
      </c>
      <c r="S21" s="34">
        <f t="shared" ref="S21:AF21" si="13">SUM(C54:C57)</f>
        <v>17</v>
      </c>
      <c r="T21" s="17">
        <f t="shared" si="13"/>
        <v>15</v>
      </c>
      <c r="U21" s="17">
        <f t="shared" si="13"/>
        <v>7</v>
      </c>
      <c r="V21" s="17">
        <f t="shared" si="13"/>
        <v>23</v>
      </c>
      <c r="W21" s="17">
        <f t="shared" si="13"/>
        <v>2</v>
      </c>
      <c r="X21" s="17">
        <f t="shared" si="13"/>
        <v>0</v>
      </c>
      <c r="Y21" s="17">
        <f t="shared" si="13"/>
        <v>8</v>
      </c>
      <c r="Z21" s="17">
        <f t="shared" si="13"/>
        <v>9</v>
      </c>
      <c r="AA21" s="17">
        <f t="shared" si="13"/>
        <v>0</v>
      </c>
      <c r="AB21" s="17">
        <f t="shared" si="13"/>
        <v>0</v>
      </c>
      <c r="AC21" s="17">
        <f t="shared" si="13"/>
        <v>355</v>
      </c>
      <c r="AD21" s="17">
        <f t="shared" si="13"/>
        <v>0</v>
      </c>
      <c r="AE21" s="31">
        <f t="shared" si="13"/>
        <v>81</v>
      </c>
      <c r="AF21" s="31">
        <f t="shared" si="13"/>
        <v>436</v>
      </c>
    </row>
    <row r="22" spans="2:32" ht="23.1" customHeight="1" x14ac:dyDescent="0.25">
      <c r="B22" s="45" t="s">
        <v>49</v>
      </c>
      <c r="C22" s="50">
        <v>5</v>
      </c>
      <c r="D22" s="50">
        <v>2</v>
      </c>
      <c r="E22" s="50">
        <v>1</v>
      </c>
      <c r="F22" s="50">
        <v>2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80</v>
      </c>
      <c r="N22" s="50">
        <v>0</v>
      </c>
      <c r="O22" s="15">
        <f t="shared" si="0"/>
        <v>11</v>
      </c>
      <c r="P22" s="15">
        <f t="shared" si="1"/>
        <v>91</v>
      </c>
      <c r="R22" s="36" t="s">
        <v>146</v>
      </c>
      <c r="S22" s="34">
        <f>SUM(C58:C61)</f>
        <v>18</v>
      </c>
      <c r="T22" s="34">
        <f t="shared" ref="T22:AF22" si="14">SUM(D58:D61)</f>
        <v>8</v>
      </c>
      <c r="U22" s="34">
        <f t="shared" si="14"/>
        <v>5</v>
      </c>
      <c r="V22" s="34">
        <f t="shared" si="14"/>
        <v>9</v>
      </c>
      <c r="W22" s="34">
        <f t="shared" si="14"/>
        <v>0</v>
      </c>
      <c r="X22" s="34">
        <f t="shared" si="14"/>
        <v>0</v>
      </c>
      <c r="Y22" s="34">
        <f t="shared" si="14"/>
        <v>3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350</v>
      </c>
      <c r="AD22" s="34">
        <f t="shared" si="14"/>
        <v>0</v>
      </c>
      <c r="AE22" s="31">
        <f t="shared" si="14"/>
        <v>44</v>
      </c>
      <c r="AF22" s="31">
        <f t="shared" si="14"/>
        <v>394</v>
      </c>
    </row>
    <row r="23" spans="2:32" ht="23.1" customHeight="1" x14ac:dyDescent="0.25">
      <c r="B23" s="45" t="s">
        <v>50</v>
      </c>
      <c r="C23" s="50">
        <v>2</v>
      </c>
      <c r="D23" s="50">
        <v>1</v>
      </c>
      <c r="E23" s="50">
        <v>2</v>
      </c>
      <c r="F23" s="50">
        <v>2</v>
      </c>
      <c r="G23" s="50">
        <v>0</v>
      </c>
      <c r="H23" s="50">
        <v>0</v>
      </c>
      <c r="I23" s="50">
        <v>4</v>
      </c>
      <c r="J23" s="50">
        <v>1</v>
      </c>
      <c r="K23" s="50">
        <v>0</v>
      </c>
      <c r="L23" s="50">
        <v>0</v>
      </c>
      <c r="M23" s="50">
        <v>110</v>
      </c>
      <c r="N23" s="50">
        <v>0</v>
      </c>
      <c r="O23" s="15">
        <f t="shared" si="0"/>
        <v>12</v>
      </c>
      <c r="P23" s="15">
        <f t="shared" si="1"/>
        <v>122</v>
      </c>
      <c r="R23" s="36" t="s">
        <v>147</v>
      </c>
      <c r="S23" s="34">
        <f>SUM(C62:C65)</f>
        <v>17</v>
      </c>
      <c r="T23" s="34">
        <f t="shared" ref="T23:AF23" si="15">SUM(D62:D65)</f>
        <v>4</v>
      </c>
      <c r="U23" s="34">
        <f t="shared" si="15"/>
        <v>4</v>
      </c>
      <c r="V23" s="34">
        <f t="shared" si="15"/>
        <v>5</v>
      </c>
      <c r="W23" s="34">
        <f t="shared" si="15"/>
        <v>0</v>
      </c>
      <c r="X23" s="34">
        <f t="shared" si="15"/>
        <v>0</v>
      </c>
      <c r="Y23" s="34">
        <f t="shared" si="15"/>
        <v>1</v>
      </c>
      <c r="Z23" s="34">
        <f t="shared" si="15"/>
        <v>0</v>
      </c>
      <c r="AA23" s="34">
        <f t="shared" si="15"/>
        <v>1</v>
      </c>
      <c r="AB23" s="34">
        <f t="shared" si="15"/>
        <v>0</v>
      </c>
      <c r="AC23" s="34">
        <f t="shared" si="15"/>
        <v>370</v>
      </c>
      <c r="AD23" s="34">
        <f t="shared" si="15"/>
        <v>0</v>
      </c>
      <c r="AE23" s="31">
        <f t="shared" si="15"/>
        <v>32</v>
      </c>
      <c r="AF23" s="31">
        <f t="shared" si="15"/>
        <v>402</v>
      </c>
    </row>
    <row r="24" spans="2:32" ht="23.1" customHeight="1" x14ac:dyDescent="0.25">
      <c r="B24" s="45" t="s">
        <v>51</v>
      </c>
      <c r="C24" s="50">
        <v>3</v>
      </c>
      <c r="D24" s="50">
        <v>3</v>
      </c>
      <c r="E24" s="50">
        <v>3</v>
      </c>
      <c r="F24" s="50">
        <v>2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105</v>
      </c>
      <c r="N24" s="50">
        <v>0</v>
      </c>
      <c r="O24" s="15">
        <f t="shared" si="0"/>
        <v>15</v>
      </c>
      <c r="P24" s="15">
        <f t="shared" si="1"/>
        <v>120</v>
      </c>
      <c r="R24" s="36" t="s">
        <v>148</v>
      </c>
      <c r="S24" s="34">
        <f>SUM(C66:C69)</f>
        <v>9</v>
      </c>
      <c r="T24" s="34">
        <f t="shared" ref="T24:AF24" si="16">SUM(D66:D69)</f>
        <v>6</v>
      </c>
      <c r="U24" s="34">
        <f t="shared" si="16"/>
        <v>3</v>
      </c>
      <c r="V24" s="34">
        <f t="shared" si="16"/>
        <v>1</v>
      </c>
      <c r="W24" s="34">
        <f t="shared" si="16"/>
        <v>0</v>
      </c>
      <c r="X24" s="34">
        <f t="shared" si="16"/>
        <v>0</v>
      </c>
      <c r="Y24" s="34">
        <f t="shared" si="16"/>
        <v>1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184</v>
      </c>
      <c r="AD24" s="34">
        <f t="shared" si="16"/>
        <v>0</v>
      </c>
      <c r="AE24" s="31">
        <f t="shared" si="16"/>
        <v>21</v>
      </c>
      <c r="AF24" s="31">
        <f t="shared" si="16"/>
        <v>205</v>
      </c>
    </row>
    <row r="25" spans="2:32" ht="23.1" customHeight="1" x14ac:dyDescent="0.25">
      <c r="B25" s="45" t="s">
        <v>52</v>
      </c>
      <c r="C25" s="50">
        <v>5</v>
      </c>
      <c r="D25" s="50">
        <v>0</v>
      </c>
      <c r="E25" s="50">
        <v>0</v>
      </c>
      <c r="F25" s="50">
        <v>3</v>
      </c>
      <c r="G25" s="50">
        <v>0</v>
      </c>
      <c r="H25" s="50">
        <v>0</v>
      </c>
      <c r="I25" s="50">
        <v>1</v>
      </c>
      <c r="J25" s="50">
        <v>3</v>
      </c>
      <c r="K25" s="50">
        <v>0</v>
      </c>
      <c r="L25" s="50">
        <v>0</v>
      </c>
      <c r="M25" s="50">
        <v>51</v>
      </c>
      <c r="N25" s="50">
        <v>0</v>
      </c>
      <c r="O25" s="15">
        <f t="shared" si="0"/>
        <v>12</v>
      </c>
      <c r="P25" s="15">
        <f t="shared" si="1"/>
        <v>63</v>
      </c>
      <c r="R25" s="36" t="s">
        <v>149</v>
      </c>
      <c r="S25" s="34">
        <f>SUM(C70:C73)</f>
        <v>9</v>
      </c>
      <c r="T25" s="34">
        <f t="shared" ref="T25:AF25" si="17">SUM(D70:D73)</f>
        <v>6</v>
      </c>
      <c r="U25" s="34">
        <f t="shared" si="17"/>
        <v>4</v>
      </c>
      <c r="V25" s="34">
        <f t="shared" si="17"/>
        <v>4</v>
      </c>
      <c r="W25" s="34">
        <f t="shared" si="17"/>
        <v>0</v>
      </c>
      <c r="X25" s="34">
        <f t="shared" si="17"/>
        <v>0</v>
      </c>
      <c r="Y25" s="34">
        <f t="shared" si="17"/>
        <v>1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158</v>
      </c>
      <c r="AD25" s="34">
        <f t="shared" si="17"/>
        <v>0</v>
      </c>
      <c r="AE25" s="31">
        <f t="shared" si="17"/>
        <v>25</v>
      </c>
      <c r="AF25" s="31">
        <f t="shared" si="17"/>
        <v>183</v>
      </c>
    </row>
    <row r="26" spans="2:32" ht="23.1" customHeight="1" x14ac:dyDescent="0.25">
      <c r="B26" s="45" t="s">
        <v>53</v>
      </c>
      <c r="C26" s="50">
        <v>2</v>
      </c>
      <c r="D26" s="50">
        <v>2</v>
      </c>
      <c r="E26" s="50">
        <v>3</v>
      </c>
      <c r="F26" s="50">
        <v>4</v>
      </c>
      <c r="G26" s="50">
        <v>0</v>
      </c>
      <c r="H26" s="50">
        <v>0</v>
      </c>
      <c r="I26" s="50">
        <v>2</v>
      </c>
      <c r="J26" s="50">
        <v>2</v>
      </c>
      <c r="K26" s="50">
        <v>0</v>
      </c>
      <c r="L26" s="50">
        <v>0</v>
      </c>
      <c r="M26" s="50">
        <v>60</v>
      </c>
      <c r="N26" s="50">
        <v>0</v>
      </c>
      <c r="O26" s="15">
        <f t="shared" si="0"/>
        <v>15</v>
      </c>
      <c r="P26" s="15">
        <f t="shared" si="1"/>
        <v>75</v>
      </c>
      <c r="R26" s="36" t="s">
        <v>150</v>
      </c>
      <c r="S26" s="34">
        <f>SUM(C74:C77)</f>
        <v>14</v>
      </c>
      <c r="T26" s="34">
        <f t="shared" ref="T26:AF26" si="18">SUM(D74:D77)</f>
        <v>4</v>
      </c>
      <c r="U26" s="34">
        <f t="shared" si="18"/>
        <v>5</v>
      </c>
      <c r="V26" s="34">
        <f t="shared" si="18"/>
        <v>5</v>
      </c>
      <c r="W26" s="34">
        <f t="shared" si="18"/>
        <v>0</v>
      </c>
      <c r="X26" s="34">
        <f t="shared" si="18"/>
        <v>0</v>
      </c>
      <c r="Y26" s="34">
        <f t="shared" si="18"/>
        <v>3</v>
      </c>
      <c r="Z26" s="34">
        <f t="shared" si="18"/>
        <v>2</v>
      </c>
      <c r="AA26" s="34">
        <f t="shared" si="18"/>
        <v>0</v>
      </c>
      <c r="AB26" s="34">
        <f t="shared" si="18"/>
        <v>0</v>
      </c>
      <c r="AC26" s="34">
        <f t="shared" si="18"/>
        <v>158</v>
      </c>
      <c r="AD26" s="34">
        <f t="shared" si="18"/>
        <v>0</v>
      </c>
      <c r="AE26" s="31">
        <f t="shared" si="18"/>
        <v>33</v>
      </c>
      <c r="AF26" s="31">
        <f t="shared" si="18"/>
        <v>191</v>
      </c>
    </row>
    <row r="27" spans="2:32" ht="23.1" customHeight="1" x14ac:dyDescent="0.25">
      <c r="B27" s="45" t="s">
        <v>54</v>
      </c>
      <c r="C27" s="50">
        <v>5</v>
      </c>
      <c r="D27" s="50">
        <v>1</v>
      </c>
      <c r="E27" s="50">
        <v>0</v>
      </c>
      <c r="F27" s="50">
        <v>5</v>
      </c>
      <c r="G27" s="50">
        <v>0</v>
      </c>
      <c r="H27" s="50">
        <v>0</v>
      </c>
      <c r="I27" s="50">
        <v>3</v>
      </c>
      <c r="J27" s="50">
        <v>2</v>
      </c>
      <c r="K27" s="50">
        <v>0</v>
      </c>
      <c r="L27" s="50">
        <v>0</v>
      </c>
      <c r="M27" s="50">
        <v>105</v>
      </c>
      <c r="N27" s="50">
        <v>1</v>
      </c>
      <c r="O27" s="15">
        <f t="shared" si="0"/>
        <v>17</v>
      </c>
      <c r="P27" s="15">
        <f t="shared" si="1"/>
        <v>122</v>
      </c>
      <c r="R27" s="36" t="s">
        <v>151</v>
      </c>
      <c r="S27" s="34">
        <f>SUM(C78:C81)</f>
        <v>7</v>
      </c>
      <c r="T27" s="34">
        <f t="shared" ref="T27:AF27" si="19">SUM(D78:D81)</f>
        <v>6</v>
      </c>
      <c r="U27" s="34">
        <f t="shared" si="19"/>
        <v>2</v>
      </c>
      <c r="V27" s="34">
        <f t="shared" si="19"/>
        <v>2</v>
      </c>
      <c r="W27" s="34">
        <f t="shared" si="19"/>
        <v>0</v>
      </c>
      <c r="X27" s="34">
        <f t="shared" si="19"/>
        <v>0</v>
      </c>
      <c r="Y27" s="34">
        <f t="shared" si="19"/>
        <v>2</v>
      </c>
      <c r="Z27" s="34">
        <f t="shared" si="19"/>
        <v>1</v>
      </c>
      <c r="AA27" s="34">
        <f t="shared" si="19"/>
        <v>0</v>
      </c>
      <c r="AB27" s="34">
        <f t="shared" si="19"/>
        <v>0</v>
      </c>
      <c r="AC27" s="34">
        <f t="shared" si="19"/>
        <v>130</v>
      </c>
      <c r="AD27" s="34">
        <f t="shared" si="19"/>
        <v>0</v>
      </c>
      <c r="AE27" s="31">
        <f t="shared" si="19"/>
        <v>20</v>
      </c>
      <c r="AF27" s="31">
        <f t="shared" si="19"/>
        <v>150</v>
      </c>
    </row>
    <row r="28" spans="2:32" ht="23.1" customHeight="1" x14ac:dyDescent="0.25">
      <c r="B28" s="45" t="s">
        <v>55</v>
      </c>
      <c r="C28" s="50">
        <v>3</v>
      </c>
      <c r="D28" s="50">
        <v>1</v>
      </c>
      <c r="E28" s="50">
        <v>5</v>
      </c>
      <c r="F28" s="50">
        <v>2</v>
      </c>
      <c r="G28" s="50">
        <v>0</v>
      </c>
      <c r="H28" s="50">
        <v>0</v>
      </c>
      <c r="I28" s="50">
        <v>4</v>
      </c>
      <c r="J28" s="50">
        <v>3</v>
      </c>
      <c r="K28" s="50">
        <v>0</v>
      </c>
      <c r="L28" s="50">
        <v>0</v>
      </c>
      <c r="M28" s="50">
        <v>90</v>
      </c>
      <c r="N28" s="50">
        <v>0</v>
      </c>
      <c r="O28" s="15">
        <f t="shared" si="0"/>
        <v>18</v>
      </c>
      <c r="P28" s="15">
        <f t="shared" si="1"/>
        <v>108</v>
      </c>
      <c r="R28" s="36" t="s">
        <v>152</v>
      </c>
      <c r="S28" s="34">
        <f>SUM(C82:C85)</f>
        <v>6</v>
      </c>
      <c r="T28" s="34">
        <f t="shared" ref="T28:AF28" si="20">SUM(D82:D85)</f>
        <v>6</v>
      </c>
      <c r="U28" s="34">
        <f t="shared" si="20"/>
        <v>1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1</v>
      </c>
      <c r="AA28" s="34">
        <f t="shared" si="20"/>
        <v>0</v>
      </c>
      <c r="AB28" s="34">
        <f t="shared" si="20"/>
        <v>0</v>
      </c>
      <c r="AC28" s="34">
        <f t="shared" si="20"/>
        <v>69</v>
      </c>
      <c r="AD28" s="34">
        <f t="shared" si="20"/>
        <v>0</v>
      </c>
      <c r="AE28" s="31">
        <f t="shared" si="20"/>
        <v>16</v>
      </c>
      <c r="AF28" s="31">
        <f t="shared" si="20"/>
        <v>85</v>
      </c>
    </row>
    <row r="29" spans="2:32" ht="23.1" customHeight="1" x14ac:dyDescent="0.25">
      <c r="B29" s="45" t="s">
        <v>56</v>
      </c>
      <c r="C29" s="50">
        <v>4</v>
      </c>
      <c r="D29" s="50">
        <v>3</v>
      </c>
      <c r="E29" s="50">
        <v>0</v>
      </c>
      <c r="F29" s="50">
        <v>3</v>
      </c>
      <c r="G29" s="50">
        <v>0</v>
      </c>
      <c r="H29" s="50">
        <v>0</v>
      </c>
      <c r="I29" s="50">
        <v>3</v>
      </c>
      <c r="J29" s="50">
        <v>1</v>
      </c>
      <c r="K29" s="50">
        <v>0</v>
      </c>
      <c r="L29" s="50">
        <v>0</v>
      </c>
      <c r="M29" s="50">
        <v>90</v>
      </c>
      <c r="N29" s="50">
        <v>0</v>
      </c>
      <c r="O29" s="15">
        <f t="shared" si="0"/>
        <v>14</v>
      </c>
      <c r="P29" s="15">
        <f t="shared" si="1"/>
        <v>104</v>
      </c>
      <c r="R29" s="36" t="s">
        <v>153</v>
      </c>
      <c r="S29" s="34">
        <f>SUM(C86:C89)</f>
        <v>8</v>
      </c>
      <c r="T29" s="34">
        <f t="shared" ref="T29:AF29" si="21">SUM(D86:D89)</f>
        <v>3</v>
      </c>
      <c r="U29" s="34">
        <f t="shared" si="21"/>
        <v>2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2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48</v>
      </c>
      <c r="AD29" s="34">
        <f t="shared" si="21"/>
        <v>0</v>
      </c>
      <c r="AE29" s="31">
        <f t="shared" si="21"/>
        <v>16</v>
      </c>
      <c r="AF29" s="31">
        <f t="shared" si="21"/>
        <v>64</v>
      </c>
    </row>
    <row r="30" spans="2:32" ht="23.1" customHeight="1" x14ac:dyDescent="0.25">
      <c r="B30" s="45" t="s">
        <v>57</v>
      </c>
      <c r="C30" s="50">
        <v>4</v>
      </c>
      <c r="D30" s="50">
        <v>3</v>
      </c>
      <c r="E30" s="50">
        <v>0</v>
      </c>
      <c r="F30" s="50">
        <v>7</v>
      </c>
      <c r="G30" s="50">
        <v>0</v>
      </c>
      <c r="H30" s="50">
        <v>0</v>
      </c>
      <c r="I30" s="50">
        <v>1</v>
      </c>
      <c r="J30" s="50">
        <v>1</v>
      </c>
      <c r="K30" s="50">
        <v>0</v>
      </c>
      <c r="L30" s="50">
        <v>0</v>
      </c>
      <c r="M30" s="50">
        <v>85</v>
      </c>
      <c r="N30" s="50">
        <v>0</v>
      </c>
      <c r="O30" s="15">
        <f t="shared" si="0"/>
        <v>16</v>
      </c>
      <c r="P30" s="15">
        <f t="shared" si="1"/>
        <v>101</v>
      </c>
      <c r="R30" s="36" t="s">
        <v>154</v>
      </c>
      <c r="S30" s="34">
        <f>SUM(C90:C93)</f>
        <v>2</v>
      </c>
      <c r="T30" s="34">
        <f t="shared" ref="T30:AF30" si="22">SUM(D90:D93)</f>
        <v>3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0</v>
      </c>
      <c r="AA30" s="34">
        <f t="shared" si="22"/>
        <v>0</v>
      </c>
      <c r="AB30" s="34">
        <f t="shared" si="22"/>
        <v>0</v>
      </c>
      <c r="AC30" s="34">
        <f t="shared" si="22"/>
        <v>20</v>
      </c>
      <c r="AD30" s="34">
        <f t="shared" si="22"/>
        <v>0</v>
      </c>
      <c r="AE30" s="31">
        <f t="shared" si="22"/>
        <v>5</v>
      </c>
      <c r="AF30" s="31">
        <f t="shared" si="22"/>
        <v>25</v>
      </c>
    </row>
    <row r="31" spans="2:32" ht="23.1" customHeight="1" x14ac:dyDescent="0.25">
      <c r="B31" s="46" t="s">
        <v>58</v>
      </c>
      <c r="C31" s="50">
        <v>3</v>
      </c>
      <c r="D31" s="50">
        <v>2</v>
      </c>
      <c r="E31" s="50">
        <v>1</v>
      </c>
      <c r="F31" s="50">
        <v>2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65</v>
      </c>
      <c r="N31" s="50">
        <v>0</v>
      </c>
      <c r="O31" s="15">
        <f t="shared" si="0"/>
        <v>11</v>
      </c>
      <c r="P31" s="15">
        <f t="shared" si="1"/>
        <v>76</v>
      </c>
      <c r="R31" s="36" t="s">
        <v>155</v>
      </c>
      <c r="S31" s="34">
        <f>SUM(C94:C97)</f>
        <v>4</v>
      </c>
      <c r="T31" s="34">
        <f t="shared" ref="T31:AF31" si="23">SUM(D94:D97)</f>
        <v>1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0</v>
      </c>
      <c r="AA31" s="34">
        <f t="shared" si="23"/>
        <v>0</v>
      </c>
      <c r="AB31" s="34">
        <f t="shared" si="23"/>
        <v>0</v>
      </c>
      <c r="AC31" s="34">
        <f t="shared" si="23"/>
        <v>1</v>
      </c>
      <c r="AD31" s="34">
        <f t="shared" si="23"/>
        <v>0</v>
      </c>
      <c r="AE31" s="31">
        <f t="shared" si="23"/>
        <v>7</v>
      </c>
      <c r="AF31" s="31">
        <f t="shared" si="23"/>
        <v>8</v>
      </c>
    </row>
    <row r="32" spans="2:32" ht="23.1" customHeight="1" x14ac:dyDescent="0.25">
      <c r="B32" s="46" t="s">
        <v>59</v>
      </c>
      <c r="C32" s="50">
        <v>3</v>
      </c>
      <c r="D32" s="50">
        <v>3</v>
      </c>
      <c r="E32" s="50">
        <v>0</v>
      </c>
      <c r="F32" s="50">
        <v>2</v>
      </c>
      <c r="G32" s="50">
        <v>0</v>
      </c>
      <c r="H32" s="50">
        <v>0</v>
      </c>
      <c r="I32" s="50">
        <v>1</v>
      </c>
      <c r="J32" s="50">
        <v>0</v>
      </c>
      <c r="K32" s="50">
        <v>0</v>
      </c>
      <c r="L32" s="50">
        <v>0</v>
      </c>
      <c r="M32" s="50">
        <v>55</v>
      </c>
      <c r="N32" s="50">
        <v>0</v>
      </c>
      <c r="O32" s="15">
        <f t="shared" si="0"/>
        <v>9</v>
      </c>
      <c r="P32" s="15">
        <f t="shared" si="1"/>
        <v>64</v>
      </c>
      <c r="R32" s="33" t="s">
        <v>156</v>
      </c>
      <c r="S32" s="34">
        <f>SUM(C98:C101)</f>
        <v>3</v>
      </c>
      <c r="T32" s="34">
        <f t="shared" ref="T32:AF32" si="24">SUM(D98:D101)</f>
        <v>4</v>
      </c>
      <c r="U32" s="34">
        <f t="shared" si="24"/>
        <v>2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2</v>
      </c>
      <c r="Z32" s="34">
        <f t="shared" si="24"/>
        <v>0</v>
      </c>
      <c r="AA32" s="34">
        <f t="shared" si="24"/>
        <v>0</v>
      </c>
      <c r="AB32" s="34">
        <f t="shared" si="24"/>
        <v>0</v>
      </c>
      <c r="AC32" s="34">
        <f t="shared" si="24"/>
        <v>17</v>
      </c>
      <c r="AD32" s="34">
        <f t="shared" si="24"/>
        <v>0</v>
      </c>
      <c r="AE32" s="31">
        <f t="shared" si="24"/>
        <v>13</v>
      </c>
      <c r="AF32" s="31">
        <f t="shared" si="24"/>
        <v>30</v>
      </c>
    </row>
    <row r="33" spans="2:32" ht="23.1" customHeight="1" x14ac:dyDescent="0.25">
      <c r="B33" s="45" t="s">
        <v>60</v>
      </c>
      <c r="C33" s="50">
        <v>4</v>
      </c>
      <c r="D33" s="50">
        <v>2</v>
      </c>
      <c r="E33" s="50">
        <v>0</v>
      </c>
      <c r="F33" s="50">
        <v>3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11</v>
      </c>
      <c r="P33" s="15">
        <f t="shared" si="1"/>
        <v>86</v>
      </c>
      <c r="R33" s="33" t="s">
        <v>157</v>
      </c>
      <c r="S33" s="34">
        <f>SUM(C102:C105)</f>
        <v>9</v>
      </c>
      <c r="T33" s="34">
        <f t="shared" ref="T33:AF33" si="25">SUM(D102:D105)</f>
        <v>4</v>
      </c>
      <c r="U33" s="34">
        <f t="shared" si="25"/>
        <v>1</v>
      </c>
      <c r="V33" s="34">
        <f t="shared" si="25"/>
        <v>3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</v>
      </c>
      <c r="AA33" s="34">
        <f t="shared" si="25"/>
        <v>0</v>
      </c>
      <c r="AB33" s="34">
        <f t="shared" si="25"/>
        <v>0</v>
      </c>
      <c r="AC33" s="34">
        <f t="shared" si="25"/>
        <v>125</v>
      </c>
      <c r="AD33" s="34">
        <f t="shared" si="25"/>
        <v>0</v>
      </c>
      <c r="AE33" s="31">
        <f t="shared" si="25"/>
        <v>20</v>
      </c>
      <c r="AF33" s="31">
        <f t="shared" si="25"/>
        <v>145</v>
      </c>
    </row>
    <row r="34" spans="2:32" ht="23.1" customHeight="1" x14ac:dyDescent="0.25">
      <c r="B34" s="46" t="s">
        <v>61</v>
      </c>
      <c r="C34" s="50">
        <v>3</v>
      </c>
      <c r="D34" s="50">
        <v>9</v>
      </c>
      <c r="E34" s="50">
        <v>2</v>
      </c>
      <c r="F34" s="50">
        <v>5</v>
      </c>
      <c r="G34" s="50">
        <v>0</v>
      </c>
      <c r="H34" s="50">
        <v>0</v>
      </c>
      <c r="I34" s="50">
        <v>1</v>
      </c>
      <c r="J34" s="50">
        <v>2</v>
      </c>
      <c r="K34" s="50">
        <v>0</v>
      </c>
      <c r="L34" s="50">
        <v>0</v>
      </c>
      <c r="M34" s="50">
        <v>90</v>
      </c>
      <c r="N34" s="50">
        <v>0</v>
      </c>
      <c r="O34" s="15">
        <f t="shared" si="0"/>
        <v>22</v>
      </c>
      <c r="P34" s="15">
        <f t="shared" si="1"/>
        <v>112</v>
      </c>
      <c r="R34" s="38" t="s">
        <v>90</v>
      </c>
      <c r="S34" s="39">
        <f t="shared" ref="S34:AF34" si="26">MAX(S10:S12)</f>
        <v>18</v>
      </c>
      <c r="T34" s="39">
        <f t="shared" si="26"/>
        <v>11</v>
      </c>
      <c r="U34" s="39">
        <f t="shared" si="26"/>
        <v>7</v>
      </c>
      <c r="V34" s="39">
        <f t="shared" si="26"/>
        <v>10</v>
      </c>
      <c r="W34" s="39">
        <f t="shared" si="26"/>
        <v>0</v>
      </c>
      <c r="X34" s="39">
        <f t="shared" si="26"/>
        <v>0</v>
      </c>
      <c r="Y34" s="39">
        <f t="shared" si="26"/>
        <v>5</v>
      </c>
      <c r="Z34" s="39">
        <f t="shared" si="26"/>
        <v>6</v>
      </c>
      <c r="AA34" s="39">
        <f t="shared" si="26"/>
        <v>1</v>
      </c>
      <c r="AB34" s="39">
        <f t="shared" si="26"/>
        <v>0</v>
      </c>
      <c r="AC34" s="39">
        <f t="shared" si="26"/>
        <v>345</v>
      </c>
      <c r="AD34" s="39">
        <f t="shared" si="26"/>
        <v>1</v>
      </c>
      <c r="AE34" s="40">
        <f t="shared" si="26"/>
        <v>58</v>
      </c>
      <c r="AF34" s="40">
        <f t="shared" si="26"/>
        <v>403</v>
      </c>
    </row>
    <row r="35" spans="2:32" ht="23.1" customHeight="1" x14ac:dyDescent="0.25">
      <c r="B35" s="46" t="s">
        <v>62</v>
      </c>
      <c r="C35" s="50">
        <v>2</v>
      </c>
      <c r="D35" s="50">
        <v>0</v>
      </c>
      <c r="E35" s="50">
        <v>1</v>
      </c>
      <c r="F35" s="50">
        <v>1</v>
      </c>
      <c r="G35" s="50">
        <v>1</v>
      </c>
      <c r="H35" s="50">
        <v>0</v>
      </c>
      <c r="I35" s="50">
        <v>1</v>
      </c>
      <c r="J35" s="50">
        <v>0</v>
      </c>
      <c r="K35" s="50">
        <v>0</v>
      </c>
      <c r="L35" s="50">
        <v>0</v>
      </c>
      <c r="M35" s="50">
        <v>35</v>
      </c>
      <c r="N35" s="50">
        <v>0</v>
      </c>
      <c r="O35" s="15">
        <f t="shared" si="0"/>
        <v>6</v>
      </c>
      <c r="P35" s="15">
        <f t="shared" si="1"/>
        <v>41</v>
      </c>
      <c r="R35" s="38" t="s">
        <v>91</v>
      </c>
      <c r="S35" s="39">
        <f t="shared" ref="S35:AF35" si="27">MAX(S13:S18)</f>
        <v>17</v>
      </c>
      <c r="T35" s="39">
        <f t="shared" si="27"/>
        <v>16</v>
      </c>
      <c r="U35" s="39">
        <f t="shared" si="27"/>
        <v>8</v>
      </c>
      <c r="V35" s="39">
        <f t="shared" si="27"/>
        <v>14</v>
      </c>
      <c r="W35" s="39">
        <f t="shared" si="27"/>
        <v>5</v>
      </c>
      <c r="X35" s="39">
        <f t="shared" si="27"/>
        <v>1</v>
      </c>
      <c r="Y35" s="39">
        <f t="shared" si="27"/>
        <v>12</v>
      </c>
      <c r="Z35" s="39">
        <f t="shared" si="27"/>
        <v>8</v>
      </c>
      <c r="AA35" s="39">
        <f t="shared" si="27"/>
        <v>0</v>
      </c>
      <c r="AB35" s="39">
        <f t="shared" si="27"/>
        <v>0</v>
      </c>
      <c r="AC35" s="39">
        <f t="shared" si="27"/>
        <v>346</v>
      </c>
      <c r="AD35" s="39">
        <f t="shared" si="27"/>
        <v>1</v>
      </c>
      <c r="AE35" s="40">
        <f t="shared" si="27"/>
        <v>66</v>
      </c>
      <c r="AF35" s="40">
        <f t="shared" si="27"/>
        <v>409</v>
      </c>
    </row>
    <row r="36" spans="2:32" ht="23.1" customHeight="1" x14ac:dyDescent="0.25">
      <c r="B36" s="46" t="s">
        <v>63</v>
      </c>
      <c r="C36" s="50">
        <v>6</v>
      </c>
      <c r="D36" s="50">
        <v>3</v>
      </c>
      <c r="E36" s="50">
        <v>0</v>
      </c>
      <c r="F36" s="50">
        <v>3</v>
      </c>
      <c r="G36" s="50">
        <v>0</v>
      </c>
      <c r="H36" s="50">
        <v>0</v>
      </c>
      <c r="I36" s="50">
        <v>1</v>
      </c>
      <c r="J36" s="50">
        <v>3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16</v>
      </c>
      <c r="P36" s="15">
        <f t="shared" si="1"/>
        <v>81</v>
      </c>
      <c r="R36" s="38" t="s">
        <v>92</v>
      </c>
      <c r="S36" s="39">
        <f t="shared" ref="S36:AF36" si="28">MAX(S19:S21)</f>
        <v>17</v>
      </c>
      <c r="T36" s="39">
        <f t="shared" si="28"/>
        <v>15</v>
      </c>
      <c r="U36" s="39">
        <f t="shared" si="28"/>
        <v>7</v>
      </c>
      <c r="V36" s="39">
        <f t="shared" si="28"/>
        <v>23</v>
      </c>
      <c r="W36" s="39">
        <f t="shared" si="28"/>
        <v>2</v>
      </c>
      <c r="X36" s="39">
        <f t="shared" si="28"/>
        <v>0</v>
      </c>
      <c r="Y36" s="39">
        <f t="shared" si="28"/>
        <v>8</v>
      </c>
      <c r="Z36" s="39">
        <f t="shared" si="28"/>
        <v>9</v>
      </c>
      <c r="AA36" s="39">
        <f t="shared" si="28"/>
        <v>0</v>
      </c>
      <c r="AB36" s="39">
        <f t="shared" si="28"/>
        <v>0</v>
      </c>
      <c r="AC36" s="39">
        <f t="shared" si="28"/>
        <v>355</v>
      </c>
      <c r="AD36" s="39">
        <f t="shared" si="28"/>
        <v>0</v>
      </c>
      <c r="AE36" s="40">
        <f t="shared" si="28"/>
        <v>81</v>
      </c>
      <c r="AF36" s="40">
        <f t="shared" si="28"/>
        <v>436</v>
      </c>
    </row>
    <row r="37" spans="2:32" ht="23.1" customHeight="1" x14ac:dyDescent="0.25">
      <c r="B37" s="45" t="s">
        <v>64</v>
      </c>
      <c r="C37" s="50">
        <v>6</v>
      </c>
      <c r="D37" s="50">
        <v>4</v>
      </c>
      <c r="E37" s="50">
        <v>1</v>
      </c>
      <c r="F37" s="50">
        <v>5</v>
      </c>
      <c r="G37" s="50">
        <v>0</v>
      </c>
      <c r="H37" s="50">
        <v>0</v>
      </c>
      <c r="I37" s="50">
        <v>4</v>
      </c>
      <c r="J37" s="50">
        <v>2</v>
      </c>
      <c r="K37" s="50">
        <v>0</v>
      </c>
      <c r="L37" s="50">
        <v>0</v>
      </c>
      <c r="M37" s="50">
        <v>75</v>
      </c>
      <c r="N37" s="50">
        <v>0</v>
      </c>
      <c r="O37" s="15">
        <f t="shared" si="0"/>
        <v>22</v>
      </c>
      <c r="P37" s="15">
        <f t="shared" si="1"/>
        <v>97</v>
      </c>
      <c r="R37" s="37" t="s">
        <v>85</v>
      </c>
      <c r="S37" s="35">
        <f t="shared" ref="S37:AF37" si="29">SUM(S10:S12)</f>
        <v>34</v>
      </c>
      <c r="T37" s="16">
        <f t="shared" si="29"/>
        <v>21</v>
      </c>
      <c r="U37" s="16">
        <f t="shared" si="29"/>
        <v>8</v>
      </c>
      <c r="V37" s="16">
        <f t="shared" si="29"/>
        <v>19</v>
      </c>
      <c r="W37" s="16">
        <f t="shared" si="29"/>
        <v>0</v>
      </c>
      <c r="X37" s="16">
        <f t="shared" si="29"/>
        <v>0</v>
      </c>
      <c r="Y37" s="16">
        <f t="shared" si="29"/>
        <v>9</v>
      </c>
      <c r="Z37" s="16">
        <f t="shared" si="29"/>
        <v>7</v>
      </c>
      <c r="AA37" s="16">
        <f t="shared" si="29"/>
        <v>1</v>
      </c>
      <c r="AB37" s="16">
        <f t="shared" si="29"/>
        <v>0</v>
      </c>
      <c r="AC37" s="16">
        <f t="shared" si="29"/>
        <v>622</v>
      </c>
      <c r="AD37" s="16">
        <f t="shared" si="29"/>
        <v>1</v>
      </c>
      <c r="AE37" s="32">
        <f t="shared" si="29"/>
        <v>100</v>
      </c>
      <c r="AF37" s="32">
        <f t="shared" si="29"/>
        <v>722</v>
      </c>
    </row>
    <row r="38" spans="2:32" ht="23.1" customHeight="1" x14ac:dyDescent="0.25">
      <c r="B38" s="46" t="s">
        <v>65</v>
      </c>
      <c r="C38" s="50">
        <v>3</v>
      </c>
      <c r="D38" s="50">
        <v>0</v>
      </c>
      <c r="E38" s="50">
        <v>1</v>
      </c>
      <c r="F38" s="50">
        <v>2</v>
      </c>
      <c r="G38" s="50">
        <v>2</v>
      </c>
      <c r="H38" s="50">
        <v>1</v>
      </c>
      <c r="I38" s="50">
        <v>0</v>
      </c>
      <c r="J38" s="50">
        <v>1</v>
      </c>
      <c r="K38" s="50">
        <v>0</v>
      </c>
      <c r="L38" s="50">
        <v>0</v>
      </c>
      <c r="M38" s="50">
        <v>60</v>
      </c>
      <c r="N38" s="50">
        <v>0</v>
      </c>
      <c r="O38" s="15">
        <f t="shared" si="0"/>
        <v>10</v>
      </c>
      <c r="P38" s="15">
        <f t="shared" si="1"/>
        <v>70</v>
      </c>
      <c r="R38" s="28" t="s">
        <v>86</v>
      </c>
      <c r="S38" s="16">
        <f t="shared" ref="S38:AF38" si="30">SUM(S13:S18)</f>
        <v>88</v>
      </c>
      <c r="T38" s="16">
        <f t="shared" si="30"/>
        <v>56</v>
      </c>
      <c r="U38" s="16">
        <f t="shared" si="30"/>
        <v>32</v>
      </c>
      <c r="V38" s="16">
        <f t="shared" si="30"/>
        <v>72</v>
      </c>
      <c r="W38" s="16">
        <f t="shared" si="30"/>
        <v>8</v>
      </c>
      <c r="X38" s="16">
        <f t="shared" si="30"/>
        <v>1</v>
      </c>
      <c r="Y38" s="16">
        <f t="shared" si="30"/>
        <v>42</v>
      </c>
      <c r="Z38" s="16">
        <f t="shared" si="30"/>
        <v>39</v>
      </c>
      <c r="AA38" s="16">
        <f t="shared" si="30"/>
        <v>0</v>
      </c>
      <c r="AB38" s="16">
        <f t="shared" si="30"/>
        <v>0</v>
      </c>
      <c r="AC38" s="16">
        <f t="shared" si="30"/>
        <v>1726</v>
      </c>
      <c r="AD38" s="16">
        <f t="shared" si="30"/>
        <v>1</v>
      </c>
      <c r="AE38" s="32">
        <f t="shared" si="30"/>
        <v>339</v>
      </c>
      <c r="AF38" s="32">
        <f t="shared" si="30"/>
        <v>2065</v>
      </c>
    </row>
    <row r="39" spans="2:32" ht="23.1" customHeight="1" x14ac:dyDescent="0.25">
      <c r="B39" s="46" t="s">
        <v>66</v>
      </c>
      <c r="C39" s="50">
        <v>1</v>
      </c>
      <c r="D39" s="50">
        <v>0</v>
      </c>
      <c r="E39" s="50">
        <v>1</v>
      </c>
      <c r="F39" s="50">
        <v>7</v>
      </c>
      <c r="G39" s="50">
        <v>0</v>
      </c>
      <c r="H39" s="50">
        <v>0</v>
      </c>
      <c r="I39" s="50">
        <v>2</v>
      </c>
      <c r="J39" s="50">
        <v>2</v>
      </c>
      <c r="K39" s="50">
        <v>0</v>
      </c>
      <c r="L39" s="50">
        <v>0</v>
      </c>
      <c r="M39" s="50">
        <v>40</v>
      </c>
      <c r="N39" s="50">
        <v>0</v>
      </c>
      <c r="O39" s="15">
        <f t="shared" si="0"/>
        <v>13</v>
      </c>
      <c r="P39" s="15">
        <f t="shared" si="1"/>
        <v>53</v>
      </c>
      <c r="R39" s="29" t="s">
        <v>87</v>
      </c>
      <c r="S39" s="16">
        <f t="shared" ref="S39:AF39" si="31">SUM(S19:S21)</f>
        <v>43</v>
      </c>
      <c r="T39" s="16">
        <f t="shared" si="31"/>
        <v>28</v>
      </c>
      <c r="U39" s="16">
        <f t="shared" si="31"/>
        <v>16</v>
      </c>
      <c r="V39" s="16">
        <f t="shared" si="31"/>
        <v>47</v>
      </c>
      <c r="W39" s="16">
        <f t="shared" si="31"/>
        <v>3</v>
      </c>
      <c r="X39" s="16">
        <f t="shared" si="31"/>
        <v>0</v>
      </c>
      <c r="Y39" s="16">
        <f t="shared" si="31"/>
        <v>18</v>
      </c>
      <c r="Z39" s="16">
        <f t="shared" si="31"/>
        <v>18</v>
      </c>
      <c r="AA39" s="16">
        <f t="shared" si="31"/>
        <v>0</v>
      </c>
      <c r="AB39" s="16">
        <f t="shared" si="31"/>
        <v>0</v>
      </c>
      <c r="AC39" s="16">
        <f t="shared" si="31"/>
        <v>910</v>
      </c>
      <c r="AD39" s="16">
        <f t="shared" si="31"/>
        <v>0</v>
      </c>
      <c r="AE39" s="32">
        <f t="shared" si="31"/>
        <v>173</v>
      </c>
      <c r="AF39" s="32">
        <f t="shared" si="31"/>
        <v>1083</v>
      </c>
    </row>
    <row r="40" spans="2:32" ht="23.1" customHeight="1" x14ac:dyDescent="0.25">
      <c r="B40" s="46" t="s">
        <v>67</v>
      </c>
      <c r="C40" s="50">
        <v>5</v>
      </c>
      <c r="D40" s="50">
        <v>1</v>
      </c>
      <c r="E40" s="50">
        <v>1</v>
      </c>
      <c r="F40" s="50">
        <v>1</v>
      </c>
      <c r="G40" s="50">
        <v>0</v>
      </c>
      <c r="H40" s="50">
        <v>0</v>
      </c>
      <c r="I40" s="50">
        <v>3</v>
      </c>
      <c r="J40" s="50">
        <v>2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13</v>
      </c>
      <c r="P40" s="15">
        <f t="shared" si="1"/>
        <v>73</v>
      </c>
      <c r="R40" s="5" t="s">
        <v>17</v>
      </c>
      <c r="S40" s="16">
        <f t="shared" ref="S40:AF40" si="32">SUM(S10:S21)</f>
        <v>165</v>
      </c>
      <c r="T40" s="16">
        <f t="shared" si="32"/>
        <v>105</v>
      </c>
      <c r="U40" s="16">
        <f t="shared" si="32"/>
        <v>56</v>
      </c>
      <c r="V40" s="16">
        <f t="shared" si="32"/>
        <v>138</v>
      </c>
      <c r="W40" s="16">
        <f t="shared" si="32"/>
        <v>11</v>
      </c>
      <c r="X40" s="16">
        <f t="shared" si="32"/>
        <v>1</v>
      </c>
      <c r="Y40" s="16">
        <f t="shared" si="32"/>
        <v>69</v>
      </c>
      <c r="Z40" s="16">
        <f t="shared" si="32"/>
        <v>64</v>
      </c>
      <c r="AA40" s="16">
        <f t="shared" si="32"/>
        <v>1</v>
      </c>
      <c r="AB40" s="16">
        <f t="shared" si="32"/>
        <v>0</v>
      </c>
      <c r="AC40" s="16">
        <f t="shared" si="32"/>
        <v>3258</v>
      </c>
      <c r="AD40" s="16">
        <f t="shared" si="32"/>
        <v>2</v>
      </c>
      <c r="AE40" s="32">
        <f t="shared" si="32"/>
        <v>612</v>
      </c>
      <c r="AF40" s="32">
        <f t="shared" si="32"/>
        <v>3870</v>
      </c>
    </row>
    <row r="41" spans="2:32" ht="23.1" customHeight="1" x14ac:dyDescent="0.25">
      <c r="B41" s="45" t="s">
        <v>68</v>
      </c>
      <c r="C41" s="50">
        <v>6</v>
      </c>
      <c r="D41" s="50">
        <v>7</v>
      </c>
      <c r="E41" s="50">
        <v>2</v>
      </c>
      <c r="F41" s="50">
        <v>3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70</v>
      </c>
      <c r="N41" s="50">
        <v>0</v>
      </c>
      <c r="O41" s="15">
        <f t="shared" si="0"/>
        <v>22</v>
      </c>
      <c r="P41" s="15">
        <f t="shared" si="1"/>
        <v>92</v>
      </c>
      <c r="R41" s="5" t="s">
        <v>159</v>
      </c>
      <c r="S41" s="16">
        <f>SUM(S10:S33)</f>
        <v>271</v>
      </c>
      <c r="T41" s="16">
        <f t="shared" ref="T41:AF41" si="33">SUM(T10:T33)</f>
        <v>160</v>
      </c>
      <c r="U41" s="16">
        <f t="shared" si="33"/>
        <v>85</v>
      </c>
      <c r="V41" s="16">
        <f t="shared" si="33"/>
        <v>172</v>
      </c>
      <c r="W41" s="16">
        <f t="shared" si="33"/>
        <v>11</v>
      </c>
      <c r="X41" s="16">
        <f t="shared" si="33"/>
        <v>2</v>
      </c>
      <c r="Y41" s="16">
        <f t="shared" si="33"/>
        <v>87</v>
      </c>
      <c r="Z41" s="16">
        <f t="shared" si="33"/>
        <v>72</v>
      </c>
      <c r="AA41" s="16">
        <f t="shared" si="33"/>
        <v>2</v>
      </c>
      <c r="AB41" s="16">
        <f t="shared" si="33"/>
        <v>0</v>
      </c>
      <c r="AC41" s="16">
        <f t="shared" si="33"/>
        <v>4888</v>
      </c>
      <c r="AD41" s="16">
        <f t="shared" si="33"/>
        <v>2</v>
      </c>
      <c r="AE41" s="32">
        <f t="shared" si="33"/>
        <v>864</v>
      </c>
      <c r="AF41" s="32">
        <f t="shared" si="33"/>
        <v>5752</v>
      </c>
    </row>
    <row r="42" spans="2:32" ht="23.1" customHeight="1" x14ac:dyDescent="0.25">
      <c r="B42" s="46" t="s">
        <v>69</v>
      </c>
      <c r="C42" s="50">
        <v>3</v>
      </c>
      <c r="D42" s="50">
        <v>5</v>
      </c>
      <c r="E42" s="50">
        <v>1</v>
      </c>
      <c r="F42" s="50">
        <v>4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60</v>
      </c>
      <c r="N42" s="50">
        <v>0</v>
      </c>
      <c r="O42" s="15">
        <f t="shared" si="0"/>
        <v>16</v>
      </c>
      <c r="P42" s="15">
        <f t="shared" si="1"/>
        <v>76</v>
      </c>
      <c r="R42" s="5" t="s">
        <v>160</v>
      </c>
      <c r="S42" s="48">
        <f>S41/S40</f>
        <v>1.6424242424242423</v>
      </c>
      <c r="T42" s="48">
        <f t="shared" ref="T42:AF42" si="34">T41/T40</f>
        <v>1.5238095238095237</v>
      </c>
      <c r="U42" s="48">
        <f t="shared" si="34"/>
        <v>1.5178571428571428</v>
      </c>
      <c r="V42" s="48">
        <f t="shared" si="34"/>
        <v>1.2463768115942029</v>
      </c>
      <c r="W42" s="48">
        <f t="shared" si="34"/>
        <v>1</v>
      </c>
      <c r="X42" s="48">
        <f t="shared" si="34"/>
        <v>2</v>
      </c>
      <c r="Y42" s="48">
        <f t="shared" si="34"/>
        <v>1.2608695652173914</v>
      </c>
      <c r="Z42" s="48">
        <f t="shared" si="34"/>
        <v>1.125</v>
      </c>
      <c r="AA42" s="48">
        <f t="shared" si="34"/>
        <v>2</v>
      </c>
      <c r="AB42" s="48" t="e">
        <f t="shared" si="34"/>
        <v>#DIV/0!</v>
      </c>
      <c r="AC42" s="48">
        <f t="shared" si="34"/>
        <v>1.5003069367710251</v>
      </c>
      <c r="AD42" s="48">
        <f t="shared" si="34"/>
        <v>1</v>
      </c>
      <c r="AE42" s="48">
        <f t="shared" si="34"/>
        <v>1.411764705882353</v>
      </c>
      <c r="AF42" s="48">
        <f t="shared" si="34"/>
        <v>1.4863049095607235</v>
      </c>
    </row>
    <row r="43" spans="2:32" ht="23.1" customHeight="1" x14ac:dyDescent="0.25">
      <c r="B43" s="45" t="s">
        <v>70</v>
      </c>
      <c r="C43" s="50">
        <v>3</v>
      </c>
      <c r="D43" s="50">
        <v>2</v>
      </c>
      <c r="E43" s="50">
        <v>2</v>
      </c>
      <c r="F43" s="50">
        <v>1</v>
      </c>
      <c r="G43" s="50">
        <v>1</v>
      </c>
      <c r="H43" s="50">
        <v>0</v>
      </c>
      <c r="I43" s="50">
        <v>1</v>
      </c>
      <c r="J43" s="50">
        <v>2</v>
      </c>
      <c r="K43" s="50">
        <v>0</v>
      </c>
      <c r="L43" s="50">
        <v>0</v>
      </c>
      <c r="M43" s="50">
        <v>60</v>
      </c>
      <c r="N43" s="50">
        <v>0</v>
      </c>
      <c r="O43" s="15">
        <f t="shared" si="0"/>
        <v>12</v>
      </c>
      <c r="P43" s="15">
        <f t="shared" si="1"/>
        <v>72</v>
      </c>
    </row>
    <row r="44" spans="2:32" ht="23.1" customHeight="1" x14ac:dyDescent="0.25">
      <c r="B44" s="47" t="s">
        <v>71</v>
      </c>
      <c r="C44" s="50">
        <v>5</v>
      </c>
      <c r="D44" s="50">
        <v>2</v>
      </c>
      <c r="E44" s="50">
        <v>4</v>
      </c>
      <c r="F44" s="50">
        <v>3</v>
      </c>
      <c r="G44" s="50">
        <v>0</v>
      </c>
      <c r="H44" s="50">
        <v>0</v>
      </c>
      <c r="I44" s="50">
        <v>1</v>
      </c>
      <c r="J44" s="50">
        <v>3</v>
      </c>
      <c r="K44" s="50">
        <v>0</v>
      </c>
      <c r="L44" s="50">
        <v>0</v>
      </c>
      <c r="M44" s="50">
        <v>80</v>
      </c>
      <c r="N44" s="50">
        <v>0</v>
      </c>
      <c r="O44" s="15">
        <f t="shared" si="0"/>
        <v>18</v>
      </c>
      <c r="P44" s="15">
        <f t="shared" si="1"/>
        <v>98</v>
      </c>
    </row>
    <row r="45" spans="2:32" ht="23.1" customHeight="1" x14ac:dyDescent="0.25">
      <c r="B45" s="45" t="s">
        <v>72</v>
      </c>
      <c r="C45" s="50">
        <v>2</v>
      </c>
      <c r="D45" s="50">
        <v>0</v>
      </c>
      <c r="E45" s="50">
        <v>1</v>
      </c>
      <c r="F45" s="50">
        <v>0</v>
      </c>
      <c r="G45" s="50">
        <v>4</v>
      </c>
      <c r="H45" s="50">
        <v>0</v>
      </c>
      <c r="I45" s="50">
        <v>0</v>
      </c>
      <c r="J45" s="50">
        <v>1</v>
      </c>
      <c r="K45" s="50">
        <v>0</v>
      </c>
      <c r="L45" s="50">
        <v>0</v>
      </c>
      <c r="M45" s="50">
        <v>60</v>
      </c>
      <c r="N45" s="50"/>
      <c r="O45" s="15">
        <f t="shared" si="0"/>
        <v>8</v>
      </c>
      <c r="P45" s="15">
        <f t="shared" si="1"/>
        <v>68</v>
      </c>
    </row>
    <row r="46" spans="2:32" ht="23.1" customHeight="1" x14ac:dyDescent="0.25">
      <c r="B46" s="46" t="s">
        <v>73</v>
      </c>
      <c r="C46" s="50">
        <v>3</v>
      </c>
      <c r="D46" s="50">
        <v>0</v>
      </c>
      <c r="E46" s="50">
        <v>1</v>
      </c>
      <c r="F46" s="50">
        <v>1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60</v>
      </c>
      <c r="N46" s="50">
        <v>0</v>
      </c>
      <c r="O46" s="15">
        <f t="shared" si="0"/>
        <v>9</v>
      </c>
      <c r="P46" s="15">
        <f t="shared" si="1"/>
        <v>69</v>
      </c>
      <c r="R46" s="8"/>
      <c r="T46"/>
    </row>
    <row r="47" spans="2:32" ht="23.1" customHeight="1" x14ac:dyDescent="0.25">
      <c r="B47" s="46" t="s">
        <v>74</v>
      </c>
      <c r="C47" s="50">
        <v>2</v>
      </c>
      <c r="D47" s="50">
        <v>2</v>
      </c>
      <c r="E47" s="50">
        <v>0</v>
      </c>
      <c r="F47" s="50">
        <v>4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50</v>
      </c>
      <c r="N47" s="50">
        <v>0</v>
      </c>
      <c r="O47" s="15">
        <f t="shared" si="0"/>
        <v>10</v>
      </c>
      <c r="P47" s="15">
        <f t="shared" si="1"/>
        <v>60</v>
      </c>
      <c r="R47" s="8"/>
      <c r="T47"/>
    </row>
    <row r="48" spans="2:32" ht="23.1" customHeight="1" x14ac:dyDescent="0.25">
      <c r="B48" s="46" t="s">
        <v>75</v>
      </c>
      <c r="C48" s="50">
        <v>3</v>
      </c>
      <c r="D48" s="50">
        <v>1</v>
      </c>
      <c r="E48" s="50">
        <v>0</v>
      </c>
      <c r="F48" s="50">
        <v>0</v>
      </c>
      <c r="G48" s="50">
        <v>0</v>
      </c>
      <c r="H48" s="50">
        <v>0</v>
      </c>
      <c r="I48" s="50">
        <v>0</v>
      </c>
      <c r="J48" s="50">
        <v>0</v>
      </c>
      <c r="K48" s="50">
        <v>0</v>
      </c>
      <c r="L48" s="50">
        <v>0</v>
      </c>
      <c r="M48" s="50">
        <v>85</v>
      </c>
      <c r="N48" s="50">
        <v>0</v>
      </c>
      <c r="O48" s="15">
        <f t="shared" si="0"/>
        <v>4</v>
      </c>
      <c r="P48" s="15">
        <f t="shared" si="1"/>
        <v>89</v>
      </c>
      <c r="R48" s="8"/>
      <c r="T48"/>
    </row>
    <row r="49" spans="2:20" ht="23.1" customHeight="1" x14ac:dyDescent="0.25">
      <c r="B49" s="45" t="s">
        <v>76</v>
      </c>
      <c r="C49" s="50">
        <v>2</v>
      </c>
      <c r="D49" s="50">
        <v>2</v>
      </c>
      <c r="E49" s="50">
        <v>1</v>
      </c>
      <c r="F49" s="50">
        <v>5</v>
      </c>
      <c r="G49" s="50">
        <v>0</v>
      </c>
      <c r="H49" s="50">
        <v>0</v>
      </c>
      <c r="I49" s="50">
        <v>1</v>
      </c>
      <c r="J49" s="50">
        <v>0</v>
      </c>
      <c r="K49" s="50">
        <v>0</v>
      </c>
      <c r="L49" s="50">
        <v>0</v>
      </c>
      <c r="M49" s="50">
        <v>80</v>
      </c>
      <c r="N49" s="50">
        <v>0</v>
      </c>
      <c r="O49" s="15">
        <f t="shared" si="0"/>
        <v>11</v>
      </c>
      <c r="P49" s="15">
        <f t="shared" si="1"/>
        <v>91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2</v>
      </c>
      <c r="E50" s="50">
        <v>3</v>
      </c>
      <c r="F50" s="50">
        <v>5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65</v>
      </c>
      <c r="N50" s="50">
        <v>0</v>
      </c>
      <c r="O50" s="15">
        <f t="shared" si="0"/>
        <v>16</v>
      </c>
      <c r="P50" s="15">
        <f t="shared" si="1"/>
        <v>81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1</v>
      </c>
      <c r="E51" s="50">
        <v>2</v>
      </c>
      <c r="F51" s="50">
        <v>3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0</v>
      </c>
      <c r="M51" s="50">
        <v>80</v>
      </c>
      <c r="N51" s="50">
        <v>0</v>
      </c>
      <c r="O51" s="15">
        <f t="shared" si="0"/>
        <v>14</v>
      </c>
      <c r="P51" s="15">
        <f t="shared" si="1"/>
        <v>94</v>
      </c>
      <c r="R51" s="8"/>
      <c r="T51"/>
    </row>
    <row r="52" spans="2:20" ht="23.1" customHeight="1" x14ac:dyDescent="0.25">
      <c r="B52" s="46" t="s">
        <v>79</v>
      </c>
      <c r="C52" s="50">
        <v>1</v>
      </c>
      <c r="D52" s="50">
        <v>3</v>
      </c>
      <c r="E52" s="50">
        <v>1</v>
      </c>
      <c r="F52" s="50">
        <v>2</v>
      </c>
      <c r="G52" s="50">
        <v>1</v>
      </c>
      <c r="H52" s="50">
        <v>0</v>
      </c>
      <c r="I52" s="50">
        <v>1</v>
      </c>
      <c r="J52" s="50">
        <v>3</v>
      </c>
      <c r="K52" s="50">
        <v>0</v>
      </c>
      <c r="L52" s="50">
        <v>0</v>
      </c>
      <c r="M52" s="50">
        <v>70</v>
      </c>
      <c r="N52" s="50">
        <v>0</v>
      </c>
      <c r="O52" s="15">
        <f t="shared" si="0"/>
        <v>12</v>
      </c>
      <c r="P52" s="15">
        <f t="shared" si="1"/>
        <v>82</v>
      </c>
      <c r="R52" s="8"/>
      <c r="T52"/>
    </row>
    <row r="53" spans="2:20" ht="23.1" customHeight="1" x14ac:dyDescent="0.25">
      <c r="B53" s="45" t="s">
        <v>80</v>
      </c>
      <c r="C53" s="50">
        <v>8</v>
      </c>
      <c r="D53" s="50">
        <v>2</v>
      </c>
      <c r="E53" s="50">
        <v>1</v>
      </c>
      <c r="F53" s="50">
        <v>4</v>
      </c>
      <c r="G53" s="50">
        <v>0</v>
      </c>
      <c r="H53" s="50">
        <v>0</v>
      </c>
      <c r="I53" s="50">
        <v>1</v>
      </c>
      <c r="J53" s="50">
        <v>0</v>
      </c>
      <c r="K53" s="50">
        <v>0</v>
      </c>
      <c r="L53" s="50">
        <v>0</v>
      </c>
      <c r="M53" s="50">
        <v>65</v>
      </c>
      <c r="N53" s="50">
        <v>0</v>
      </c>
      <c r="O53" s="15">
        <f t="shared" si="0"/>
        <v>16</v>
      </c>
      <c r="P53" s="15">
        <f t="shared" si="1"/>
        <v>81</v>
      </c>
      <c r="R53" s="8"/>
      <c r="T53"/>
    </row>
    <row r="54" spans="2:20" ht="23.1" customHeight="1" x14ac:dyDescent="0.25">
      <c r="B54" s="45" t="s">
        <v>81</v>
      </c>
      <c r="C54" s="50">
        <v>5</v>
      </c>
      <c r="D54" s="50">
        <v>4</v>
      </c>
      <c r="E54" s="50">
        <v>0</v>
      </c>
      <c r="F54" s="50">
        <v>7</v>
      </c>
      <c r="G54" s="50">
        <v>0</v>
      </c>
      <c r="H54" s="50">
        <v>0</v>
      </c>
      <c r="I54" s="50">
        <v>2</v>
      </c>
      <c r="J54" s="50">
        <v>3</v>
      </c>
      <c r="K54" s="50">
        <v>0</v>
      </c>
      <c r="L54" s="50">
        <v>0</v>
      </c>
      <c r="M54" s="50">
        <v>95</v>
      </c>
      <c r="N54" s="50">
        <v>0</v>
      </c>
      <c r="O54" s="15">
        <f t="shared" si="0"/>
        <v>21</v>
      </c>
      <c r="P54" s="15">
        <f t="shared" si="1"/>
        <v>116</v>
      </c>
      <c r="R54" s="8"/>
      <c r="T54"/>
    </row>
    <row r="55" spans="2:20" ht="23.1" customHeight="1" x14ac:dyDescent="0.25">
      <c r="B55" s="45" t="s">
        <v>82</v>
      </c>
      <c r="C55" s="50">
        <v>3</v>
      </c>
      <c r="D55" s="50">
        <v>1</v>
      </c>
      <c r="E55" s="50">
        <v>1</v>
      </c>
      <c r="F55" s="50">
        <v>3</v>
      </c>
      <c r="G55" s="50">
        <v>1</v>
      </c>
      <c r="H55" s="50">
        <v>0</v>
      </c>
      <c r="I55" s="50">
        <v>3</v>
      </c>
      <c r="J55" s="50">
        <v>2</v>
      </c>
      <c r="K55" s="50">
        <v>0</v>
      </c>
      <c r="L55" s="50">
        <v>0</v>
      </c>
      <c r="M55" s="50">
        <v>85</v>
      </c>
      <c r="N55" s="50">
        <v>0</v>
      </c>
      <c r="O55" s="15">
        <f t="shared" si="0"/>
        <v>14</v>
      </c>
      <c r="P55" s="15">
        <f t="shared" si="1"/>
        <v>99</v>
      </c>
      <c r="R55" s="8"/>
      <c r="T55"/>
    </row>
    <row r="56" spans="2:20" ht="23.1" customHeight="1" x14ac:dyDescent="0.25">
      <c r="B56" s="45" t="s">
        <v>83</v>
      </c>
      <c r="C56" s="50">
        <v>4</v>
      </c>
      <c r="D56" s="50">
        <v>2</v>
      </c>
      <c r="E56" s="50">
        <v>3</v>
      </c>
      <c r="F56" s="50">
        <v>10</v>
      </c>
      <c r="G56" s="50">
        <v>1</v>
      </c>
      <c r="H56" s="50">
        <v>0</v>
      </c>
      <c r="I56" s="50">
        <v>3</v>
      </c>
      <c r="J56" s="50">
        <v>1</v>
      </c>
      <c r="K56" s="50">
        <v>0</v>
      </c>
      <c r="L56" s="50">
        <v>0</v>
      </c>
      <c r="M56" s="50">
        <v>95</v>
      </c>
      <c r="N56" s="50">
        <v>0</v>
      </c>
      <c r="O56" s="15">
        <f t="shared" si="0"/>
        <v>24</v>
      </c>
      <c r="P56" s="15">
        <f t="shared" si="1"/>
        <v>119</v>
      </c>
      <c r="R56" s="8"/>
      <c r="T56"/>
    </row>
    <row r="57" spans="2:20" ht="23.1" customHeight="1" x14ac:dyDescent="0.25">
      <c r="B57" s="45" t="s">
        <v>84</v>
      </c>
      <c r="C57" s="50">
        <v>5</v>
      </c>
      <c r="D57" s="50">
        <v>8</v>
      </c>
      <c r="E57" s="50">
        <v>3</v>
      </c>
      <c r="F57" s="50">
        <v>3</v>
      </c>
      <c r="G57" s="50">
        <v>0</v>
      </c>
      <c r="H57" s="50">
        <v>0</v>
      </c>
      <c r="I57" s="50">
        <v>0</v>
      </c>
      <c r="J57" s="50">
        <v>3</v>
      </c>
      <c r="K57" s="50">
        <v>0</v>
      </c>
      <c r="L57" s="50">
        <v>0</v>
      </c>
      <c r="M57" s="50">
        <v>80</v>
      </c>
      <c r="N57" s="50">
        <v>0</v>
      </c>
      <c r="O57" s="15">
        <f t="shared" si="0"/>
        <v>22</v>
      </c>
      <c r="P57" s="15">
        <f t="shared" si="1"/>
        <v>102</v>
      </c>
      <c r="R57" s="8"/>
      <c r="T57"/>
    </row>
    <row r="58" spans="2:20" ht="23.1" customHeight="1" x14ac:dyDescent="0.25">
      <c r="B58" s="45" t="s">
        <v>99</v>
      </c>
      <c r="C58" s="50">
        <v>5</v>
      </c>
      <c r="D58" s="50">
        <v>2</v>
      </c>
      <c r="E58" s="50">
        <v>1</v>
      </c>
      <c r="F58" s="50">
        <v>4</v>
      </c>
      <c r="G58" s="50">
        <v>0</v>
      </c>
      <c r="H58" s="50">
        <v>0</v>
      </c>
      <c r="I58" s="50">
        <v>1</v>
      </c>
      <c r="J58" s="50">
        <v>1</v>
      </c>
      <c r="K58" s="50">
        <v>0</v>
      </c>
      <c r="L58" s="50">
        <v>0</v>
      </c>
      <c r="M58" s="50">
        <v>80</v>
      </c>
      <c r="N58" s="50">
        <v>0</v>
      </c>
      <c r="O58" s="15">
        <f t="shared" si="0"/>
        <v>14</v>
      </c>
      <c r="P58" s="15">
        <f t="shared" si="1"/>
        <v>94</v>
      </c>
      <c r="R58" s="8"/>
      <c r="T58"/>
    </row>
    <row r="59" spans="2:20" ht="23.1" customHeight="1" x14ac:dyDescent="0.25">
      <c r="B59" s="45" t="s">
        <v>100</v>
      </c>
      <c r="C59" s="50">
        <v>7</v>
      </c>
      <c r="D59" s="50">
        <v>3</v>
      </c>
      <c r="E59" s="50">
        <v>1</v>
      </c>
      <c r="F59" s="50">
        <v>3</v>
      </c>
      <c r="G59" s="50">
        <v>0</v>
      </c>
      <c r="H59" s="50">
        <v>0</v>
      </c>
      <c r="I59" s="50">
        <v>1</v>
      </c>
      <c r="J59" s="50">
        <v>0</v>
      </c>
      <c r="K59" s="50">
        <v>0</v>
      </c>
      <c r="L59" s="50">
        <v>0</v>
      </c>
      <c r="M59" s="50">
        <v>80</v>
      </c>
      <c r="N59" s="50">
        <v>0</v>
      </c>
      <c r="O59" s="15">
        <f t="shared" si="0"/>
        <v>15</v>
      </c>
      <c r="P59" s="15">
        <f t="shared" si="1"/>
        <v>95</v>
      </c>
      <c r="R59" s="8"/>
      <c r="T59"/>
    </row>
    <row r="60" spans="2:20" ht="23.1" customHeight="1" x14ac:dyDescent="0.25">
      <c r="B60" s="45" t="s">
        <v>101</v>
      </c>
      <c r="C60" s="50">
        <v>4</v>
      </c>
      <c r="D60" s="50">
        <v>1</v>
      </c>
      <c r="E60" s="50">
        <v>3</v>
      </c>
      <c r="F60" s="50">
        <v>2</v>
      </c>
      <c r="G60" s="50">
        <v>0</v>
      </c>
      <c r="H60" s="50">
        <v>0</v>
      </c>
      <c r="I60" s="50">
        <v>1</v>
      </c>
      <c r="J60" s="50">
        <v>0</v>
      </c>
      <c r="K60" s="50">
        <v>0</v>
      </c>
      <c r="L60" s="50">
        <v>0</v>
      </c>
      <c r="M60" s="50">
        <v>95</v>
      </c>
      <c r="N60" s="50">
        <v>0</v>
      </c>
      <c r="O60" s="15">
        <f t="shared" si="0"/>
        <v>11</v>
      </c>
      <c r="P60" s="15">
        <f t="shared" si="1"/>
        <v>106</v>
      </c>
      <c r="R60" s="8"/>
      <c r="T60"/>
    </row>
    <row r="61" spans="2:20" ht="23.1" customHeight="1" x14ac:dyDescent="0.25">
      <c r="B61" s="45" t="s">
        <v>102</v>
      </c>
      <c r="C61" s="50">
        <v>2</v>
      </c>
      <c r="D61" s="50">
        <v>2</v>
      </c>
      <c r="E61" s="50">
        <v>0</v>
      </c>
      <c r="F61" s="50">
        <v>0</v>
      </c>
      <c r="G61" s="50">
        <v>0</v>
      </c>
      <c r="H61" s="50">
        <v>0</v>
      </c>
      <c r="I61" s="50">
        <v>0</v>
      </c>
      <c r="J61" s="50">
        <v>0</v>
      </c>
      <c r="K61" s="50">
        <v>0</v>
      </c>
      <c r="L61" s="50">
        <v>0</v>
      </c>
      <c r="M61" s="50">
        <v>95</v>
      </c>
      <c r="N61" s="50">
        <v>0</v>
      </c>
      <c r="O61" s="15">
        <f t="shared" si="0"/>
        <v>4</v>
      </c>
      <c r="P61" s="15">
        <f t="shared" si="1"/>
        <v>99</v>
      </c>
      <c r="R61" s="8"/>
      <c r="T61"/>
    </row>
    <row r="62" spans="2:20" ht="23.1" customHeight="1" x14ac:dyDescent="0.25">
      <c r="B62" s="45" t="s">
        <v>107</v>
      </c>
      <c r="C62" s="50">
        <v>5</v>
      </c>
      <c r="D62" s="50">
        <v>1</v>
      </c>
      <c r="E62" s="50">
        <v>1</v>
      </c>
      <c r="F62" s="50">
        <v>2</v>
      </c>
      <c r="G62" s="50">
        <v>0</v>
      </c>
      <c r="H62" s="50">
        <v>0</v>
      </c>
      <c r="I62" s="50">
        <v>0</v>
      </c>
      <c r="J62" s="50">
        <v>0</v>
      </c>
      <c r="K62" s="50">
        <v>0</v>
      </c>
      <c r="L62" s="50">
        <v>0</v>
      </c>
      <c r="M62" s="50">
        <v>120</v>
      </c>
      <c r="N62" s="50">
        <v>0</v>
      </c>
      <c r="O62" s="15">
        <f t="shared" si="0"/>
        <v>9</v>
      </c>
      <c r="P62" s="15">
        <f t="shared" si="1"/>
        <v>129</v>
      </c>
      <c r="R62" s="8"/>
      <c r="T62"/>
    </row>
    <row r="63" spans="2:20" ht="23.1" customHeight="1" x14ac:dyDescent="0.25">
      <c r="B63" s="45" t="s">
        <v>108</v>
      </c>
      <c r="C63" s="50">
        <v>7</v>
      </c>
      <c r="D63" s="50">
        <v>1</v>
      </c>
      <c r="E63" s="50">
        <v>2</v>
      </c>
      <c r="F63" s="50">
        <v>1</v>
      </c>
      <c r="G63" s="50">
        <v>0</v>
      </c>
      <c r="H63" s="50">
        <v>0</v>
      </c>
      <c r="I63" s="50">
        <v>1</v>
      </c>
      <c r="J63" s="50">
        <v>0</v>
      </c>
      <c r="K63" s="50">
        <v>0</v>
      </c>
      <c r="L63" s="50">
        <v>0</v>
      </c>
      <c r="M63" s="50">
        <v>120</v>
      </c>
      <c r="N63" s="50">
        <v>0</v>
      </c>
      <c r="O63" s="15">
        <f t="shared" si="0"/>
        <v>12</v>
      </c>
      <c r="P63" s="15">
        <f t="shared" si="1"/>
        <v>132</v>
      </c>
      <c r="R63" s="8"/>
      <c r="T63"/>
    </row>
    <row r="64" spans="2:20" ht="23.1" customHeight="1" x14ac:dyDescent="0.25">
      <c r="B64" s="45" t="s">
        <v>109</v>
      </c>
      <c r="C64" s="50">
        <v>2</v>
      </c>
      <c r="D64" s="50">
        <v>1</v>
      </c>
      <c r="E64" s="50">
        <v>1</v>
      </c>
      <c r="F64" s="50">
        <v>1</v>
      </c>
      <c r="G64" s="50">
        <v>0</v>
      </c>
      <c r="H64" s="50">
        <v>0</v>
      </c>
      <c r="I64" s="50">
        <v>0</v>
      </c>
      <c r="J64" s="50">
        <v>0</v>
      </c>
      <c r="K64" s="50">
        <v>1</v>
      </c>
      <c r="L64" s="50">
        <v>0</v>
      </c>
      <c r="M64" s="50">
        <v>100</v>
      </c>
      <c r="N64" s="50">
        <v>0</v>
      </c>
      <c r="O64" s="15">
        <f t="shared" si="0"/>
        <v>6</v>
      </c>
      <c r="P64" s="15">
        <f t="shared" si="1"/>
        <v>106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1</v>
      </c>
      <c r="E65" s="50">
        <v>0</v>
      </c>
      <c r="F65" s="50">
        <v>1</v>
      </c>
      <c r="G65" s="50">
        <v>0</v>
      </c>
      <c r="H65" s="50">
        <v>0</v>
      </c>
      <c r="I65" s="50">
        <v>0</v>
      </c>
      <c r="J65" s="50">
        <v>0</v>
      </c>
      <c r="K65" s="50">
        <v>0</v>
      </c>
      <c r="L65" s="50">
        <v>0</v>
      </c>
      <c r="M65" s="50">
        <v>30</v>
      </c>
      <c r="N65" s="50">
        <v>0</v>
      </c>
      <c r="O65" s="15">
        <f t="shared" si="0"/>
        <v>5</v>
      </c>
      <c r="P65" s="15">
        <f t="shared" si="1"/>
        <v>35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1</v>
      </c>
      <c r="F66" s="50">
        <v>0</v>
      </c>
      <c r="G66" s="50">
        <v>0</v>
      </c>
      <c r="H66" s="50">
        <v>0</v>
      </c>
      <c r="I66" s="50">
        <v>0</v>
      </c>
      <c r="J66" s="50">
        <v>0</v>
      </c>
      <c r="K66" s="50">
        <v>0</v>
      </c>
      <c r="L66" s="50">
        <v>0</v>
      </c>
      <c r="M66" s="50">
        <v>55</v>
      </c>
      <c r="N66" s="50">
        <v>0</v>
      </c>
      <c r="O66" s="15">
        <f t="shared" si="0"/>
        <v>4</v>
      </c>
      <c r="P66" s="15">
        <f t="shared" si="1"/>
        <v>59</v>
      </c>
      <c r="R66" s="8"/>
      <c r="T66"/>
    </row>
    <row r="67" spans="2:20" ht="23.1" customHeight="1" x14ac:dyDescent="0.25">
      <c r="B67" s="45" t="s">
        <v>104</v>
      </c>
      <c r="C67" s="50">
        <v>3</v>
      </c>
      <c r="D67" s="50">
        <v>0</v>
      </c>
      <c r="E67" s="50">
        <v>0</v>
      </c>
      <c r="F67" s="50">
        <v>1</v>
      </c>
      <c r="G67" s="50">
        <v>0</v>
      </c>
      <c r="H67" s="50">
        <v>0</v>
      </c>
      <c r="I67" s="50">
        <v>0</v>
      </c>
      <c r="J67" s="50">
        <v>0</v>
      </c>
      <c r="K67" s="50">
        <v>0</v>
      </c>
      <c r="L67" s="50">
        <v>0</v>
      </c>
      <c r="M67" s="50">
        <v>45</v>
      </c>
      <c r="N67" s="50">
        <v>0</v>
      </c>
      <c r="O67" s="15">
        <f t="shared" si="0"/>
        <v>4</v>
      </c>
      <c r="P67" s="15">
        <f t="shared" si="1"/>
        <v>49</v>
      </c>
      <c r="R67" s="8"/>
      <c r="T67"/>
    </row>
    <row r="68" spans="2:20" ht="23.1" customHeight="1" x14ac:dyDescent="0.25">
      <c r="B68" s="45" t="s">
        <v>105</v>
      </c>
      <c r="C68" s="50">
        <v>2</v>
      </c>
      <c r="D68" s="50">
        <v>4</v>
      </c>
      <c r="E68" s="50">
        <v>1</v>
      </c>
      <c r="F68" s="50">
        <v>0</v>
      </c>
      <c r="G68" s="50">
        <v>0</v>
      </c>
      <c r="H68" s="50">
        <v>0</v>
      </c>
      <c r="I68" s="50">
        <v>1</v>
      </c>
      <c r="J68" s="50">
        <v>0</v>
      </c>
      <c r="K68" s="50">
        <v>0</v>
      </c>
      <c r="L68" s="50">
        <v>0</v>
      </c>
      <c r="M68" s="50">
        <v>48</v>
      </c>
      <c r="N68" s="50">
        <v>0</v>
      </c>
      <c r="O68" s="15">
        <f t="shared" si="0"/>
        <v>8</v>
      </c>
      <c r="P68" s="15">
        <f t="shared" si="1"/>
        <v>56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1</v>
      </c>
      <c r="E69" s="50">
        <v>1</v>
      </c>
      <c r="F69" s="50">
        <v>0</v>
      </c>
      <c r="G69" s="50">
        <v>0</v>
      </c>
      <c r="H69" s="50">
        <v>0</v>
      </c>
      <c r="I69" s="50">
        <v>0</v>
      </c>
      <c r="J69" s="50">
        <v>1</v>
      </c>
      <c r="K69" s="50">
        <v>0</v>
      </c>
      <c r="L69" s="50">
        <v>0</v>
      </c>
      <c r="M69" s="50">
        <v>36</v>
      </c>
      <c r="N69" s="50">
        <v>0</v>
      </c>
      <c r="O69" s="15">
        <f t="shared" si="0"/>
        <v>5</v>
      </c>
      <c r="P69" s="15">
        <f t="shared" si="1"/>
        <v>41</v>
      </c>
      <c r="R69" s="8"/>
      <c r="T69"/>
    </row>
    <row r="70" spans="2:20" ht="23.1" customHeight="1" x14ac:dyDescent="0.25">
      <c r="B70" s="45" t="s">
        <v>110</v>
      </c>
      <c r="C70" s="50">
        <v>2</v>
      </c>
      <c r="D70" s="50">
        <v>2</v>
      </c>
      <c r="E70" s="50">
        <v>1</v>
      </c>
      <c r="F70" s="50">
        <v>0</v>
      </c>
      <c r="G70" s="50">
        <v>0</v>
      </c>
      <c r="H70" s="50">
        <v>0</v>
      </c>
      <c r="I70" s="50">
        <v>0</v>
      </c>
      <c r="J70" s="50">
        <v>0</v>
      </c>
      <c r="K70" s="50">
        <v>0</v>
      </c>
      <c r="L70" s="50">
        <v>0</v>
      </c>
      <c r="M70" s="50">
        <v>40</v>
      </c>
      <c r="N70" s="50">
        <v>0</v>
      </c>
      <c r="O70" s="15">
        <f t="shared" si="0"/>
        <v>5</v>
      </c>
      <c r="P70" s="15">
        <f t="shared" si="1"/>
        <v>45</v>
      </c>
      <c r="R70" s="8"/>
      <c r="T70"/>
    </row>
    <row r="71" spans="2:20" ht="23.1" customHeight="1" x14ac:dyDescent="0.25">
      <c r="B71" s="45" t="s">
        <v>111</v>
      </c>
      <c r="C71" s="50">
        <v>4</v>
      </c>
      <c r="D71" s="50">
        <v>1</v>
      </c>
      <c r="E71" s="50">
        <v>1</v>
      </c>
      <c r="F71" s="50">
        <v>3</v>
      </c>
      <c r="G71" s="50">
        <v>0</v>
      </c>
      <c r="H71" s="50">
        <v>0</v>
      </c>
      <c r="I71" s="50">
        <v>0</v>
      </c>
      <c r="J71" s="50">
        <v>1</v>
      </c>
      <c r="K71" s="50">
        <v>0</v>
      </c>
      <c r="L71" s="50">
        <v>0</v>
      </c>
      <c r="M71" s="50">
        <v>40</v>
      </c>
      <c r="N71" s="50">
        <v>0</v>
      </c>
      <c r="O71" s="15">
        <f t="shared" si="0"/>
        <v>10</v>
      </c>
      <c r="P71" s="15">
        <f t="shared" si="1"/>
        <v>50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1</v>
      </c>
      <c r="F72" s="50">
        <v>0</v>
      </c>
      <c r="G72" s="50">
        <v>0</v>
      </c>
      <c r="H72" s="50">
        <v>0</v>
      </c>
      <c r="I72" s="50">
        <v>1</v>
      </c>
      <c r="J72" s="50">
        <v>0</v>
      </c>
      <c r="K72" s="50">
        <v>0</v>
      </c>
      <c r="L72" s="50">
        <v>0</v>
      </c>
      <c r="M72" s="50">
        <v>40</v>
      </c>
      <c r="N72" s="50">
        <v>0</v>
      </c>
      <c r="O72" s="15">
        <f t="shared" si="0"/>
        <v>5</v>
      </c>
      <c r="P72" s="15">
        <f t="shared" si="1"/>
        <v>45</v>
      </c>
      <c r="R72" s="8"/>
      <c r="T72"/>
    </row>
    <row r="73" spans="2:20" ht="23.1" customHeight="1" x14ac:dyDescent="0.25">
      <c r="B73" s="45" t="s">
        <v>113</v>
      </c>
      <c r="C73" s="50">
        <v>1</v>
      </c>
      <c r="D73" s="50">
        <v>2</v>
      </c>
      <c r="E73" s="50">
        <v>1</v>
      </c>
      <c r="F73" s="50">
        <v>1</v>
      </c>
      <c r="G73" s="50">
        <v>0</v>
      </c>
      <c r="H73" s="50">
        <v>0</v>
      </c>
      <c r="I73" s="50">
        <v>0</v>
      </c>
      <c r="J73" s="50">
        <v>0</v>
      </c>
      <c r="K73" s="50">
        <v>0</v>
      </c>
      <c r="L73" s="50">
        <v>0</v>
      </c>
      <c r="M73" s="50">
        <v>38</v>
      </c>
      <c r="N73" s="50">
        <v>0</v>
      </c>
      <c r="O73" s="15">
        <f t="shared" si="0"/>
        <v>5</v>
      </c>
      <c r="P73" s="15">
        <f t="shared" si="1"/>
        <v>43</v>
      </c>
      <c r="R73" s="8"/>
      <c r="T73"/>
    </row>
    <row r="74" spans="2:20" ht="23.1" customHeight="1" x14ac:dyDescent="0.25">
      <c r="B74" s="45" t="s">
        <v>114</v>
      </c>
      <c r="C74" s="50">
        <v>3</v>
      </c>
      <c r="D74" s="50">
        <v>1</v>
      </c>
      <c r="E74" s="50">
        <v>1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40</v>
      </c>
      <c r="N74" s="50">
        <v>0</v>
      </c>
      <c r="O74" s="15">
        <f t="shared" ref="O74:O105" si="35">SUM(C74:L74,N74)</f>
        <v>6</v>
      </c>
      <c r="P74" s="15">
        <f t="shared" ref="P74:P105" si="36">SUM(C74:N74)</f>
        <v>46</v>
      </c>
      <c r="R74" s="8"/>
      <c r="T74"/>
    </row>
    <row r="75" spans="2:20" ht="23.1" customHeight="1" x14ac:dyDescent="0.25">
      <c r="B75" s="45" t="s">
        <v>115</v>
      </c>
      <c r="C75" s="50">
        <v>2</v>
      </c>
      <c r="D75" s="50">
        <v>1</v>
      </c>
      <c r="E75" s="50">
        <v>2</v>
      </c>
      <c r="F75" s="50">
        <v>3</v>
      </c>
      <c r="G75" s="50">
        <v>0</v>
      </c>
      <c r="H75" s="50">
        <v>0</v>
      </c>
      <c r="I75" s="50">
        <v>1</v>
      </c>
      <c r="J75" s="50">
        <v>1</v>
      </c>
      <c r="K75" s="50">
        <v>0</v>
      </c>
      <c r="L75" s="50">
        <v>0</v>
      </c>
      <c r="M75" s="50">
        <v>45</v>
      </c>
      <c r="N75" s="50">
        <v>0</v>
      </c>
      <c r="O75" s="15">
        <f t="shared" si="35"/>
        <v>10</v>
      </c>
      <c r="P75" s="15">
        <f t="shared" si="36"/>
        <v>55</v>
      </c>
      <c r="R75" s="8"/>
      <c r="T75"/>
    </row>
    <row r="76" spans="2:20" ht="23.1" customHeight="1" x14ac:dyDescent="0.25">
      <c r="B76" s="45" t="s">
        <v>116</v>
      </c>
      <c r="C76" s="50">
        <v>5</v>
      </c>
      <c r="D76" s="50">
        <v>1</v>
      </c>
      <c r="E76" s="50">
        <v>2</v>
      </c>
      <c r="F76" s="50">
        <v>1</v>
      </c>
      <c r="G76" s="50">
        <v>0</v>
      </c>
      <c r="H76" s="50">
        <v>0</v>
      </c>
      <c r="I76" s="50">
        <v>1</v>
      </c>
      <c r="J76" s="50">
        <v>1</v>
      </c>
      <c r="K76" s="50">
        <v>0</v>
      </c>
      <c r="L76" s="50">
        <v>0</v>
      </c>
      <c r="M76" s="50">
        <v>33</v>
      </c>
      <c r="N76" s="50">
        <v>0</v>
      </c>
      <c r="O76" s="15">
        <f t="shared" si="35"/>
        <v>11</v>
      </c>
      <c r="P76" s="15">
        <f t="shared" si="36"/>
        <v>44</v>
      </c>
      <c r="R76" s="8"/>
      <c r="T76"/>
    </row>
    <row r="77" spans="2:20" ht="23.1" customHeight="1" x14ac:dyDescent="0.25">
      <c r="B77" s="45" t="s">
        <v>117</v>
      </c>
      <c r="C77" s="50">
        <v>4</v>
      </c>
      <c r="D77" s="50">
        <v>1</v>
      </c>
      <c r="E77" s="50">
        <v>0</v>
      </c>
      <c r="F77" s="50">
        <v>1</v>
      </c>
      <c r="G77" s="50">
        <v>0</v>
      </c>
      <c r="H77" s="50">
        <v>0</v>
      </c>
      <c r="I77" s="50">
        <v>0</v>
      </c>
      <c r="J77" s="50">
        <v>0</v>
      </c>
      <c r="K77" s="50">
        <v>0</v>
      </c>
      <c r="L77" s="50">
        <v>0</v>
      </c>
      <c r="M77" s="50">
        <v>40</v>
      </c>
      <c r="N77" s="50">
        <v>0</v>
      </c>
      <c r="O77" s="15">
        <f t="shared" si="35"/>
        <v>6</v>
      </c>
      <c r="P77" s="15">
        <f t="shared" si="36"/>
        <v>46</v>
      </c>
      <c r="R77" s="8"/>
      <c r="T77"/>
    </row>
    <row r="78" spans="2:20" ht="23.1" customHeight="1" x14ac:dyDescent="0.25">
      <c r="B78" s="46" t="s">
        <v>118</v>
      </c>
      <c r="C78" s="50">
        <v>3</v>
      </c>
      <c r="D78" s="50">
        <v>1</v>
      </c>
      <c r="E78" s="50">
        <v>0</v>
      </c>
      <c r="F78" s="50">
        <v>1</v>
      </c>
      <c r="G78" s="50">
        <v>0</v>
      </c>
      <c r="H78" s="50">
        <v>0</v>
      </c>
      <c r="I78" s="50">
        <v>1</v>
      </c>
      <c r="J78" s="50">
        <v>0</v>
      </c>
      <c r="K78" s="50">
        <v>0</v>
      </c>
      <c r="L78" s="50">
        <v>0</v>
      </c>
      <c r="M78" s="50">
        <v>35</v>
      </c>
      <c r="N78" s="50">
        <v>0</v>
      </c>
      <c r="O78" s="15">
        <f t="shared" si="35"/>
        <v>6</v>
      </c>
      <c r="P78" s="15">
        <f t="shared" si="36"/>
        <v>41</v>
      </c>
      <c r="R78" s="8"/>
      <c r="T78"/>
    </row>
    <row r="79" spans="2:20" ht="23.1" customHeight="1" x14ac:dyDescent="0.25">
      <c r="B79" s="45" t="s">
        <v>119</v>
      </c>
      <c r="C79" s="50">
        <v>2</v>
      </c>
      <c r="D79" s="50">
        <v>2</v>
      </c>
      <c r="E79" s="50">
        <v>1</v>
      </c>
      <c r="F79" s="50">
        <v>0</v>
      </c>
      <c r="G79" s="50">
        <v>0</v>
      </c>
      <c r="H79" s="50">
        <v>0</v>
      </c>
      <c r="I79" s="50">
        <v>0</v>
      </c>
      <c r="J79" s="50">
        <v>1</v>
      </c>
      <c r="K79" s="50">
        <v>0</v>
      </c>
      <c r="L79" s="50">
        <v>0</v>
      </c>
      <c r="M79" s="50">
        <v>25</v>
      </c>
      <c r="N79" s="50">
        <v>0</v>
      </c>
      <c r="O79" s="15">
        <f t="shared" si="35"/>
        <v>6</v>
      </c>
      <c r="P79" s="15">
        <f t="shared" si="36"/>
        <v>31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1</v>
      </c>
      <c r="E80" s="50">
        <v>0</v>
      </c>
      <c r="F80" s="50">
        <v>1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35</v>
      </c>
      <c r="N80" s="50">
        <v>0</v>
      </c>
      <c r="O80" s="15">
        <f t="shared" si="35"/>
        <v>3</v>
      </c>
      <c r="P80" s="15">
        <f t="shared" si="36"/>
        <v>38</v>
      </c>
      <c r="R80" s="8"/>
      <c r="T80"/>
    </row>
    <row r="81" spans="2:20" ht="23.1" customHeight="1" x14ac:dyDescent="0.25">
      <c r="B81" s="45" t="s">
        <v>121</v>
      </c>
      <c r="C81" s="50">
        <v>1</v>
      </c>
      <c r="D81" s="50">
        <v>2</v>
      </c>
      <c r="E81" s="50">
        <v>1</v>
      </c>
      <c r="F81" s="50">
        <v>0</v>
      </c>
      <c r="G81" s="50">
        <v>0</v>
      </c>
      <c r="H81" s="50">
        <v>0</v>
      </c>
      <c r="I81" s="50">
        <v>1</v>
      </c>
      <c r="J81" s="50">
        <v>0</v>
      </c>
      <c r="K81" s="50">
        <v>0</v>
      </c>
      <c r="L81" s="50">
        <v>0</v>
      </c>
      <c r="M81" s="50">
        <v>35</v>
      </c>
      <c r="N81" s="50">
        <v>0</v>
      </c>
      <c r="O81" s="15">
        <f t="shared" si="35"/>
        <v>5</v>
      </c>
      <c r="P81" s="15">
        <f t="shared" si="36"/>
        <v>40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2</v>
      </c>
      <c r="E82" s="50">
        <v>0</v>
      </c>
      <c r="F82" s="50">
        <v>1</v>
      </c>
      <c r="G82" s="50">
        <v>0</v>
      </c>
      <c r="H82" s="50">
        <v>0</v>
      </c>
      <c r="I82" s="50">
        <v>0</v>
      </c>
      <c r="J82" s="50">
        <v>0</v>
      </c>
      <c r="K82" s="50">
        <v>0</v>
      </c>
      <c r="L82" s="50">
        <v>0</v>
      </c>
      <c r="M82" s="50">
        <v>13</v>
      </c>
      <c r="N82" s="50">
        <v>0</v>
      </c>
      <c r="O82" s="15">
        <f t="shared" si="35"/>
        <v>4</v>
      </c>
      <c r="P82" s="15">
        <f t="shared" si="36"/>
        <v>17</v>
      </c>
      <c r="R82" s="8"/>
      <c r="T82"/>
    </row>
    <row r="83" spans="2:20" ht="23.1" customHeight="1" x14ac:dyDescent="0.25">
      <c r="B83" s="45" t="s">
        <v>123</v>
      </c>
      <c r="C83" s="50">
        <v>2</v>
      </c>
      <c r="D83" s="50">
        <v>1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0</v>
      </c>
      <c r="K83" s="50">
        <v>0</v>
      </c>
      <c r="L83" s="50">
        <v>0</v>
      </c>
      <c r="M83" s="50">
        <v>15</v>
      </c>
      <c r="N83" s="50">
        <v>0</v>
      </c>
      <c r="O83" s="15">
        <f t="shared" si="35"/>
        <v>3</v>
      </c>
      <c r="P83" s="15">
        <f t="shared" si="36"/>
        <v>18</v>
      </c>
      <c r="R83" s="8"/>
      <c r="T83"/>
    </row>
    <row r="84" spans="2:20" ht="23.1" customHeight="1" x14ac:dyDescent="0.25">
      <c r="B84" s="47" t="s">
        <v>124</v>
      </c>
      <c r="C84" s="50">
        <v>1</v>
      </c>
      <c r="D84" s="50">
        <v>1</v>
      </c>
      <c r="E84" s="50">
        <v>1</v>
      </c>
      <c r="F84" s="50">
        <v>0</v>
      </c>
      <c r="G84" s="50">
        <v>0</v>
      </c>
      <c r="H84" s="50">
        <v>0</v>
      </c>
      <c r="I84" s="50">
        <v>1</v>
      </c>
      <c r="J84" s="50">
        <v>0</v>
      </c>
      <c r="K84" s="50">
        <v>0</v>
      </c>
      <c r="L84" s="50">
        <v>0</v>
      </c>
      <c r="M84" s="50">
        <v>22</v>
      </c>
      <c r="N84" s="50">
        <v>0</v>
      </c>
      <c r="O84" s="15">
        <f t="shared" si="35"/>
        <v>4</v>
      </c>
      <c r="P84" s="15">
        <f t="shared" si="36"/>
        <v>26</v>
      </c>
      <c r="R84" s="8"/>
      <c r="T84"/>
    </row>
    <row r="85" spans="2:20" ht="23.1" customHeight="1" x14ac:dyDescent="0.25">
      <c r="B85" s="45" t="s">
        <v>125</v>
      </c>
      <c r="C85" s="50">
        <v>2</v>
      </c>
      <c r="D85" s="50">
        <v>2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1</v>
      </c>
      <c r="K85" s="50">
        <v>0</v>
      </c>
      <c r="L85" s="50">
        <v>0</v>
      </c>
      <c r="M85" s="50">
        <v>19</v>
      </c>
      <c r="N85" s="50">
        <v>0</v>
      </c>
      <c r="O85" s="15">
        <f t="shared" si="35"/>
        <v>5</v>
      </c>
      <c r="P85" s="15">
        <f t="shared" si="36"/>
        <v>24</v>
      </c>
      <c r="R85" s="8"/>
      <c r="T85"/>
    </row>
    <row r="86" spans="2:20" ht="23.1" customHeight="1" x14ac:dyDescent="0.25">
      <c r="B86" s="46" t="s">
        <v>126</v>
      </c>
      <c r="C86" s="50">
        <v>4</v>
      </c>
      <c r="D86" s="50">
        <v>0</v>
      </c>
      <c r="E86" s="50">
        <v>1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0</v>
      </c>
      <c r="M86" s="50">
        <v>15</v>
      </c>
      <c r="N86" s="50">
        <v>0</v>
      </c>
      <c r="O86" s="15">
        <f t="shared" si="35"/>
        <v>5</v>
      </c>
      <c r="P86" s="15">
        <f t="shared" si="36"/>
        <v>20</v>
      </c>
      <c r="R86" s="8"/>
      <c r="T86"/>
    </row>
    <row r="87" spans="2:20" ht="23.1" customHeight="1" x14ac:dyDescent="0.25">
      <c r="B87" s="45" t="s">
        <v>127</v>
      </c>
      <c r="C87" s="50">
        <v>1</v>
      </c>
      <c r="D87" s="50">
        <v>2</v>
      </c>
      <c r="E87" s="50">
        <v>0</v>
      </c>
      <c r="F87" s="50">
        <v>0</v>
      </c>
      <c r="G87" s="50">
        <v>0</v>
      </c>
      <c r="H87" s="50">
        <v>0</v>
      </c>
      <c r="I87" s="50">
        <v>1</v>
      </c>
      <c r="J87" s="50">
        <v>0</v>
      </c>
      <c r="K87" s="50">
        <v>0</v>
      </c>
      <c r="L87" s="50">
        <v>0</v>
      </c>
      <c r="M87" s="50">
        <v>17</v>
      </c>
      <c r="N87" s="50">
        <v>0</v>
      </c>
      <c r="O87" s="15">
        <f t="shared" si="35"/>
        <v>4</v>
      </c>
      <c r="P87" s="15">
        <f t="shared" si="36"/>
        <v>21</v>
      </c>
      <c r="R87" s="8"/>
      <c r="T87"/>
    </row>
    <row r="88" spans="2:20" ht="23.1" customHeight="1" x14ac:dyDescent="0.25">
      <c r="B88" s="47" t="s">
        <v>128</v>
      </c>
      <c r="C88" s="50">
        <v>2</v>
      </c>
      <c r="D88" s="50">
        <v>0</v>
      </c>
      <c r="E88" s="50">
        <v>1</v>
      </c>
      <c r="F88" s="50">
        <v>1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8</v>
      </c>
      <c r="N88" s="50">
        <v>0</v>
      </c>
      <c r="O88" s="15">
        <f t="shared" si="35"/>
        <v>4</v>
      </c>
      <c r="P88" s="15">
        <f t="shared" si="36"/>
        <v>12</v>
      </c>
      <c r="R88" s="8"/>
      <c r="T88"/>
    </row>
    <row r="89" spans="2:20" ht="23.1" customHeight="1" x14ac:dyDescent="0.25">
      <c r="B89" s="45" t="s">
        <v>129</v>
      </c>
      <c r="C89" s="50">
        <v>1</v>
      </c>
      <c r="D89" s="50">
        <v>1</v>
      </c>
      <c r="E89" s="50">
        <v>0</v>
      </c>
      <c r="F89" s="50">
        <v>0</v>
      </c>
      <c r="G89" s="50">
        <v>0</v>
      </c>
      <c r="H89" s="50">
        <v>0</v>
      </c>
      <c r="I89" s="50">
        <v>1</v>
      </c>
      <c r="J89" s="50">
        <v>0</v>
      </c>
      <c r="K89" s="50">
        <v>0</v>
      </c>
      <c r="L89" s="50">
        <v>0</v>
      </c>
      <c r="M89" s="50">
        <v>8</v>
      </c>
      <c r="N89" s="50">
        <v>0</v>
      </c>
      <c r="O89" s="15">
        <f t="shared" si="35"/>
        <v>3</v>
      </c>
      <c r="P89" s="15">
        <f t="shared" si="36"/>
        <v>11</v>
      </c>
      <c r="R89" s="8"/>
      <c r="T89"/>
    </row>
    <row r="90" spans="2:20" ht="23.1" customHeight="1" x14ac:dyDescent="0.25">
      <c r="B90" s="46" t="s">
        <v>130</v>
      </c>
      <c r="C90" s="50">
        <v>1</v>
      </c>
      <c r="D90" s="50">
        <v>1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0</v>
      </c>
      <c r="K90" s="50">
        <v>0</v>
      </c>
      <c r="L90" s="50">
        <v>0</v>
      </c>
      <c r="M90" s="50">
        <v>6</v>
      </c>
      <c r="N90" s="50">
        <v>0</v>
      </c>
      <c r="O90" s="15">
        <f t="shared" si="35"/>
        <v>2</v>
      </c>
      <c r="P90" s="15">
        <f t="shared" si="36"/>
        <v>8</v>
      </c>
      <c r="R90" s="8"/>
      <c r="T90"/>
    </row>
    <row r="91" spans="2:20" ht="23.1" customHeight="1" x14ac:dyDescent="0.25">
      <c r="B91" s="45" t="s">
        <v>131</v>
      </c>
      <c r="C91" s="50">
        <v>1</v>
      </c>
      <c r="D91" s="50">
        <v>1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8</v>
      </c>
      <c r="N91" s="50">
        <v>0</v>
      </c>
      <c r="O91" s="15">
        <f t="shared" si="35"/>
        <v>2</v>
      </c>
      <c r="P91" s="15">
        <f t="shared" si="36"/>
        <v>10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0</v>
      </c>
      <c r="F92" s="50">
        <v>0</v>
      </c>
      <c r="G92" s="50">
        <v>0</v>
      </c>
      <c r="H92" s="50">
        <v>0</v>
      </c>
      <c r="I92" s="50">
        <v>0</v>
      </c>
      <c r="J92" s="50">
        <v>0</v>
      </c>
      <c r="K92" s="50">
        <v>0</v>
      </c>
      <c r="L92" s="50">
        <v>0</v>
      </c>
      <c r="M92" s="50">
        <v>4</v>
      </c>
      <c r="N92" s="50">
        <v>0</v>
      </c>
      <c r="O92" s="15">
        <f t="shared" si="35"/>
        <v>0</v>
      </c>
      <c r="P92" s="15">
        <f t="shared" si="36"/>
        <v>4</v>
      </c>
      <c r="R92" s="8"/>
      <c r="T92"/>
    </row>
    <row r="93" spans="2:20" ht="23.1" customHeight="1" x14ac:dyDescent="0.25">
      <c r="B93" s="45" t="s">
        <v>133</v>
      </c>
      <c r="C93" s="50">
        <v>0</v>
      </c>
      <c r="D93" s="50">
        <v>1</v>
      </c>
      <c r="E93" s="50">
        <v>0</v>
      </c>
      <c r="F93" s="50">
        <v>0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2</v>
      </c>
      <c r="N93" s="50">
        <v>0</v>
      </c>
      <c r="O93" s="15">
        <f t="shared" si="35"/>
        <v>1</v>
      </c>
      <c r="P93" s="15">
        <f t="shared" si="36"/>
        <v>3</v>
      </c>
      <c r="R93" s="8"/>
      <c r="T93"/>
    </row>
    <row r="94" spans="2:20" ht="23.1" customHeight="1" x14ac:dyDescent="0.25">
      <c r="B94" s="46" t="s">
        <v>134</v>
      </c>
      <c r="C94" s="50">
        <v>1</v>
      </c>
      <c r="D94" s="50">
        <v>0</v>
      </c>
      <c r="E94" s="50">
        <v>0</v>
      </c>
      <c r="F94" s="50">
        <v>0</v>
      </c>
      <c r="G94" s="50">
        <v>0</v>
      </c>
      <c r="H94" s="50">
        <v>0</v>
      </c>
      <c r="I94" s="50">
        <v>0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1</v>
      </c>
      <c r="P94" s="15">
        <f t="shared" si="36"/>
        <v>2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0</v>
      </c>
      <c r="F95" s="50">
        <v>1</v>
      </c>
      <c r="G95" s="50">
        <v>0</v>
      </c>
      <c r="H95" s="50">
        <v>1</v>
      </c>
      <c r="I95" s="50">
        <v>0</v>
      </c>
      <c r="J95" s="50">
        <v>0</v>
      </c>
      <c r="K95" s="50">
        <v>0</v>
      </c>
      <c r="L95" s="50">
        <v>0</v>
      </c>
      <c r="M95" s="50">
        <v>0</v>
      </c>
      <c r="N95" s="50">
        <v>0</v>
      </c>
      <c r="O95" s="15">
        <f t="shared" si="35"/>
        <v>2</v>
      </c>
      <c r="P95" s="15">
        <f t="shared" si="36"/>
        <v>2</v>
      </c>
      <c r="R95" s="8"/>
      <c r="T95"/>
    </row>
    <row r="96" spans="2:20" ht="23.1" customHeight="1" x14ac:dyDescent="0.25">
      <c r="B96" s="47" t="s">
        <v>136</v>
      </c>
      <c r="C96" s="50">
        <v>1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0</v>
      </c>
      <c r="J96" s="50">
        <v>0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1</v>
      </c>
      <c r="P96" s="15">
        <f t="shared" si="36"/>
        <v>1</v>
      </c>
      <c r="R96" s="8"/>
      <c r="T96"/>
    </row>
    <row r="97" spans="2:20" ht="23.1" customHeight="1" x14ac:dyDescent="0.25">
      <c r="B97" s="45" t="s">
        <v>137</v>
      </c>
      <c r="C97" s="50">
        <v>2</v>
      </c>
      <c r="D97" s="50">
        <v>1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0</v>
      </c>
      <c r="M97" s="50">
        <v>0</v>
      </c>
      <c r="N97" s="50">
        <v>0</v>
      </c>
      <c r="O97" s="15">
        <f t="shared" si="35"/>
        <v>3</v>
      </c>
      <c r="P97" s="15">
        <f t="shared" si="36"/>
        <v>3</v>
      </c>
      <c r="R97" s="8"/>
      <c r="T97"/>
    </row>
    <row r="98" spans="2:20" ht="23.1" customHeight="1" x14ac:dyDescent="0.25">
      <c r="B98" s="46" t="s">
        <v>138</v>
      </c>
      <c r="C98" s="50">
        <v>0</v>
      </c>
      <c r="D98" s="50">
        <v>0</v>
      </c>
      <c r="E98" s="50">
        <v>2</v>
      </c>
      <c r="F98" s="50">
        <v>0</v>
      </c>
      <c r="G98" s="50">
        <v>0</v>
      </c>
      <c r="H98" s="50">
        <v>0</v>
      </c>
      <c r="I98" s="50">
        <v>0</v>
      </c>
      <c r="J98" s="50">
        <v>0</v>
      </c>
      <c r="K98" s="50">
        <v>0</v>
      </c>
      <c r="L98" s="50">
        <v>0</v>
      </c>
      <c r="M98" s="50">
        <v>3</v>
      </c>
      <c r="N98" s="50">
        <v>0</v>
      </c>
      <c r="O98" s="15">
        <f t="shared" si="35"/>
        <v>2</v>
      </c>
      <c r="P98" s="15">
        <f t="shared" si="36"/>
        <v>5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1</v>
      </c>
      <c r="E99" s="50">
        <v>0</v>
      </c>
      <c r="F99" s="50">
        <v>0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5</v>
      </c>
      <c r="N99" s="50">
        <v>0</v>
      </c>
      <c r="O99" s="15">
        <f t="shared" si="35"/>
        <v>4</v>
      </c>
      <c r="P99" s="15">
        <f t="shared" si="36"/>
        <v>9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0</v>
      </c>
      <c r="E100" s="50">
        <v>0</v>
      </c>
      <c r="F100" s="50">
        <v>2</v>
      </c>
      <c r="G100" s="50">
        <v>0</v>
      </c>
      <c r="H100" s="50">
        <v>0</v>
      </c>
      <c r="I100" s="50">
        <v>0</v>
      </c>
      <c r="J100" s="50">
        <v>0</v>
      </c>
      <c r="K100" s="50">
        <v>0</v>
      </c>
      <c r="L100" s="50">
        <v>0</v>
      </c>
      <c r="M100" s="50">
        <v>0</v>
      </c>
      <c r="N100" s="50">
        <v>0</v>
      </c>
      <c r="O100" s="15">
        <f t="shared" si="35"/>
        <v>2</v>
      </c>
      <c r="P100" s="15">
        <f t="shared" si="36"/>
        <v>2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3</v>
      </c>
      <c r="E101" s="50">
        <v>0</v>
      </c>
      <c r="F101" s="50">
        <v>0</v>
      </c>
      <c r="G101" s="50">
        <v>0</v>
      </c>
      <c r="H101" s="50">
        <v>0</v>
      </c>
      <c r="I101" s="50">
        <v>0</v>
      </c>
      <c r="J101" s="50">
        <v>0</v>
      </c>
      <c r="K101" s="50">
        <v>0</v>
      </c>
      <c r="L101" s="50">
        <v>0</v>
      </c>
      <c r="M101" s="50">
        <v>9</v>
      </c>
      <c r="N101" s="50">
        <v>0</v>
      </c>
      <c r="O101" s="15">
        <f t="shared" si="35"/>
        <v>5</v>
      </c>
      <c r="P101" s="15">
        <f t="shared" si="36"/>
        <v>14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1</v>
      </c>
      <c r="E102" s="50">
        <v>1</v>
      </c>
      <c r="F102" s="50">
        <v>0</v>
      </c>
      <c r="G102" s="50">
        <v>0</v>
      </c>
      <c r="H102" s="50">
        <v>0</v>
      </c>
      <c r="I102" s="50">
        <v>2</v>
      </c>
      <c r="J102" s="50">
        <v>0</v>
      </c>
      <c r="K102" s="50">
        <v>0</v>
      </c>
      <c r="L102" s="50">
        <v>0</v>
      </c>
      <c r="M102" s="50">
        <v>30</v>
      </c>
      <c r="N102" s="50">
        <v>0</v>
      </c>
      <c r="O102" s="15">
        <f t="shared" si="35"/>
        <v>8</v>
      </c>
      <c r="P102" s="15">
        <f t="shared" si="36"/>
        <v>38</v>
      </c>
      <c r="R102" s="8"/>
      <c r="T102"/>
    </row>
    <row r="103" spans="2:20" ht="23.1" customHeight="1" x14ac:dyDescent="0.25">
      <c r="B103" s="45" t="s">
        <v>143</v>
      </c>
      <c r="C103" s="50">
        <v>2</v>
      </c>
      <c r="D103" s="50">
        <v>1</v>
      </c>
      <c r="E103" s="50">
        <v>0</v>
      </c>
      <c r="F103" s="50">
        <v>0</v>
      </c>
      <c r="G103" s="50">
        <v>0</v>
      </c>
      <c r="H103" s="50">
        <v>0</v>
      </c>
      <c r="I103" s="50">
        <v>0</v>
      </c>
      <c r="J103" s="50">
        <v>1</v>
      </c>
      <c r="K103" s="50">
        <v>0</v>
      </c>
      <c r="L103" s="50">
        <v>0</v>
      </c>
      <c r="M103" s="50">
        <v>25</v>
      </c>
      <c r="N103" s="50">
        <v>0</v>
      </c>
      <c r="O103" s="15">
        <f t="shared" si="35"/>
        <v>4</v>
      </c>
      <c r="P103" s="15">
        <f t="shared" si="36"/>
        <v>29</v>
      </c>
      <c r="R103" s="8"/>
      <c r="T103"/>
    </row>
    <row r="104" spans="2:20" ht="23.1" customHeight="1" x14ac:dyDescent="0.25">
      <c r="B104" s="47" t="s">
        <v>144</v>
      </c>
      <c r="C104" s="50">
        <v>1</v>
      </c>
      <c r="D104" s="50">
        <v>1</v>
      </c>
      <c r="E104" s="50">
        <v>0</v>
      </c>
      <c r="F104" s="50">
        <v>0</v>
      </c>
      <c r="G104" s="50">
        <v>0</v>
      </c>
      <c r="H104" s="50">
        <v>0</v>
      </c>
      <c r="I104" s="50">
        <v>0</v>
      </c>
      <c r="J104" s="50">
        <v>0</v>
      </c>
      <c r="K104" s="50">
        <v>0</v>
      </c>
      <c r="L104" s="50">
        <v>0</v>
      </c>
      <c r="M104" s="50">
        <v>45</v>
      </c>
      <c r="N104" s="50">
        <v>0</v>
      </c>
      <c r="O104" s="15">
        <f t="shared" si="35"/>
        <v>2</v>
      </c>
      <c r="P104" s="15">
        <f t="shared" si="36"/>
        <v>47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1</v>
      </c>
      <c r="E105" s="50">
        <v>0</v>
      </c>
      <c r="F105" s="50">
        <v>3</v>
      </c>
      <c r="G105" s="50">
        <v>0</v>
      </c>
      <c r="H105" s="50">
        <v>0</v>
      </c>
      <c r="I105" s="50">
        <v>0</v>
      </c>
      <c r="J105" s="50">
        <v>0</v>
      </c>
      <c r="K105" s="50">
        <v>0</v>
      </c>
      <c r="L105" s="50">
        <v>0</v>
      </c>
      <c r="M105" s="50">
        <v>25</v>
      </c>
      <c r="N105" s="50">
        <v>0</v>
      </c>
      <c r="O105" s="15">
        <f t="shared" si="35"/>
        <v>6</v>
      </c>
      <c r="P105" s="15">
        <f t="shared" si="36"/>
        <v>31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271</v>
      </c>
      <c r="D106" s="16">
        <f t="shared" ref="D106:P106" si="37">SUM(D10:D105)</f>
        <v>160</v>
      </c>
      <c r="E106" s="16">
        <f t="shared" si="37"/>
        <v>85</v>
      </c>
      <c r="F106" s="16">
        <f t="shared" si="37"/>
        <v>172</v>
      </c>
      <c r="G106" s="16">
        <f t="shared" si="37"/>
        <v>11</v>
      </c>
      <c r="H106" s="16">
        <f t="shared" si="37"/>
        <v>2</v>
      </c>
      <c r="I106" s="16">
        <f t="shared" si="37"/>
        <v>87</v>
      </c>
      <c r="J106" s="16">
        <f t="shared" si="37"/>
        <v>72</v>
      </c>
      <c r="K106" s="16">
        <f t="shared" si="37"/>
        <v>2</v>
      </c>
      <c r="L106" s="16">
        <f t="shared" si="37"/>
        <v>0</v>
      </c>
      <c r="M106" s="16">
        <f t="shared" si="37"/>
        <v>4888</v>
      </c>
      <c r="N106" s="16">
        <f t="shared" si="37"/>
        <v>2</v>
      </c>
      <c r="O106" s="16">
        <f t="shared" si="37"/>
        <v>864</v>
      </c>
      <c r="P106" s="16">
        <f t="shared" si="37"/>
        <v>5752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4.7114047287899863E-2</v>
      </c>
      <c r="D107" s="43">
        <f t="shared" si="38"/>
        <v>2.7816411682892908E-2</v>
      </c>
      <c r="E107" s="43">
        <f t="shared" si="38"/>
        <v>1.4777468706536857E-2</v>
      </c>
      <c r="F107" s="43">
        <f t="shared" si="38"/>
        <v>2.9902642559109873E-2</v>
      </c>
      <c r="G107" s="43">
        <f t="shared" si="38"/>
        <v>1.9123783031988874E-3</v>
      </c>
      <c r="H107" s="43">
        <f t="shared" si="38"/>
        <v>3.4770514603616132E-4</v>
      </c>
      <c r="I107" s="43">
        <f t="shared" si="38"/>
        <v>1.5125173852573018E-2</v>
      </c>
      <c r="J107" s="43">
        <f t="shared" si="38"/>
        <v>1.2517385257301807E-2</v>
      </c>
      <c r="K107" s="43">
        <f t="shared" si="38"/>
        <v>3.4770514603616132E-4</v>
      </c>
      <c r="L107" s="43">
        <f t="shared" si="38"/>
        <v>0</v>
      </c>
      <c r="M107" s="43">
        <f t="shared" si="38"/>
        <v>0.84979137691237827</v>
      </c>
      <c r="N107" s="43">
        <f t="shared" si="38"/>
        <v>3.4770514603616132E-4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0.31365740740740738</v>
      </c>
      <c r="D108" s="44">
        <f t="shared" ref="D108:N108" si="39">D106/$O$106</f>
        <v>0.18518518518518517</v>
      </c>
      <c r="E108" s="44">
        <f t="shared" si="39"/>
        <v>9.8379629629629636E-2</v>
      </c>
      <c r="F108" s="44">
        <f t="shared" si="39"/>
        <v>0.19907407407407407</v>
      </c>
      <c r="G108" s="44">
        <f t="shared" si="39"/>
        <v>1.2731481481481481E-2</v>
      </c>
      <c r="H108" s="44">
        <f t="shared" si="39"/>
        <v>2.3148148148148147E-3</v>
      </c>
      <c r="I108" s="44">
        <f t="shared" si="39"/>
        <v>0.10069444444444445</v>
      </c>
      <c r="J108" s="44">
        <f t="shared" si="39"/>
        <v>8.3333333333333329E-2</v>
      </c>
      <c r="K108" s="44">
        <f t="shared" si="39"/>
        <v>2.3148148148148147E-3</v>
      </c>
      <c r="L108" s="44">
        <f t="shared" si="39"/>
        <v>0</v>
      </c>
      <c r="M108" s="44"/>
      <c r="N108" s="44">
        <f t="shared" si="39"/>
        <v>2.3148148148148147E-3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0.249977111117893"/>
  </sheetPr>
  <dimension ref="B1:AF174"/>
  <sheetViews>
    <sheetView view="pageBreakPreview" topLeftCell="A37" zoomScale="60" workbookViewId="0">
      <selection activeCell="M105" sqref="M10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710937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'26.08 Iganga-Kaliro-24h'!D5</f>
        <v>26.08.19</v>
      </c>
      <c r="E5" s="3"/>
      <c r="F5" s="41" t="s">
        <v>1</v>
      </c>
      <c r="G5" s="61" t="str">
        <f>'26.08 Iganga-Kaliro-24h'!G5:H5</f>
        <v>Kigulu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'22.08 Kaliro-Iganga'!G6:H6</f>
        <v>Iganga</v>
      </c>
      <c r="H6" s="62"/>
      <c r="J6" s="2" t="s">
        <v>21</v>
      </c>
      <c r="K6" s="61" t="str">
        <f>'26.08 Iganga-Kaliro-24h'!K6:L6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45" t="s">
        <v>37</v>
      </c>
      <c r="C10" s="50">
        <v>2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40</v>
      </c>
      <c r="N10" s="50">
        <v>0</v>
      </c>
      <c r="O10" s="15">
        <f t="shared" ref="O10:O73" si="0">SUM(C10:L10,N10)</f>
        <v>5</v>
      </c>
      <c r="P10" s="15">
        <f t="shared" ref="P10:P73" si="1">SUM(C10:N10)</f>
        <v>45</v>
      </c>
      <c r="R10" s="1" t="s">
        <v>6</v>
      </c>
      <c r="S10" s="17">
        <f t="shared" ref="S10:AF10" si="2">SUM(C10:C13)</f>
        <v>3</v>
      </c>
      <c r="T10" s="17">
        <f t="shared" si="2"/>
        <v>0</v>
      </c>
      <c r="U10" s="17">
        <f t="shared" si="2"/>
        <v>0</v>
      </c>
      <c r="V10" s="17">
        <f t="shared" si="2"/>
        <v>4</v>
      </c>
      <c r="W10" s="17">
        <f t="shared" si="2"/>
        <v>0</v>
      </c>
      <c r="X10" s="17">
        <f t="shared" si="2"/>
        <v>0</v>
      </c>
      <c r="Y10" s="17">
        <f t="shared" si="2"/>
        <v>1</v>
      </c>
      <c r="Z10" s="17">
        <f t="shared" si="2"/>
        <v>2</v>
      </c>
      <c r="AA10" s="17">
        <f t="shared" si="2"/>
        <v>2</v>
      </c>
      <c r="AB10" s="17">
        <f t="shared" si="2"/>
        <v>0</v>
      </c>
      <c r="AC10" s="17">
        <f t="shared" si="2"/>
        <v>186</v>
      </c>
      <c r="AD10" s="17">
        <f t="shared" si="2"/>
        <v>0</v>
      </c>
      <c r="AE10" s="31">
        <f t="shared" si="2"/>
        <v>12</v>
      </c>
      <c r="AF10" s="31">
        <f t="shared" si="2"/>
        <v>198</v>
      </c>
    </row>
    <row r="11" spans="2:32" s="6" customFormat="1" ht="23.1" customHeight="1" x14ac:dyDescent="0.25">
      <c r="B11" s="45" t="s">
        <v>38</v>
      </c>
      <c r="C11" s="50">
        <v>0</v>
      </c>
      <c r="D11" s="50">
        <v>0</v>
      </c>
      <c r="E11" s="50">
        <v>0</v>
      </c>
      <c r="F11" s="50">
        <v>1</v>
      </c>
      <c r="G11" s="50">
        <v>0</v>
      </c>
      <c r="H11" s="50">
        <v>0</v>
      </c>
      <c r="I11" s="50">
        <v>0</v>
      </c>
      <c r="J11" s="50">
        <v>1</v>
      </c>
      <c r="K11" s="50">
        <v>0</v>
      </c>
      <c r="L11" s="50">
        <v>0</v>
      </c>
      <c r="M11" s="50">
        <v>69</v>
      </c>
      <c r="N11" s="50">
        <v>0</v>
      </c>
      <c r="O11" s="15">
        <f t="shared" si="0"/>
        <v>2</v>
      </c>
      <c r="P11" s="15">
        <f t="shared" si="1"/>
        <v>71</v>
      </c>
      <c r="R11" s="1" t="s">
        <v>7</v>
      </c>
      <c r="S11" s="17">
        <f t="shared" ref="S11:AF11" si="3">SUM(C14:C17)</f>
        <v>10</v>
      </c>
      <c r="T11" s="17">
        <f t="shared" si="3"/>
        <v>4</v>
      </c>
      <c r="U11" s="17">
        <f t="shared" si="3"/>
        <v>6</v>
      </c>
      <c r="V11" s="17">
        <f t="shared" si="3"/>
        <v>9</v>
      </c>
      <c r="W11" s="17">
        <f t="shared" si="3"/>
        <v>0</v>
      </c>
      <c r="X11" s="17">
        <f t="shared" si="3"/>
        <v>0</v>
      </c>
      <c r="Y11" s="17">
        <f t="shared" si="3"/>
        <v>0</v>
      </c>
      <c r="Z11" s="17">
        <f t="shared" si="3"/>
        <v>1</v>
      </c>
      <c r="AA11" s="17">
        <f t="shared" si="3"/>
        <v>0</v>
      </c>
      <c r="AB11" s="17">
        <f t="shared" si="3"/>
        <v>0</v>
      </c>
      <c r="AC11" s="17">
        <f t="shared" si="3"/>
        <v>220</v>
      </c>
      <c r="AD11" s="17">
        <f t="shared" si="3"/>
        <v>0</v>
      </c>
      <c r="AE11" s="31">
        <f t="shared" si="3"/>
        <v>30</v>
      </c>
      <c r="AF11" s="31">
        <f t="shared" si="3"/>
        <v>250</v>
      </c>
    </row>
    <row r="12" spans="2:32" ht="23.1" customHeight="1" x14ac:dyDescent="0.25">
      <c r="B12" s="45" t="s">
        <v>39</v>
      </c>
      <c r="C12" s="50">
        <v>1</v>
      </c>
      <c r="D12" s="50">
        <v>0</v>
      </c>
      <c r="E12" s="50">
        <v>0</v>
      </c>
      <c r="F12" s="50">
        <v>0</v>
      </c>
      <c r="G12" s="50">
        <v>0</v>
      </c>
      <c r="H12" s="50">
        <v>0</v>
      </c>
      <c r="I12" s="50">
        <v>1</v>
      </c>
      <c r="J12" s="50">
        <v>0</v>
      </c>
      <c r="K12" s="50">
        <v>2</v>
      </c>
      <c r="L12" s="50">
        <v>0</v>
      </c>
      <c r="M12" s="50">
        <v>41</v>
      </c>
      <c r="N12" s="50">
        <v>0</v>
      </c>
      <c r="O12" s="15">
        <f t="shared" si="0"/>
        <v>4</v>
      </c>
      <c r="P12" s="15">
        <f t="shared" si="1"/>
        <v>45</v>
      </c>
      <c r="R12" s="1" t="s">
        <v>8</v>
      </c>
      <c r="S12" s="17">
        <f t="shared" ref="S12:AF12" si="4">SUM(C18:C21)</f>
        <v>6</v>
      </c>
      <c r="T12" s="17">
        <f t="shared" si="4"/>
        <v>0</v>
      </c>
      <c r="U12" s="17">
        <f t="shared" si="4"/>
        <v>1</v>
      </c>
      <c r="V12" s="17">
        <f t="shared" si="4"/>
        <v>9</v>
      </c>
      <c r="W12" s="17">
        <f t="shared" si="4"/>
        <v>2</v>
      </c>
      <c r="X12" s="17">
        <f t="shared" si="4"/>
        <v>0</v>
      </c>
      <c r="Y12" s="17">
        <f t="shared" si="4"/>
        <v>3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248</v>
      </c>
      <c r="AD12" s="17">
        <f t="shared" si="4"/>
        <v>0</v>
      </c>
      <c r="AE12" s="31">
        <f t="shared" si="4"/>
        <v>22</v>
      </c>
      <c r="AF12" s="31">
        <f t="shared" si="4"/>
        <v>270</v>
      </c>
    </row>
    <row r="13" spans="2:32" ht="23.1" customHeight="1" x14ac:dyDescent="0.25">
      <c r="B13" s="45" t="s">
        <v>40</v>
      </c>
      <c r="C13" s="50">
        <v>0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36</v>
      </c>
      <c r="N13" s="50">
        <v>0</v>
      </c>
      <c r="O13" s="15">
        <f t="shared" si="0"/>
        <v>1</v>
      </c>
      <c r="P13" s="15">
        <f t="shared" si="1"/>
        <v>37</v>
      </c>
      <c r="R13" s="1" t="s">
        <v>9</v>
      </c>
      <c r="S13" s="17">
        <f t="shared" ref="S13:AF13" si="5">SUM(C22:C25)</f>
        <v>12</v>
      </c>
      <c r="T13" s="17">
        <f t="shared" si="5"/>
        <v>2</v>
      </c>
      <c r="U13" s="17">
        <f t="shared" si="5"/>
        <v>4</v>
      </c>
      <c r="V13" s="17">
        <f t="shared" si="5"/>
        <v>7</v>
      </c>
      <c r="W13" s="17">
        <f t="shared" si="5"/>
        <v>1</v>
      </c>
      <c r="X13" s="17">
        <f t="shared" si="5"/>
        <v>0</v>
      </c>
      <c r="Y13" s="17">
        <f t="shared" si="5"/>
        <v>4</v>
      </c>
      <c r="Z13" s="17">
        <f t="shared" si="5"/>
        <v>2</v>
      </c>
      <c r="AA13" s="17">
        <f t="shared" si="5"/>
        <v>0</v>
      </c>
      <c r="AB13" s="17">
        <f t="shared" si="5"/>
        <v>0</v>
      </c>
      <c r="AC13" s="17">
        <f t="shared" si="5"/>
        <v>324</v>
      </c>
      <c r="AD13" s="17">
        <f t="shared" si="5"/>
        <v>0</v>
      </c>
      <c r="AE13" s="31">
        <f t="shared" si="5"/>
        <v>32</v>
      </c>
      <c r="AF13" s="31">
        <f t="shared" si="5"/>
        <v>356</v>
      </c>
    </row>
    <row r="14" spans="2:32" ht="23.1" customHeight="1" x14ac:dyDescent="0.25">
      <c r="B14" s="45" t="s">
        <v>41</v>
      </c>
      <c r="C14" s="50">
        <v>4</v>
      </c>
      <c r="D14" s="50">
        <v>3</v>
      </c>
      <c r="E14" s="50">
        <v>1</v>
      </c>
      <c r="F14" s="50">
        <v>2</v>
      </c>
      <c r="G14" s="50">
        <v>0</v>
      </c>
      <c r="H14" s="50">
        <v>0</v>
      </c>
      <c r="I14" s="50">
        <v>0</v>
      </c>
      <c r="J14" s="50">
        <v>0</v>
      </c>
      <c r="K14" s="50">
        <v>0</v>
      </c>
      <c r="L14" s="50">
        <v>0</v>
      </c>
      <c r="M14" s="50">
        <v>45</v>
      </c>
      <c r="N14" s="50">
        <v>0</v>
      </c>
      <c r="O14" s="15">
        <f t="shared" si="0"/>
        <v>10</v>
      </c>
      <c r="P14" s="15">
        <f t="shared" si="1"/>
        <v>55</v>
      </c>
      <c r="R14" s="1" t="s">
        <v>10</v>
      </c>
      <c r="S14" s="17">
        <f t="shared" ref="S14:AF14" si="6">SUM(C26:C29)</f>
        <v>31</v>
      </c>
      <c r="T14" s="17">
        <f t="shared" si="6"/>
        <v>1</v>
      </c>
      <c r="U14" s="17">
        <f t="shared" si="6"/>
        <v>4</v>
      </c>
      <c r="V14" s="17">
        <f t="shared" si="6"/>
        <v>15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334</v>
      </c>
      <c r="AD14" s="17">
        <f t="shared" si="6"/>
        <v>1</v>
      </c>
      <c r="AE14" s="31">
        <f t="shared" si="6"/>
        <v>60</v>
      </c>
      <c r="AF14" s="31">
        <f t="shared" si="6"/>
        <v>394</v>
      </c>
    </row>
    <row r="15" spans="2:32" ht="23.1" customHeight="1" x14ac:dyDescent="0.25">
      <c r="B15" s="45" t="s">
        <v>42</v>
      </c>
      <c r="C15" s="50">
        <v>1</v>
      </c>
      <c r="D15" s="50">
        <v>0</v>
      </c>
      <c r="E15" s="50">
        <v>2</v>
      </c>
      <c r="F15" s="50">
        <v>0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40</v>
      </c>
      <c r="N15" s="50">
        <v>0</v>
      </c>
      <c r="O15" s="15">
        <f t="shared" si="0"/>
        <v>3</v>
      </c>
      <c r="P15" s="15">
        <f t="shared" si="1"/>
        <v>43</v>
      </c>
      <c r="R15" s="1" t="s">
        <v>11</v>
      </c>
      <c r="S15" s="17">
        <f t="shared" ref="S15:AF15" si="7">SUM(C30:C33)</f>
        <v>13</v>
      </c>
      <c r="T15" s="17">
        <f t="shared" si="7"/>
        <v>3</v>
      </c>
      <c r="U15" s="17">
        <f t="shared" si="7"/>
        <v>6</v>
      </c>
      <c r="V15" s="17">
        <f t="shared" si="7"/>
        <v>10</v>
      </c>
      <c r="W15" s="17">
        <f t="shared" si="7"/>
        <v>0</v>
      </c>
      <c r="X15" s="17">
        <f t="shared" si="7"/>
        <v>0</v>
      </c>
      <c r="Y15" s="17">
        <f t="shared" si="7"/>
        <v>7</v>
      </c>
      <c r="Z15" s="17">
        <f t="shared" si="7"/>
        <v>5</v>
      </c>
      <c r="AA15" s="17">
        <f t="shared" si="7"/>
        <v>1</v>
      </c>
      <c r="AB15" s="17">
        <f t="shared" si="7"/>
        <v>0</v>
      </c>
      <c r="AC15" s="17">
        <f t="shared" si="7"/>
        <v>324</v>
      </c>
      <c r="AD15" s="17">
        <f t="shared" si="7"/>
        <v>0</v>
      </c>
      <c r="AE15" s="31">
        <f t="shared" si="7"/>
        <v>45</v>
      </c>
      <c r="AF15" s="31">
        <f t="shared" si="7"/>
        <v>369</v>
      </c>
    </row>
    <row r="16" spans="2:32" ht="23.1" customHeight="1" x14ac:dyDescent="0.25">
      <c r="B16" s="45" t="s">
        <v>43</v>
      </c>
      <c r="C16" s="50">
        <v>1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0</v>
      </c>
      <c r="J16" s="50">
        <v>0</v>
      </c>
      <c r="K16" s="50">
        <v>0</v>
      </c>
      <c r="L16" s="50">
        <v>0</v>
      </c>
      <c r="M16" s="50">
        <v>55</v>
      </c>
      <c r="N16" s="50">
        <v>0</v>
      </c>
      <c r="O16" s="15">
        <f t="shared" si="0"/>
        <v>2</v>
      </c>
      <c r="P16" s="15">
        <f t="shared" si="1"/>
        <v>57</v>
      </c>
      <c r="R16" s="1" t="s">
        <v>12</v>
      </c>
      <c r="S16" s="17">
        <f t="shared" ref="S16:AF16" si="8">SUM(C34:C37)</f>
        <v>23</v>
      </c>
      <c r="T16" s="17">
        <f t="shared" si="8"/>
        <v>10</v>
      </c>
      <c r="U16" s="17">
        <f t="shared" si="8"/>
        <v>4</v>
      </c>
      <c r="V16" s="17">
        <f t="shared" si="8"/>
        <v>16</v>
      </c>
      <c r="W16" s="17">
        <f t="shared" si="8"/>
        <v>1</v>
      </c>
      <c r="X16" s="17">
        <f t="shared" si="8"/>
        <v>0</v>
      </c>
      <c r="Y16" s="17">
        <f t="shared" si="8"/>
        <v>2</v>
      </c>
      <c r="Z16" s="17">
        <f t="shared" si="8"/>
        <v>1</v>
      </c>
      <c r="AA16" s="17">
        <f t="shared" si="8"/>
        <v>0</v>
      </c>
      <c r="AB16" s="17">
        <f t="shared" si="8"/>
        <v>0</v>
      </c>
      <c r="AC16" s="17">
        <f t="shared" si="8"/>
        <v>311</v>
      </c>
      <c r="AD16" s="17">
        <f t="shared" si="8"/>
        <v>0</v>
      </c>
      <c r="AE16" s="31">
        <f t="shared" si="8"/>
        <v>57</v>
      </c>
      <c r="AF16" s="31">
        <f t="shared" si="8"/>
        <v>368</v>
      </c>
    </row>
    <row r="17" spans="2:32" ht="23.1" customHeight="1" x14ac:dyDescent="0.25">
      <c r="B17" s="45" t="s">
        <v>44</v>
      </c>
      <c r="C17" s="50">
        <v>4</v>
      </c>
      <c r="D17" s="50">
        <v>1</v>
      </c>
      <c r="E17" s="50">
        <v>3</v>
      </c>
      <c r="F17" s="50">
        <v>6</v>
      </c>
      <c r="G17" s="50">
        <v>0</v>
      </c>
      <c r="H17" s="50">
        <v>0</v>
      </c>
      <c r="I17" s="50">
        <v>0</v>
      </c>
      <c r="J17" s="50">
        <v>1</v>
      </c>
      <c r="K17" s="50">
        <v>0</v>
      </c>
      <c r="L17" s="50">
        <v>0</v>
      </c>
      <c r="M17" s="50">
        <v>80</v>
      </c>
      <c r="N17" s="50">
        <v>0</v>
      </c>
      <c r="O17" s="15">
        <f t="shared" si="0"/>
        <v>15</v>
      </c>
      <c r="P17" s="15">
        <f t="shared" si="1"/>
        <v>95</v>
      </c>
      <c r="R17" s="1" t="s">
        <v>13</v>
      </c>
      <c r="S17" s="17">
        <f t="shared" ref="S17:AF17" si="9">SUM(C38:C41)</f>
        <v>20</v>
      </c>
      <c r="T17" s="17">
        <f t="shared" si="9"/>
        <v>3</v>
      </c>
      <c r="U17" s="17">
        <f t="shared" si="9"/>
        <v>1</v>
      </c>
      <c r="V17" s="17">
        <f t="shared" si="9"/>
        <v>14</v>
      </c>
      <c r="W17" s="17">
        <f t="shared" si="9"/>
        <v>0</v>
      </c>
      <c r="X17" s="17">
        <f t="shared" si="9"/>
        <v>0</v>
      </c>
      <c r="Y17" s="17">
        <f t="shared" si="9"/>
        <v>1</v>
      </c>
      <c r="Z17" s="17">
        <f t="shared" si="9"/>
        <v>5</v>
      </c>
      <c r="AA17" s="17">
        <f t="shared" si="9"/>
        <v>1</v>
      </c>
      <c r="AB17" s="17">
        <f t="shared" si="9"/>
        <v>0</v>
      </c>
      <c r="AC17" s="17">
        <f t="shared" si="9"/>
        <v>348</v>
      </c>
      <c r="AD17" s="17">
        <f t="shared" si="9"/>
        <v>0</v>
      </c>
      <c r="AE17" s="31">
        <f t="shared" si="9"/>
        <v>45</v>
      </c>
      <c r="AF17" s="31">
        <f t="shared" si="9"/>
        <v>393</v>
      </c>
    </row>
    <row r="18" spans="2:32" ht="23.1" customHeight="1" x14ac:dyDescent="0.25">
      <c r="B18" s="45" t="s">
        <v>45</v>
      </c>
      <c r="C18" s="50">
        <v>3</v>
      </c>
      <c r="D18" s="50">
        <v>0</v>
      </c>
      <c r="E18" s="50">
        <v>0</v>
      </c>
      <c r="F18" s="50">
        <v>2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60</v>
      </c>
      <c r="N18" s="50">
        <v>0</v>
      </c>
      <c r="O18" s="15">
        <f t="shared" si="0"/>
        <v>6</v>
      </c>
      <c r="P18" s="15">
        <f t="shared" si="1"/>
        <v>66</v>
      </c>
      <c r="R18" s="1" t="s">
        <v>14</v>
      </c>
      <c r="S18" s="17">
        <f t="shared" ref="S18:AF18" si="10">SUM(C42:C45)</f>
        <v>14</v>
      </c>
      <c r="T18" s="17">
        <f t="shared" si="10"/>
        <v>3</v>
      </c>
      <c r="U18" s="17">
        <f t="shared" si="10"/>
        <v>2</v>
      </c>
      <c r="V18" s="17">
        <f t="shared" si="10"/>
        <v>14</v>
      </c>
      <c r="W18" s="17">
        <f t="shared" si="10"/>
        <v>0</v>
      </c>
      <c r="X18" s="17">
        <f t="shared" si="10"/>
        <v>0</v>
      </c>
      <c r="Y18" s="17">
        <f t="shared" si="10"/>
        <v>4</v>
      </c>
      <c r="Z18" s="17">
        <f t="shared" si="10"/>
        <v>6</v>
      </c>
      <c r="AA18" s="17">
        <f t="shared" si="10"/>
        <v>1</v>
      </c>
      <c r="AB18" s="17">
        <f t="shared" si="10"/>
        <v>0</v>
      </c>
      <c r="AC18" s="17">
        <f t="shared" si="10"/>
        <v>309</v>
      </c>
      <c r="AD18" s="17">
        <f t="shared" si="10"/>
        <v>0</v>
      </c>
      <c r="AE18" s="31">
        <f t="shared" si="10"/>
        <v>44</v>
      </c>
      <c r="AF18" s="31">
        <f t="shared" si="10"/>
        <v>353</v>
      </c>
    </row>
    <row r="19" spans="2:32" ht="23.1" customHeight="1" x14ac:dyDescent="0.25">
      <c r="B19" s="45" t="s">
        <v>46</v>
      </c>
      <c r="C19" s="50">
        <v>1</v>
      </c>
      <c r="D19" s="50">
        <v>0</v>
      </c>
      <c r="E19" s="50">
        <v>0</v>
      </c>
      <c r="F19" s="50">
        <v>3</v>
      </c>
      <c r="G19" s="50">
        <v>0</v>
      </c>
      <c r="H19" s="50">
        <v>0</v>
      </c>
      <c r="I19" s="50">
        <v>0</v>
      </c>
      <c r="J19" s="50">
        <v>1</v>
      </c>
      <c r="K19" s="50">
        <v>0</v>
      </c>
      <c r="L19" s="50">
        <v>0</v>
      </c>
      <c r="M19" s="50">
        <v>57</v>
      </c>
      <c r="N19" s="50">
        <v>0</v>
      </c>
      <c r="O19" s="15">
        <f t="shared" si="0"/>
        <v>5</v>
      </c>
      <c r="P19" s="15">
        <f t="shared" si="1"/>
        <v>62</v>
      </c>
      <c r="R19" s="1" t="s">
        <v>15</v>
      </c>
      <c r="S19" s="17">
        <f t="shared" ref="S19:AF19" si="11">SUM(C46:C49)</f>
        <v>19</v>
      </c>
      <c r="T19" s="17">
        <f t="shared" si="11"/>
        <v>3</v>
      </c>
      <c r="U19" s="17">
        <f t="shared" si="11"/>
        <v>5</v>
      </c>
      <c r="V19" s="17">
        <f t="shared" si="11"/>
        <v>10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4</v>
      </c>
      <c r="AA19" s="17">
        <f t="shared" si="11"/>
        <v>3</v>
      </c>
      <c r="AB19" s="17">
        <f t="shared" si="11"/>
        <v>1</v>
      </c>
      <c r="AC19" s="17">
        <f t="shared" si="11"/>
        <v>304</v>
      </c>
      <c r="AD19" s="17">
        <f t="shared" si="11"/>
        <v>0</v>
      </c>
      <c r="AE19" s="31">
        <f t="shared" si="11"/>
        <v>51</v>
      </c>
      <c r="AF19" s="31">
        <f t="shared" si="11"/>
        <v>355</v>
      </c>
    </row>
    <row r="20" spans="2:32" ht="23.1" customHeight="1" x14ac:dyDescent="0.25">
      <c r="B20" s="45" t="s">
        <v>47</v>
      </c>
      <c r="C20" s="50">
        <v>2</v>
      </c>
      <c r="D20" s="50">
        <v>0</v>
      </c>
      <c r="E20" s="50">
        <v>0</v>
      </c>
      <c r="F20" s="50">
        <v>2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75</v>
      </c>
      <c r="N20" s="50">
        <v>0</v>
      </c>
      <c r="O20" s="15">
        <f t="shared" si="0"/>
        <v>5</v>
      </c>
      <c r="P20" s="15">
        <f t="shared" si="1"/>
        <v>80</v>
      </c>
      <c r="R20" s="1" t="s">
        <v>16</v>
      </c>
      <c r="S20" s="17">
        <f t="shared" ref="S20:AF20" si="12">SUM(C50:C53)</f>
        <v>14</v>
      </c>
      <c r="T20" s="17">
        <f t="shared" si="12"/>
        <v>26</v>
      </c>
      <c r="U20" s="17">
        <f t="shared" si="12"/>
        <v>10</v>
      </c>
      <c r="V20" s="17">
        <f t="shared" si="12"/>
        <v>23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316</v>
      </c>
      <c r="AD20" s="17">
        <f t="shared" si="12"/>
        <v>0</v>
      </c>
      <c r="AE20" s="31">
        <f t="shared" si="12"/>
        <v>82</v>
      </c>
      <c r="AF20" s="31">
        <f t="shared" si="12"/>
        <v>398</v>
      </c>
    </row>
    <row r="21" spans="2:32" ht="23.1" customHeight="1" x14ac:dyDescent="0.25">
      <c r="B21" s="45" t="s">
        <v>48</v>
      </c>
      <c r="C21" s="50">
        <v>0</v>
      </c>
      <c r="D21" s="50">
        <v>0</v>
      </c>
      <c r="E21" s="50">
        <v>1</v>
      </c>
      <c r="F21" s="50">
        <v>2</v>
      </c>
      <c r="G21" s="50">
        <v>1</v>
      </c>
      <c r="H21" s="50">
        <v>0</v>
      </c>
      <c r="I21" s="50">
        <v>2</v>
      </c>
      <c r="J21" s="50">
        <v>0</v>
      </c>
      <c r="K21" s="50">
        <v>0</v>
      </c>
      <c r="L21" s="50">
        <v>0</v>
      </c>
      <c r="M21" s="50">
        <v>56</v>
      </c>
      <c r="N21" s="50">
        <v>0</v>
      </c>
      <c r="O21" s="15">
        <f t="shared" si="0"/>
        <v>6</v>
      </c>
      <c r="P21" s="15">
        <f t="shared" si="1"/>
        <v>62</v>
      </c>
      <c r="R21" s="36" t="s">
        <v>20</v>
      </c>
      <c r="S21" s="34">
        <f t="shared" ref="S21:AF21" si="13">SUM(C54:C57)</f>
        <v>11</v>
      </c>
      <c r="T21" s="17">
        <f t="shared" si="13"/>
        <v>8</v>
      </c>
      <c r="U21" s="17">
        <f t="shared" si="13"/>
        <v>9</v>
      </c>
      <c r="V21" s="17">
        <f t="shared" si="13"/>
        <v>10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7</v>
      </c>
      <c r="AA21" s="17">
        <f t="shared" si="13"/>
        <v>2</v>
      </c>
      <c r="AB21" s="17">
        <f t="shared" si="13"/>
        <v>0</v>
      </c>
      <c r="AC21" s="17">
        <f t="shared" si="13"/>
        <v>283</v>
      </c>
      <c r="AD21" s="17">
        <f t="shared" si="13"/>
        <v>0</v>
      </c>
      <c r="AE21" s="31">
        <f t="shared" si="13"/>
        <v>52</v>
      </c>
      <c r="AF21" s="31">
        <f t="shared" si="13"/>
        <v>335</v>
      </c>
    </row>
    <row r="22" spans="2:32" ht="23.1" customHeight="1" x14ac:dyDescent="0.25">
      <c r="B22" s="45" t="s">
        <v>49</v>
      </c>
      <c r="C22" s="50">
        <v>3</v>
      </c>
      <c r="D22" s="50">
        <v>0</v>
      </c>
      <c r="E22" s="50">
        <v>1</v>
      </c>
      <c r="F22" s="50">
        <v>0</v>
      </c>
      <c r="G22" s="50">
        <v>0</v>
      </c>
      <c r="H22" s="50">
        <v>0</v>
      </c>
      <c r="I22" s="50">
        <v>0</v>
      </c>
      <c r="J22" s="50">
        <v>1</v>
      </c>
      <c r="K22" s="50">
        <v>0</v>
      </c>
      <c r="L22" s="50">
        <v>0</v>
      </c>
      <c r="M22" s="50">
        <v>78</v>
      </c>
      <c r="N22" s="50">
        <v>0</v>
      </c>
      <c r="O22" s="15">
        <f t="shared" si="0"/>
        <v>5</v>
      </c>
      <c r="P22" s="15">
        <f t="shared" si="1"/>
        <v>83</v>
      </c>
      <c r="R22" s="36" t="s">
        <v>146</v>
      </c>
      <c r="S22" s="34">
        <f>SUM(C58:C61)</f>
        <v>11</v>
      </c>
      <c r="T22" s="34">
        <f t="shared" ref="T22:AF22" si="14">SUM(D58:D61)</f>
        <v>5</v>
      </c>
      <c r="U22" s="34">
        <f t="shared" si="14"/>
        <v>7</v>
      </c>
      <c r="V22" s="34">
        <f t="shared" si="14"/>
        <v>27</v>
      </c>
      <c r="W22" s="34">
        <f t="shared" si="14"/>
        <v>0</v>
      </c>
      <c r="X22" s="34">
        <f t="shared" si="14"/>
        <v>0</v>
      </c>
      <c r="Y22" s="34">
        <f t="shared" si="14"/>
        <v>6</v>
      </c>
      <c r="Z22" s="34">
        <f t="shared" si="14"/>
        <v>9</v>
      </c>
      <c r="AA22" s="34">
        <f t="shared" si="14"/>
        <v>1</v>
      </c>
      <c r="AB22" s="34">
        <f t="shared" si="14"/>
        <v>0</v>
      </c>
      <c r="AC22" s="34">
        <f t="shared" si="14"/>
        <v>276</v>
      </c>
      <c r="AD22" s="34">
        <f t="shared" si="14"/>
        <v>0</v>
      </c>
      <c r="AE22" s="31">
        <f t="shared" si="14"/>
        <v>66</v>
      </c>
      <c r="AF22" s="31">
        <f t="shared" si="14"/>
        <v>342</v>
      </c>
    </row>
    <row r="23" spans="2:32" ht="23.1" customHeight="1" x14ac:dyDescent="0.25">
      <c r="B23" s="45" t="s">
        <v>50</v>
      </c>
      <c r="C23" s="50">
        <v>2</v>
      </c>
      <c r="D23" s="50">
        <v>2</v>
      </c>
      <c r="E23" s="50">
        <v>2</v>
      </c>
      <c r="F23" s="50">
        <v>3</v>
      </c>
      <c r="G23" s="50">
        <v>1</v>
      </c>
      <c r="H23" s="50">
        <v>0</v>
      </c>
      <c r="I23" s="50">
        <v>1</v>
      </c>
      <c r="J23" s="50">
        <v>0</v>
      </c>
      <c r="K23" s="50">
        <v>0</v>
      </c>
      <c r="L23" s="50">
        <v>0</v>
      </c>
      <c r="M23" s="50">
        <v>70</v>
      </c>
      <c r="N23" s="50">
        <v>0</v>
      </c>
      <c r="O23" s="15">
        <f t="shared" si="0"/>
        <v>11</v>
      </c>
      <c r="P23" s="15">
        <f t="shared" si="1"/>
        <v>81</v>
      </c>
      <c r="R23" s="36" t="s">
        <v>147</v>
      </c>
      <c r="S23" s="34">
        <f>SUM(C62:C65)</f>
        <v>13</v>
      </c>
      <c r="T23" s="34">
        <f t="shared" ref="T23:AF23" si="15">SUM(D62:D65)</f>
        <v>3</v>
      </c>
      <c r="U23" s="34">
        <f t="shared" si="15"/>
        <v>6</v>
      </c>
      <c r="V23" s="34">
        <f t="shared" si="15"/>
        <v>13</v>
      </c>
      <c r="W23" s="34">
        <f t="shared" si="15"/>
        <v>0</v>
      </c>
      <c r="X23" s="34">
        <f t="shared" si="15"/>
        <v>0</v>
      </c>
      <c r="Y23" s="34">
        <f t="shared" si="15"/>
        <v>7</v>
      </c>
      <c r="Z23" s="34">
        <f t="shared" si="15"/>
        <v>8</v>
      </c>
      <c r="AA23" s="34">
        <f t="shared" si="15"/>
        <v>0</v>
      </c>
      <c r="AB23" s="34">
        <f t="shared" si="15"/>
        <v>0</v>
      </c>
      <c r="AC23" s="34">
        <f t="shared" si="15"/>
        <v>233</v>
      </c>
      <c r="AD23" s="34">
        <f t="shared" si="15"/>
        <v>0</v>
      </c>
      <c r="AE23" s="31">
        <f t="shared" si="15"/>
        <v>50</v>
      </c>
      <c r="AF23" s="31">
        <f t="shared" si="15"/>
        <v>283</v>
      </c>
    </row>
    <row r="24" spans="2:32" ht="23.1" customHeight="1" x14ac:dyDescent="0.25">
      <c r="B24" s="45" t="s">
        <v>51</v>
      </c>
      <c r="C24" s="50">
        <v>5</v>
      </c>
      <c r="D24" s="50">
        <v>0</v>
      </c>
      <c r="E24" s="50">
        <v>1</v>
      </c>
      <c r="F24" s="50">
        <v>2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96</v>
      </c>
      <c r="N24" s="50">
        <v>0</v>
      </c>
      <c r="O24" s="15">
        <f t="shared" si="0"/>
        <v>11</v>
      </c>
      <c r="P24" s="15">
        <f t="shared" si="1"/>
        <v>107</v>
      </c>
      <c r="R24" s="36" t="s">
        <v>148</v>
      </c>
      <c r="S24" s="34">
        <f>SUM(C66:C69)</f>
        <v>8</v>
      </c>
      <c r="T24" s="34">
        <f t="shared" ref="T24:AF24" si="16">SUM(D66:D69)</f>
        <v>3</v>
      </c>
      <c r="U24" s="34">
        <f t="shared" si="16"/>
        <v>4</v>
      </c>
      <c r="V24" s="34">
        <f t="shared" si="16"/>
        <v>9</v>
      </c>
      <c r="W24" s="34">
        <f t="shared" si="16"/>
        <v>0</v>
      </c>
      <c r="X24" s="34">
        <f t="shared" si="16"/>
        <v>0</v>
      </c>
      <c r="Y24" s="34">
        <f t="shared" si="16"/>
        <v>6</v>
      </c>
      <c r="Z24" s="34">
        <f t="shared" si="16"/>
        <v>3</v>
      </c>
      <c r="AA24" s="34">
        <f t="shared" si="16"/>
        <v>1</v>
      </c>
      <c r="AB24" s="34">
        <f t="shared" si="16"/>
        <v>1</v>
      </c>
      <c r="AC24" s="34">
        <f t="shared" si="16"/>
        <v>204</v>
      </c>
      <c r="AD24" s="34">
        <f t="shared" si="16"/>
        <v>1</v>
      </c>
      <c r="AE24" s="31">
        <f t="shared" si="16"/>
        <v>36</v>
      </c>
      <c r="AF24" s="31">
        <f t="shared" si="16"/>
        <v>240</v>
      </c>
    </row>
    <row r="25" spans="2:32" ht="23.1" customHeight="1" x14ac:dyDescent="0.25">
      <c r="B25" s="45" t="s">
        <v>52</v>
      </c>
      <c r="C25" s="50">
        <v>2</v>
      </c>
      <c r="D25" s="50">
        <v>0</v>
      </c>
      <c r="E25" s="50">
        <v>0</v>
      </c>
      <c r="F25" s="50">
        <v>2</v>
      </c>
      <c r="G25" s="50">
        <v>0</v>
      </c>
      <c r="H25" s="50">
        <v>0</v>
      </c>
      <c r="I25" s="50">
        <v>1</v>
      </c>
      <c r="J25" s="50">
        <v>0</v>
      </c>
      <c r="K25" s="50">
        <v>0</v>
      </c>
      <c r="L25" s="50">
        <v>0</v>
      </c>
      <c r="M25" s="50">
        <v>80</v>
      </c>
      <c r="N25" s="50">
        <v>0</v>
      </c>
      <c r="O25" s="15">
        <f t="shared" si="0"/>
        <v>5</v>
      </c>
      <c r="P25" s="15">
        <f t="shared" si="1"/>
        <v>85</v>
      </c>
      <c r="R25" s="36" t="s">
        <v>149</v>
      </c>
      <c r="S25" s="34">
        <f>SUM(C70:C73)</f>
        <v>3</v>
      </c>
      <c r="T25" s="34">
        <f t="shared" ref="T25:AF25" si="17">SUM(D70:D73)</f>
        <v>3</v>
      </c>
      <c r="U25" s="34">
        <f t="shared" si="17"/>
        <v>5</v>
      </c>
      <c r="V25" s="34">
        <f t="shared" si="17"/>
        <v>3</v>
      </c>
      <c r="W25" s="34">
        <f t="shared" si="17"/>
        <v>1</v>
      </c>
      <c r="X25" s="34">
        <f t="shared" si="17"/>
        <v>0</v>
      </c>
      <c r="Y25" s="34">
        <f t="shared" si="17"/>
        <v>2</v>
      </c>
      <c r="Z25" s="34">
        <f t="shared" si="17"/>
        <v>7</v>
      </c>
      <c r="AA25" s="34">
        <f t="shared" si="17"/>
        <v>2</v>
      </c>
      <c r="AB25" s="34">
        <f t="shared" si="17"/>
        <v>0</v>
      </c>
      <c r="AC25" s="34">
        <f t="shared" si="17"/>
        <v>161</v>
      </c>
      <c r="AD25" s="34">
        <f t="shared" si="17"/>
        <v>0</v>
      </c>
      <c r="AE25" s="31">
        <f t="shared" si="17"/>
        <v>26</v>
      </c>
      <c r="AF25" s="31">
        <f t="shared" si="17"/>
        <v>187</v>
      </c>
    </row>
    <row r="26" spans="2:32" ht="23.1" customHeight="1" x14ac:dyDescent="0.25">
      <c r="B26" s="45" t="s">
        <v>53</v>
      </c>
      <c r="C26" s="50">
        <v>3</v>
      </c>
      <c r="D26" s="50">
        <v>0</v>
      </c>
      <c r="E26" s="50">
        <v>0</v>
      </c>
      <c r="F26" s="50">
        <v>3</v>
      </c>
      <c r="G26" s="50">
        <v>0</v>
      </c>
      <c r="H26" s="50">
        <v>0</v>
      </c>
      <c r="I26" s="50">
        <v>2</v>
      </c>
      <c r="J26" s="50">
        <v>1</v>
      </c>
      <c r="K26" s="50">
        <v>0</v>
      </c>
      <c r="L26" s="50">
        <v>0</v>
      </c>
      <c r="M26" s="50">
        <v>90</v>
      </c>
      <c r="N26" s="50">
        <v>0</v>
      </c>
      <c r="O26" s="15">
        <f t="shared" si="0"/>
        <v>9</v>
      </c>
      <c r="P26" s="15">
        <f t="shared" si="1"/>
        <v>99</v>
      </c>
      <c r="R26" s="36" t="s">
        <v>150</v>
      </c>
      <c r="S26" s="34">
        <f>SUM(C74:C77)</f>
        <v>3</v>
      </c>
      <c r="T26" s="34">
        <f t="shared" ref="T26:AF26" si="18">SUM(D74:D77)</f>
        <v>1</v>
      </c>
      <c r="U26" s="34">
        <f t="shared" si="18"/>
        <v>3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4</v>
      </c>
      <c r="Z26" s="34">
        <f t="shared" si="18"/>
        <v>2</v>
      </c>
      <c r="AA26" s="34">
        <f t="shared" si="18"/>
        <v>0</v>
      </c>
      <c r="AB26" s="34">
        <f t="shared" si="18"/>
        <v>1</v>
      </c>
      <c r="AC26" s="34">
        <f t="shared" si="18"/>
        <v>140</v>
      </c>
      <c r="AD26" s="34">
        <f t="shared" si="18"/>
        <v>0</v>
      </c>
      <c r="AE26" s="31">
        <f t="shared" si="18"/>
        <v>15</v>
      </c>
      <c r="AF26" s="31">
        <f t="shared" si="18"/>
        <v>155</v>
      </c>
    </row>
    <row r="27" spans="2:32" ht="23.1" customHeight="1" x14ac:dyDescent="0.25">
      <c r="B27" s="45" t="s">
        <v>54</v>
      </c>
      <c r="C27" s="50">
        <v>10</v>
      </c>
      <c r="D27" s="50">
        <v>0</v>
      </c>
      <c r="E27" s="50">
        <v>1</v>
      </c>
      <c r="F27" s="50">
        <v>5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80</v>
      </c>
      <c r="N27" s="50">
        <v>1</v>
      </c>
      <c r="O27" s="15">
        <f t="shared" si="0"/>
        <v>18</v>
      </c>
      <c r="P27" s="15">
        <f t="shared" si="1"/>
        <v>98</v>
      </c>
      <c r="R27" s="36" t="s">
        <v>151</v>
      </c>
      <c r="S27" s="34">
        <f>SUM(C78:C81)</f>
        <v>3</v>
      </c>
      <c r="T27" s="34">
        <f t="shared" ref="T27:AF27" si="19">SUM(D78:D81)</f>
        <v>1</v>
      </c>
      <c r="U27" s="34">
        <f t="shared" si="19"/>
        <v>1</v>
      </c>
      <c r="V27" s="34">
        <f t="shared" si="19"/>
        <v>0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0</v>
      </c>
      <c r="AB27" s="34">
        <f t="shared" si="19"/>
        <v>0</v>
      </c>
      <c r="AC27" s="34">
        <f t="shared" si="19"/>
        <v>87</v>
      </c>
      <c r="AD27" s="34">
        <f t="shared" si="19"/>
        <v>0</v>
      </c>
      <c r="AE27" s="31">
        <f t="shared" si="19"/>
        <v>8</v>
      </c>
      <c r="AF27" s="31">
        <f t="shared" si="19"/>
        <v>95</v>
      </c>
    </row>
    <row r="28" spans="2:32" ht="23.1" customHeight="1" x14ac:dyDescent="0.25">
      <c r="B28" s="45" t="s">
        <v>55</v>
      </c>
      <c r="C28" s="50">
        <v>10</v>
      </c>
      <c r="D28" s="50">
        <v>1</v>
      </c>
      <c r="E28" s="50">
        <v>3</v>
      </c>
      <c r="F28" s="50">
        <v>5</v>
      </c>
      <c r="G28" s="50">
        <v>0</v>
      </c>
      <c r="H28" s="50">
        <v>0</v>
      </c>
      <c r="I28" s="50">
        <v>0</v>
      </c>
      <c r="J28" s="50">
        <v>3</v>
      </c>
      <c r="K28" s="50">
        <v>0</v>
      </c>
      <c r="L28" s="50">
        <v>0</v>
      </c>
      <c r="M28" s="50">
        <v>89</v>
      </c>
      <c r="N28" s="50">
        <v>0</v>
      </c>
      <c r="O28" s="15">
        <f t="shared" si="0"/>
        <v>22</v>
      </c>
      <c r="P28" s="15">
        <f t="shared" si="1"/>
        <v>111</v>
      </c>
      <c r="R28" s="36" t="s">
        <v>152</v>
      </c>
      <c r="S28" s="34">
        <f>SUM(C82:C85)</f>
        <v>1</v>
      </c>
      <c r="T28" s="34">
        <f t="shared" ref="T28:AF28" si="20">SUM(D82:D85)</f>
        <v>2</v>
      </c>
      <c r="U28" s="34">
        <f t="shared" si="20"/>
        <v>0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1</v>
      </c>
      <c r="Z28" s="34">
        <f t="shared" si="20"/>
        <v>3</v>
      </c>
      <c r="AA28" s="34">
        <f t="shared" si="20"/>
        <v>0</v>
      </c>
      <c r="AB28" s="34">
        <f t="shared" si="20"/>
        <v>0</v>
      </c>
      <c r="AC28" s="34">
        <f t="shared" si="20"/>
        <v>11</v>
      </c>
      <c r="AD28" s="34">
        <f t="shared" si="20"/>
        <v>0</v>
      </c>
      <c r="AE28" s="31">
        <f t="shared" si="20"/>
        <v>7</v>
      </c>
      <c r="AF28" s="31">
        <f t="shared" si="20"/>
        <v>18</v>
      </c>
    </row>
    <row r="29" spans="2:32" ht="23.1" customHeight="1" x14ac:dyDescent="0.25">
      <c r="B29" s="45" t="s">
        <v>56</v>
      </c>
      <c r="C29" s="50">
        <v>8</v>
      </c>
      <c r="D29" s="50">
        <v>0</v>
      </c>
      <c r="E29" s="50">
        <v>0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75</v>
      </c>
      <c r="N29" s="50">
        <v>0</v>
      </c>
      <c r="O29" s="15">
        <f t="shared" si="0"/>
        <v>11</v>
      </c>
      <c r="P29" s="15">
        <f t="shared" si="1"/>
        <v>86</v>
      </c>
      <c r="R29" s="36" t="s">
        <v>153</v>
      </c>
      <c r="S29" s="34">
        <f>SUM(C86:C89)</f>
        <v>1</v>
      </c>
      <c r="T29" s="34">
        <f t="shared" ref="T29:AF29" si="21">SUM(D86:D89)</f>
        <v>0</v>
      </c>
      <c r="U29" s="34">
        <f t="shared" si="21"/>
        <v>1</v>
      </c>
      <c r="V29" s="34">
        <f t="shared" si="21"/>
        <v>0</v>
      </c>
      <c r="W29" s="34">
        <f t="shared" si="21"/>
        <v>0</v>
      </c>
      <c r="X29" s="34">
        <f t="shared" si="21"/>
        <v>0</v>
      </c>
      <c r="Y29" s="34">
        <f t="shared" si="21"/>
        <v>0</v>
      </c>
      <c r="Z29" s="34">
        <f t="shared" si="21"/>
        <v>0</v>
      </c>
      <c r="AA29" s="34">
        <f t="shared" si="21"/>
        <v>0</v>
      </c>
      <c r="AB29" s="34">
        <f t="shared" si="21"/>
        <v>11</v>
      </c>
      <c r="AC29" s="34">
        <f t="shared" si="21"/>
        <v>0</v>
      </c>
      <c r="AD29" s="34">
        <f t="shared" si="21"/>
        <v>0</v>
      </c>
      <c r="AE29" s="31">
        <f t="shared" si="21"/>
        <v>13</v>
      </c>
      <c r="AF29" s="31">
        <f t="shared" si="21"/>
        <v>13</v>
      </c>
    </row>
    <row r="30" spans="2:32" ht="23.1" customHeight="1" x14ac:dyDescent="0.25">
      <c r="B30" s="45" t="s">
        <v>57</v>
      </c>
      <c r="C30" s="50">
        <v>1</v>
      </c>
      <c r="D30" s="50">
        <v>1</v>
      </c>
      <c r="E30" s="50">
        <v>0</v>
      </c>
      <c r="F30" s="50">
        <v>2</v>
      </c>
      <c r="G30" s="50">
        <v>0</v>
      </c>
      <c r="H30" s="50">
        <v>0</v>
      </c>
      <c r="I30" s="50">
        <v>0</v>
      </c>
      <c r="J30" s="50">
        <v>0</v>
      </c>
      <c r="K30" s="50">
        <v>1</v>
      </c>
      <c r="L30" s="50">
        <v>0</v>
      </c>
      <c r="M30" s="50">
        <v>90</v>
      </c>
      <c r="N30" s="50">
        <v>0</v>
      </c>
      <c r="O30" s="15">
        <f t="shared" si="0"/>
        <v>5</v>
      </c>
      <c r="P30" s="15">
        <f t="shared" si="1"/>
        <v>95</v>
      </c>
      <c r="R30" s="36" t="s">
        <v>154</v>
      </c>
      <c r="S30" s="34">
        <f>SUM(C90:C93)</f>
        <v>1</v>
      </c>
      <c r="T30" s="34">
        <f t="shared" ref="T30:AF30" si="22">SUM(D90:D93)</f>
        <v>2</v>
      </c>
      <c r="U30" s="34">
        <f t="shared" si="22"/>
        <v>2</v>
      </c>
      <c r="V30" s="34">
        <f t="shared" si="22"/>
        <v>1</v>
      </c>
      <c r="W30" s="34">
        <f t="shared" si="22"/>
        <v>0</v>
      </c>
      <c r="X30" s="34">
        <f t="shared" si="22"/>
        <v>0</v>
      </c>
      <c r="Y30" s="34">
        <f t="shared" si="22"/>
        <v>0</v>
      </c>
      <c r="Z30" s="34">
        <f t="shared" si="22"/>
        <v>3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9</v>
      </c>
      <c r="AF30" s="31">
        <f t="shared" si="22"/>
        <v>12</v>
      </c>
    </row>
    <row r="31" spans="2:32" ht="23.1" customHeight="1" x14ac:dyDescent="0.25">
      <c r="B31" s="46" t="s">
        <v>58</v>
      </c>
      <c r="C31" s="50">
        <v>3</v>
      </c>
      <c r="D31" s="50">
        <v>0</v>
      </c>
      <c r="E31" s="50">
        <v>3</v>
      </c>
      <c r="F31" s="50">
        <v>1</v>
      </c>
      <c r="G31" s="50">
        <v>0</v>
      </c>
      <c r="H31" s="50">
        <v>0</v>
      </c>
      <c r="I31" s="50">
        <v>2</v>
      </c>
      <c r="J31" s="50">
        <v>1</v>
      </c>
      <c r="K31" s="50">
        <v>0</v>
      </c>
      <c r="L31" s="50">
        <v>0</v>
      </c>
      <c r="M31" s="50">
        <v>80</v>
      </c>
      <c r="N31" s="50">
        <v>0</v>
      </c>
      <c r="O31" s="15">
        <f t="shared" si="0"/>
        <v>10</v>
      </c>
      <c r="P31" s="15">
        <f t="shared" si="1"/>
        <v>90</v>
      </c>
      <c r="R31" s="36" t="s">
        <v>155</v>
      </c>
      <c r="S31" s="34">
        <f>SUM(C94:C97)</f>
        <v>0</v>
      </c>
      <c r="T31" s="34">
        <f t="shared" ref="T31:AF31" si="23">SUM(D94:D97)</f>
        <v>0</v>
      </c>
      <c r="U31" s="34">
        <f t="shared" si="23"/>
        <v>3</v>
      </c>
      <c r="V31" s="34">
        <f t="shared" si="23"/>
        <v>1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2</v>
      </c>
      <c r="AA31" s="34">
        <f t="shared" si="23"/>
        <v>1</v>
      </c>
      <c r="AB31" s="34">
        <f t="shared" si="23"/>
        <v>1</v>
      </c>
      <c r="AC31" s="34">
        <f t="shared" si="23"/>
        <v>1</v>
      </c>
      <c r="AD31" s="34">
        <f t="shared" si="23"/>
        <v>0</v>
      </c>
      <c r="AE31" s="31">
        <f t="shared" si="23"/>
        <v>10</v>
      </c>
      <c r="AF31" s="31">
        <f t="shared" si="23"/>
        <v>11</v>
      </c>
    </row>
    <row r="32" spans="2:32" ht="23.1" customHeight="1" x14ac:dyDescent="0.25">
      <c r="B32" s="46" t="s">
        <v>59</v>
      </c>
      <c r="C32" s="50">
        <v>5</v>
      </c>
      <c r="D32" s="50">
        <v>2</v>
      </c>
      <c r="E32" s="50">
        <v>1</v>
      </c>
      <c r="F32" s="50">
        <v>4</v>
      </c>
      <c r="G32" s="50">
        <v>0</v>
      </c>
      <c r="H32" s="50">
        <v>0</v>
      </c>
      <c r="I32" s="50">
        <v>3</v>
      </c>
      <c r="J32" s="50">
        <v>2</v>
      </c>
      <c r="K32" s="50">
        <v>0</v>
      </c>
      <c r="L32" s="50">
        <v>0</v>
      </c>
      <c r="M32" s="50">
        <v>73</v>
      </c>
      <c r="N32" s="50">
        <v>0</v>
      </c>
      <c r="O32" s="15">
        <f t="shared" si="0"/>
        <v>17</v>
      </c>
      <c r="P32" s="15">
        <f t="shared" si="1"/>
        <v>90</v>
      </c>
      <c r="R32" s="33" t="s">
        <v>156</v>
      </c>
      <c r="S32" s="34">
        <f>SUM(C98:C101)</f>
        <v>5</v>
      </c>
      <c r="T32" s="34">
        <f t="shared" ref="T32:AF32" si="24">SUM(D98:D101)</f>
        <v>3</v>
      </c>
      <c r="U32" s="34">
        <f t="shared" si="24"/>
        <v>4</v>
      </c>
      <c r="V32" s="34">
        <f t="shared" si="24"/>
        <v>7</v>
      </c>
      <c r="W32" s="34">
        <f t="shared" si="24"/>
        <v>1</v>
      </c>
      <c r="X32" s="34">
        <f t="shared" si="24"/>
        <v>0</v>
      </c>
      <c r="Y32" s="34">
        <f t="shared" si="24"/>
        <v>3</v>
      </c>
      <c r="Z32" s="34">
        <f t="shared" si="24"/>
        <v>3</v>
      </c>
      <c r="AA32" s="34">
        <f t="shared" si="24"/>
        <v>2</v>
      </c>
      <c r="AB32" s="34">
        <f t="shared" si="24"/>
        <v>0</v>
      </c>
      <c r="AC32" s="34">
        <f t="shared" si="24"/>
        <v>3</v>
      </c>
      <c r="AD32" s="34">
        <f t="shared" si="24"/>
        <v>0</v>
      </c>
      <c r="AE32" s="31">
        <f t="shared" si="24"/>
        <v>28</v>
      </c>
      <c r="AF32" s="31">
        <f t="shared" si="24"/>
        <v>31</v>
      </c>
    </row>
    <row r="33" spans="2:32" ht="23.1" customHeight="1" x14ac:dyDescent="0.25">
      <c r="B33" s="45" t="s">
        <v>60</v>
      </c>
      <c r="C33" s="50">
        <v>4</v>
      </c>
      <c r="D33" s="50">
        <v>0</v>
      </c>
      <c r="E33" s="50">
        <v>2</v>
      </c>
      <c r="F33" s="50">
        <v>3</v>
      </c>
      <c r="G33" s="50">
        <v>0</v>
      </c>
      <c r="H33" s="50">
        <v>0</v>
      </c>
      <c r="I33" s="50">
        <v>2</v>
      </c>
      <c r="J33" s="50">
        <v>2</v>
      </c>
      <c r="K33" s="50">
        <v>0</v>
      </c>
      <c r="L33" s="50">
        <v>0</v>
      </c>
      <c r="M33" s="50">
        <v>81</v>
      </c>
      <c r="N33" s="50">
        <v>0</v>
      </c>
      <c r="O33" s="15">
        <f t="shared" si="0"/>
        <v>13</v>
      </c>
      <c r="P33" s="15">
        <f t="shared" si="1"/>
        <v>94</v>
      </c>
      <c r="R33" s="33" t="s">
        <v>157</v>
      </c>
      <c r="S33" s="34">
        <f>SUM(C102:C105)</f>
        <v>6</v>
      </c>
      <c r="T33" s="34">
        <f t="shared" ref="T33:AF33" si="25">SUM(D102:D105)</f>
        <v>6</v>
      </c>
      <c r="U33" s="34">
        <f t="shared" si="25"/>
        <v>7</v>
      </c>
      <c r="V33" s="34">
        <f t="shared" si="25"/>
        <v>23</v>
      </c>
      <c r="W33" s="34">
        <f t="shared" si="25"/>
        <v>0</v>
      </c>
      <c r="X33" s="34">
        <f t="shared" si="25"/>
        <v>0</v>
      </c>
      <c r="Y33" s="34">
        <f t="shared" si="25"/>
        <v>6</v>
      </c>
      <c r="Z33" s="34">
        <f t="shared" si="25"/>
        <v>2</v>
      </c>
      <c r="AA33" s="34">
        <f t="shared" si="25"/>
        <v>0</v>
      </c>
      <c r="AB33" s="34">
        <f t="shared" si="25"/>
        <v>0</v>
      </c>
      <c r="AC33" s="34">
        <f t="shared" si="25"/>
        <v>75</v>
      </c>
      <c r="AD33" s="34">
        <f t="shared" si="25"/>
        <v>0</v>
      </c>
      <c r="AE33" s="31">
        <f t="shared" si="25"/>
        <v>50</v>
      </c>
      <c r="AF33" s="31">
        <f t="shared" si="25"/>
        <v>125</v>
      </c>
    </row>
    <row r="34" spans="2:32" ht="23.1" customHeight="1" x14ac:dyDescent="0.25">
      <c r="B34" s="46" t="s">
        <v>61</v>
      </c>
      <c r="C34" s="50">
        <v>3</v>
      </c>
      <c r="D34" s="50">
        <v>5</v>
      </c>
      <c r="E34" s="50">
        <v>3</v>
      </c>
      <c r="F34" s="50">
        <v>4</v>
      </c>
      <c r="G34" s="50">
        <v>0</v>
      </c>
      <c r="H34" s="50">
        <v>0</v>
      </c>
      <c r="I34" s="50">
        <v>0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15</v>
      </c>
      <c r="P34" s="15">
        <f t="shared" si="1"/>
        <v>85</v>
      </c>
      <c r="R34" s="38" t="s">
        <v>90</v>
      </c>
      <c r="S34" s="39">
        <f t="shared" ref="S34:AF34" si="26">MAX(S10:S12)</f>
        <v>10</v>
      </c>
      <c r="T34" s="39">
        <f t="shared" si="26"/>
        <v>4</v>
      </c>
      <c r="U34" s="39">
        <f t="shared" si="26"/>
        <v>6</v>
      </c>
      <c r="V34" s="39">
        <f t="shared" si="26"/>
        <v>9</v>
      </c>
      <c r="W34" s="39">
        <f t="shared" si="26"/>
        <v>2</v>
      </c>
      <c r="X34" s="39">
        <f t="shared" si="26"/>
        <v>0</v>
      </c>
      <c r="Y34" s="39">
        <f t="shared" si="26"/>
        <v>3</v>
      </c>
      <c r="Z34" s="39">
        <f t="shared" si="26"/>
        <v>2</v>
      </c>
      <c r="AA34" s="39">
        <f t="shared" si="26"/>
        <v>2</v>
      </c>
      <c r="AB34" s="39">
        <f t="shared" si="26"/>
        <v>0</v>
      </c>
      <c r="AC34" s="39">
        <f t="shared" si="26"/>
        <v>248</v>
      </c>
      <c r="AD34" s="39">
        <f t="shared" si="26"/>
        <v>0</v>
      </c>
      <c r="AE34" s="40">
        <f t="shared" si="26"/>
        <v>30</v>
      </c>
      <c r="AF34" s="40">
        <f t="shared" si="26"/>
        <v>270</v>
      </c>
    </row>
    <row r="35" spans="2:32" ht="23.1" customHeight="1" x14ac:dyDescent="0.25">
      <c r="B35" s="46" t="s">
        <v>62</v>
      </c>
      <c r="C35" s="50">
        <v>9</v>
      </c>
      <c r="D35" s="50">
        <v>3</v>
      </c>
      <c r="E35" s="50">
        <v>1</v>
      </c>
      <c r="F35" s="50">
        <v>6</v>
      </c>
      <c r="G35" s="50">
        <v>0</v>
      </c>
      <c r="H35" s="50">
        <v>0</v>
      </c>
      <c r="I35" s="50">
        <v>0</v>
      </c>
      <c r="J35" s="50">
        <v>1</v>
      </c>
      <c r="K35" s="50">
        <v>0</v>
      </c>
      <c r="L35" s="50">
        <v>0</v>
      </c>
      <c r="M35" s="50">
        <v>75</v>
      </c>
      <c r="N35" s="50">
        <v>0</v>
      </c>
      <c r="O35" s="15">
        <f t="shared" si="0"/>
        <v>20</v>
      </c>
      <c r="P35" s="15">
        <f t="shared" si="1"/>
        <v>95</v>
      </c>
      <c r="R35" s="38" t="s">
        <v>91</v>
      </c>
      <c r="S35" s="39">
        <f t="shared" ref="S35:AF35" si="27">MAX(S13:S18)</f>
        <v>31</v>
      </c>
      <c r="T35" s="39">
        <f t="shared" si="27"/>
        <v>10</v>
      </c>
      <c r="U35" s="39">
        <f t="shared" si="27"/>
        <v>6</v>
      </c>
      <c r="V35" s="39">
        <f t="shared" si="27"/>
        <v>16</v>
      </c>
      <c r="W35" s="39">
        <f t="shared" si="27"/>
        <v>1</v>
      </c>
      <c r="X35" s="39">
        <f t="shared" si="27"/>
        <v>0</v>
      </c>
      <c r="Y35" s="39">
        <f t="shared" si="27"/>
        <v>7</v>
      </c>
      <c r="Z35" s="39">
        <f t="shared" si="27"/>
        <v>6</v>
      </c>
      <c r="AA35" s="39">
        <f t="shared" si="27"/>
        <v>1</v>
      </c>
      <c r="AB35" s="39">
        <f t="shared" si="27"/>
        <v>0</v>
      </c>
      <c r="AC35" s="39">
        <f t="shared" si="27"/>
        <v>348</v>
      </c>
      <c r="AD35" s="39">
        <f t="shared" si="27"/>
        <v>1</v>
      </c>
      <c r="AE35" s="40">
        <f t="shared" si="27"/>
        <v>60</v>
      </c>
      <c r="AF35" s="40">
        <f t="shared" si="27"/>
        <v>394</v>
      </c>
    </row>
    <row r="36" spans="2:32" ht="23.1" customHeight="1" x14ac:dyDescent="0.25">
      <c r="B36" s="46" t="s">
        <v>63</v>
      </c>
      <c r="C36" s="50">
        <v>9</v>
      </c>
      <c r="D36" s="50">
        <v>2</v>
      </c>
      <c r="E36" s="50">
        <v>0</v>
      </c>
      <c r="F36" s="50">
        <v>3</v>
      </c>
      <c r="G36" s="50">
        <v>1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90</v>
      </c>
      <c r="N36" s="50">
        <v>0</v>
      </c>
      <c r="O36" s="15">
        <f t="shared" si="0"/>
        <v>15</v>
      </c>
      <c r="P36" s="15">
        <f t="shared" si="1"/>
        <v>105</v>
      </c>
      <c r="R36" s="38" t="s">
        <v>92</v>
      </c>
      <c r="S36" s="39">
        <f t="shared" ref="S36:AF36" si="28">MAX(S19:S21)</f>
        <v>19</v>
      </c>
      <c r="T36" s="39">
        <f t="shared" si="28"/>
        <v>26</v>
      </c>
      <c r="U36" s="39">
        <f t="shared" si="28"/>
        <v>10</v>
      </c>
      <c r="V36" s="39">
        <f t="shared" si="28"/>
        <v>23</v>
      </c>
      <c r="W36" s="39">
        <f t="shared" si="28"/>
        <v>0</v>
      </c>
      <c r="X36" s="39">
        <f t="shared" si="28"/>
        <v>0</v>
      </c>
      <c r="Y36" s="39">
        <f t="shared" si="28"/>
        <v>6</v>
      </c>
      <c r="Z36" s="39">
        <f t="shared" si="28"/>
        <v>7</v>
      </c>
      <c r="AA36" s="39">
        <f t="shared" si="28"/>
        <v>3</v>
      </c>
      <c r="AB36" s="39">
        <f t="shared" si="28"/>
        <v>1</v>
      </c>
      <c r="AC36" s="39">
        <f t="shared" si="28"/>
        <v>316</v>
      </c>
      <c r="AD36" s="39">
        <f t="shared" si="28"/>
        <v>0</v>
      </c>
      <c r="AE36" s="40">
        <f t="shared" si="28"/>
        <v>82</v>
      </c>
      <c r="AF36" s="40">
        <f t="shared" si="28"/>
        <v>398</v>
      </c>
    </row>
    <row r="37" spans="2:32" ht="23.1" customHeight="1" x14ac:dyDescent="0.25">
      <c r="B37" s="45" t="s">
        <v>64</v>
      </c>
      <c r="C37" s="50">
        <v>2</v>
      </c>
      <c r="D37" s="50">
        <v>0</v>
      </c>
      <c r="E37" s="50">
        <v>0</v>
      </c>
      <c r="F37" s="50">
        <v>3</v>
      </c>
      <c r="G37" s="50">
        <v>0</v>
      </c>
      <c r="H37" s="50">
        <v>0</v>
      </c>
      <c r="I37" s="50">
        <v>2</v>
      </c>
      <c r="J37" s="50">
        <v>0</v>
      </c>
      <c r="K37" s="50">
        <v>0</v>
      </c>
      <c r="L37" s="50">
        <v>0</v>
      </c>
      <c r="M37" s="50">
        <v>76</v>
      </c>
      <c r="N37" s="50">
        <v>0</v>
      </c>
      <c r="O37" s="15">
        <f t="shared" si="0"/>
        <v>7</v>
      </c>
      <c r="P37" s="15">
        <f t="shared" si="1"/>
        <v>83</v>
      </c>
      <c r="R37" s="37" t="s">
        <v>85</v>
      </c>
      <c r="S37" s="35">
        <f t="shared" ref="S37:AF37" si="29">SUM(S10:S12)</f>
        <v>19</v>
      </c>
      <c r="T37" s="16">
        <f t="shared" si="29"/>
        <v>4</v>
      </c>
      <c r="U37" s="16">
        <f t="shared" si="29"/>
        <v>7</v>
      </c>
      <c r="V37" s="16">
        <f t="shared" si="29"/>
        <v>22</v>
      </c>
      <c r="W37" s="16">
        <f t="shared" si="29"/>
        <v>2</v>
      </c>
      <c r="X37" s="16">
        <f t="shared" si="29"/>
        <v>0</v>
      </c>
      <c r="Y37" s="16">
        <f t="shared" si="29"/>
        <v>4</v>
      </c>
      <c r="Z37" s="16">
        <f t="shared" si="29"/>
        <v>4</v>
      </c>
      <c r="AA37" s="16">
        <f t="shared" si="29"/>
        <v>2</v>
      </c>
      <c r="AB37" s="16">
        <f t="shared" si="29"/>
        <v>0</v>
      </c>
      <c r="AC37" s="16">
        <f t="shared" si="29"/>
        <v>654</v>
      </c>
      <c r="AD37" s="16">
        <f t="shared" si="29"/>
        <v>0</v>
      </c>
      <c r="AE37" s="32">
        <f t="shared" si="29"/>
        <v>64</v>
      </c>
      <c r="AF37" s="32">
        <f t="shared" si="29"/>
        <v>718</v>
      </c>
    </row>
    <row r="38" spans="2:32" ht="23.1" customHeight="1" x14ac:dyDescent="0.25">
      <c r="B38" s="46" t="s">
        <v>65</v>
      </c>
      <c r="C38" s="50">
        <v>2</v>
      </c>
      <c r="D38" s="50">
        <v>1</v>
      </c>
      <c r="E38" s="50">
        <v>0</v>
      </c>
      <c r="F38" s="50">
        <v>3</v>
      </c>
      <c r="G38" s="50">
        <v>0</v>
      </c>
      <c r="H38" s="50">
        <v>0</v>
      </c>
      <c r="I38" s="50">
        <v>0</v>
      </c>
      <c r="J38" s="50">
        <v>2</v>
      </c>
      <c r="K38" s="50">
        <v>1</v>
      </c>
      <c r="L38" s="50">
        <v>0</v>
      </c>
      <c r="M38" s="50">
        <v>90</v>
      </c>
      <c r="N38" s="50">
        <v>0</v>
      </c>
      <c r="O38" s="15">
        <f t="shared" si="0"/>
        <v>9</v>
      </c>
      <c r="P38" s="15">
        <f t="shared" si="1"/>
        <v>99</v>
      </c>
      <c r="R38" s="28" t="s">
        <v>86</v>
      </c>
      <c r="S38" s="16">
        <f t="shared" ref="S38:AF38" si="30">SUM(S13:S18)</f>
        <v>113</v>
      </c>
      <c r="T38" s="16">
        <f t="shared" si="30"/>
        <v>22</v>
      </c>
      <c r="U38" s="16">
        <f t="shared" si="30"/>
        <v>21</v>
      </c>
      <c r="V38" s="16">
        <f t="shared" si="30"/>
        <v>76</v>
      </c>
      <c r="W38" s="16">
        <f t="shared" si="30"/>
        <v>2</v>
      </c>
      <c r="X38" s="16">
        <f t="shared" si="30"/>
        <v>0</v>
      </c>
      <c r="Y38" s="16">
        <f t="shared" si="30"/>
        <v>22</v>
      </c>
      <c r="Z38" s="16">
        <f t="shared" si="30"/>
        <v>23</v>
      </c>
      <c r="AA38" s="16">
        <f t="shared" si="30"/>
        <v>3</v>
      </c>
      <c r="AB38" s="16">
        <f t="shared" si="30"/>
        <v>0</v>
      </c>
      <c r="AC38" s="16">
        <f t="shared" si="30"/>
        <v>1950</v>
      </c>
      <c r="AD38" s="16">
        <f t="shared" si="30"/>
        <v>1</v>
      </c>
      <c r="AE38" s="32">
        <f t="shared" si="30"/>
        <v>283</v>
      </c>
      <c r="AF38" s="32">
        <f t="shared" si="30"/>
        <v>2233</v>
      </c>
    </row>
    <row r="39" spans="2:32" ht="23.1" customHeight="1" x14ac:dyDescent="0.25">
      <c r="B39" s="46" t="s">
        <v>66</v>
      </c>
      <c r="C39" s="50">
        <v>4</v>
      </c>
      <c r="D39" s="50">
        <v>0</v>
      </c>
      <c r="E39" s="50">
        <v>1</v>
      </c>
      <c r="F39" s="50">
        <v>4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70</v>
      </c>
      <c r="N39" s="50">
        <v>0</v>
      </c>
      <c r="O39" s="15">
        <f t="shared" si="0"/>
        <v>11</v>
      </c>
      <c r="P39" s="15">
        <f t="shared" si="1"/>
        <v>81</v>
      </c>
      <c r="R39" s="29" t="s">
        <v>87</v>
      </c>
      <c r="S39" s="16">
        <f t="shared" ref="S39:AF39" si="31">SUM(S19:S21)</f>
        <v>44</v>
      </c>
      <c r="T39" s="16">
        <f t="shared" si="31"/>
        <v>37</v>
      </c>
      <c r="U39" s="16">
        <f t="shared" si="31"/>
        <v>24</v>
      </c>
      <c r="V39" s="16">
        <f t="shared" si="31"/>
        <v>43</v>
      </c>
      <c r="W39" s="16">
        <f t="shared" si="31"/>
        <v>0</v>
      </c>
      <c r="X39" s="16">
        <f t="shared" si="31"/>
        <v>0</v>
      </c>
      <c r="Y39" s="16">
        <f t="shared" si="31"/>
        <v>16</v>
      </c>
      <c r="Z39" s="16">
        <f t="shared" si="31"/>
        <v>14</v>
      </c>
      <c r="AA39" s="16">
        <f t="shared" si="31"/>
        <v>6</v>
      </c>
      <c r="AB39" s="16">
        <f t="shared" si="31"/>
        <v>1</v>
      </c>
      <c r="AC39" s="16">
        <f t="shared" si="31"/>
        <v>903</v>
      </c>
      <c r="AD39" s="16">
        <f t="shared" si="31"/>
        <v>0</v>
      </c>
      <c r="AE39" s="32">
        <f t="shared" si="31"/>
        <v>185</v>
      </c>
      <c r="AF39" s="32">
        <f t="shared" si="31"/>
        <v>1088</v>
      </c>
    </row>
    <row r="40" spans="2:32" ht="23.1" customHeight="1" x14ac:dyDescent="0.25">
      <c r="B40" s="46" t="s">
        <v>67</v>
      </c>
      <c r="C40" s="50">
        <v>7</v>
      </c>
      <c r="D40" s="50">
        <v>0</v>
      </c>
      <c r="E40" s="50">
        <v>0</v>
      </c>
      <c r="F40" s="50">
        <v>2</v>
      </c>
      <c r="G40" s="50">
        <v>0</v>
      </c>
      <c r="H40" s="50">
        <v>0</v>
      </c>
      <c r="I40" s="50">
        <v>0</v>
      </c>
      <c r="J40" s="50">
        <v>2</v>
      </c>
      <c r="K40" s="50">
        <v>0</v>
      </c>
      <c r="L40" s="50">
        <v>0</v>
      </c>
      <c r="M40" s="50">
        <v>97</v>
      </c>
      <c r="N40" s="50">
        <v>0</v>
      </c>
      <c r="O40" s="15">
        <f t="shared" si="0"/>
        <v>11</v>
      </c>
      <c r="P40" s="15">
        <f t="shared" si="1"/>
        <v>108</v>
      </c>
      <c r="R40" s="5" t="s">
        <v>17</v>
      </c>
      <c r="S40" s="16">
        <f t="shared" ref="S40:AF40" si="32">SUM(S10:S21)</f>
        <v>176</v>
      </c>
      <c r="T40" s="16">
        <f t="shared" si="32"/>
        <v>63</v>
      </c>
      <c r="U40" s="16">
        <f t="shared" si="32"/>
        <v>52</v>
      </c>
      <c r="V40" s="16">
        <f t="shared" si="32"/>
        <v>141</v>
      </c>
      <c r="W40" s="16">
        <f t="shared" si="32"/>
        <v>4</v>
      </c>
      <c r="X40" s="16">
        <f t="shared" si="32"/>
        <v>0</v>
      </c>
      <c r="Y40" s="16">
        <f t="shared" si="32"/>
        <v>42</v>
      </c>
      <c r="Z40" s="16">
        <f t="shared" si="32"/>
        <v>41</v>
      </c>
      <c r="AA40" s="16">
        <f t="shared" si="32"/>
        <v>11</v>
      </c>
      <c r="AB40" s="16">
        <f t="shared" si="32"/>
        <v>1</v>
      </c>
      <c r="AC40" s="16">
        <f t="shared" si="32"/>
        <v>3507</v>
      </c>
      <c r="AD40" s="16">
        <f t="shared" si="32"/>
        <v>1</v>
      </c>
      <c r="AE40" s="32">
        <f t="shared" si="32"/>
        <v>532</v>
      </c>
      <c r="AF40" s="32">
        <f t="shared" si="32"/>
        <v>4039</v>
      </c>
    </row>
    <row r="41" spans="2:32" ht="23.1" customHeight="1" x14ac:dyDescent="0.25">
      <c r="B41" s="45" t="s">
        <v>68</v>
      </c>
      <c r="C41" s="50">
        <v>7</v>
      </c>
      <c r="D41" s="50">
        <v>2</v>
      </c>
      <c r="E41" s="50">
        <v>0</v>
      </c>
      <c r="F41" s="50">
        <v>5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91</v>
      </c>
      <c r="N41" s="50">
        <v>0</v>
      </c>
      <c r="O41" s="15">
        <f t="shared" si="0"/>
        <v>14</v>
      </c>
      <c r="P41" s="15">
        <f t="shared" si="1"/>
        <v>105</v>
      </c>
      <c r="R41" s="5" t="s">
        <v>159</v>
      </c>
      <c r="S41" s="16">
        <f>SUM(S10:S33)</f>
        <v>231</v>
      </c>
      <c r="T41" s="16">
        <f t="shared" ref="T41:AF41" si="33">SUM(T10:T33)</f>
        <v>92</v>
      </c>
      <c r="U41" s="16">
        <f t="shared" si="33"/>
        <v>95</v>
      </c>
      <c r="V41" s="16">
        <f t="shared" si="33"/>
        <v>226</v>
      </c>
      <c r="W41" s="16">
        <f t="shared" si="33"/>
        <v>6</v>
      </c>
      <c r="X41" s="16">
        <f t="shared" si="33"/>
        <v>0</v>
      </c>
      <c r="Y41" s="16">
        <f t="shared" si="33"/>
        <v>80</v>
      </c>
      <c r="Z41" s="16">
        <f t="shared" si="33"/>
        <v>85</v>
      </c>
      <c r="AA41" s="16">
        <f t="shared" si="33"/>
        <v>18</v>
      </c>
      <c r="AB41" s="16">
        <f t="shared" si="33"/>
        <v>15</v>
      </c>
      <c r="AC41" s="16">
        <f t="shared" si="33"/>
        <v>4701</v>
      </c>
      <c r="AD41" s="16">
        <f t="shared" si="33"/>
        <v>2</v>
      </c>
      <c r="AE41" s="32">
        <f t="shared" si="33"/>
        <v>850</v>
      </c>
      <c r="AF41" s="32">
        <f t="shared" si="33"/>
        <v>5551</v>
      </c>
    </row>
    <row r="42" spans="2:32" ht="23.1" customHeight="1" x14ac:dyDescent="0.25">
      <c r="B42" s="46" t="s">
        <v>69</v>
      </c>
      <c r="C42" s="50">
        <v>3</v>
      </c>
      <c r="D42" s="50">
        <v>0</v>
      </c>
      <c r="E42" s="50">
        <v>1</v>
      </c>
      <c r="F42" s="50">
        <v>5</v>
      </c>
      <c r="G42" s="50">
        <v>0</v>
      </c>
      <c r="H42" s="50">
        <v>0</v>
      </c>
      <c r="I42" s="50">
        <v>0</v>
      </c>
      <c r="J42" s="50">
        <v>2</v>
      </c>
      <c r="K42" s="50">
        <v>0</v>
      </c>
      <c r="L42" s="50">
        <v>0</v>
      </c>
      <c r="M42" s="50">
        <v>69</v>
      </c>
      <c r="N42" s="50">
        <v>0</v>
      </c>
      <c r="O42" s="15">
        <f t="shared" si="0"/>
        <v>11</v>
      </c>
      <c r="P42" s="15">
        <f t="shared" si="1"/>
        <v>80</v>
      </c>
      <c r="R42" s="5" t="s">
        <v>160</v>
      </c>
      <c r="S42" s="48">
        <f>S41/S40</f>
        <v>1.3125</v>
      </c>
      <c r="T42" s="48">
        <f t="shared" ref="T42:AF42" si="34">T41/T40</f>
        <v>1.4603174603174602</v>
      </c>
      <c r="U42" s="48">
        <f t="shared" si="34"/>
        <v>1.8269230769230769</v>
      </c>
      <c r="V42" s="48">
        <f t="shared" si="34"/>
        <v>1.6028368794326242</v>
      </c>
      <c r="W42" s="48">
        <f t="shared" si="34"/>
        <v>1.5</v>
      </c>
      <c r="X42" s="48" t="e">
        <f t="shared" si="34"/>
        <v>#DIV/0!</v>
      </c>
      <c r="Y42" s="48">
        <f t="shared" si="34"/>
        <v>1.9047619047619047</v>
      </c>
      <c r="Z42" s="48">
        <f t="shared" si="34"/>
        <v>2.0731707317073171</v>
      </c>
      <c r="AA42" s="48">
        <f t="shared" si="34"/>
        <v>1.6363636363636365</v>
      </c>
      <c r="AB42" s="48">
        <f t="shared" si="34"/>
        <v>15</v>
      </c>
      <c r="AC42" s="48">
        <f t="shared" si="34"/>
        <v>1.3404619332763046</v>
      </c>
      <c r="AD42" s="48">
        <f t="shared" si="34"/>
        <v>2</v>
      </c>
      <c r="AE42" s="48">
        <f t="shared" si="34"/>
        <v>1.5977443609022557</v>
      </c>
      <c r="AF42" s="48">
        <f t="shared" si="34"/>
        <v>1.3743500866551126</v>
      </c>
    </row>
    <row r="43" spans="2:32" ht="23.1" customHeight="1" x14ac:dyDescent="0.25">
      <c r="B43" s="45" t="s">
        <v>70</v>
      </c>
      <c r="C43" s="50">
        <v>7</v>
      </c>
      <c r="D43" s="50">
        <v>2</v>
      </c>
      <c r="E43" s="50">
        <v>1</v>
      </c>
      <c r="F43" s="50">
        <v>5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95</v>
      </c>
      <c r="N43" s="50">
        <v>0</v>
      </c>
      <c r="O43" s="15">
        <f t="shared" si="0"/>
        <v>17</v>
      </c>
      <c r="P43" s="15">
        <f t="shared" si="1"/>
        <v>112</v>
      </c>
    </row>
    <row r="44" spans="2:32" ht="23.1" customHeight="1" x14ac:dyDescent="0.25">
      <c r="B44" s="47" t="s">
        <v>71</v>
      </c>
      <c r="C44" s="50">
        <v>2</v>
      </c>
      <c r="D44" s="50">
        <v>0</v>
      </c>
      <c r="E44" s="50">
        <v>0</v>
      </c>
      <c r="F44" s="50">
        <v>2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75</v>
      </c>
      <c r="N44" s="50">
        <v>0</v>
      </c>
      <c r="O44" s="15">
        <f t="shared" si="0"/>
        <v>8</v>
      </c>
      <c r="P44" s="15">
        <f t="shared" si="1"/>
        <v>83</v>
      </c>
    </row>
    <row r="45" spans="2:32" ht="23.1" customHeight="1" x14ac:dyDescent="0.25">
      <c r="B45" s="45" t="s">
        <v>72</v>
      </c>
      <c r="C45" s="50">
        <v>2</v>
      </c>
      <c r="D45" s="50">
        <v>1</v>
      </c>
      <c r="E45" s="50">
        <v>0</v>
      </c>
      <c r="F45" s="50">
        <v>2</v>
      </c>
      <c r="G45" s="50">
        <v>0</v>
      </c>
      <c r="H45" s="50">
        <v>0</v>
      </c>
      <c r="I45" s="50">
        <v>0</v>
      </c>
      <c r="J45" s="50">
        <v>2</v>
      </c>
      <c r="K45" s="50">
        <v>1</v>
      </c>
      <c r="L45" s="50">
        <v>0</v>
      </c>
      <c r="M45" s="50">
        <v>70</v>
      </c>
      <c r="N45" s="50">
        <v>0</v>
      </c>
      <c r="O45" s="15">
        <f t="shared" si="0"/>
        <v>8</v>
      </c>
      <c r="P45" s="15">
        <f t="shared" si="1"/>
        <v>78</v>
      </c>
    </row>
    <row r="46" spans="2:32" ht="23.1" customHeight="1" x14ac:dyDescent="0.25">
      <c r="B46" s="46" t="s">
        <v>73</v>
      </c>
      <c r="C46" s="50">
        <v>2</v>
      </c>
      <c r="D46" s="50">
        <v>1</v>
      </c>
      <c r="E46" s="50">
        <v>1</v>
      </c>
      <c r="F46" s="50">
        <v>1</v>
      </c>
      <c r="G46" s="50">
        <v>0</v>
      </c>
      <c r="H46" s="50">
        <v>0</v>
      </c>
      <c r="I46" s="50">
        <v>0</v>
      </c>
      <c r="J46" s="50">
        <v>1</v>
      </c>
      <c r="K46" s="50">
        <v>0</v>
      </c>
      <c r="L46" s="50">
        <v>0</v>
      </c>
      <c r="M46" s="50">
        <v>57</v>
      </c>
      <c r="N46" s="50">
        <v>0</v>
      </c>
      <c r="O46" s="15">
        <f t="shared" si="0"/>
        <v>6</v>
      </c>
      <c r="P46" s="15">
        <f t="shared" si="1"/>
        <v>63</v>
      </c>
      <c r="R46" s="8"/>
      <c r="T46"/>
    </row>
    <row r="47" spans="2:32" ht="23.1" customHeight="1" x14ac:dyDescent="0.25">
      <c r="B47" s="46" t="s">
        <v>74</v>
      </c>
      <c r="C47" s="50">
        <v>3</v>
      </c>
      <c r="D47" s="50">
        <v>1</v>
      </c>
      <c r="E47" s="50">
        <v>2</v>
      </c>
      <c r="F47" s="50">
        <v>3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78</v>
      </c>
      <c r="N47" s="50">
        <v>0</v>
      </c>
      <c r="O47" s="15">
        <f t="shared" si="0"/>
        <v>13</v>
      </c>
      <c r="P47" s="15">
        <f t="shared" si="1"/>
        <v>91</v>
      </c>
      <c r="R47" s="8"/>
      <c r="T47"/>
    </row>
    <row r="48" spans="2:32" ht="23.1" customHeight="1" x14ac:dyDescent="0.25">
      <c r="B48" s="46" t="s">
        <v>75</v>
      </c>
      <c r="C48" s="50">
        <v>8</v>
      </c>
      <c r="D48" s="50">
        <v>0</v>
      </c>
      <c r="E48" s="50">
        <v>2</v>
      </c>
      <c r="F48" s="50">
        <v>2</v>
      </c>
      <c r="G48" s="50">
        <v>0</v>
      </c>
      <c r="H48" s="50">
        <v>0</v>
      </c>
      <c r="I48" s="50">
        <v>2</v>
      </c>
      <c r="J48" s="50">
        <v>1</v>
      </c>
      <c r="K48" s="50">
        <v>3</v>
      </c>
      <c r="L48" s="50">
        <v>0</v>
      </c>
      <c r="M48" s="50">
        <v>77</v>
      </c>
      <c r="N48" s="50">
        <v>0</v>
      </c>
      <c r="O48" s="15">
        <f t="shared" si="0"/>
        <v>18</v>
      </c>
      <c r="P48" s="15">
        <f t="shared" si="1"/>
        <v>95</v>
      </c>
      <c r="R48" s="8"/>
      <c r="T48"/>
    </row>
    <row r="49" spans="2:20" ht="23.1" customHeight="1" x14ac:dyDescent="0.25">
      <c r="B49" s="45" t="s">
        <v>76</v>
      </c>
      <c r="C49" s="50">
        <v>6</v>
      </c>
      <c r="D49" s="50">
        <v>1</v>
      </c>
      <c r="E49" s="50">
        <v>0</v>
      </c>
      <c r="F49" s="50">
        <v>4</v>
      </c>
      <c r="G49" s="50">
        <v>0</v>
      </c>
      <c r="H49" s="50">
        <v>0</v>
      </c>
      <c r="I49" s="50">
        <v>2</v>
      </c>
      <c r="J49" s="50">
        <v>0</v>
      </c>
      <c r="K49" s="50">
        <v>0</v>
      </c>
      <c r="L49" s="50">
        <v>1</v>
      </c>
      <c r="M49" s="50">
        <v>92</v>
      </c>
      <c r="N49" s="50">
        <v>0</v>
      </c>
      <c r="O49" s="15">
        <f t="shared" si="0"/>
        <v>14</v>
      </c>
      <c r="P49" s="15">
        <f t="shared" si="1"/>
        <v>106</v>
      </c>
      <c r="R49" s="8"/>
      <c r="T49"/>
    </row>
    <row r="50" spans="2:20" ht="23.1" customHeight="1" x14ac:dyDescent="0.25">
      <c r="B50" s="46" t="s">
        <v>77</v>
      </c>
      <c r="C50" s="50">
        <v>3</v>
      </c>
      <c r="D50" s="50">
        <v>20</v>
      </c>
      <c r="E50" s="50">
        <v>2</v>
      </c>
      <c r="F50" s="50">
        <v>4</v>
      </c>
      <c r="G50" s="50">
        <v>0</v>
      </c>
      <c r="H50" s="50">
        <v>0</v>
      </c>
      <c r="I50" s="50">
        <v>1</v>
      </c>
      <c r="J50" s="50">
        <v>0</v>
      </c>
      <c r="K50" s="50">
        <v>1</v>
      </c>
      <c r="L50" s="50">
        <v>0</v>
      </c>
      <c r="M50" s="50">
        <v>81</v>
      </c>
      <c r="N50" s="50">
        <v>0</v>
      </c>
      <c r="O50" s="15">
        <f t="shared" si="0"/>
        <v>31</v>
      </c>
      <c r="P50" s="15">
        <f t="shared" si="1"/>
        <v>112</v>
      </c>
      <c r="R50" s="8"/>
      <c r="T50"/>
    </row>
    <row r="51" spans="2:20" ht="23.1" customHeight="1" x14ac:dyDescent="0.25">
      <c r="B51" s="46" t="s">
        <v>78</v>
      </c>
      <c r="C51" s="50">
        <v>4</v>
      </c>
      <c r="D51" s="50">
        <v>1</v>
      </c>
      <c r="E51" s="50">
        <v>5</v>
      </c>
      <c r="F51" s="50">
        <v>7</v>
      </c>
      <c r="G51" s="50">
        <v>0</v>
      </c>
      <c r="H51" s="50">
        <v>0</v>
      </c>
      <c r="I51" s="50">
        <v>0</v>
      </c>
      <c r="J51" s="50">
        <v>2</v>
      </c>
      <c r="K51" s="50">
        <v>0</v>
      </c>
      <c r="L51" s="50">
        <v>0</v>
      </c>
      <c r="M51" s="50">
        <v>74</v>
      </c>
      <c r="N51" s="50">
        <v>0</v>
      </c>
      <c r="O51" s="15">
        <f t="shared" si="0"/>
        <v>19</v>
      </c>
      <c r="P51" s="15">
        <f t="shared" si="1"/>
        <v>93</v>
      </c>
      <c r="R51" s="8"/>
      <c r="T51"/>
    </row>
    <row r="52" spans="2:20" ht="23.1" customHeight="1" x14ac:dyDescent="0.25">
      <c r="B52" s="46" t="s">
        <v>79</v>
      </c>
      <c r="C52" s="50">
        <v>2</v>
      </c>
      <c r="D52" s="50">
        <v>2</v>
      </c>
      <c r="E52" s="50">
        <v>2</v>
      </c>
      <c r="F52" s="50">
        <v>8</v>
      </c>
      <c r="G52" s="50">
        <v>0</v>
      </c>
      <c r="H52" s="50">
        <v>0</v>
      </c>
      <c r="I52" s="50">
        <v>3</v>
      </c>
      <c r="J52" s="50">
        <v>0</v>
      </c>
      <c r="K52" s="50">
        <v>0</v>
      </c>
      <c r="L52" s="50">
        <v>0</v>
      </c>
      <c r="M52" s="50">
        <v>78</v>
      </c>
      <c r="N52" s="50">
        <v>0</v>
      </c>
      <c r="O52" s="15">
        <f t="shared" si="0"/>
        <v>17</v>
      </c>
      <c r="P52" s="15">
        <f t="shared" si="1"/>
        <v>95</v>
      </c>
      <c r="R52" s="8"/>
      <c r="T52"/>
    </row>
    <row r="53" spans="2:20" ht="23.1" customHeight="1" x14ac:dyDescent="0.25">
      <c r="B53" s="45" t="s">
        <v>80</v>
      </c>
      <c r="C53" s="50">
        <v>5</v>
      </c>
      <c r="D53" s="50">
        <v>3</v>
      </c>
      <c r="E53" s="50">
        <v>1</v>
      </c>
      <c r="F53" s="50">
        <v>4</v>
      </c>
      <c r="G53" s="50">
        <v>0</v>
      </c>
      <c r="H53" s="50">
        <v>0</v>
      </c>
      <c r="I53" s="50">
        <v>1</v>
      </c>
      <c r="J53" s="50">
        <v>1</v>
      </c>
      <c r="K53" s="50">
        <v>0</v>
      </c>
      <c r="L53" s="50">
        <v>0</v>
      </c>
      <c r="M53" s="50">
        <v>83</v>
      </c>
      <c r="N53" s="50">
        <v>0</v>
      </c>
      <c r="O53" s="15">
        <f t="shared" si="0"/>
        <v>15</v>
      </c>
      <c r="P53" s="15">
        <f t="shared" si="1"/>
        <v>98</v>
      </c>
      <c r="R53" s="8"/>
      <c r="T53"/>
    </row>
    <row r="54" spans="2:20" ht="23.1" customHeight="1" x14ac:dyDescent="0.25">
      <c r="B54" s="45" t="s">
        <v>81</v>
      </c>
      <c r="C54" s="50">
        <v>3</v>
      </c>
      <c r="D54" s="50">
        <v>2</v>
      </c>
      <c r="E54" s="50">
        <v>2</v>
      </c>
      <c r="F54" s="50">
        <v>5</v>
      </c>
      <c r="G54" s="50">
        <v>0</v>
      </c>
      <c r="H54" s="50">
        <v>0</v>
      </c>
      <c r="I54" s="50">
        <v>0</v>
      </c>
      <c r="J54" s="50">
        <v>0</v>
      </c>
      <c r="K54" s="50">
        <v>0</v>
      </c>
      <c r="L54" s="50">
        <v>0</v>
      </c>
      <c r="M54" s="50">
        <v>69</v>
      </c>
      <c r="N54" s="50">
        <v>0</v>
      </c>
      <c r="O54" s="15">
        <f t="shared" si="0"/>
        <v>12</v>
      </c>
      <c r="P54" s="15">
        <f t="shared" si="1"/>
        <v>81</v>
      </c>
      <c r="R54" s="8"/>
      <c r="T54"/>
    </row>
    <row r="55" spans="2:20" ht="23.1" customHeight="1" x14ac:dyDescent="0.25">
      <c r="B55" s="45" t="s">
        <v>82</v>
      </c>
      <c r="C55" s="50">
        <v>4</v>
      </c>
      <c r="D55" s="50">
        <v>0</v>
      </c>
      <c r="E55" s="50">
        <v>1</v>
      </c>
      <c r="F55" s="50">
        <v>3</v>
      </c>
      <c r="G55" s="50">
        <v>0</v>
      </c>
      <c r="H55" s="50">
        <v>0</v>
      </c>
      <c r="I55" s="50">
        <v>2</v>
      </c>
      <c r="J55" s="50">
        <v>3</v>
      </c>
      <c r="K55" s="50">
        <v>1</v>
      </c>
      <c r="L55" s="50">
        <v>0</v>
      </c>
      <c r="M55" s="50">
        <v>63</v>
      </c>
      <c r="N55" s="50">
        <v>0</v>
      </c>
      <c r="O55" s="15">
        <f t="shared" si="0"/>
        <v>14</v>
      </c>
      <c r="P55" s="15">
        <f t="shared" si="1"/>
        <v>77</v>
      </c>
      <c r="R55" s="8"/>
      <c r="T55"/>
    </row>
    <row r="56" spans="2:20" ht="23.1" customHeight="1" x14ac:dyDescent="0.25">
      <c r="B56" s="45" t="s">
        <v>83</v>
      </c>
      <c r="C56" s="50">
        <v>3</v>
      </c>
      <c r="D56" s="50">
        <v>4</v>
      </c>
      <c r="E56" s="50">
        <v>6</v>
      </c>
      <c r="F56" s="50">
        <v>2</v>
      </c>
      <c r="G56" s="50">
        <v>0</v>
      </c>
      <c r="H56" s="50">
        <v>0</v>
      </c>
      <c r="I56" s="50">
        <v>0</v>
      </c>
      <c r="J56" s="50">
        <v>4</v>
      </c>
      <c r="K56" s="50">
        <v>0</v>
      </c>
      <c r="L56" s="50">
        <v>0</v>
      </c>
      <c r="M56" s="50">
        <v>78</v>
      </c>
      <c r="N56" s="50">
        <v>0</v>
      </c>
      <c r="O56" s="15">
        <f t="shared" si="0"/>
        <v>19</v>
      </c>
      <c r="P56" s="15">
        <f t="shared" si="1"/>
        <v>97</v>
      </c>
      <c r="R56" s="8"/>
      <c r="T56"/>
    </row>
    <row r="57" spans="2:20" ht="23.1" customHeight="1" x14ac:dyDescent="0.25">
      <c r="B57" s="45" t="s">
        <v>84</v>
      </c>
      <c r="C57" s="50">
        <v>1</v>
      </c>
      <c r="D57" s="50">
        <v>2</v>
      </c>
      <c r="E57" s="50">
        <v>0</v>
      </c>
      <c r="F57" s="50">
        <v>0</v>
      </c>
      <c r="G57" s="50">
        <v>0</v>
      </c>
      <c r="H57" s="50">
        <v>0</v>
      </c>
      <c r="I57" s="50">
        <v>3</v>
      </c>
      <c r="J57" s="50">
        <v>0</v>
      </c>
      <c r="K57" s="50">
        <v>1</v>
      </c>
      <c r="L57" s="50">
        <v>0</v>
      </c>
      <c r="M57" s="50">
        <v>73</v>
      </c>
      <c r="N57" s="50">
        <v>0</v>
      </c>
      <c r="O57" s="15">
        <f t="shared" si="0"/>
        <v>7</v>
      </c>
      <c r="P57" s="15">
        <f t="shared" si="1"/>
        <v>80</v>
      </c>
      <c r="R57" s="8"/>
      <c r="T57"/>
    </row>
    <row r="58" spans="2:20" ht="23.1" customHeight="1" x14ac:dyDescent="0.25">
      <c r="B58" s="45" t="s">
        <v>99</v>
      </c>
      <c r="C58" s="50">
        <v>3</v>
      </c>
      <c r="D58" s="50">
        <v>1</v>
      </c>
      <c r="E58" s="50">
        <v>0</v>
      </c>
      <c r="F58" s="50">
        <v>13</v>
      </c>
      <c r="G58" s="50">
        <v>0</v>
      </c>
      <c r="H58" s="50">
        <v>0</v>
      </c>
      <c r="I58" s="50">
        <v>3</v>
      </c>
      <c r="J58" s="50">
        <v>3</v>
      </c>
      <c r="K58" s="50">
        <v>0</v>
      </c>
      <c r="L58" s="50">
        <v>0</v>
      </c>
      <c r="M58" s="50">
        <v>67</v>
      </c>
      <c r="N58" s="50">
        <v>0</v>
      </c>
      <c r="O58" s="15">
        <f t="shared" si="0"/>
        <v>23</v>
      </c>
      <c r="P58" s="15">
        <f t="shared" si="1"/>
        <v>90</v>
      </c>
      <c r="R58" s="8"/>
      <c r="T58"/>
    </row>
    <row r="59" spans="2:20" ht="23.1" customHeight="1" x14ac:dyDescent="0.25">
      <c r="B59" s="45" t="s">
        <v>100</v>
      </c>
      <c r="C59" s="50">
        <v>4</v>
      </c>
      <c r="D59" s="50">
        <v>2</v>
      </c>
      <c r="E59" s="50">
        <v>3</v>
      </c>
      <c r="F59" s="50">
        <v>6</v>
      </c>
      <c r="G59" s="50">
        <v>0</v>
      </c>
      <c r="H59" s="50">
        <v>0</v>
      </c>
      <c r="I59" s="50">
        <v>0</v>
      </c>
      <c r="J59" s="50">
        <v>3</v>
      </c>
      <c r="K59" s="50">
        <v>1</v>
      </c>
      <c r="L59" s="50">
        <v>0</v>
      </c>
      <c r="M59" s="50">
        <v>74</v>
      </c>
      <c r="N59" s="50">
        <v>0</v>
      </c>
      <c r="O59" s="15">
        <f t="shared" si="0"/>
        <v>19</v>
      </c>
      <c r="P59" s="15">
        <f t="shared" si="1"/>
        <v>93</v>
      </c>
      <c r="R59" s="8"/>
      <c r="T59"/>
    </row>
    <row r="60" spans="2:20" ht="23.1" customHeight="1" x14ac:dyDescent="0.25">
      <c r="B60" s="45" t="s">
        <v>101</v>
      </c>
      <c r="C60" s="50">
        <v>1</v>
      </c>
      <c r="D60" s="50">
        <v>2</v>
      </c>
      <c r="E60" s="50">
        <v>3</v>
      </c>
      <c r="F60" s="50">
        <v>5</v>
      </c>
      <c r="G60" s="50">
        <v>0</v>
      </c>
      <c r="H60" s="50">
        <v>0</v>
      </c>
      <c r="I60" s="50">
        <v>2</v>
      </c>
      <c r="J60" s="50">
        <v>1</v>
      </c>
      <c r="K60" s="50">
        <v>0</v>
      </c>
      <c r="L60" s="50">
        <v>0</v>
      </c>
      <c r="M60" s="50">
        <v>62</v>
      </c>
      <c r="N60" s="50">
        <v>0</v>
      </c>
      <c r="O60" s="15">
        <f t="shared" si="0"/>
        <v>14</v>
      </c>
      <c r="P60" s="15">
        <f t="shared" si="1"/>
        <v>76</v>
      </c>
      <c r="R60" s="8"/>
      <c r="T60"/>
    </row>
    <row r="61" spans="2:20" ht="23.1" customHeight="1" x14ac:dyDescent="0.25">
      <c r="B61" s="45" t="s">
        <v>102</v>
      </c>
      <c r="C61" s="50">
        <v>3</v>
      </c>
      <c r="D61" s="50">
        <v>0</v>
      </c>
      <c r="E61" s="50">
        <v>1</v>
      </c>
      <c r="F61" s="50">
        <v>3</v>
      </c>
      <c r="G61" s="50">
        <v>0</v>
      </c>
      <c r="H61" s="50">
        <v>0</v>
      </c>
      <c r="I61" s="50">
        <v>1</v>
      </c>
      <c r="J61" s="50">
        <v>2</v>
      </c>
      <c r="K61" s="50">
        <v>0</v>
      </c>
      <c r="L61" s="50">
        <v>0</v>
      </c>
      <c r="M61" s="50">
        <v>73</v>
      </c>
      <c r="N61" s="50">
        <v>0</v>
      </c>
      <c r="O61" s="15">
        <f t="shared" si="0"/>
        <v>10</v>
      </c>
      <c r="P61" s="15">
        <f t="shared" si="1"/>
        <v>83</v>
      </c>
      <c r="R61" s="8"/>
      <c r="T61"/>
    </row>
    <row r="62" spans="2:20" ht="23.1" customHeight="1" x14ac:dyDescent="0.25">
      <c r="B62" s="45" t="s">
        <v>107</v>
      </c>
      <c r="C62" s="50">
        <v>4</v>
      </c>
      <c r="D62" s="50">
        <v>0</v>
      </c>
      <c r="E62" s="50">
        <v>4</v>
      </c>
      <c r="F62" s="50">
        <v>5</v>
      </c>
      <c r="G62" s="50">
        <v>0</v>
      </c>
      <c r="H62" s="50">
        <v>0</v>
      </c>
      <c r="I62" s="50">
        <v>2</v>
      </c>
      <c r="J62" s="50">
        <v>0</v>
      </c>
      <c r="K62" s="50">
        <v>0</v>
      </c>
      <c r="L62" s="50">
        <v>0</v>
      </c>
      <c r="M62" s="50">
        <v>64</v>
      </c>
      <c r="N62" s="50">
        <v>0</v>
      </c>
      <c r="O62" s="15">
        <f t="shared" si="0"/>
        <v>15</v>
      </c>
      <c r="P62" s="15">
        <f t="shared" si="1"/>
        <v>79</v>
      </c>
      <c r="R62" s="8"/>
      <c r="T62"/>
    </row>
    <row r="63" spans="2:20" ht="23.1" customHeight="1" x14ac:dyDescent="0.25">
      <c r="B63" s="45" t="s">
        <v>108</v>
      </c>
      <c r="C63" s="50">
        <v>2</v>
      </c>
      <c r="D63" s="50">
        <v>1</v>
      </c>
      <c r="E63" s="50">
        <v>1</v>
      </c>
      <c r="F63" s="50">
        <v>2</v>
      </c>
      <c r="G63" s="50">
        <v>0</v>
      </c>
      <c r="H63" s="50">
        <v>0</v>
      </c>
      <c r="I63" s="50">
        <v>3</v>
      </c>
      <c r="J63" s="50">
        <v>0</v>
      </c>
      <c r="K63" s="50">
        <v>0</v>
      </c>
      <c r="L63" s="50">
        <v>0</v>
      </c>
      <c r="M63" s="50">
        <v>53</v>
      </c>
      <c r="N63" s="50">
        <v>0</v>
      </c>
      <c r="O63" s="15">
        <f t="shared" si="0"/>
        <v>9</v>
      </c>
      <c r="P63" s="15">
        <f t="shared" si="1"/>
        <v>62</v>
      </c>
      <c r="R63" s="8"/>
      <c r="T63"/>
    </row>
    <row r="64" spans="2:20" ht="23.1" customHeight="1" x14ac:dyDescent="0.25">
      <c r="B64" s="45" t="s">
        <v>109</v>
      </c>
      <c r="C64" s="50">
        <v>4</v>
      </c>
      <c r="D64" s="50">
        <v>2</v>
      </c>
      <c r="E64" s="50">
        <v>0</v>
      </c>
      <c r="F64" s="50">
        <v>3</v>
      </c>
      <c r="G64" s="50">
        <v>0</v>
      </c>
      <c r="H64" s="50">
        <v>0</v>
      </c>
      <c r="I64" s="50">
        <v>0</v>
      </c>
      <c r="J64" s="50">
        <v>3</v>
      </c>
      <c r="K64" s="50">
        <v>0</v>
      </c>
      <c r="L64" s="50">
        <v>0</v>
      </c>
      <c r="M64" s="50">
        <v>57</v>
      </c>
      <c r="N64" s="50">
        <v>0</v>
      </c>
      <c r="O64" s="15">
        <f t="shared" si="0"/>
        <v>12</v>
      </c>
      <c r="P64" s="15">
        <f t="shared" si="1"/>
        <v>69</v>
      </c>
      <c r="R64" s="8"/>
      <c r="T64"/>
    </row>
    <row r="65" spans="2:20" ht="23.1" customHeight="1" x14ac:dyDescent="0.25">
      <c r="B65" s="45" t="s">
        <v>158</v>
      </c>
      <c r="C65" s="50">
        <v>3</v>
      </c>
      <c r="D65" s="50">
        <v>0</v>
      </c>
      <c r="E65" s="50">
        <v>1</v>
      </c>
      <c r="F65" s="50">
        <v>3</v>
      </c>
      <c r="G65" s="50">
        <v>0</v>
      </c>
      <c r="H65" s="50">
        <v>0</v>
      </c>
      <c r="I65" s="50">
        <v>2</v>
      </c>
      <c r="J65" s="50">
        <v>5</v>
      </c>
      <c r="K65" s="50">
        <v>0</v>
      </c>
      <c r="L65" s="50">
        <v>0</v>
      </c>
      <c r="M65" s="50">
        <v>59</v>
      </c>
      <c r="N65" s="50">
        <v>0</v>
      </c>
      <c r="O65" s="15">
        <f t="shared" si="0"/>
        <v>14</v>
      </c>
      <c r="P65" s="15">
        <f t="shared" si="1"/>
        <v>73</v>
      </c>
      <c r="R65" s="8"/>
      <c r="T65"/>
    </row>
    <row r="66" spans="2:20" ht="23.1" customHeight="1" x14ac:dyDescent="0.25">
      <c r="B66" s="45" t="s">
        <v>103</v>
      </c>
      <c r="C66" s="50">
        <v>2</v>
      </c>
      <c r="D66" s="50">
        <v>1</v>
      </c>
      <c r="E66" s="50">
        <v>0</v>
      </c>
      <c r="F66" s="50">
        <v>4</v>
      </c>
      <c r="G66" s="50">
        <v>0</v>
      </c>
      <c r="H66" s="50">
        <v>0</v>
      </c>
      <c r="I66" s="50">
        <v>3</v>
      </c>
      <c r="J66" s="50">
        <v>2</v>
      </c>
      <c r="K66" s="50">
        <v>1</v>
      </c>
      <c r="L66" s="50">
        <v>0</v>
      </c>
      <c r="M66" s="50">
        <v>56</v>
      </c>
      <c r="N66" s="50">
        <v>0</v>
      </c>
      <c r="O66" s="15">
        <f t="shared" si="0"/>
        <v>13</v>
      </c>
      <c r="P66" s="15">
        <f t="shared" si="1"/>
        <v>69</v>
      </c>
      <c r="R66" s="8"/>
      <c r="T66"/>
    </row>
    <row r="67" spans="2:20" ht="23.1" customHeight="1" x14ac:dyDescent="0.25">
      <c r="B67" s="45" t="s">
        <v>104</v>
      </c>
      <c r="C67" s="50">
        <v>1</v>
      </c>
      <c r="D67" s="50">
        <v>2</v>
      </c>
      <c r="E67" s="50">
        <v>3</v>
      </c>
      <c r="F67" s="50">
        <v>2</v>
      </c>
      <c r="G67" s="50">
        <v>0</v>
      </c>
      <c r="H67" s="50">
        <v>0</v>
      </c>
      <c r="I67" s="50">
        <v>2</v>
      </c>
      <c r="J67" s="50">
        <v>0</v>
      </c>
      <c r="K67" s="50">
        <v>0</v>
      </c>
      <c r="L67" s="50">
        <v>0</v>
      </c>
      <c r="M67" s="50">
        <v>47</v>
      </c>
      <c r="N67" s="50">
        <v>0</v>
      </c>
      <c r="O67" s="15">
        <f t="shared" si="0"/>
        <v>10</v>
      </c>
      <c r="P67" s="15">
        <f t="shared" si="1"/>
        <v>57</v>
      </c>
      <c r="R67" s="8"/>
      <c r="T67"/>
    </row>
    <row r="68" spans="2:20" ht="23.1" customHeight="1" x14ac:dyDescent="0.25">
      <c r="B68" s="45" t="s">
        <v>105</v>
      </c>
      <c r="C68" s="50">
        <v>3</v>
      </c>
      <c r="D68" s="50">
        <v>0</v>
      </c>
      <c r="E68" s="50">
        <v>1</v>
      </c>
      <c r="F68" s="50">
        <v>1</v>
      </c>
      <c r="G68" s="50">
        <v>0</v>
      </c>
      <c r="H68" s="50">
        <v>0</v>
      </c>
      <c r="I68" s="50">
        <v>0</v>
      </c>
      <c r="J68" s="50">
        <v>1</v>
      </c>
      <c r="K68" s="50">
        <v>0</v>
      </c>
      <c r="L68" s="50">
        <v>1</v>
      </c>
      <c r="M68" s="50">
        <v>50</v>
      </c>
      <c r="N68" s="50">
        <v>0</v>
      </c>
      <c r="O68" s="15">
        <f t="shared" si="0"/>
        <v>7</v>
      </c>
      <c r="P68" s="15">
        <f t="shared" si="1"/>
        <v>57</v>
      </c>
      <c r="R68" s="8"/>
      <c r="T68"/>
    </row>
    <row r="69" spans="2:20" ht="23.1" customHeight="1" x14ac:dyDescent="0.25">
      <c r="B69" s="45" t="s">
        <v>106</v>
      </c>
      <c r="C69" s="50">
        <v>2</v>
      </c>
      <c r="D69" s="50">
        <v>0</v>
      </c>
      <c r="E69" s="50">
        <v>0</v>
      </c>
      <c r="F69" s="50">
        <v>2</v>
      </c>
      <c r="G69" s="50">
        <v>0</v>
      </c>
      <c r="H69" s="50">
        <v>0</v>
      </c>
      <c r="I69" s="50">
        <v>1</v>
      </c>
      <c r="J69" s="50">
        <v>0</v>
      </c>
      <c r="K69" s="50">
        <v>0</v>
      </c>
      <c r="L69" s="50">
        <v>0</v>
      </c>
      <c r="M69" s="50">
        <v>51</v>
      </c>
      <c r="N69" s="50">
        <v>1</v>
      </c>
      <c r="O69" s="15">
        <f t="shared" si="0"/>
        <v>6</v>
      </c>
      <c r="P69" s="15">
        <f t="shared" si="1"/>
        <v>57</v>
      </c>
      <c r="R69" s="8"/>
      <c r="T69"/>
    </row>
    <row r="70" spans="2:20" ht="23.1" customHeight="1" x14ac:dyDescent="0.25">
      <c r="B70" s="45" t="s">
        <v>110</v>
      </c>
      <c r="C70" s="50">
        <v>0</v>
      </c>
      <c r="D70" s="50">
        <v>1</v>
      </c>
      <c r="E70" s="50">
        <v>3</v>
      </c>
      <c r="F70" s="50">
        <v>1</v>
      </c>
      <c r="G70" s="50">
        <v>0</v>
      </c>
      <c r="H70" s="50">
        <v>0</v>
      </c>
      <c r="I70" s="50">
        <v>0</v>
      </c>
      <c r="J70" s="50">
        <v>2</v>
      </c>
      <c r="K70" s="50">
        <v>0</v>
      </c>
      <c r="L70" s="50">
        <v>0</v>
      </c>
      <c r="M70" s="50">
        <v>46</v>
      </c>
      <c r="N70" s="50">
        <v>0</v>
      </c>
      <c r="O70" s="15">
        <f t="shared" si="0"/>
        <v>7</v>
      </c>
      <c r="P70" s="15">
        <f t="shared" si="1"/>
        <v>53</v>
      </c>
      <c r="R70" s="8"/>
      <c r="T70"/>
    </row>
    <row r="71" spans="2:20" ht="23.1" customHeight="1" x14ac:dyDescent="0.25">
      <c r="B71" s="45" t="s">
        <v>111</v>
      </c>
      <c r="C71" s="50">
        <v>1</v>
      </c>
      <c r="D71" s="50">
        <v>0</v>
      </c>
      <c r="E71" s="50">
        <v>0</v>
      </c>
      <c r="F71" s="50">
        <v>0</v>
      </c>
      <c r="G71" s="50">
        <v>1</v>
      </c>
      <c r="H71" s="50">
        <v>0</v>
      </c>
      <c r="I71" s="50">
        <v>0</v>
      </c>
      <c r="J71" s="50">
        <v>1</v>
      </c>
      <c r="K71" s="50">
        <v>2</v>
      </c>
      <c r="L71" s="50">
        <v>0</v>
      </c>
      <c r="M71" s="50">
        <v>38</v>
      </c>
      <c r="N71" s="50">
        <v>0</v>
      </c>
      <c r="O71" s="15">
        <f t="shared" si="0"/>
        <v>5</v>
      </c>
      <c r="P71" s="15">
        <f t="shared" si="1"/>
        <v>43</v>
      </c>
      <c r="R71" s="8"/>
      <c r="T71"/>
    </row>
    <row r="72" spans="2:20" ht="23.1" customHeight="1" x14ac:dyDescent="0.25">
      <c r="B72" s="45" t="s">
        <v>112</v>
      </c>
      <c r="C72" s="50">
        <v>2</v>
      </c>
      <c r="D72" s="50">
        <v>1</v>
      </c>
      <c r="E72" s="50">
        <v>0</v>
      </c>
      <c r="F72" s="50">
        <v>0</v>
      </c>
      <c r="G72" s="50">
        <v>0</v>
      </c>
      <c r="H72" s="50">
        <v>0</v>
      </c>
      <c r="I72" s="50">
        <v>2</v>
      </c>
      <c r="J72" s="50">
        <v>1</v>
      </c>
      <c r="K72" s="50">
        <v>0</v>
      </c>
      <c r="L72" s="50">
        <v>0</v>
      </c>
      <c r="M72" s="50">
        <v>37</v>
      </c>
      <c r="N72" s="50">
        <v>0</v>
      </c>
      <c r="O72" s="15">
        <f t="shared" si="0"/>
        <v>6</v>
      </c>
      <c r="P72" s="15">
        <f t="shared" si="1"/>
        <v>43</v>
      </c>
      <c r="R72" s="8"/>
      <c r="T72"/>
    </row>
    <row r="73" spans="2:20" ht="23.1" customHeight="1" x14ac:dyDescent="0.25">
      <c r="B73" s="45" t="s">
        <v>113</v>
      </c>
      <c r="C73" s="50">
        <v>0</v>
      </c>
      <c r="D73" s="50">
        <v>1</v>
      </c>
      <c r="E73" s="50">
        <v>2</v>
      </c>
      <c r="F73" s="50">
        <v>2</v>
      </c>
      <c r="G73" s="50">
        <v>0</v>
      </c>
      <c r="H73" s="50">
        <v>0</v>
      </c>
      <c r="I73" s="50">
        <v>0</v>
      </c>
      <c r="J73" s="50">
        <v>3</v>
      </c>
      <c r="K73" s="50">
        <v>0</v>
      </c>
      <c r="L73" s="50">
        <v>0</v>
      </c>
      <c r="M73" s="50">
        <v>40</v>
      </c>
      <c r="N73" s="50">
        <v>0</v>
      </c>
      <c r="O73" s="15">
        <f t="shared" si="0"/>
        <v>8</v>
      </c>
      <c r="P73" s="15">
        <f t="shared" si="1"/>
        <v>48</v>
      </c>
      <c r="R73" s="8"/>
      <c r="T73"/>
    </row>
    <row r="74" spans="2:20" ht="23.1" customHeight="1" x14ac:dyDescent="0.25">
      <c r="B74" s="45" t="s">
        <v>114</v>
      </c>
      <c r="C74" s="50">
        <v>1</v>
      </c>
      <c r="D74" s="50">
        <v>1</v>
      </c>
      <c r="E74" s="50">
        <v>0</v>
      </c>
      <c r="F74" s="50">
        <v>0</v>
      </c>
      <c r="G74" s="50">
        <v>0</v>
      </c>
      <c r="H74" s="50">
        <v>0</v>
      </c>
      <c r="I74" s="50">
        <v>1</v>
      </c>
      <c r="J74" s="50">
        <v>0</v>
      </c>
      <c r="K74" s="50">
        <v>0</v>
      </c>
      <c r="L74" s="50">
        <v>0</v>
      </c>
      <c r="M74" s="50">
        <v>41</v>
      </c>
      <c r="N74" s="50">
        <v>0</v>
      </c>
      <c r="O74" s="15">
        <f t="shared" ref="O74:O105" si="35">SUM(C74:L74,N74)</f>
        <v>3</v>
      </c>
      <c r="P74" s="15">
        <f t="shared" ref="P74:P105" si="36">SUM(C74:N74)</f>
        <v>44</v>
      </c>
      <c r="R74" s="8"/>
      <c r="T74"/>
    </row>
    <row r="75" spans="2:20" ht="23.1" customHeight="1" x14ac:dyDescent="0.25">
      <c r="B75" s="45" t="s">
        <v>115</v>
      </c>
      <c r="C75" s="50">
        <v>0</v>
      </c>
      <c r="D75" s="50">
        <v>0</v>
      </c>
      <c r="E75" s="50">
        <v>0</v>
      </c>
      <c r="F75" s="50">
        <v>1</v>
      </c>
      <c r="G75" s="50">
        <v>0</v>
      </c>
      <c r="H75" s="50">
        <v>0</v>
      </c>
      <c r="I75" s="50">
        <v>0</v>
      </c>
      <c r="J75" s="50">
        <v>2</v>
      </c>
      <c r="K75" s="50">
        <v>0</v>
      </c>
      <c r="L75" s="50">
        <v>0</v>
      </c>
      <c r="M75" s="50">
        <v>32</v>
      </c>
      <c r="N75" s="50">
        <v>0</v>
      </c>
      <c r="O75" s="15">
        <f t="shared" si="35"/>
        <v>3</v>
      </c>
      <c r="P75" s="15">
        <f t="shared" si="36"/>
        <v>35</v>
      </c>
      <c r="R75" s="8"/>
      <c r="T75"/>
    </row>
    <row r="76" spans="2:20" ht="23.1" customHeight="1" x14ac:dyDescent="0.25">
      <c r="B76" s="45" t="s">
        <v>116</v>
      </c>
      <c r="C76" s="50">
        <v>0</v>
      </c>
      <c r="D76" s="50">
        <v>0</v>
      </c>
      <c r="E76" s="50">
        <v>0</v>
      </c>
      <c r="F76" s="50">
        <v>0</v>
      </c>
      <c r="G76" s="50">
        <v>0</v>
      </c>
      <c r="H76" s="50">
        <v>0</v>
      </c>
      <c r="I76" s="50">
        <v>2</v>
      </c>
      <c r="J76" s="50">
        <v>0</v>
      </c>
      <c r="K76" s="50">
        <v>0</v>
      </c>
      <c r="L76" s="50">
        <v>1</v>
      </c>
      <c r="M76" s="50">
        <v>33</v>
      </c>
      <c r="N76" s="50">
        <v>0</v>
      </c>
      <c r="O76" s="15">
        <f t="shared" si="35"/>
        <v>3</v>
      </c>
      <c r="P76" s="15">
        <f t="shared" si="36"/>
        <v>36</v>
      </c>
      <c r="R76" s="8"/>
      <c r="T76"/>
    </row>
    <row r="77" spans="2:20" ht="23.1" customHeight="1" x14ac:dyDescent="0.25">
      <c r="B77" s="45" t="s">
        <v>117</v>
      </c>
      <c r="C77" s="50">
        <v>2</v>
      </c>
      <c r="D77" s="50">
        <v>0</v>
      </c>
      <c r="E77" s="50">
        <v>3</v>
      </c>
      <c r="F77" s="50">
        <v>0</v>
      </c>
      <c r="G77" s="50">
        <v>0</v>
      </c>
      <c r="H77" s="50">
        <v>0</v>
      </c>
      <c r="I77" s="50">
        <v>1</v>
      </c>
      <c r="J77" s="50">
        <v>0</v>
      </c>
      <c r="K77" s="50">
        <v>0</v>
      </c>
      <c r="L77" s="50">
        <v>0</v>
      </c>
      <c r="M77" s="50">
        <v>34</v>
      </c>
      <c r="N77" s="50">
        <v>0</v>
      </c>
      <c r="O77" s="15">
        <f t="shared" si="35"/>
        <v>6</v>
      </c>
      <c r="P77" s="15">
        <f t="shared" si="36"/>
        <v>40</v>
      </c>
      <c r="R77" s="8"/>
      <c r="T77"/>
    </row>
    <row r="78" spans="2:20" ht="23.1" customHeight="1" x14ac:dyDescent="0.25">
      <c r="B78" s="46" t="s">
        <v>118</v>
      </c>
      <c r="C78" s="50">
        <v>0</v>
      </c>
      <c r="D78" s="50">
        <v>0</v>
      </c>
      <c r="E78" s="50">
        <v>0</v>
      </c>
      <c r="F78" s="50">
        <v>0</v>
      </c>
      <c r="G78" s="50">
        <v>0</v>
      </c>
      <c r="H78" s="50">
        <v>0</v>
      </c>
      <c r="I78" s="50">
        <v>0</v>
      </c>
      <c r="J78" s="50">
        <v>1</v>
      </c>
      <c r="K78" s="50">
        <v>0</v>
      </c>
      <c r="L78" s="50">
        <v>0</v>
      </c>
      <c r="M78" s="50">
        <v>30</v>
      </c>
      <c r="N78" s="50">
        <v>0</v>
      </c>
      <c r="O78" s="15">
        <f t="shared" si="35"/>
        <v>1</v>
      </c>
      <c r="P78" s="15">
        <f t="shared" si="36"/>
        <v>31</v>
      </c>
      <c r="R78" s="8"/>
      <c r="T78"/>
    </row>
    <row r="79" spans="2:20" ht="23.1" customHeight="1" x14ac:dyDescent="0.25">
      <c r="B79" s="45" t="s">
        <v>119</v>
      </c>
      <c r="C79" s="50">
        <v>0</v>
      </c>
      <c r="D79" s="50">
        <v>1</v>
      </c>
      <c r="E79" s="50">
        <v>0</v>
      </c>
      <c r="F79" s="50">
        <v>0</v>
      </c>
      <c r="G79" s="50">
        <v>0</v>
      </c>
      <c r="H79" s="50">
        <v>0</v>
      </c>
      <c r="I79" s="50">
        <v>0</v>
      </c>
      <c r="J79" s="50">
        <v>0</v>
      </c>
      <c r="K79" s="50">
        <v>0</v>
      </c>
      <c r="L79" s="50">
        <v>0</v>
      </c>
      <c r="M79" s="50">
        <v>26</v>
      </c>
      <c r="N79" s="50">
        <v>0</v>
      </c>
      <c r="O79" s="15">
        <f t="shared" si="35"/>
        <v>1</v>
      </c>
      <c r="P79" s="15">
        <f t="shared" si="36"/>
        <v>27</v>
      </c>
      <c r="R79" s="8"/>
      <c r="T79"/>
    </row>
    <row r="80" spans="2:20" ht="23.1" customHeight="1" x14ac:dyDescent="0.25">
      <c r="B80" s="47" t="s">
        <v>120</v>
      </c>
      <c r="C80" s="50">
        <v>1</v>
      </c>
      <c r="D80" s="50">
        <v>0</v>
      </c>
      <c r="E80" s="50">
        <v>1</v>
      </c>
      <c r="F80" s="50">
        <v>0</v>
      </c>
      <c r="G80" s="50">
        <v>0</v>
      </c>
      <c r="H80" s="50">
        <v>0</v>
      </c>
      <c r="I80" s="50">
        <v>0</v>
      </c>
      <c r="J80" s="50">
        <v>0</v>
      </c>
      <c r="K80" s="50">
        <v>0</v>
      </c>
      <c r="L80" s="50">
        <v>0</v>
      </c>
      <c r="M80" s="50">
        <v>18</v>
      </c>
      <c r="N80" s="50">
        <v>0</v>
      </c>
      <c r="O80" s="15">
        <f t="shared" si="35"/>
        <v>2</v>
      </c>
      <c r="P80" s="15">
        <f t="shared" si="36"/>
        <v>20</v>
      </c>
      <c r="R80" s="8"/>
      <c r="T80"/>
    </row>
    <row r="81" spans="2:20" ht="23.1" customHeight="1" x14ac:dyDescent="0.25">
      <c r="B81" s="45" t="s">
        <v>121</v>
      </c>
      <c r="C81" s="50">
        <v>2</v>
      </c>
      <c r="D81" s="50">
        <v>0</v>
      </c>
      <c r="E81" s="50">
        <v>0</v>
      </c>
      <c r="F81" s="50">
        <v>0</v>
      </c>
      <c r="G81" s="50">
        <v>0</v>
      </c>
      <c r="H81" s="50">
        <v>0</v>
      </c>
      <c r="I81" s="50">
        <v>1</v>
      </c>
      <c r="J81" s="50">
        <v>1</v>
      </c>
      <c r="K81" s="50">
        <v>0</v>
      </c>
      <c r="L81" s="50">
        <v>0</v>
      </c>
      <c r="M81" s="50">
        <v>13</v>
      </c>
      <c r="N81" s="50">
        <v>0</v>
      </c>
      <c r="O81" s="15">
        <f t="shared" si="35"/>
        <v>4</v>
      </c>
      <c r="P81" s="15">
        <f t="shared" si="36"/>
        <v>17</v>
      </c>
      <c r="R81" s="8"/>
      <c r="T81"/>
    </row>
    <row r="82" spans="2:20" ht="23.1" customHeight="1" x14ac:dyDescent="0.25">
      <c r="B82" s="46" t="s">
        <v>122</v>
      </c>
      <c r="C82" s="50">
        <v>1</v>
      </c>
      <c r="D82" s="50">
        <v>0</v>
      </c>
      <c r="E82" s="50">
        <v>0</v>
      </c>
      <c r="F82" s="50">
        <v>0</v>
      </c>
      <c r="G82" s="50">
        <v>0</v>
      </c>
      <c r="H82" s="50">
        <v>0</v>
      </c>
      <c r="I82" s="50">
        <v>1</v>
      </c>
      <c r="J82" s="50">
        <v>0</v>
      </c>
      <c r="K82" s="50">
        <v>0</v>
      </c>
      <c r="L82" s="50">
        <v>0</v>
      </c>
      <c r="M82" s="50">
        <v>10</v>
      </c>
      <c r="N82" s="50">
        <v>0</v>
      </c>
      <c r="O82" s="15">
        <f t="shared" si="35"/>
        <v>2</v>
      </c>
      <c r="P82" s="15">
        <f t="shared" si="36"/>
        <v>12</v>
      </c>
      <c r="R82" s="8"/>
      <c r="T82"/>
    </row>
    <row r="83" spans="2:20" ht="23.1" customHeight="1" x14ac:dyDescent="0.25">
      <c r="B83" s="45" t="s">
        <v>123</v>
      </c>
      <c r="C83" s="50">
        <v>0</v>
      </c>
      <c r="D83" s="50">
        <v>2</v>
      </c>
      <c r="E83" s="50">
        <v>0</v>
      </c>
      <c r="F83" s="50">
        <v>0</v>
      </c>
      <c r="G83" s="50">
        <v>0</v>
      </c>
      <c r="H83" s="50">
        <v>0</v>
      </c>
      <c r="I83" s="50">
        <v>0</v>
      </c>
      <c r="J83" s="50">
        <v>3</v>
      </c>
      <c r="K83" s="50">
        <v>0</v>
      </c>
      <c r="L83" s="50">
        <v>0</v>
      </c>
      <c r="M83" s="50">
        <v>1</v>
      </c>
      <c r="N83" s="50">
        <v>0</v>
      </c>
      <c r="O83" s="15">
        <f t="shared" si="35"/>
        <v>5</v>
      </c>
      <c r="P83" s="15">
        <f t="shared" si="36"/>
        <v>6</v>
      </c>
      <c r="R83" s="8"/>
      <c r="T83"/>
    </row>
    <row r="84" spans="2:20" ht="23.1" customHeight="1" x14ac:dyDescent="0.25">
      <c r="B84" s="47" t="s">
        <v>124</v>
      </c>
      <c r="C84" s="50">
        <v>0</v>
      </c>
      <c r="D84" s="50">
        <v>0</v>
      </c>
      <c r="E84" s="50">
        <v>0</v>
      </c>
      <c r="F84" s="50">
        <v>0</v>
      </c>
      <c r="G84" s="50">
        <v>0</v>
      </c>
      <c r="H84" s="50">
        <v>0</v>
      </c>
      <c r="I84" s="50">
        <v>0</v>
      </c>
      <c r="J84" s="50">
        <v>0</v>
      </c>
      <c r="K84" s="50">
        <v>0</v>
      </c>
      <c r="L84" s="50">
        <v>0</v>
      </c>
      <c r="M84" s="50">
        <v>0</v>
      </c>
      <c r="N84" s="50">
        <v>0</v>
      </c>
      <c r="O84" s="15">
        <f t="shared" si="35"/>
        <v>0</v>
      </c>
      <c r="P84" s="15">
        <f t="shared" si="36"/>
        <v>0</v>
      </c>
      <c r="R84" s="8"/>
      <c r="T84"/>
    </row>
    <row r="85" spans="2:20" ht="23.1" customHeight="1" x14ac:dyDescent="0.25">
      <c r="B85" s="45" t="s">
        <v>125</v>
      </c>
      <c r="C85" s="50">
        <v>0</v>
      </c>
      <c r="D85" s="50">
        <v>0</v>
      </c>
      <c r="E85" s="50">
        <v>0</v>
      </c>
      <c r="F85" s="50">
        <v>0</v>
      </c>
      <c r="G85" s="50">
        <v>0</v>
      </c>
      <c r="H85" s="50">
        <v>0</v>
      </c>
      <c r="I85" s="50">
        <v>0</v>
      </c>
      <c r="J85" s="50">
        <v>0</v>
      </c>
      <c r="K85" s="50">
        <v>0</v>
      </c>
      <c r="L85" s="50">
        <v>0</v>
      </c>
      <c r="M85" s="50">
        <v>0</v>
      </c>
      <c r="N85" s="50">
        <v>0</v>
      </c>
      <c r="O85" s="15">
        <f t="shared" si="35"/>
        <v>0</v>
      </c>
      <c r="P85" s="15">
        <f t="shared" si="36"/>
        <v>0</v>
      </c>
      <c r="R85" s="8"/>
      <c r="T85"/>
    </row>
    <row r="86" spans="2:20" ht="23.1" customHeight="1" x14ac:dyDescent="0.25">
      <c r="B86" s="46" t="s">
        <v>126</v>
      </c>
      <c r="C86" s="50">
        <v>0</v>
      </c>
      <c r="D86" s="50">
        <v>0</v>
      </c>
      <c r="E86" s="50">
        <v>0</v>
      </c>
      <c r="F86" s="50">
        <v>0</v>
      </c>
      <c r="G86" s="50">
        <v>0</v>
      </c>
      <c r="H86" s="50">
        <v>0</v>
      </c>
      <c r="I86" s="50">
        <v>0</v>
      </c>
      <c r="J86" s="50">
        <v>0</v>
      </c>
      <c r="K86" s="50">
        <v>0</v>
      </c>
      <c r="L86" s="50">
        <v>10</v>
      </c>
      <c r="M86" s="50">
        <v>0</v>
      </c>
      <c r="N86" s="50">
        <v>0</v>
      </c>
      <c r="O86" s="15">
        <f t="shared" si="35"/>
        <v>10</v>
      </c>
      <c r="P86" s="15">
        <f t="shared" si="36"/>
        <v>10</v>
      </c>
      <c r="R86" s="8"/>
      <c r="T86"/>
    </row>
    <row r="87" spans="2:20" ht="23.1" customHeight="1" x14ac:dyDescent="0.25">
      <c r="B87" s="45" t="s">
        <v>127</v>
      </c>
      <c r="C87" s="50">
        <v>0</v>
      </c>
      <c r="D87" s="50">
        <v>0</v>
      </c>
      <c r="E87" s="50">
        <v>1</v>
      </c>
      <c r="F87" s="50">
        <v>0</v>
      </c>
      <c r="G87" s="50">
        <v>0</v>
      </c>
      <c r="H87" s="50">
        <v>0</v>
      </c>
      <c r="I87" s="50">
        <v>0</v>
      </c>
      <c r="J87" s="50">
        <v>0</v>
      </c>
      <c r="K87" s="50">
        <v>0</v>
      </c>
      <c r="L87" s="50">
        <v>0</v>
      </c>
      <c r="M87" s="50">
        <v>0</v>
      </c>
      <c r="N87" s="50">
        <v>0</v>
      </c>
      <c r="O87" s="15">
        <f t="shared" si="35"/>
        <v>1</v>
      </c>
      <c r="P87" s="15">
        <f t="shared" si="36"/>
        <v>1</v>
      </c>
      <c r="R87" s="8"/>
      <c r="T87"/>
    </row>
    <row r="88" spans="2:20" ht="23.1" customHeight="1" x14ac:dyDescent="0.25">
      <c r="B88" s="47" t="s">
        <v>128</v>
      </c>
      <c r="C88" s="50">
        <v>1</v>
      </c>
      <c r="D88" s="50">
        <v>0</v>
      </c>
      <c r="E88" s="50">
        <v>0</v>
      </c>
      <c r="F88" s="50">
        <v>0</v>
      </c>
      <c r="G88" s="50">
        <v>0</v>
      </c>
      <c r="H88" s="50">
        <v>0</v>
      </c>
      <c r="I88" s="50">
        <v>0</v>
      </c>
      <c r="J88" s="50">
        <v>0</v>
      </c>
      <c r="K88" s="50">
        <v>0</v>
      </c>
      <c r="L88" s="50">
        <v>0</v>
      </c>
      <c r="M88" s="50">
        <v>0</v>
      </c>
      <c r="N88" s="50">
        <v>0</v>
      </c>
      <c r="O88" s="15">
        <f t="shared" si="35"/>
        <v>1</v>
      </c>
      <c r="P88" s="15">
        <f t="shared" si="36"/>
        <v>1</v>
      </c>
      <c r="R88" s="8"/>
      <c r="T88"/>
    </row>
    <row r="89" spans="2:20" ht="23.1" customHeight="1" x14ac:dyDescent="0.25">
      <c r="B89" s="45" t="s">
        <v>129</v>
      </c>
      <c r="C89" s="50">
        <v>0</v>
      </c>
      <c r="D89" s="50">
        <v>0</v>
      </c>
      <c r="E89" s="50">
        <v>0</v>
      </c>
      <c r="F89" s="50">
        <v>0</v>
      </c>
      <c r="G89" s="50">
        <v>0</v>
      </c>
      <c r="H89" s="50">
        <v>0</v>
      </c>
      <c r="I89" s="50">
        <v>0</v>
      </c>
      <c r="J89" s="50">
        <v>0</v>
      </c>
      <c r="K89" s="50">
        <v>0</v>
      </c>
      <c r="L89" s="50">
        <v>1</v>
      </c>
      <c r="M89" s="50">
        <v>0</v>
      </c>
      <c r="N89" s="50">
        <v>0</v>
      </c>
      <c r="O89" s="15">
        <f t="shared" si="35"/>
        <v>1</v>
      </c>
      <c r="P89" s="15">
        <f t="shared" si="36"/>
        <v>1</v>
      </c>
      <c r="R89" s="8"/>
      <c r="T89"/>
    </row>
    <row r="90" spans="2:20" ht="23.1" customHeight="1" x14ac:dyDescent="0.25">
      <c r="B90" s="46" t="s">
        <v>130</v>
      </c>
      <c r="C90" s="50">
        <v>0</v>
      </c>
      <c r="D90" s="50">
        <v>2</v>
      </c>
      <c r="E90" s="50">
        <v>0</v>
      </c>
      <c r="F90" s="50">
        <v>0</v>
      </c>
      <c r="G90" s="50">
        <v>0</v>
      </c>
      <c r="H90" s="50">
        <v>0</v>
      </c>
      <c r="I90" s="50">
        <v>0</v>
      </c>
      <c r="J90" s="50">
        <v>2</v>
      </c>
      <c r="K90" s="50">
        <v>0</v>
      </c>
      <c r="L90" s="50">
        <v>0</v>
      </c>
      <c r="M90" s="50">
        <v>3</v>
      </c>
      <c r="N90" s="50">
        <v>0</v>
      </c>
      <c r="O90" s="15">
        <f t="shared" si="35"/>
        <v>4</v>
      </c>
      <c r="P90" s="15">
        <f t="shared" si="36"/>
        <v>7</v>
      </c>
      <c r="R90" s="8"/>
      <c r="T90"/>
    </row>
    <row r="91" spans="2:20" ht="23.1" customHeight="1" x14ac:dyDescent="0.25">
      <c r="B91" s="45" t="s">
        <v>131</v>
      </c>
      <c r="C91" s="50">
        <v>0</v>
      </c>
      <c r="D91" s="50">
        <v>0</v>
      </c>
      <c r="E91" s="50">
        <v>0</v>
      </c>
      <c r="F91" s="50">
        <v>0</v>
      </c>
      <c r="G91" s="50">
        <v>0</v>
      </c>
      <c r="H91" s="50">
        <v>0</v>
      </c>
      <c r="I91" s="50">
        <v>0</v>
      </c>
      <c r="J91" s="50">
        <v>0</v>
      </c>
      <c r="K91" s="50">
        <v>0</v>
      </c>
      <c r="L91" s="50">
        <v>0</v>
      </c>
      <c r="M91" s="50">
        <v>0</v>
      </c>
      <c r="N91" s="50">
        <v>0</v>
      </c>
      <c r="O91" s="15">
        <f t="shared" si="35"/>
        <v>0</v>
      </c>
      <c r="P91" s="15">
        <f t="shared" si="36"/>
        <v>0</v>
      </c>
      <c r="R91" s="8"/>
      <c r="T91"/>
    </row>
    <row r="92" spans="2:20" ht="23.1" customHeight="1" x14ac:dyDescent="0.25">
      <c r="B92" s="47" t="s">
        <v>132</v>
      </c>
      <c r="C92" s="50">
        <v>0</v>
      </c>
      <c r="D92" s="50">
        <v>0</v>
      </c>
      <c r="E92" s="50">
        <v>2</v>
      </c>
      <c r="F92" s="50">
        <v>0</v>
      </c>
      <c r="G92" s="50">
        <v>0</v>
      </c>
      <c r="H92" s="50">
        <v>0</v>
      </c>
      <c r="I92" s="50">
        <v>0</v>
      </c>
      <c r="J92" s="50">
        <v>1</v>
      </c>
      <c r="K92" s="50">
        <v>0</v>
      </c>
      <c r="L92" s="50">
        <v>0</v>
      </c>
      <c r="M92" s="50">
        <v>0</v>
      </c>
      <c r="N92" s="50"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45" t="s">
        <v>133</v>
      </c>
      <c r="C93" s="50">
        <v>1</v>
      </c>
      <c r="D93" s="50">
        <v>0</v>
      </c>
      <c r="E93" s="50">
        <v>0</v>
      </c>
      <c r="F93" s="50">
        <v>1</v>
      </c>
      <c r="G93" s="50">
        <v>0</v>
      </c>
      <c r="H93" s="50">
        <v>0</v>
      </c>
      <c r="I93" s="50">
        <v>0</v>
      </c>
      <c r="J93" s="50">
        <v>0</v>
      </c>
      <c r="K93" s="50">
        <v>0</v>
      </c>
      <c r="L93" s="50">
        <v>0</v>
      </c>
      <c r="M93" s="50">
        <v>0</v>
      </c>
      <c r="N93" s="50">
        <v>0</v>
      </c>
      <c r="O93" s="15">
        <f t="shared" si="35"/>
        <v>2</v>
      </c>
      <c r="P93" s="15">
        <f t="shared" si="36"/>
        <v>2</v>
      </c>
      <c r="R93" s="8"/>
      <c r="T93"/>
    </row>
    <row r="94" spans="2:20" ht="23.1" customHeight="1" x14ac:dyDescent="0.25">
      <c r="B94" s="46" t="s">
        <v>134</v>
      </c>
      <c r="C94" s="50">
        <v>0</v>
      </c>
      <c r="D94" s="50">
        <v>0</v>
      </c>
      <c r="E94" s="50">
        <v>0</v>
      </c>
      <c r="F94" s="50">
        <v>1</v>
      </c>
      <c r="G94" s="50">
        <v>0</v>
      </c>
      <c r="H94" s="50">
        <v>0</v>
      </c>
      <c r="I94" s="50">
        <v>1</v>
      </c>
      <c r="J94" s="50">
        <v>0</v>
      </c>
      <c r="K94" s="50">
        <v>0</v>
      </c>
      <c r="L94" s="50">
        <v>0</v>
      </c>
      <c r="M94" s="50">
        <v>1</v>
      </c>
      <c r="N94" s="50">
        <v>0</v>
      </c>
      <c r="O94" s="15">
        <f t="shared" si="35"/>
        <v>2</v>
      </c>
      <c r="P94" s="15">
        <f t="shared" si="36"/>
        <v>3</v>
      </c>
      <c r="R94" s="8"/>
      <c r="T94"/>
    </row>
    <row r="95" spans="2:20" ht="23.1" customHeight="1" x14ac:dyDescent="0.25">
      <c r="B95" s="45" t="s">
        <v>135</v>
      </c>
      <c r="C95" s="50">
        <v>0</v>
      </c>
      <c r="D95" s="50">
        <v>0</v>
      </c>
      <c r="E95" s="50">
        <v>3</v>
      </c>
      <c r="F95" s="50">
        <v>0</v>
      </c>
      <c r="G95" s="50">
        <v>0</v>
      </c>
      <c r="H95" s="50">
        <v>0</v>
      </c>
      <c r="I95" s="50">
        <v>0</v>
      </c>
      <c r="J95" s="50">
        <v>0</v>
      </c>
      <c r="K95" s="50">
        <v>1</v>
      </c>
      <c r="L95" s="50">
        <v>0</v>
      </c>
      <c r="M95" s="50">
        <v>0</v>
      </c>
      <c r="N95" s="50">
        <v>0</v>
      </c>
      <c r="O95" s="15">
        <f t="shared" si="35"/>
        <v>4</v>
      </c>
      <c r="P95" s="15">
        <f t="shared" si="36"/>
        <v>4</v>
      </c>
      <c r="R95" s="8"/>
      <c r="T95"/>
    </row>
    <row r="96" spans="2:20" ht="23.1" customHeight="1" x14ac:dyDescent="0.25">
      <c r="B96" s="47" t="s">
        <v>136</v>
      </c>
      <c r="C96" s="50">
        <v>0</v>
      </c>
      <c r="D96" s="50">
        <v>0</v>
      </c>
      <c r="E96" s="50">
        <v>0</v>
      </c>
      <c r="F96" s="50">
        <v>0</v>
      </c>
      <c r="G96" s="50">
        <v>0</v>
      </c>
      <c r="H96" s="50">
        <v>0</v>
      </c>
      <c r="I96" s="50">
        <v>1</v>
      </c>
      <c r="J96" s="50">
        <v>2</v>
      </c>
      <c r="K96" s="50">
        <v>0</v>
      </c>
      <c r="L96" s="50">
        <v>0</v>
      </c>
      <c r="M96" s="50">
        <v>0</v>
      </c>
      <c r="N96" s="50">
        <v>0</v>
      </c>
      <c r="O96" s="15">
        <f t="shared" si="35"/>
        <v>3</v>
      </c>
      <c r="P96" s="15">
        <f t="shared" si="36"/>
        <v>3</v>
      </c>
      <c r="R96" s="8"/>
      <c r="T96"/>
    </row>
    <row r="97" spans="2:20" ht="23.1" customHeight="1" x14ac:dyDescent="0.25">
      <c r="B97" s="45" t="s">
        <v>137</v>
      </c>
      <c r="C97" s="50">
        <v>0</v>
      </c>
      <c r="D97" s="50">
        <v>0</v>
      </c>
      <c r="E97" s="50">
        <v>0</v>
      </c>
      <c r="F97" s="50">
        <v>0</v>
      </c>
      <c r="G97" s="50">
        <v>0</v>
      </c>
      <c r="H97" s="50">
        <v>0</v>
      </c>
      <c r="I97" s="50">
        <v>0</v>
      </c>
      <c r="J97" s="50">
        <v>0</v>
      </c>
      <c r="K97" s="50">
        <v>0</v>
      </c>
      <c r="L97" s="50">
        <v>1</v>
      </c>
      <c r="M97" s="50">
        <v>0</v>
      </c>
      <c r="N97" s="50">
        <v>0</v>
      </c>
      <c r="O97" s="15">
        <f t="shared" si="35"/>
        <v>1</v>
      </c>
      <c r="P97" s="15">
        <f t="shared" si="36"/>
        <v>1</v>
      </c>
      <c r="R97" s="8"/>
      <c r="T97"/>
    </row>
    <row r="98" spans="2:20" ht="23.1" customHeight="1" x14ac:dyDescent="0.25">
      <c r="B98" s="46" t="s">
        <v>138</v>
      </c>
      <c r="C98" s="50">
        <v>2</v>
      </c>
      <c r="D98" s="50">
        <v>0</v>
      </c>
      <c r="E98" s="50">
        <v>1</v>
      </c>
      <c r="F98" s="50">
        <v>2</v>
      </c>
      <c r="G98" s="50">
        <v>0</v>
      </c>
      <c r="H98" s="50">
        <v>0</v>
      </c>
      <c r="I98" s="50">
        <v>1</v>
      </c>
      <c r="J98" s="50">
        <v>0</v>
      </c>
      <c r="K98" s="50">
        <v>0</v>
      </c>
      <c r="L98" s="50">
        <v>0</v>
      </c>
      <c r="M98" s="50">
        <v>0</v>
      </c>
      <c r="N98" s="50">
        <v>0</v>
      </c>
      <c r="O98" s="15">
        <f t="shared" si="35"/>
        <v>6</v>
      </c>
      <c r="P98" s="15">
        <f t="shared" si="36"/>
        <v>6</v>
      </c>
      <c r="R98" s="8"/>
      <c r="T98"/>
    </row>
    <row r="99" spans="2:20" ht="23.1" customHeight="1" x14ac:dyDescent="0.25">
      <c r="B99" s="45" t="s">
        <v>139</v>
      </c>
      <c r="C99" s="50">
        <v>1</v>
      </c>
      <c r="D99" s="50">
        <v>0</v>
      </c>
      <c r="E99" s="50">
        <v>0</v>
      </c>
      <c r="F99" s="50">
        <v>0</v>
      </c>
      <c r="G99" s="50">
        <v>0</v>
      </c>
      <c r="H99" s="50">
        <v>0</v>
      </c>
      <c r="I99" s="50">
        <v>2</v>
      </c>
      <c r="J99" s="50">
        <v>0</v>
      </c>
      <c r="K99" s="50">
        <v>0</v>
      </c>
      <c r="L99" s="50">
        <v>0</v>
      </c>
      <c r="M99" s="50">
        <v>0</v>
      </c>
      <c r="N99" s="50"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47" t="s">
        <v>140</v>
      </c>
      <c r="C100" s="50">
        <v>0</v>
      </c>
      <c r="D100" s="50">
        <v>2</v>
      </c>
      <c r="E100" s="50">
        <v>0</v>
      </c>
      <c r="F100" s="50">
        <v>3</v>
      </c>
      <c r="G100" s="50">
        <v>1</v>
      </c>
      <c r="H100" s="50">
        <v>0</v>
      </c>
      <c r="I100" s="50">
        <v>0</v>
      </c>
      <c r="J100" s="50">
        <v>2</v>
      </c>
      <c r="K100" s="50">
        <v>2</v>
      </c>
      <c r="L100" s="50">
        <v>0</v>
      </c>
      <c r="M100" s="50">
        <v>1</v>
      </c>
      <c r="N100" s="50">
        <v>0</v>
      </c>
      <c r="O100" s="15">
        <f t="shared" si="35"/>
        <v>10</v>
      </c>
      <c r="P100" s="15">
        <f t="shared" si="36"/>
        <v>11</v>
      </c>
      <c r="R100" s="8"/>
      <c r="T100"/>
    </row>
    <row r="101" spans="2:20" ht="23.1" customHeight="1" x14ac:dyDescent="0.25">
      <c r="B101" s="45" t="s">
        <v>141</v>
      </c>
      <c r="C101" s="50">
        <v>2</v>
      </c>
      <c r="D101" s="50">
        <v>1</v>
      </c>
      <c r="E101" s="50">
        <v>3</v>
      </c>
      <c r="F101" s="50">
        <v>2</v>
      </c>
      <c r="G101" s="50">
        <v>0</v>
      </c>
      <c r="H101" s="50">
        <v>0</v>
      </c>
      <c r="I101" s="50">
        <v>0</v>
      </c>
      <c r="J101" s="50">
        <v>1</v>
      </c>
      <c r="K101" s="50">
        <v>0</v>
      </c>
      <c r="L101" s="50">
        <v>0</v>
      </c>
      <c r="M101" s="50">
        <v>2</v>
      </c>
      <c r="N101" s="50">
        <v>0</v>
      </c>
      <c r="O101" s="15">
        <f t="shared" si="35"/>
        <v>9</v>
      </c>
      <c r="P101" s="15">
        <f t="shared" si="36"/>
        <v>11</v>
      </c>
      <c r="R101" s="8"/>
      <c r="T101"/>
    </row>
    <row r="102" spans="2:20" ht="23.1" customHeight="1" x14ac:dyDescent="0.25">
      <c r="B102" s="46" t="s">
        <v>142</v>
      </c>
      <c r="C102" s="50">
        <v>4</v>
      </c>
      <c r="D102" s="50">
        <v>1</v>
      </c>
      <c r="E102" s="50">
        <v>1</v>
      </c>
      <c r="F102" s="50">
        <v>5</v>
      </c>
      <c r="G102" s="50">
        <v>0</v>
      </c>
      <c r="H102" s="50">
        <v>0</v>
      </c>
      <c r="I102" s="50">
        <v>2</v>
      </c>
      <c r="J102" s="50">
        <v>1</v>
      </c>
      <c r="K102" s="50">
        <v>0</v>
      </c>
      <c r="L102" s="50">
        <v>0</v>
      </c>
      <c r="M102" s="50">
        <v>14</v>
      </c>
      <c r="N102" s="50">
        <v>0</v>
      </c>
      <c r="O102" s="15">
        <f t="shared" si="35"/>
        <v>14</v>
      </c>
      <c r="P102" s="15">
        <f t="shared" si="36"/>
        <v>28</v>
      </c>
      <c r="R102" s="8"/>
      <c r="T102"/>
    </row>
    <row r="103" spans="2:20" ht="23.1" customHeight="1" x14ac:dyDescent="0.25">
      <c r="B103" s="45" t="s">
        <v>143</v>
      </c>
      <c r="C103" s="50">
        <v>0</v>
      </c>
      <c r="D103" s="50">
        <v>0</v>
      </c>
      <c r="E103" s="50">
        <v>1</v>
      </c>
      <c r="F103" s="50">
        <v>3</v>
      </c>
      <c r="G103" s="50">
        <v>0</v>
      </c>
      <c r="H103" s="50">
        <v>0</v>
      </c>
      <c r="I103" s="50">
        <v>1</v>
      </c>
      <c r="J103" s="50">
        <v>0</v>
      </c>
      <c r="K103" s="50">
        <v>0</v>
      </c>
      <c r="L103" s="50">
        <v>0</v>
      </c>
      <c r="M103" s="50">
        <v>13</v>
      </c>
      <c r="N103" s="50">
        <v>0</v>
      </c>
      <c r="O103" s="15">
        <f t="shared" si="35"/>
        <v>5</v>
      </c>
      <c r="P103" s="15">
        <f t="shared" si="36"/>
        <v>18</v>
      </c>
      <c r="R103" s="8"/>
      <c r="T103"/>
    </row>
    <row r="104" spans="2:20" ht="23.1" customHeight="1" x14ac:dyDescent="0.25">
      <c r="B104" s="47" t="s">
        <v>144</v>
      </c>
      <c r="C104" s="50">
        <v>0</v>
      </c>
      <c r="D104" s="50">
        <v>2</v>
      </c>
      <c r="E104" s="50">
        <v>3</v>
      </c>
      <c r="F104" s="50">
        <v>5</v>
      </c>
      <c r="G104" s="50">
        <v>0</v>
      </c>
      <c r="H104" s="50">
        <v>0</v>
      </c>
      <c r="I104" s="50">
        <v>0</v>
      </c>
      <c r="J104" s="50">
        <v>1</v>
      </c>
      <c r="K104" s="50">
        <v>0</v>
      </c>
      <c r="L104" s="50">
        <v>0</v>
      </c>
      <c r="M104" s="50">
        <v>20</v>
      </c>
      <c r="N104" s="50">
        <v>0</v>
      </c>
      <c r="O104" s="15">
        <f t="shared" si="35"/>
        <v>11</v>
      </c>
      <c r="P104" s="15">
        <f t="shared" si="36"/>
        <v>31</v>
      </c>
      <c r="R104" s="8"/>
      <c r="T104"/>
    </row>
    <row r="105" spans="2:20" ht="23.1" customHeight="1" x14ac:dyDescent="0.25">
      <c r="B105" s="45" t="s">
        <v>145</v>
      </c>
      <c r="C105" s="50">
        <v>2</v>
      </c>
      <c r="D105" s="50">
        <v>3</v>
      </c>
      <c r="E105" s="50">
        <v>2</v>
      </c>
      <c r="F105" s="50">
        <v>10</v>
      </c>
      <c r="G105" s="50">
        <v>0</v>
      </c>
      <c r="H105" s="50">
        <v>0</v>
      </c>
      <c r="I105" s="50">
        <v>3</v>
      </c>
      <c r="J105" s="50">
        <v>0</v>
      </c>
      <c r="K105" s="50">
        <v>0</v>
      </c>
      <c r="L105" s="50">
        <v>0</v>
      </c>
      <c r="M105" s="50">
        <v>28</v>
      </c>
      <c r="N105" s="50">
        <v>0</v>
      </c>
      <c r="O105" s="15">
        <f t="shared" si="35"/>
        <v>20</v>
      </c>
      <c r="P105" s="15">
        <f t="shared" si="36"/>
        <v>48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231</v>
      </c>
      <c r="D106" s="16">
        <f t="shared" ref="D106:P106" si="37">SUM(D10:D105)</f>
        <v>92</v>
      </c>
      <c r="E106" s="16">
        <f t="shared" si="37"/>
        <v>95</v>
      </c>
      <c r="F106" s="16">
        <f t="shared" si="37"/>
        <v>226</v>
      </c>
      <c r="G106" s="16">
        <f t="shared" si="37"/>
        <v>6</v>
      </c>
      <c r="H106" s="16">
        <f t="shared" si="37"/>
        <v>0</v>
      </c>
      <c r="I106" s="16">
        <f t="shared" si="37"/>
        <v>80</v>
      </c>
      <c r="J106" s="16">
        <f t="shared" si="37"/>
        <v>85</v>
      </c>
      <c r="K106" s="16">
        <f t="shared" si="37"/>
        <v>18</v>
      </c>
      <c r="L106" s="16">
        <f t="shared" si="37"/>
        <v>15</v>
      </c>
      <c r="M106" s="16">
        <f t="shared" si="37"/>
        <v>4701</v>
      </c>
      <c r="N106" s="16">
        <f t="shared" si="37"/>
        <v>2</v>
      </c>
      <c r="O106" s="16">
        <f t="shared" si="37"/>
        <v>850</v>
      </c>
      <c r="P106" s="16">
        <f t="shared" si="37"/>
        <v>5551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4.1614123581336697E-2</v>
      </c>
      <c r="D107" s="43">
        <f t="shared" si="38"/>
        <v>1.6573590344082147E-2</v>
      </c>
      <c r="E107" s="43">
        <f t="shared" si="38"/>
        <v>1.7114033507476131E-2</v>
      </c>
      <c r="F107" s="43">
        <f t="shared" si="38"/>
        <v>4.0713384975680056E-2</v>
      </c>
      <c r="G107" s="43">
        <f t="shared" si="38"/>
        <v>1.0808863267879661E-3</v>
      </c>
      <c r="H107" s="43">
        <f t="shared" si="38"/>
        <v>0</v>
      </c>
      <c r="I107" s="43">
        <f t="shared" si="38"/>
        <v>1.4411817690506215E-2</v>
      </c>
      <c r="J107" s="43">
        <f t="shared" si="38"/>
        <v>1.5312556296162854E-2</v>
      </c>
      <c r="K107" s="43">
        <f t="shared" si="38"/>
        <v>3.2426589803638984E-3</v>
      </c>
      <c r="L107" s="43">
        <f t="shared" si="38"/>
        <v>2.7022158169699153E-3</v>
      </c>
      <c r="M107" s="43">
        <f t="shared" si="38"/>
        <v>0.84687443703837151</v>
      </c>
      <c r="N107" s="43">
        <f t="shared" si="38"/>
        <v>3.6029544226265538E-4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0.27176470588235296</v>
      </c>
      <c r="D108" s="44">
        <f t="shared" ref="D108:N108" si="39">D106/$O$106</f>
        <v>0.10823529411764705</v>
      </c>
      <c r="E108" s="44">
        <f t="shared" si="39"/>
        <v>0.11176470588235295</v>
      </c>
      <c r="F108" s="44">
        <f t="shared" si="39"/>
        <v>0.26588235294117646</v>
      </c>
      <c r="G108" s="44">
        <f t="shared" si="39"/>
        <v>7.058823529411765E-3</v>
      </c>
      <c r="H108" s="44">
        <f t="shared" si="39"/>
        <v>0</v>
      </c>
      <c r="I108" s="44">
        <f t="shared" si="39"/>
        <v>9.4117647058823528E-2</v>
      </c>
      <c r="J108" s="44">
        <f t="shared" si="39"/>
        <v>0.1</v>
      </c>
      <c r="K108" s="44">
        <f t="shared" si="39"/>
        <v>2.1176470588235293E-2</v>
      </c>
      <c r="L108" s="44">
        <f t="shared" si="39"/>
        <v>1.7647058823529412E-2</v>
      </c>
      <c r="M108" s="44"/>
      <c r="N108" s="44">
        <f t="shared" si="39"/>
        <v>2.352941176470588E-3</v>
      </c>
      <c r="Q108" s="7"/>
      <c r="R108" s="8"/>
      <c r="T108"/>
    </row>
    <row r="109" spans="2:20" ht="23.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3.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3.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3.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3.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3.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3.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3.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3.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3.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3.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3.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3.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3.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3.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3.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3.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3.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3.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3.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3.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3.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3.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3.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3.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3.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3.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3.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3.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3.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3.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3.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3.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3.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3.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3.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3.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3.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3.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3.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3.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3.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3.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3.1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3.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3.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3.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3.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3.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3.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3.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3.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3.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3.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3.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3.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3.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3.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3.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3.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3.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3.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3.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3.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3.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3.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174</v>
      </c>
      <c r="E5" s="3"/>
      <c r="F5" s="41" t="s">
        <v>1</v>
      </c>
      <c r="G5" s="61" t="str">
        <f>'25.08 Kaliro-Iganga'!G5:H5</f>
        <v>Kigulu</v>
      </c>
      <c r="H5" s="62"/>
      <c r="I5" s="14"/>
      <c r="J5" s="2" t="s">
        <v>5</v>
      </c>
      <c r="K5" s="61" t="str">
        <f>'22.08 Iganga-Kaliro'!K5:L5</f>
        <v>Kirabo Edith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'25.08 Kaliro-Iganga'!K6:L6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2</v>
      </c>
      <c r="E10" s="50">
        <v>1</v>
      </c>
      <c r="F10" s="50">
        <v>5</v>
      </c>
      <c r="G10" s="50">
        <v>0</v>
      </c>
      <c r="H10" s="50">
        <v>0</v>
      </c>
      <c r="I10" s="50">
        <v>0</v>
      </c>
      <c r="J10" s="50">
        <v>1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12</v>
      </c>
      <c r="P10" s="15">
        <f t="shared" ref="P10:P57" si="1">SUM(C10:N10)</f>
        <v>77</v>
      </c>
      <c r="R10" s="1" t="s">
        <v>6</v>
      </c>
      <c r="S10" s="17">
        <f t="shared" ref="S10:AF10" si="2">SUM(C10:C13)</f>
        <v>15</v>
      </c>
      <c r="T10" s="17">
        <f t="shared" si="2"/>
        <v>13</v>
      </c>
      <c r="U10" s="17">
        <f t="shared" si="2"/>
        <v>11</v>
      </c>
      <c r="V10" s="17">
        <f t="shared" si="2"/>
        <v>15</v>
      </c>
      <c r="W10" s="17">
        <f t="shared" si="2"/>
        <v>0</v>
      </c>
      <c r="X10" s="17">
        <f t="shared" si="2"/>
        <v>0</v>
      </c>
      <c r="Y10" s="17">
        <f t="shared" si="2"/>
        <v>0</v>
      </c>
      <c r="Z10" s="17">
        <f t="shared" si="2"/>
        <v>6</v>
      </c>
      <c r="AA10" s="17">
        <f t="shared" si="2"/>
        <v>0</v>
      </c>
      <c r="AB10" s="17">
        <f t="shared" si="2"/>
        <v>0</v>
      </c>
      <c r="AC10" s="17">
        <f t="shared" si="2"/>
        <v>245</v>
      </c>
      <c r="AD10" s="17">
        <f t="shared" si="2"/>
        <v>2</v>
      </c>
      <c r="AE10" s="31">
        <f t="shared" si="2"/>
        <v>62</v>
      </c>
      <c r="AF10" s="31">
        <f t="shared" si="2"/>
        <v>307</v>
      </c>
    </row>
    <row r="11" spans="2:32" s="6" customFormat="1" ht="23.1" customHeight="1" x14ac:dyDescent="0.25">
      <c r="B11" s="23" t="s">
        <v>38</v>
      </c>
      <c r="C11" s="50">
        <v>2</v>
      </c>
      <c r="D11" s="50">
        <v>3</v>
      </c>
      <c r="E11" s="50">
        <v>4</v>
      </c>
      <c r="F11" s="50">
        <v>4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70</v>
      </c>
      <c r="N11" s="50">
        <v>2</v>
      </c>
      <c r="O11" s="15">
        <f t="shared" si="0"/>
        <v>17</v>
      </c>
      <c r="P11" s="15">
        <f t="shared" si="1"/>
        <v>87</v>
      </c>
      <c r="R11" s="1" t="s">
        <v>7</v>
      </c>
      <c r="S11" s="17">
        <f t="shared" ref="S11:AF11" si="3">SUM(C14:C17)</f>
        <v>18</v>
      </c>
      <c r="T11" s="17">
        <f t="shared" si="3"/>
        <v>11</v>
      </c>
      <c r="U11" s="17">
        <f t="shared" si="3"/>
        <v>7</v>
      </c>
      <c r="V11" s="17">
        <f t="shared" si="3"/>
        <v>14</v>
      </c>
      <c r="W11" s="17">
        <f t="shared" si="3"/>
        <v>0</v>
      </c>
      <c r="X11" s="17">
        <f t="shared" si="3"/>
        <v>0</v>
      </c>
      <c r="Y11" s="17">
        <f t="shared" si="3"/>
        <v>3</v>
      </c>
      <c r="Z11" s="17">
        <f t="shared" si="3"/>
        <v>7</v>
      </c>
      <c r="AA11" s="17">
        <f t="shared" si="3"/>
        <v>0</v>
      </c>
      <c r="AB11" s="17">
        <f t="shared" si="3"/>
        <v>0</v>
      </c>
      <c r="AC11" s="17">
        <f t="shared" si="3"/>
        <v>315</v>
      </c>
      <c r="AD11" s="17">
        <f t="shared" si="3"/>
        <v>0</v>
      </c>
      <c r="AE11" s="31">
        <f t="shared" si="3"/>
        <v>60</v>
      </c>
      <c r="AF11" s="31">
        <f t="shared" si="3"/>
        <v>375</v>
      </c>
    </row>
    <row r="12" spans="2:32" ht="23.1" customHeight="1" x14ac:dyDescent="0.25">
      <c r="B12" s="23" t="s">
        <v>39</v>
      </c>
      <c r="C12" s="50">
        <v>6</v>
      </c>
      <c r="D12" s="50">
        <v>5</v>
      </c>
      <c r="E12" s="50">
        <v>4</v>
      </c>
      <c r="F12" s="50">
        <v>3</v>
      </c>
      <c r="G12" s="50">
        <v>0</v>
      </c>
      <c r="H12" s="50">
        <v>0</v>
      </c>
      <c r="I12" s="50">
        <v>0</v>
      </c>
      <c r="J12" s="50">
        <v>3</v>
      </c>
      <c r="K12" s="50">
        <v>0</v>
      </c>
      <c r="L12" s="50">
        <v>0</v>
      </c>
      <c r="M12" s="50">
        <v>60</v>
      </c>
      <c r="N12" s="50">
        <v>0</v>
      </c>
      <c r="O12" s="15">
        <f t="shared" si="0"/>
        <v>21</v>
      </c>
      <c r="P12" s="15">
        <f t="shared" si="1"/>
        <v>81</v>
      </c>
      <c r="R12" s="1" t="s">
        <v>8</v>
      </c>
      <c r="S12" s="17">
        <f t="shared" ref="S12:AF12" si="4">SUM(C18:C21)</f>
        <v>16</v>
      </c>
      <c r="T12" s="17">
        <f t="shared" si="4"/>
        <v>8</v>
      </c>
      <c r="U12" s="17">
        <f t="shared" si="4"/>
        <v>10</v>
      </c>
      <c r="V12" s="17">
        <f t="shared" si="4"/>
        <v>7</v>
      </c>
      <c r="W12" s="17">
        <f t="shared" si="4"/>
        <v>0</v>
      </c>
      <c r="X12" s="17">
        <f t="shared" si="4"/>
        <v>0</v>
      </c>
      <c r="Y12" s="17">
        <f t="shared" si="4"/>
        <v>2</v>
      </c>
      <c r="Z12" s="17">
        <f t="shared" si="4"/>
        <v>4</v>
      </c>
      <c r="AA12" s="17">
        <f t="shared" si="4"/>
        <v>0</v>
      </c>
      <c r="AB12" s="17">
        <f t="shared" si="4"/>
        <v>0</v>
      </c>
      <c r="AC12" s="17">
        <f t="shared" si="4"/>
        <v>275</v>
      </c>
      <c r="AD12" s="17">
        <f t="shared" si="4"/>
        <v>0</v>
      </c>
      <c r="AE12" s="31">
        <f t="shared" si="4"/>
        <v>47</v>
      </c>
      <c r="AF12" s="31">
        <f t="shared" si="4"/>
        <v>322</v>
      </c>
    </row>
    <row r="13" spans="2:32" ht="23.1" customHeight="1" x14ac:dyDescent="0.25">
      <c r="B13" s="23" t="s">
        <v>40</v>
      </c>
      <c r="C13" s="50">
        <v>4</v>
      </c>
      <c r="D13" s="50">
        <v>3</v>
      </c>
      <c r="E13" s="50">
        <v>2</v>
      </c>
      <c r="F13" s="50">
        <v>3</v>
      </c>
      <c r="G13" s="50">
        <v>0</v>
      </c>
      <c r="H13" s="50">
        <v>0</v>
      </c>
      <c r="I13" s="50">
        <v>0</v>
      </c>
      <c r="J13" s="50">
        <v>0</v>
      </c>
      <c r="K13" s="50">
        <v>0</v>
      </c>
      <c r="L13" s="50">
        <v>0</v>
      </c>
      <c r="M13" s="50">
        <v>50</v>
      </c>
      <c r="N13" s="50">
        <v>0</v>
      </c>
      <c r="O13" s="15">
        <f t="shared" si="0"/>
        <v>12</v>
      </c>
      <c r="P13" s="15">
        <f t="shared" si="1"/>
        <v>62</v>
      </c>
      <c r="R13" s="1" t="s">
        <v>9</v>
      </c>
      <c r="S13" s="17">
        <f t="shared" ref="S13:AF13" si="5">SUM(C22:C25)</f>
        <v>17</v>
      </c>
      <c r="T13" s="17">
        <f t="shared" si="5"/>
        <v>9</v>
      </c>
      <c r="U13" s="17">
        <f t="shared" si="5"/>
        <v>9</v>
      </c>
      <c r="V13" s="17">
        <f t="shared" si="5"/>
        <v>23</v>
      </c>
      <c r="W13" s="17">
        <f t="shared" si="5"/>
        <v>0</v>
      </c>
      <c r="X13" s="17">
        <f t="shared" si="5"/>
        <v>0</v>
      </c>
      <c r="Y13" s="17">
        <f t="shared" si="5"/>
        <v>3</v>
      </c>
      <c r="Z13" s="17">
        <f t="shared" si="5"/>
        <v>3</v>
      </c>
      <c r="AA13" s="17">
        <f t="shared" si="5"/>
        <v>0</v>
      </c>
      <c r="AB13" s="17">
        <f t="shared" si="5"/>
        <v>0</v>
      </c>
      <c r="AC13" s="17">
        <f t="shared" si="5"/>
        <v>230</v>
      </c>
      <c r="AD13" s="17">
        <f t="shared" si="5"/>
        <v>0</v>
      </c>
      <c r="AE13" s="31">
        <f t="shared" si="5"/>
        <v>64</v>
      </c>
      <c r="AF13" s="31">
        <f t="shared" si="5"/>
        <v>294</v>
      </c>
    </row>
    <row r="14" spans="2:32" ht="23.1" customHeight="1" x14ac:dyDescent="0.25">
      <c r="B14" s="23" t="s">
        <v>41</v>
      </c>
      <c r="C14" s="50">
        <v>3</v>
      </c>
      <c r="D14" s="50">
        <v>2</v>
      </c>
      <c r="E14" s="50">
        <v>1</v>
      </c>
      <c r="F14" s="50">
        <v>5</v>
      </c>
      <c r="G14" s="50">
        <v>0</v>
      </c>
      <c r="H14" s="50">
        <v>0</v>
      </c>
      <c r="I14" s="50">
        <v>1</v>
      </c>
      <c r="J14" s="50">
        <v>2</v>
      </c>
      <c r="K14" s="50">
        <v>0</v>
      </c>
      <c r="L14" s="50">
        <v>0</v>
      </c>
      <c r="M14" s="50">
        <v>80</v>
      </c>
      <c r="N14" s="50">
        <v>0</v>
      </c>
      <c r="O14" s="15">
        <f t="shared" si="0"/>
        <v>14</v>
      </c>
      <c r="P14" s="15">
        <f t="shared" si="1"/>
        <v>94</v>
      </c>
      <c r="R14" s="1" t="s">
        <v>10</v>
      </c>
      <c r="S14" s="17">
        <f t="shared" ref="S14:AF14" si="6">SUM(C26:C29)</f>
        <v>13</v>
      </c>
      <c r="T14" s="17">
        <f t="shared" si="6"/>
        <v>10</v>
      </c>
      <c r="U14" s="17">
        <f t="shared" si="6"/>
        <v>10</v>
      </c>
      <c r="V14" s="17">
        <f t="shared" si="6"/>
        <v>14</v>
      </c>
      <c r="W14" s="17">
        <f t="shared" si="6"/>
        <v>0</v>
      </c>
      <c r="X14" s="17">
        <f t="shared" si="6"/>
        <v>0</v>
      </c>
      <c r="Y14" s="17">
        <f t="shared" si="6"/>
        <v>4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280</v>
      </c>
      <c r="AD14" s="17">
        <f t="shared" si="6"/>
        <v>0</v>
      </c>
      <c r="AE14" s="31">
        <f t="shared" si="6"/>
        <v>57</v>
      </c>
      <c r="AF14" s="31">
        <f t="shared" si="6"/>
        <v>337</v>
      </c>
    </row>
    <row r="15" spans="2:32" ht="23.1" customHeight="1" x14ac:dyDescent="0.25">
      <c r="B15" s="23" t="s">
        <v>42</v>
      </c>
      <c r="C15" s="50">
        <v>7</v>
      </c>
      <c r="D15" s="50">
        <v>4</v>
      </c>
      <c r="E15" s="50">
        <v>3</v>
      </c>
      <c r="F15" s="50">
        <v>5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75</v>
      </c>
      <c r="N15" s="50">
        <v>0</v>
      </c>
      <c r="O15" s="15">
        <f t="shared" si="0"/>
        <v>21</v>
      </c>
      <c r="P15" s="15">
        <f t="shared" si="1"/>
        <v>96</v>
      </c>
      <c r="R15" s="1" t="s">
        <v>11</v>
      </c>
      <c r="S15" s="17">
        <f t="shared" ref="S15:AF15" si="7">SUM(C30:C33)</f>
        <v>19</v>
      </c>
      <c r="T15" s="17">
        <f t="shared" si="7"/>
        <v>11</v>
      </c>
      <c r="U15" s="17">
        <f t="shared" si="7"/>
        <v>7</v>
      </c>
      <c r="V15" s="17">
        <f t="shared" si="7"/>
        <v>20</v>
      </c>
      <c r="W15" s="17">
        <f t="shared" si="7"/>
        <v>0</v>
      </c>
      <c r="X15" s="17">
        <f t="shared" si="7"/>
        <v>0</v>
      </c>
      <c r="Y15" s="17">
        <f t="shared" si="7"/>
        <v>1</v>
      </c>
      <c r="Z15" s="17">
        <f t="shared" si="7"/>
        <v>5</v>
      </c>
      <c r="AA15" s="17">
        <f t="shared" si="7"/>
        <v>0</v>
      </c>
      <c r="AB15" s="17">
        <f t="shared" si="7"/>
        <v>0</v>
      </c>
      <c r="AC15" s="17">
        <f t="shared" si="7"/>
        <v>310</v>
      </c>
      <c r="AD15" s="17">
        <f t="shared" si="7"/>
        <v>0</v>
      </c>
      <c r="AE15" s="31">
        <f t="shared" si="7"/>
        <v>63</v>
      </c>
      <c r="AF15" s="31">
        <f t="shared" si="7"/>
        <v>373</v>
      </c>
    </row>
    <row r="16" spans="2:32" ht="23.1" customHeight="1" x14ac:dyDescent="0.25">
      <c r="B16" s="23" t="s">
        <v>43</v>
      </c>
      <c r="C16" s="50">
        <v>3</v>
      </c>
      <c r="D16" s="50">
        <v>2</v>
      </c>
      <c r="E16" s="50">
        <v>1</v>
      </c>
      <c r="F16" s="50">
        <v>3</v>
      </c>
      <c r="G16" s="50">
        <v>0</v>
      </c>
      <c r="H16" s="50">
        <v>0</v>
      </c>
      <c r="I16" s="50">
        <v>0</v>
      </c>
      <c r="J16" s="50">
        <v>2</v>
      </c>
      <c r="K16" s="50">
        <v>0</v>
      </c>
      <c r="L16" s="50">
        <v>0</v>
      </c>
      <c r="M16" s="50">
        <v>90</v>
      </c>
      <c r="N16" s="50">
        <v>0</v>
      </c>
      <c r="O16" s="15">
        <f t="shared" si="0"/>
        <v>11</v>
      </c>
      <c r="P16" s="15">
        <f t="shared" si="1"/>
        <v>101</v>
      </c>
      <c r="R16" s="1" t="s">
        <v>12</v>
      </c>
      <c r="S16" s="17">
        <f t="shared" ref="S16:AF16" si="8">SUM(C34:C37)</f>
        <v>16</v>
      </c>
      <c r="T16" s="17">
        <f t="shared" si="8"/>
        <v>10</v>
      </c>
      <c r="U16" s="17">
        <f t="shared" si="8"/>
        <v>10</v>
      </c>
      <c r="V16" s="17">
        <f t="shared" si="8"/>
        <v>18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0</v>
      </c>
      <c r="AB16" s="17">
        <f t="shared" si="8"/>
        <v>0</v>
      </c>
      <c r="AC16" s="17">
        <f t="shared" si="8"/>
        <v>305</v>
      </c>
      <c r="AD16" s="17">
        <f t="shared" si="8"/>
        <v>0</v>
      </c>
      <c r="AE16" s="31">
        <f t="shared" si="8"/>
        <v>60</v>
      </c>
      <c r="AF16" s="31">
        <f t="shared" si="8"/>
        <v>365</v>
      </c>
    </row>
    <row r="17" spans="2:32" ht="23.1" customHeight="1" x14ac:dyDescent="0.25">
      <c r="B17" s="23" t="s">
        <v>44</v>
      </c>
      <c r="C17" s="50">
        <v>5</v>
      </c>
      <c r="D17" s="50">
        <v>3</v>
      </c>
      <c r="E17" s="50">
        <v>2</v>
      </c>
      <c r="F17" s="50">
        <v>1</v>
      </c>
      <c r="G17" s="50">
        <v>0</v>
      </c>
      <c r="H17" s="50">
        <v>0</v>
      </c>
      <c r="I17" s="50">
        <v>1</v>
      </c>
      <c r="J17" s="50">
        <v>2</v>
      </c>
      <c r="K17" s="50">
        <v>0</v>
      </c>
      <c r="L17" s="50">
        <v>0</v>
      </c>
      <c r="M17" s="50">
        <v>70</v>
      </c>
      <c r="N17" s="50">
        <v>0</v>
      </c>
      <c r="O17" s="15">
        <f t="shared" si="0"/>
        <v>14</v>
      </c>
      <c r="P17" s="15">
        <f t="shared" si="1"/>
        <v>84</v>
      </c>
      <c r="R17" s="1" t="s">
        <v>13</v>
      </c>
      <c r="S17" s="17">
        <f t="shared" ref="S17:AF17" si="9">SUM(C38:C41)</f>
        <v>8</v>
      </c>
      <c r="T17" s="17">
        <f t="shared" si="9"/>
        <v>12</v>
      </c>
      <c r="U17" s="17">
        <f t="shared" si="9"/>
        <v>12</v>
      </c>
      <c r="V17" s="17">
        <f t="shared" si="9"/>
        <v>15</v>
      </c>
      <c r="W17" s="17">
        <f t="shared" si="9"/>
        <v>0</v>
      </c>
      <c r="X17" s="17">
        <f t="shared" si="9"/>
        <v>0</v>
      </c>
      <c r="Y17" s="17">
        <f t="shared" si="9"/>
        <v>5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255</v>
      </c>
      <c r="AD17" s="17">
        <f t="shared" si="9"/>
        <v>0</v>
      </c>
      <c r="AE17" s="31">
        <f t="shared" si="9"/>
        <v>59</v>
      </c>
      <c r="AF17" s="31">
        <f t="shared" si="9"/>
        <v>314</v>
      </c>
    </row>
    <row r="18" spans="2:32" ht="23.1" customHeight="1" x14ac:dyDescent="0.25">
      <c r="B18" s="23" t="s">
        <v>45</v>
      </c>
      <c r="C18" s="50">
        <v>4</v>
      </c>
      <c r="D18" s="50">
        <v>2</v>
      </c>
      <c r="E18" s="50">
        <v>3</v>
      </c>
      <c r="F18" s="50">
        <v>3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75</v>
      </c>
      <c r="N18" s="50">
        <v>0</v>
      </c>
      <c r="O18" s="15">
        <f t="shared" si="0"/>
        <v>13</v>
      </c>
      <c r="P18" s="15">
        <f t="shared" si="1"/>
        <v>88</v>
      </c>
      <c r="R18" s="1" t="s">
        <v>14</v>
      </c>
      <c r="S18" s="17">
        <f t="shared" ref="S18:AF18" si="10">SUM(C42:C45)</f>
        <v>14</v>
      </c>
      <c r="T18" s="17">
        <f t="shared" si="10"/>
        <v>16</v>
      </c>
      <c r="U18" s="17">
        <f t="shared" si="10"/>
        <v>15</v>
      </c>
      <c r="V18" s="17">
        <f t="shared" si="10"/>
        <v>14</v>
      </c>
      <c r="W18" s="17">
        <f t="shared" si="10"/>
        <v>0</v>
      </c>
      <c r="X18" s="17">
        <f t="shared" si="10"/>
        <v>0</v>
      </c>
      <c r="Y18" s="17">
        <f t="shared" si="10"/>
        <v>7</v>
      </c>
      <c r="Z18" s="17">
        <f t="shared" si="10"/>
        <v>1</v>
      </c>
      <c r="AA18" s="17">
        <f t="shared" si="10"/>
        <v>0</v>
      </c>
      <c r="AB18" s="17">
        <f t="shared" si="10"/>
        <v>0</v>
      </c>
      <c r="AC18" s="17">
        <f t="shared" si="10"/>
        <v>251</v>
      </c>
      <c r="AD18" s="17">
        <f t="shared" si="10"/>
        <v>0</v>
      </c>
      <c r="AE18" s="31">
        <f t="shared" si="10"/>
        <v>67</v>
      </c>
      <c r="AF18" s="31">
        <f t="shared" si="10"/>
        <v>318</v>
      </c>
    </row>
    <row r="19" spans="2:32" ht="23.1" customHeight="1" x14ac:dyDescent="0.25">
      <c r="B19" s="23" t="s">
        <v>46</v>
      </c>
      <c r="C19" s="50">
        <v>3</v>
      </c>
      <c r="D19" s="50">
        <v>2</v>
      </c>
      <c r="E19" s="50">
        <v>1</v>
      </c>
      <c r="F19" s="50">
        <v>2</v>
      </c>
      <c r="G19" s="50">
        <v>0</v>
      </c>
      <c r="H19" s="50">
        <v>0</v>
      </c>
      <c r="I19" s="50">
        <v>1</v>
      </c>
      <c r="J19" s="50">
        <v>2</v>
      </c>
      <c r="K19" s="50">
        <v>0</v>
      </c>
      <c r="L19" s="50">
        <v>0</v>
      </c>
      <c r="M19" s="50">
        <v>60</v>
      </c>
      <c r="N19" s="50">
        <v>0</v>
      </c>
      <c r="O19" s="15">
        <f t="shared" si="0"/>
        <v>11</v>
      </c>
      <c r="P19" s="15">
        <f t="shared" si="1"/>
        <v>71</v>
      </c>
      <c r="R19" s="1" t="s">
        <v>15</v>
      </c>
      <c r="S19" s="17">
        <f t="shared" ref="S19:AF19" si="11">SUM(C46:C49)</f>
        <v>15</v>
      </c>
      <c r="T19" s="17">
        <f t="shared" si="11"/>
        <v>15</v>
      </c>
      <c r="U19" s="17">
        <f t="shared" si="11"/>
        <v>17</v>
      </c>
      <c r="V19" s="17">
        <f t="shared" si="11"/>
        <v>14</v>
      </c>
      <c r="W19" s="17">
        <f t="shared" si="11"/>
        <v>0</v>
      </c>
      <c r="X19" s="17">
        <f t="shared" si="11"/>
        <v>0</v>
      </c>
      <c r="Y19" s="17">
        <f t="shared" si="11"/>
        <v>8</v>
      </c>
      <c r="Z19" s="17">
        <f t="shared" si="11"/>
        <v>3</v>
      </c>
      <c r="AA19" s="17">
        <f t="shared" si="11"/>
        <v>0</v>
      </c>
      <c r="AB19" s="17">
        <f t="shared" si="11"/>
        <v>0</v>
      </c>
      <c r="AC19" s="17">
        <f t="shared" si="11"/>
        <v>245</v>
      </c>
      <c r="AD19" s="17">
        <f t="shared" si="11"/>
        <v>0</v>
      </c>
      <c r="AE19" s="31">
        <f t="shared" si="11"/>
        <v>72</v>
      </c>
      <c r="AF19" s="31">
        <f t="shared" si="11"/>
        <v>317</v>
      </c>
    </row>
    <row r="20" spans="2:32" ht="23.1" customHeight="1" x14ac:dyDescent="0.25">
      <c r="B20" s="23" t="s">
        <v>47</v>
      </c>
      <c r="C20" s="50">
        <v>5</v>
      </c>
      <c r="D20" s="50">
        <v>2</v>
      </c>
      <c r="E20" s="50">
        <v>3</v>
      </c>
      <c r="F20" s="50">
        <v>1</v>
      </c>
      <c r="G20" s="50">
        <v>0</v>
      </c>
      <c r="H20" s="50">
        <v>0</v>
      </c>
      <c r="I20" s="50">
        <v>0</v>
      </c>
      <c r="J20" s="50">
        <v>2</v>
      </c>
      <c r="K20" s="50">
        <v>0</v>
      </c>
      <c r="L20" s="50">
        <v>0</v>
      </c>
      <c r="M20" s="50">
        <v>80</v>
      </c>
      <c r="N20" s="50">
        <v>0</v>
      </c>
      <c r="O20" s="15">
        <f t="shared" si="0"/>
        <v>13</v>
      </c>
      <c r="P20" s="15">
        <f t="shared" si="1"/>
        <v>93</v>
      </c>
      <c r="R20" s="1" t="s">
        <v>16</v>
      </c>
      <c r="S20" s="17">
        <f t="shared" ref="S20:AF20" si="12">SUM(C50:C53)</f>
        <v>12</v>
      </c>
      <c r="T20" s="17">
        <f t="shared" si="12"/>
        <v>10</v>
      </c>
      <c r="U20" s="17">
        <f t="shared" si="12"/>
        <v>14</v>
      </c>
      <c r="V20" s="17">
        <f t="shared" si="12"/>
        <v>19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235</v>
      </c>
      <c r="AD20" s="17">
        <f t="shared" si="12"/>
        <v>0</v>
      </c>
      <c r="AE20" s="31">
        <f t="shared" si="12"/>
        <v>65</v>
      </c>
      <c r="AF20" s="31">
        <f t="shared" si="12"/>
        <v>300</v>
      </c>
    </row>
    <row r="21" spans="2:32" ht="23.1" customHeight="1" x14ac:dyDescent="0.25">
      <c r="B21" s="23" t="s">
        <v>48</v>
      </c>
      <c r="C21" s="50">
        <v>4</v>
      </c>
      <c r="D21" s="50">
        <v>2</v>
      </c>
      <c r="E21" s="50">
        <v>3</v>
      </c>
      <c r="F21" s="50">
        <v>1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60</v>
      </c>
      <c r="N21" s="50">
        <v>0</v>
      </c>
      <c r="O21" s="15">
        <f t="shared" si="0"/>
        <v>10</v>
      </c>
      <c r="P21" s="15">
        <f t="shared" si="1"/>
        <v>70</v>
      </c>
      <c r="R21" s="36" t="s">
        <v>20</v>
      </c>
      <c r="S21" s="34">
        <f t="shared" ref="S21:AF21" si="13">SUM(C54:C57)</f>
        <v>14</v>
      </c>
      <c r="T21" s="17">
        <f t="shared" si="13"/>
        <v>10</v>
      </c>
      <c r="U21" s="17">
        <f t="shared" si="13"/>
        <v>9</v>
      </c>
      <c r="V21" s="17">
        <f t="shared" si="13"/>
        <v>19</v>
      </c>
      <c r="W21" s="17">
        <f t="shared" si="13"/>
        <v>0</v>
      </c>
      <c r="X21" s="17">
        <f t="shared" si="13"/>
        <v>0</v>
      </c>
      <c r="Y21" s="17">
        <f t="shared" si="13"/>
        <v>5</v>
      </c>
      <c r="Z21" s="17">
        <f t="shared" si="13"/>
        <v>4</v>
      </c>
      <c r="AA21" s="17">
        <f t="shared" si="13"/>
        <v>0</v>
      </c>
      <c r="AB21" s="17">
        <f t="shared" si="13"/>
        <v>0</v>
      </c>
      <c r="AC21" s="17">
        <f t="shared" si="13"/>
        <v>200</v>
      </c>
      <c r="AD21" s="17">
        <f t="shared" si="13"/>
        <v>0</v>
      </c>
      <c r="AE21" s="31">
        <f t="shared" si="13"/>
        <v>61</v>
      </c>
      <c r="AF21" s="31">
        <f t="shared" si="13"/>
        <v>261</v>
      </c>
    </row>
    <row r="22" spans="2:32" ht="23.1" customHeight="1" x14ac:dyDescent="0.25">
      <c r="B22" s="23" t="s">
        <v>49</v>
      </c>
      <c r="C22" s="50">
        <v>7</v>
      </c>
      <c r="D22" s="50">
        <v>4</v>
      </c>
      <c r="E22" s="50">
        <v>3</v>
      </c>
      <c r="F22" s="50">
        <v>9</v>
      </c>
      <c r="G22" s="50">
        <v>0</v>
      </c>
      <c r="H22" s="50">
        <v>0</v>
      </c>
      <c r="I22" s="50">
        <v>1</v>
      </c>
      <c r="J22" s="50">
        <v>0</v>
      </c>
      <c r="K22" s="50">
        <v>0</v>
      </c>
      <c r="L22" s="50">
        <v>0</v>
      </c>
      <c r="M22" s="50">
        <v>55</v>
      </c>
      <c r="N22" s="50">
        <v>0</v>
      </c>
      <c r="O22" s="15">
        <f t="shared" si="0"/>
        <v>24</v>
      </c>
      <c r="P22" s="15">
        <f t="shared" si="1"/>
        <v>79</v>
      </c>
      <c r="R22" s="38" t="s">
        <v>90</v>
      </c>
      <c r="S22" s="39">
        <f>MAX(S10:S12)</f>
        <v>18</v>
      </c>
      <c r="T22" s="39">
        <f t="shared" ref="T22:AF22" si="14">MAX(T10:T12)</f>
        <v>13</v>
      </c>
      <c r="U22" s="39">
        <f t="shared" si="14"/>
        <v>11</v>
      </c>
      <c r="V22" s="39">
        <f t="shared" si="14"/>
        <v>15</v>
      </c>
      <c r="W22" s="39">
        <f t="shared" si="14"/>
        <v>0</v>
      </c>
      <c r="X22" s="39">
        <f t="shared" si="14"/>
        <v>0</v>
      </c>
      <c r="Y22" s="39">
        <f t="shared" si="14"/>
        <v>3</v>
      </c>
      <c r="Z22" s="39">
        <f t="shared" si="14"/>
        <v>7</v>
      </c>
      <c r="AA22" s="39">
        <f t="shared" si="14"/>
        <v>0</v>
      </c>
      <c r="AB22" s="39">
        <f t="shared" si="14"/>
        <v>0</v>
      </c>
      <c r="AC22" s="39">
        <f t="shared" si="14"/>
        <v>315</v>
      </c>
      <c r="AD22" s="39">
        <f t="shared" si="14"/>
        <v>2</v>
      </c>
      <c r="AE22" s="40">
        <f t="shared" si="14"/>
        <v>62</v>
      </c>
      <c r="AF22" s="40">
        <f t="shared" si="14"/>
        <v>375</v>
      </c>
    </row>
    <row r="23" spans="2:32" ht="23.1" customHeight="1" x14ac:dyDescent="0.25">
      <c r="B23" s="23" t="s">
        <v>50</v>
      </c>
      <c r="C23" s="50">
        <v>5</v>
      </c>
      <c r="D23" s="50">
        <v>2</v>
      </c>
      <c r="E23" s="50">
        <v>2</v>
      </c>
      <c r="F23" s="50">
        <v>4</v>
      </c>
      <c r="G23" s="50">
        <v>0</v>
      </c>
      <c r="H23" s="50">
        <v>0</v>
      </c>
      <c r="I23" s="50">
        <v>1</v>
      </c>
      <c r="J23" s="50">
        <v>2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16</v>
      </c>
      <c r="P23" s="15">
        <f t="shared" si="1"/>
        <v>76</v>
      </c>
      <c r="R23" s="38" t="s">
        <v>91</v>
      </c>
      <c r="S23" s="39">
        <f>MAX(S13:S18)</f>
        <v>19</v>
      </c>
      <c r="T23" s="39">
        <f t="shared" ref="T23:AF23" si="15">MAX(T13:T18)</f>
        <v>16</v>
      </c>
      <c r="U23" s="39">
        <f t="shared" si="15"/>
        <v>15</v>
      </c>
      <c r="V23" s="39">
        <f t="shared" si="15"/>
        <v>23</v>
      </c>
      <c r="W23" s="39">
        <f t="shared" si="15"/>
        <v>0</v>
      </c>
      <c r="X23" s="39">
        <f t="shared" si="15"/>
        <v>0</v>
      </c>
      <c r="Y23" s="39">
        <f t="shared" si="15"/>
        <v>7</v>
      </c>
      <c r="Z23" s="39">
        <f t="shared" si="15"/>
        <v>7</v>
      </c>
      <c r="AA23" s="39">
        <f t="shared" si="15"/>
        <v>0</v>
      </c>
      <c r="AB23" s="39">
        <f t="shared" si="15"/>
        <v>0</v>
      </c>
      <c r="AC23" s="39">
        <f t="shared" si="15"/>
        <v>310</v>
      </c>
      <c r="AD23" s="39">
        <f t="shared" si="15"/>
        <v>0</v>
      </c>
      <c r="AE23" s="40">
        <f t="shared" si="15"/>
        <v>67</v>
      </c>
      <c r="AF23" s="40">
        <f t="shared" si="15"/>
        <v>373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3</v>
      </c>
      <c r="F24" s="50">
        <v>5</v>
      </c>
      <c r="G24" s="50">
        <v>0</v>
      </c>
      <c r="H24" s="50">
        <v>0</v>
      </c>
      <c r="I24" s="50">
        <v>1</v>
      </c>
      <c r="J24" s="50">
        <v>1</v>
      </c>
      <c r="K24" s="50">
        <v>0</v>
      </c>
      <c r="L24" s="50">
        <v>0</v>
      </c>
      <c r="M24" s="50">
        <v>70</v>
      </c>
      <c r="N24" s="50">
        <v>0</v>
      </c>
      <c r="O24" s="15">
        <f t="shared" si="0"/>
        <v>13</v>
      </c>
      <c r="P24" s="15">
        <f t="shared" si="1"/>
        <v>83</v>
      </c>
      <c r="R24" s="38" t="s">
        <v>92</v>
      </c>
      <c r="S24" s="39">
        <f>MAX(S19:S21)</f>
        <v>15</v>
      </c>
      <c r="T24" s="39">
        <f t="shared" ref="T24:AF24" si="16">MAX(T19:T21)</f>
        <v>15</v>
      </c>
      <c r="U24" s="39">
        <f t="shared" si="16"/>
        <v>17</v>
      </c>
      <c r="V24" s="39">
        <f t="shared" si="16"/>
        <v>19</v>
      </c>
      <c r="W24" s="39">
        <f t="shared" si="16"/>
        <v>0</v>
      </c>
      <c r="X24" s="39">
        <f t="shared" si="16"/>
        <v>0</v>
      </c>
      <c r="Y24" s="39">
        <f t="shared" si="16"/>
        <v>8</v>
      </c>
      <c r="Z24" s="39">
        <f t="shared" si="16"/>
        <v>5</v>
      </c>
      <c r="AA24" s="39">
        <f t="shared" si="16"/>
        <v>0</v>
      </c>
      <c r="AB24" s="39">
        <f t="shared" si="16"/>
        <v>0</v>
      </c>
      <c r="AC24" s="39">
        <f t="shared" si="16"/>
        <v>245</v>
      </c>
      <c r="AD24" s="39">
        <f t="shared" si="16"/>
        <v>0</v>
      </c>
      <c r="AE24" s="40">
        <f t="shared" si="16"/>
        <v>72</v>
      </c>
      <c r="AF24" s="40">
        <f t="shared" si="16"/>
        <v>317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1</v>
      </c>
      <c r="F25" s="50">
        <v>5</v>
      </c>
      <c r="G25" s="50">
        <v>0</v>
      </c>
      <c r="H25" s="50">
        <v>0</v>
      </c>
      <c r="I25" s="50">
        <v>0</v>
      </c>
      <c r="J25" s="50">
        <v>0</v>
      </c>
      <c r="K25" s="50">
        <v>0</v>
      </c>
      <c r="L25" s="50">
        <v>0</v>
      </c>
      <c r="M25" s="50">
        <v>45</v>
      </c>
      <c r="N25" s="50">
        <v>0</v>
      </c>
      <c r="O25" s="15">
        <f t="shared" si="0"/>
        <v>11</v>
      </c>
      <c r="P25" s="15">
        <f t="shared" si="1"/>
        <v>56</v>
      </c>
      <c r="R25" s="37" t="s">
        <v>85</v>
      </c>
      <c r="S25" s="35">
        <f t="shared" ref="S25:AF25" si="17">SUM(S10:S12)</f>
        <v>49</v>
      </c>
      <c r="T25" s="16">
        <f t="shared" si="17"/>
        <v>32</v>
      </c>
      <c r="U25" s="16">
        <f t="shared" si="17"/>
        <v>28</v>
      </c>
      <c r="V25" s="16">
        <f t="shared" si="17"/>
        <v>36</v>
      </c>
      <c r="W25" s="16">
        <f t="shared" si="17"/>
        <v>0</v>
      </c>
      <c r="X25" s="16">
        <f t="shared" si="17"/>
        <v>0</v>
      </c>
      <c r="Y25" s="16">
        <f t="shared" si="17"/>
        <v>5</v>
      </c>
      <c r="Z25" s="16">
        <f t="shared" si="17"/>
        <v>17</v>
      </c>
      <c r="AA25" s="16">
        <f t="shared" si="17"/>
        <v>0</v>
      </c>
      <c r="AB25" s="16">
        <f t="shared" si="17"/>
        <v>0</v>
      </c>
      <c r="AC25" s="16">
        <f t="shared" si="17"/>
        <v>835</v>
      </c>
      <c r="AD25" s="16">
        <f t="shared" si="17"/>
        <v>2</v>
      </c>
      <c r="AE25" s="32">
        <f t="shared" si="17"/>
        <v>169</v>
      </c>
      <c r="AF25" s="32">
        <f t="shared" si="17"/>
        <v>1004</v>
      </c>
    </row>
    <row r="26" spans="2:32" ht="23.1" customHeight="1" x14ac:dyDescent="0.25">
      <c r="B26" s="23" t="s">
        <v>53</v>
      </c>
      <c r="C26" s="50">
        <v>3</v>
      </c>
      <c r="D26" s="50">
        <v>2</v>
      </c>
      <c r="E26" s="50">
        <v>1</v>
      </c>
      <c r="F26" s="50">
        <v>4</v>
      </c>
      <c r="G26" s="50">
        <v>0</v>
      </c>
      <c r="H26" s="50">
        <v>0</v>
      </c>
      <c r="I26" s="50">
        <v>1</v>
      </c>
      <c r="J26" s="50">
        <v>2</v>
      </c>
      <c r="K26" s="50">
        <v>0</v>
      </c>
      <c r="L26" s="50">
        <v>0</v>
      </c>
      <c r="M26" s="50">
        <v>70</v>
      </c>
      <c r="N26" s="50">
        <v>0</v>
      </c>
      <c r="O26" s="15">
        <f t="shared" si="0"/>
        <v>13</v>
      </c>
      <c r="P26" s="15">
        <f t="shared" si="1"/>
        <v>83</v>
      </c>
      <c r="R26" s="28" t="s">
        <v>86</v>
      </c>
      <c r="S26" s="16">
        <f t="shared" ref="S26:AF26" si="18">SUM(S13:S18)</f>
        <v>87</v>
      </c>
      <c r="T26" s="16">
        <f t="shared" si="18"/>
        <v>68</v>
      </c>
      <c r="U26" s="16">
        <f t="shared" si="18"/>
        <v>63</v>
      </c>
      <c r="V26" s="16">
        <f t="shared" si="18"/>
        <v>104</v>
      </c>
      <c r="W26" s="16">
        <f t="shared" si="18"/>
        <v>0</v>
      </c>
      <c r="X26" s="16">
        <f t="shared" si="18"/>
        <v>0</v>
      </c>
      <c r="Y26" s="16">
        <f t="shared" si="18"/>
        <v>24</v>
      </c>
      <c r="Z26" s="16">
        <f t="shared" si="18"/>
        <v>24</v>
      </c>
      <c r="AA26" s="16">
        <f t="shared" si="18"/>
        <v>0</v>
      </c>
      <c r="AB26" s="16">
        <f t="shared" si="18"/>
        <v>0</v>
      </c>
      <c r="AC26" s="16">
        <f t="shared" si="18"/>
        <v>1631</v>
      </c>
      <c r="AD26" s="16">
        <f t="shared" si="18"/>
        <v>0</v>
      </c>
      <c r="AE26" s="32">
        <f t="shared" si="18"/>
        <v>370</v>
      </c>
      <c r="AF26" s="32">
        <f t="shared" si="18"/>
        <v>2001</v>
      </c>
    </row>
    <row r="27" spans="2:32" ht="23.1" customHeight="1" x14ac:dyDescent="0.25">
      <c r="B27" s="23" t="s">
        <v>54</v>
      </c>
      <c r="C27" s="50">
        <v>5</v>
      </c>
      <c r="D27" s="50">
        <v>3</v>
      </c>
      <c r="E27" s="50">
        <v>2</v>
      </c>
      <c r="F27" s="50">
        <v>3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85</v>
      </c>
      <c r="N27" s="50">
        <v>0</v>
      </c>
      <c r="O27" s="15">
        <f t="shared" si="0"/>
        <v>16</v>
      </c>
      <c r="P27" s="15">
        <f t="shared" si="1"/>
        <v>101</v>
      </c>
      <c r="R27" s="29" t="s">
        <v>87</v>
      </c>
      <c r="S27" s="16">
        <f t="shared" ref="S27:AF27" si="19">SUM(S19:S21)</f>
        <v>41</v>
      </c>
      <c r="T27" s="16">
        <f t="shared" si="19"/>
        <v>35</v>
      </c>
      <c r="U27" s="16">
        <f t="shared" si="19"/>
        <v>40</v>
      </c>
      <c r="V27" s="16">
        <f t="shared" si="19"/>
        <v>52</v>
      </c>
      <c r="W27" s="16">
        <f t="shared" si="19"/>
        <v>0</v>
      </c>
      <c r="X27" s="16">
        <f t="shared" si="19"/>
        <v>0</v>
      </c>
      <c r="Y27" s="16">
        <f t="shared" si="19"/>
        <v>18</v>
      </c>
      <c r="Z27" s="16">
        <f t="shared" si="19"/>
        <v>12</v>
      </c>
      <c r="AA27" s="16">
        <f t="shared" si="19"/>
        <v>0</v>
      </c>
      <c r="AB27" s="16">
        <f t="shared" si="19"/>
        <v>0</v>
      </c>
      <c r="AC27" s="16">
        <f t="shared" si="19"/>
        <v>680</v>
      </c>
      <c r="AD27" s="16">
        <f t="shared" si="19"/>
        <v>0</v>
      </c>
      <c r="AE27" s="32">
        <f t="shared" si="19"/>
        <v>198</v>
      </c>
      <c r="AF27" s="32">
        <f t="shared" si="19"/>
        <v>878</v>
      </c>
    </row>
    <row r="28" spans="2:32" ht="23.1" customHeight="1" x14ac:dyDescent="0.25">
      <c r="B28" s="23" t="s">
        <v>55</v>
      </c>
      <c r="C28" s="50">
        <v>3</v>
      </c>
      <c r="D28" s="50">
        <v>2</v>
      </c>
      <c r="E28" s="50">
        <v>5</v>
      </c>
      <c r="F28" s="50">
        <v>4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65</v>
      </c>
      <c r="N28" s="50">
        <v>0</v>
      </c>
      <c r="O28" s="15">
        <f t="shared" si="0"/>
        <v>16</v>
      </c>
      <c r="P28" s="15">
        <f t="shared" si="1"/>
        <v>81</v>
      </c>
      <c r="R28" s="5" t="s">
        <v>17</v>
      </c>
      <c r="S28" s="16">
        <f t="shared" ref="S28:AF28" si="20">SUM(S10:S21)</f>
        <v>177</v>
      </c>
      <c r="T28" s="16">
        <f t="shared" si="20"/>
        <v>135</v>
      </c>
      <c r="U28" s="16">
        <f t="shared" si="20"/>
        <v>131</v>
      </c>
      <c r="V28" s="16">
        <f t="shared" si="20"/>
        <v>192</v>
      </c>
      <c r="W28" s="16">
        <f t="shared" si="20"/>
        <v>0</v>
      </c>
      <c r="X28" s="16">
        <f t="shared" si="20"/>
        <v>0</v>
      </c>
      <c r="Y28" s="16">
        <f t="shared" si="20"/>
        <v>47</v>
      </c>
      <c r="Z28" s="16">
        <f t="shared" si="20"/>
        <v>53</v>
      </c>
      <c r="AA28" s="16">
        <f t="shared" si="20"/>
        <v>0</v>
      </c>
      <c r="AB28" s="16">
        <f t="shared" si="20"/>
        <v>0</v>
      </c>
      <c r="AC28" s="16">
        <f t="shared" si="20"/>
        <v>3146</v>
      </c>
      <c r="AD28" s="16">
        <f t="shared" si="20"/>
        <v>2</v>
      </c>
      <c r="AE28" s="32">
        <f t="shared" si="20"/>
        <v>737</v>
      </c>
      <c r="AF28" s="32">
        <f t="shared" si="20"/>
        <v>3883</v>
      </c>
    </row>
    <row r="29" spans="2:32" ht="23.1" customHeight="1" x14ac:dyDescent="0.25">
      <c r="B29" s="23" t="s">
        <v>56</v>
      </c>
      <c r="C29" s="50">
        <v>2</v>
      </c>
      <c r="D29" s="50">
        <v>3</v>
      </c>
      <c r="E29" s="50">
        <v>2</v>
      </c>
      <c r="F29" s="50">
        <v>3</v>
      </c>
      <c r="G29" s="50">
        <v>0</v>
      </c>
      <c r="H29" s="50">
        <v>0</v>
      </c>
      <c r="I29" s="50">
        <v>1</v>
      </c>
      <c r="J29" s="50">
        <v>1</v>
      </c>
      <c r="K29" s="50">
        <v>0</v>
      </c>
      <c r="L29" s="50">
        <v>0</v>
      </c>
      <c r="M29" s="50">
        <v>60</v>
      </c>
      <c r="N29" s="50">
        <v>0</v>
      </c>
      <c r="O29" s="15">
        <f t="shared" si="0"/>
        <v>12</v>
      </c>
      <c r="P29" s="15">
        <f t="shared" si="1"/>
        <v>72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3</v>
      </c>
      <c r="E30" s="50">
        <v>2</v>
      </c>
      <c r="F30" s="50">
        <v>10</v>
      </c>
      <c r="G30" s="50">
        <v>0</v>
      </c>
      <c r="H30" s="50">
        <v>0</v>
      </c>
      <c r="I30" s="50">
        <v>1</v>
      </c>
      <c r="J30" s="50">
        <v>2</v>
      </c>
      <c r="K30" s="50">
        <v>0</v>
      </c>
      <c r="L30" s="50">
        <v>0</v>
      </c>
      <c r="M30" s="50">
        <v>75</v>
      </c>
      <c r="N30" s="50">
        <v>0</v>
      </c>
      <c r="O30" s="15">
        <f t="shared" si="0"/>
        <v>25</v>
      </c>
      <c r="P30" s="15">
        <f t="shared" si="1"/>
        <v>100</v>
      </c>
    </row>
    <row r="31" spans="2:32" ht="23.1" customHeight="1" x14ac:dyDescent="0.25">
      <c r="B31" s="24" t="s">
        <v>58</v>
      </c>
      <c r="C31" s="50">
        <v>3</v>
      </c>
      <c r="D31" s="50">
        <v>2</v>
      </c>
      <c r="E31" s="50">
        <v>1</v>
      </c>
      <c r="F31" s="50">
        <v>3</v>
      </c>
      <c r="G31" s="50">
        <v>0</v>
      </c>
      <c r="H31" s="50">
        <v>0</v>
      </c>
      <c r="I31" s="50">
        <v>0</v>
      </c>
      <c r="J31" s="50">
        <v>0</v>
      </c>
      <c r="K31" s="50">
        <v>0</v>
      </c>
      <c r="L31" s="50">
        <v>0</v>
      </c>
      <c r="M31" s="50">
        <v>80</v>
      </c>
      <c r="N31" s="50">
        <v>0</v>
      </c>
      <c r="O31" s="15">
        <f t="shared" si="0"/>
        <v>9</v>
      </c>
      <c r="P31" s="15">
        <f t="shared" si="1"/>
        <v>89</v>
      </c>
    </row>
    <row r="32" spans="2:32" ht="23.1" customHeight="1" x14ac:dyDescent="0.25">
      <c r="B32" s="24" t="s">
        <v>59</v>
      </c>
      <c r="C32" s="50">
        <v>4</v>
      </c>
      <c r="D32" s="50">
        <v>3</v>
      </c>
      <c r="E32" s="50">
        <v>2</v>
      </c>
      <c r="F32" s="50">
        <v>4</v>
      </c>
      <c r="G32" s="50">
        <v>0</v>
      </c>
      <c r="H32" s="50">
        <v>0</v>
      </c>
      <c r="I32" s="50">
        <v>0</v>
      </c>
      <c r="J32" s="50">
        <v>2</v>
      </c>
      <c r="K32" s="50">
        <v>0</v>
      </c>
      <c r="L32" s="50">
        <v>0</v>
      </c>
      <c r="M32" s="50">
        <v>80</v>
      </c>
      <c r="N32" s="50">
        <v>0</v>
      </c>
      <c r="O32" s="15">
        <f t="shared" si="0"/>
        <v>15</v>
      </c>
      <c r="P32" s="15">
        <f t="shared" si="1"/>
        <v>95</v>
      </c>
    </row>
    <row r="33" spans="2:20" ht="23.1" customHeight="1" x14ac:dyDescent="0.25">
      <c r="B33" s="23" t="s">
        <v>60</v>
      </c>
      <c r="C33" s="50">
        <v>5</v>
      </c>
      <c r="D33" s="50">
        <v>3</v>
      </c>
      <c r="E33" s="50">
        <v>2</v>
      </c>
      <c r="F33" s="50">
        <v>3</v>
      </c>
      <c r="G33" s="50">
        <v>0</v>
      </c>
      <c r="H33" s="50">
        <v>0</v>
      </c>
      <c r="I33" s="50">
        <v>0</v>
      </c>
      <c r="J33" s="50">
        <v>1</v>
      </c>
      <c r="K33" s="50">
        <v>0</v>
      </c>
      <c r="L33" s="50">
        <v>0</v>
      </c>
      <c r="M33" s="50">
        <v>75</v>
      </c>
      <c r="N33" s="50">
        <v>0</v>
      </c>
      <c r="O33" s="15">
        <f t="shared" si="0"/>
        <v>14</v>
      </c>
      <c r="P33" s="15">
        <f t="shared" si="1"/>
        <v>89</v>
      </c>
    </row>
    <row r="34" spans="2:20" ht="23.1" customHeight="1" x14ac:dyDescent="0.25">
      <c r="B34" s="24" t="s">
        <v>61</v>
      </c>
      <c r="C34" s="50">
        <v>4</v>
      </c>
      <c r="D34" s="50">
        <v>3</v>
      </c>
      <c r="E34" s="50">
        <v>2</v>
      </c>
      <c r="F34" s="50">
        <v>5</v>
      </c>
      <c r="G34" s="50">
        <v>0</v>
      </c>
      <c r="H34" s="50">
        <v>0</v>
      </c>
      <c r="I34" s="50">
        <v>1</v>
      </c>
      <c r="J34" s="50">
        <v>0</v>
      </c>
      <c r="K34" s="50">
        <v>0</v>
      </c>
      <c r="L34" s="50">
        <v>0</v>
      </c>
      <c r="M34" s="50">
        <v>70</v>
      </c>
      <c r="N34" s="50">
        <v>0</v>
      </c>
      <c r="O34" s="15">
        <f t="shared" si="0"/>
        <v>15</v>
      </c>
      <c r="P34" s="15">
        <f t="shared" si="1"/>
        <v>85</v>
      </c>
    </row>
    <row r="35" spans="2:20" ht="23.1" customHeight="1" x14ac:dyDescent="0.25">
      <c r="B35" s="24" t="s">
        <v>62</v>
      </c>
      <c r="C35" s="50">
        <v>5</v>
      </c>
      <c r="D35" s="50">
        <v>3</v>
      </c>
      <c r="E35" s="50">
        <v>2</v>
      </c>
      <c r="F35" s="50">
        <v>4</v>
      </c>
      <c r="G35" s="50">
        <v>0</v>
      </c>
      <c r="H35" s="50">
        <v>0</v>
      </c>
      <c r="I35" s="50">
        <v>2</v>
      </c>
      <c r="J35" s="50">
        <v>1</v>
      </c>
      <c r="K35" s="50">
        <v>0</v>
      </c>
      <c r="L35" s="50">
        <v>0</v>
      </c>
      <c r="M35" s="50">
        <v>80</v>
      </c>
      <c r="N35" s="50">
        <v>0</v>
      </c>
      <c r="O35" s="15">
        <f t="shared" si="0"/>
        <v>17</v>
      </c>
      <c r="P35" s="15">
        <f t="shared" si="1"/>
        <v>97</v>
      </c>
    </row>
    <row r="36" spans="2:20" ht="23.1" customHeight="1" x14ac:dyDescent="0.25">
      <c r="B36" s="24" t="s">
        <v>63</v>
      </c>
      <c r="C36" s="50">
        <v>4</v>
      </c>
      <c r="D36" s="50">
        <v>2</v>
      </c>
      <c r="E36" s="50">
        <v>3</v>
      </c>
      <c r="F36" s="50">
        <v>5</v>
      </c>
      <c r="G36" s="50">
        <v>0</v>
      </c>
      <c r="H36" s="50">
        <v>0</v>
      </c>
      <c r="I36" s="50">
        <v>0</v>
      </c>
      <c r="J36" s="50">
        <v>1</v>
      </c>
      <c r="K36" s="50">
        <v>0</v>
      </c>
      <c r="L36" s="50">
        <v>0</v>
      </c>
      <c r="M36" s="50">
        <v>85</v>
      </c>
      <c r="N36" s="50">
        <v>0</v>
      </c>
      <c r="O36" s="15">
        <f t="shared" si="0"/>
        <v>15</v>
      </c>
      <c r="P36" s="15">
        <f t="shared" si="1"/>
        <v>100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3</v>
      </c>
      <c r="F37" s="50">
        <v>4</v>
      </c>
      <c r="G37" s="50">
        <v>0</v>
      </c>
      <c r="H37" s="50">
        <v>0</v>
      </c>
      <c r="I37" s="50">
        <v>1</v>
      </c>
      <c r="J37" s="50">
        <v>0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13</v>
      </c>
      <c r="P37" s="15">
        <f t="shared" si="1"/>
        <v>83</v>
      </c>
    </row>
    <row r="38" spans="2:20" ht="23.1" customHeight="1" x14ac:dyDescent="0.25">
      <c r="B38" s="24" t="s">
        <v>65</v>
      </c>
      <c r="C38" s="50">
        <v>3</v>
      </c>
      <c r="D38" s="50">
        <v>2</v>
      </c>
      <c r="E38" s="50">
        <v>3</v>
      </c>
      <c r="F38" s="50">
        <v>5</v>
      </c>
      <c r="G38" s="50">
        <v>0</v>
      </c>
      <c r="H38" s="50">
        <v>0</v>
      </c>
      <c r="I38" s="50">
        <v>1</v>
      </c>
      <c r="J38" s="50">
        <v>3</v>
      </c>
      <c r="K38" s="50">
        <v>0</v>
      </c>
      <c r="L38" s="50">
        <v>0</v>
      </c>
      <c r="M38" s="50">
        <v>80</v>
      </c>
      <c r="N38" s="50">
        <v>0</v>
      </c>
      <c r="O38" s="15">
        <f t="shared" si="0"/>
        <v>17</v>
      </c>
      <c r="P38" s="15">
        <f t="shared" si="1"/>
        <v>97</v>
      </c>
    </row>
    <row r="39" spans="2:20" ht="23.1" customHeight="1" x14ac:dyDescent="0.25">
      <c r="B39" s="24" t="s">
        <v>66</v>
      </c>
      <c r="C39" s="50">
        <v>1</v>
      </c>
      <c r="D39" s="50">
        <v>5</v>
      </c>
      <c r="E39" s="50">
        <v>4</v>
      </c>
      <c r="F39" s="50">
        <v>4</v>
      </c>
      <c r="G39" s="50">
        <v>0</v>
      </c>
      <c r="H39" s="50">
        <v>0</v>
      </c>
      <c r="I39" s="50">
        <v>0</v>
      </c>
      <c r="J39" s="50">
        <v>1</v>
      </c>
      <c r="K39" s="50">
        <v>0</v>
      </c>
      <c r="L39" s="50">
        <v>0</v>
      </c>
      <c r="M39" s="50">
        <v>75</v>
      </c>
      <c r="N39" s="50">
        <v>0</v>
      </c>
      <c r="O39" s="15">
        <f t="shared" si="0"/>
        <v>15</v>
      </c>
      <c r="P39" s="15">
        <f t="shared" si="1"/>
        <v>90</v>
      </c>
    </row>
    <row r="40" spans="2:20" ht="23.1" customHeight="1" x14ac:dyDescent="0.25">
      <c r="B40" s="24" t="s">
        <v>67</v>
      </c>
      <c r="C40" s="50">
        <v>4</v>
      </c>
      <c r="D40" s="50">
        <v>3</v>
      </c>
      <c r="E40" s="50">
        <v>2</v>
      </c>
      <c r="F40" s="50">
        <v>4</v>
      </c>
      <c r="G40" s="50">
        <v>0</v>
      </c>
      <c r="H40" s="50">
        <v>0</v>
      </c>
      <c r="I40" s="50">
        <v>2</v>
      </c>
      <c r="J40" s="50">
        <v>3</v>
      </c>
      <c r="K40" s="50">
        <v>0</v>
      </c>
      <c r="L40" s="50">
        <v>0</v>
      </c>
      <c r="M40" s="50">
        <v>60</v>
      </c>
      <c r="N40" s="50">
        <v>0</v>
      </c>
      <c r="O40" s="15">
        <f t="shared" si="0"/>
        <v>18</v>
      </c>
      <c r="P40" s="15">
        <f t="shared" si="1"/>
        <v>78</v>
      </c>
    </row>
    <row r="41" spans="2:20" ht="23.1" customHeight="1" x14ac:dyDescent="0.25">
      <c r="B41" s="23" t="s">
        <v>68</v>
      </c>
      <c r="C41" s="50">
        <v>0</v>
      </c>
      <c r="D41" s="50">
        <v>2</v>
      </c>
      <c r="E41" s="50">
        <v>3</v>
      </c>
      <c r="F41" s="50">
        <v>2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40</v>
      </c>
      <c r="N41" s="50">
        <v>0</v>
      </c>
      <c r="O41" s="15">
        <f t="shared" si="0"/>
        <v>9</v>
      </c>
      <c r="P41" s="15">
        <f t="shared" si="1"/>
        <v>49</v>
      </c>
    </row>
    <row r="42" spans="2:20" ht="23.1" customHeight="1" x14ac:dyDescent="0.25">
      <c r="B42" s="24" t="s">
        <v>69</v>
      </c>
      <c r="C42" s="50">
        <v>4</v>
      </c>
      <c r="D42" s="50">
        <v>3</v>
      </c>
      <c r="E42" s="50">
        <v>4</v>
      </c>
      <c r="F42" s="50">
        <v>3</v>
      </c>
      <c r="G42" s="50">
        <v>0</v>
      </c>
      <c r="H42" s="50">
        <v>0</v>
      </c>
      <c r="I42" s="50">
        <v>2</v>
      </c>
      <c r="J42" s="50">
        <v>1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17</v>
      </c>
      <c r="P42" s="15">
        <f t="shared" si="1"/>
        <v>72</v>
      </c>
    </row>
    <row r="43" spans="2:20" ht="23.1" customHeight="1" x14ac:dyDescent="0.25">
      <c r="B43" s="23" t="s">
        <v>70</v>
      </c>
      <c r="C43" s="50">
        <v>4</v>
      </c>
      <c r="D43" s="50">
        <v>5</v>
      </c>
      <c r="E43" s="50">
        <v>2</v>
      </c>
      <c r="F43" s="50">
        <v>6</v>
      </c>
      <c r="G43" s="50">
        <v>0</v>
      </c>
      <c r="H43" s="50">
        <v>0</v>
      </c>
      <c r="I43" s="50">
        <v>3</v>
      </c>
      <c r="J43" s="50">
        <v>0</v>
      </c>
      <c r="K43" s="50">
        <v>0</v>
      </c>
      <c r="L43" s="50">
        <v>0</v>
      </c>
      <c r="M43" s="50">
        <v>60</v>
      </c>
      <c r="N43" s="50">
        <v>0</v>
      </c>
      <c r="O43" s="15">
        <f t="shared" si="0"/>
        <v>20</v>
      </c>
      <c r="P43" s="15">
        <f t="shared" si="1"/>
        <v>80</v>
      </c>
    </row>
    <row r="44" spans="2:20" ht="23.1" customHeight="1" x14ac:dyDescent="0.25">
      <c r="B44" s="25" t="s">
        <v>71</v>
      </c>
      <c r="C44" s="50">
        <v>3</v>
      </c>
      <c r="D44" s="50">
        <v>2</v>
      </c>
      <c r="E44" s="50">
        <v>5</v>
      </c>
      <c r="F44" s="50">
        <v>5</v>
      </c>
      <c r="G44" s="50">
        <v>0</v>
      </c>
      <c r="H44" s="50">
        <v>0</v>
      </c>
      <c r="I44" s="50">
        <v>0</v>
      </c>
      <c r="J44" s="50">
        <v>0</v>
      </c>
      <c r="K44" s="50">
        <v>0</v>
      </c>
      <c r="L44" s="50">
        <v>0</v>
      </c>
      <c r="M44" s="50">
        <v>65</v>
      </c>
      <c r="N44" s="50">
        <v>0</v>
      </c>
      <c r="O44" s="15">
        <f t="shared" si="0"/>
        <v>15</v>
      </c>
      <c r="P44" s="15">
        <f t="shared" si="1"/>
        <v>80</v>
      </c>
    </row>
    <row r="45" spans="2:20" ht="23.1" customHeight="1" x14ac:dyDescent="0.25">
      <c r="B45" s="23" t="s">
        <v>72</v>
      </c>
      <c r="C45" s="50">
        <v>3</v>
      </c>
      <c r="D45" s="50">
        <v>6</v>
      </c>
      <c r="E45" s="50">
        <v>4</v>
      </c>
      <c r="F45" s="50">
        <v>0</v>
      </c>
      <c r="G45" s="50">
        <v>0</v>
      </c>
      <c r="H45" s="50">
        <v>0</v>
      </c>
      <c r="I45" s="50">
        <v>2</v>
      </c>
      <c r="J45" s="50">
        <v>0</v>
      </c>
      <c r="K45" s="50">
        <v>0</v>
      </c>
      <c r="L45" s="50">
        <v>0</v>
      </c>
      <c r="M45" s="50">
        <v>71</v>
      </c>
      <c r="N45" s="50">
        <v>0</v>
      </c>
      <c r="O45" s="15">
        <f t="shared" si="0"/>
        <v>15</v>
      </c>
      <c r="P45" s="15">
        <f t="shared" si="1"/>
        <v>86</v>
      </c>
    </row>
    <row r="46" spans="2:20" ht="23.1" customHeight="1" x14ac:dyDescent="0.25">
      <c r="B46" s="24" t="s">
        <v>73</v>
      </c>
      <c r="C46" s="50">
        <v>5</v>
      </c>
      <c r="D46" s="50">
        <v>3</v>
      </c>
      <c r="E46" s="50">
        <v>4</v>
      </c>
      <c r="F46" s="50">
        <v>5</v>
      </c>
      <c r="G46" s="50">
        <v>0</v>
      </c>
      <c r="H46" s="50">
        <v>0</v>
      </c>
      <c r="I46" s="50">
        <v>2</v>
      </c>
      <c r="J46" s="50">
        <v>0</v>
      </c>
      <c r="K46" s="50">
        <v>0</v>
      </c>
      <c r="L46" s="50">
        <v>0</v>
      </c>
      <c r="M46" s="50">
        <v>60</v>
      </c>
      <c r="N46" s="50">
        <v>0</v>
      </c>
      <c r="O46" s="15">
        <f t="shared" si="0"/>
        <v>19</v>
      </c>
      <c r="P46" s="15">
        <f t="shared" si="1"/>
        <v>79</v>
      </c>
      <c r="R46" s="8"/>
      <c r="T46"/>
    </row>
    <row r="47" spans="2:20" ht="23.1" customHeight="1" x14ac:dyDescent="0.25">
      <c r="B47" s="24" t="s">
        <v>74</v>
      </c>
      <c r="C47" s="50">
        <v>2</v>
      </c>
      <c r="D47" s="50">
        <v>4</v>
      </c>
      <c r="E47" s="50">
        <v>3</v>
      </c>
      <c r="F47" s="50">
        <v>5</v>
      </c>
      <c r="G47" s="50">
        <v>0</v>
      </c>
      <c r="H47" s="50">
        <v>0</v>
      </c>
      <c r="I47" s="50">
        <v>3</v>
      </c>
      <c r="J47" s="50">
        <v>0</v>
      </c>
      <c r="K47" s="50">
        <v>0</v>
      </c>
      <c r="L47" s="50">
        <v>0</v>
      </c>
      <c r="M47" s="50">
        <v>65</v>
      </c>
      <c r="N47" s="50">
        <v>0</v>
      </c>
      <c r="O47" s="15">
        <f t="shared" si="0"/>
        <v>17</v>
      </c>
      <c r="P47" s="15">
        <f t="shared" si="1"/>
        <v>82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3</v>
      </c>
      <c r="E48" s="50">
        <v>6</v>
      </c>
      <c r="F48" s="50">
        <v>4</v>
      </c>
      <c r="G48" s="50">
        <v>0</v>
      </c>
      <c r="H48" s="50">
        <v>0</v>
      </c>
      <c r="I48" s="50">
        <v>2</v>
      </c>
      <c r="J48" s="50">
        <v>1</v>
      </c>
      <c r="K48" s="50">
        <v>0</v>
      </c>
      <c r="L48" s="50">
        <v>0</v>
      </c>
      <c r="M48" s="50">
        <v>60</v>
      </c>
      <c r="N48" s="50">
        <v>0</v>
      </c>
      <c r="O48" s="15">
        <f t="shared" si="0"/>
        <v>21</v>
      </c>
      <c r="P48" s="15">
        <f t="shared" si="1"/>
        <v>81</v>
      </c>
      <c r="R48" s="8"/>
      <c r="T48"/>
    </row>
    <row r="49" spans="2:20" ht="23.1" customHeight="1" x14ac:dyDescent="0.25">
      <c r="B49" s="23" t="s">
        <v>76</v>
      </c>
      <c r="C49" s="50">
        <v>3</v>
      </c>
      <c r="D49" s="50">
        <v>5</v>
      </c>
      <c r="E49" s="50">
        <v>4</v>
      </c>
      <c r="F49" s="50">
        <v>0</v>
      </c>
      <c r="G49" s="50">
        <v>0</v>
      </c>
      <c r="H49" s="50">
        <v>0</v>
      </c>
      <c r="I49" s="50">
        <v>1</v>
      </c>
      <c r="J49" s="50">
        <v>2</v>
      </c>
      <c r="K49" s="50">
        <v>0</v>
      </c>
      <c r="L49" s="50">
        <v>0</v>
      </c>
      <c r="M49" s="50">
        <v>60</v>
      </c>
      <c r="N49" s="50">
        <v>0</v>
      </c>
      <c r="O49" s="15">
        <f t="shared" si="0"/>
        <v>15</v>
      </c>
      <c r="P49" s="15">
        <f t="shared" si="1"/>
        <v>75</v>
      </c>
      <c r="R49" s="8"/>
      <c r="T49"/>
    </row>
    <row r="50" spans="2:20" ht="23.1" customHeight="1" x14ac:dyDescent="0.25">
      <c r="B50" s="24" t="s">
        <v>77</v>
      </c>
      <c r="C50" s="50">
        <v>3</v>
      </c>
      <c r="D50" s="50">
        <v>2</v>
      </c>
      <c r="E50" s="50">
        <v>4</v>
      </c>
      <c r="F50" s="50">
        <v>5</v>
      </c>
      <c r="G50" s="50">
        <v>0</v>
      </c>
      <c r="H50" s="50">
        <v>0</v>
      </c>
      <c r="I50" s="50">
        <v>2</v>
      </c>
      <c r="J50" s="50">
        <v>1</v>
      </c>
      <c r="K50" s="50">
        <v>0</v>
      </c>
      <c r="L50" s="50">
        <v>0</v>
      </c>
      <c r="M50" s="50">
        <v>60</v>
      </c>
      <c r="N50" s="50">
        <v>0</v>
      </c>
      <c r="O50" s="15">
        <f t="shared" si="0"/>
        <v>17</v>
      </c>
      <c r="P50" s="15">
        <f t="shared" si="1"/>
        <v>77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3</v>
      </c>
      <c r="E51" s="50">
        <v>3</v>
      </c>
      <c r="F51" s="50">
        <v>5</v>
      </c>
      <c r="G51" s="50">
        <v>0</v>
      </c>
      <c r="H51" s="50">
        <v>0</v>
      </c>
      <c r="I51" s="50">
        <v>1</v>
      </c>
      <c r="J51" s="50">
        <v>0</v>
      </c>
      <c r="K51" s="50">
        <v>0</v>
      </c>
      <c r="L51" s="50">
        <v>0</v>
      </c>
      <c r="M51" s="50">
        <v>65</v>
      </c>
      <c r="N51" s="50">
        <v>0</v>
      </c>
      <c r="O51" s="15">
        <f t="shared" si="0"/>
        <v>16</v>
      </c>
      <c r="P51" s="15">
        <f t="shared" si="1"/>
        <v>81</v>
      </c>
      <c r="R51" s="8"/>
      <c r="T51"/>
    </row>
    <row r="52" spans="2:20" ht="23.1" customHeight="1" x14ac:dyDescent="0.25">
      <c r="B52" s="24" t="s">
        <v>79</v>
      </c>
      <c r="C52" s="50">
        <v>3</v>
      </c>
      <c r="D52" s="50">
        <v>2</v>
      </c>
      <c r="E52" s="50">
        <v>3</v>
      </c>
      <c r="F52" s="50">
        <v>4</v>
      </c>
      <c r="G52" s="50">
        <v>0</v>
      </c>
      <c r="H52" s="50">
        <v>0</v>
      </c>
      <c r="I52" s="50">
        <v>1</v>
      </c>
      <c r="J52" s="50">
        <v>2</v>
      </c>
      <c r="K52" s="50">
        <v>0</v>
      </c>
      <c r="L52" s="50">
        <v>0</v>
      </c>
      <c r="M52" s="50">
        <v>60</v>
      </c>
      <c r="N52" s="50">
        <v>0</v>
      </c>
      <c r="O52" s="15">
        <f t="shared" si="0"/>
        <v>15</v>
      </c>
      <c r="P52" s="15">
        <f t="shared" si="1"/>
        <v>75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3</v>
      </c>
      <c r="E53" s="50">
        <v>4</v>
      </c>
      <c r="F53" s="50">
        <v>5</v>
      </c>
      <c r="G53" s="50">
        <v>0</v>
      </c>
      <c r="H53" s="50">
        <v>0</v>
      </c>
      <c r="I53" s="50">
        <v>1</v>
      </c>
      <c r="J53" s="50">
        <v>2</v>
      </c>
      <c r="K53" s="50">
        <v>0</v>
      </c>
      <c r="L53" s="50">
        <v>0</v>
      </c>
      <c r="M53" s="50">
        <v>50</v>
      </c>
      <c r="N53" s="50">
        <v>0</v>
      </c>
      <c r="O53" s="15">
        <f t="shared" si="0"/>
        <v>17</v>
      </c>
      <c r="P53" s="15">
        <f t="shared" si="1"/>
        <v>67</v>
      </c>
      <c r="R53" s="8"/>
      <c r="T53"/>
    </row>
    <row r="54" spans="2:20" ht="23.1" customHeight="1" x14ac:dyDescent="0.25">
      <c r="B54" s="23" t="s">
        <v>81</v>
      </c>
      <c r="C54" s="50">
        <v>4</v>
      </c>
      <c r="D54" s="50">
        <v>3</v>
      </c>
      <c r="E54" s="50">
        <v>2</v>
      </c>
      <c r="F54" s="50">
        <v>5</v>
      </c>
      <c r="G54" s="50">
        <v>0</v>
      </c>
      <c r="H54" s="50">
        <v>0</v>
      </c>
      <c r="I54" s="50">
        <v>2</v>
      </c>
      <c r="J54" s="50">
        <v>1</v>
      </c>
      <c r="K54" s="50">
        <v>0</v>
      </c>
      <c r="L54" s="50">
        <v>0</v>
      </c>
      <c r="M54" s="50">
        <v>45</v>
      </c>
      <c r="N54" s="50">
        <v>0</v>
      </c>
      <c r="O54" s="15">
        <f t="shared" si="0"/>
        <v>17</v>
      </c>
      <c r="P54" s="15">
        <f t="shared" si="1"/>
        <v>62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3</v>
      </c>
      <c r="E55" s="50">
        <v>2</v>
      </c>
      <c r="F55" s="50">
        <v>6</v>
      </c>
      <c r="G55" s="50">
        <v>0</v>
      </c>
      <c r="H55" s="50">
        <v>0</v>
      </c>
      <c r="I55" s="50">
        <v>1</v>
      </c>
      <c r="J55" s="50">
        <v>2</v>
      </c>
      <c r="K55" s="50">
        <v>0</v>
      </c>
      <c r="L55" s="50">
        <v>0</v>
      </c>
      <c r="M55" s="50">
        <v>50</v>
      </c>
      <c r="N55" s="50">
        <v>0</v>
      </c>
      <c r="O55" s="15">
        <f t="shared" si="0"/>
        <v>19</v>
      </c>
      <c r="P55" s="15">
        <f t="shared" si="1"/>
        <v>69</v>
      </c>
      <c r="R55" s="8"/>
      <c r="T55"/>
    </row>
    <row r="56" spans="2:20" ht="23.1" customHeight="1" x14ac:dyDescent="0.25">
      <c r="B56" s="23" t="s">
        <v>83</v>
      </c>
      <c r="C56" s="50">
        <v>2</v>
      </c>
      <c r="D56" s="50">
        <v>2</v>
      </c>
      <c r="E56" s="50">
        <v>2</v>
      </c>
      <c r="F56" s="50">
        <v>3</v>
      </c>
      <c r="G56" s="50">
        <v>0</v>
      </c>
      <c r="H56" s="50">
        <v>0</v>
      </c>
      <c r="I56" s="50">
        <v>1</v>
      </c>
      <c r="J56" s="50">
        <v>1</v>
      </c>
      <c r="K56" s="50">
        <v>0</v>
      </c>
      <c r="L56" s="50">
        <v>0</v>
      </c>
      <c r="M56" s="50">
        <v>50</v>
      </c>
      <c r="N56" s="50">
        <v>0</v>
      </c>
      <c r="O56" s="15">
        <f t="shared" si="0"/>
        <v>11</v>
      </c>
      <c r="P56" s="15">
        <f t="shared" si="1"/>
        <v>61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3</v>
      </c>
      <c r="F57" s="50">
        <v>5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55</v>
      </c>
      <c r="N57" s="50">
        <v>0</v>
      </c>
      <c r="O57" s="15">
        <f t="shared" si="0"/>
        <v>14</v>
      </c>
      <c r="P57" s="15">
        <f t="shared" si="1"/>
        <v>69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177</v>
      </c>
      <c r="D58" s="16">
        <f t="shared" si="21"/>
        <v>135</v>
      </c>
      <c r="E58" s="16">
        <f t="shared" si="21"/>
        <v>131</v>
      </c>
      <c r="F58" s="16">
        <f t="shared" si="21"/>
        <v>192</v>
      </c>
      <c r="G58" s="16">
        <f t="shared" si="21"/>
        <v>0</v>
      </c>
      <c r="H58" s="16">
        <f t="shared" si="21"/>
        <v>0</v>
      </c>
      <c r="I58" s="16">
        <f t="shared" si="21"/>
        <v>47</v>
      </c>
      <c r="J58" s="16">
        <f t="shared" si="21"/>
        <v>53</v>
      </c>
      <c r="K58" s="16">
        <f t="shared" si="21"/>
        <v>0</v>
      </c>
      <c r="L58" s="16">
        <f t="shared" si="21"/>
        <v>0</v>
      </c>
      <c r="M58" s="16">
        <f t="shared" si="21"/>
        <v>3146</v>
      </c>
      <c r="N58" s="16">
        <f t="shared" si="21"/>
        <v>2</v>
      </c>
      <c r="O58" s="16">
        <f t="shared" si="21"/>
        <v>737</v>
      </c>
      <c r="P58" s="16">
        <f t="shared" si="21"/>
        <v>3883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4.5583311872263714E-2</v>
      </c>
      <c r="D59" s="43">
        <f t="shared" si="22"/>
        <v>3.4766932783929949E-2</v>
      </c>
      <c r="E59" s="43">
        <f t="shared" si="22"/>
        <v>3.3736801442183877E-2</v>
      </c>
      <c r="F59" s="43">
        <f t="shared" si="22"/>
        <v>4.9446304403811488E-2</v>
      </c>
      <c r="G59" s="43">
        <f t="shared" si="22"/>
        <v>0</v>
      </c>
      <c r="H59" s="43">
        <f t="shared" si="22"/>
        <v>0</v>
      </c>
      <c r="I59" s="43">
        <f t="shared" si="22"/>
        <v>1.2104043265516354E-2</v>
      </c>
      <c r="J59" s="43">
        <f t="shared" si="22"/>
        <v>1.3649240278135463E-2</v>
      </c>
      <c r="K59" s="43">
        <f t="shared" si="22"/>
        <v>0</v>
      </c>
      <c r="L59" s="43">
        <f t="shared" si="22"/>
        <v>0</v>
      </c>
      <c r="M59" s="43">
        <f t="shared" si="22"/>
        <v>0.8101983002832861</v>
      </c>
      <c r="N59" s="43">
        <f t="shared" si="22"/>
        <v>5.1506567087303637E-4</v>
      </c>
      <c r="R59" s="8"/>
      <c r="T59"/>
    </row>
    <row r="60" spans="2:20" ht="23.1" customHeight="1" x14ac:dyDescent="0.25">
      <c r="B60" s="42" t="s">
        <v>94</v>
      </c>
      <c r="C60" s="44">
        <f>C58/$O$58</f>
        <v>0.24016282225237448</v>
      </c>
      <c r="D60" s="44">
        <f t="shared" ref="D60:N60" si="23">D58/$O$58</f>
        <v>0.18317503392130258</v>
      </c>
      <c r="E60" s="44">
        <f t="shared" si="23"/>
        <v>0.17774762550881953</v>
      </c>
      <c r="F60" s="44">
        <f t="shared" si="23"/>
        <v>0.26051560379918587</v>
      </c>
      <c r="G60" s="44">
        <f t="shared" si="23"/>
        <v>0</v>
      </c>
      <c r="H60" s="44">
        <f t="shared" si="23"/>
        <v>0</v>
      </c>
      <c r="I60" s="44">
        <f t="shared" si="23"/>
        <v>6.3772048846675713E-2</v>
      </c>
      <c r="J60" s="44">
        <f t="shared" si="23"/>
        <v>7.1913161465400277E-2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2.7137042062415195E-3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R56" sqref="R5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'27.08 Iganga-Kaliro'!D5</f>
        <v>27.08.19</v>
      </c>
      <c r="E5" s="3"/>
      <c r="F5" s="41" t="s">
        <v>1</v>
      </c>
      <c r="G5" s="61" t="str">
        <f>'27.08 Iganga-Kaliro'!G5:H5</f>
        <v>Kigulu</v>
      </c>
      <c r="H5" s="62"/>
      <c r="I5" s="14"/>
      <c r="J5" s="2" t="s">
        <v>5</v>
      </c>
      <c r="K5" s="61" t="s">
        <v>169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'22.08 Kaliro-Iganga'!G6:H6</f>
        <v>Iganga</v>
      </c>
      <c r="H6" s="62"/>
      <c r="J6" s="2" t="s">
        <v>21</v>
      </c>
      <c r="K6" s="61" t="str">
        <f>'27.08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2</v>
      </c>
      <c r="D10" s="50">
        <v>0</v>
      </c>
      <c r="E10" s="50">
        <v>0</v>
      </c>
      <c r="F10" s="50">
        <v>2</v>
      </c>
      <c r="G10" s="50">
        <v>0</v>
      </c>
      <c r="H10" s="50">
        <v>0</v>
      </c>
      <c r="I10" s="50">
        <v>2</v>
      </c>
      <c r="J10" s="50">
        <v>1</v>
      </c>
      <c r="K10" s="50">
        <v>0</v>
      </c>
      <c r="L10" s="50">
        <v>0</v>
      </c>
      <c r="M10" s="50">
        <v>72</v>
      </c>
      <c r="N10" s="50">
        <v>0</v>
      </c>
      <c r="O10" s="15">
        <f t="shared" ref="O10:O57" si="0">SUM(C10:L10,N10)</f>
        <v>7</v>
      </c>
      <c r="P10" s="15">
        <f t="shared" ref="P10:P57" si="1">SUM(C10:N10)</f>
        <v>79</v>
      </c>
      <c r="R10" s="1" t="s">
        <v>6</v>
      </c>
      <c r="S10" s="17">
        <f t="shared" ref="S10:AF10" si="2">SUM(C10:C13)</f>
        <v>11</v>
      </c>
      <c r="T10" s="17">
        <f t="shared" si="2"/>
        <v>3</v>
      </c>
      <c r="U10" s="17">
        <f t="shared" si="2"/>
        <v>4</v>
      </c>
      <c r="V10" s="17">
        <f t="shared" si="2"/>
        <v>10</v>
      </c>
      <c r="W10" s="17">
        <f t="shared" si="2"/>
        <v>0</v>
      </c>
      <c r="X10" s="17">
        <f t="shared" si="2"/>
        <v>0</v>
      </c>
      <c r="Y10" s="17">
        <f t="shared" si="2"/>
        <v>5</v>
      </c>
      <c r="Z10" s="17">
        <f t="shared" si="2"/>
        <v>4</v>
      </c>
      <c r="AA10" s="17">
        <f t="shared" si="2"/>
        <v>3</v>
      </c>
      <c r="AB10" s="17">
        <f t="shared" si="2"/>
        <v>0</v>
      </c>
      <c r="AC10" s="17">
        <f t="shared" si="2"/>
        <v>268</v>
      </c>
      <c r="AD10" s="17">
        <f t="shared" si="2"/>
        <v>0</v>
      </c>
      <c r="AE10" s="31">
        <f t="shared" si="2"/>
        <v>40</v>
      </c>
      <c r="AF10" s="31">
        <f t="shared" si="2"/>
        <v>308</v>
      </c>
    </row>
    <row r="11" spans="2:32" s="6" customFormat="1" ht="23.1" customHeight="1" x14ac:dyDescent="0.25">
      <c r="B11" s="23" t="s">
        <v>38</v>
      </c>
      <c r="C11" s="50">
        <v>3</v>
      </c>
      <c r="D11" s="50">
        <v>1</v>
      </c>
      <c r="E11" s="50">
        <v>4</v>
      </c>
      <c r="F11" s="50">
        <v>5</v>
      </c>
      <c r="G11" s="50">
        <v>0</v>
      </c>
      <c r="H11" s="50">
        <v>0</v>
      </c>
      <c r="I11" s="50">
        <v>0</v>
      </c>
      <c r="J11" s="50">
        <v>2</v>
      </c>
      <c r="K11" s="50">
        <v>2</v>
      </c>
      <c r="L11" s="50">
        <v>0</v>
      </c>
      <c r="M11" s="50">
        <v>57</v>
      </c>
      <c r="N11" s="50">
        <v>0</v>
      </c>
      <c r="O11" s="15">
        <f t="shared" si="0"/>
        <v>17</v>
      </c>
      <c r="P11" s="15">
        <f t="shared" si="1"/>
        <v>74</v>
      </c>
      <c r="R11" s="1" t="s">
        <v>7</v>
      </c>
      <c r="S11" s="17">
        <f t="shared" ref="S11:AF11" si="3">SUM(C14:C17)</f>
        <v>7</v>
      </c>
      <c r="T11" s="17">
        <f t="shared" si="3"/>
        <v>5</v>
      </c>
      <c r="U11" s="17">
        <f t="shared" si="3"/>
        <v>9</v>
      </c>
      <c r="V11" s="17">
        <f t="shared" si="3"/>
        <v>7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0</v>
      </c>
      <c r="AB11" s="17">
        <f t="shared" si="3"/>
        <v>0</v>
      </c>
      <c r="AC11" s="17">
        <f t="shared" si="3"/>
        <v>271</v>
      </c>
      <c r="AD11" s="17">
        <f t="shared" si="3"/>
        <v>0</v>
      </c>
      <c r="AE11" s="31">
        <f t="shared" si="3"/>
        <v>35</v>
      </c>
      <c r="AF11" s="31">
        <f t="shared" si="3"/>
        <v>306</v>
      </c>
    </row>
    <row r="12" spans="2:32" ht="23.1" customHeight="1" x14ac:dyDescent="0.25">
      <c r="B12" s="23" t="s">
        <v>39</v>
      </c>
      <c r="C12" s="50">
        <v>5</v>
      </c>
      <c r="D12" s="50">
        <v>2</v>
      </c>
      <c r="E12" s="50">
        <v>0</v>
      </c>
      <c r="F12" s="50">
        <v>2</v>
      </c>
      <c r="G12" s="50">
        <v>0</v>
      </c>
      <c r="H12" s="50">
        <v>0</v>
      </c>
      <c r="I12" s="50">
        <v>2</v>
      </c>
      <c r="J12" s="50">
        <v>1</v>
      </c>
      <c r="K12" s="50">
        <v>1</v>
      </c>
      <c r="L12" s="50">
        <v>0</v>
      </c>
      <c r="M12" s="50">
        <v>76</v>
      </c>
      <c r="N12" s="50">
        <v>0</v>
      </c>
      <c r="O12" s="15">
        <f t="shared" si="0"/>
        <v>13</v>
      </c>
      <c r="P12" s="15">
        <f t="shared" si="1"/>
        <v>89</v>
      </c>
      <c r="R12" s="1" t="s">
        <v>8</v>
      </c>
      <c r="S12" s="17">
        <f t="shared" ref="S12:AF12" si="4">SUM(C18:C21)</f>
        <v>9</v>
      </c>
      <c r="T12" s="17">
        <f t="shared" si="4"/>
        <v>5</v>
      </c>
      <c r="U12" s="17">
        <f t="shared" si="4"/>
        <v>7</v>
      </c>
      <c r="V12" s="17">
        <f t="shared" si="4"/>
        <v>17</v>
      </c>
      <c r="W12" s="17">
        <f t="shared" si="4"/>
        <v>1</v>
      </c>
      <c r="X12" s="17">
        <f t="shared" si="4"/>
        <v>0</v>
      </c>
      <c r="Y12" s="17">
        <f t="shared" si="4"/>
        <v>8</v>
      </c>
      <c r="Z12" s="17">
        <f t="shared" si="4"/>
        <v>8</v>
      </c>
      <c r="AA12" s="17">
        <f t="shared" si="4"/>
        <v>2</v>
      </c>
      <c r="AB12" s="17">
        <f t="shared" si="4"/>
        <v>0</v>
      </c>
      <c r="AC12" s="17">
        <f t="shared" si="4"/>
        <v>275</v>
      </c>
      <c r="AD12" s="17">
        <f t="shared" si="4"/>
        <v>0</v>
      </c>
      <c r="AE12" s="31">
        <f t="shared" si="4"/>
        <v>57</v>
      </c>
      <c r="AF12" s="31">
        <f t="shared" si="4"/>
        <v>332</v>
      </c>
    </row>
    <row r="13" spans="2:32" ht="23.1" customHeight="1" x14ac:dyDescent="0.25">
      <c r="B13" s="23" t="s">
        <v>40</v>
      </c>
      <c r="C13" s="50">
        <v>1</v>
      </c>
      <c r="D13" s="50">
        <v>0</v>
      </c>
      <c r="E13" s="50">
        <v>0</v>
      </c>
      <c r="F13" s="50">
        <v>1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63</v>
      </c>
      <c r="N13" s="50">
        <v>0</v>
      </c>
      <c r="O13" s="15">
        <f t="shared" si="0"/>
        <v>3</v>
      </c>
      <c r="P13" s="15">
        <f t="shared" si="1"/>
        <v>66</v>
      </c>
      <c r="R13" s="1" t="s">
        <v>9</v>
      </c>
      <c r="S13" s="17">
        <f t="shared" ref="S13:AF13" si="5">SUM(C22:C25)</f>
        <v>18</v>
      </c>
      <c r="T13" s="17">
        <f t="shared" si="5"/>
        <v>7</v>
      </c>
      <c r="U13" s="17">
        <f t="shared" si="5"/>
        <v>15</v>
      </c>
      <c r="V13" s="17">
        <f t="shared" si="5"/>
        <v>21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5</v>
      </c>
      <c r="AA13" s="17">
        <f t="shared" si="5"/>
        <v>4</v>
      </c>
      <c r="AB13" s="17">
        <f t="shared" si="5"/>
        <v>0</v>
      </c>
      <c r="AC13" s="17">
        <f t="shared" si="5"/>
        <v>274</v>
      </c>
      <c r="AD13" s="17">
        <f t="shared" si="5"/>
        <v>0</v>
      </c>
      <c r="AE13" s="31">
        <f t="shared" si="5"/>
        <v>78</v>
      </c>
      <c r="AF13" s="31">
        <f t="shared" si="5"/>
        <v>352</v>
      </c>
    </row>
    <row r="14" spans="2:32" ht="23.1" customHeight="1" x14ac:dyDescent="0.25">
      <c r="B14" s="23" t="s">
        <v>41</v>
      </c>
      <c r="C14" s="50">
        <v>3</v>
      </c>
      <c r="D14" s="50">
        <v>1</v>
      </c>
      <c r="E14" s="50">
        <v>3</v>
      </c>
      <c r="F14" s="50">
        <v>3</v>
      </c>
      <c r="G14" s="50">
        <v>0</v>
      </c>
      <c r="H14" s="50">
        <v>0</v>
      </c>
      <c r="I14" s="50">
        <v>1</v>
      </c>
      <c r="J14" s="50">
        <v>0</v>
      </c>
      <c r="K14" s="50">
        <v>0</v>
      </c>
      <c r="L14" s="50">
        <v>0</v>
      </c>
      <c r="M14" s="50">
        <v>73</v>
      </c>
      <c r="N14" s="50">
        <v>0</v>
      </c>
      <c r="O14" s="15">
        <f t="shared" si="0"/>
        <v>11</v>
      </c>
      <c r="P14" s="15">
        <f t="shared" si="1"/>
        <v>84</v>
      </c>
      <c r="R14" s="1" t="s">
        <v>10</v>
      </c>
      <c r="S14" s="17">
        <f t="shared" ref="S14:AF14" si="6">SUM(C26:C29)</f>
        <v>21</v>
      </c>
      <c r="T14" s="17">
        <f t="shared" si="6"/>
        <v>3</v>
      </c>
      <c r="U14" s="17">
        <f t="shared" si="6"/>
        <v>7</v>
      </c>
      <c r="V14" s="17">
        <f t="shared" si="6"/>
        <v>18</v>
      </c>
      <c r="W14" s="17">
        <f t="shared" si="6"/>
        <v>0</v>
      </c>
      <c r="X14" s="17">
        <f t="shared" si="6"/>
        <v>0</v>
      </c>
      <c r="Y14" s="17">
        <f t="shared" si="6"/>
        <v>5</v>
      </c>
      <c r="Z14" s="17">
        <f t="shared" si="6"/>
        <v>5</v>
      </c>
      <c r="AA14" s="17">
        <f t="shared" si="6"/>
        <v>0</v>
      </c>
      <c r="AB14" s="17">
        <f t="shared" si="6"/>
        <v>0</v>
      </c>
      <c r="AC14" s="17">
        <f t="shared" si="6"/>
        <v>252</v>
      </c>
      <c r="AD14" s="17">
        <f t="shared" si="6"/>
        <v>0</v>
      </c>
      <c r="AE14" s="31">
        <f t="shared" si="6"/>
        <v>59</v>
      </c>
      <c r="AF14" s="31">
        <f t="shared" si="6"/>
        <v>311</v>
      </c>
    </row>
    <row r="15" spans="2:32" ht="23.1" customHeight="1" x14ac:dyDescent="0.25">
      <c r="B15" s="23" t="s">
        <v>42</v>
      </c>
      <c r="C15" s="50">
        <v>4</v>
      </c>
      <c r="D15" s="50">
        <v>2</v>
      </c>
      <c r="E15" s="50">
        <v>2</v>
      </c>
      <c r="F15" s="50">
        <v>1</v>
      </c>
      <c r="G15" s="50">
        <v>0</v>
      </c>
      <c r="H15" s="50">
        <v>0</v>
      </c>
      <c r="I15" s="50">
        <v>0</v>
      </c>
      <c r="J15" s="50">
        <v>0</v>
      </c>
      <c r="K15" s="50">
        <v>0</v>
      </c>
      <c r="L15" s="50">
        <v>0</v>
      </c>
      <c r="M15" s="50">
        <v>69</v>
      </c>
      <c r="N15" s="50">
        <v>0</v>
      </c>
      <c r="O15" s="15">
        <f t="shared" si="0"/>
        <v>9</v>
      </c>
      <c r="P15" s="15">
        <f t="shared" si="1"/>
        <v>78</v>
      </c>
      <c r="R15" s="1" t="s">
        <v>11</v>
      </c>
      <c r="S15" s="17">
        <f t="shared" ref="S15:AF15" si="7">SUM(C30:C33)</f>
        <v>14</v>
      </c>
      <c r="T15" s="17">
        <f t="shared" si="7"/>
        <v>1</v>
      </c>
      <c r="U15" s="17">
        <f t="shared" si="7"/>
        <v>4</v>
      </c>
      <c r="V15" s="17">
        <f t="shared" si="7"/>
        <v>9</v>
      </c>
      <c r="W15" s="17">
        <f t="shared" si="7"/>
        <v>0</v>
      </c>
      <c r="X15" s="17">
        <f t="shared" si="7"/>
        <v>0</v>
      </c>
      <c r="Y15" s="17">
        <f t="shared" si="7"/>
        <v>5</v>
      </c>
      <c r="Z15" s="17">
        <f t="shared" si="7"/>
        <v>3</v>
      </c>
      <c r="AA15" s="17">
        <f t="shared" si="7"/>
        <v>5</v>
      </c>
      <c r="AB15" s="17">
        <f t="shared" si="7"/>
        <v>1</v>
      </c>
      <c r="AC15" s="17">
        <f t="shared" si="7"/>
        <v>302</v>
      </c>
      <c r="AD15" s="17">
        <f t="shared" si="7"/>
        <v>0</v>
      </c>
      <c r="AE15" s="31">
        <f t="shared" si="7"/>
        <v>42</v>
      </c>
      <c r="AF15" s="31">
        <f t="shared" si="7"/>
        <v>344</v>
      </c>
    </row>
    <row r="16" spans="2:32" ht="23.1" customHeight="1" x14ac:dyDescent="0.25">
      <c r="B16" s="23" t="s">
        <v>43</v>
      </c>
      <c r="C16" s="50">
        <v>0</v>
      </c>
      <c r="D16" s="50">
        <v>1</v>
      </c>
      <c r="E16" s="50">
        <v>1</v>
      </c>
      <c r="F16" s="50">
        <v>2</v>
      </c>
      <c r="G16" s="50">
        <v>0</v>
      </c>
      <c r="H16" s="50">
        <v>0</v>
      </c>
      <c r="I16" s="50">
        <v>2</v>
      </c>
      <c r="J16" s="50">
        <v>0</v>
      </c>
      <c r="K16" s="50">
        <v>0</v>
      </c>
      <c r="L16" s="50">
        <v>0</v>
      </c>
      <c r="M16" s="50">
        <v>65</v>
      </c>
      <c r="N16" s="50">
        <v>0</v>
      </c>
      <c r="O16" s="15">
        <f t="shared" si="0"/>
        <v>6</v>
      </c>
      <c r="P16" s="15">
        <f t="shared" si="1"/>
        <v>71</v>
      </c>
      <c r="R16" s="1" t="s">
        <v>12</v>
      </c>
      <c r="S16" s="17">
        <f t="shared" ref="S16:AF16" si="8">SUM(C34:C37)</f>
        <v>11</v>
      </c>
      <c r="T16" s="17">
        <f t="shared" si="8"/>
        <v>5</v>
      </c>
      <c r="U16" s="17">
        <f t="shared" si="8"/>
        <v>7</v>
      </c>
      <c r="V16" s="17">
        <f t="shared" si="8"/>
        <v>13</v>
      </c>
      <c r="W16" s="17">
        <f t="shared" si="8"/>
        <v>0</v>
      </c>
      <c r="X16" s="17">
        <f t="shared" si="8"/>
        <v>0</v>
      </c>
      <c r="Y16" s="17">
        <f t="shared" si="8"/>
        <v>4</v>
      </c>
      <c r="Z16" s="17">
        <f t="shared" si="8"/>
        <v>2</v>
      </c>
      <c r="AA16" s="17">
        <f t="shared" si="8"/>
        <v>1</v>
      </c>
      <c r="AB16" s="17">
        <f t="shared" si="8"/>
        <v>0</v>
      </c>
      <c r="AC16" s="17">
        <f t="shared" si="8"/>
        <v>312</v>
      </c>
      <c r="AD16" s="17">
        <f t="shared" si="8"/>
        <v>0</v>
      </c>
      <c r="AE16" s="31">
        <f t="shared" si="8"/>
        <v>43</v>
      </c>
      <c r="AF16" s="31">
        <f t="shared" si="8"/>
        <v>355</v>
      </c>
    </row>
    <row r="17" spans="2:32" ht="23.1" customHeight="1" x14ac:dyDescent="0.25">
      <c r="B17" s="23" t="s">
        <v>44</v>
      </c>
      <c r="C17" s="50">
        <v>0</v>
      </c>
      <c r="D17" s="50">
        <v>1</v>
      </c>
      <c r="E17" s="50">
        <v>3</v>
      </c>
      <c r="F17" s="50">
        <v>1</v>
      </c>
      <c r="G17" s="50">
        <v>0</v>
      </c>
      <c r="H17" s="50">
        <v>0</v>
      </c>
      <c r="I17" s="50">
        <v>4</v>
      </c>
      <c r="J17" s="50">
        <v>0</v>
      </c>
      <c r="K17" s="50">
        <v>0</v>
      </c>
      <c r="L17" s="50">
        <v>0</v>
      </c>
      <c r="M17" s="50">
        <v>64</v>
      </c>
      <c r="N17" s="50">
        <v>0</v>
      </c>
      <c r="O17" s="15">
        <f t="shared" si="0"/>
        <v>9</v>
      </c>
      <c r="P17" s="15">
        <f t="shared" si="1"/>
        <v>73</v>
      </c>
      <c r="R17" s="1" t="s">
        <v>13</v>
      </c>
      <c r="S17" s="17">
        <f t="shared" ref="S17:AF17" si="9">SUM(C38:C41)</f>
        <v>20</v>
      </c>
      <c r="T17" s="17">
        <f t="shared" si="9"/>
        <v>5</v>
      </c>
      <c r="U17" s="17">
        <f t="shared" si="9"/>
        <v>3</v>
      </c>
      <c r="V17" s="17">
        <f t="shared" si="9"/>
        <v>26</v>
      </c>
      <c r="W17" s="17">
        <f t="shared" si="9"/>
        <v>0</v>
      </c>
      <c r="X17" s="17">
        <f t="shared" si="9"/>
        <v>0</v>
      </c>
      <c r="Y17" s="17">
        <f t="shared" si="9"/>
        <v>8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293</v>
      </c>
      <c r="AD17" s="17">
        <f t="shared" si="9"/>
        <v>0</v>
      </c>
      <c r="AE17" s="31">
        <f t="shared" si="9"/>
        <v>65</v>
      </c>
      <c r="AF17" s="31">
        <f t="shared" si="9"/>
        <v>358</v>
      </c>
    </row>
    <row r="18" spans="2:32" ht="23.1" customHeight="1" x14ac:dyDescent="0.25">
      <c r="B18" s="23" t="s">
        <v>45</v>
      </c>
      <c r="C18" s="50">
        <v>3</v>
      </c>
      <c r="D18" s="50">
        <v>1</v>
      </c>
      <c r="E18" s="50">
        <v>4</v>
      </c>
      <c r="F18" s="50">
        <v>8</v>
      </c>
      <c r="G18" s="50">
        <v>0</v>
      </c>
      <c r="H18" s="50">
        <v>0</v>
      </c>
      <c r="I18" s="50">
        <v>3</v>
      </c>
      <c r="J18" s="50">
        <v>3</v>
      </c>
      <c r="K18" s="50">
        <v>1</v>
      </c>
      <c r="L18" s="50">
        <v>0</v>
      </c>
      <c r="M18" s="50">
        <v>69</v>
      </c>
      <c r="N18" s="50">
        <v>0</v>
      </c>
      <c r="O18" s="15">
        <f t="shared" si="0"/>
        <v>23</v>
      </c>
      <c r="P18" s="15">
        <f t="shared" si="1"/>
        <v>92</v>
      </c>
      <c r="R18" s="1" t="s">
        <v>14</v>
      </c>
      <c r="S18" s="17">
        <f t="shared" ref="S18:AF18" si="10">SUM(C42:C45)</f>
        <v>11</v>
      </c>
      <c r="T18" s="17">
        <f t="shared" si="10"/>
        <v>3</v>
      </c>
      <c r="U18" s="17">
        <f t="shared" si="10"/>
        <v>8</v>
      </c>
      <c r="V18" s="17">
        <f t="shared" si="10"/>
        <v>23</v>
      </c>
      <c r="W18" s="17">
        <f t="shared" si="10"/>
        <v>1</v>
      </c>
      <c r="X18" s="17">
        <f t="shared" si="10"/>
        <v>0</v>
      </c>
      <c r="Y18" s="17">
        <f t="shared" si="10"/>
        <v>7</v>
      </c>
      <c r="Z18" s="17">
        <f t="shared" si="10"/>
        <v>4</v>
      </c>
      <c r="AA18" s="17">
        <f t="shared" si="10"/>
        <v>0</v>
      </c>
      <c r="AB18" s="17">
        <f t="shared" si="10"/>
        <v>0</v>
      </c>
      <c r="AC18" s="17">
        <f t="shared" si="10"/>
        <v>284</v>
      </c>
      <c r="AD18" s="17">
        <f t="shared" si="10"/>
        <v>0</v>
      </c>
      <c r="AE18" s="31">
        <f t="shared" si="10"/>
        <v>57</v>
      </c>
      <c r="AF18" s="31">
        <f t="shared" si="10"/>
        <v>341</v>
      </c>
    </row>
    <row r="19" spans="2:32" ht="23.1" customHeight="1" x14ac:dyDescent="0.25">
      <c r="B19" s="23" t="s">
        <v>46</v>
      </c>
      <c r="C19" s="50">
        <v>1</v>
      </c>
      <c r="D19" s="50">
        <v>3</v>
      </c>
      <c r="E19" s="50">
        <v>1</v>
      </c>
      <c r="F19" s="50">
        <v>5</v>
      </c>
      <c r="G19" s="50">
        <v>0</v>
      </c>
      <c r="H19" s="50">
        <v>0</v>
      </c>
      <c r="I19" s="50">
        <v>2</v>
      </c>
      <c r="J19" s="50">
        <v>4</v>
      </c>
      <c r="K19" s="50">
        <v>0</v>
      </c>
      <c r="L19" s="50">
        <v>0</v>
      </c>
      <c r="M19" s="50">
        <v>74</v>
      </c>
      <c r="N19" s="50">
        <v>0</v>
      </c>
      <c r="O19" s="15">
        <f t="shared" si="0"/>
        <v>16</v>
      </c>
      <c r="P19" s="15">
        <f t="shared" si="1"/>
        <v>90</v>
      </c>
      <c r="R19" s="1" t="s">
        <v>15</v>
      </c>
      <c r="S19" s="17">
        <f t="shared" ref="S19:AF19" si="11">SUM(C46:C49)</f>
        <v>11</v>
      </c>
      <c r="T19" s="17">
        <f t="shared" si="11"/>
        <v>9</v>
      </c>
      <c r="U19" s="17">
        <f t="shared" si="11"/>
        <v>10</v>
      </c>
      <c r="V19" s="17">
        <f t="shared" si="11"/>
        <v>22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8</v>
      </c>
      <c r="AA19" s="17">
        <f t="shared" si="11"/>
        <v>2</v>
      </c>
      <c r="AB19" s="17">
        <f t="shared" si="11"/>
        <v>0</v>
      </c>
      <c r="AC19" s="17">
        <f t="shared" si="11"/>
        <v>278</v>
      </c>
      <c r="AD19" s="17">
        <f t="shared" si="11"/>
        <v>0</v>
      </c>
      <c r="AE19" s="31">
        <f t="shared" si="11"/>
        <v>49</v>
      </c>
      <c r="AF19" s="31">
        <f t="shared" si="11"/>
        <v>346</v>
      </c>
    </row>
    <row r="20" spans="2:32" ht="23.1" customHeight="1" x14ac:dyDescent="0.25">
      <c r="B20" s="23" t="s">
        <v>47</v>
      </c>
      <c r="C20" s="50">
        <v>4</v>
      </c>
      <c r="D20" s="50">
        <v>1</v>
      </c>
      <c r="E20" s="50">
        <v>2</v>
      </c>
      <c r="F20" s="50">
        <v>3</v>
      </c>
      <c r="G20" s="50">
        <v>1</v>
      </c>
      <c r="H20" s="50">
        <v>0</v>
      </c>
      <c r="I20" s="50">
        <v>1</v>
      </c>
      <c r="J20" s="50">
        <v>1</v>
      </c>
      <c r="K20" s="50">
        <v>0</v>
      </c>
      <c r="L20" s="50">
        <v>0</v>
      </c>
      <c r="M20" s="50">
        <v>68</v>
      </c>
      <c r="N20" s="50">
        <v>0</v>
      </c>
      <c r="O20" s="15">
        <f t="shared" si="0"/>
        <v>13</v>
      </c>
      <c r="P20" s="15">
        <f t="shared" si="1"/>
        <v>81</v>
      </c>
      <c r="R20" s="1" t="s">
        <v>16</v>
      </c>
      <c r="S20" s="17">
        <f t="shared" ref="S20:AF20" si="12">SUM(C50:C53)</f>
        <v>12</v>
      </c>
      <c r="T20" s="17">
        <f t="shared" si="12"/>
        <v>7</v>
      </c>
      <c r="U20" s="17">
        <f t="shared" si="12"/>
        <v>7</v>
      </c>
      <c r="V20" s="17">
        <f t="shared" si="12"/>
        <v>23</v>
      </c>
      <c r="W20" s="17">
        <f t="shared" si="12"/>
        <v>1</v>
      </c>
      <c r="X20" s="17">
        <f t="shared" si="12"/>
        <v>0</v>
      </c>
      <c r="Y20" s="17">
        <f t="shared" si="12"/>
        <v>6</v>
      </c>
      <c r="Z20" s="17">
        <f t="shared" si="12"/>
        <v>6</v>
      </c>
      <c r="AA20" s="17">
        <f t="shared" si="12"/>
        <v>2</v>
      </c>
      <c r="AB20" s="17">
        <f t="shared" si="12"/>
        <v>0</v>
      </c>
      <c r="AC20" s="17">
        <f t="shared" si="12"/>
        <v>281</v>
      </c>
      <c r="AD20" s="17">
        <f t="shared" si="12"/>
        <v>0</v>
      </c>
      <c r="AE20" s="31">
        <f t="shared" si="12"/>
        <v>64</v>
      </c>
      <c r="AF20" s="31">
        <f t="shared" si="12"/>
        <v>345</v>
      </c>
    </row>
    <row r="21" spans="2:32" ht="23.1" customHeight="1" x14ac:dyDescent="0.25">
      <c r="B21" s="23" t="s">
        <v>48</v>
      </c>
      <c r="C21" s="50">
        <v>1</v>
      </c>
      <c r="D21" s="50">
        <v>0</v>
      </c>
      <c r="E21" s="50">
        <v>0</v>
      </c>
      <c r="F21" s="50">
        <v>1</v>
      </c>
      <c r="G21" s="50">
        <v>0</v>
      </c>
      <c r="H21" s="50">
        <v>0</v>
      </c>
      <c r="I21" s="50">
        <v>2</v>
      </c>
      <c r="J21" s="50">
        <v>0</v>
      </c>
      <c r="K21" s="50">
        <v>1</v>
      </c>
      <c r="L21" s="50">
        <v>0</v>
      </c>
      <c r="M21" s="50">
        <v>64</v>
      </c>
      <c r="N21" s="50">
        <v>0</v>
      </c>
      <c r="O21" s="15">
        <f t="shared" si="0"/>
        <v>5</v>
      </c>
      <c r="P21" s="15">
        <f t="shared" si="1"/>
        <v>69</v>
      </c>
      <c r="R21" s="36" t="s">
        <v>20</v>
      </c>
      <c r="S21" s="34">
        <f t="shared" ref="S21:AF21" si="13">SUM(C54:C57)</f>
        <v>15</v>
      </c>
      <c r="T21" s="17">
        <f t="shared" si="13"/>
        <v>6</v>
      </c>
      <c r="U21" s="17">
        <f t="shared" si="13"/>
        <v>6</v>
      </c>
      <c r="V21" s="17">
        <f t="shared" si="13"/>
        <v>27</v>
      </c>
      <c r="W21" s="17">
        <f t="shared" si="13"/>
        <v>0</v>
      </c>
      <c r="X21" s="17">
        <f t="shared" si="13"/>
        <v>0</v>
      </c>
      <c r="Y21" s="17">
        <f t="shared" si="13"/>
        <v>7</v>
      </c>
      <c r="Z21" s="17">
        <f t="shared" si="13"/>
        <v>1</v>
      </c>
      <c r="AA21" s="17">
        <f t="shared" si="13"/>
        <v>2</v>
      </c>
      <c r="AB21" s="17">
        <f t="shared" si="13"/>
        <v>0</v>
      </c>
      <c r="AC21" s="17">
        <f t="shared" si="13"/>
        <v>283</v>
      </c>
      <c r="AD21" s="17">
        <f t="shared" si="13"/>
        <v>1</v>
      </c>
      <c r="AE21" s="31">
        <f t="shared" si="13"/>
        <v>65</v>
      </c>
      <c r="AF21" s="31">
        <f t="shared" si="13"/>
        <v>348</v>
      </c>
    </row>
    <row r="22" spans="2:32" ht="23.1" customHeight="1" x14ac:dyDescent="0.25">
      <c r="B22" s="23" t="s">
        <v>49</v>
      </c>
      <c r="C22" s="50">
        <v>7</v>
      </c>
      <c r="D22" s="50">
        <v>2</v>
      </c>
      <c r="E22" s="50">
        <v>5</v>
      </c>
      <c r="F22" s="50">
        <v>10</v>
      </c>
      <c r="G22" s="50">
        <v>0</v>
      </c>
      <c r="H22" s="50">
        <v>0</v>
      </c>
      <c r="I22" s="50">
        <v>2</v>
      </c>
      <c r="J22" s="50">
        <v>0</v>
      </c>
      <c r="K22" s="50">
        <v>4</v>
      </c>
      <c r="L22" s="50">
        <v>0</v>
      </c>
      <c r="M22" s="50">
        <v>72</v>
      </c>
      <c r="N22" s="50">
        <v>0</v>
      </c>
      <c r="O22" s="15">
        <f t="shared" si="0"/>
        <v>30</v>
      </c>
      <c r="P22" s="15">
        <f t="shared" si="1"/>
        <v>102</v>
      </c>
      <c r="R22" s="38" t="s">
        <v>90</v>
      </c>
      <c r="S22" s="39">
        <f>MAX(S10:S12)</f>
        <v>11</v>
      </c>
      <c r="T22" s="39">
        <f t="shared" ref="T22:AF22" si="14">MAX(T10:T12)</f>
        <v>5</v>
      </c>
      <c r="U22" s="39">
        <f t="shared" si="14"/>
        <v>9</v>
      </c>
      <c r="V22" s="39">
        <f t="shared" si="14"/>
        <v>17</v>
      </c>
      <c r="W22" s="39">
        <f t="shared" si="14"/>
        <v>1</v>
      </c>
      <c r="X22" s="39">
        <f t="shared" si="14"/>
        <v>0</v>
      </c>
      <c r="Y22" s="39">
        <f t="shared" si="14"/>
        <v>8</v>
      </c>
      <c r="Z22" s="39">
        <f t="shared" si="14"/>
        <v>8</v>
      </c>
      <c r="AA22" s="39">
        <f t="shared" si="14"/>
        <v>3</v>
      </c>
      <c r="AB22" s="39">
        <f t="shared" si="14"/>
        <v>0</v>
      </c>
      <c r="AC22" s="39">
        <f t="shared" si="14"/>
        <v>275</v>
      </c>
      <c r="AD22" s="39">
        <f t="shared" si="14"/>
        <v>0</v>
      </c>
      <c r="AE22" s="40">
        <f t="shared" si="14"/>
        <v>57</v>
      </c>
      <c r="AF22" s="40">
        <f t="shared" si="14"/>
        <v>332</v>
      </c>
    </row>
    <row r="23" spans="2:32" ht="23.1" customHeight="1" x14ac:dyDescent="0.25">
      <c r="B23" s="23" t="s">
        <v>50</v>
      </c>
      <c r="C23" s="50">
        <v>5</v>
      </c>
      <c r="D23" s="50">
        <v>3</v>
      </c>
      <c r="E23" s="50">
        <v>4</v>
      </c>
      <c r="F23" s="50">
        <v>4</v>
      </c>
      <c r="G23" s="50">
        <v>0</v>
      </c>
      <c r="H23" s="50">
        <v>0</v>
      </c>
      <c r="I23" s="50">
        <v>1</v>
      </c>
      <c r="J23" s="50">
        <v>2</v>
      </c>
      <c r="K23" s="50">
        <v>0</v>
      </c>
      <c r="L23" s="50">
        <v>0</v>
      </c>
      <c r="M23" s="50">
        <v>74</v>
      </c>
      <c r="N23" s="50">
        <v>0</v>
      </c>
      <c r="O23" s="15">
        <f t="shared" si="0"/>
        <v>19</v>
      </c>
      <c r="P23" s="15">
        <f t="shared" si="1"/>
        <v>93</v>
      </c>
      <c r="R23" s="38" t="s">
        <v>91</v>
      </c>
      <c r="S23" s="39">
        <f>MAX(S13:S18)</f>
        <v>21</v>
      </c>
      <c r="T23" s="39">
        <f t="shared" ref="T23:AF23" si="15">MAX(T13:T18)</f>
        <v>7</v>
      </c>
      <c r="U23" s="39">
        <f t="shared" si="15"/>
        <v>15</v>
      </c>
      <c r="V23" s="39">
        <f t="shared" si="15"/>
        <v>26</v>
      </c>
      <c r="W23" s="39">
        <f t="shared" si="15"/>
        <v>1</v>
      </c>
      <c r="X23" s="39">
        <f t="shared" si="15"/>
        <v>0</v>
      </c>
      <c r="Y23" s="39">
        <f t="shared" si="15"/>
        <v>8</v>
      </c>
      <c r="Z23" s="39">
        <f t="shared" si="15"/>
        <v>5</v>
      </c>
      <c r="AA23" s="39">
        <f t="shared" si="15"/>
        <v>5</v>
      </c>
      <c r="AB23" s="39">
        <f t="shared" si="15"/>
        <v>1</v>
      </c>
      <c r="AC23" s="39">
        <f t="shared" si="15"/>
        <v>312</v>
      </c>
      <c r="AD23" s="39">
        <f t="shared" si="15"/>
        <v>0</v>
      </c>
      <c r="AE23" s="40">
        <f t="shared" si="15"/>
        <v>78</v>
      </c>
      <c r="AF23" s="40">
        <f t="shared" si="15"/>
        <v>358</v>
      </c>
    </row>
    <row r="24" spans="2:32" ht="23.1" customHeight="1" x14ac:dyDescent="0.25">
      <c r="B24" s="23" t="s">
        <v>51</v>
      </c>
      <c r="C24" s="50">
        <v>2</v>
      </c>
      <c r="D24" s="50">
        <v>1</v>
      </c>
      <c r="E24" s="50">
        <v>3</v>
      </c>
      <c r="F24" s="50">
        <v>5</v>
      </c>
      <c r="G24" s="50">
        <v>0</v>
      </c>
      <c r="H24" s="50">
        <v>0</v>
      </c>
      <c r="I24" s="50">
        <v>2</v>
      </c>
      <c r="J24" s="50">
        <v>1</v>
      </c>
      <c r="K24" s="50">
        <v>0</v>
      </c>
      <c r="L24" s="50">
        <v>0</v>
      </c>
      <c r="M24" s="50">
        <v>68</v>
      </c>
      <c r="N24" s="50">
        <v>0</v>
      </c>
      <c r="O24" s="15">
        <f t="shared" si="0"/>
        <v>14</v>
      </c>
      <c r="P24" s="15">
        <f t="shared" si="1"/>
        <v>82</v>
      </c>
      <c r="R24" s="38" t="s">
        <v>92</v>
      </c>
      <c r="S24" s="39">
        <f>MAX(S19:S21)</f>
        <v>15</v>
      </c>
      <c r="T24" s="39">
        <f t="shared" ref="T24:AF24" si="16">MAX(T19:T21)</f>
        <v>9</v>
      </c>
      <c r="U24" s="39">
        <f t="shared" si="16"/>
        <v>10</v>
      </c>
      <c r="V24" s="39">
        <f t="shared" si="16"/>
        <v>27</v>
      </c>
      <c r="W24" s="39">
        <f t="shared" si="16"/>
        <v>1</v>
      </c>
      <c r="X24" s="39">
        <f t="shared" si="16"/>
        <v>0</v>
      </c>
      <c r="Y24" s="39">
        <f t="shared" si="16"/>
        <v>7</v>
      </c>
      <c r="Z24" s="39">
        <f t="shared" si="16"/>
        <v>8</v>
      </c>
      <c r="AA24" s="39">
        <f t="shared" si="16"/>
        <v>2</v>
      </c>
      <c r="AB24" s="39">
        <f t="shared" si="16"/>
        <v>0</v>
      </c>
      <c r="AC24" s="39">
        <f t="shared" si="16"/>
        <v>283</v>
      </c>
      <c r="AD24" s="39">
        <f t="shared" si="16"/>
        <v>1</v>
      </c>
      <c r="AE24" s="40">
        <f t="shared" si="16"/>
        <v>65</v>
      </c>
      <c r="AF24" s="40">
        <f t="shared" si="16"/>
        <v>348</v>
      </c>
    </row>
    <row r="25" spans="2:32" ht="23.1" customHeight="1" x14ac:dyDescent="0.25">
      <c r="B25" s="23" t="s">
        <v>52</v>
      </c>
      <c r="C25" s="50">
        <v>4</v>
      </c>
      <c r="D25" s="50">
        <v>1</v>
      </c>
      <c r="E25" s="50">
        <v>3</v>
      </c>
      <c r="F25" s="50">
        <v>2</v>
      </c>
      <c r="G25" s="50">
        <v>0</v>
      </c>
      <c r="H25" s="50">
        <v>0</v>
      </c>
      <c r="I25" s="50">
        <v>3</v>
      </c>
      <c r="J25" s="50">
        <v>2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15</v>
      </c>
      <c r="P25" s="15">
        <f t="shared" si="1"/>
        <v>75</v>
      </c>
      <c r="R25" s="37" t="s">
        <v>85</v>
      </c>
      <c r="S25" s="35">
        <f t="shared" ref="S25:AF25" si="17">SUM(S10:S12)</f>
        <v>27</v>
      </c>
      <c r="T25" s="16">
        <f t="shared" si="17"/>
        <v>13</v>
      </c>
      <c r="U25" s="16">
        <f t="shared" si="17"/>
        <v>20</v>
      </c>
      <c r="V25" s="16">
        <f t="shared" si="17"/>
        <v>34</v>
      </c>
      <c r="W25" s="16">
        <f t="shared" si="17"/>
        <v>1</v>
      </c>
      <c r="X25" s="16">
        <f t="shared" si="17"/>
        <v>0</v>
      </c>
      <c r="Y25" s="16">
        <f t="shared" si="17"/>
        <v>20</v>
      </c>
      <c r="Z25" s="16">
        <f t="shared" si="17"/>
        <v>12</v>
      </c>
      <c r="AA25" s="16">
        <f t="shared" si="17"/>
        <v>5</v>
      </c>
      <c r="AB25" s="16">
        <f t="shared" si="17"/>
        <v>0</v>
      </c>
      <c r="AC25" s="16">
        <f t="shared" si="17"/>
        <v>814</v>
      </c>
      <c r="AD25" s="16">
        <f t="shared" si="17"/>
        <v>0</v>
      </c>
      <c r="AE25" s="32">
        <f t="shared" si="17"/>
        <v>132</v>
      </c>
      <c r="AF25" s="32">
        <f t="shared" si="17"/>
        <v>946</v>
      </c>
    </row>
    <row r="26" spans="2:32" ht="23.1" customHeight="1" x14ac:dyDescent="0.25">
      <c r="B26" s="23" t="s">
        <v>53</v>
      </c>
      <c r="C26" s="50">
        <v>9</v>
      </c>
      <c r="D26" s="50">
        <v>0</v>
      </c>
      <c r="E26" s="50">
        <v>3</v>
      </c>
      <c r="F26" s="50">
        <v>8</v>
      </c>
      <c r="G26" s="50">
        <v>0</v>
      </c>
      <c r="H26" s="50">
        <v>0</v>
      </c>
      <c r="I26" s="50">
        <v>2</v>
      </c>
      <c r="J26" s="50">
        <v>3</v>
      </c>
      <c r="K26" s="50">
        <v>0</v>
      </c>
      <c r="L26" s="50">
        <v>0</v>
      </c>
      <c r="M26" s="50">
        <v>62</v>
      </c>
      <c r="N26" s="50">
        <v>0</v>
      </c>
      <c r="O26" s="15">
        <f t="shared" si="0"/>
        <v>25</v>
      </c>
      <c r="P26" s="15">
        <f t="shared" si="1"/>
        <v>87</v>
      </c>
      <c r="R26" s="28" t="s">
        <v>86</v>
      </c>
      <c r="S26" s="16">
        <f t="shared" ref="S26:AF26" si="18">SUM(S13:S18)</f>
        <v>95</v>
      </c>
      <c r="T26" s="16">
        <f t="shared" si="18"/>
        <v>24</v>
      </c>
      <c r="U26" s="16">
        <f t="shared" si="18"/>
        <v>44</v>
      </c>
      <c r="V26" s="16">
        <f t="shared" si="18"/>
        <v>110</v>
      </c>
      <c r="W26" s="16">
        <f t="shared" si="18"/>
        <v>1</v>
      </c>
      <c r="X26" s="16">
        <f t="shared" si="18"/>
        <v>0</v>
      </c>
      <c r="Y26" s="16">
        <f t="shared" si="18"/>
        <v>37</v>
      </c>
      <c r="Z26" s="16">
        <f t="shared" si="18"/>
        <v>22</v>
      </c>
      <c r="AA26" s="16">
        <f t="shared" si="18"/>
        <v>10</v>
      </c>
      <c r="AB26" s="16">
        <f t="shared" si="18"/>
        <v>1</v>
      </c>
      <c r="AC26" s="16">
        <f t="shared" si="18"/>
        <v>1717</v>
      </c>
      <c r="AD26" s="16">
        <f t="shared" si="18"/>
        <v>0</v>
      </c>
      <c r="AE26" s="32">
        <f t="shared" si="18"/>
        <v>344</v>
      </c>
      <c r="AF26" s="32">
        <f t="shared" si="18"/>
        <v>2061</v>
      </c>
    </row>
    <row r="27" spans="2:32" ht="23.1" customHeight="1" x14ac:dyDescent="0.25">
      <c r="B27" s="23" t="s">
        <v>54</v>
      </c>
      <c r="C27" s="50">
        <v>3</v>
      </c>
      <c r="D27" s="50">
        <v>2</v>
      </c>
      <c r="E27" s="50">
        <v>1</v>
      </c>
      <c r="F27" s="50">
        <v>5</v>
      </c>
      <c r="G27" s="50">
        <v>0</v>
      </c>
      <c r="H27" s="50">
        <v>0</v>
      </c>
      <c r="I27" s="50">
        <v>1</v>
      </c>
      <c r="J27" s="50">
        <v>2</v>
      </c>
      <c r="K27" s="50">
        <v>0</v>
      </c>
      <c r="L27" s="50">
        <v>0</v>
      </c>
      <c r="M27" s="50">
        <v>54</v>
      </c>
      <c r="N27" s="50">
        <v>0</v>
      </c>
      <c r="O27" s="15">
        <f t="shared" si="0"/>
        <v>14</v>
      </c>
      <c r="P27" s="15">
        <f t="shared" si="1"/>
        <v>68</v>
      </c>
      <c r="R27" s="29" t="s">
        <v>87</v>
      </c>
      <c r="S27" s="16">
        <f t="shared" ref="S27:AF27" si="19">SUM(S19:S21)</f>
        <v>38</v>
      </c>
      <c r="T27" s="16">
        <f t="shared" si="19"/>
        <v>22</v>
      </c>
      <c r="U27" s="16">
        <f t="shared" si="19"/>
        <v>23</v>
      </c>
      <c r="V27" s="16">
        <f t="shared" si="19"/>
        <v>72</v>
      </c>
      <c r="W27" s="16">
        <f t="shared" si="19"/>
        <v>1</v>
      </c>
      <c r="X27" s="16">
        <f t="shared" si="19"/>
        <v>0</v>
      </c>
      <c r="Y27" s="16">
        <f t="shared" si="19"/>
        <v>19</v>
      </c>
      <c r="Z27" s="16">
        <f t="shared" si="19"/>
        <v>15</v>
      </c>
      <c r="AA27" s="16">
        <f t="shared" si="19"/>
        <v>6</v>
      </c>
      <c r="AB27" s="16">
        <f t="shared" si="19"/>
        <v>0</v>
      </c>
      <c r="AC27" s="16">
        <f t="shared" si="19"/>
        <v>842</v>
      </c>
      <c r="AD27" s="16">
        <f t="shared" si="19"/>
        <v>1</v>
      </c>
      <c r="AE27" s="32">
        <f t="shared" si="19"/>
        <v>178</v>
      </c>
      <c r="AF27" s="32">
        <f t="shared" si="19"/>
        <v>1039</v>
      </c>
    </row>
    <row r="28" spans="2:32" ht="23.1" customHeight="1" x14ac:dyDescent="0.25">
      <c r="B28" s="23" t="s">
        <v>55</v>
      </c>
      <c r="C28" s="50">
        <v>5</v>
      </c>
      <c r="D28" s="50">
        <v>1</v>
      </c>
      <c r="E28" s="50">
        <v>2</v>
      </c>
      <c r="F28" s="50">
        <v>3</v>
      </c>
      <c r="G28" s="50">
        <v>0</v>
      </c>
      <c r="H28" s="50">
        <v>0</v>
      </c>
      <c r="I28" s="50">
        <v>1</v>
      </c>
      <c r="J28" s="50">
        <v>0</v>
      </c>
      <c r="K28" s="50">
        <v>0</v>
      </c>
      <c r="L28" s="50">
        <v>0</v>
      </c>
      <c r="M28" s="50">
        <v>68</v>
      </c>
      <c r="N28" s="50">
        <v>0</v>
      </c>
      <c r="O28" s="15">
        <f t="shared" si="0"/>
        <v>12</v>
      </c>
      <c r="P28" s="15">
        <f t="shared" si="1"/>
        <v>80</v>
      </c>
      <c r="R28" s="5" t="s">
        <v>17</v>
      </c>
      <c r="S28" s="16">
        <f t="shared" ref="S28:AF28" si="20">SUM(S10:S21)</f>
        <v>160</v>
      </c>
      <c r="T28" s="16">
        <f t="shared" si="20"/>
        <v>59</v>
      </c>
      <c r="U28" s="16">
        <f t="shared" si="20"/>
        <v>87</v>
      </c>
      <c r="V28" s="16">
        <f t="shared" si="20"/>
        <v>216</v>
      </c>
      <c r="W28" s="16">
        <f t="shared" si="20"/>
        <v>3</v>
      </c>
      <c r="X28" s="16">
        <f t="shared" si="20"/>
        <v>0</v>
      </c>
      <c r="Y28" s="16">
        <f t="shared" si="20"/>
        <v>76</v>
      </c>
      <c r="Z28" s="16">
        <f t="shared" si="20"/>
        <v>49</v>
      </c>
      <c r="AA28" s="16">
        <f t="shared" si="20"/>
        <v>21</v>
      </c>
      <c r="AB28" s="16">
        <f t="shared" si="20"/>
        <v>1</v>
      </c>
      <c r="AC28" s="16">
        <f t="shared" si="20"/>
        <v>3373</v>
      </c>
      <c r="AD28" s="16">
        <f t="shared" si="20"/>
        <v>1</v>
      </c>
      <c r="AE28" s="32">
        <f t="shared" si="20"/>
        <v>654</v>
      </c>
      <c r="AF28" s="32">
        <f t="shared" si="20"/>
        <v>4046</v>
      </c>
    </row>
    <row r="29" spans="2:32" ht="23.1" customHeight="1" x14ac:dyDescent="0.25">
      <c r="B29" s="23" t="s">
        <v>56</v>
      </c>
      <c r="C29" s="50">
        <v>4</v>
      </c>
      <c r="D29" s="50">
        <v>0</v>
      </c>
      <c r="E29" s="50">
        <v>1</v>
      </c>
      <c r="F29" s="50">
        <v>2</v>
      </c>
      <c r="G29" s="50">
        <v>0</v>
      </c>
      <c r="H29" s="50">
        <v>0</v>
      </c>
      <c r="I29" s="50">
        <v>1</v>
      </c>
      <c r="J29" s="50">
        <v>0</v>
      </c>
      <c r="K29" s="50">
        <v>0</v>
      </c>
      <c r="L29" s="50">
        <v>0</v>
      </c>
      <c r="M29" s="50">
        <v>68</v>
      </c>
      <c r="N29" s="50">
        <v>0</v>
      </c>
      <c r="O29" s="15">
        <f t="shared" si="0"/>
        <v>8</v>
      </c>
      <c r="P29" s="15">
        <f t="shared" si="1"/>
        <v>76</v>
      </c>
      <c r="R29"/>
      <c r="S29" s="20"/>
      <c r="T29" s="19"/>
    </row>
    <row r="30" spans="2:32" ht="23.1" customHeight="1" x14ac:dyDescent="0.25">
      <c r="B30" s="23" t="s">
        <v>57</v>
      </c>
      <c r="C30" s="50">
        <v>3</v>
      </c>
      <c r="D30" s="50">
        <v>1</v>
      </c>
      <c r="E30" s="50">
        <v>2</v>
      </c>
      <c r="F30" s="50">
        <v>2</v>
      </c>
      <c r="G30" s="50">
        <v>0</v>
      </c>
      <c r="H30" s="50">
        <v>0</v>
      </c>
      <c r="I30" s="50">
        <v>1</v>
      </c>
      <c r="J30" s="50">
        <v>1</v>
      </c>
      <c r="K30" s="50">
        <v>3</v>
      </c>
      <c r="L30" s="50">
        <v>0</v>
      </c>
      <c r="M30" s="50">
        <v>75</v>
      </c>
      <c r="N30" s="50">
        <v>0</v>
      </c>
      <c r="O30" s="15">
        <f t="shared" si="0"/>
        <v>13</v>
      </c>
      <c r="P30" s="15">
        <f t="shared" si="1"/>
        <v>88</v>
      </c>
    </row>
    <row r="31" spans="2:32" ht="23.1" customHeight="1" x14ac:dyDescent="0.25">
      <c r="B31" s="24" t="s">
        <v>58</v>
      </c>
      <c r="C31" s="50">
        <v>2</v>
      </c>
      <c r="D31" s="50">
        <v>0</v>
      </c>
      <c r="E31" s="50">
        <v>2</v>
      </c>
      <c r="F31" s="50">
        <v>1</v>
      </c>
      <c r="G31" s="50">
        <v>0</v>
      </c>
      <c r="H31" s="50">
        <v>0</v>
      </c>
      <c r="I31" s="50">
        <v>2</v>
      </c>
      <c r="J31" s="50">
        <v>0</v>
      </c>
      <c r="K31" s="50">
        <v>0</v>
      </c>
      <c r="L31" s="50">
        <v>0</v>
      </c>
      <c r="M31" s="50">
        <v>63</v>
      </c>
      <c r="N31" s="50">
        <v>0</v>
      </c>
      <c r="O31" s="15">
        <f t="shared" si="0"/>
        <v>7</v>
      </c>
      <c r="P31" s="15">
        <f t="shared" si="1"/>
        <v>70</v>
      </c>
    </row>
    <row r="32" spans="2:32" ht="23.1" customHeight="1" x14ac:dyDescent="0.25">
      <c r="B32" s="24" t="s">
        <v>59</v>
      </c>
      <c r="C32" s="50">
        <v>5</v>
      </c>
      <c r="D32" s="50">
        <v>0</v>
      </c>
      <c r="E32" s="50">
        <v>0</v>
      </c>
      <c r="F32" s="50">
        <v>1</v>
      </c>
      <c r="G32" s="50">
        <v>0</v>
      </c>
      <c r="H32" s="50">
        <v>0</v>
      </c>
      <c r="I32" s="50">
        <v>1</v>
      </c>
      <c r="J32" s="50">
        <v>1</v>
      </c>
      <c r="K32" s="50">
        <v>0</v>
      </c>
      <c r="L32" s="50">
        <v>0</v>
      </c>
      <c r="M32" s="50">
        <v>74</v>
      </c>
      <c r="N32" s="50">
        <v>0</v>
      </c>
      <c r="O32" s="15">
        <f t="shared" si="0"/>
        <v>8</v>
      </c>
      <c r="P32" s="15">
        <f t="shared" si="1"/>
        <v>82</v>
      </c>
    </row>
    <row r="33" spans="2:20" ht="23.1" customHeight="1" x14ac:dyDescent="0.25">
      <c r="B33" s="23" t="s">
        <v>60</v>
      </c>
      <c r="C33" s="50">
        <v>4</v>
      </c>
      <c r="D33" s="50">
        <v>0</v>
      </c>
      <c r="E33" s="50">
        <v>0</v>
      </c>
      <c r="F33" s="50">
        <v>5</v>
      </c>
      <c r="G33" s="50">
        <v>0</v>
      </c>
      <c r="H33" s="50">
        <v>0</v>
      </c>
      <c r="I33" s="50">
        <v>1</v>
      </c>
      <c r="J33" s="50">
        <v>1</v>
      </c>
      <c r="K33" s="50">
        <v>2</v>
      </c>
      <c r="L33" s="50">
        <v>1</v>
      </c>
      <c r="M33" s="50">
        <v>90</v>
      </c>
      <c r="N33" s="50">
        <v>0</v>
      </c>
      <c r="O33" s="15">
        <f t="shared" si="0"/>
        <v>14</v>
      </c>
      <c r="P33" s="15">
        <f t="shared" si="1"/>
        <v>104</v>
      </c>
    </row>
    <row r="34" spans="2:20" ht="23.1" customHeight="1" x14ac:dyDescent="0.25">
      <c r="B34" s="24" t="s">
        <v>61</v>
      </c>
      <c r="C34" s="50">
        <v>6</v>
      </c>
      <c r="D34" s="50">
        <v>2</v>
      </c>
      <c r="E34" s="50">
        <v>2</v>
      </c>
      <c r="F34" s="50">
        <v>5</v>
      </c>
      <c r="G34" s="50">
        <v>0</v>
      </c>
      <c r="H34" s="50">
        <v>0</v>
      </c>
      <c r="I34" s="50">
        <v>2</v>
      </c>
      <c r="J34" s="50">
        <v>0</v>
      </c>
      <c r="K34" s="50">
        <v>0</v>
      </c>
      <c r="L34" s="50">
        <v>0</v>
      </c>
      <c r="M34" s="50">
        <v>82</v>
      </c>
      <c r="N34" s="50">
        <v>0</v>
      </c>
      <c r="O34" s="15">
        <f t="shared" si="0"/>
        <v>17</v>
      </c>
      <c r="P34" s="15">
        <f t="shared" si="1"/>
        <v>99</v>
      </c>
    </row>
    <row r="35" spans="2:20" ht="23.1" customHeight="1" x14ac:dyDescent="0.25">
      <c r="B35" s="24" t="s">
        <v>62</v>
      </c>
      <c r="C35" s="50">
        <v>1</v>
      </c>
      <c r="D35" s="50">
        <v>1</v>
      </c>
      <c r="E35" s="50">
        <v>0</v>
      </c>
      <c r="F35" s="50">
        <v>2</v>
      </c>
      <c r="G35" s="50">
        <v>0</v>
      </c>
      <c r="H35" s="50">
        <v>0</v>
      </c>
      <c r="I35" s="50">
        <v>1</v>
      </c>
      <c r="J35" s="50">
        <v>1</v>
      </c>
      <c r="K35" s="50">
        <v>1</v>
      </c>
      <c r="L35" s="50">
        <v>0</v>
      </c>
      <c r="M35" s="50">
        <v>85</v>
      </c>
      <c r="N35" s="50">
        <v>0</v>
      </c>
      <c r="O35" s="15">
        <f t="shared" si="0"/>
        <v>7</v>
      </c>
      <c r="P35" s="15">
        <f t="shared" si="1"/>
        <v>92</v>
      </c>
    </row>
    <row r="36" spans="2:20" ht="23.1" customHeight="1" x14ac:dyDescent="0.25">
      <c r="B36" s="24" t="s">
        <v>63</v>
      </c>
      <c r="C36" s="50">
        <v>1</v>
      </c>
      <c r="D36" s="50">
        <v>1</v>
      </c>
      <c r="E36" s="50">
        <v>2</v>
      </c>
      <c r="F36" s="50">
        <v>4</v>
      </c>
      <c r="G36" s="50">
        <v>0</v>
      </c>
      <c r="H36" s="50">
        <v>0</v>
      </c>
      <c r="I36" s="50">
        <v>0</v>
      </c>
      <c r="J36" s="50">
        <v>0</v>
      </c>
      <c r="K36" s="50">
        <v>0</v>
      </c>
      <c r="L36" s="50">
        <v>0</v>
      </c>
      <c r="M36" s="50">
        <v>75</v>
      </c>
      <c r="N36" s="50">
        <v>0</v>
      </c>
      <c r="O36" s="15">
        <f t="shared" si="0"/>
        <v>8</v>
      </c>
      <c r="P36" s="15">
        <f t="shared" si="1"/>
        <v>83</v>
      </c>
    </row>
    <row r="37" spans="2:20" ht="23.1" customHeight="1" x14ac:dyDescent="0.25">
      <c r="B37" s="23" t="s">
        <v>64</v>
      </c>
      <c r="C37" s="50">
        <v>3</v>
      </c>
      <c r="D37" s="50">
        <v>1</v>
      </c>
      <c r="E37" s="50">
        <v>3</v>
      </c>
      <c r="F37" s="50">
        <v>2</v>
      </c>
      <c r="G37" s="50">
        <v>0</v>
      </c>
      <c r="H37" s="50">
        <v>0</v>
      </c>
      <c r="I37" s="50">
        <v>1</v>
      </c>
      <c r="J37" s="50">
        <v>1</v>
      </c>
      <c r="K37" s="50">
        <v>0</v>
      </c>
      <c r="L37" s="50">
        <v>0</v>
      </c>
      <c r="M37" s="50">
        <v>70</v>
      </c>
      <c r="N37" s="50">
        <v>0</v>
      </c>
      <c r="O37" s="15">
        <f t="shared" si="0"/>
        <v>11</v>
      </c>
      <c r="P37" s="15">
        <f t="shared" si="1"/>
        <v>81</v>
      </c>
    </row>
    <row r="38" spans="2:20" ht="23.1" customHeight="1" x14ac:dyDescent="0.25">
      <c r="B38" s="24" t="s">
        <v>65</v>
      </c>
      <c r="C38" s="50">
        <v>5</v>
      </c>
      <c r="D38" s="50">
        <v>2</v>
      </c>
      <c r="E38" s="50">
        <v>3</v>
      </c>
      <c r="F38" s="50">
        <v>8</v>
      </c>
      <c r="G38" s="50">
        <v>0</v>
      </c>
      <c r="H38" s="50">
        <v>0</v>
      </c>
      <c r="I38" s="50">
        <v>2</v>
      </c>
      <c r="J38" s="50">
        <v>3</v>
      </c>
      <c r="K38" s="50">
        <v>0</v>
      </c>
      <c r="L38" s="50">
        <v>0</v>
      </c>
      <c r="M38" s="50">
        <v>73</v>
      </c>
      <c r="N38" s="50">
        <v>0</v>
      </c>
      <c r="O38" s="15">
        <f t="shared" si="0"/>
        <v>23</v>
      </c>
      <c r="P38" s="15">
        <f t="shared" si="1"/>
        <v>96</v>
      </c>
    </row>
    <row r="39" spans="2:20" ht="23.1" customHeight="1" x14ac:dyDescent="0.25">
      <c r="B39" s="24" t="s">
        <v>66</v>
      </c>
      <c r="C39" s="50">
        <v>4</v>
      </c>
      <c r="D39" s="50">
        <v>0</v>
      </c>
      <c r="E39" s="50">
        <v>0</v>
      </c>
      <c r="F39" s="50">
        <v>9</v>
      </c>
      <c r="G39" s="50">
        <v>0</v>
      </c>
      <c r="H39" s="50">
        <v>0</v>
      </c>
      <c r="I39" s="50">
        <v>3</v>
      </c>
      <c r="J39" s="50">
        <v>0</v>
      </c>
      <c r="K39" s="50">
        <v>0</v>
      </c>
      <c r="L39" s="50">
        <v>0</v>
      </c>
      <c r="M39" s="50">
        <v>77</v>
      </c>
      <c r="N39" s="50">
        <v>0</v>
      </c>
      <c r="O39" s="15">
        <f t="shared" si="0"/>
        <v>16</v>
      </c>
      <c r="P39" s="15">
        <f t="shared" si="1"/>
        <v>93</v>
      </c>
    </row>
    <row r="40" spans="2:20" ht="23.1" customHeight="1" x14ac:dyDescent="0.25">
      <c r="B40" s="24" t="s">
        <v>67</v>
      </c>
      <c r="C40" s="50">
        <v>8</v>
      </c>
      <c r="D40" s="50">
        <v>2</v>
      </c>
      <c r="E40" s="50">
        <v>0</v>
      </c>
      <c r="F40" s="50">
        <v>5</v>
      </c>
      <c r="G40" s="50">
        <v>0</v>
      </c>
      <c r="H40" s="50">
        <v>0</v>
      </c>
      <c r="I40" s="50">
        <v>1</v>
      </c>
      <c r="J40" s="50">
        <v>0</v>
      </c>
      <c r="K40" s="50">
        <v>0</v>
      </c>
      <c r="L40" s="50">
        <v>0</v>
      </c>
      <c r="M40" s="50">
        <v>69</v>
      </c>
      <c r="N40" s="50">
        <v>0</v>
      </c>
      <c r="O40" s="15">
        <f t="shared" si="0"/>
        <v>16</v>
      </c>
      <c r="P40" s="15">
        <f t="shared" si="1"/>
        <v>85</v>
      </c>
    </row>
    <row r="41" spans="2:20" ht="23.1" customHeight="1" x14ac:dyDescent="0.25">
      <c r="B41" s="23" t="s">
        <v>68</v>
      </c>
      <c r="C41" s="50">
        <v>3</v>
      </c>
      <c r="D41" s="50">
        <v>1</v>
      </c>
      <c r="E41" s="50">
        <v>0</v>
      </c>
      <c r="F41" s="50">
        <v>4</v>
      </c>
      <c r="G41" s="50">
        <v>0</v>
      </c>
      <c r="H41" s="50">
        <v>0</v>
      </c>
      <c r="I41" s="50">
        <v>2</v>
      </c>
      <c r="J41" s="50">
        <v>0</v>
      </c>
      <c r="K41" s="50">
        <v>0</v>
      </c>
      <c r="L41" s="50">
        <v>0</v>
      </c>
      <c r="M41" s="50">
        <v>74</v>
      </c>
      <c r="N41" s="50">
        <v>0</v>
      </c>
      <c r="O41" s="15">
        <f t="shared" si="0"/>
        <v>10</v>
      </c>
      <c r="P41" s="15">
        <f t="shared" si="1"/>
        <v>84</v>
      </c>
    </row>
    <row r="42" spans="2:20" ht="23.1" customHeight="1" x14ac:dyDescent="0.25">
      <c r="B42" s="24" t="s">
        <v>69</v>
      </c>
      <c r="C42" s="50">
        <v>5</v>
      </c>
      <c r="D42" s="50">
        <v>0</v>
      </c>
      <c r="E42" s="50">
        <v>0</v>
      </c>
      <c r="F42" s="50">
        <v>8</v>
      </c>
      <c r="G42" s="50">
        <v>0</v>
      </c>
      <c r="H42" s="50">
        <v>0</v>
      </c>
      <c r="I42" s="50">
        <v>3</v>
      </c>
      <c r="J42" s="50">
        <v>3</v>
      </c>
      <c r="K42" s="50">
        <v>0</v>
      </c>
      <c r="L42" s="50">
        <v>0</v>
      </c>
      <c r="M42" s="50">
        <v>72</v>
      </c>
      <c r="N42" s="50">
        <v>0</v>
      </c>
      <c r="O42" s="15">
        <f t="shared" si="0"/>
        <v>19</v>
      </c>
      <c r="P42" s="15">
        <f t="shared" si="1"/>
        <v>91</v>
      </c>
    </row>
    <row r="43" spans="2:20" ht="23.1" customHeight="1" x14ac:dyDescent="0.25">
      <c r="B43" s="23" t="s">
        <v>70</v>
      </c>
      <c r="C43" s="50">
        <v>3</v>
      </c>
      <c r="D43" s="50">
        <v>1</v>
      </c>
      <c r="E43" s="50">
        <v>4</v>
      </c>
      <c r="F43" s="50">
        <v>6</v>
      </c>
      <c r="G43" s="50">
        <v>1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78</v>
      </c>
      <c r="N43" s="50">
        <v>0</v>
      </c>
      <c r="O43" s="15">
        <f t="shared" si="0"/>
        <v>16</v>
      </c>
      <c r="P43" s="15">
        <f t="shared" si="1"/>
        <v>94</v>
      </c>
    </row>
    <row r="44" spans="2:20" ht="23.1" customHeight="1" x14ac:dyDescent="0.25">
      <c r="B44" s="25" t="s">
        <v>71</v>
      </c>
      <c r="C44" s="50">
        <v>2</v>
      </c>
      <c r="D44" s="50">
        <v>2</v>
      </c>
      <c r="E44" s="50">
        <v>3</v>
      </c>
      <c r="F44" s="50">
        <v>4</v>
      </c>
      <c r="G44" s="50">
        <v>0</v>
      </c>
      <c r="H44" s="50">
        <v>0</v>
      </c>
      <c r="I44" s="50">
        <v>1</v>
      </c>
      <c r="J44" s="50">
        <v>0</v>
      </c>
      <c r="K44" s="50">
        <v>0</v>
      </c>
      <c r="L44" s="50">
        <v>0</v>
      </c>
      <c r="M44" s="50">
        <v>69</v>
      </c>
      <c r="N44" s="50">
        <v>0</v>
      </c>
      <c r="O44" s="15">
        <f t="shared" si="0"/>
        <v>12</v>
      </c>
      <c r="P44" s="15">
        <f t="shared" si="1"/>
        <v>81</v>
      </c>
    </row>
    <row r="45" spans="2:20" ht="23.1" customHeight="1" x14ac:dyDescent="0.25">
      <c r="B45" s="23" t="s">
        <v>72</v>
      </c>
      <c r="C45" s="50">
        <v>1</v>
      </c>
      <c r="D45" s="50">
        <v>0</v>
      </c>
      <c r="E45" s="50">
        <v>1</v>
      </c>
      <c r="F45" s="50">
        <v>5</v>
      </c>
      <c r="G45" s="50">
        <v>0</v>
      </c>
      <c r="H45" s="50">
        <v>0</v>
      </c>
      <c r="I45" s="50">
        <v>3</v>
      </c>
      <c r="J45" s="50">
        <v>0</v>
      </c>
      <c r="K45" s="50">
        <v>0</v>
      </c>
      <c r="L45" s="50">
        <v>0</v>
      </c>
      <c r="M45" s="50">
        <v>65</v>
      </c>
      <c r="N45" s="50">
        <v>0</v>
      </c>
      <c r="O45" s="15">
        <f t="shared" si="0"/>
        <v>10</v>
      </c>
      <c r="P45" s="15">
        <f t="shared" si="1"/>
        <v>75</v>
      </c>
    </row>
    <row r="46" spans="2:20" ht="23.1" customHeight="1" x14ac:dyDescent="0.25">
      <c r="B46" s="24" t="s">
        <v>73</v>
      </c>
      <c r="C46" s="50">
        <v>5</v>
      </c>
      <c r="D46" s="50">
        <v>5</v>
      </c>
      <c r="E46" s="50">
        <v>6</v>
      </c>
      <c r="F46" s="50">
        <v>7</v>
      </c>
      <c r="G46" s="50">
        <v>0</v>
      </c>
      <c r="H46" s="50">
        <v>0</v>
      </c>
      <c r="I46" s="50">
        <v>1</v>
      </c>
      <c r="J46" s="50">
        <v>0</v>
      </c>
      <c r="K46" s="50">
        <v>1</v>
      </c>
      <c r="L46" s="50">
        <v>0</v>
      </c>
      <c r="M46" s="50">
        <v>62</v>
      </c>
      <c r="N46" s="50">
        <v>0</v>
      </c>
      <c r="O46" s="15">
        <v>6</v>
      </c>
      <c r="P46" s="15">
        <f>SUM(C46:N46)</f>
        <v>87</v>
      </c>
      <c r="R46" s="8"/>
      <c r="T46"/>
    </row>
    <row r="47" spans="2:20" ht="23.1" customHeight="1" x14ac:dyDescent="0.25">
      <c r="B47" s="24" t="s">
        <v>74</v>
      </c>
      <c r="C47" s="50">
        <v>3</v>
      </c>
      <c r="D47" s="50">
        <v>3</v>
      </c>
      <c r="E47" s="50">
        <v>1</v>
      </c>
      <c r="F47" s="50">
        <v>6</v>
      </c>
      <c r="G47" s="50">
        <v>0</v>
      </c>
      <c r="H47" s="50">
        <v>0</v>
      </c>
      <c r="I47" s="50">
        <v>3</v>
      </c>
      <c r="J47" s="50">
        <v>4</v>
      </c>
      <c r="K47" s="50">
        <v>1</v>
      </c>
      <c r="L47" s="50">
        <v>0</v>
      </c>
      <c r="M47" s="50">
        <v>67</v>
      </c>
      <c r="N47" s="50">
        <v>0</v>
      </c>
      <c r="O47" s="15">
        <f t="shared" si="0"/>
        <v>21</v>
      </c>
      <c r="P47" s="15">
        <f t="shared" si="1"/>
        <v>88</v>
      </c>
      <c r="R47" s="8"/>
      <c r="T47"/>
    </row>
    <row r="48" spans="2:20" ht="23.1" customHeight="1" x14ac:dyDescent="0.25">
      <c r="B48" s="24" t="s">
        <v>75</v>
      </c>
      <c r="C48" s="50">
        <v>2</v>
      </c>
      <c r="D48" s="50">
        <v>0</v>
      </c>
      <c r="E48" s="50">
        <v>1</v>
      </c>
      <c r="F48" s="50">
        <v>4</v>
      </c>
      <c r="G48" s="50">
        <v>0</v>
      </c>
      <c r="H48" s="50">
        <v>0</v>
      </c>
      <c r="I48" s="50">
        <v>1</v>
      </c>
      <c r="J48" s="50">
        <v>3</v>
      </c>
      <c r="K48" s="50">
        <v>0</v>
      </c>
      <c r="L48" s="50">
        <v>0</v>
      </c>
      <c r="M48" s="50">
        <v>70</v>
      </c>
      <c r="N48" s="50">
        <v>0</v>
      </c>
      <c r="O48" s="15">
        <f t="shared" si="0"/>
        <v>11</v>
      </c>
      <c r="P48" s="15">
        <f t="shared" si="1"/>
        <v>81</v>
      </c>
      <c r="R48" s="8"/>
      <c r="T48"/>
    </row>
    <row r="49" spans="2:20" ht="23.1" customHeight="1" x14ac:dyDescent="0.25">
      <c r="B49" s="23" t="s">
        <v>76</v>
      </c>
      <c r="C49" s="50">
        <v>1</v>
      </c>
      <c r="D49" s="50">
        <v>1</v>
      </c>
      <c r="E49" s="50">
        <v>2</v>
      </c>
      <c r="F49" s="50">
        <v>5</v>
      </c>
      <c r="G49" s="50">
        <v>0</v>
      </c>
      <c r="H49" s="50">
        <v>0</v>
      </c>
      <c r="I49" s="50">
        <v>1</v>
      </c>
      <c r="J49" s="50">
        <v>1</v>
      </c>
      <c r="K49" s="50">
        <v>0</v>
      </c>
      <c r="L49" s="50">
        <v>0</v>
      </c>
      <c r="M49" s="50">
        <v>79</v>
      </c>
      <c r="N49" s="50">
        <v>0</v>
      </c>
      <c r="O49" s="15">
        <f t="shared" si="0"/>
        <v>11</v>
      </c>
      <c r="P49" s="15">
        <f t="shared" si="1"/>
        <v>90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3</v>
      </c>
      <c r="F50" s="50">
        <v>10</v>
      </c>
      <c r="G50" s="50">
        <v>0</v>
      </c>
      <c r="H50" s="50">
        <v>0</v>
      </c>
      <c r="I50" s="50">
        <v>2</v>
      </c>
      <c r="J50" s="50">
        <v>0</v>
      </c>
      <c r="K50" s="50">
        <v>1</v>
      </c>
      <c r="L50" s="50">
        <v>0</v>
      </c>
      <c r="M50" s="50">
        <v>65</v>
      </c>
      <c r="N50" s="50">
        <v>0</v>
      </c>
      <c r="O50" s="15">
        <f t="shared" si="0"/>
        <v>19</v>
      </c>
      <c r="P50" s="15">
        <f t="shared" si="1"/>
        <v>84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3</v>
      </c>
      <c r="E51" s="50">
        <v>0</v>
      </c>
      <c r="F51" s="50">
        <v>5</v>
      </c>
      <c r="G51" s="50">
        <v>0</v>
      </c>
      <c r="H51" s="50">
        <v>0</v>
      </c>
      <c r="I51" s="50">
        <v>0</v>
      </c>
      <c r="J51" s="50">
        <v>3</v>
      </c>
      <c r="K51" s="50">
        <v>1</v>
      </c>
      <c r="L51" s="50">
        <v>0</v>
      </c>
      <c r="M51" s="50">
        <v>74</v>
      </c>
      <c r="N51" s="50">
        <v>0</v>
      </c>
      <c r="O51" s="15">
        <f t="shared" si="0"/>
        <v>15</v>
      </c>
      <c r="P51" s="15">
        <f t="shared" si="1"/>
        <v>89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1</v>
      </c>
      <c r="E52" s="50">
        <v>1</v>
      </c>
      <c r="F52" s="50">
        <v>5</v>
      </c>
      <c r="G52" s="50">
        <v>1</v>
      </c>
      <c r="H52" s="50">
        <v>0</v>
      </c>
      <c r="I52" s="50">
        <v>0</v>
      </c>
      <c r="J52" s="50">
        <v>2</v>
      </c>
      <c r="K52" s="50">
        <v>0</v>
      </c>
      <c r="L52" s="50">
        <v>0</v>
      </c>
      <c r="M52" s="50">
        <v>78</v>
      </c>
      <c r="N52" s="50">
        <v>0</v>
      </c>
      <c r="O52" s="15">
        <f t="shared" si="0"/>
        <v>15</v>
      </c>
      <c r="P52" s="15">
        <f t="shared" si="1"/>
        <v>93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2</v>
      </c>
      <c r="E53" s="50">
        <v>3</v>
      </c>
      <c r="F53" s="50">
        <v>3</v>
      </c>
      <c r="G53" s="50">
        <v>0</v>
      </c>
      <c r="H53" s="50">
        <v>0</v>
      </c>
      <c r="I53" s="50">
        <v>4</v>
      </c>
      <c r="J53" s="50">
        <v>1</v>
      </c>
      <c r="K53" s="50">
        <v>0</v>
      </c>
      <c r="L53" s="50">
        <v>0</v>
      </c>
      <c r="M53" s="50">
        <v>64</v>
      </c>
      <c r="N53" s="50">
        <v>0</v>
      </c>
      <c r="O53" s="15">
        <f t="shared" si="0"/>
        <v>15</v>
      </c>
      <c r="P53" s="15">
        <f t="shared" si="1"/>
        <v>79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2</v>
      </c>
      <c r="E54" s="50">
        <v>3</v>
      </c>
      <c r="F54" s="50">
        <v>17</v>
      </c>
      <c r="G54" s="50">
        <v>0</v>
      </c>
      <c r="H54" s="50">
        <v>0</v>
      </c>
      <c r="I54" s="50">
        <v>1</v>
      </c>
      <c r="J54" s="50">
        <v>1</v>
      </c>
      <c r="K54" s="50">
        <v>0</v>
      </c>
      <c r="L54" s="50">
        <v>0</v>
      </c>
      <c r="M54" s="50">
        <v>73</v>
      </c>
      <c r="N54" s="50">
        <v>0</v>
      </c>
      <c r="O54" s="15">
        <f t="shared" si="0"/>
        <v>27</v>
      </c>
      <c r="P54" s="15">
        <f t="shared" si="1"/>
        <v>100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1</v>
      </c>
      <c r="E55" s="50">
        <v>1</v>
      </c>
      <c r="F55" s="50">
        <v>2</v>
      </c>
      <c r="G55" s="50">
        <v>0</v>
      </c>
      <c r="H55" s="50">
        <v>0</v>
      </c>
      <c r="I55" s="50">
        <v>2</v>
      </c>
      <c r="J55" s="50">
        <v>0</v>
      </c>
      <c r="K55" s="50">
        <v>2</v>
      </c>
      <c r="L55" s="50">
        <v>0</v>
      </c>
      <c r="M55" s="50">
        <v>74</v>
      </c>
      <c r="N55" s="50">
        <v>0</v>
      </c>
      <c r="O55" s="15">
        <f t="shared" si="0"/>
        <v>13</v>
      </c>
      <c r="P55" s="15">
        <f t="shared" si="1"/>
        <v>87</v>
      </c>
      <c r="R55" s="8"/>
      <c r="T55"/>
    </row>
    <row r="56" spans="2:20" ht="23.1" customHeight="1" x14ac:dyDescent="0.25">
      <c r="B56" s="23" t="s">
        <v>83</v>
      </c>
      <c r="C56" s="50">
        <v>4</v>
      </c>
      <c r="D56" s="50">
        <v>1</v>
      </c>
      <c r="E56" s="50">
        <v>1</v>
      </c>
      <c r="F56" s="50">
        <v>1</v>
      </c>
      <c r="G56" s="50">
        <v>0</v>
      </c>
      <c r="H56" s="50">
        <v>0</v>
      </c>
      <c r="I56" s="50">
        <v>3</v>
      </c>
      <c r="J56" s="50">
        <v>0</v>
      </c>
      <c r="K56" s="50">
        <v>0</v>
      </c>
      <c r="L56" s="50">
        <v>0</v>
      </c>
      <c r="M56" s="50">
        <v>67</v>
      </c>
      <c r="N56" s="50">
        <v>1</v>
      </c>
      <c r="O56" s="15">
        <f t="shared" si="0"/>
        <v>11</v>
      </c>
      <c r="P56" s="15">
        <f t="shared" si="1"/>
        <v>78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2</v>
      </c>
      <c r="E57" s="50">
        <v>1</v>
      </c>
      <c r="F57" s="50">
        <v>7</v>
      </c>
      <c r="G57" s="50">
        <v>0</v>
      </c>
      <c r="H57" s="50">
        <v>0</v>
      </c>
      <c r="I57" s="50">
        <v>1</v>
      </c>
      <c r="J57" s="50">
        <v>0</v>
      </c>
      <c r="K57" s="50">
        <v>0</v>
      </c>
      <c r="L57" s="50">
        <v>0</v>
      </c>
      <c r="M57" s="50">
        <v>69</v>
      </c>
      <c r="N57" s="50">
        <v>0</v>
      </c>
      <c r="O57" s="15">
        <f t="shared" si="0"/>
        <v>14</v>
      </c>
      <c r="P57" s="15">
        <f t="shared" si="1"/>
        <v>83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160</v>
      </c>
      <c r="D58" s="16">
        <f t="shared" si="21"/>
        <v>59</v>
      </c>
      <c r="E58" s="16">
        <f t="shared" si="21"/>
        <v>87</v>
      </c>
      <c r="F58" s="16">
        <f t="shared" si="21"/>
        <v>216</v>
      </c>
      <c r="G58" s="16">
        <f t="shared" si="21"/>
        <v>3</v>
      </c>
      <c r="H58" s="16">
        <f t="shared" si="21"/>
        <v>0</v>
      </c>
      <c r="I58" s="16">
        <f t="shared" si="21"/>
        <v>76</v>
      </c>
      <c r="J58" s="16">
        <f t="shared" si="21"/>
        <v>49</v>
      </c>
      <c r="K58" s="16">
        <f t="shared" si="21"/>
        <v>21</v>
      </c>
      <c r="L58" s="16">
        <f t="shared" si="21"/>
        <v>1</v>
      </c>
      <c r="M58" s="16">
        <f t="shared" si="21"/>
        <v>3373</v>
      </c>
      <c r="N58" s="16">
        <f t="shared" si="21"/>
        <v>1</v>
      </c>
      <c r="O58" s="16">
        <f t="shared" si="21"/>
        <v>654</v>
      </c>
      <c r="P58" s="16">
        <f t="shared" si="21"/>
        <v>4046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3.9545229856648545E-2</v>
      </c>
      <c r="D59" s="43">
        <f t="shared" si="22"/>
        <v>1.458230350963915E-2</v>
      </c>
      <c r="E59" s="43">
        <f t="shared" si="22"/>
        <v>2.1502718734552645E-2</v>
      </c>
      <c r="F59" s="43">
        <f t="shared" si="22"/>
        <v>5.3386060306475532E-2</v>
      </c>
      <c r="G59" s="43">
        <f t="shared" si="22"/>
        <v>7.414730598121602E-4</v>
      </c>
      <c r="H59" s="43">
        <f t="shared" si="22"/>
        <v>0</v>
      </c>
      <c r="I59" s="43">
        <f t="shared" si="22"/>
        <v>1.8783984181908058E-2</v>
      </c>
      <c r="J59" s="43">
        <f t="shared" si="22"/>
        <v>1.2110726643598616E-2</v>
      </c>
      <c r="K59" s="43">
        <f t="shared" si="22"/>
        <v>5.1903114186851208E-3</v>
      </c>
      <c r="L59" s="43">
        <f t="shared" si="22"/>
        <v>2.4715768660405336E-4</v>
      </c>
      <c r="M59" s="43">
        <f t="shared" si="22"/>
        <v>0.83366287691547203</v>
      </c>
      <c r="N59" s="43">
        <f t="shared" si="22"/>
        <v>2.4715768660405336E-4</v>
      </c>
      <c r="R59" s="8"/>
      <c r="T59"/>
    </row>
    <row r="60" spans="2:20" ht="23.1" customHeight="1" x14ac:dyDescent="0.25">
      <c r="B60" s="42" t="s">
        <v>94</v>
      </c>
      <c r="C60" s="44">
        <f>C58/$O$58</f>
        <v>0.24464831804281345</v>
      </c>
      <c r="D60" s="44">
        <f t="shared" ref="D60:N60" si="23">D58/$O$58</f>
        <v>9.0214067278287458E-2</v>
      </c>
      <c r="E60" s="44">
        <f t="shared" si="23"/>
        <v>0.13302752293577982</v>
      </c>
      <c r="F60" s="44">
        <f t="shared" si="23"/>
        <v>0.33027522935779818</v>
      </c>
      <c r="G60" s="44">
        <f t="shared" si="23"/>
        <v>4.5871559633027525E-3</v>
      </c>
      <c r="H60" s="44">
        <f t="shared" si="23"/>
        <v>0</v>
      </c>
      <c r="I60" s="44">
        <f t="shared" si="23"/>
        <v>0.11620795107033639</v>
      </c>
      <c r="J60" s="44">
        <f t="shared" si="23"/>
        <v>7.492354740061162E-2</v>
      </c>
      <c r="K60" s="44">
        <f t="shared" si="23"/>
        <v>3.2110091743119268E-2</v>
      </c>
      <c r="L60" s="44">
        <f t="shared" si="23"/>
        <v>1.5290519877675841E-3</v>
      </c>
      <c r="M60" s="44"/>
      <c r="N60" s="44">
        <f t="shared" si="23"/>
        <v>1.5290519877675841E-3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N6" sqref="N6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Iganga-Kaliro'!C3:G3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">
        <v>175</v>
      </c>
      <c r="E5" s="3"/>
      <c r="F5" s="41" t="s">
        <v>1</v>
      </c>
      <c r="G5" s="61" t="str">
        <f>'26.08 Kaliro-Iganga-24h'!G5:H5</f>
        <v>Kigulu</v>
      </c>
      <c r="H5" s="62"/>
      <c r="I5" s="14"/>
      <c r="J5" s="2" t="s">
        <v>5</v>
      </c>
      <c r="K5" s="61" t="str">
        <f>'26.08 Kaliro-Iganga-24h'!K5:L5</f>
        <v>Racheal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Iganga-Kaliro'!D6:E6</f>
        <v>Iganga</v>
      </c>
      <c r="E6" s="62"/>
      <c r="F6" s="2" t="s">
        <v>2</v>
      </c>
      <c r="G6" s="61" t="str">
        <f>'22.08 Iganga-Kaliro'!G6:H6</f>
        <v>Kaliro</v>
      </c>
      <c r="H6" s="62"/>
      <c r="J6" s="2" t="s">
        <v>21</v>
      </c>
      <c r="K6" s="61" t="str">
        <f>'26.08 Kaliro-Iganga-24h'!K6:L6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5</v>
      </c>
      <c r="D10" s="50">
        <v>2</v>
      </c>
      <c r="E10" s="50">
        <v>1</v>
      </c>
      <c r="F10" s="50">
        <v>5</v>
      </c>
      <c r="G10" s="50">
        <v>0</v>
      </c>
      <c r="H10" s="50">
        <v>0</v>
      </c>
      <c r="I10" s="50">
        <v>3</v>
      </c>
      <c r="J10" s="50">
        <v>0</v>
      </c>
      <c r="K10" s="50">
        <v>0</v>
      </c>
      <c r="L10" s="50">
        <v>0</v>
      </c>
      <c r="M10" s="50">
        <v>65</v>
      </c>
      <c r="N10" s="50">
        <v>0</v>
      </c>
      <c r="O10" s="15">
        <f t="shared" ref="O10:O57" si="0">SUM(C10:L10,N10)</f>
        <v>16</v>
      </c>
      <c r="P10" s="15">
        <f t="shared" ref="P10:P57" si="1">SUM(C10:N10)</f>
        <v>81</v>
      </c>
      <c r="R10" s="1" t="s">
        <v>6</v>
      </c>
      <c r="S10" s="17">
        <f t="shared" ref="S10:AF10" si="2">SUM(C10:C13)</f>
        <v>25</v>
      </c>
      <c r="T10" s="17">
        <f t="shared" si="2"/>
        <v>14</v>
      </c>
      <c r="U10" s="17">
        <f t="shared" si="2"/>
        <v>12</v>
      </c>
      <c r="V10" s="17">
        <f t="shared" si="2"/>
        <v>21</v>
      </c>
      <c r="W10" s="17">
        <f t="shared" si="2"/>
        <v>1</v>
      </c>
      <c r="X10" s="17">
        <f t="shared" si="2"/>
        <v>0</v>
      </c>
      <c r="Y10" s="17">
        <f t="shared" si="2"/>
        <v>13</v>
      </c>
      <c r="Z10" s="17">
        <f t="shared" si="2"/>
        <v>8</v>
      </c>
      <c r="AA10" s="17">
        <f t="shared" si="2"/>
        <v>0</v>
      </c>
      <c r="AB10" s="17">
        <f t="shared" si="2"/>
        <v>0</v>
      </c>
      <c r="AC10" s="17">
        <f t="shared" si="2"/>
        <v>270</v>
      </c>
      <c r="AD10" s="17">
        <f t="shared" si="2"/>
        <v>0</v>
      </c>
      <c r="AE10" s="31">
        <f t="shared" si="2"/>
        <v>94</v>
      </c>
      <c r="AF10" s="31">
        <f t="shared" si="2"/>
        <v>364</v>
      </c>
    </row>
    <row r="11" spans="2:32" s="6" customFormat="1" ht="23.1" customHeight="1" x14ac:dyDescent="0.25">
      <c r="B11" s="23" t="s">
        <v>38</v>
      </c>
      <c r="C11" s="50">
        <v>7</v>
      </c>
      <c r="D11" s="50">
        <v>4</v>
      </c>
      <c r="E11" s="50">
        <v>2</v>
      </c>
      <c r="F11" s="50">
        <v>9</v>
      </c>
      <c r="G11" s="50">
        <v>0</v>
      </c>
      <c r="H11" s="50">
        <v>0</v>
      </c>
      <c r="I11" s="50">
        <v>1</v>
      </c>
      <c r="J11" s="50">
        <v>2</v>
      </c>
      <c r="K11" s="50">
        <v>0</v>
      </c>
      <c r="L11" s="50">
        <v>0</v>
      </c>
      <c r="M11" s="50">
        <v>70</v>
      </c>
      <c r="N11" s="50">
        <v>0</v>
      </c>
      <c r="O11" s="15">
        <f t="shared" si="0"/>
        <v>25</v>
      </c>
      <c r="P11" s="15">
        <f t="shared" si="1"/>
        <v>95</v>
      </c>
      <c r="R11" s="1" t="s">
        <v>7</v>
      </c>
      <c r="S11" s="17">
        <f t="shared" ref="S11:AF11" si="3">SUM(C14:C17)</f>
        <v>20</v>
      </c>
      <c r="T11" s="17">
        <f t="shared" si="3"/>
        <v>14</v>
      </c>
      <c r="U11" s="17">
        <f t="shared" si="3"/>
        <v>7</v>
      </c>
      <c r="V11" s="17">
        <f t="shared" si="3"/>
        <v>19</v>
      </c>
      <c r="W11" s="17">
        <f t="shared" si="3"/>
        <v>1</v>
      </c>
      <c r="X11" s="17">
        <f t="shared" si="3"/>
        <v>0</v>
      </c>
      <c r="Y11" s="17">
        <f t="shared" si="3"/>
        <v>4</v>
      </c>
      <c r="Z11" s="17">
        <f t="shared" si="3"/>
        <v>5</v>
      </c>
      <c r="AA11" s="17">
        <f t="shared" si="3"/>
        <v>0</v>
      </c>
      <c r="AB11" s="17">
        <f t="shared" si="3"/>
        <v>0</v>
      </c>
      <c r="AC11" s="17">
        <f t="shared" si="3"/>
        <v>290</v>
      </c>
      <c r="AD11" s="17">
        <f t="shared" si="3"/>
        <v>0</v>
      </c>
      <c r="AE11" s="31">
        <f t="shared" si="3"/>
        <v>70</v>
      </c>
      <c r="AF11" s="31">
        <f t="shared" si="3"/>
        <v>360</v>
      </c>
    </row>
    <row r="12" spans="2:32" ht="23.1" customHeight="1" x14ac:dyDescent="0.25">
      <c r="B12" s="23" t="s">
        <v>39</v>
      </c>
      <c r="C12" s="50">
        <v>4</v>
      </c>
      <c r="D12" s="50">
        <v>5</v>
      </c>
      <c r="E12" s="50">
        <v>7</v>
      </c>
      <c r="F12" s="50">
        <v>3</v>
      </c>
      <c r="G12" s="50">
        <v>1</v>
      </c>
      <c r="H12" s="50">
        <v>0</v>
      </c>
      <c r="I12" s="50">
        <v>4</v>
      </c>
      <c r="J12" s="50">
        <v>5</v>
      </c>
      <c r="K12" s="50">
        <v>0</v>
      </c>
      <c r="L12" s="50">
        <v>0</v>
      </c>
      <c r="M12" s="50">
        <v>70</v>
      </c>
      <c r="N12" s="50">
        <v>0</v>
      </c>
      <c r="O12" s="15">
        <f t="shared" si="0"/>
        <v>29</v>
      </c>
      <c r="P12" s="15">
        <f t="shared" si="1"/>
        <v>99</v>
      </c>
      <c r="R12" s="1" t="s">
        <v>8</v>
      </c>
      <c r="S12" s="17">
        <f t="shared" ref="S12:AF12" si="4">SUM(C18:C21)</f>
        <v>21</v>
      </c>
      <c r="T12" s="17">
        <f t="shared" si="4"/>
        <v>12</v>
      </c>
      <c r="U12" s="17">
        <f t="shared" si="4"/>
        <v>11</v>
      </c>
      <c r="V12" s="17">
        <f t="shared" si="4"/>
        <v>17</v>
      </c>
      <c r="W12" s="17">
        <f t="shared" si="4"/>
        <v>0</v>
      </c>
      <c r="X12" s="17">
        <f t="shared" si="4"/>
        <v>0</v>
      </c>
      <c r="Y12" s="17">
        <f t="shared" si="4"/>
        <v>7</v>
      </c>
      <c r="Z12" s="17">
        <f t="shared" si="4"/>
        <v>8</v>
      </c>
      <c r="AA12" s="17">
        <f t="shared" si="4"/>
        <v>0</v>
      </c>
      <c r="AB12" s="17">
        <f t="shared" si="4"/>
        <v>0</v>
      </c>
      <c r="AC12" s="17">
        <f t="shared" si="4"/>
        <v>245</v>
      </c>
      <c r="AD12" s="17">
        <f t="shared" si="4"/>
        <v>0</v>
      </c>
      <c r="AE12" s="31">
        <f t="shared" si="4"/>
        <v>76</v>
      </c>
      <c r="AF12" s="31">
        <f t="shared" si="4"/>
        <v>321</v>
      </c>
    </row>
    <row r="13" spans="2:32" ht="23.1" customHeight="1" x14ac:dyDescent="0.25">
      <c r="B13" s="23" t="s">
        <v>40</v>
      </c>
      <c r="C13" s="50">
        <v>9</v>
      </c>
      <c r="D13" s="50">
        <v>3</v>
      </c>
      <c r="E13" s="50">
        <v>2</v>
      </c>
      <c r="F13" s="50">
        <v>4</v>
      </c>
      <c r="G13" s="50">
        <v>0</v>
      </c>
      <c r="H13" s="50">
        <v>0</v>
      </c>
      <c r="I13" s="50">
        <v>5</v>
      </c>
      <c r="J13" s="50">
        <v>1</v>
      </c>
      <c r="K13" s="50">
        <v>0</v>
      </c>
      <c r="L13" s="50">
        <v>0</v>
      </c>
      <c r="M13" s="50">
        <v>65</v>
      </c>
      <c r="N13" s="50">
        <v>0</v>
      </c>
      <c r="O13" s="15">
        <f t="shared" si="0"/>
        <v>24</v>
      </c>
      <c r="P13" s="15">
        <f t="shared" si="1"/>
        <v>89</v>
      </c>
      <c r="R13" s="1" t="s">
        <v>9</v>
      </c>
      <c r="S13" s="17">
        <f t="shared" ref="S13:AF13" si="5">SUM(C22:C25)</f>
        <v>17</v>
      </c>
      <c r="T13" s="17">
        <f t="shared" si="5"/>
        <v>11</v>
      </c>
      <c r="U13" s="17">
        <f t="shared" si="5"/>
        <v>12</v>
      </c>
      <c r="V13" s="17">
        <f t="shared" si="5"/>
        <v>17</v>
      </c>
      <c r="W13" s="17">
        <f t="shared" si="5"/>
        <v>0</v>
      </c>
      <c r="X13" s="17">
        <f t="shared" si="5"/>
        <v>0</v>
      </c>
      <c r="Y13" s="17">
        <f t="shared" si="5"/>
        <v>8</v>
      </c>
      <c r="Z13" s="17">
        <f t="shared" si="5"/>
        <v>6</v>
      </c>
      <c r="AA13" s="17">
        <f t="shared" si="5"/>
        <v>0</v>
      </c>
      <c r="AB13" s="17">
        <f t="shared" si="5"/>
        <v>0</v>
      </c>
      <c r="AC13" s="17">
        <f t="shared" si="5"/>
        <v>225</v>
      </c>
      <c r="AD13" s="17">
        <f t="shared" si="5"/>
        <v>0</v>
      </c>
      <c r="AE13" s="31">
        <f t="shared" si="5"/>
        <v>71</v>
      </c>
      <c r="AF13" s="31">
        <f t="shared" si="5"/>
        <v>296</v>
      </c>
    </row>
    <row r="14" spans="2:32" ht="23.1" customHeight="1" x14ac:dyDescent="0.25">
      <c r="B14" s="23" t="s">
        <v>41</v>
      </c>
      <c r="C14" s="50">
        <v>6</v>
      </c>
      <c r="D14" s="50">
        <v>4</v>
      </c>
      <c r="E14" s="50">
        <v>3</v>
      </c>
      <c r="F14" s="50">
        <v>5</v>
      </c>
      <c r="G14" s="50">
        <v>1</v>
      </c>
      <c r="H14" s="50">
        <v>0</v>
      </c>
      <c r="I14" s="50">
        <v>0</v>
      </c>
      <c r="J14" s="50">
        <v>1</v>
      </c>
      <c r="K14" s="50">
        <v>0</v>
      </c>
      <c r="L14" s="50">
        <v>0</v>
      </c>
      <c r="M14" s="50">
        <v>85</v>
      </c>
      <c r="N14" s="50">
        <v>0</v>
      </c>
      <c r="O14" s="15">
        <f t="shared" si="0"/>
        <v>20</v>
      </c>
      <c r="P14" s="15">
        <f t="shared" si="1"/>
        <v>105</v>
      </c>
      <c r="R14" s="1" t="s">
        <v>10</v>
      </c>
      <c r="S14" s="17">
        <f t="shared" ref="S14:AF14" si="6">SUM(C26:C29)</f>
        <v>18</v>
      </c>
      <c r="T14" s="17">
        <f t="shared" si="6"/>
        <v>10</v>
      </c>
      <c r="U14" s="17">
        <f t="shared" si="6"/>
        <v>14</v>
      </c>
      <c r="V14" s="17">
        <f t="shared" si="6"/>
        <v>15</v>
      </c>
      <c r="W14" s="17">
        <f t="shared" si="6"/>
        <v>0</v>
      </c>
      <c r="X14" s="17">
        <f t="shared" si="6"/>
        <v>0</v>
      </c>
      <c r="Y14" s="17">
        <f t="shared" si="6"/>
        <v>7</v>
      </c>
      <c r="Z14" s="17">
        <f t="shared" si="6"/>
        <v>6</v>
      </c>
      <c r="AA14" s="17">
        <f t="shared" si="6"/>
        <v>0</v>
      </c>
      <c r="AB14" s="17">
        <f t="shared" si="6"/>
        <v>0</v>
      </c>
      <c r="AC14" s="17">
        <f t="shared" si="6"/>
        <v>240</v>
      </c>
      <c r="AD14" s="17">
        <f t="shared" si="6"/>
        <v>0</v>
      </c>
      <c r="AE14" s="31">
        <f t="shared" si="6"/>
        <v>70</v>
      </c>
      <c r="AF14" s="31">
        <f t="shared" si="6"/>
        <v>310</v>
      </c>
    </row>
    <row r="15" spans="2:32" ht="23.1" customHeight="1" x14ac:dyDescent="0.25">
      <c r="B15" s="23" t="s">
        <v>42</v>
      </c>
      <c r="C15" s="50">
        <v>4</v>
      </c>
      <c r="D15" s="50">
        <v>5</v>
      </c>
      <c r="E15" s="50">
        <v>2</v>
      </c>
      <c r="F15" s="50">
        <v>4</v>
      </c>
      <c r="G15" s="50">
        <v>0</v>
      </c>
      <c r="H15" s="50">
        <v>0</v>
      </c>
      <c r="I15" s="50">
        <v>1</v>
      </c>
      <c r="J15" s="50">
        <v>1</v>
      </c>
      <c r="K15" s="50">
        <v>0</v>
      </c>
      <c r="L15" s="50">
        <v>0</v>
      </c>
      <c r="M15" s="50">
        <v>65</v>
      </c>
      <c r="N15" s="50">
        <v>0</v>
      </c>
      <c r="O15" s="15">
        <f t="shared" si="0"/>
        <v>17</v>
      </c>
      <c r="P15" s="15">
        <f t="shared" si="1"/>
        <v>82</v>
      </c>
      <c r="R15" s="1" t="s">
        <v>11</v>
      </c>
      <c r="S15" s="17">
        <f t="shared" ref="S15:AF15" si="7">SUM(C30:C33)</f>
        <v>16</v>
      </c>
      <c r="T15" s="17">
        <f t="shared" si="7"/>
        <v>8</v>
      </c>
      <c r="U15" s="17">
        <f t="shared" si="7"/>
        <v>8</v>
      </c>
      <c r="V15" s="17">
        <f t="shared" si="7"/>
        <v>17</v>
      </c>
      <c r="W15" s="17">
        <f t="shared" si="7"/>
        <v>1</v>
      </c>
      <c r="X15" s="17">
        <f t="shared" si="7"/>
        <v>0</v>
      </c>
      <c r="Y15" s="17">
        <f t="shared" si="7"/>
        <v>5</v>
      </c>
      <c r="Z15" s="17">
        <f t="shared" si="7"/>
        <v>4</v>
      </c>
      <c r="AA15" s="17">
        <f t="shared" si="7"/>
        <v>0</v>
      </c>
      <c r="AB15" s="17">
        <f t="shared" si="7"/>
        <v>0</v>
      </c>
      <c r="AC15" s="17">
        <f t="shared" si="7"/>
        <v>230</v>
      </c>
      <c r="AD15" s="17">
        <f t="shared" si="7"/>
        <v>0</v>
      </c>
      <c r="AE15" s="31">
        <f t="shared" si="7"/>
        <v>59</v>
      </c>
      <c r="AF15" s="31">
        <f t="shared" si="7"/>
        <v>289</v>
      </c>
    </row>
    <row r="16" spans="2:32" ht="23.1" customHeight="1" x14ac:dyDescent="0.25">
      <c r="B16" s="23" t="s">
        <v>43</v>
      </c>
      <c r="C16" s="50">
        <v>5</v>
      </c>
      <c r="D16" s="50">
        <v>2</v>
      </c>
      <c r="E16" s="50">
        <v>0</v>
      </c>
      <c r="F16" s="50">
        <v>4</v>
      </c>
      <c r="G16" s="50">
        <v>0</v>
      </c>
      <c r="H16" s="50">
        <v>0</v>
      </c>
      <c r="I16" s="50">
        <v>2</v>
      </c>
      <c r="J16" s="50">
        <v>3</v>
      </c>
      <c r="K16" s="50">
        <v>0</v>
      </c>
      <c r="L16" s="50">
        <v>0</v>
      </c>
      <c r="M16" s="50">
        <v>75</v>
      </c>
      <c r="N16" s="50">
        <v>0</v>
      </c>
      <c r="O16" s="15">
        <f t="shared" si="0"/>
        <v>16</v>
      </c>
      <c r="P16" s="15">
        <f t="shared" si="1"/>
        <v>91</v>
      </c>
      <c r="R16" s="1" t="s">
        <v>12</v>
      </c>
      <c r="S16" s="17">
        <f t="shared" ref="S16:AF16" si="8">SUM(C34:C37)</f>
        <v>17</v>
      </c>
      <c r="T16" s="17">
        <f t="shared" si="8"/>
        <v>10</v>
      </c>
      <c r="U16" s="17">
        <f t="shared" si="8"/>
        <v>13</v>
      </c>
      <c r="V16" s="17">
        <f t="shared" si="8"/>
        <v>14</v>
      </c>
      <c r="W16" s="17">
        <f t="shared" si="8"/>
        <v>0</v>
      </c>
      <c r="X16" s="17">
        <f t="shared" si="8"/>
        <v>0</v>
      </c>
      <c r="Y16" s="17">
        <f t="shared" si="8"/>
        <v>8</v>
      </c>
      <c r="Z16" s="17">
        <f t="shared" si="8"/>
        <v>8</v>
      </c>
      <c r="AA16" s="17">
        <f t="shared" si="8"/>
        <v>0</v>
      </c>
      <c r="AB16" s="17">
        <f t="shared" si="8"/>
        <v>0</v>
      </c>
      <c r="AC16" s="17">
        <f t="shared" si="8"/>
        <v>225</v>
      </c>
      <c r="AD16" s="17">
        <f t="shared" si="8"/>
        <v>0</v>
      </c>
      <c r="AE16" s="31">
        <f t="shared" si="8"/>
        <v>70</v>
      </c>
      <c r="AF16" s="31">
        <f t="shared" si="8"/>
        <v>295</v>
      </c>
    </row>
    <row r="17" spans="2:32" ht="23.1" customHeight="1" x14ac:dyDescent="0.25">
      <c r="B17" s="23" t="s">
        <v>44</v>
      </c>
      <c r="C17" s="50">
        <v>5</v>
      </c>
      <c r="D17" s="50">
        <v>3</v>
      </c>
      <c r="E17" s="50">
        <v>2</v>
      </c>
      <c r="F17" s="50">
        <v>6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65</v>
      </c>
      <c r="N17" s="50">
        <v>0</v>
      </c>
      <c r="O17" s="15">
        <f t="shared" si="0"/>
        <v>17</v>
      </c>
      <c r="P17" s="15">
        <f t="shared" si="1"/>
        <v>82</v>
      </c>
      <c r="R17" s="1" t="s">
        <v>13</v>
      </c>
      <c r="S17" s="17">
        <f t="shared" ref="S17:AF17" si="9">SUM(C38:C41)</f>
        <v>18</v>
      </c>
      <c r="T17" s="17">
        <f t="shared" si="9"/>
        <v>11</v>
      </c>
      <c r="U17" s="17">
        <f t="shared" si="9"/>
        <v>10</v>
      </c>
      <c r="V17" s="17">
        <f t="shared" si="9"/>
        <v>16</v>
      </c>
      <c r="W17" s="17">
        <f t="shared" si="9"/>
        <v>1</v>
      </c>
      <c r="X17" s="17">
        <f t="shared" si="9"/>
        <v>0</v>
      </c>
      <c r="Y17" s="17">
        <f t="shared" si="9"/>
        <v>7</v>
      </c>
      <c r="Z17" s="17">
        <f t="shared" si="9"/>
        <v>7</v>
      </c>
      <c r="AA17" s="17">
        <f t="shared" si="9"/>
        <v>0</v>
      </c>
      <c r="AB17" s="17">
        <f t="shared" si="9"/>
        <v>0</v>
      </c>
      <c r="AC17" s="17">
        <f t="shared" si="9"/>
        <v>235</v>
      </c>
      <c r="AD17" s="17">
        <f t="shared" si="9"/>
        <v>0</v>
      </c>
      <c r="AE17" s="31">
        <f t="shared" si="9"/>
        <v>70</v>
      </c>
      <c r="AF17" s="31">
        <f t="shared" si="9"/>
        <v>305</v>
      </c>
    </row>
    <row r="18" spans="2:32" ht="23.1" customHeight="1" x14ac:dyDescent="0.25">
      <c r="B18" s="23" t="s">
        <v>45</v>
      </c>
      <c r="C18" s="50">
        <v>4</v>
      </c>
      <c r="D18" s="50">
        <v>2</v>
      </c>
      <c r="E18" s="50">
        <v>1</v>
      </c>
      <c r="F18" s="50">
        <v>5</v>
      </c>
      <c r="G18" s="50">
        <v>0</v>
      </c>
      <c r="H18" s="50">
        <v>0</v>
      </c>
      <c r="I18" s="50">
        <v>2</v>
      </c>
      <c r="J18" s="50">
        <v>2</v>
      </c>
      <c r="K18" s="50">
        <v>0</v>
      </c>
      <c r="L18" s="50">
        <v>0</v>
      </c>
      <c r="M18" s="50">
        <v>65</v>
      </c>
      <c r="N18" s="50">
        <v>0</v>
      </c>
      <c r="O18" s="15">
        <f t="shared" si="0"/>
        <v>16</v>
      </c>
      <c r="P18" s="15">
        <f t="shared" si="1"/>
        <v>81</v>
      </c>
      <c r="R18" s="1" t="s">
        <v>14</v>
      </c>
      <c r="S18" s="17">
        <f t="shared" ref="S18:AF18" si="10">SUM(C42:C45)</f>
        <v>22</v>
      </c>
      <c r="T18" s="17">
        <f t="shared" si="10"/>
        <v>12</v>
      </c>
      <c r="U18" s="17">
        <f t="shared" si="10"/>
        <v>13</v>
      </c>
      <c r="V18" s="17">
        <f t="shared" si="10"/>
        <v>14</v>
      </c>
      <c r="W18" s="17">
        <f t="shared" si="10"/>
        <v>0</v>
      </c>
      <c r="X18" s="17">
        <f t="shared" si="10"/>
        <v>0</v>
      </c>
      <c r="Y18" s="17">
        <f t="shared" si="10"/>
        <v>6</v>
      </c>
      <c r="Z18" s="17">
        <f t="shared" si="10"/>
        <v>9</v>
      </c>
      <c r="AA18" s="17">
        <f t="shared" si="10"/>
        <v>0</v>
      </c>
      <c r="AB18" s="17">
        <f t="shared" si="10"/>
        <v>0</v>
      </c>
      <c r="AC18" s="17">
        <f t="shared" si="10"/>
        <v>240</v>
      </c>
      <c r="AD18" s="17">
        <f t="shared" si="10"/>
        <v>0</v>
      </c>
      <c r="AE18" s="31">
        <f t="shared" si="10"/>
        <v>76</v>
      </c>
      <c r="AF18" s="31">
        <f t="shared" si="10"/>
        <v>316</v>
      </c>
    </row>
    <row r="19" spans="2:32" ht="23.1" customHeight="1" x14ac:dyDescent="0.25">
      <c r="B19" s="23" t="s">
        <v>46</v>
      </c>
      <c r="C19" s="50">
        <v>6</v>
      </c>
      <c r="D19" s="50">
        <v>4</v>
      </c>
      <c r="E19" s="50">
        <v>5</v>
      </c>
      <c r="F19" s="50">
        <v>3</v>
      </c>
      <c r="G19" s="50">
        <v>0</v>
      </c>
      <c r="H19" s="50">
        <v>0</v>
      </c>
      <c r="I19" s="50">
        <v>1</v>
      </c>
      <c r="J19" s="50">
        <v>1</v>
      </c>
      <c r="K19" s="50">
        <v>0</v>
      </c>
      <c r="L19" s="50">
        <v>0</v>
      </c>
      <c r="M19" s="50">
        <v>65</v>
      </c>
      <c r="N19" s="50">
        <v>0</v>
      </c>
      <c r="O19" s="15">
        <f t="shared" si="0"/>
        <v>20</v>
      </c>
      <c r="P19" s="15">
        <f t="shared" si="1"/>
        <v>85</v>
      </c>
      <c r="R19" s="1" t="s">
        <v>15</v>
      </c>
      <c r="S19" s="17">
        <f t="shared" ref="S19:AF19" si="11">SUM(C46:C49)</f>
        <v>18</v>
      </c>
      <c r="T19" s="17">
        <f t="shared" si="11"/>
        <v>13</v>
      </c>
      <c r="U19" s="17">
        <f t="shared" si="11"/>
        <v>8</v>
      </c>
      <c r="V19" s="17">
        <f t="shared" si="11"/>
        <v>17</v>
      </c>
      <c r="W19" s="17">
        <f t="shared" si="11"/>
        <v>0</v>
      </c>
      <c r="X19" s="17">
        <f t="shared" si="11"/>
        <v>0</v>
      </c>
      <c r="Y19" s="17">
        <f t="shared" si="11"/>
        <v>7</v>
      </c>
      <c r="Z19" s="17">
        <f t="shared" si="11"/>
        <v>7</v>
      </c>
      <c r="AA19" s="17">
        <f t="shared" si="11"/>
        <v>0</v>
      </c>
      <c r="AB19" s="17">
        <f t="shared" si="11"/>
        <v>0</v>
      </c>
      <c r="AC19" s="17">
        <f t="shared" si="11"/>
        <v>220</v>
      </c>
      <c r="AD19" s="17">
        <f t="shared" si="11"/>
        <v>0</v>
      </c>
      <c r="AE19" s="31">
        <f t="shared" si="11"/>
        <v>70</v>
      </c>
      <c r="AF19" s="31">
        <f t="shared" si="11"/>
        <v>290</v>
      </c>
    </row>
    <row r="20" spans="2:32" ht="23.1" customHeight="1" x14ac:dyDescent="0.25">
      <c r="B20" s="23" t="s">
        <v>47</v>
      </c>
      <c r="C20" s="50">
        <v>7</v>
      </c>
      <c r="D20" s="50">
        <v>4</v>
      </c>
      <c r="E20" s="50">
        <v>2</v>
      </c>
      <c r="F20" s="50">
        <v>4</v>
      </c>
      <c r="G20" s="50">
        <v>0</v>
      </c>
      <c r="H20" s="50">
        <v>0</v>
      </c>
      <c r="I20" s="50">
        <v>2</v>
      </c>
      <c r="J20" s="50">
        <v>3</v>
      </c>
      <c r="K20" s="50">
        <v>0</v>
      </c>
      <c r="L20" s="50">
        <v>0</v>
      </c>
      <c r="M20" s="50">
        <v>65</v>
      </c>
      <c r="N20" s="50">
        <v>0</v>
      </c>
      <c r="O20" s="15">
        <f t="shared" si="0"/>
        <v>22</v>
      </c>
      <c r="P20" s="15">
        <f t="shared" si="1"/>
        <v>87</v>
      </c>
      <c r="R20" s="1" t="s">
        <v>16</v>
      </c>
      <c r="S20" s="17">
        <f t="shared" ref="S20:AF20" si="12">SUM(C50:C53)</f>
        <v>18</v>
      </c>
      <c r="T20" s="17">
        <f t="shared" si="12"/>
        <v>10</v>
      </c>
      <c r="U20" s="17">
        <f t="shared" si="12"/>
        <v>11</v>
      </c>
      <c r="V20" s="17">
        <f t="shared" si="12"/>
        <v>16</v>
      </c>
      <c r="W20" s="17">
        <f t="shared" si="12"/>
        <v>0</v>
      </c>
      <c r="X20" s="17">
        <f t="shared" si="12"/>
        <v>0</v>
      </c>
      <c r="Y20" s="17">
        <f t="shared" si="12"/>
        <v>5</v>
      </c>
      <c r="Z20" s="17">
        <f t="shared" si="12"/>
        <v>5</v>
      </c>
      <c r="AA20" s="17">
        <f t="shared" si="12"/>
        <v>0</v>
      </c>
      <c r="AB20" s="17">
        <f t="shared" si="12"/>
        <v>0</v>
      </c>
      <c r="AC20" s="17">
        <f t="shared" si="12"/>
        <v>231</v>
      </c>
      <c r="AD20" s="17">
        <f t="shared" si="12"/>
        <v>0</v>
      </c>
      <c r="AE20" s="31">
        <f t="shared" si="12"/>
        <v>65</v>
      </c>
      <c r="AF20" s="31">
        <f t="shared" si="12"/>
        <v>296</v>
      </c>
    </row>
    <row r="21" spans="2:32" ht="23.1" customHeight="1" x14ac:dyDescent="0.25">
      <c r="B21" s="23" t="s">
        <v>48</v>
      </c>
      <c r="C21" s="50">
        <v>4</v>
      </c>
      <c r="D21" s="50">
        <v>2</v>
      </c>
      <c r="E21" s="50">
        <v>3</v>
      </c>
      <c r="F21" s="50">
        <v>5</v>
      </c>
      <c r="G21" s="50">
        <v>0</v>
      </c>
      <c r="H21" s="50">
        <v>0</v>
      </c>
      <c r="I21" s="50">
        <v>2</v>
      </c>
      <c r="J21" s="50">
        <v>2</v>
      </c>
      <c r="K21" s="50">
        <v>0</v>
      </c>
      <c r="L21" s="50">
        <v>0</v>
      </c>
      <c r="M21" s="50">
        <v>50</v>
      </c>
      <c r="N21" s="50">
        <v>0</v>
      </c>
      <c r="O21" s="15">
        <f t="shared" si="0"/>
        <v>18</v>
      </c>
      <c r="P21" s="15">
        <f t="shared" si="1"/>
        <v>68</v>
      </c>
      <c r="R21" s="36" t="s">
        <v>20</v>
      </c>
      <c r="S21" s="34">
        <f t="shared" ref="S21:AF21" si="13">SUM(C54:C57)</f>
        <v>17</v>
      </c>
      <c r="T21" s="17">
        <f t="shared" si="13"/>
        <v>12</v>
      </c>
      <c r="U21" s="17">
        <f t="shared" si="13"/>
        <v>10</v>
      </c>
      <c r="V21" s="17">
        <f t="shared" si="13"/>
        <v>15</v>
      </c>
      <c r="W21" s="17">
        <f t="shared" si="13"/>
        <v>0</v>
      </c>
      <c r="X21" s="17">
        <f t="shared" si="13"/>
        <v>1</v>
      </c>
      <c r="Y21" s="17">
        <f t="shared" si="13"/>
        <v>8</v>
      </c>
      <c r="Z21" s="17">
        <f t="shared" si="13"/>
        <v>7</v>
      </c>
      <c r="AA21" s="17">
        <f t="shared" si="13"/>
        <v>0</v>
      </c>
      <c r="AB21" s="17">
        <f t="shared" si="13"/>
        <v>0</v>
      </c>
      <c r="AC21" s="17">
        <f t="shared" si="13"/>
        <v>225</v>
      </c>
      <c r="AD21" s="17">
        <f t="shared" si="13"/>
        <v>0</v>
      </c>
      <c r="AE21" s="31">
        <f t="shared" si="13"/>
        <v>70</v>
      </c>
      <c r="AF21" s="31">
        <f t="shared" si="13"/>
        <v>295</v>
      </c>
    </row>
    <row r="22" spans="2:32" ht="23.1" customHeight="1" x14ac:dyDescent="0.25">
      <c r="B22" s="23" t="s">
        <v>49</v>
      </c>
      <c r="C22" s="50">
        <v>5</v>
      </c>
      <c r="D22" s="50">
        <v>3</v>
      </c>
      <c r="E22" s="50">
        <v>4</v>
      </c>
      <c r="F22" s="50">
        <v>3</v>
      </c>
      <c r="G22" s="50">
        <v>0</v>
      </c>
      <c r="H22" s="50">
        <v>0</v>
      </c>
      <c r="I22" s="50">
        <v>2</v>
      </c>
      <c r="J22" s="50">
        <v>2</v>
      </c>
      <c r="K22" s="50">
        <v>0</v>
      </c>
      <c r="L22" s="50">
        <v>0</v>
      </c>
      <c r="M22" s="50">
        <v>60</v>
      </c>
      <c r="N22" s="50">
        <v>0</v>
      </c>
      <c r="O22" s="15">
        <f t="shared" si="0"/>
        <v>19</v>
      </c>
      <c r="P22" s="15">
        <f t="shared" si="1"/>
        <v>79</v>
      </c>
      <c r="R22" s="38" t="s">
        <v>90</v>
      </c>
      <c r="S22" s="39">
        <f>MAX(S10:S12)</f>
        <v>25</v>
      </c>
      <c r="T22" s="39">
        <f t="shared" ref="T22:AF22" si="14">MAX(T10:T12)</f>
        <v>14</v>
      </c>
      <c r="U22" s="39">
        <f t="shared" si="14"/>
        <v>12</v>
      </c>
      <c r="V22" s="39">
        <f t="shared" si="14"/>
        <v>21</v>
      </c>
      <c r="W22" s="39">
        <f t="shared" si="14"/>
        <v>1</v>
      </c>
      <c r="X22" s="39">
        <f t="shared" si="14"/>
        <v>0</v>
      </c>
      <c r="Y22" s="39">
        <f t="shared" si="14"/>
        <v>13</v>
      </c>
      <c r="Z22" s="39">
        <f t="shared" si="14"/>
        <v>8</v>
      </c>
      <c r="AA22" s="39">
        <f t="shared" si="14"/>
        <v>0</v>
      </c>
      <c r="AB22" s="39">
        <f t="shared" si="14"/>
        <v>0</v>
      </c>
      <c r="AC22" s="39">
        <f t="shared" si="14"/>
        <v>290</v>
      </c>
      <c r="AD22" s="39">
        <f t="shared" si="14"/>
        <v>0</v>
      </c>
      <c r="AE22" s="40">
        <f t="shared" si="14"/>
        <v>94</v>
      </c>
      <c r="AF22" s="40">
        <f t="shared" si="14"/>
        <v>364</v>
      </c>
    </row>
    <row r="23" spans="2:32" ht="23.1" customHeight="1" x14ac:dyDescent="0.25">
      <c r="B23" s="23" t="s">
        <v>50</v>
      </c>
      <c r="C23" s="50">
        <v>4</v>
      </c>
      <c r="D23" s="50">
        <v>4</v>
      </c>
      <c r="E23" s="50">
        <v>2</v>
      </c>
      <c r="F23" s="50">
        <v>6</v>
      </c>
      <c r="G23" s="50">
        <v>0</v>
      </c>
      <c r="H23" s="50">
        <v>0</v>
      </c>
      <c r="I23" s="50">
        <v>1</v>
      </c>
      <c r="J23" s="50">
        <v>1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18</v>
      </c>
      <c r="P23" s="15">
        <f t="shared" si="1"/>
        <v>78</v>
      </c>
      <c r="R23" s="38" t="s">
        <v>91</v>
      </c>
      <c r="S23" s="39">
        <f>MAX(S13:S18)</f>
        <v>22</v>
      </c>
      <c r="T23" s="39">
        <f t="shared" ref="T23:AF23" si="15">MAX(T13:T18)</f>
        <v>12</v>
      </c>
      <c r="U23" s="39">
        <f t="shared" si="15"/>
        <v>14</v>
      </c>
      <c r="V23" s="39">
        <f t="shared" si="15"/>
        <v>17</v>
      </c>
      <c r="W23" s="39">
        <f t="shared" si="15"/>
        <v>1</v>
      </c>
      <c r="X23" s="39">
        <f t="shared" si="15"/>
        <v>0</v>
      </c>
      <c r="Y23" s="39">
        <f t="shared" si="15"/>
        <v>8</v>
      </c>
      <c r="Z23" s="39">
        <f t="shared" si="15"/>
        <v>9</v>
      </c>
      <c r="AA23" s="39">
        <f t="shared" si="15"/>
        <v>0</v>
      </c>
      <c r="AB23" s="39">
        <f t="shared" si="15"/>
        <v>0</v>
      </c>
      <c r="AC23" s="39">
        <f t="shared" si="15"/>
        <v>240</v>
      </c>
      <c r="AD23" s="39">
        <f t="shared" si="15"/>
        <v>0</v>
      </c>
      <c r="AE23" s="40">
        <f t="shared" si="15"/>
        <v>76</v>
      </c>
      <c r="AF23" s="40">
        <f t="shared" si="15"/>
        <v>316</v>
      </c>
    </row>
    <row r="24" spans="2:32" ht="23.1" customHeight="1" x14ac:dyDescent="0.25">
      <c r="B24" s="23" t="s">
        <v>51</v>
      </c>
      <c r="C24" s="50">
        <v>5</v>
      </c>
      <c r="D24" s="50">
        <v>2</v>
      </c>
      <c r="E24" s="50">
        <v>3</v>
      </c>
      <c r="F24" s="50">
        <v>3</v>
      </c>
      <c r="G24" s="50">
        <v>0</v>
      </c>
      <c r="H24" s="50">
        <v>0</v>
      </c>
      <c r="I24" s="50">
        <v>2</v>
      </c>
      <c r="J24" s="50">
        <v>2</v>
      </c>
      <c r="K24" s="50">
        <v>0</v>
      </c>
      <c r="L24" s="50">
        <v>0</v>
      </c>
      <c r="M24" s="50">
        <v>45</v>
      </c>
      <c r="N24" s="50">
        <v>0</v>
      </c>
      <c r="O24" s="15">
        <f t="shared" si="0"/>
        <v>17</v>
      </c>
      <c r="P24" s="15">
        <f t="shared" si="1"/>
        <v>62</v>
      </c>
      <c r="R24" s="38" t="s">
        <v>92</v>
      </c>
      <c r="S24" s="39">
        <f>MAX(S19:S21)</f>
        <v>18</v>
      </c>
      <c r="T24" s="39">
        <f t="shared" ref="T24:AF24" si="16">MAX(T19:T21)</f>
        <v>13</v>
      </c>
      <c r="U24" s="39">
        <f t="shared" si="16"/>
        <v>11</v>
      </c>
      <c r="V24" s="39">
        <f t="shared" si="16"/>
        <v>17</v>
      </c>
      <c r="W24" s="39">
        <f t="shared" si="16"/>
        <v>0</v>
      </c>
      <c r="X24" s="39">
        <f t="shared" si="16"/>
        <v>1</v>
      </c>
      <c r="Y24" s="39">
        <f t="shared" si="16"/>
        <v>8</v>
      </c>
      <c r="Z24" s="39">
        <f t="shared" si="16"/>
        <v>7</v>
      </c>
      <c r="AA24" s="39">
        <f t="shared" si="16"/>
        <v>0</v>
      </c>
      <c r="AB24" s="39">
        <f t="shared" si="16"/>
        <v>0</v>
      </c>
      <c r="AC24" s="39">
        <f t="shared" si="16"/>
        <v>231</v>
      </c>
      <c r="AD24" s="39">
        <f t="shared" si="16"/>
        <v>0</v>
      </c>
      <c r="AE24" s="40">
        <f t="shared" si="16"/>
        <v>70</v>
      </c>
      <c r="AF24" s="40">
        <f t="shared" si="16"/>
        <v>296</v>
      </c>
    </row>
    <row r="25" spans="2:32" ht="23.1" customHeight="1" x14ac:dyDescent="0.25">
      <c r="B25" s="23" t="s">
        <v>52</v>
      </c>
      <c r="C25" s="50">
        <v>3</v>
      </c>
      <c r="D25" s="50">
        <v>2</v>
      </c>
      <c r="E25" s="50">
        <v>3</v>
      </c>
      <c r="F25" s="50">
        <v>5</v>
      </c>
      <c r="G25" s="50">
        <v>0</v>
      </c>
      <c r="H25" s="50">
        <v>0</v>
      </c>
      <c r="I25" s="50">
        <v>3</v>
      </c>
      <c r="J25" s="50">
        <v>1</v>
      </c>
      <c r="K25" s="50">
        <v>0</v>
      </c>
      <c r="L25" s="50">
        <v>0</v>
      </c>
      <c r="M25" s="50">
        <v>60</v>
      </c>
      <c r="N25" s="50">
        <v>0</v>
      </c>
      <c r="O25" s="15">
        <f t="shared" si="0"/>
        <v>17</v>
      </c>
      <c r="P25" s="15">
        <f t="shared" si="1"/>
        <v>77</v>
      </c>
      <c r="R25" s="37" t="s">
        <v>85</v>
      </c>
      <c r="S25" s="35">
        <f t="shared" ref="S25:AF25" si="17">SUM(S10:S12)</f>
        <v>66</v>
      </c>
      <c r="T25" s="16">
        <f t="shared" si="17"/>
        <v>40</v>
      </c>
      <c r="U25" s="16">
        <f t="shared" si="17"/>
        <v>30</v>
      </c>
      <c r="V25" s="16">
        <f t="shared" si="17"/>
        <v>57</v>
      </c>
      <c r="W25" s="16">
        <f t="shared" si="17"/>
        <v>2</v>
      </c>
      <c r="X25" s="16">
        <f t="shared" si="17"/>
        <v>0</v>
      </c>
      <c r="Y25" s="16">
        <f t="shared" si="17"/>
        <v>24</v>
      </c>
      <c r="Z25" s="16">
        <f t="shared" si="17"/>
        <v>21</v>
      </c>
      <c r="AA25" s="16">
        <f t="shared" si="17"/>
        <v>0</v>
      </c>
      <c r="AB25" s="16">
        <f t="shared" si="17"/>
        <v>0</v>
      </c>
      <c r="AC25" s="16">
        <f t="shared" si="17"/>
        <v>805</v>
      </c>
      <c r="AD25" s="16">
        <f t="shared" si="17"/>
        <v>0</v>
      </c>
      <c r="AE25" s="32">
        <f t="shared" si="17"/>
        <v>240</v>
      </c>
      <c r="AF25" s="32">
        <f t="shared" si="17"/>
        <v>1045</v>
      </c>
    </row>
    <row r="26" spans="2:32" ht="23.1" customHeight="1" x14ac:dyDescent="0.25">
      <c r="B26" s="23" t="s">
        <v>53</v>
      </c>
      <c r="C26" s="50">
        <v>5</v>
      </c>
      <c r="D26" s="50">
        <v>3</v>
      </c>
      <c r="E26" s="50">
        <v>4</v>
      </c>
      <c r="F26" s="50">
        <v>4</v>
      </c>
      <c r="G26" s="50">
        <v>0</v>
      </c>
      <c r="H26" s="50">
        <v>0</v>
      </c>
      <c r="I26" s="50">
        <v>1</v>
      </c>
      <c r="J26" s="50">
        <v>0</v>
      </c>
      <c r="K26" s="50">
        <v>0</v>
      </c>
      <c r="L26" s="50">
        <v>0</v>
      </c>
      <c r="M26" s="50">
        <v>65</v>
      </c>
      <c r="N26" s="50">
        <v>0</v>
      </c>
      <c r="O26" s="15">
        <f t="shared" si="0"/>
        <v>17</v>
      </c>
      <c r="P26" s="15">
        <f t="shared" si="1"/>
        <v>82</v>
      </c>
      <c r="R26" s="28" t="s">
        <v>86</v>
      </c>
      <c r="S26" s="16">
        <f t="shared" ref="S26:AF26" si="18">SUM(S13:S18)</f>
        <v>108</v>
      </c>
      <c r="T26" s="16">
        <f t="shared" si="18"/>
        <v>62</v>
      </c>
      <c r="U26" s="16">
        <f t="shared" si="18"/>
        <v>70</v>
      </c>
      <c r="V26" s="16">
        <f t="shared" si="18"/>
        <v>93</v>
      </c>
      <c r="W26" s="16">
        <f t="shared" si="18"/>
        <v>2</v>
      </c>
      <c r="X26" s="16">
        <f t="shared" si="18"/>
        <v>0</v>
      </c>
      <c r="Y26" s="16">
        <f t="shared" si="18"/>
        <v>41</v>
      </c>
      <c r="Z26" s="16">
        <f t="shared" si="18"/>
        <v>40</v>
      </c>
      <c r="AA26" s="16">
        <f t="shared" si="18"/>
        <v>0</v>
      </c>
      <c r="AB26" s="16">
        <f t="shared" si="18"/>
        <v>0</v>
      </c>
      <c r="AC26" s="16">
        <f t="shared" si="18"/>
        <v>1395</v>
      </c>
      <c r="AD26" s="16">
        <f t="shared" si="18"/>
        <v>0</v>
      </c>
      <c r="AE26" s="32">
        <f t="shared" si="18"/>
        <v>416</v>
      </c>
      <c r="AF26" s="32">
        <f t="shared" si="18"/>
        <v>1811</v>
      </c>
    </row>
    <row r="27" spans="2:32" ht="23.1" customHeight="1" x14ac:dyDescent="0.25">
      <c r="B27" s="23" t="s">
        <v>54</v>
      </c>
      <c r="C27" s="50">
        <v>4</v>
      </c>
      <c r="D27" s="50">
        <v>2</v>
      </c>
      <c r="E27" s="50">
        <v>3</v>
      </c>
      <c r="F27" s="50">
        <v>5</v>
      </c>
      <c r="G27" s="50">
        <v>0</v>
      </c>
      <c r="H27" s="50">
        <v>0</v>
      </c>
      <c r="I27" s="50">
        <v>2</v>
      </c>
      <c r="J27" s="50">
        <v>2</v>
      </c>
      <c r="K27" s="50">
        <v>0</v>
      </c>
      <c r="L27" s="50">
        <v>0</v>
      </c>
      <c r="M27" s="50">
        <v>60</v>
      </c>
      <c r="N27" s="50">
        <v>0</v>
      </c>
      <c r="O27" s="15">
        <f t="shared" si="0"/>
        <v>18</v>
      </c>
      <c r="P27" s="15">
        <f t="shared" si="1"/>
        <v>78</v>
      </c>
      <c r="R27" s="29" t="s">
        <v>87</v>
      </c>
      <c r="S27" s="16">
        <f t="shared" ref="S27:AF27" si="19">SUM(S19:S21)</f>
        <v>53</v>
      </c>
      <c r="T27" s="16">
        <f t="shared" si="19"/>
        <v>35</v>
      </c>
      <c r="U27" s="16">
        <f t="shared" si="19"/>
        <v>29</v>
      </c>
      <c r="V27" s="16">
        <f t="shared" si="19"/>
        <v>48</v>
      </c>
      <c r="W27" s="16">
        <f t="shared" si="19"/>
        <v>0</v>
      </c>
      <c r="X27" s="16">
        <f t="shared" si="19"/>
        <v>1</v>
      </c>
      <c r="Y27" s="16">
        <f t="shared" si="19"/>
        <v>20</v>
      </c>
      <c r="Z27" s="16">
        <f t="shared" si="19"/>
        <v>19</v>
      </c>
      <c r="AA27" s="16">
        <f t="shared" si="19"/>
        <v>0</v>
      </c>
      <c r="AB27" s="16">
        <f t="shared" si="19"/>
        <v>0</v>
      </c>
      <c r="AC27" s="16">
        <f t="shared" si="19"/>
        <v>676</v>
      </c>
      <c r="AD27" s="16">
        <f t="shared" si="19"/>
        <v>0</v>
      </c>
      <c r="AE27" s="32">
        <f t="shared" si="19"/>
        <v>205</v>
      </c>
      <c r="AF27" s="32">
        <f t="shared" si="19"/>
        <v>881</v>
      </c>
    </row>
    <row r="28" spans="2:32" ht="23.1" customHeight="1" x14ac:dyDescent="0.25">
      <c r="B28" s="23" t="s">
        <v>55</v>
      </c>
      <c r="C28" s="50">
        <v>5</v>
      </c>
      <c r="D28" s="50">
        <v>3</v>
      </c>
      <c r="E28" s="50">
        <v>2</v>
      </c>
      <c r="F28" s="50">
        <v>4</v>
      </c>
      <c r="G28" s="50">
        <v>0</v>
      </c>
      <c r="H28" s="50">
        <v>0</v>
      </c>
      <c r="I28" s="50">
        <v>2</v>
      </c>
      <c r="J28" s="50">
        <v>2</v>
      </c>
      <c r="K28" s="50">
        <v>0</v>
      </c>
      <c r="L28" s="50">
        <v>0</v>
      </c>
      <c r="M28" s="50">
        <v>60</v>
      </c>
      <c r="N28" s="50">
        <v>0</v>
      </c>
      <c r="O28" s="15">
        <f t="shared" si="0"/>
        <v>18</v>
      </c>
      <c r="P28" s="15">
        <f t="shared" si="1"/>
        <v>78</v>
      </c>
      <c r="R28" s="5" t="s">
        <v>17</v>
      </c>
      <c r="S28" s="16">
        <f t="shared" ref="S28:AF28" si="20">SUM(S10:S21)</f>
        <v>227</v>
      </c>
      <c r="T28" s="16">
        <f t="shared" si="20"/>
        <v>137</v>
      </c>
      <c r="U28" s="16">
        <f t="shared" si="20"/>
        <v>129</v>
      </c>
      <c r="V28" s="16">
        <f t="shared" si="20"/>
        <v>198</v>
      </c>
      <c r="W28" s="16">
        <f t="shared" si="20"/>
        <v>4</v>
      </c>
      <c r="X28" s="16">
        <f t="shared" si="20"/>
        <v>1</v>
      </c>
      <c r="Y28" s="16">
        <f t="shared" si="20"/>
        <v>85</v>
      </c>
      <c r="Z28" s="16">
        <f t="shared" si="20"/>
        <v>80</v>
      </c>
      <c r="AA28" s="16">
        <f t="shared" si="20"/>
        <v>0</v>
      </c>
      <c r="AB28" s="16">
        <f t="shared" si="20"/>
        <v>0</v>
      </c>
      <c r="AC28" s="16">
        <f t="shared" si="20"/>
        <v>2876</v>
      </c>
      <c r="AD28" s="16">
        <f t="shared" si="20"/>
        <v>0</v>
      </c>
      <c r="AE28" s="32">
        <f t="shared" si="20"/>
        <v>861</v>
      </c>
      <c r="AF28" s="32">
        <f t="shared" si="20"/>
        <v>3737</v>
      </c>
    </row>
    <row r="29" spans="2:32" ht="23.1" customHeight="1" x14ac:dyDescent="0.25">
      <c r="B29" s="23" t="s">
        <v>56</v>
      </c>
      <c r="C29" s="50">
        <v>4</v>
      </c>
      <c r="D29" s="50">
        <v>2</v>
      </c>
      <c r="E29" s="50">
        <v>5</v>
      </c>
      <c r="F29" s="50">
        <v>2</v>
      </c>
      <c r="G29" s="50">
        <v>0</v>
      </c>
      <c r="H29" s="50">
        <v>0</v>
      </c>
      <c r="I29" s="50">
        <v>2</v>
      </c>
      <c r="J29" s="50">
        <v>2</v>
      </c>
      <c r="K29" s="50">
        <v>0</v>
      </c>
      <c r="L29" s="50">
        <v>0</v>
      </c>
      <c r="M29" s="50">
        <v>55</v>
      </c>
      <c r="N29" s="50">
        <v>0</v>
      </c>
      <c r="O29" s="15">
        <f t="shared" si="0"/>
        <v>17</v>
      </c>
      <c r="P29" s="15">
        <f t="shared" si="1"/>
        <v>72</v>
      </c>
      <c r="R29"/>
      <c r="S29" s="20"/>
      <c r="T29" s="19"/>
    </row>
    <row r="30" spans="2:32" ht="23.1" customHeight="1" x14ac:dyDescent="0.25">
      <c r="B30" s="23" t="s">
        <v>57</v>
      </c>
      <c r="C30" s="50">
        <v>5</v>
      </c>
      <c r="D30" s="50">
        <v>3</v>
      </c>
      <c r="E30" s="50">
        <v>2</v>
      </c>
      <c r="F30" s="50">
        <v>5</v>
      </c>
      <c r="G30" s="50">
        <v>0</v>
      </c>
      <c r="H30" s="50">
        <v>0</v>
      </c>
      <c r="I30" s="50">
        <v>0</v>
      </c>
      <c r="J30" s="50">
        <v>0</v>
      </c>
      <c r="K30" s="50">
        <v>0</v>
      </c>
      <c r="L30" s="50">
        <v>0</v>
      </c>
      <c r="M30" s="50">
        <v>60</v>
      </c>
      <c r="N30" s="50">
        <v>0</v>
      </c>
      <c r="O30" s="15">
        <f t="shared" si="0"/>
        <v>15</v>
      </c>
      <c r="P30" s="15">
        <f t="shared" si="1"/>
        <v>75</v>
      </c>
    </row>
    <row r="31" spans="2:32" ht="23.1" customHeight="1" x14ac:dyDescent="0.25">
      <c r="B31" s="24" t="s">
        <v>58</v>
      </c>
      <c r="C31" s="50">
        <v>4</v>
      </c>
      <c r="D31" s="50">
        <v>2</v>
      </c>
      <c r="E31" s="50">
        <v>3</v>
      </c>
      <c r="F31" s="50">
        <v>4</v>
      </c>
      <c r="G31" s="50">
        <v>0</v>
      </c>
      <c r="H31" s="50">
        <v>0</v>
      </c>
      <c r="I31" s="50">
        <v>2</v>
      </c>
      <c r="J31" s="50">
        <v>2</v>
      </c>
      <c r="K31" s="50">
        <v>0</v>
      </c>
      <c r="L31" s="50">
        <v>0</v>
      </c>
      <c r="M31" s="50">
        <v>60</v>
      </c>
      <c r="N31" s="50">
        <v>0</v>
      </c>
      <c r="O31" s="15">
        <f t="shared" si="0"/>
        <v>17</v>
      </c>
      <c r="P31" s="15">
        <f t="shared" si="1"/>
        <v>77</v>
      </c>
    </row>
    <row r="32" spans="2:32" ht="23.1" customHeight="1" x14ac:dyDescent="0.25">
      <c r="B32" s="24" t="s">
        <v>59</v>
      </c>
      <c r="C32" s="50">
        <v>4</v>
      </c>
      <c r="D32" s="50">
        <v>1</v>
      </c>
      <c r="E32" s="50">
        <v>1</v>
      </c>
      <c r="F32" s="50">
        <v>5</v>
      </c>
      <c r="G32" s="50">
        <v>1</v>
      </c>
      <c r="H32" s="50">
        <v>0</v>
      </c>
      <c r="I32" s="50">
        <v>2</v>
      </c>
      <c r="J32" s="50">
        <v>1</v>
      </c>
      <c r="K32" s="50">
        <v>0</v>
      </c>
      <c r="L32" s="50">
        <v>0</v>
      </c>
      <c r="M32" s="50">
        <v>55</v>
      </c>
      <c r="N32" s="50">
        <v>0</v>
      </c>
      <c r="O32" s="15">
        <f t="shared" si="0"/>
        <v>15</v>
      </c>
      <c r="P32" s="15">
        <f t="shared" si="1"/>
        <v>70</v>
      </c>
    </row>
    <row r="33" spans="2:20" ht="23.1" customHeight="1" x14ac:dyDescent="0.25">
      <c r="B33" s="23" t="s">
        <v>60</v>
      </c>
      <c r="C33" s="50">
        <v>3</v>
      </c>
      <c r="D33" s="50">
        <v>2</v>
      </c>
      <c r="E33" s="50">
        <v>2</v>
      </c>
      <c r="F33" s="50">
        <v>3</v>
      </c>
      <c r="G33" s="50">
        <v>0</v>
      </c>
      <c r="H33" s="50">
        <v>0</v>
      </c>
      <c r="I33" s="50">
        <v>1</v>
      </c>
      <c r="J33" s="50">
        <v>1</v>
      </c>
      <c r="K33" s="50">
        <v>0</v>
      </c>
      <c r="L33" s="50">
        <v>0</v>
      </c>
      <c r="M33" s="50">
        <v>55</v>
      </c>
      <c r="N33" s="50">
        <v>0</v>
      </c>
      <c r="O33" s="15">
        <f t="shared" si="0"/>
        <v>12</v>
      </c>
      <c r="P33" s="15">
        <f t="shared" si="1"/>
        <v>67</v>
      </c>
    </row>
    <row r="34" spans="2:20" ht="23.1" customHeight="1" x14ac:dyDescent="0.25">
      <c r="B34" s="24" t="s">
        <v>61</v>
      </c>
      <c r="C34" s="50">
        <v>5</v>
      </c>
      <c r="D34" s="50">
        <v>3</v>
      </c>
      <c r="E34" s="50">
        <v>2</v>
      </c>
      <c r="F34" s="50">
        <v>3</v>
      </c>
      <c r="G34" s="50">
        <v>0</v>
      </c>
      <c r="H34" s="50">
        <v>0</v>
      </c>
      <c r="I34" s="50">
        <v>3</v>
      </c>
      <c r="J34" s="50">
        <v>3</v>
      </c>
      <c r="K34" s="50">
        <v>0</v>
      </c>
      <c r="L34" s="50">
        <v>0</v>
      </c>
      <c r="M34" s="50">
        <v>75</v>
      </c>
      <c r="N34" s="50">
        <v>0</v>
      </c>
      <c r="O34" s="15">
        <f t="shared" si="0"/>
        <v>19</v>
      </c>
      <c r="P34" s="15">
        <f t="shared" si="1"/>
        <v>94</v>
      </c>
    </row>
    <row r="35" spans="2:20" ht="23.1" customHeight="1" x14ac:dyDescent="0.25">
      <c r="B35" s="24" t="s">
        <v>62</v>
      </c>
      <c r="C35" s="50">
        <v>3</v>
      </c>
      <c r="D35" s="50">
        <v>2</v>
      </c>
      <c r="E35" s="50">
        <v>2</v>
      </c>
      <c r="F35" s="50">
        <v>5</v>
      </c>
      <c r="G35" s="50">
        <v>0</v>
      </c>
      <c r="H35" s="50">
        <v>0</v>
      </c>
      <c r="I35" s="50">
        <v>1</v>
      </c>
      <c r="J35" s="50">
        <v>1</v>
      </c>
      <c r="K35" s="50">
        <v>0</v>
      </c>
      <c r="L35" s="50">
        <v>0</v>
      </c>
      <c r="M35" s="50">
        <v>55</v>
      </c>
      <c r="N35" s="50">
        <v>0</v>
      </c>
      <c r="O35" s="15">
        <f t="shared" si="0"/>
        <v>14</v>
      </c>
      <c r="P35" s="15">
        <f t="shared" si="1"/>
        <v>69</v>
      </c>
    </row>
    <row r="36" spans="2:20" ht="23.1" customHeight="1" x14ac:dyDescent="0.25">
      <c r="B36" s="24" t="s">
        <v>63</v>
      </c>
      <c r="C36" s="50">
        <v>4</v>
      </c>
      <c r="D36" s="50">
        <v>2</v>
      </c>
      <c r="E36" s="50">
        <v>5</v>
      </c>
      <c r="F36" s="50">
        <v>3</v>
      </c>
      <c r="G36" s="50">
        <v>0</v>
      </c>
      <c r="H36" s="50">
        <v>0</v>
      </c>
      <c r="I36" s="50">
        <v>2</v>
      </c>
      <c r="J36" s="50">
        <v>2</v>
      </c>
      <c r="K36" s="50">
        <v>0</v>
      </c>
      <c r="L36" s="50">
        <v>0</v>
      </c>
      <c r="M36" s="50">
        <v>45</v>
      </c>
      <c r="N36" s="50">
        <v>0</v>
      </c>
      <c r="O36" s="15">
        <f t="shared" si="0"/>
        <v>18</v>
      </c>
      <c r="P36" s="15">
        <f t="shared" si="1"/>
        <v>63</v>
      </c>
    </row>
    <row r="37" spans="2:20" ht="23.1" customHeight="1" x14ac:dyDescent="0.25">
      <c r="B37" s="23" t="s">
        <v>64</v>
      </c>
      <c r="C37" s="50">
        <v>5</v>
      </c>
      <c r="D37" s="50">
        <v>3</v>
      </c>
      <c r="E37" s="50">
        <v>4</v>
      </c>
      <c r="F37" s="50">
        <v>3</v>
      </c>
      <c r="G37" s="50">
        <v>0</v>
      </c>
      <c r="H37" s="50">
        <v>0</v>
      </c>
      <c r="I37" s="50">
        <v>2</v>
      </c>
      <c r="J37" s="50">
        <v>2</v>
      </c>
      <c r="K37" s="50">
        <v>0</v>
      </c>
      <c r="L37" s="50">
        <v>0</v>
      </c>
      <c r="M37" s="50">
        <v>50</v>
      </c>
      <c r="N37" s="50">
        <v>0</v>
      </c>
      <c r="O37" s="15">
        <f t="shared" si="0"/>
        <v>19</v>
      </c>
      <c r="P37" s="15">
        <f t="shared" si="1"/>
        <v>69</v>
      </c>
    </row>
    <row r="38" spans="2:20" ht="23.1" customHeight="1" x14ac:dyDescent="0.25">
      <c r="B38" s="24" t="s">
        <v>65</v>
      </c>
      <c r="C38" s="50">
        <v>5</v>
      </c>
      <c r="D38" s="50">
        <v>3</v>
      </c>
      <c r="E38" s="50">
        <v>3</v>
      </c>
      <c r="F38" s="50">
        <v>5</v>
      </c>
      <c r="G38" s="50">
        <v>0</v>
      </c>
      <c r="H38" s="50">
        <v>0</v>
      </c>
      <c r="I38" s="50">
        <v>2</v>
      </c>
      <c r="J38" s="50">
        <v>2</v>
      </c>
      <c r="K38" s="50">
        <v>0</v>
      </c>
      <c r="L38" s="50">
        <v>0</v>
      </c>
      <c r="M38" s="50">
        <v>65</v>
      </c>
      <c r="N38" s="50">
        <v>0</v>
      </c>
      <c r="O38" s="15">
        <f t="shared" si="0"/>
        <v>20</v>
      </c>
      <c r="P38" s="15">
        <f t="shared" si="1"/>
        <v>85</v>
      </c>
    </row>
    <row r="39" spans="2:20" ht="23.1" customHeight="1" x14ac:dyDescent="0.25">
      <c r="B39" s="24" t="s">
        <v>66</v>
      </c>
      <c r="C39" s="50">
        <v>4</v>
      </c>
      <c r="D39" s="50">
        <v>2</v>
      </c>
      <c r="E39" s="50">
        <v>3</v>
      </c>
      <c r="F39" s="50">
        <v>3</v>
      </c>
      <c r="G39" s="50">
        <v>0</v>
      </c>
      <c r="H39" s="50">
        <v>0</v>
      </c>
      <c r="I39" s="50">
        <v>1</v>
      </c>
      <c r="J39" s="50">
        <v>1</v>
      </c>
      <c r="K39" s="50">
        <v>0</v>
      </c>
      <c r="L39" s="50">
        <v>0</v>
      </c>
      <c r="M39" s="50">
        <v>55</v>
      </c>
      <c r="N39" s="50">
        <v>0</v>
      </c>
      <c r="O39" s="15">
        <f t="shared" si="0"/>
        <v>14</v>
      </c>
      <c r="P39" s="15">
        <f t="shared" si="1"/>
        <v>69</v>
      </c>
    </row>
    <row r="40" spans="2:20" ht="23.1" customHeight="1" x14ac:dyDescent="0.25">
      <c r="B40" s="24" t="s">
        <v>67</v>
      </c>
      <c r="C40" s="50">
        <v>5</v>
      </c>
      <c r="D40" s="50">
        <v>3</v>
      </c>
      <c r="E40" s="50">
        <v>2</v>
      </c>
      <c r="F40" s="50">
        <v>5</v>
      </c>
      <c r="G40" s="50">
        <v>1</v>
      </c>
      <c r="H40" s="50">
        <v>0</v>
      </c>
      <c r="I40" s="50">
        <v>2</v>
      </c>
      <c r="J40" s="50">
        <v>2</v>
      </c>
      <c r="K40" s="50">
        <v>0</v>
      </c>
      <c r="L40" s="50">
        <v>0</v>
      </c>
      <c r="M40" s="50">
        <v>55</v>
      </c>
      <c r="N40" s="50">
        <v>0</v>
      </c>
      <c r="O40" s="15">
        <f t="shared" si="0"/>
        <v>20</v>
      </c>
      <c r="P40" s="15">
        <f t="shared" si="1"/>
        <v>75</v>
      </c>
    </row>
    <row r="41" spans="2:20" ht="23.1" customHeight="1" x14ac:dyDescent="0.25">
      <c r="B41" s="23" t="s">
        <v>68</v>
      </c>
      <c r="C41" s="50">
        <v>4</v>
      </c>
      <c r="D41" s="50">
        <v>3</v>
      </c>
      <c r="E41" s="50">
        <v>2</v>
      </c>
      <c r="F41" s="50">
        <v>3</v>
      </c>
      <c r="G41" s="50">
        <v>0</v>
      </c>
      <c r="H41" s="50">
        <v>0</v>
      </c>
      <c r="I41" s="50">
        <v>2</v>
      </c>
      <c r="J41" s="50">
        <v>2</v>
      </c>
      <c r="K41" s="50">
        <v>0</v>
      </c>
      <c r="L41" s="50">
        <v>0</v>
      </c>
      <c r="M41" s="50">
        <v>60</v>
      </c>
      <c r="N41" s="50">
        <v>0</v>
      </c>
      <c r="O41" s="15">
        <f t="shared" si="0"/>
        <v>16</v>
      </c>
      <c r="P41" s="15">
        <f t="shared" si="1"/>
        <v>76</v>
      </c>
    </row>
    <row r="42" spans="2:20" ht="23.1" customHeight="1" x14ac:dyDescent="0.25">
      <c r="B42" s="24" t="s">
        <v>69</v>
      </c>
      <c r="C42" s="50">
        <v>5</v>
      </c>
      <c r="D42" s="50">
        <v>3</v>
      </c>
      <c r="E42" s="50">
        <v>4</v>
      </c>
      <c r="F42" s="50">
        <v>5</v>
      </c>
      <c r="G42" s="50">
        <v>0</v>
      </c>
      <c r="H42" s="50">
        <v>0</v>
      </c>
      <c r="I42" s="50">
        <v>2</v>
      </c>
      <c r="J42" s="50">
        <v>5</v>
      </c>
      <c r="K42" s="50">
        <v>0</v>
      </c>
      <c r="L42" s="50">
        <v>0</v>
      </c>
      <c r="M42" s="50">
        <v>55</v>
      </c>
      <c r="N42" s="50">
        <v>0</v>
      </c>
      <c r="O42" s="15">
        <f t="shared" si="0"/>
        <v>24</v>
      </c>
      <c r="P42" s="15">
        <f t="shared" si="1"/>
        <v>79</v>
      </c>
    </row>
    <row r="43" spans="2:20" ht="23.1" customHeight="1" x14ac:dyDescent="0.25">
      <c r="B43" s="23" t="s">
        <v>70</v>
      </c>
      <c r="C43" s="50">
        <v>8</v>
      </c>
      <c r="D43" s="50">
        <v>2</v>
      </c>
      <c r="E43" s="50">
        <v>3</v>
      </c>
      <c r="F43" s="50">
        <v>3</v>
      </c>
      <c r="G43" s="50">
        <v>0</v>
      </c>
      <c r="H43" s="50">
        <v>0</v>
      </c>
      <c r="I43" s="50">
        <v>1</v>
      </c>
      <c r="J43" s="50">
        <v>1</v>
      </c>
      <c r="K43" s="50">
        <v>0</v>
      </c>
      <c r="L43" s="50">
        <v>0</v>
      </c>
      <c r="M43" s="50">
        <v>65</v>
      </c>
      <c r="N43" s="50">
        <v>0</v>
      </c>
      <c r="O43" s="15">
        <f t="shared" si="0"/>
        <v>18</v>
      </c>
      <c r="P43" s="15">
        <f t="shared" si="1"/>
        <v>83</v>
      </c>
    </row>
    <row r="44" spans="2:20" ht="23.1" customHeight="1" x14ac:dyDescent="0.25">
      <c r="B44" s="25" t="s">
        <v>71</v>
      </c>
      <c r="C44" s="50">
        <v>4</v>
      </c>
      <c r="D44" s="50">
        <v>5</v>
      </c>
      <c r="E44" s="50">
        <v>2</v>
      </c>
      <c r="F44" s="50">
        <v>4</v>
      </c>
      <c r="G44" s="50">
        <v>0</v>
      </c>
      <c r="H44" s="50">
        <v>0</v>
      </c>
      <c r="I44" s="50">
        <v>2</v>
      </c>
      <c r="J44" s="50">
        <v>2</v>
      </c>
      <c r="K44" s="50">
        <v>0</v>
      </c>
      <c r="L44" s="50">
        <v>0</v>
      </c>
      <c r="M44" s="50">
        <v>55</v>
      </c>
      <c r="N44" s="50">
        <v>0</v>
      </c>
      <c r="O44" s="15">
        <f t="shared" si="0"/>
        <v>19</v>
      </c>
      <c r="P44" s="15">
        <f t="shared" si="1"/>
        <v>74</v>
      </c>
    </row>
    <row r="45" spans="2:20" ht="23.1" customHeight="1" x14ac:dyDescent="0.25">
      <c r="B45" s="23" t="s">
        <v>72</v>
      </c>
      <c r="C45" s="50">
        <v>5</v>
      </c>
      <c r="D45" s="50">
        <v>2</v>
      </c>
      <c r="E45" s="50">
        <v>4</v>
      </c>
      <c r="F45" s="50">
        <v>2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65</v>
      </c>
      <c r="N45" s="50">
        <v>0</v>
      </c>
      <c r="O45" s="15">
        <f t="shared" si="0"/>
        <v>15</v>
      </c>
      <c r="P45" s="15">
        <f t="shared" si="1"/>
        <v>80</v>
      </c>
    </row>
    <row r="46" spans="2:20" ht="23.1" customHeight="1" x14ac:dyDescent="0.25">
      <c r="B46" s="24" t="s">
        <v>73</v>
      </c>
      <c r="C46" s="50">
        <v>5</v>
      </c>
      <c r="D46" s="50">
        <v>3</v>
      </c>
      <c r="E46" s="50">
        <v>2</v>
      </c>
      <c r="F46" s="50">
        <v>5</v>
      </c>
      <c r="G46" s="50">
        <v>0</v>
      </c>
      <c r="H46" s="50">
        <v>0</v>
      </c>
      <c r="I46" s="50">
        <v>2</v>
      </c>
      <c r="J46" s="50">
        <v>2</v>
      </c>
      <c r="K46" s="50">
        <v>0</v>
      </c>
      <c r="L46" s="50">
        <v>0</v>
      </c>
      <c r="M46" s="50">
        <v>55</v>
      </c>
      <c r="N46" s="50">
        <v>0</v>
      </c>
      <c r="O46" s="15">
        <f t="shared" si="0"/>
        <v>19</v>
      </c>
      <c r="P46" s="15">
        <f t="shared" si="1"/>
        <v>74</v>
      </c>
      <c r="R46" s="8"/>
      <c r="T46"/>
    </row>
    <row r="47" spans="2:20" ht="23.1" customHeight="1" x14ac:dyDescent="0.25">
      <c r="B47" s="24" t="s">
        <v>74</v>
      </c>
      <c r="C47" s="50">
        <v>4</v>
      </c>
      <c r="D47" s="50">
        <v>2</v>
      </c>
      <c r="E47" s="50">
        <v>2</v>
      </c>
      <c r="F47" s="50">
        <v>3</v>
      </c>
      <c r="G47" s="50">
        <v>0</v>
      </c>
      <c r="H47" s="50">
        <v>0</v>
      </c>
      <c r="I47" s="50">
        <v>2</v>
      </c>
      <c r="J47" s="50">
        <v>2</v>
      </c>
      <c r="K47" s="50">
        <v>0</v>
      </c>
      <c r="L47" s="50">
        <v>0</v>
      </c>
      <c r="M47" s="50">
        <v>60</v>
      </c>
      <c r="N47" s="50">
        <v>0</v>
      </c>
      <c r="O47" s="15">
        <f t="shared" si="0"/>
        <v>15</v>
      </c>
      <c r="P47" s="15">
        <f t="shared" si="1"/>
        <v>75</v>
      </c>
      <c r="R47" s="8"/>
      <c r="T47"/>
    </row>
    <row r="48" spans="2:20" ht="23.1" customHeight="1" x14ac:dyDescent="0.25">
      <c r="B48" s="24" t="s">
        <v>75</v>
      </c>
      <c r="C48" s="50">
        <v>5</v>
      </c>
      <c r="D48" s="50">
        <v>3</v>
      </c>
      <c r="E48" s="50">
        <v>2</v>
      </c>
      <c r="F48" s="50">
        <v>5</v>
      </c>
      <c r="G48" s="50">
        <v>0</v>
      </c>
      <c r="H48" s="50">
        <v>0</v>
      </c>
      <c r="I48" s="50">
        <v>1</v>
      </c>
      <c r="J48" s="50">
        <v>1</v>
      </c>
      <c r="K48" s="50">
        <v>0</v>
      </c>
      <c r="L48" s="50">
        <v>0</v>
      </c>
      <c r="M48" s="50">
        <v>50</v>
      </c>
      <c r="N48" s="50">
        <v>0</v>
      </c>
      <c r="O48" s="15">
        <f t="shared" si="0"/>
        <v>17</v>
      </c>
      <c r="P48" s="15">
        <f t="shared" si="1"/>
        <v>67</v>
      </c>
      <c r="R48" s="8"/>
      <c r="T48"/>
    </row>
    <row r="49" spans="2:20" ht="23.1" customHeight="1" x14ac:dyDescent="0.25">
      <c r="B49" s="23" t="s">
        <v>76</v>
      </c>
      <c r="C49" s="50">
        <v>4</v>
      </c>
      <c r="D49" s="50">
        <v>5</v>
      </c>
      <c r="E49" s="50">
        <v>2</v>
      </c>
      <c r="F49" s="50">
        <v>4</v>
      </c>
      <c r="G49" s="50">
        <v>0</v>
      </c>
      <c r="H49" s="50">
        <v>0</v>
      </c>
      <c r="I49" s="50">
        <v>2</v>
      </c>
      <c r="J49" s="50">
        <v>2</v>
      </c>
      <c r="K49" s="50">
        <v>0</v>
      </c>
      <c r="L49" s="50">
        <v>0</v>
      </c>
      <c r="M49" s="50">
        <v>55</v>
      </c>
      <c r="N49" s="50">
        <v>0</v>
      </c>
      <c r="O49" s="15">
        <f t="shared" si="0"/>
        <v>19</v>
      </c>
      <c r="P49" s="15">
        <f t="shared" si="1"/>
        <v>74</v>
      </c>
      <c r="R49" s="8"/>
      <c r="T49"/>
    </row>
    <row r="50" spans="2:20" ht="23.1" customHeight="1" x14ac:dyDescent="0.25">
      <c r="B50" s="24" t="s">
        <v>77</v>
      </c>
      <c r="C50" s="50">
        <v>5</v>
      </c>
      <c r="D50" s="50">
        <v>3</v>
      </c>
      <c r="E50" s="50">
        <v>2</v>
      </c>
      <c r="F50" s="50">
        <v>4</v>
      </c>
      <c r="G50" s="50">
        <v>0</v>
      </c>
      <c r="H50" s="50">
        <v>0</v>
      </c>
      <c r="I50" s="50">
        <v>2</v>
      </c>
      <c r="J50" s="50">
        <v>2</v>
      </c>
      <c r="K50" s="50">
        <v>0</v>
      </c>
      <c r="L50" s="50">
        <v>0</v>
      </c>
      <c r="M50" s="50">
        <v>60</v>
      </c>
      <c r="N50" s="50">
        <v>0</v>
      </c>
      <c r="O50" s="15">
        <f t="shared" si="0"/>
        <v>18</v>
      </c>
      <c r="P50" s="15">
        <f t="shared" si="1"/>
        <v>78</v>
      </c>
      <c r="R50" s="8"/>
      <c r="T50"/>
    </row>
    <row r="51" spans="2:20" ht="23.1" customHeight="1" x14ac:dyDescent="0.25">
      <c r="B51" s="24" t="s">
        <v>78</v>
      </c>
      <c r="C51" s="50">
        <v>4</v>
      </c>
      <c r="D51" s="50">
        <v>2</v>
      </c>
      <c r="E51" s="50">
        <v>3</v>
      </c>
      <c r="F51" s="50">
        <v>5</v>
      </c>
      <c r="G51" s="50">
        <v>0</v>
      </c>
      <c r="H51" s="50">
        <v>0</v>
      </c>
      <c r="I51" s="50">
        <v>2</v>
      </c>
      <c r="J51" s="50">
        <v>2</v>
      </c>
      <c r="K51" s="50">
        <v>0</v>
      </c>
      <c r="L51" s="50">
        <v>0</v>
      </c>
      <c r="M51" s="50">
        <v>60</v>
      </c>
      <c r="N51" s="50">
        <v>0</v>
      </c>
      <c r="O51" s="15">
        <f t="shared" si="0"/>
        <v>18</v>
      </c>
      <c r="P51" s="15">
        <f t="shared" si="1"/>
        <v>78</v>
      </c>
      <c r="R51" s="8"/>
      <c r="T51"/>
    </row>
    <row r="52" spans="2:20" ht="23.1" customHeight="1" x14ac:dyDescent="0.25">
      <c r="B52" s="24" t="s">
        <v>79</v>
      </c>
      <c r="C52" s="50">
        <v>5</v>
      </c>
      <c r="D52" s="50">
        <v>3</v>
      </c>
      <c r="E52" s="50">
        <v>2</v>
      </c>
      <c r="F52" s="50">
        <v>4</v>
      </c>
      <c r="G52" s="50">
        <v>0</v>
      </c>
      <c r="H52" s="50">
        <v>0</v>
      </c>
      <c r="I52" s="50">
        <v>1</v>
      </c>
      <c r="J52" s="50">
        <v>1</v>
      </c>
      <c r="K52" s="50">
        <v>0</v>
      </c>
      <c r="L52" s="50">
        <v>0</v>
      </c>
      <c r="M52" s="50">
        <v>51</v>
      </c>
      <c r="N52" s="50">
        <v>0</v>
      </c>
      <c r="O52" s="15">
        <f t="shared" si="0"/>
        <v>16</v>
      </c>
      <c r="P52" s="15">
        <f t="shared" si="1"/>
        <v>67</v>
      </c>
      <c r="R52" s="8"/>
      <c r="T52"/>
    </row>
    <row r="53" spans="2:20" ht="23.1" customHeight="1" x14ac:dyDescent="0.25">
      <c r="B53" s="23" t="s">
        <v>80</v>
      </c>
      <c r="C53" s="50">
        <v>4</v>
      </c>
      <c r="D53" s="50">
        <v>2</v>
      </c>
      <c r="E53" s="50">
        <v>4</v>
      </c>
      <c r="F53" s="50">
        <v>3</v>
      </c>
      <c r="G53" s="50">
        <v>0</v>
      </c>
      <c r="H53" s="50">
        <v>0</v>
      </c>
      <c r="I53" s="50">
        <v>0</v>
      </c>
      <c r="J53" s="50">
        <v>0</v>
      </c>
      <c r="K53" s="50">
        <v>0</v>
      </c>
      <c r="L53" s="50">
        <v>0</v>
      </c>
      <c r="M53" s="50">
        <v>60</v>
      </c>
      <c r="N53" s="50">
        <v>0</v>
      </c>
      <c r="O53" s="15">
        <f t="shared" si="0"/>
        <v>13</v>
      </c>
      <c r="P53" s="15">
        <f t="shared" si="1"/>
        <v>73</v>
      </c>
      <c r="R53" s="8"/>
      <c r="T53"/>
    </row>
    <row r="54" spans="2:20" ht="23.1" customHeight="1" x14ac:dyDescent="0.25">
      <c r="B54" s="23" t="s">
        <v>81</v>
      </c>
      <c r="C54" s="50">
        <v>5</v>
      </c>
      <c r="D54" s="50">
        <v>3</v>
      </c>
      <c r="E54" s="50">
        <v>2</v>
      </c>
      <c r="F54" s="50">
        <v>7</v>
      </c>
      <c r="G54" s="50">
        <v>0</v>
      </c>
      <c r="H54" s="50">
        <v>1</v>
      </c>
      <c r="I54" s="50">
        <v>2</v>
      </c>
      <c r="J54" s="50">
        <v>2</v>
      </c>
      <c r="K54" s="50">
        <v>0</v>
      </c>
      <c r="L54" s="50">
        <v>0</v>
      </c>
      <c r="M54" s="50">
        <v>60</v>
      </c>
      <c r="N54" s="50">
        <v>0</v>
      </c>
      <c r="O54" s="15">
        <f t="shared" si="0"/>
        <v>22</v>
      </c>
      <c r="P54" s="15">
        <f t="shared" si="1"/>
        <v>82</v>
      </c>
      <c r="R54" s="8"/>
      <c r="T54"/>
    </row>
    <row r="55" spans="2:20" ht="23.1" customHeight="1" x14ac:dyDescent="0.25">
      <c r="B55" s="23" t="s">
        <v>82</v>
      </c>
      <c r="C55" s="50">
        <v>4</v>
      </c>
      <c r="D55" s="50">
        <v>3</v>
      </c>
      <c r="E55" s="50">
        <v>2</v>
      </c>
      <c r="F55" s="50">
        <v>4</v>
      </c>
      <c r="G55" s="50">
        <v>0</v>
      </c>
      <c r="H55" s="50">
        <v>0</v>
      </c>
      <c r="I55" s="50">
        <v>1</v>
      </c>
      <c r="J55" s="50">
        <v>1</v>
      </c>
      <c r="K55" s="50">
        <v>0</v>
      </c>
      <c r="L55" s="50">
        <v>0</v>
      </c>
      <c r="M55" s="50">
        <v>55</v>
      </c>
      <c r="N55" s="50">
        <v>0</v>
      </c>
      <c r="O55" s="15">
        <f t="shared" si="0"/>
        <v>15</v>
      </c>
      <c r="P55" s="15">
        <f t="shared" si="1"/>
        <v>70</v>
      </c>
      <c r="R55" s="8"/>
      <c r="T55"/>
    </row>
    <row r="56" spans="2:20" ht="23.1" customHeight="1" x14ac:dyDescent="0.25">
      <c r="B56" s="23" t="s">
        <v>83</v>
      </c>
      <c r="C56" s="50">
        <v>5</v>
      </c>
      <c r="D56" s="50">
        <v>2</v>
      </c>
      <c r="E56" s="50">
        <v>3</v>
      </c>
      <c r="F56" s="50">
        <v>2</v>
      </c>
      <c r="G56" s="50">
        <v>0</v>
      </c>
      <c r="H56" s="50">
        <v>0</v>
      </c>
      <c r="I56" s="50">
        <v>2</v>
      </c>
      <c r="J56" s="50">
        <v>2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16</v>
      </c>
      <c r="P56" s="15">
        <f t="shared" si="1"/>
        <v>76</v>
      </c>
      <c r="R56" s="8"/>
      <c r="T56"/>
    </row>
    <row r="57" spans="2:20" ht="23.1" customHeight="1" x14ac:dyDescent="0.25">
      <c r="B57" s="23" t="s">
        <v>84</v>
      </c>
      <c r="C57" s="50">
        <v>3</v>
      </c>
      <c r="D57" s="50">
        <v>4</v>
      </c>
      <c r="E57" s="50">
        <v>3</v>
      </c>
      <c r="F57" s="50">
        <v>2</v>
      </c>
      <c r="G57" s="50">
        <v>0</v>
      </c>
      <c r="H57" s="50">
        <v>0</v>
      </c>
      <c r="I57" s="50">
        <v>3</v>
      </c>
      <c r="J57" s="50">
        <v>2</v>
      </c>
      <c r="K57" s="50">
        <v>0</v>
      </c>
      <c r="L57" s="50">
        <v>0</v>
      </c>
      <c r="M57" s="50">
        <v>50</v>
      </c>
      <c r="N57" s="50">
        <v>0</v>
      </c>
      <c r="O57" s="15">
        <f t="shared" si="0"/>
        <v>17</v>
      </c>
      <c r="P57" s="15">
        <f t="shared" si="1"/>
        <v>67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227</v>
      </c>
      <c r="D58" s="16">
        <f t="shared" si="21"/>
        <v>137</v>
      </c>
      <c r="E58" s="16">
        <f t="shared" si="21"/>
        <v>129</v>
      </c>
      <c r="F58" s="16">
        <f t="shared" si="21"/>
        <v>198</v>
      </c>
      <c r="G58" s="16">
        <f t="shared" si="21"/>
        <v>4</v>
      </c>
      <c r="H58" s="16">
        <f t="shared" si="21"/>
        <v>1</v>
      </c>
      <c r="I58" s="16">
        <f t="shared" si="21"/>
        <v>85</v>
      </c>
      <c r="J58" s="16">
        <f t="shared" si="21"/>
        <v>80</v>
      </c>
      <c r="K58" s="16">
        <f t="shared" si="21"/>
        <v>0</v>
      </c>
      <c r="L58" s="16">
        <f t="shared" si="21"/>
        <v>0</v>
      </c>
      <c r="M58" s="16">
        <f t="shared" si="21"/>
        <v>2876</v>
      </c>
      <c r="N58" s="16">
        <f t="shared" si="21"/>
        <v>0</v>
      </c>
      <c r="O58" s="16">
        <f t="shared" si="21"/>
        <v>861</v>
      </c>
      <c r="P58" s="16">
        <f t="shared" si="21"/>
        <v>3737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6.0743912229060747E-2</v>
      </c>
      <c r="D59" s="43">
        <f t="shared" si="22"/>
        <v>3.6660422799036661E-2</v>
      </c>
      <c r="E59" s="43">
        <f t="shared" si="22"/>
        <v>3.4519668183034521E-2</v>
      </c>
      <c r="F59" s="43">
        <f t="shared" si="22"/>
        <v>5.2983676746052984E-2</v>
      </c>
      <c r="G59" s="43">
        <f t="shared" si="22"/>
        <v>1.0703773080010704E-3</v>
      </c>
      <c r="H59" s="43">
        <f t="shared" si="22"/>
        <v>2.6759432700026759E-4</v>
      </c>
      <c r="I59" s="43">
        <f t="shared" si="22"/>
        <v>2.2745517795022745E-2</v>
      </c>
      <c r="J59" s="43">
        <f t="shared" si="22"/>
        <v>2.1407546160021409E-2</v>
      </c>
      <c r="K59" s="43">
        <f t="shared" si="22"/>
        <v>0</v>
      </c>
      <c r="L59" s="43">
        <f t="shared" si="22"/>
        <v>0</v>
      </c>
      <c r="M59" s="43">
        <f t="shared" si="22"/>
        <v>0.76960128445276965</v>
      </c>
      <c r="N59" s="43">
        <f t="shared" si="22"/>
        <v>0</v>
      </c>
      <c r="R59" s="8"/>
      <c r="T59"/>
    </row>
    <row r="60" spans="2:20" ht="23.1" customHeight="1" x14ac:dyDescent="0.25">
      <c r="B60" s="42" t="s">
        <v>94</v>
      </c>
      <c r="C60" s="44">
        <f>C58/$O$58</f>
        <v>0.26364692218350755</v>
      </c>
      <c r="D60" s="44">
        <f t="shared" ref="D60:N60" si="23">D58/$O$58</f>
        <v>0.15911730545876887</v>
      </c>
      <c r="E60" s="44">
        <f t="shared" si="23"/>
        <v>0.14982578397212543</v>
      </c>
      <c r="F60" s="44">
        <f t="shared" si="23"/>
        <v>0.22996515679442509</v>
      </c>
      <c r="G60" s="44">
        <f t="shared" si="23"/>
        <v>4.6457607433217189E-3</v>
      </c>
      <c r="H60" s="44">
        <f t="shared" si="23"/>
        <v>1.1614401858304297E-3</v>
      </c>
      <c r="I60" s="44">
        <f t="shared" si="23"/>
        <v>9.8722415795586521E-2</v>
      </c>
      <c r="J60" s="44">
        <f t="shared" si="23"/>
        <v>9.2915214866434379E-2</v>
      </c>
      <c r="K60" s="44">
        <f t="shared" si="23"/>
        <v>0</v>
      </c>
      <c r="L60" s="44">
        <f t="shared" si="23"/>
        <v>0</v>
      </c>
      <c r="M60" s="44"/>
      <c r="N60" s="44">
        <f t="shared" si="23"/>
        <v>0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5:L5"/>
    <mergeCell ref="K6:L6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F126"/>
  <sheetViews>
    <sheetView view="pageBreakPreview" zoomScale="60" workbookViewId="0">
      <selection activeCell="M57" sqref="M57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'22.08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36" t="str">
        <f>'28.08 Iganga-Kaliro'!D5</f>
        <v>28.08.19</v>
      </c>
      <c r="E5" s="3"/>
      <c r="F5" s="41" t="s">
        <v>1</v>
      </c>
      <c r="G5" s="61" t="str">
        <f>'28.08 Iganga-Kaliro'!G5:H5</f>
        <v>Kigulu</v>
      </c>
      <c r="H5" s="62"/>
      <c r="I5" s="14"/>
      <c r="J5" s="2" t="s">
        <v>5</v>
      </c>
      <c r="K5" s="61" t="str">
        <f>'28.08 Iganga-Kaliro'!K5:L5</f>
        <v>Racheal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'22.08 Kaliro-Iganga'!D6:E6</f>
        <v>Kaliro</v>
      </c>
      <c r="E6" s="62"/>
      <c r="F6" s="2" t="s">
        <v>2</v>
      </c>
      <c r="G6" s="61" t="str">
        <f>'22.08 Kaliro-Iganga'!G6:H6</f>
        <v>Iganga</v>
      </c>
      <c r="H6" s="62"/>
      <c r="J6" s="2" t="s">
        <v>21</v>
      </c>
      <c r="K6" s="61" t="str">
        <f>'28.08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50">
        <v>3</v>
      </c>
      <c r="D10" s="50">
        <v>2</v>
      </c>
      <c r="E10" s="50">
        <v>0</v>
      </c>
      <c r="F10" s="50">
        <v>6</v>
      </c>
      <c r="G10" s="50">
        <v>0</v>
      </c>
      <c r="H10" s="50">
        <v>1</v>
      </c>
      <c r="I10" s="50">
        <v>2</v>
      </c>
      <c r="J10" s="50">
        <v>0</v>
      </c>
      <c r="K10" s="50">
        <v>0</v>
      </c>
      <c r="L10" s="50">
        <v>0</v>
      </c>
      <c r="M10" s="50">
        <v>60</v>
      </c>
      <c r="N10" s="50">
        <v>0</v>
      </c>
      <c r="O10" s="15">
        <f t="shared" ref="O10:O57" si="0">SUM(C10:L10,N10)</f>
        <v>14</v>
      </c>
      <c r="P10" s="15">
        <f t="shared" ref="P10:P57" si="1">SUM(C10:N10)</f>
        <v>74</v>
      </c>
      <c r="R10" s="1" t="s">
        <v>6</v>
      </c>
      <c r="S10" s="17">
        <f t="shared" ref="S10:AF10" si="2">SUM(C10:C13)</f>
        <v>11</v>
      </c>
      <c r="T10" s="17">
        <f t="shared" si="2"/>
        <v>4</v>
      </c>
      <c r="U10" s="17">
        <f t="shared" si="2"/>
        <v>3</v>
      </c>
      <c r="V10" s="17">
        <f t="shared" si="2"/>
        <v>17</v>
      </c>
      <c r="W10" s="17">
        <f t="shared" si="2"/>
        <v>0</v>
      </c>
      <c r="X10" s="17">
        <f t="shared" si="2"/>
        <v>1</v>
      </c>
      <c r="Y10" s="17">
        <f t="shared" si="2"/>
        <v>6</v>
      </c>
      <c r="Z10" s="17">
        <f t="shared" si="2"/>
        <v>2</v>
      </c>
      <c r="AA10" s="17">
        <f t="shared" si="2"/>
        <v>0</v>
      </c>
      <c r="AB10" s="17">
        <f t="shared" si="2"/>
        <v>0</v>
      </c>
      <c r="AC10" s="17">
        <f t="shared" si="2"/>
        <v>247</v>
      </c>
      <c r="AD10" s="17">
        <f t="shared" si="2"/>
        <v>0</v>
      </c>
      <c r="AE10" s="31">
        <f t="shared" si="2"/>
        <v>44</v>
      </c>
      <c r="AF10" s="31">
        <f t="shared" si="2"/>
        <v>291</v>
      </c>
    </row>
    <row r="11" spans="2:32" s="6" customFormat="1" ht="23.1" customHeight="1" x14ac:dyDescent="0.25">
      <c r="B11" s="23" t="s">
        <v>38</v>
      </c>
      <c r="C11" s="50">
        <v>1</v>
      </c>
      <c r="D11" s="50">
        <v>0</v>
      </c>
      <c r="E11" s="50">
        <v>3</v>
      </c>
      <c r="F11" s="50">
        <v>4</v>
      </c>
      <c r="G11" s="50">
        <v>0</v>
      </c>
      <c r="H11" s="50">
        <v>0</v>
      </c>
      <c r="I11" s="50">
        <v>0</v>
      </c>
      <c r="J11" s="50">
        <v>2</v>
      </c>
      <c r="K11" s="50">
        <v>0</v>
      </c>
      <c r="L11" s="50">
        <v>0</v>
      </c>
      <c r="M11" s="50">
        <v>64</v>
      </c>
      <c r="N11" s="50">
        <v>0</v>
      </c>
      <c r="O11" s="15">
        <f t="shared" si="0"/>
        <v>10</v>
      </c>
      <c r="P11" s="15">
        <f t="shared" si="1"/>
        <v>74</v>
      </c>
      <c r="R11" s="1" t="s">
        <v>7</v>
      </c>
      <c r="S11" s="17">
        <f t="shared" ref="S11:AF11" si="3">SUM(C14:C17)</f>
        <v>12</v>
      </c>
      <c r="T11" s="17">
        <f t="shared" si="3"/>
        <v>0</v>
      </c>
      <c r="U11" s="17">
        <f t="shared" si="3"/>
        <v>4</v>
      </c>
      <c r="V11" s="17">
        <f t="shared" si="3"/>
        <v>6</v>
      </c>
      <c r="W11" s="17">
        <f t="shared" si="3"/>
        <v>0</v>
      </c>
      <c r="X11" s="17">
        <f t="shared" si="3"/>
        <v>0</v>
      </c>
      <c r="Y11" s="17">
        <f t="shared" si="3"/>
        <v>7</v>
      </c>
      <c r="Z11" s="17">
        <f t="shared" si="3"/>
        <v>0</v>
      </c>
      <c r="AA11" s="17">
        <f t="shared" si="3"/>
        <v>3</v>
      </c>
      <c r="AB11" s="17">
        <f t="shared" si="3"/>
        <v>0</v>
      </c>
      <c r="AC11" s="17">
        <f t="shared" si="3"/>
        <v>231</v>
      </c>
      <c r="AD11" s="17">
        <f t="shared" si="3"/>
        <v>0</v>
      </c>
      <c r="AE11" s="31">
        <f t="shared" si="3"/>
        <v>32</v>
      </c>
      <c r="AF11" s="31">
        <f t="shared" si="3"/>
        <v>263</v>
      </c>
    </row>
    <row r="12" spans="2:32" ht="23.1" customHeight="1" x14ac:dyDescent="0.25">
      <c r="B12" s="23" t="s">
        <v>39</v>
      </c>
      <c r="C12" s="50">
        <v>4</v>
      </c>
      <c r="D12" s="50">
        <v>1</v>
      </c>
      <c r="E12" s="50">
        <v>0</v>
      </c>
      <c r="F12" s="50">
        <v>4</v>
      </c>
      <c r="G12" s="50">
        <v>0</v>
      </c>
      <c r="H12" s="50">
        <v>0</v>
      </c>
      <c r="I12" s="50">
        <v>3</v>
      </c>
      <c r="J12" s="50">
        <v>0</v>
      </c>
      <c r="K12" s="50">
        <v>0</v>
      </c>
      <c r="L12" s="50">
        <v>0</v>
      </c>
      <c r="M12" s="50">
        <v>59</v>
      </c>
      <c r="N12" s="50">
        <v>0</v>
      </c>
      <c r="O12" s="15">
        <f t="shared" si="0"/>
        <v>12</v>
      </c>
      <c r="P12" s="15">
        <f t="shared" si="1"/>
        <v>71</v>
      </c>
      <c r="R12" s="1" t="s">
        <v>8</v>
      </c>
      <c r="S12" s="17">
        <f t="shared" ref="S12:AF12" si="4">SUM(C18:C21)</f>
        <v>5</v>
      </c>
      <c r="T12" s="17">
        <f t="shared" si="4"/>
        <v>10</v>
      </c>
      <c r="U12" s="17">
        <f t="shared" si="4"/>
        <v>6</v>
      </c>
      <c r="V12" s="17">
        <f t="shared" si="4"/>
        <v>31</v>
      </c>
      <c r="W12" s="17">
        <f t="shared" si="4"/>
        <v>1</v>
      </c>
      <c r="X12" s="17">
        <f t="shared" si="4"/>
        <v>0</v>
      </c>
      <c r="Y12" s="17">
        <f t="shared" si="4"/>
        <v>6</v>
      </c>
      <c r="Z12" s="17">
        <f t="shared" si="4"/>
        <v>1</v>
      </c>
      <c r="AA12" s="17">
        <f t="shared" si="4"/>
        <v>0</v>
      </c>
      <c r="AB12" s="17">
        <f t="shared" si="4"/>
        <v>0</v>
      </c>
      <c r="AC12" s="17">
        <f t="shared" si="4"/>
        <v>267</v>
      </c>
      <c r="AD12" s="17">
        <f t="shared" si="4"/>
        <v>0</v>
      </c>
      <c r="AE12" s="31">
        <f t="shared" si="4"/>
        <v>60</v>
      </c>
      <c r="AF12" s="31">
        <f t="shared" si="4"/>
        <v>327</v>
      </c>
    </row>
    <row r="13" spans="2:32" ht="23.1" customHeight="1" x14ac:dyDescent="0.25">
      <c r="B13" s="23" t="s">
        <v>40</v>
      </c>
      <c r="C13" s="50">
        <v>3</v>
      </c>
      <c r="D13" s="50">
        <v>1</v>
      </c>
      <c r="E13" s="50">
        <v>0</v>
      </c>
      <c r="F13" s="50">
        <v>3</v>
      </c>
      <c r="G13" s="50">
        <v>0</v>
      </c>
      <c r="H13" s="50">
        <v>0</v>
      </c>
      <c r="I13" s="50">
        <v>1</v>
      </c>
      <c r="J13" s="50">
        <v>0</v>
      </c>
      <c r="K13" s="50">
        <v>0</v>
      </c>
      <c r="L13" s="50">
        <v>0</v>
      </c>
      <c r="M13" s="50">
        <v>64</v>
      </c>
      <c r="N13" s="50">
        <v>0</v>
      </c>
      <c r="O13" s="15">
        <f t="shared" si="0"/>
        <v>8</v>
      </c>
      <c r="P13" s="15">
        <f t="shared" si="1"/>
        <v>72</v>
      </c>
      <c r="R13" s="1" t="s">
        <v>9</v>
      </c>
      <c r="S13" s="17">
        <f t="shared" ref="S13:AF13" si="5">SUM(C22:C25)</f>
        <v>11</v>
      </c>
      <c r="T13" s="17">
        <f t="shared" si="5"/>
        <v>6</v>
      </c>
      <c r="U13" s="17">
        <f t="shared" si="5"/>
        <v>6</v>
      </c>
      <c r="V13" s="17">
        <f t="shared" si="5"/>
        <v>14</v>
      </c>
      <c r="W13" s="17">
        <f t="shared" si="5"/>
        <v>0</v>
      </c>
      <c r="X13" s="17">
        <f t="shared" si="5"/>
        <v>0</v>
      </c>
      <c r="Y13" s="17">
        <f t="shared" si="5"/>
        <v>6</v>
      </c>
      <c r="Z13" s="17">
        <f t="shared" si="5"/>
        <v>1</v>
      </c>
      <c r="AA13" s="17">
        <f t="shared" si="5"/>
        <v>1</v>
      </c>
      <c r="AB13" s="17">
        <f t="shared" si="5"/>
        <v>0</v>
      </c>
      <c r="AC13" s="17">
        <f t="shared" si="5"/>
        <v>249</v>
      </c>
      <c r="AD13" s="17">
        <f t="shared" si="5"/>
        <v>1</v>
      </c>
      <c r="AE13" s="31">
        <f t="shared" si="5"/>
        <v>46</v>
      </c>
      <c r="AF13" s="31">
        <f t="shared" si="5"/>
        <v>295</v>
      </c>
    </row>
    <row r="14" spans="2:32" ht="23.1" customHeight="1" x14ac:dyDescent="0.25">
      <c r="B14" s="23" t="s">
        <v>41</v>
      </c>
      <c r="C14" s="50">
        <v>6</v>
      </c>
      <c r="D14" s="50">
        <v>0</v>
      </c>
      <c r="E14" s="50">
        <v>1</v>
      </c>
      <c r="F14" s="50">
        <v>2</v>
      </c>
      <c r="G14" s="50">
        <v>0</v>
      </c>
      <c r="H14" s="50">
        <v>0</v>
      </c>
      <c r="I14" s="50">
        <v>3</v>
      </c>
      <c r="J14" s="50">
        <v>0</v>
      </c>
      <c r="K14" s="50">
        <v>2</v>
      </c>
      <c r="L14" s="50">
        <v>0</v>
      </c>
      <c r="M14" s="50">
        <v>54</v>
      </c>
      <c r="N14" s="50">
        <v>0</v>
      </c>
      <c r="O14" s="15">
        <f t="shared" si="0"/>
        <v>14</v>
      </c>
      <c r="P14" s="15">
        <f t="shared" si="1"/>
        <v>68</v>
      </c>
      <c r="R14" s="1" t="s">
        <v>10</v>
      </c>
      <c r="S14" s="17">
        <f t="shared" ref="S14:AF14" si="6">SUM(C26:C29)</f>
        <v>20</v>
      </c>
      <c r="T14" s="17">
        <f t="shared" si="6"/>
        <v>1</v>
      </c>
      <c r="U14" s="17">
        <f t="shared" si="6"/>
        <v>2</v>
      </c>
      <c r="V14" s="17">
        <f t="shared" si="6"/>
        <v>6</v>
      </c>
      <c r="W14" s="17">
        <f t="shared" si="6"/>
        <v>0</v>
      </c>
      <c r="X14" s="17">
        <f t="shared" si="6"/>
        <v>0</v>
      </c>
      <c r="Y14" s="17">
        <f t="shared" si="6"/>
        <v>3</v>
      </c>
      <c r="Z14" s="17">
        <f t="shared" si="6"/>
        <v>4</v>
      </c>
      <c r="AA14" s="17">
        <f t="shared" si="6"/>
        <v>0</v>
      </c>
      <c r="AB14" s="17">
        <f t="shared" si="6"/>
        <v>0</v>
      </c>
      <c r="AC14" s="17">
        <f t="shared" si="6"/>
        <v>285</v>
      </c>
      <c r="AD14" s="17">
        <f t="shared" si="6"/>
        <v>0</v>
      </c>
      <c r="AE14" s="31">
        <f t="shared" si="6"/>
        <v>36</v>
      </c>
      <c r="AF14" s="31">
        <f t="shared" si="6"/>
        <v>321</v>
      </c>
    </row>
    <row r="15" spans="2:32" ht="23.1" customHeight="1" x14ac:dyDescent="0.25">
      <c r="B15" s="23" t="s">
        <v>42</v>
      </c>
      <c r="C15" s="50">
        <v>3</v>
      </c>
      <c r="D15" s="50">
        <v>0</v>
      </c>
      <c r="E15" s="50">
        <v>2</v>
      </c>
      <c r="F15" s="50">
        <v>1</v>
      </c>
      <c r="G15" s="50">
        <v>0</v>
      </c>
      <c r="H15" s="50">
        <v>0</v>
      </c>
      <c r="I15" s="50">
        <v>1</v>
      </c>
      <c r="J15" s="50">
        <v>0</v>
      </c>
      <c r="K15" s="50">
        <v>0</v>
      </c>
      <c r="L15" s="50">
        <v>0</v>
      </c>
      <c r="M15" s="50">
        <v>55</v>
      </c>
      <c r="N15" s="50">
        <v>0</v>
      </c>
      <c r="O15" s="15">
        <f t="shared" si="0"/>
        <v>7</v>
      </c>
      <c r="P15" s="15">
        <f t="shared" si="1"/>
        <v>62</v>
      </c>
      <c r="R15" s="1" t="s">
        <v>11</v>
      </c>
      <c r="S15" s="17">
        <f t="shared" ref="S15:AF15" si="7">SUM(C30:C33)</f>
        <v>11</v>
      </c>
      <c r="T15" s="17">
        <f t="shared" si="7"/>
        <v>7</v>
      </c>
      <c r="U15" s="17">
        <f t="shared" si="7"/>
        <v>3</v>
      </c>
      <c r="V15" s="17">
        <f t="shared" si="7"/>
        <v>15</v>
      </c>
      <c r="W15" s="17">
        <f t="shared" si="7"/>
        <v>2</v>
      </c>
      <c r="X15" s="17">
        <f t="shared" si="7"/>
        <v>0</v>
      </c>
      <c r="Y15" s="17">
        <f t="shared" si="7"/>
        <v>4</v>
      </c>
      <c r="Z15" s="17">
        <f t="shared" si="7"/>
        <v>4</v>
      </c>
      <c r="AA15" s="17">
        <f t="shared" si="7"/>
        <v>0</v>
      </c>
      <c r="AB15" s="17">
        <f t="shared" si="7"/>
        <v>1</v>
      </c>
      <c r="AC15" s="17">
        <f t="shared" si="7"/>
        <v>281</v>
      </c>
      <c r="AD15" s="17">
        <f t="shared" si="7"/>
        <v>0</v>
      </c>
      <c r="AE15" s="31">
        <f t="shared" si="7"/>
        <v>47</v>
      </c>
      <c r="AF15" s="31">
        <f t="shared" si="7"/>
        <v>328</v>
      </c>
    </row>
    <row r="16" spans="2:32" ht="23.1" customHeight="1" x14ac:dyDescent="0.25">
      <c r="B16" s="23" t="s">
        <v>43</v>
      </c>
      <c r="C16" s="50">
        <v>2</v>
      </c>
      <c r="D16" s="50">
        <v>0</v>
      </c>
      <c r="E16" s="50">
        <v>0</v>
      </c>
      <c r="F16" s="50">
        <v>1</v>
      </c>
      <c r="G16" s="50">
        <v>0</v>
      </c>
      <c r="H16" s="50">
        <v>0</v>
      </c>
      <c r="I16" s="50">
        <v>2</v>
      </c>
      <c r="J16" s="50">
        <v>0</v>
      </c>
      <c r="K16" s="50">
        <v>1</v>
      </c>
      <c r="L16" s="50">
        <v>0</v>
      </c>
      <c r="M16" s="50">
        <v>59</v>
      </c>
      <c r="N16" s="50">
        <v>0</v>
      </c>
      <c r="O16" s="15">
        <f t="shared" si="0"/>
        <v>6</v>
      </c>
      <c r="P16" s="15">
        <f t="shared" si="1"/>
        <v>65</v>
      </c>
      <c r="R16" s="1" t="s">
        <v>12</v>
      </c>
      <c r="S16" s="17">
        <f t="shared" ref="S16:AF16" si="8">SUM(C34:C37)</f>
        <v>9</v>
      </c>
      <c r="T16" s="17">
        <f t="shared" si="8"/>
        <v>5</v>
      </c>
      <c r="U16" s="17">
        <f t="shared" si="8"/>
        <v>4</v>
      </c>
      <c r="V16" s="17">
        <f t="shared" si="8"/>
        <v>15</v>
      </c>
      <c r="W16" s="17">
        <f t="shared" si="8"/>
        <v>0</v>
      </c>
      <c r="X16" s="17">
        <f t="shared" si="8"/>
        <v>0</v>
      </c>
      <c r="Y16" s="17">
        <f t="shared" si="8"/>
        <v>9</v>
      </c>
      <c r="Z16" s="17">
        <f t="shared" si="8"/>
        <v>4</v>
      </c>
      <c r="AA16" s="17">
        <f t="shared" si="8"/>
        <v>1</v>
      </c>
      <c r="AB16" s="17">
        <f t="shared" si="8"/>
        <v>0</v>
      </c>
      <c r="AC16" s="17">
        <f t="shared" si="8"/>
        <v>270</v>
      </c>
      <c r="AD16" s="17">
        <f t="shared" si="8"/>
        <v>0</v>
      </c>
      <c r="AE16" s="31">
        <f t="shared" si="8"/>
        <v>47</v>
      </c>
      <c r="AF16" s="31">
        <f t="shared" si="8"/>
        <v>317</v>
      </c>
    </row>
    <row r="17" spans="2:32" ht="23.1" customHeight="1" x14ac:dyDescent="0.25">
      <c r="B17" s="23" t="s">
        <v>44</v>
      </c>
      <c r="C17" s="50">
        <v>1</v>
      </c>
      <c r="D17" s="50">
        <v>0</v>
      </c>
      <c r="E17" s="50">
        <v>1</v>
      </c>
      <c r="F17" s="50">
        <v>2</v>
      </c>
      <c r="G17" s="50">
        <v>0</v>
      </c>
      <c r="H17" s="50">
        <v>0</v>
      </c>
      <c r="I17" s="50">
        <v>1</v>
      </c>
      <c r="J17" s="50">
        <v>0</v>
      </c>
      <c r="K17" s="50">
        <v>0</v>
      </c>
      <c r="L17" s="50">
        <v>0</v>
      </c>
      <c r="M17" s="50">
        <v>63</v>
      </c>
      <c r="N17" s="50">
        <v>0</v>
      </c>
      <c r="O17" s="15">
        <f t="shared" si="0"/>
        <v>5</v>
      </c>
      <c r="P17" s="15">
        <f t="shared" si="1"/>
        <v>68</v>
      </c>
      <c r="R17" s="1" t="s">
        <v>13</v>
      </c>
      <c r="S17" s="17">
        <f t="shared" ref="S17:AF17" si="9">SUM(C38:C41)</f>
        <v>11</v>
      </c>
      <c r="T17" s="17">
        <f t="shared" si="9"/>
        <v>2</v>
      </c>
      <c r="U17" s="17">
        <f t="shared" si="9"/>
        <v>0</v>
      </c>
      <c r="V17" s="17">
        <f t="shared" si="9"/>
        <v>8</v>
      </c>
      <c r="W17" s="17">
        <f t="shared" si="9"/>
        <v>0</v>
      </c>
      <c r="X17" s="17">
        <f t="shared" si="9"/>
        <v>0</v>
      </c>
      <c r="Y17" s="17">
        <f t="shared" si="9"/>
        <v>4</v>
      </c>
      <c r="Z17" s="17">
        <f t="shared" si="9"/>
        <v>3</v>
      </c>
      <c r="AA17" s="17">
        <f t="shared" si="9"/>
        <v>0</v>
      </c>
      <c r="AB17" s="17">
        <f t="shared" si="9"/>
        <v>0</v>
      </c>
      <c r="AC17" s="17">
        <f t="shared" si="9"/>
        <v>248</v>
      </c>
      <c r="AD17" s="17">
        <f t="shared" si="9"/>
        <v>0</v>
      </c>
      <c r="AE17" s="31">
        <f t="shared" si="9"/>
        <v>28</v>
      </c>
      <c r="AF17" s="31">
        <f t="shared" si="9"/>
        <v>276</v>
      </c>
    </row>
    <row r="18" spans="2:32" ht="23.1" customHeight="1" x14ac:dyDescent="0.25">
      <c r="B18" s="23" t="s">
        <v>45</v>
      </c>
      <c r="C18" s="50">
        <v>2</v>
      </c>
      <c r="D18" s="50">
        <v>4</v>
      </c>
      <c r="E18" s="50">
        <v>1</v>
      </c>
      <c r="F18" s="50">
        <v>8</v>
      </c>
      <c r="G18" s="50">
        <v>0</v>
      </c>
      <c r="H18" s="50">
        <v>0</v>
      </c>
      <c r="I18" s="50">
        <v>1</v>
      </c>
      <c r="J18" s="50">
        <v>0</v>
      </c>
      <c r="K18" s="50">
        <v>0</v>
      </c>
      <c r="L18" s="50">
        <v>0</v>
      </c>
      <c r="M18" s="50">
        <v>78</v>
      </c>
      <c r="N18" s="50">
        <v>0</v>
      </c>
      <c r="O18" s="15">
        <f t="shared" si="0"/>
        <v>16</v>
      </c>
      <c r="P18" s="15">
        <f t="shared" si="1"/>
        <v>94</v>
      </c>
      <c r="R18" s="1" t="s">
        <v>14</v>
      </c>
      <c r="S18" s="17">
        <f t="shared" ref="S18:AF18" si="10">SUM(C42:C45)</f>
        <v>11</v>
      </c>
      <c r="T18" s="17">
        <f t="shared" si="10"/>
        <v>4</v>
      </c>
      <c r="U18" s="17">
        <f t="shared" si="10"/>
        <v>3</v>
      </c>
      <c r="V18" s="17">
        <f t="shared" si="10"/>
        <v>6</v>
      </c>
      <c r="W18" s="17">
        <f t="shared" si="10"/>
        <v>0</v>
      </c>
      <c r="X18" s="17">
        <f t="shared" si="10"/>
        <v>0</v>
      </c>
      <c r="Y18" s="17">
        <f t="shared" si="10"/>
        <v>5</v>
      </c>
      <c r="Z18" s="17">
        <f t="shared" si="10"/>
        <v>5</v>
      </c>
      <c r="AA18" s="17">
        <f t="shared" si="10"/>
        <v>0</v>
      </c>
      <c r="AB18" s="17">
        <f t="shared" si="10"/>
        <v>0</v>
      </c>
      <c r="AC18" s="17">
        <f t="shared" si="10"/>
        <v>270</v>
      </c>
      <c r="AD18" s="17">
        <f t="shared" si="10"/>
        <v>0</v>
      </c>
      <c r="AE18" s="31">
        <f t="shared" si="10"/>
        <v>34</v>
      </c>
      <c r="AF18" s="31">
        <f t="shared" si="10"/>
        <v>304</v>
      </c>
    </row>
    <row r="19" spans="2:32" ht="23.1" customHeight="1" x14ac:dyDescent="0.25">
      <c r="B19" s="23" t="s">
        <v>46</v>
      </c>
      <c r="C19" s="50">
        <v>1</v>
      </c>
      <c r="D19" s="50">
        <v>3</v>
      </c>
      <c r="E19" s="50">
        <v>3</v>
      </c>
      <c r="F19" s="50">
        <v>9</v>
      </c>
      <c r="G19" s="50">
        <v>0</v>
      </c>
      <c r="H19" s="50">
        <v>0</v>
      </c>
      <c r="I19" s="50">
        <v>5</v>
      </c>
      <c r="J19" s="50">
        <v>1</v>
      </c>
      <c r="K19" s="50">
        <v>0</v>
      </c>
      <c r="L19" s="50">
        <v>0</v>
      </c>
      <c r="M19" s="50">
        <v>65</v>
      </c>
      <c r="N19" s="50">
        <v>0</v>
      </c>
      <c r="O19" s="15">
        <f t="shared" si="0"/>
        <v>22</v>
      </c>
      <c r="P19" s="15">
        <f t="shared" si="1"/>
        <v>87</v>
      </c>
      <c r="R19" s="1" t="s">
        <v>15</v>
      </c>
      <c r="S19" s="17">
        <f t="shared" ref="S19:AF19" si="11">SUM(C46:C49)</f>
        <v>10</v>
      </c>
      <c r="T19" s="17">
        <f t="shared" si="11"/>
        <v>3</v>
      </c>
      <c r="U19" s="17">
        <f t="shared" si="11"/>
        <v>5</v>
      </c>
      <c r="V19" s="17">
        <f t="shared" si="11"/>
        <v>20</v>
      </c>
      <c r="W19" s="17">
        <f t="shared" si="11"/>
        <v>0</v>
      </c>
      <c r="X19" s="17">
        <f t="shared" si="11"/>
        <v>0</v>
      </c>
      <c r="Y19" s="17">
        <f t="shared" si="11"/>
        <v>6</v>
      </c>
      <c r="Z19" s="17">
        <f t="shared" si="11"/>
        <v>2</v>
      </c>
      <c r="AA19" s="17">
        <f t="shared" si="11"/>
        <v>0</v>
      </c>
      <c r="AB19" s="17">
        <f t="shared" si="11"/>
        <v>0</v>
      </c>
      <c r="AC19" s="17">
        <f t="shared" si="11"/>
        <v>245</v>
      </c>
      <c r="AD19" s="17">
        <f t="shared" si="11"/>
        <v>0</v>
      </c>
      <c r="AE19" s="31">
        <f t="shared" si="11"/>
        <v>46</v>
      </c>
      <c r="AF19" s="31">
        <f t="shared" si="11"/>
        <v>291</v>
      </c>
    </row>
    <row r="20" spans="2:32" ht="23.1" customHeight="1" x14ac:dyDescent="0.25">
      <c r="B20" s="23" t="s">
        <v>47</v>
      </c>
      <c r="C20" s="50">
        <v>1</v>
      </c>
      <c r="D20" s="50">
        <v>2</v>
      </c>
      <c r="E20" s="50">
        <v>1</v>
      </c>
      <c r="F20" s="50">
        <v>9</v>
      </c>
      <c r="G20" s="50">
        <v>1</v>
      </c>
      <c r="H20" s="50">
        <v>0</v>
      </c>
      <c r="I20" s="50">
        <v>0</v>
      </c>
      <c r="J20" s="50">
        <v>0</v>
      </c>
      <c r="K20" s="50">
        <v>0</v>
      </c>
      <c r="L20" s="50">
        <v>0</v>
      </c>
      <c r="M20" s="50">
        <v>60</v>
      </c>
      <c r="N20" s="50">
        <v>0</v>
      </c>
      <c r="O20" s="15">
        <f t="shared" si="0"/>
        <v>14</v>
      </c>
      <c r="P20" s="15">
        <f t="shared" si="1"/>
        <v>74</v>
      </c>
      <c r="R20" s="1" t="s">
        <v>16</v>
      </c>
      <c r="S20" s="17">
        <f t="shared" ref="S20:AF20" si="12">SUM(C50:C53)</f>
        <v>8</v>
      </c>
      <c r="T20" s="17">
        <f t="shared" si="12"/>
        <v>4</v>
      </c>
      <c r="U20" s="17">
        <f t="shared" si="12"/>
        <v>2</v>
      </c>
      <c r="V20" s="17">
        <f t="shared" si="12"/>
        <v>4</v>
      </c>
      <c r="W20" s="17">
        <f t="shared" si="12"/>
        <v>0</v>
      </c>
      <c r="X20" s="17">
        <f t="shared" si="12"/>
        <v>0</v>
      </c>
      <c r="Y20" s="17">
        <f t="shared" si="12"/>
        <v>3</v>
      </c>
      <c r="Z20" s="17">
        <f t="shared" si="12"/>
        <v>3</v>
      </c>
      <c r="AA20" s="17">
        <f t="shared" si="12"/>
        <v>1</v>
      </c>
      <c r="AB20" s="17">
        <f t="shared" si="12"/>
        <v>0</v>
      </c>
      <c r="AC20" s="17">
        <f t="shared" si="12"/>
        <v>251</v>
      </c>
      <c r="AD20" s="17">
        <f t="shared" si="12"/>
        <v>0</v>
      </c>
      <c r="AE20" s="31">
        <f t="shared" si="12"/>
        <v>25</v>
      </c>
      <c r="AF20" s="31">
        <f t="shared" si="12"/>
        <v>276</v>
      </c>
    </row>
    <row r="21" spans="2:32" ht="23.1" customHeight="1" x14ac:dyDescent="0.25">
      <c r="B21" s="23" t="s">
        <v>48</v>
      </c>
      <c r="C21" s="50">
        <v>1</v>
      </c>
      <c r="D21" s="50">
        <v>1</v>
      </c>
      <c r="E21" s="50">
        <v>1</v>
      </c>
      <c r="F21" s="50">
        <v>5</v>
      </c>
      <c r="G21" s="50">
        <v>0</v>
      </c>
      <c r="H21" s="50">
        <v>0</v>
      </c>
      <c r="I21" s="50">
        <v>0</v>
      </c>
      <c r="J21" s="50">
        <v>0</v>
      </c>
      <c r="K21" s="50">
        <v>0</v>
      </c>
      <c r="L21" s="50">
        <v>0</v>
      </c>
      <c r="M21" s="50">
        <v>64</v>
      </c>
      <c r="N21" s="50">
        <v>0</v>
      </c>
      <c r="O21" s="15">
        <f t="shared" si="0"/>
        <v>8</v>
      </c>
      <c r="P21" s="15">
        <f t="shared" si="1"/>
        <v>72</v>
      </c>
      <c r="R21" s="36" t="s">
        <v>20</v>
      </c>
      <c r="S21" s="34">
        <f t="shared" ref="S21:AF21" si="13">SUM(C54:C57)</f>
        <v>11</v>
      </c>
      <c r="T21" s="17">
        <f t="shared" si="13"/>
        <v>1</v>
      </c>
      <c r="U21" s="17">
        <f t="shared" si="13"/>
        <v>4</v>
      </c>
      <c r="V21" s="17">
        <f t="shared" si="13"/>
        <v>12</v>
      </c>
      <c r="W21" s="17">
        <f t="shared" si="13"/>
        <v>0</v>
      </c>
      <c r="X21" s="17">
        <f t="shared" si="13"/>
        <v>0</v>
      </c>
      <c r="Y21" s="17">
        <f t="shared" si="13"/>
        <v>9</v>
      </c>
      <c r="Z21" s="17">
        <f t="shared" si="13"/>
        <v>2</v>
      </c>
      <c r="AA21" s="17">
        <f t="shared" si="13"/>
        <v>0</v>
      </c>
      <c r="AB21" s="17">
        <f t="shared" si="13"/>
        <v>0</v>
      </c>
      <c r="AC21" s="17">
        <f t="shared" si="13"/>
        <v>256</v>
      </c>
      <c r="AD21" s="17">
        <f t="shared" si="13"/>
        <v>0</v>
      </c>
      <c r="AE21" s="31">
        <f t="shared" si="13"/>
        <v>39</v>
      </c>
      <c r="AF21" s="31">
        <f t="shared" si="13"/>
        <v>295</v>
      </c>
    </row>
    <row r="22" spans="2:32" ht="23.1" customHeight="1" x14ac:dyDescent="0.25">
      <c r="B22" s="23" t="s">
        <v>49</v>
      </c>
      <c r="C22" s="50">
        <v>4</v>
      </c>
      <c r="D22" s="50">
        <v>3</v>
      </c>
      <c r="E22" s="50">
        <v>4</v>
      </c>
      <c r="F22" s="50">
        <v>5</v>
      </c>
      <c r="G22" s="50">
        <v>0</v>
      </c>
      <c r="H22" s="50">
        <v>0</v>
      </c>
      <c r="I22" s="50">
        <v>3</v>
      </c>
      <c r="J22" s="50">
        <v>0</v>
      </c>
      <c r="K22" s="50">
        <v>1</v>
      </c>
      <c r="L22" s="50">
        <v>0</v>
      </c>
      <c r="M22" s="50">
        <v>55</v>
      </c>
      <c r="N22" s="50">
        <v>0</v>
      </c>
      <c r="O22" s="15">
        <f t="shared" si="0"/>
        <v>20</v>
      </c>
      <c r="P22" s="15">
        <f t="shared" si="1"/>
        <v>75</v>
      </c>
      <c r="R22" s="38" t="s">
        <v>90</v>
      </c>
      <c r="S22" s="39">
        <f>MAX(S10:S12)</f>
        <v>12</v>
      </c>
      <c r="T22" s="39">
        <f t="shared" ref="T22:AF22" si="14">MAX(T10:T12)</f>
        <v>10</v>
      </c>
      <c r="U22" s="39">
        <f t="shared" si="14"/>
        <v>6</v>
      </c>
      <c r="V22" s="39">
        <f t="shared" si="14"/>
        <v>31</v>
      </c>
      <c r="W22" s="39">
        <f t="shared" si="14"/>
        <v>1</v>
      </c>
      <c r="X22" s="39">
        <f t="shared" si="14"/>
        <v>1</v>
      </c>
      <c r="Y22" s="39">
        <f t="shared" si="14"/>
        <v>7</v>
      </c>
      <c r="Z22" s="39">
        <f t="shared" si="14"/>
        <v>2</v>
      </c>
      <c r="AA22" s="39">
        <f t="shared" si="14"/>
        <v>3</v>
      </c>
      <c r="AB22" s="39">
        <f t="shared" si="14"/>
        <v>0</v>
      </c>
      <c r="AC22" s="39">
        <f t="shared" si="14"/>
        <v>267</v>
      </c>
      <c r="AD22" s="39">
        <f t="shared" si="14"/>
        <v>0</v>
      </c>
      <c r="AE22" s="40">
        <f t="shared" si="14"/>
        <v>60</v>
      </c>
      <c r="AF22" s="40">
        <f t="shared" si="14"/>
        <v>327</v>
      </c>
    </row>
    <row r="23" spans="2:32" ht="23.1" customHeight="1" x14ac:dyDescent="0.25">
      <c r="B23" s="23" t="s">
        <v>50</v>
      </c>
      <c r="C23" s="50">
        <v>3</v>
      </c>
      <c r="D23" s="50">
        <v>1</v>
      </c>
      <c r="E23" s="50">
        <v>0</v>
      </c>
      <c r="F23" s="50">
        <v>3</v>
      </c>
      <c r="G23" s="50">
        <v>0</v>
      </c>
      <c r="H23" s="50">
        <v>0</v>
      </c>
      <c r="I23" s="50">
        <v>0</v>
      </c>
      <c r="J23" s="50">
        <v>0</v>
      </c>
      <c r="K23" s="50">
        <v>0</v>
      </c>
      <c r="L23" s="50">
        <v>0</v>
      </c>
      <c r="M23" s="50">
        <v>60</v>
      </c>
      <c r="N23" s="50">
        <v>0</v>
      </c>
      <c r="O23" s="15">
        <f t="shared" si="0"/>
        <v>7</v>
      </c>
      <c r="P23" s="15">
        <f t="shared" si="1"/>
        <v>67</v>
      </c>
      <c r="R23" s="38" t="s">
        <v>91</v>
      </c>
      <c r="S23" s="39">
        <f>MAX(S13:S18)</f>
        <v>20</v>
      </c>
      <c r="T23" s="39">
        <f t="shared" ref="T23:AF23" si="15">MAX(T13:T18)</f>
        <v>7</v>
      </c>
      <c r="U23" s="39">
        <f t="shared" si="15"/>
        <v>6</v>
      </c>
      <c r="V23" s="39">
        <f t="shared" si="15"/>
        <v>15</v>
      </c>
      <c r="W23" s="39">
        <f t="shared" si="15"/>
        <v>2</v>
      </c>
      <c r="X23" s="39">
        <f t="shared" si="15"/>
        <v>0</v>
      </c>
      <c r="Y23" s="39">
        <f t="shared" si="15"/>
        <v>9</v>
      </c>
      <c r="Z23" s="39">
        <f t="shared" si="15"/>
        <v>5</v>
      </c>
      <c r="AA23" s="39">
        <f t="shared" si="15"/>
        <v>1</v>
      </c>
      <c r="AB23" s="39">
        <f t="shared" si="15"/>
        <v>1</v>
      </c>
      <c r="AC23" s="39">
        <f t="shared" si="15"/>
        <v>285</v>
      </c>
      <c r="AD23" s="39">
        <f t="shared" si="15"/>
        <v>1</v>
      </c>
      <c r="AE23" s="40">
        <f t="shared" si="15"/>
        <v>47</v>
      </c>
      <c r="AF23" s="40">
        <f t="shared" si="15"/>
        <v>328</v>
      </c>
    </row>
    <row r="24" spans="2:32" ht="23.1" customHeight="1" x14ac:dyDescent="0.25">
      <c r="B24" s="23" t="s">
        <v>51</v>
      </c>
      <c r="C24" s="50">
        <v>4</v>
      </c>
      <c r="D24" s="50">
        <v>1</v>
      </c>
      <c r="E24" s="50">
        <v>0</v>
      </c>
      <c r="F24" s="50">
        <v>1</v>
      </c>
      <c r="G24" s="50">
        <v>0</v>
      </c>
      <c r="H24" s="50">
        <v>0</v>
      </c>
      <c r="I24" s="50">
        <v>1</v>
      </c>
      <c r="J24" s="50">
        <v>0</v>
      </c>
      <c r="K24" s="50">
        <v>0</v>
      </c>
      <c r="L24" s="50">
        <v>0</v>
      </c>
      <c r="M24" s="50">
        <v>67</v>
      </c>
      <c r="N24" s="50">
        <v>1</v>
      </c>
      <c r="O24" s="15">
        <f t="shared" si="0"/>
        <v>8</v>
      </c>
      <c r="P24" s="15">
        <f t="shared" si="1"/>
        <v>75</v>
      </c>
      <c r="R24" s="38" t="s">
        <v>92</v>
      </c>
      <c r="S24" s="39">
        <f>MAX(S19:S21)</f>
        <v>11</v>
      </c>
      <c r="T24" s="39">
        <f t="shared" ref="T24:AF24" si="16">MAX(T19:T21)</f>
        <v>4</v>
      </c>
      <c r="U24" s="39">
        <f t="shared" si="16"/>
        <v>5</v>
      </c>
      <c r="V24" s="39">
        <f t="shared" si="16"/>
        <v>20</v>
      </c>
      <c r="W24" s="39">
        <f t="shared" si="16"/>
        <v>0</v>
      </c>
      <c r="X24" s="39">
        <f t="shared" si="16"/>
        <v>0</v>
      </c>
      <c r="Y24" s="39">
        <f t="shared" si="16"/>
        <v>9</v>
      </c>
      <c r="Z24" s="39">
        <f t="shared" si="16"/>
        <v>3</v>
      </c>
      <c r="AA24" s="39">
        <f t="shared" si="16"/>
        <v>1</v>
      </c>
      <c r="AB24" s="39">
        <f t="shared" si="16"/>
        <v>0</v>
      </c>
      <c r="AC24" s="39">
        <f t="shared" si="16"/>
        <v>256</v>
      </c>
      <c r="AD24" s="39">
        <f t="shared" si="16"/>
        <v>0</v>
      </c>
      <c r="AE24" s="40">
        <f t="shared" si="16"/>
        <v>46</v>
      </c>
      <c r="AF24" s="40">
        <f t="shared" si="16"/>
        <v>295</v>
      </c>
    </row>
    <row r="25" spans="2:32" ht="23.1" customHeight="1" x14ac:dyDescent="0.25">
      <c r="B25" s="23" t="s">
        <v>52</v>
      </c>
      <c r="C25" s="50">
        <v>0</v>
      </c>
      <c r="D25" s="50">
        <v>1</v>
      </c>
      <c r="E25" s="50">
        <v>2</v>
      </c>
      <c r="F25" s="50">
        <v>5</v>
      </c>
      <c r="G25" s="50">
        <v>0</v>
      </c>
      <c r="H25" s="50">
        <v>0</v>
      </c>
      <c r="I25" s="50">
        <v>2</v>
      </c>
      <c r="J25" s="50">
        <v>1</v>
      </c>
      <c r="K25" s="50">
        <v>0</v>
      </c>
      <c r="L25" s="50">
        <v>0</v>
      </c>
      <c r="M25" s="50">
        <v>67</v>
      </c>
      <c r="N25" s="50">
        <v>0</v>
      </c>
      <c r="O25" s="15">
        <f t="shared" si="0"/>
        <v>11</v>
      </c>
      <c r="P25" s="15">
        <f t="shared" si="1"/>
        <v>78</v>
      </c>
      <c r="R25" s="37" t="s">
        <v>85</v>
      </c>
      <c r="S25" s="35">
        <f t="shared" ref="S25:AF25" si="17">SUM(S10:S12)</f>
        <v>28</v>
      </c>
      <c r="T25" s="16">
        <f t="shared" si="17"/>
        <v>14</v>
      </c>
      <c r="U25" s="16">
        <f t="shared" si="17"/>
        <v>13</v>
      </c>
      <c r="V25" s="16">
        <f t="shared" si="17"/>
        <v>54</v>
      </c>
      <c r="W25" s="16">
        <f t="shared" si="17"/>
        <v>1</v>
      </c>
      <c r="X25" s="16">
        <f t="shared" si="17"/>
        <v>1</v>
      </c>
      <c r="Y25" s="16">
        <f t="shared" si="17"/>
        <v>19</v>
      </c>
      <c r="Z25" s="16">
        <f t="shared" si="17"/>
        <v>3</v>
      </c>
      <c r="AA25" s="16">
        <f t="shared" si="17"/>
        <v>3</v>
      </c>
      <c r="AB25" s="16">
        <f t="shared" si="17"/>
        <v>0</v>
      </c>
      <c r="AC25" s="16">
        <f t="shared" si="17"/>
        <v>745</v>
      </c>
      <c r="AD25" s="16">
        <f t="shared" si="17"/>
        <v>0</v>
      </c>
      <c r="AE25" s="32">
        <f t="shared" si="17"/>
        <v>136</v>
      </c>
      <c r="AF25" s="32">
        <f t="shared" si="17"/>
        <v>881</v>
      </c>
    </row>
    <row r="26" spans="2:32" ht="23.1" customHeight="1" x14ac:dyDescent="0.25">
      <c r="B26" s="23" t="s">
        <v>53</v>
      </c>
      <c r="C26" s="50">
        <v>6</v>
      </c>
      <c r="D26" s="50">
        <v>0</v>
      </c>
      <c r="E26" s="50">
        <v>1</v>
      </c>
      <c r="F26" s="50">
        <v>1</v>
      </c>
      <c r="G26" s="50">
        <v>0</v>
      </c>
      <c r="H26" s="50">
        <v>0</v>
      </c>
      <c r="I26" s="50">
        <v>0</v>
      </c>
      <c r="J26" s="50">
        <v>1</v>
      </c>
      <c r="K26" s="50">
        <v>0</v>
      </c>
      <c r="L26" s="50">
        <v>0</v>
      </c>
      <c r="M26" s="50">
        <v>76</v>
      </c>
      <c r="N26" s="50">
        <v>0</v>
      </c>
      <c r="O26" s="15">
        <f t="shared" si="0"/>
        <v>9</v>
      </c>
      <c r="P26" s="15">
        <f t="shared" si="1"/>
        <v>85</v>
      </c>
      <c r="R26" s="28" t="s">
        <v>86</v>
      </c>
      <c r="S26" s="16">
        <f t="shared" ref="S26:AF26" si="18">SUM(S13:S18)</f>
        <v>73</v>
      </c>
      <c r="T26" s="16">
        <f t="shared" si="18"/>
        <v>25</v>
      </c>
      <c r="U26" s="16">
        <f t="shared" si="18"/>
        <v>18</v>
      </c>
      <c r="V26" s="16">
        <f t="shared" si="18"/>
        <v>64</v>
      </c>
      <c r="W26" s="16">
        <f t="shared" si="18"/>
        <v>2</v>
      </c>
      <c r="X26" s="16">
        <f t="shared" si="18"/>
        <v>0</v>
      </c>
      <c r="Y26" s="16">
        <f t="shared" si="18"/>
        <v>31</v>
      </c>
      <c r="Z26" s="16">
        <f t="shared" si="18"/>
        <v>21</v>
      </c>
      <c r="AA26" s="16">
        <f t="shared" si="18"/>
        <v>2</v>
      </c>
      <c r="AB26" s="16">
        <f t="shared" si="18"/>
        <v>1</v>
      </c>
      <c r="AC26" s="16">
        <f t="shared" si="18"/>
        <v>1603</v>
      </c>
      <c r="AD26" s="16">
        <f t="shared" si="18"/>
        <v>1</v>
      </c>
      <c r="AE26" s="32">
        <f t="shared" si="18"/>
        <v>238</v>
      </c>
      <c r="AF26" s="32">
        <f t="shared" si="18"/>
        <v>1841</v>
      </c>
    </row>
    <row r="27" spans="2:32" ht="23.1" customHeight="1" x14ac:dyDescent="0.25">
      <c r="B27" s="23" t="s">
        <v>54</v>
      </c>
      <c r="C27" s="50">
        <v>7</v>
      </c>
      <c r="D27" s="50">
        <v>0</v>
      </c>
      <c r="E27" s="50">
        <v>0</v>
      </c>
      <c r="F27" s="50">
        <v>1</v>
      </c>
      <c r="G27" s="50">
        <v>0</v>
      </c>
      <c r="H27" s="50">
        <v>0</v>
      </c>
      <c r="I27" s="50">
        <v>1</v>
      </c>
      <c r="J27" s="50">
        <v>0</v>
      </c>
      <c r="K27" s="50">
        <v>0</v>
      </c>
      <c r="L27" s="50">
        <v>0</v>
      </c>
      <c r="M27" s="50">
        <v>69</v>
      </c>
      <c r="N27" s="50">
        <v>0</v>
      </c>
      <c r="O27" s="15">
        <f t="shared" si="0"/>
        <v>9</v>
      </c>
      <c r="P27" s="15">
        <f t="shared" si="1"/>
        <v>78</v>
      </c>
      <c r="R27" s="29" t="s">
        <v>87</v>
      </c>
      <c r="S27" s="16">
        <f t="shared" ref="S27:AF27" si="19">SUM(S19:S21)</f>
        <v>29</v>
      </c>
      <c r="T27" s="16">
        <f t="shared" si="19"/>
        <v>8</v>
      </c>
      <c r="U27" s="16">
        <f t="shared" si="19"/>
        <v>11</v>
      </c>
      <c r="V27" s="16">
        <f t="shared" si="19"/>
        <v>36</v>
      </c>
      <c r="W27" s="16">
        <f t="shared" si="19"/>
        <v>0</v>
      </c>
      <c r="X27" s="16">
        <f t="shared" si="19"/>
        <v>0</v>
      </c>
      <c r="Y27" s="16">
        <f t="shared" si="19"/>
        <v>18</v>
      </c>
      <c r="Z27" s="16">
        <f t="shared" si="19"/>
        <v>7</v>
      </c>
      <c r="AA27" s="16">
        <f t="shared" si="19"/>
        <v>1</v>
      </c>
      <c r="AB27" s="16">
        <f t="shared" si="19"/>
        <v>0</v>
      </c>
      <c r="AC27" s="16">
        <f t="shared" si="19"/>
        <v>752</v>
      </c>
      <c r="AD27" s="16">
        <f t="shared" si="19"/>
        <v>0</v>
      </c>
      <c r="AE27" s="32">
        <f t="shared" si="19"/>
        <v>110</v>
      </c>
      <c r="AF27" s="32">
        <f t="shared" si="19"/>
        <v>862</v>
      </c>
    </row>
    <row r="28" spans="2:32" ht="23.1" customHeight="1" x14ac:dyDescent="0.25">
      <c r="B28" s="23" t="s">
        <v>55</v>
      </c>
      <c r="C28" s="50">
        <v>2</v>
      </c>
      <c r="D28" s="50">
        <v>0</v>
      </c>
      <c r="E28" s="50">
        <v>1</v>
      </c>
      <c r="F28" s="50">
        <v>1</v>
      </c>
      <c r="G28" s="50">
        <v>0</v>
      </c>
      <c r="H28" s="50">
        <v>0</v>
      </c>
      <c r="I28" s="50">
        <v>1</v>
      </c>
      <c r="J28" s="50">
        <v>1</v>
      </c>
      <c r="K28" s="50">
        <v>0</v>
      </c>
      <c r="L28" s="50">
        <v>0</v>
      </c>
      <c r="M28" s="50">
        <v>70</v>
      </c>
      <c r="N28" s="50">
        <v>0</v>
      </c>
      <c r="O28" s="15">
        <f t="shared" si="0"/>
        <v>6</v>
      </c>
      <c r="P28" s="15">
        <f t="shared" si="1"/>
        <v>76</v>
      </c>
      <c r="R28" s="5" t="s">
        <v>17</v>
      </c>
      <c r="S28" s="16">
        <f t="shared" ref="S28:AF28" si="20">SUM(S10:S21)</f>
        <v>130</v>
      </c>
      <c r="T28" s="16">
        <f t="shared" si="20"/>
        <v>47</v>
      </c>
      <c r="U28" s="16">
        <f t="shared" si="20"/>
        <v>42</v>
      </c>
      <c r="V28" s="16">
        <f t="shared" si="20"/>
        <v>154</v>
      </c>
      <c r="W28" s="16">
        <f t="shared" si="20"/>
        <v>3</v>
      </c>
      <c r="X28" s="16">
        <f t="shared" si="20"/>
        <v>1</v>
      </c>
      <c r="Y28" s="16">
        <f t="shared" si="20"/>
        <v>68</v>
      </c>
      <c r="Z28" s="16">
        <f t="shared" si="20"/>
        <v>31</v>
      </c>
      <c r="AA28" s="16">
        <f t="shared" si="20"/>
        <v>6</v>
      </c>
      <c r="AB28" s="16">
        <f t="shared" si="20"/>
        <v>1</v>
      </c>
      <c r="AC28" s="16">
        <f t="shared" si="20"/>
        <v>3100</v>
      </c>
      <c r="AD28" s="16">
        <f t="shared" si="20"/>
        <v>1</v>
      </c>
      <c r="AE28" s="32">
        <f t="shared" si="20"/>
        <v>484</v>
      </c>
      <c r="AF28" s="32">
        <f t="shared" si="20"/>
        <v>3584</v>
      </c>
    </row>
    <row r="29" spans="2:32" ht="23.1" customHeight="1" x14ac:dyDescent="0.25">
      <c r="B29" s="23" t="s">
        <v>56</v>
      </c>
      <c r="C29" s="50">
        <v>5</v>
      </c>
      <c r="D29" s="50">
        <v>1</v>
      </c>
      <c r="E29" s="50">
        <v>0</v>
      </c>
      <c r="F29" s="50">
        <v>3</v>
      </c>
      <c r="G29" s="50">
        <v>0</v>
      </c>
      <c r="H29" s="50">
        <v>0</v>
      </c>
      <c r="I29" s="50">
        <v>1</v>
      </c>
      <c r="J29" s="50">
        <v>2</v>
      </c>
      <c r="K29" s="50">
        <v>0</v>
      </c>
      <c r="L29" s="50">
        <v>0</v>
      </c>
      <c r="M29" s="50">
        <v>70</v>
      </c>
      <c r="N29" s="50">
        <v>0</v>
      </c>
      <c r="O29" s="15">
        <f t="shared" si="0"/>
        <v>12</v>
      </c>
      <c r="P29" s="15">
        <f t="shared" si="1"/>
        <v>82</v>
      </c>
      <c r="R29"/>
      <c r="S29" s="20"/>
      <c r="T29" s="19"/>
    </row>
    <row r="30" spans="2:32" ht="23.1" customHeight="1" x14ac:dyDescent="0.25">
      <c r="B30" s="23" t="s">
        <v>57</v>
      </c>
      <c r="C30" s="50">
        <v>7</v>
      </c>
      <c r="D30" s="50">
        <v>2</v>
      </c>
      <c r="E30" s="50">
        <v>0</v>
      </c>
      <c r="F30" s="50">
        <v>1</v>
      </c>
      <c r="G30" s="50">
        <v>0</v>
      </c>
      <c r="H30" s="50">
        <v>0</v>
      </c>
      <c r="I30" s="50">
        <v>1</v>
      </c>
      <c r="J30" s="50">
        <v>3</v>
      </c>
      <c r="K30" s="50">
        <v>0</v>
      </c>
      <c r="L30" s="50">
        <v>0</v>
      </c>
      <c r="M30" s="50">
        <v>73</v>
      </c>
      <c r="N30" s="50">
        <v>0</v>
      </c>
      <c r="O30" s="15">
        <f t="shared" si="0"/>
        <v>14</v>
      </c>
      <c r="P30" s="15">
        <f t="shared" si="1"/>
        <v>87</v>
      </c>
    </row>
    <row r="31" spans="2:32" ht="23.1" customHeight="1" x14ac:dyDescent="0.25">
      <c r="B31" s="24" t="s">
        <v>58</v>
      </c>
      <c r="C31" s="50">
        <v>3</v>
      </c>
      <c r="D31" s="50">
        <v>1</v>
      </c>
      <c r="E31" s="50">
        <v>2</v>
      </c>
      <c r="F31" s="50">
        <v>4</v>
      </c>
      <c r="G31" s="50">
        <v>0</v>
      </c>
      <c r="H31" s="50">
        <v>0</v>
      </c>
      <c r="I31" s="50">
        <v>1</v>
      </c>
      <c r="J31" s="50">
        <v>0</v>
      </c>
      <c r="K31" s="50">
        <v>0</v>
      </c>
      <c r="L31" s="50">
        <v>1</v>
      </c>
      <c r="M31" s="50">
        <v>68</v>
      </c>
      <c r="N31" s="50">
        <v>0</v>
      </c>
      <c r="O31" s="15">
        <f t="shared" si="0"/>
        <v>12</v>
      </c>
      <c r="P31" s="15">
        <f t="shared" si="1"/>
        <v>80</v>
      </c>
    </row>
    <row r="32" spans="2:32" ht="23.1" customHeight="1" x14ac:dyDescent="0.25">
      <c r="B32" s="24" t="s">
        <v>59</v>
      </c>
      <c r="C32" s="50">
        <v>1</v>
      </c>
      <c r="D32" s="50">
        <v>1</v>
      </c>
      <c r="E32" s="50">
        <v>1</v>
      </c>
      <c r="F32" s="50">
        <v>6</v>
      </c>
      <c r="G32" s="50">
        <v>2</v>
      </c>
      <c r="H32" s="50">
        <v>0</v>
      </c>
      <c r="I32" s="50">
        <v>0</v>
      </c>
      <c r="J32" s="50">
        <v>0</v>
      </c>
      <c r="K32" s="50">
        <v>0</v>
      </c>
      <c r="L32" s="50">
        <v>0</v>
      </c>
      <c r="M32" s="50">
        <v>64</v>
      </c>
      <c r="N32" s="50">
        <v>0</v>
      </c>
      <c r="O32" s="15">
        <f t="shared" si="0"/>
        <v>11</v>
      </c>
      <c r="P32" s="15">
        <f t="shared" si="1"/>
        <v>75</v>
      </c>
    </row>
    <row r="33" spans="2:20" ht="23.1" customHeight="1" x14ac:dyDescent="0.25">
      <c r="B33" s="23" t="s">
        <v>60</v>
      </c>
      <c r="C33" s="50">
        <v>0</v>
      </c>
      <c r="D33" s="50">
        <v>3</v>
      </c>
      <c r="E33" s="50">
        <v>0</v>
      </c>
      <c r="F33" s="50">
        <v>4</v>
      </c>
      <c r="G33" s="50">
        <v>0</v>
      </c>
      <c r="H33" s="50">
        <v>0</v>
      </c>
      <c r="I33" s="50">
        <v>2</v>
      </c>
      <c r="J33" s="50">
        <v>1</v>
      </c>
      <c r="K33" s="50">
        <v>0</v>
      </c>
      <c r="L33" s="50">
        <v>0</v>
      </c>
      <c r="M33" s="50">
        <v>76</v>
      </c>
      <c r="N33" s="50">
        <v>0</v>
      </c>
      <c r="O33" s="15">
        <f t="shared" si="0"/>
        <v>10</v>
      </c>
      <c r="P33" s="15">
        <f t="shared" si="1"/>
        <v>86</v>
      </c>
    </row>
    <row r="34" spans="2:20" ht="23.1" customHeight="1" x14ac:dyDescent="0.25">
      <c r="B34" s="24" t="s">
        <v>61</v>
      </c>
      <c r="C34" s="50">
        <v>3</v>
      </c>
      <c r="D34" s="50">
        <v>1</v>
      </c>
      <c r="E34" s="50">
        <v>3</v>
      </c>
      <c r="F34" s="50">
        <v>6</v>
      </c>
      <c r="G34" s="50">
        <v>0</v>
      </c>
      <c r="H34" s="50">
        <v>0</v>
      </c>
      <c r="I34" s="50">
        <v>3</v>
      </c>
      <c r="J34" s="50">
        <v>3</v>
      </c>
      <c r="K34" s="50">
        <v>1</v>
      </c>
      <c r="L34" s="50">
        <v>0</v>
      </c>
      <c r="M34" s="50">
        <v>74</v>
      </c>
      <c r="N34" s="50">
        <v>0</v>
      </c>
      <c r="O34" s="15">
        <f t="shared" si="0"/>
        <v>20</v>
      </c>
      <c r="P34" s="15">
        <f t="shared" si="1"/>
        <v>94</v>
      </c>
    </row>
    <row r="35" spans="2:20" ht="23.1" customHeight="1" x14ac:dyDescent="0.25">
      <c r="B35" s="24" t="s">
        <v>62</v>
      </c>
      <c r="C35" s="50">
        <v>2</v>
      </c>
      <c r="D35" s="50">
        <v>2</v>
      </c>
      <c r="E35" s="50">
        <v>1</v>
      </c>
      <c r="F35" s="50">
        <v>4</v>
      </c>
      <c r="G35" s="50">
        <v>0</v>
      </c>
      <c r="H35" s="50">
        <v>0</v>
      </c>
      <c r="I35" s="50">
        <v>4</v>
      </c>
      <c r="J35" s="50">
        <v>1</v>
      </c>
      <c r="K35" s="50">
        <v>0</v>
      </c>
      <c r="L35" s="50">
        <v>0</v>
      </c>
      <c r="M35" s="50">
        <v>68</v>
      </c>
      <c r="N35" s="50">
        <v>0</v>
      </c>
      <c r="O35" s="15">
        <f t="shared" si="0"/>
        <v>14</v>
      </c>
      <c r="P35" s="15">
        <f t="shared" si="1"/>
        <v>82</v>
      </c>
    </row>
    <row r="36" spans="2:20" ht="23.1" customHeight="1" x14ac:dyDescent="0.25">
      <c r="B36" s="24" t="s">
        <v>63</v>
      </c>
      <c r="C36" s="50">
        <v>1</v>
      </c>
      <c r="D36" s="50">
        <v>0</v>
      </c>
      <c r="E36" s="50">
        <v>0</v>
      </c>
      <c r="F36" s="50">
        <v>3</v>
      </c>
      <c r="G36" s="50">
        <v>0</v>
      </c>
      <c r="H36" s="50">
        <v>0</v>
      </c>
      <c r="I36" s="50">
        <v>2</v>
      </c>
      <c r="J36" s="50">
        <v>0</v>
      </c>
      <c r="K36" s="50">
        <v>0</v>
      </c>
      <c r="L36" s="50">
        <v>0</v>
      </c>
      <c r="M36" s="50">
        <v>65</v>
      </c>
      <c r="N36" s="50">
        <v>0</v>
      </c>
      <c r="O36" s="15">
        <f t="shared" si="0"/>
        <v>6</v>
      </c>
      <c r="P36" s="15">
        <f t="shared" si="1"/>
        <v>71</v>
      </c>
    </row>
    <row r="37" spans="2:20" ht="23.1" customHeight="1" x14ac:dyDescent="0.25">
      <c r="B37" s="23" t="s">
        <v>64</v>
      </c>
      <c r="C37" s="50">
        <v>3</v>
      </c>
      <c r="D37" s="50">
        <v>2</v>
      </c>
      <c r="E37" s="50">
        <v>0</v>
      </c>
      <c r="F37" s="50">
        <v>2</v>
      </c>
      <c r="G37" s="50">
        <v>0</v>
      </c>
      <c r="H37" s="50">
        <v>0</v>
      </c>
      <c r="I37" s="50">
        <v>0</v>
      </c>
      <c r="J37" s="50">
        <v>0</v>
      </c>
      <c r="K37" s="50">
        <v>0</v>
      </c>
      <c r="L37" s="50">
        <v>0</v>
      </c>
      <c r="M37" s="50">
        <v>63</v>
      </c>
      <c r="N37" s="50">
        <v>0</v>
      </c>
      <c r="O37" s="15">
        <f t="shared" si="0"/>
        <v>7</v>
      </c>
      <c r="P37" s="15">
        <f t="shared" si="1"/>
        <v>70</v>
      </c>
    </row>
    <row r="38" spans="2:20" ht="23.1" customHeight="1" x14ac:dyDescent="0.25">
      <c r="B38" s="24" t="s">
        <v>65</v>
      </c>
      <c r="C38" s="50">
        <v>4</v>
      </c>
      <c r="D38" s="50">
        <v>1</v>
      </c>
      <c r="E38" s="50">
        <v>0</v>
      </c>
      <c r="F38" s="50">
        <v>5</v>
      </c>
      <c r="G38" s="50">
        <v>0</v>
      </c>
      <c r="H38" s="50">
        <v>0</v>
      </c>
      <c r="I38" s="50">
        <v>3</v>
      </c>
      <c r="J38" s="50">
        <v>1</v>
      </c>
      <c r="K38" s="50">
        <v>0</v>
      </c>
      <c r="L38" s="50">
        <v>0</v>
      </c>
      <c r="M38" s="50">
        <v>55</v>
      </c>
      <c r="N38" s="50">
        <v>0</v>
      </c>
      <c r="O38" s="15">
        <f t="shared" si="0"/>
        <v>14</v>
      </c>
      <c r="P38" s="15">
        <f t="shared" si="1"/>
        <v>69</v>
      </c>
    </row>
    <row r="39" spans="2:20" ht="23.1" customHeight="1" x14ac:dyDescent="0.25">
      <c r="B39" s="24" t="s">
        <v>66</v>
      </c>
      <c r="C39" s="50">
        <v>2</v>
      </c>
      <c r="D39" s="50">
        <v>0</v>
      </c>
      <c r="E39" s="50">
        <v>0</v>
      </c>
      <c r="F39" s="50">
        <v>0</v>
      </c>
      <c r="G39" s="50">
        <v>0</v>
      </c>
      <c r="H39" s="50">
        <v>0</v>
      </c>
      <c r="I39" s="50">
        <v>1</v>
      </c>
      <c r="J39" s="50">
        <v>2</v>
      </c>
      <c r="K39" s="50">
        <v>0</v>
      </c>
      <c r="L39" s="50">
        <v>0</v>
      </c>
      <c r="M39" s="50">
        <v>64</v>
      </c>
      <c r="N39" s="50">
        <v>0</v>
      </c>
      <c r="O39" s="15">
        <f t="shared" si="0"/>
        <v>5</v>
      </c>
      <c r="P39" s="15">
        <f t="shared" si="1"/>
        <v>69</v>
      </c>
    </row>
    <row r="40" spans="2:20" ht="23.1" customHeight="1" x14ac:dyDescent="0.25">
      <c r="B40" s="24" t="s">
        <v>67</v>
      </c>
      <c r="C40" s="50">
        <v>1</v>
      </c>
      <c r="D40" s="50">
        <v>1</v>
      </c>
      <c r="E40" s="50">
        <v>0</v>
      </c>
      <c r="F40" s="50">
        <v>0</v>
      </c>
      <c r="G40" s="50">
        <v>0</v>
      </c>
      <c r="H40" s="50">
        <v>0</v>
      </c>
      <c r="I40" s="50">
        <v>0</v>
      </c>
      <c r="J40" s="50">
        <v>0</v>
      </c>
      <c r="K40" s="50">
        <v>0</v>
      </c>
      <c r="L40" s="50">
        <v>0</v>
      </c>
      <c r="M40" s="50">
        <v>69</v>
      </c>
      <c r="N40" s="50">
        <v>0</v>
      </c>
      <c r="O40" s="15">
        <f t="shared" si="0"/>
        <v>2</v>
      </c>
      <c r="P40" s="15">
        <f t="shared" si="1"/>
        <v>71</v>
      </c>
    </row>
    <row r="41" spans="2:20" ht="23.1" customHeight="1" x14ac:dyDescent="0.25">
      <c r="B41" s="23" t="s">
        <v>68</v>
      </c>
      <c r="C41" s="50">
        <v>4</v>
      </c>
      <c r="D41" s="50">
        <v>0</v>
      </c>
      <c r="E41" s="50">
        <v>0</v>
      </c>
      <c r="F41" s="50">
        <v>3</v>
      </c>
      <c r="G41" s="50">
        <v>0</v>
      </c>
      <c r="H41" s="50">
        <v>0</v>
      </c>
      <c r="I41" s="50">
        <v>0</v>
      </c>
      <c r="J41" s="50">
        <v>0</v>
      </c>
      <c r="K41" s="50">
        <v>0</v>
      </c>
      <c r="L41" s="50">
        <v>0</v>
      </c>
      <c r="M41" s="50">
        <v>60</v>
      </c>
      <c r="N41" s="50">
        <v>0</v>
      </c>
      <c r="O41" s="15">
        <f t="shared" si="0"/>
        <v>7</v>
      </c>
      <c r="P41" s="15">
        <f t="shared" si="1"/>
        <v>67</v>
      </c>
    </row>
    <row r="42" spans="2:20" ht="23.1" customHeight="1" x14ac:dyDescent="0.25">
      <c r="B42" s="24" t="s">
        <v>69</v>
      </c>
      <c r="C42" s="50">
        <v>3</v>
      </c>
      <c r="D42" s="50">
        <v>1</v>
      </c>
      <c r="E42" s="50">
        <v>0</v>
      </c>
      <c r="F42" s="50">
        <v>1</v>
      </c>
      <c r="G42" s="50">
        <v>0</v>
      </c>
      <c r="H42" s="50">
        <v>0</v>
      </c>
      <c r="I42" s="50">
        <v>1</v>
      </c>
      <c r="J42" s="50">
        <v>2</v>
      </c>
      <c r="K42" s="50">
        <v>0</v>
      </c>
      <c r="L42" s="50">
        <v>0</v>
      </c>
      <c r="M42" s="50">
        <v>70</v>
      </c>
      <c r="N42" s="50">
        <v>0</v>
      </c>
      <c r="O42" s="15">
        <f t="shared" si="0"/>
        <v>8</v>
      </c>
      <c r="P42" s="15">
        <f t="shared" si="1"/>
        <v>78</v>
      </c>
    </row>
    <row r="43" spans="2:20" ht="23.1" customHeight="1" x14ac:dyDescent="0.25">
      <c r="B43" s="23" t="s">
        <v>70</v>
      </c>
      <c r="C43" s="50">
        <v>5</v>
      </c>
      <c r="D43" s="50">
        <v>1</v>
      </c>
      <c r="E43" s="50">
        <v>2</v>
      </c>
      <c r="F43" s="50">
        <v>3</v>
      </c>
      <c r="G43" s="50">
        <v>0</v>
      </c>
      <c r="H43" s="50">
        <v>0</v>
      </c>
      <c r="I43" s="50">
        <v>0</v>
      </c>
      <c r="J43" s="50">
        <v>1</v>
      </c>
      <c r="K43" s="50">
        <v>0</v>
      </c>
      <c r="L43" s="50">
        <v>0</v>
      </c>
      <c r="M43" s="50">
        <v>73</v>
      </c>
      <c r="N43" s="50">
        <v>0</v>
      </c>
      <c r="O43" s="15">
        <f t="shared" si="0"/>
        <v>12</v>
      </c>
      <c r="P43" s="15">
        <f t="shared" si="1"/>
        <v>85</v>
      </c>
    </row>
    <row r="44" spans="2:20" ht="23.1" customHeight="1" x14ac:dyDescent="0.25">
      <c r="B44" s="25" t="s">
        <v>71</v>
      </c>
      <c r="C44" s="50">
        <v>1</v>
      </c>
      <c r="D44" s="50">
        <v>2</v>
      </c>
      <c r="E44" s="50">
        <v>1</v>
      </c>
      <c r="F44" s="50">
        <v>1</v>
      </c>
      <c r="G44" s="50">
        <v>0</v>
      </c>
      <c r="H44" s="50">
        <v>0</v>
      </c>
      <c r="I44" s="50">
        <v>3</v>
      </c>
      <c r="J44" s="50">
        <v>1</v>
      </c>
      <c r="K44" s="50">
        <v>0</v>
      </c>
      <c r="L44" s="50">
        <v>0</v>
      </c>
      <c r="M44" s="50">
        <v>64</v>
      </c>
      <c r="N44" s="50">
        <v>0</v>
      </c>
      <c r="O44" s="15">
        <f t="shared" si="0"/>
        <v>9</v>
      </c>
      <c r="P44" s="15">
        <f t="shared" si="1"/>
        <v>73</v>
      </c>
    </row>
    <row r="45" spans="2:20" ht="23.1" customHeight="1" x14ac:dyDescent="0.25">
      <c r="B45" s="23" t="s">
        <v>72</v>
      </c>
      <c r="C45" s="50">
        <v>2</v>
      </c>
      <c r="D45" s="50">
        <v>0</v>
      </c>
      <c r="E45" s="50">
        <v>0</v>
      </c>
      <c r="F45" s="50">
        <v>1</v>
      </c>
      <c r="G45" s="50">
        <v>0</v>
      </c>
      <c r="H45" s="50">
        <v>0</v>
      </c>
      <c r="I45" s="50">
        <v>1</v>
      </c>
      <c r="J45" s="50">
        <v>1</v>
      </c>
      <c r="K45" s="50">
        <v>0</v>
      </c>
      <c r="L45" s="50">
        <v>0</v>
      </c>
      <c r="M45" s="50">
        <v>63</v>
      </c>
      <c r="N45" s="50">
        <v>0</v>
      </c>
      <c r="O45" s="15">
        <f t="shared" si="0"/>
        <v>5</v>
      </c>
      <c r="P45" s="15">
        <f t="shared" si="1"/>
        <v>68</v>
      </c>
    </row>
    <row r="46" spans="2:20" ht="23.1" customHeight="1" x14ac:dyDescent="0.25">
      <c r="B46" s="24" t="s">
        <v>73</v>
      </c>
      <c r="C46" s="50">
        <v>3</v>
      </c>
      <c r="D46" s="50">
        <v>1</v>
      </c>
      <c r="E46" s="50">
        <v>1</v>
      </c>
      <c r="F46" s="50">
        <v>5</v>
      </c>
      <c r="G46" s="50">
        <v>0</v>
      </c>
      <c r="H46" s="50">
        <v>0</v>
      </c>
      <c r="I46" s="50">
        <v>3</v>
      </c>
      <c r="J46" s="50">
        <v>1</v>
      </c>
      <c r="K46" s="50">
        <v>0</v>
      </c>
      <c r="L46" s="50">
        <v>0</v>
      </c>
      <c r="M46" s="50">
        <v>63</v>
      </c>
      <c r="N46" s="50">
        <v>0</v>
      </c>
      <c r="O46" s="15">
        <f t="shared" si="0"/>
        <v>14</v>
      </c>
      <c r="P46" s="15">
        <f t="shared" si="1"/>
        <v>77</v>
      </c>
      <c r="R46" s="8"/>
      <c r="T46"/>
    </row>
    <row r="47" spans="2:20" ht="23.1" customHeight="1" x14ac:dyDescent="0.25">
      <c r="B47" s="24" t="s">
        <v>74</v>
      </c>
      <c r="C47" s="50">
        <v>1</v>
      </c>
      <c r="D47" s="50">
        <v>2</v>
      </c>
      <c r="E47" s="50">
        <v>3</v>
      </c>
      <c r="F47" s="50">
        <v>7</v>
      </c>
      <c r="G47" s="50">
        <v>0</v>
      </c>
      <c r="H47" s="50">
        <v>0</v>
      </c>
      <c r="I47" s="50">
        <v>1</v>
      </c>
      <c r="J47" s="50">
        <v>1</v>
      </c>
      <c r="K47" s="50">
        <v>0</v>
      </c>
      <c r="L47" s="50">
        <v>0</v>
      </c>
      <c r="M47" s="50">
        <v>54</v>
      </c>
      <c r="N47" s="50">
        <v>0</v>
      </c>
      <c r="O47" s="15">
        <f t="shared" si="0"/>
        <v>15</v>
      </c>
      <c r="P47" s="15">
        <f t="shared" si="1"/>
        <v>69</v>
      </c>
      <c r="R47" s="8"/>
      <c r="T47"/>
    </row>
    <row r="48" spans="2:20" ht="23.1" customHeight="1" x14ac:dyDescent="0.25">
      <c r="B48" s="24" t="s">
        <v>75</v>
      </c>
      <c r="C48" s="50">
        <v>4</v>
      </c>
      <c r="D48" s="50">
        <v>0</v>
      </c>
      <c r="E48" s="50">
        <v>1</v>
      </c>
      <c r="F48" s="50">
        <v>5</v>
      </c>
      <c r="G48" s="50">
        <v>0</v>
      </c>
      <c r="H48" s="50">
        <v>0</v>
      </c>
      <c r="I48" s="50">
        <v>2</v>
      </c>
      <c r="J48" s="50">
        <v>0</v>
      </c>
      <c r="K48" s="50">
        <v>0</v>
      </c>
      <c r="L48" s="50">
        <v>0</v>
      </c>
      <c r="M48" s="50">
        <v>74</v>
      </c>
      <c r="N48" s="50">
        <v>0</v>
      </c>
      <c r="O48" s="15">
        <f t="shared" si="0"/>
        <v>12</v>
      </c>
      <c r="P48" s="15">
        <f t="shared" si="1"/>
        <v>86</v>
      </c>
      <c r="R48" s="8"/>
      <c r="T48"/>
    </row>
    <row r="49" spans="2:20" ht="23.1" customHeight="1" x14ac:dyDescent="0.25">
      <c r="B49" s="23" t="s">
        <v>76</v>
      </c>
      <c r="C49" s="50">
        <v>2</v>
      </c>
      <c r="D49" s="50">
        <v>0</v>
      </c>
      <c r="E49" s="50">
        <v>0</v>
      </c>
      <c r="F49" s="50">
        <v>3</v>
      </c>
      <c r="G49" s="50">
        <v>0</v>
      </c>
      <c r="H49" s="50">
        <v>0</v>
      </c>
      <c r="I49" s="50">
        <v>0</v>
      </c>
      <c r="J49" s="50">
        <v>0</v>
      </c>
      <c r="K49" s="50">
        <v>0</v>
      </c>
      <c r="L49" s="50">
        <v>0</v>
      </c>
      <c r="M49" s="50">
        <v>54</v>
      </c>
      <c r="N49" s="50">
        <v>0</v>
      </c>
      <c r="O49" s="15">
        <f t="shared" si="0"/>
        <v>5</v>
      </c>
      <c r="P49" s="15">
        <f t="shared" si="1"/>
        <v>59</v>
      </c>
      <c r="R49" s="8"/>
      <c r="T49"/>
    </row>
    <row r="50" spans="2:20" ht="23.1" customHeight="1" x14ac:dyDescent="0.25">
      <c r="B50" s="24" t="s">
        <v>77</v>
      </c>
      <c r="C50" s="50">
        <v>2</v>
      </c>
      <c r="D50" s="50">
        <v>1</v>
      </c>
      <c r="E50" s="50">
        <v>2</v>
      </c>
      <c r="F50" s="50">
        <v>3</v>
      </c>
      <c r="G50" s="50">
        <v>0</v>
      </c>
      <c r="H50" s="50">
        <v>0</v>
      </c>
      <c r="I50" s="50">
        <v>1</v>
      </c>
      <c r="J50" s="50">
        <v>1</v>
      </c>
      <c r="K50" s="50">
        <v>0</v>
      </c>
      <c r="L50" s="50">
        <v>0</v>
      </c>
      <c r="M50" s="50">
        <v>62</v>
      </c>
      <c r="N50" s="50">
        <v>0</v>
      </c>
      <c r="O50" s="15">
        <f t="shared" si="0"/>
        <v>10</v>
      </c>
      <c r="P50" s="15">
        <f t="shared" si="1"/>
        <v>72</v>
      </c>
      <c r="R50" s="8"/>
      <c r="T50"/>
    </row>
    <row r="51" spans="2:20" ht="23.1" customHeight="1" x14ac:dyDescent="0.25">
      <c r="B51" s="24" t="s">
        <v>78</v>
      </c>
      <c r="C51" s="50">
        <v>3</v>
      </c>
      <c r="D51" s="50">
        <v>3</v>
      </c>
      <c r="E51" s="50">
        <v>0</v>
      </c>
      <c r="F51" s="50">
        <v>1</v>
      </c>
      <c r="G51" s="50">
        <v>0</v>
      </c>
      <c r="H51" s="50">
        <v>0</v>
      </c>
      <c r="I51" s="50">
        <v>2</v>
      </c>
      <c r="J51" s="50">
        <v>0</v>
      </c>
      <c r="K51" s="50">
        <v>0</v>
      </c>
      <c r="L51" s="50">
        <v>0</v>
      </c>
      <c r="M51" s="50">
        <v>60</v>
      </c>
      <c r="N51" s="50">
        <v>0</v>
      </c>
      <c r="O51" s="15">
        <f t="shared" si="0"/>
        <v>9</v>
      </c>
      <c r="P51" s="15">
        <f t="shared" si="1"/>
        <v>69</v>
      </c>
      <c r="R51" s="8"/>
      <c r="T51"/>
    </row>
    <row r="52" spans="2:20" ht="23.1" customHeight="1" x14ac:dyDescent="0.25">
      <c r="B52" s="24" t="s">
        <v>79</v>
      </c>
      <c r="C52" s="50">
        <v>1</v>
      </c>
      <c r="D52" s="50">
        <v>0</v>
      </c>
      <c r="E52" s="50">
        <v>0</v>
      </c>
      <c r="F52" s="50">
        <v>0</v>
      </c>
      <c r="G52" s="50">
        <v>0</v>
      </c>
      <c r="H52" s="50">
        <v>0</v>
      </c>
      <c r="I52" s="50">
        <v>0</v>
      </c>
      <c r="J52" s="50">
        <v>0</v>
      </c>
      <c r="K52" s="50">
        <v>0</v>
      </c>
      <c r="L52" s="50">
        <v>0</v>
      </c>
      <c r="M52" s="50">
        <v>60</v>
      </c>
      <c r="N52" s="50">
        <v>0</v>
      </c>
      <c r="O52" s="15">
        <f t="shared" si="0"/>
        <v>1</v>
      </c>
      <c r="P52" s="15">
        <f t="shared" si="1"/>
        <v>61</v>
      </c>
      <c r="R52" s="8"/>
      <c r="T52"/>
    </row>
    <row r="53" spans="2:20" ht="23.1" customHeight="1" x14ac:dyDescent="0.25">
      <c r="B53" s="23" t="s">
        <v>80</v>
      </c>
      <c r="C53" s="50">
        <v>2</v>
      </c>
      <c r="D53" s="50">
        <v>0</v>
      </c>
      <c r="E53" s="50">
        <v>0</v>
      </c>
      <c r="F53" s="50">
        <v>0</v>
      </c>
      <c r="G53" s="50">
        <v>0</v>
      </c>
      <c r="H53" s="50">
        <v>0</v>
      </c>
      <c r="I53" s="50">
        <v>0</v>
      </c>
      <c r="J53" s="50">
        <v>2</v>
      </c>
      <c r="K53" s="50">
        <v>1</v>
      </c>
      <c r="L53" s="50">
        <v>0</v>
      </c>
      <c r="M53" s="50">
        <v>69</v>
      </c>
      <c r="N53" s="50">
        <v>0</v>
      </c>
      <c r="O53" s="15">
        <f t="shared" si="0"/>
        <v>5</v>
      </c>
      <c r="P53" s="15">
        <f t="shared" si="1"/>
        <v>74</v>
      </c>
      <c r="R53" s="8"/>
      <c r="T53"/>
    </row>
    <row r="54" spans="2:20" ht="23.1" customHeight="1" x14ac:dyDescent="0.25">
      <c r="B54" s="23" t="s">
        <v>81</v>
      </c>
      <c r="C54" s="50">
        <v>3</v>
      </c>
      <c r="D54" s="50">
        <v>1</v>
      </c>
      <c r="E54" s="50">
        <v>2</v>
      </c>
      <c r="F54" s="50">
        <v>5</v>
      </c>
      <c r="G54" s="50">
        <v>0</v>
      </c>
      <c r="H54" s="50">
        <v>0</v>
      </c>
      <c r="I54" s="50">
        <v>3</v>
      </c>
      <c r="J54" s="50">
        <v>1</v>
      </c>
      <c r="K54" s="50">
        <v>0</v>
      </c>
      <c r="L54" s="50">
        <v>0</v>
      </c>
      <c r="M54" s="50">
        <v>63</v>
      </c>
      <c r="N54" s="50">
        <v>0</v>
      </c>
      <c r="O54" s="15">
        <f t="shared" si="0"/>
        <v>15</v>
      </c>
      <c r="P54" s="15">
        <f t="shared" si="1"/>
        <v>78</v>
      </c>
      <c r="R54" s="8"/>
      <c r="T54"/>
    </row>
    <row r="55" spans="2:20" ht="23.1" customHeight="1" x14ac:dyDescent="0.25">
      <c r="B55" s="23" t="s">
        <v>82</v>
      </c>
      <c r="C55" s="50">
        <v>5</v>
      </c>
      <c r="D55" s="50">
        <v>0</v>
      </c>
      <c r="E55" s="50">
        <v>0</v>
      </c>
      <c r="F55" s="50">
        <v>4</v>
      </c>
      <c r="G55" s="50">
        <v>0</v>
      </c>
      <c r="H55" s="50">
        <v>0</v>
      </c>
      <c r="I55" s="50">
        <v>4</v>
      </c>
      <c r="J55" s="50">
        <v>0</v>
      </c>
      <c r="K55" s="50">
        <v>0</v>
      </c>
      <c r="L55" s="50">
        <v>0</v>
      </c>
      <c r="M55" s="50">
        <v>70</v>
      </c>
      <c r="N55" s="50">
        <v>0</v>
      </c>
      <c r="O55" s="15">
        <f t="shared" si="0"/>
        <v>13</v>
      </c>
      <c r="P55" s="15">
        <f t="shared" si="1"/>
        <v>83</v>
      </c>
      <c r="R55" s="8"/>
      <c r="T55"/>
    </row>
    <row r="56" spans="2:20" ht="23.1" customHeight="1" x14ac:dyDescent="0.25">
      <c r="B56" s="23" t="s">
        <v>83</v>
      </c>
      <c r="C56" s="50">
        <v>1</v>
      </c>
      <c r="D56" s="50">
        <v>0</v>
      </c>
      <c r="E56" s="50">
        <v>2</v>
      </c>
      <c r="F56" s="50">
        <v>2</v>
      </c>
      <c r="G56" s="50">
        <v>0</v>
      </c>
      <c r="H56" s="50">
        <v>0</v>
      </c>
      <c r="I56" s="50">
        <v>1</v>
      </c>
      <c r="J56" s="50">
        <v>0</v>
      </c>
      <c r="K56" s="50">
        <v>0</v>
      </c>
      <c r="L56" s="50">
        <v>0</v>
      </c>
      <c r="M56" s="50">
        <v>60</v>
      </c>
      <c r="N56" s="50">
        <v>0</v>
      </c>
      <c r="O56" s="15">
        <f t="shared" si="0"/>
        <v>6</v>
      </c>
      <c r="P56" s="15">
        <f t="shared" si="1"/>
        <v>66</v>
      </c>
      <c r="R56" s="8"/>
      <c r="T56"/>
    </row>
    <row r="57" spans="2:20" ht="23.1" customHeight="1" x14ac:dyDescent="0.25">
      <c r="B57" s="23" t="s">
        <v>84</v>
      </c>
      <c r="C57" s="50">
        <v>2</v>
      </c>
      <c r="D57" s="50">
        <v>0</v>
      </c>
      <c r="E57" s="50">
        <v>0</v>
      </c>
      <c r="F57" s="50">
        <v>1</v>
      </c>
      <c r="G57" s="50">
        <v>0</v>
      </c>
      <c r="H57" s="50">
        <v>0</v>
      </c>
      <c r="I57" s="50">
        <v>1</v>
      </c>
      <c r="J57" s="50">
        <v>1</v>
      </c>
      <c r="K57" s="50">
        <v>0</v>
      </c>
      <c r="L57" s="50">
        <v>0</v>
      </c>
      <c r="M57" s="50">
        <v>63</v>
      </c>
      <c r="N57" s="50">
        <v>0</v>
      </c>
      <c r="O57" s="15">
        <f t="shared" si="0"/>
        <v>5</v>
      </c>
      <c r="P57" s="15">
        <f t="shared" si="1"/>
        <v>68</v>
      </c>
      <c r="R57" s="8"/>
      <c r="T57"/>
    </row>
    <row r="58" spans="2:20" ht="23.1" customHeight="1" x14ac:dyDescent="0.25">
      <c r="B58" s="26" t="s">
        <v>18</v>
      </c>
      <c r="C58" s="16">
        <f t="shared" ref="C58:P58" si="21">SUM(C10:C57)</f>
        <v>130</v>
      </c>
      <c r="D58" s="16">
        <f t="shared" si="21"/>
        <v>47</v>
      </c>
      <c r="E58" s="16">
        <f t="shared" si="21"/>
        <v>42</v>
      </c>
      <c r="F58" s="16">
        <f t="shared" si="21"/>
        <v>154</v>
      </c>
      <c r="G58" s="16">
        <f t="shared" si="21"/>
        <v>3</v>
      </c>
      <c r="H58" s="16">
        <f t="shared" si="21"/>
        <v>1</v>
      </c>
      <c r="I58" s="16">
        <f t="shared" si="21"/>
        <v>68</v>
      </c>
      <c r="J58" s="16">
        <f t="shared" si="21"/>
        <v>31</v>
      </c>
      <c r="K58" s="16">
        <f t="shared" si="21"/>
        <v>6</v>
      </c>
      <c r="L58" s="16">
        <f t="shared" si="21"/>
        <v>1</v>
      </c>
      <c r="M58" s="16">
        <f t="shared" si="21"/>
        <v>3100</v>
      </c>
      <c r="N58" s="16">
        <f t="shared" si="21"/>
        <v>1</v>
      </c>
      <c r="O58" s="16">
        <f t="shared" si="21"/>
        <v>484</v>
      </c>
      <c r="P58" s="16">
        <f t="shared" si="21"/>
        <v>3584</v>
      </c>
      <c r="R58" s="8"/>
      <c r="T58"/>
    </row>
    <row r="59" spans="2:20" ht="23.1" customHeight="1" x14ac:dyDescent="0.25">
      <c r="B59" s="26" t="s">
        <v>93</v>
      </c>
      <c r="C59" s="43">
        <f t="shared" ref="C59:N59" si="22">C58/$P$58</f>
        <v>3.6272321428571432E-2</v>
      </c>
      <c r="D59" s="43">
        <f t="shared" si="22"/>
        <v>1.3113839285714286E-2</v>
      </c>
      <c r="E59" s="43">
        <f t="shared" si="22"/>
        <v>1.171875E-2</v>
      </c>
      <c r="F59" s="43">
        <f t="shared" si="22"/>
        <v>4.296875E-2</v>
      </c>
      <c r="G59" s="43">
        <f t="shared" si="22"/>
        <v>8.3705357142857138E-4</v>
      </c>
      <c r="H59" s="43">
        <f t="shared" si="22"/>
        <v>2.7901785714285713E-4</v>
      </c>
      <c r="I59" s="43">
        <f t="shared" si="22"/>
        <v>1.8973214285714284E-2</v>
      </c>
      <c r="J59" s="43">
        <f t="shared" si="22"/>
        <v>8.6495535714285719E-3</v>
      </c>
      <c r="K59" s="43">
        <f t="shared" si="22"/>
        <v>1.6741071428571428E-3</v>
      </c>
      <c r="L59" s="43">
        <f t="shared" si="22"/>
        <v>2.7901785714285713E-4</v>
      </c>
      <c r="M59" s="43">
        <f t="shared" si="22"/>
        <v>0.8649553571428571</v>
      </c>
      <c r="N59" s="43">
        <f t="shared" si="22"/>
        <v>2.7901785714285713E-4</v>
      </c>
      <c r="R59" s="8"/>
      <c r="T59"/>
    </row>
    <row r="60" spans="2:20" ht="23.1" customHeight="1" x14ac:dyDescent="0.25">
      <c r="B60" s="42" t="s">
        <v>94</v>
      </c>
      <c r="C60" s="44">
        <f>C58/$O$58</f>
        <v>0.26859504132231404</v>
      </c>
      <c r="D60" s="44">
        <f t="shared" ref="D60:N60" si="23">D58/$O$58</f>
        <v>9.7107438016528921E-2</v>
      </c>
      <c r="E60" s="44">
        <f t="shared" si="23"/>
        <v>8.6776859504132234E-2</v>
      </c>
      <c r="F60" s="44">
        <f t="shared" si="23"/>
        <v>0.31818181818181818</v>
      </c>
      <c r="G60" s="44">
        <f t="shared" si="23"/>
        <v>6.1983471074380167E-3</v>
      </c>
      <c r="H60" s="44">
        <f t="shared" si="23"/>
        <v>2.0661157024793389E-3</v>
      </c>
      <c r="I60" s="44">
        <f t="shared" si="23"/>
        <v>0.14049586776859505</v>
      </c>
      <c r="J60" s="44">
        <f t="shared" si="23"/>
        <v>6.4049586776859499E-2</v>
      </c>
      <c r="K60" s="44">
        <f t="shared" si="23"/>
        <v>1.2396694214876033E-2</v>
      </c>
      <c r="L60" s="44">
        <f t="shared" si="23"/>
        <v>2.0661157024793389E-3</v>
      </c>
      <c r="M60" s="44"/>
      <c r="N60" s="44">
        <f t="shared" si="23"/>
        <v>2.0661157024793389E-3</v>
      </c>
      <c r="Q60" s="7"/>
      <c r="R60" s="8"/>
      <c r="T60"/>
    </row>
    <row r="61" spans="2:20" ht="20.100000000000001" customHeight="1" x14ac:dyDescent="0.25">
      <c r="B61" s="3"/>
      <c r="C61" s="18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Q61" s="7"/>
      <c r="R61" s="8"/>
      <c r="T61"/>
    </row>
    <row r="62" spans="2:20" ht="20.100000000000001" customHeight="1" x14ac:dyDescent="0.25">
      <c r="B62" s="3"/>
      <c r="C62" s="18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Q62" s="7"/>
      <c r="R62" s="8"/>
      <c r="T62"/>
    </row>
    <row r="63" spans="2:20" ht="20.100000000000001" customHeight="1" x14ac:dyDescent="0.25">
      <c r="B63" s="3"/>
      <c r="C63" s="18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Q63" s="7"/>
    </row>
    <row r="64" spans="2:20" ht="20.100000000000001" customHeight="1" x14ac:dyDescent="0.25">
      <c r="B64" s="3"/>
      <c r="C64" s="18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Q64" s="7"/>
    </row>
    <row r="65" spans="2:20" s="7" customFormat="1" ht="20.100000000000001" customHeight="1" x14ac:dyDescent="0.25"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/>
      <c r="P65"/>
      <c r="S65" s="8"/>
      <c r="T65" s="8"/>
    </row>
    <row r="66" spans="2:20" s="7" customFormat="1" ht="20.100000000000001" customHeight="1" x14ac:dyDescent="0.25"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/>
      <c r="P66"/>
      <c r="S66" s="8"/>
      <c r="T66" s="8"/>
    </row>
    <row r="67" spans="2:20" s="7" customFormat="1" ht="20.100000000000001" customHeight="1" x14ac:dyDescent="0.25"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/>
      <c r="P67"/>
      <c r="S67" s="8"/>
      <c r="T67" s="8"/>
    </row>
    <row r="68" spans="2:20" s="7" customFormat="1" ht="20.100000000000001" customHeight="1" x14ac:dyDescent="0.25"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/>
      <c r="P68"/>
      <c r="S68" s="8"/>
      <c r="T68" s="8"/>
    </row>
    <row r="69" spans="2:20" s="7" customFormat="1" ht="20.100000000000001" customHeight="1" x14ac:dyDescent="0.25"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/>
      <c r="P69"/>
      <c r="S69" s="8"/>
      <c r="T69" s="8"/>
    </row>
    <row r="70" spans="2:20" s="7" customFormat="1" ht="20.100000000000001" customHeight="1" x14ac:dyDescent="0.25"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/>
      <c r="P70"/>
      <c r="S70" s="8"/>
      <c r="T70" s="8"/>
    </row>
    <row r="71" spans="2:20" s="7" customFormat="1" ht="20.100000000000001" customHeight="1" x14ac:dyDescent="0.25"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/>
      <c r="P71"/>
      <c r="S71" s="8"/>
      <c r="T71" s="8"/>
    </row>
    <row r="72" spans="2:20" s="7" customFormat="1" ht="20.100000000000001" customHeight="1" x14ac:dyDescent="0.25"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/>
      <c r="P72"/>
      <c r="S72" s="8"/>
      <c r="T72" s="8"/>
    </row>
    <row r="73" spans="2:20" s="7" customFormat="1" ht="20.100000000000001" customHeight="1" x14ac:dyDescent="0.25"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/>
      <c r="P73"/>
      <c r="S73" s="8"/>
      <c r="T73" s="8"/>
    </row>
    <row r="74" spans="2:20" s="7" customFormat="1" ht="20.100000000000001" customHeight="1" x14ac:dyDescent="0.25"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/>
      <c r="P74"/>
      <c r="S74" s="8"/>
      <c r="T74" s="8"/>
    </row>
    <row r="75" spans="2:20" s="7" customFormat="1" ht="20.100000000000001" customHeight="1" x14ac:dyDescent="0.25"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/>
      <c r="P75"/>
      <c r="S75" s="8"/>
      <c r="T75" s="8"/>
    </row>
    <row r="76" spans="2:20" s="7" customFormat="1" ht="20.100000000000001" customHeight="1" x14ac:dyDescent="0.25"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/>
      <c r="P76"/>
      <c r="S76" s="8"/>
      <c r="T76" s="8"/>
    </row>
    <row r="77" spans="2:20" s="7" customFormat="1" ht="20.100000000000001" customHeight="1" x14ac:dyDescent="0.25"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/>
      <c r="P77"/>
      <c r="Q77"/>
      <c r="S77" s="8"/>
      <c r="T77" s="8"/>
    </row>
    <row r="78" spans="2:20" s="7" customFormat="1" ht="20.100000000000001" customHeight="1" x14ac:dyDescent="0.25"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/>
      <c r="P78"/>
      <c r="Q78"/>
      <c r="S78" s="8"/>
      <c r="T78" s="8"/>
    </row>
    <row r="79" spans="2:20" s="7" customFormat="1" ht="20.100000000000001" customHeight="1" x14ac:dyDescent="0.25"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/>
      <c r="P79"/>
      <c r="Q79"/>
      <c r="S79" s="8"/>
      <c r="T79" s="8"/>
    </row>
    <row r="80" spans="2:20" s="7" customFormat="1" ht="20.100000000000001" customHeight="1" x14ac:dyDescent="0.25"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/>
      <c r="P80"/>
      <c r="Q80"/>
      <c r="S80" s="8"/>
      <c r="T80" s="8"/>
    </row>
    <row r="81" spans="2:14" ht="20.100000000000001" customHeight="1" x14ac:dyDescent="0.25"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</row>
    <row r="82" spans="2:14" ht="20.100000000000001" customHeight="1" x14ac:dyDescent="0.25"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</row>
    <row r="83" spans="2:14" ht="20.100000000000001" customHeight="1" x14ac:dyDescent="0.25"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</row>
    <row r="84" spans="2:14" ht="20.100000000000001" customHeight="1" x14ac:dyDescent="0.25"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</row>
    <row r="85" spans="2:14" ht="20.100000000000001" customHeight="1" x14ac:dyDescent="0.25"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</row>
    <row r="86" spans="2:14" ht="20.100000000000001" customHeight="1" x14ac:dyDescent="0.25"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</row>
    <row r="87" spans="2:14" ht="20.100000000000001" customHeight="1" x14ac:dyDescent="0.25"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</row>
    <row r="88" spans="2:14" ht="20.100000000000001" customHeight="1" x14ac:dyDescent="0.25"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</row>
    <row r="89" spans="2:14" ht="20.100000000000001" customHeight="1" x14ac:dyDescent="0.25"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</row>
    <row r="90" spans="2:14" ht="20.100000000000001" customHeight="1" x14ac:dyDescent="0.25"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</row>
    <row r="91" spans="2:14" ht="20.100000000000001" customHeight="1" x14ac:dyDescent="0.25"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</row>
    <row r="92" spans="2:14" ht="20.100000000000001" customHeight="1" x14ac:dyDescent="0.25"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</row>
    <row r="93" spans="2:14" ht="20.100000000000001" customHeight="1" x14ac:dyDescent="0.25"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</row>
    <row r="94" spans="2:14" ht="20.100000000000001" customHeight="1" x14ac:dyDescent="0.25"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</row>
    <row r="95" spans="2:14" ht="20.100000000000001" customHeight="1" x14ac:dyDescent="0.25"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</row>
    <row r="96" spans="2:14" ht="20.100000000000001" customHeight="1" x14ac:dyDescent="0.25"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</row>
    <row r="97" spans="2:14" ht="20.100000000000001" customHeight="1" x14ac:dyDescent="0.25"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</row>
    <row r="98" spans="2:14" ht="20.100000000000001" customHeight="1" x14ac:dyDescent="0.25"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</row>
    <row r="99" spans="2:14" ht="20.100000000000001" customHeight="1" x14ac:dyDescent="0.25"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</row>
    <row r="100" spans="2:14" ht="20.100000000000001" customHeight="1" x14ac:dyDescent="0.25"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</row>
    <row r="101" spans="2:14" ht="20.100000000000001" customHeight="1" x14ac:dyDescent="0.25"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</row>
    <row r="102" spans="2:14" ht="20.100000000000001" customHeight="1" x14ac:dyDescent="0.25"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</row>
    <row r="103" spans="2:14" ht="20.100000000000001" customHeight="1" x14ac:dyDescent="0.25"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</row>
    <row r="104" spans="2:14" ht="22.5" customHeight="1" x14ac:dyDescent="0.25"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</row>
    <row r="105" spans="2:14" ht="20.100000000000001" customHeight="1" x14ac:dyDescent="0.25"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</row>
    <row r="106" spans="2:14" ht="20.100000000000001" customHeight="1" x14ac:dyDescent="0.25"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</row>
    <row r="107" spans="2:14" ht="20.100000000000001" customHeight="1" x14ac:dyDescent="0.25"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</row>
    <row r="108" spans="2:14" ht="20.100000000000001" customHeight="1" x14ac:dyDescent="0.25"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</row>
    <row r="109" spans="2:14" ht="20.100000000000001" customHeight="1" x14ac:dyDescent="0.25"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</row>
    <row r="110" spans="2:14" ht="20.100000000000001" customHeight="1" x14ac:dyDescent="0.25"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</row>
    <row r="111" spans="2:14" ht="20.100000000000001" customHeight="1" x14ac:dyDescent="0.25"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</row>
    <row r="112" spans="2:14" ht="20.100000000000001" customHeight="1" x14ac:dyDescent="0.25"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</row>
    <row r="113" spans="2:14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</row>
    <row r="114" spans="2:14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</row>
    <row r="115" spans="2:14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</row>
    <row r="116" spans="2:14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</row>
    <row r="117" spans="2:14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</row>
    <row r="118" spans="2:14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</row>
    <row r="119" spans="2:14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</row>
    <row r="120" spans="2:14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</row>
    <row r="121" spans="2:14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</row>
    <row r="122" spans="2:14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</row>
    <row r="123" spans="2:14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</row>
    <row r="124" spans="2:14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</row>
    <row r="125" spans="2:14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</row>
    <row r="126" spans="2:14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</row>
  </sheetData>
  <mergeCells count="9">
    <mergeCell ref="R8:AF8"/>
    <mergeCell ref="D6:E6"/>
    <mergeCell ref="K6:L6"/>
    <mergeCell ref="K5:L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40" orientation="landscape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tabSelected="1" view="pageBreakPreview" zoomScale="60" workbookViewId="0">
      <selection activeCell="S103" sqref="S103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'28.08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'28.08 Iganga-Kaliro'!G5:H5</f>
        <v>Kigulu</v>
      </c>
      <c r="H5" s="62"/>
      <c r="I5" s="14"/>
      <c r="J5" s="2" t="s">
        <v>5</v>
      </c>
      <c r="K5" s="61" t="str">
        <f>'28.08 Iganga-Kaliro'!K5:L5</f>
        <v>Racheal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'28.08 Iganga-Kaliro'!D6:E6</f>
        <v>Iganga</v>
      </c>
      <c r="E6" s="62"/>
      <c r="F6" s="2" t="s">
        <v>2</v>
      </c>
      <c r="G6" s="61" t="str">
        <f>'28.08 Iganga-Kaliro'!G6:H6</f>
        <v>Kaliro</v>
      </c>
      <c r="H6" s="62"/>
      <c r="J6" s="2" t="s">
        <v>21</v>
      </c>
      <c r="K6" s="61" t="str">
        <f>'28.08 Iganga-Kaliro'!K6:L6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Iganga-Kaliro'!C10,'23.08 Iganga-Kaliro'!C10,'25.08 Iganga-Kaliro'!C10,'27.08 Iganga-Kaliro'!C10,'24.08 Iganga-Kaliro-24h'!C10,'26.08 Iganga-Kaliro-24h'!C10,'28.08 Iganga-Kaliro'!C10)</f>
        <v>3.8571428571428572</v>
      </c>
      <c r="D10" s="49">
        <f>AVERAGE('22.08 Iganga-Kaliro'!D10,'23.08 Iganga-Kaliro'!D10,'25.08 Iganga-Kaliro'!D10,'27.08 Iganga-Kaliro'!D10,'24.08 Iganga-Kaliro-24h'!D10,'26.08 Iganga-Kaliro-24h'!D10,'28.08 Iganga-Kaliro'!D10)</f>
        <v>3</v>
      </c>
      <c r="E10" s="49">
        <f>AVERAGE('22.08 Iganga-Kaliro'!E10,'23.08 Iganga-Kaliro'!E10,'25.08 Iganga-Kaliro'!E10,'27.08 Iganga-Kaliro'!E10,'24.08 Iganga-Kaliro-24h'!E10,'26.08 Iganga-Kaliro-24h'!E10,'28.08 Iganga-Kaliro'!E10)</f>
        <v>1.4285714285714286</v>
      </c>
      <c r="F10" s="49">
        <f>AVERAGE('22.08 Iganga-Kaliro'!F10,'23.08 Iganga-Kaliro'!F10,'25.08 Iganga-Kaliro'!F10,'27.08 Iganga-Kaliro'!F10,'24.08 Iganga-Kaliro-24h'!F10,'26.08 Iganga-Kaliro-24h'!F10,'28.08 Iganga-Kaliro'!F10)</f>
        <v>6.2857142857142856</v>
      </c>
      <c r="G10" s="49">
        <f>AVERAGE('22.08 Iganga-Kaliro'!G10,'23.08 Iganga-Kaliro'!G10,'25.08 Iganga-Kaliro'!G10,'27.08 Iganga-Kaliro'!G10,'24.08 Iganga-Kaliro-24h'!G10,'26.08 Iganga-Kaliro-24h'!G10,'28.08 Iganga-Kaliro'!G10)</f>
        <v>1.7142857142857142</v>
      </c>
      <c r="H10" s="49">
        <f>AVERAGE('22.08 Iganga-Kaliro'!H10,'23.08 Iganga-Kaliro'!H10,'25.08 Iganga-Kaliro'!H10,'27.08 Iganga-Kaliro'!H10,'24.08 Iganga-Kaliro-24h'!H10,'26.08 Iganga-Kaliro-24h'!H10,'28.08 Iganga-Kaliro'!H10)</f>
        <v>0.42857142857142855</v>
      </c>
      <c r="I10" s="49">
        <f>AVERAGE('22.08 Iganga-Kaliro'!I10,'23.08 Iganga-Kaliro'!I10,'25.08 Iganga-Kaliro'!I10,'27.08 Iganga-Kaliro'!I10,'24.08 Iganga-Kaliro-24h'!I10,'26.08 Iganga-Kaliro-24h'!I10,'28.08 Iganga-Kaliro'!I10)</f>
        <v>2</v>
      </c>
      <c r="J10" s="49">
        <f>AVERAGE('22.08 Iganga-Kaliro'!J10,'23.08 Iganga-Kaliro'!J10,'25.08 Iganga-Kaliro'!J10,'27.08 Iganga-Kaliro'!J10,'24.08 Iganga-Kaliro-24h'!J10,'26.08 Iganga-Kaliro-24h'!J10,'28.08 Iganga-Kaliro'!J10)</f>
        <v>0.42857142857142855</v>
      </c>
      <c r="K10" s="49">
        <f>AVERAGE('22.08 Iganga-Kaliro'!K10,'23.08 Iganga-Kaliro'!K10,'25.08 Iganga-Kaliro'!K10,'27.08 Iganga-Kaliro'!K10,'24.08 Iganga-Kaliro-24h'!K10,'26.08 Iganga-Kaliro-24h'!K10,'28.08 Iganga-Kaliro'!K10)</f>
        <v>0.2857142857142857</v>
      </c>
      <c r="L10" s="49">
        <f>AVERAGE('22.08 Iganga-Kaliro'!L10,'23.08 Iganga-Kaliro'!L10,'25.08 Iganga-Kaliro'!L10,'27.08 Iganga-Kaliro'!L10,'24.08 Iganga-Kaliro-24h'!L10,'26.08 Iganga-Kaliro-24h'!L10,'28.08 Iganga-Kaliro'!L10)</f>
        <v>0</v>
      </c>
      <c r="M10" s="49">
        <f>AVERAGE('22.08 Iganga-Kaliro'!M10,'23.08 Iganga-Kaliro'!M10,'25.08 Iganga-Kaliro'!M10,'27.08 Iganga-Kaliro'!M10,'24.08 Iganga-Kaliro-24h'!M10,'26.08 Iganga-Kaliro-24h'!M10,'28.08 Iganga-Kaliro'!M10)</f>
        <v>43.285714285714285</v>
      </c>
      <c r="N10" s="49">
        <f>AVERAGE('22.08 Iganga-Kaliro'!N10,'23.08 Iganga-Kaliro'!N10,'25.08 Iganga-Kaliro'!N10,'27.08 Iganga-Kaliro'!N10,'24.08 Iganga-Kaliro-24h'!N10,'26.08 Iganga-Kaliro-24h'!N10,'28.08 Iganga-Kaliro'!N10)</f>
        <v>0</v>
      </c>
      <c r="O10" s="15">
        <f t="shared" ref="O10:O73" si="0">SUM(C10:L10,N10)</f>
        <v>19.428571428571427</v>
      </c>
      <c r="P10" s="15">
        <f t="shared" ref="P10:P73" si="1">SUM(C10:N10)</f>
        <v>62.714285714285708</v>
      </c>
      <c r="R10" s="1" t="s">
        <v>6</v>
      </c>
      <c r="S10" s="17">
        <f t="shared" ref="S10:AF10" si="2">SUM(C10:C13)</f>
        <v>12.428571428571429</v>
      </c>
      <c r="T10" s="17">
        <f t="shared" si="2"/>
        <v>9.2857142857142865</v>
      </c>
      <c r="U10" s="17">
        <f t="shared" si="2"/>
        <v>8.4285714285714288</v>
      </c>
      <c r="V10" s="17">
        <f t="shared" si="2"/>
        <v>19.857142857142854</v>
      </c>
      <c r="W10" s="17">
        <f t="shared" si="2"/>
        <v>2.9999999999999996</v>
      </c>
      <c r="X10" s="17">
        <f t="shared" si="2"/>
        <v>1.4285714285714284</v>
      </c>
      <c r="Y10" s="17">
        <f t="shared" si="2"/>
        <v>7.4285714285714288</v>
      </c>
      <c r="Z10" s="17">
        <f t="shared" si="2"/>
        <v>3.8571428571428568</v>
      </c>
      <c r="AA10" s="17">
        <f t="shared" si="2"/>
        <v>0.42857142857142855</v>
      </c>
      <c r="AB10" s="17">
        <f t="shared" si="2"/>
        <v>0</v>
      </c>
      <c r="AC10" s="17">
        <f t="shared" si="2"/>
        <v>226.14285714285714</v>
      </c>
      <c r="AD10" s="17">
        <f t="shared" si="2"/>
        <v>0.42857142857142855</v>
      </c>
      <c r="AE10" s="31">
        <f t="shared" si="2"/>
        <v>66.571428571428569</v>
      </c>
      <c r="AF10" s="31">
        <f t="shared" si="2"/>
        <v>292.71428571428572</v>
      </c>
    </row>
    <row r="11" spans="2:32" s="6" customFormat="1" ht="23.1" customHeight="1" x14ac:dyDescent="0.25">
      <c r="B11" s="23" t="s">
        <v>38</v>
      </c>
      <c r="C11" s="49">
        <f>AVERAGE('22.08 Iganga-Kaliro'!C11,'23.08 Iganga-Kaliro'!C11,'25.08 Iganga-Kaliro'!C11,'27.08 Iganga-Kaliro'!C11,'24.08 Iganga-Kaliro-24h'!C11,'26.08 Iganga-Kaliro-24h'!C11,'28.08 Iganga-Kaliro'!C11)</f>
        <v>2.8571428571428572</v>
      </c>
      <c r="D11" s="49">
        <f>AVERAGE('22.08 Iganga-Kaliro'!D11,'23.08 Iganga-Kaliro'!D11,'25.08 Iganga-Kaliro'!D11,'27.08 Iganga-Kaliro'!D11,'24.08 Iganga-Kaliro-24h'!D11,'26.08 Iganga-Kaliro-24h'!D11,'28.08 Iganga-Kaliro'!D11)</f>
        <v>1.8571428571428572</v>
      </c>
      <c r="E11" s="49">
        <f>AVERAGE('22.08 Iganga-Kaliro'!E11,'23.08 Iganga-Kaliro'!E11,'25.08 Iganga-Kaliro'!E11,'27.08 Iganga-Kaliro'!E11,'24.08 Iganga-Kaliro-24h'!E11,'26.08 Iganga-Kaliro-24h'!E11,'28.08 Iganga-Kaliro'!E11)</f>
        <v>2</v>
      </c>
      <c r="F11" s="49">
        <f>AVERAGE('22.08 Iganga-Kaliro'!F11,'23.08 Iganga-Kaliro'!F11,'25.08 Iganga-Kaliro'!F11,'27.08 Iganga-Kaliro'!F11,'24.08 Iganga-Kaliro-24h'!F11,'26.08 Iganga-Kaliro-24h'!F11,'28.08 Iganga-Kaliro'!F11)</f>
        <v>5.7142857142857144</v>
      </c>
      <c r="G11" s="49">
        <f>AVERAGE('22.08 Iganga-Kaliro'!G11,'23.08 Iganga-Kaliro'!G11,'25.08 Iganga-Kaliro'!G11,'27.08 Iganga-Kaliro'!G11,'24.08 Iganga-Kaliro-24h'!G11,'26.08 Iganga-Kaliro-24h'!G11,'28.08 Iganga-Kaliro'!G11)</f>
        <v>0.7142857142857143</v>
      </c>
      <c r="H11" s="49">
        <f>AVERAGE('22.08 Iganga-Kaliro'!H11,'23.08 Iganga-Kaliro'!H11,'25.08 Iganga-Kaliro'!H11,'27.08 Iganga-Kaliro'!H11,'24.08 Iganga-Kaliro-24h'!H11,'26.08 Iganga-Kaliro-24h'!H11,'28.08 Iganga-Kaliro'!H11)</f>
        <v>0.2857142857142857</v>
      </c>
      <c r="I11" s="49">
        <f>AVERAGE('22.08 Iganga-Kaliro'!I11,'23.08 Iganga-Kaliro'!I11,'25.08 Iganga-Kaliro'!I11,'27.08 Iganga-Kaliro'!I11,'24.08 Iganga-Kaliro-24h'!I11,'26.08 Iganga-Kaliro-24h'!I11,'28.08 Iganga-Kaliro'!I11)</f>
        <v>1.4285714285714286</v>
      </c>
      <c r="J11" s="49">
        <f>AVERAGE('22.08 Iganga-Kaliro'!J11,'23.08 Iganga-Kaliro'!J11,'25.08 Iganga-Kaliro'!J11,'27.08 Iganga-Kaliro'!J11,'24.08 Iganga-Kaliro-24h'!J11,'26.08 Iganga-Kaliro-24h'!J11,'28.08 Iganga-Kaliro'!J11)</f>
        <v>0.8571428571428571</v>
      </c>
      <c r="K11" s="49">
        <f>AVERAGE('22.08 Iganga-Kaliro'!K11,'23.08 Iganga-Kaliro'!K11,'25.08 Iganga-Kaliro'!K11,'27.08 Iganga-Kaliro'!K11,'24.08 Iganga-Kaliro-24h'!K11,'26.08 Iganga-Kaliro-24h'!K11,'28.08 Iganga-Kaliro'!K11)</f>
        <v>0</v>
      </c>
      <c r="L11" s="49">
        <f>AVERAGE('22.08 Iganga-Kaliro'!L11,'23.08 Iganga-Kaliro'!L11,'25.08 Iganga-Kaliro'!L11,'27.08 Iganga-Kaliro'!L11,'24.08 Iganga-Kaliro-24h'!L11,'26.08 Iganga-Kaliro-24h'!L11,'28.08 Iganga-Kaliro'!L11)</f>
        <v>0</v>
      </c>
      <c r="M11" s="49">
        <f>AVERAGE('22.08 Iganga-Kaliro'!M11,'23.08 Iganga-Kaliro'!M11,'25.08 Iganga-Kaliro'!M11,'27.08 Iganga-Kaliro'!M11,'24.08 Iganga-Kaliro-24h'!M11,'26.08 Iganga-Kaliro-24h'!M11,'28.08 Iganga-Kaliro'!M11)</f>
        <v>59.285714285714285</v>
      </c>
      <c r="N11" s="49">
        <f>AVERAGE('22.08 Iganga-Kaliro'!N11,'23.08 Iganga-Kaliro'!N11,'25.08 Iganga-Kaliro'!N11,'27.08 Iganga-Kaliro'!N11,'24.08 Iganga-Kaliro-24h'!N11,'26.08 Iganga-Kaliro-24h'!N11,'28.08 Iganga-Kaliro'!N11)</f>
        <v>0.2857142857142857</v>
      </c>
      <c r="O11" s="15">
        <f t="shared" si="0"/>
        <v>16</v>
      </c>
      <c r="P11" s="15">
        <f t="shared" si="1"/>
        <v>75.285714285714292</v>
      </c>
      <c r="R11" s="1" t="s">
        <v>7</v>
      </c>
      <c r="S11" s="17">
        <f t="shared" ref="S11:AF11" si="3">SUM(C14:C17)</f>
        <v>12.428571428571429</v>
      </c>
      <c r="T11" s="17">
        <f t="shared" si="3"/>
        <v>10</v>
      </c>
      <c r="U11" s="17">
        <f t="shared" si="3"/>
        <v>4.5714285714285712</v>
      </c>
      <c r="V11" s="17">
        <f t="shared" si="3"/>
        <v>9.1428571428571423</v>
      </c>
      <c r="W11" s="17">
        <f t="shared" si="3"/>
        <v>0.71428571428571419</v>
      </c>
      <c r="X11" s="17">
        <f t="shared" si="3"/>
        <v>0</v>
      </c>
      <c r="Y11" s="17">
        <f t="shared" si="3"/>
        <v>4.5714285714285712</v>
      </c>
      <c r="Z11" s="17">
        <f t="shared" si="3"/>
        <v>4.1428571428571432</v>
      </c>
      <c r="AA11" s="17">
        <f t="shared" si="3"/>
        <v>0.8571428571428571</v>
      </c>
      <c r="AB11" s="17">
        <f t="shared" si="3"/>
        <v>0</v>
      </c>
      <c r="AC11" s="17">
        <f t="shared" si="3"/>
        <v>251.28571428571431</v>
      </c>
      <c r="AD11" s="17">
        <f t="shared" si="3"/>
        <v>0.2857142857142857</v>
      </c>
      <c r="AE11" s="31">
        <f t="shared" si="3"/>
        <v>46.714285714285715</v>
      </c>
      <c r="AF11" s="31">
        <f t="shared" si="3"/>
        <v>298</v>
      </c>
    </row>
    <row r="12" spans="2:32" ht="23.1" customHeight="1" x14ac:dyDescent="0.25">
      <c r="B12" s="23" t="s">
        <v>39</v>
      </c>
      <c r="C12" s="49">
        <f>AVERAGE('22.08 Iganga-Kaliro'!C12,'23.08 Iganga-Kaliro'!C12,'25.08 Iganga-Kaliro'!C12,'27.08 Iganga-Kaliro'!C12,'24.08 Iganga-Kaliro-24h'!C12,'26.08 Iganga-Kaliro-24h'!C12,'28.08 Iganga-Kaliro'!C12)</f>
        <v>2.5714285714285716</v>
      </c>
      <c r="D12" s="49">
        <f>AVERAGE('22.08 Iganga-Kaliro'!D12,'23.08 Iganga-Kaliro'!D12,'25.08 Iganga-Kaliro'!D12,'27.08 Iganga-Kaliro'!D12,'24.08 Iganga-Kaliro-24h'!D12,'26.08 Iganga-Kaliro-24h'!D12,'28.08 Iganga-Kaliro'!D12)</f>
        <v>2.5714285714285716</v>
      </c>
      <c r="E12" s="49">
        <f>AVERAGE('22.08 Iganga-Kaliro'!E12,'23.08 Iganga-Kaliro'!E12,'25.08 Iganga-Kaliro'!E12,'27.08 Iganga-Kaliro'!E12,'24.08 Iganga-Kaliro-24h'!E12,'26.08 Iganga-Kaliro-24h'!E12,'28.08 Iganga-Kaliro'!E12)</f>
        <v>2.8571428571428572</v>
      </c>
      <c r="F12" s="49">
        <f>AVERAGE('22.08 Iganga-Kaliro'!F12,'23.08 Iganga-Kaliro'!F12,'25.08 Iganga-Kaliro'!F12,'27.08 Iganga-Kaliro'!F12,'24.08 Iganga-Kaliro-24h'!F12,'26.08 Iganga-Kaliro-24h'!F12,'28.08 Iganga-Kaliro'!F12)</f>
        <v>4.5714285714285712</v>
      </c>
      <c r="G12" s="49">
        <f>AVERAGE('22.08 Iganga-Kaliro'!G12,'23.08 Iganga-Kaliro'!G12,'25.08 Iganga-Kaliro'!G12,'27.08 Iganga-Kaliro'!G12,'24.08 Iganga-Kaliro-24h'!G12,'26.08 Iganga-Kaliro-24h'!G12,'28.08 Iganga-Kaliro'!G12)</f>
        <v>0.14285714285714285</v>
      </c>
      <c r="H12" s="49">
        <f>AVERAGE('22.08 Iganga-Kaliro'!H12,'23.08 Iganga-Kaliro'!H12,'25.08 Iganga-Kaliro'!H12,'27.08 Iganga-Kaliro'!H12,'24.08 Iganga-Kaliro-24h'!H12,'26.08 Iganga-Kaliro-24h'!H12,'28.08 Iganga-Kaliro'!H12)</f>
        <v>0</v>
      </c>
      <c r="I12" s="49">
        <f>AVERAGE('22.08 Iganga-Kaliro'!I12,'23.08 Iganga-Kaliro'!I12,'25.08 Iganga-Kaliro'!I12,'27.08 Iganga-Kaliro'!I12,'24.08 Iganga-Kaliro-24h'!I12,'26.08 Iganga-Kaliro-24h'!I12,'28.08 Iganga-Kaliro'!I12)</f>
        <v>1.8571428571428572</v>
      </c>
      <c r="J12" s="49">
        <f>AVERAGE('22.08 Iganga-Kaliro'!J12,'23.08 Iganga-Kaliro'!J12,'25.08 Iganga-Kaliro'!J12,'27.08 Iganga-Kaliro'!J12,'24.08 Iganga-Kaliro-24h'!J12,'26.08 Iganga-Kaliro-24h'!J12,'28.08 Iganga-Kaliro'!J12)</f>
        <v>1.5714285714285714</v>
      </c>
      <c r="K12" s="49">
        <f>AVERAGE('22.08 Iganga-Kaliro'!K12,'23.08 Iganga-Kaliro'!K12,'25.08 Iganga-Kaliro'!K12,'27.08 Iganga-Kaliro'!K12,'24.08 Iganga-Kaliro-24h'!K12,'26.08 Iganga-Kaliro-24h'!K12,'28.08 Iganga-Kaliro'!K12)</f>
        <v>0.14285714285714285</v>
      </c>
      <c r="L12" s="49">
        <f>AVERAGE('22.08 Iganga-Kaliro'!L12,'23.08 Iganga-Kaliro'!L12,'25.08 Iganga-Kaliro'!L12,'27.08 Iganga-Kaliro'!L12,'24.08 Iganga-Kaliro-24h'!L12,'26.08 Iganga-Kaliro-24h'!L12,'28.08 Iganga-Kaliro'!L12)</f>
        <v>0</v>
      </c>
      <c r="M12" s="49">
        <f>AVERAGE('22.08 Iganga-Kaliro'!M12,'23.08 Iganga-Kaliro'!M12,'25.08 Iganga-Kaliro'!M12,'27.08 Iganga-Kaliro'!M12,'24.08 Iganga-Kaliro-24h'!M12,'26.08 Iganga-Kaliro-24h'!M12,'28.08 Iganga-Kaliro'!M12)</f>
        <v>64.285714285714292</v>
      </c>
      <c r="N12" s="49">
        <f>AVERAGE('22.08 Iganga-Kaliro'!N12,'23.08 Iganga-Kaliro'!N12,'25.08 Iganga-Kaliro'!N12,'27.08 Iganga-Kaliro'!N12,'24.08 Iganga-Kaliro-24h'!N12,'26.08 Iganga-Kaliro-24h'!N12,'28.08 Iganga-Kaliro'!N12)</f>
        <v>0.14285714285714285</v>
      </c>
      <c r="O12" s="15">
        <f t="shared" si="0"/>
        <v>16.428571428571427</v>
      </c>
      <c r="P12" s="15">
        <f t="shared" si="1"/>
        <v>80.714285714285722</v>
      </c>
      <c r="R12" s="1" t="s">
        <v>8</v>
      </c>
      <c r="S12" s="17">
        <f t="shared" ref="S12:AF12" si="4">SUM(C18:C21)</f>
        <v>14.857142857142858</v>
      </c>
      <c r="T12" s="17">
        <f t="shared" si="4"/>
        <v>7.5714285714285712</v>
      </c>
      <c r="U12" s="17">
        <f t="shared" si="4"/>
        <v>6.8571428571428568</v>
      </c>
      <c r="V12" s="17">
        <f t="shared" si="4"/>
        <v>9.7142857142857153</v>
      </c>
      <c r="W12" s="17">
        <f t="shared" si="4"/>
        <v>0.85714285714285698</v>
      </c>
      <c r="X12" s="17">
        <f t="shared" si="4"/>
        <v>0.8571428571428571</v>
      </c>
      <c r="Y12" s="17">
        <f t="shared" si="4"/>
        <v>6.2857142857142847</v>
      </c>
      <c r="Z12" s="17">
        <f t="shared" si="4"/>
        <v>6</v>
      </c>
      <c r="AA12" s="17">
        <f t="shared" si="4"/>
        <v>0.71428571428571419</v>
      </c>
      <c r="AB12" s="17">
        <f t="shared" si="4"/>
        <v>0</v>
      </c>
      <c r="AC12" s="17">
        <f t="shared" si="4"/>
        <v>274.71428571428572</v>
      </c>
      <c r="AD12" s="17">
        <f t="shared" si="4"/>
        <v>0.2857142857142857</v>
      </c>
      <c r="AE12" s="31">
        <f t="shared" si="4"/>
        <v>54</v>
      </c>
      <c r="AF12" s="31">
        <f t="shared" si="4"/>
        <v>328.71428571428572</v>
      </c>
    </row>
    <row r="13" spans="2:32" ht="23.1" customHeight="1" x14ac:dyDescent="0.25">
      <c r="B13" s="23" t="s">
        <v>40</v>
      </c>
      <c r="C13" s="49">
        <f>AVERAGE('22.08 Iganga-Kaliro'!C13,'23.08 Iganga-Kaliro'!C13,'25.08 Iganga-Kaliro'!C13,'27.08 Iganga-Kaliro'!C13,'24.08 Iganga-Kaliro-24h'!C13,'26.08 Iganga-Kaliro-24h'!C13,'28.08 Iganga-Kaliro'!C13)</f>
        <v>3.1428571428571428</v>
      </c>
      <c r="D13" s="49">
        <f>AVERAGE('22.08 Iganga-Kaliro'!D13,'23.08 Iganga-Kaliro'!D13,'25.08 Iganga-Kaliro'!D13,'27.08 Iganga-Kaliro'!D13,'24.08 Iganga-Kaliro-24h'!D13,'26.08 Iganga-Kaliro-24h'!D13,'28.08 Iganga-Kaliro'!D13)</f>
        <v>1.8571428571428572</v>
      </c>
      <c r="E13" s="49">
        <f>AVERAGE('22.08 Iganga-Kaliro'!E13,'23.08 Iganga-Kaliro'!E13,'25.08 Iganga-Kaliro'!E13,'27.08 Iganga-Kaliro'!E13,'24.08 Iganga-Kaliro-24h'!E13,'26.08 Iganga-Kaliro-24h'!E13,'28.08 Iganga-Kaliro'!E13)</f>
        <v>2.1428571428571428</v>
      </c>
      <c r="F13" s="49">
        <f>AVERAGE('22.08 Iganga-Kaliro'!F13,'23.08 Iganga-Kaliro'!F13,'25.08 Iganga-Kaliro'!F13,'27.08 Iganga-Kaliro'!F13,'24.08 Iganga-Kaliro-24h'!F13,'26.08 Iganga-Kaliro-24h'!F13,'28.08 Iganga-Kaliro'!F13)</f>
        <v>3.2857142857142856</v>
      </c>
      <c r="G13" s="49">
        <f>AVERAGE('22.08 Iganga-Kaliro'!G13,'23.08 Iganga-Kaliro'!G13,'25.08 Iganga-Kaliro'!G13,'27.08 Iganga-Kaliro'!G13,'24.08 Iganga-Kaliro-24h'!G13,'26.08 Iganga-Kaliro-24h'!G13,'28.08 Iganga-Kaliro'!G13)</f>
        <v>0.42857142857142855</v>
      </c>
      <c r="H13" s="49">
        <f>AVERAGE('22.08 Iganga-Kaliro'!H13,'23.08 Iganga-Kaliro'!H13,'25.08 Iganga-Kaliro'!H13,'27.08 Iganga-Kaliro'!H13,'24.08 Iganga-Kaliro-24h'!H13,'26.08 Iganga-Kaliro-24h'!H13,'28.08 Iganga-Kaliro'!H13)</f>
        <v>0.7142857142857143</v>
      </c>
      <c r="I13" s="49">
        <f>AVERAGE('22.08 Iganga-Kaliro'!I13,'23.08 Iganga-Kaliro'!I13,'25.08 Iganga-Kaliro'!I13,'27.08 Iganga-Kaliro'!I13,'24.08 Iganga-Kaliro-24h'!I13,'26.08 Iganga-Kaliro-24h'!I13,'28.08 Iganga-Kaliro'!I13)</f>
        <v>2.1428571428571428</v>
      </c>
      <c r="J13" s="49">
        <f>AVERAGE('22.08 Iganga-Kaliro'!J13,'23.08 Iganga-Kaliro'!J13,'25.08 Iganga-Kaliro'!J13,'27.08 Iganga-Kaliro'!J13,'24.08 Iganga-Kaliro-24h'!J13,'26.08 Iganga-Kaliro-24h'!J13,'28.08 Iganga-Kaliro'!J13)</f>
        <v>1</v>
      </c>
      <c r="K13" s="49">
        <f>AVERAGE('22.08 Iganga-Kaliro'!K13,'23.08 Iganga-Kaliro'!K13,'25.08 Iganga-Kaliro'!K13,'27.08 Iganga-Kaliro'!K13,'24.08 Iganga-Kaliro-24h'!K13,'26.08 Iganga-Kaliro-24h'!K13,'28.08 Iganga-Kaliro'!K13)</f>
        <v>0</v>
      </c>
      <c r="L13" s="49">
        <f>AVERAGE('22.08 Iganga-Kaliro'!L13,'23.08 Iganga-Kaliro'!L13,'25.08 Iganga-Kaliro'!L13,'27.08 Iganga-Kaliro'!L13,'24.08 Iganga-Kaliro-24h'!L13,'26.08 Iganga-Kaliro-24h'!L13,'28.08 Iganga-Kaliro'!L13)</f>
        <v>0</v>
      </c>
      <c r="M13" s="49">
        <f>AVERAGE('22.08 Iganga-Kaliro'!M13,'23.08 Iganga-Kaliro'!M13,'25.08 Iganga-Kaliro'!M13,'27.08 Iganga-Kaliro'!M13,'24.08 Iganga-Kaliro-24h'!M13,'26.08 Iganga-Kaliro-24h'!M13,'28.08 Iganga-Kaliro'!M13)</f>
        <v>59.285714285714285</v>
      </c>
      <c r="N13" s="49">
        <f>AVERAGE('22.08 Iganga-Kaliro'!N13,'23.08 Iganga-Kaliro'!N13,'25.08 Iganga-Kaliro'!N13,'27.08 Iganga-Kaliro'!N13,'24.08 Iganga-Kaliro-24h'!N13,'26.08 Iganga-Kaliro-24h'!N13,'28.08 Iganga-Kaliro'!N13)</f>
        <v>0</v>
      </c>
      <c r="O13" s="15">
        <f t="shared" si="0"/>
        <v>14.714285714285712</v>
      </c>
      <c r="P13" s="15">
        <f t="shared" si="1"/>
        <v>74</v>
      </c>
      <c r="R13" s="1" t="s">
        <v>9</v>
      </c>
      <c r="S13" s="17">
        <f t="shared" ref="S13:AF13" si="5">SUM(C22:C25)</f>
        <v>16</v>
      </c>
      <c r="T13" s="17">
        <f t="shared" si="5"/>
        <v>9.8571428571428559</v>
      </c>
      <c r="U13" s="17">
        <f t="shared" si="5"/>
        <v>6.2857142857142847</v>
      </c>
      <c r="V13" s="17">
        <f t="shared" si="5"/>
        <v>13.714285714285715</v>
      </c>
      <c r="W13" s="17">
        <f t="shared" si="5"/>
        <v>0.42857142857142855</v>
      </c>
      <c r="X13" s="17">
        <f t="shared" si="5"/>
        <v>0.2857142857142857</v>
      </c>
      <c r="Y13" s="17">
        <f t="shared" si="5"/>
        <v>6.4285714285714288</v>
      </c>
      <c r="Z13" s="17">
        <f t="shared" si="5"/>
        <v>6.7142857142857135</v>
      </c>
      <c r="AA13" s="17">
        <f t="shared" si="5"/>
        <v>0.2857142857142857</v>
      </c>
      <c r="AB13" s="17">
        <f t="shared" si="5"/>
        <v>0.14285714285714285</v>
      </c>
      <c r="AC13" s="17">
        <f t="shared" si="5"/>
        <v>302.42857142857144</v>
      </c>
      <c r="AD13" s="17">
        <f t="shared" si="5"/>
        <v>0.14285714285714285</v>
      </c>
      <c r="AE13" s="31">
        <f t="shared" si="5"/>
        <v>60.285714285714278</v>
      </c>
      <c r="AF13" s="31">
        <f t="shared" si="5"/>
        <v>362.71428571428567</v>
      </c>
    </row>
    <row r="14" spans="2:32" ht="23.1" customHeight="1" x14ac:dyDescent="0.25">
      <c r="B14" s="23" t="s">
        <v>41</v>
      </c>
      <c r="C14" s="49">
        <f>AVERAGE('22.08 Iganga-Kaliro'!C14,'23.08 Iganga-Kaliro'!C14,'25.08 Iganga-Kaliro'!C14,'27.08 Iganga-Kaliro'!C14,'24.08 Iganga-Kaliro-24h'!C14,'26.08 Iganga-Kaliro-24h'!C14,'28.08 Iganga-Kaliro'!C14)</f>
        <v>3.5714285714285716</v>
      </c>
      <c r="D14" s="49">
        <f>AVERAGE('22.08 Iganga-Kaliro'!D14,'23.08 Iganga-Kaliro'!D14,'25.08 Iganga-Kaliro'!D14,'27.08 Iganga-Kaliro'!D14,'24.08 Iganga-Kaliro-24h'!D14,'26.08 Iganga-Kaliro-24h'!D14,'28.08 Iganga-Kaliro'!D14)</f>
        <v>2.8571428571428572</v>
      </c>
      <c r="E14" s="49">
        <f>AVERAGE('22.08 Iganga-Kaliro'!E14,'23.08 Iganga-Kaliro'!E14,'25.08 Iganga-Kaliro'!E14,'27.08 Iganga-Kaliro'!E14,'24.08 Iganga-Kaliro-24h'!E14,'26.08 Iganga-Kaliro-24h'!E14,'28.08 Iganga-Kaliro'!E14)</f>
        <v>1</v>
      </c>
      <c r="F14" s="49">
        <f>AVERAGE('22.08 Iganga-Kaliro'!F14,'23.08 Iganga-Kaliro'!F14,'25.08 Iganga-Kaliro'!F14,'27.08 Iganga-Kaliro'!F14,'24.08 Iganga-Kaliro-24h'!F14,'26.08 Iganga-Kaliro-24h'!F14,'28.08 Iganga-Kaliro'!F14)</f>
        <v>2.8571428571428572</v>
      </c>
      <c r="G14" s="49">
        <f>AVERAGE('22.08 Iganga-Kaliro'!G14,'23.08 Iganga-Kaliro'!G14,'25.08 Iganga-Kaliro'!G14,'27.08 Iganga-Kaliro'!G14,'24.08 Iganga-Kaliro-24h'!G14,'26.08 Iganga-Kaliro-24h'!G14,'28.08 Iganga-Kaliro'!G14)</f>
        <v>0.42857142857142855</v>
      </c>
      <c r="H14" s="49">
        <f>AVERAGE('22.08 Iganga-Kaliro'!H14,'23.08 Iganga-Kaliro'!H14,'25.08 Iganga-Kaliro'!H14,'27.08 Iganga-Kaliro'!H14,'24.08 Iganga-Kaliro-24h'!H14,'26.08 Iganga-Kaliro-24h'!H14,'28.08 Iganga-Kaliro'!H14)</f>
        <v>0</v>
      </c>
      <c r="I14" s="49">
        <f>AVERAGE('22.08 Iganga-Kaliro'!I14,'23.08 Iganga-Kaliro'!I14,'25.08 Iganga-Kaliro'!I14,'27.08 Iganga-Kaliro'!I14,'24.08 Iganga-Kaliro-24h'!I14,'26.08 Iganga-Kaliro-24h'!I14,'28.08 Iganga-Kaliro'!I14)</f>
        <v>1.4285714285714286</v>
      </c>
      <c r="J14" s="49">
        <f>AVERAGE('22.08 Iganga-Kaliro'!J14,'23.08 Iganga-Kaliro'!J14,'25.08 Iganga-Kaliro'!J14,'27.08 Iganga-Kaliro'!J14,'24.08 Iganga-Kaliro-24h'!J14,'26.08 Iganga-Kaliro-24h'!J14,'28.08 Iganga-Kaliro'!J14)</f>
        <v>1</v>
      </c>
      <c r="K14" s="49">
        <f>AVERAGE('22.08 Iganga-Kaliro'!K14,'23.08 Iganga-Kaliro'!K14,'25.08 Iganga-Kaliro'!K14,'27.08 Iganga-Kaliro'!K14,'24.08 Iganga-Kaliro-24h'!K14,'26.08 Iganga-Kaliro-24h'!K14,'28.08 Iganga-Kaliro'!K14)</f>
        <v>0.42857142857142855</v>
      </c>
      <c r="L14" s="49">
        <f>AVERAGE('22.08 Iganga-Kaliro'!L14,'23.08 Iganga-Kaliro'!L14,'25.08 Iganga-Kaliro'!L14,'27.08 Iganga-Kaliro'!L14,'24.08 Iganga-Kaliro-24h'!L14,'26.08 Iganga-Kaliro-24h'!L14,'28.08 Iganga-Kaliro'!L14)</f>
        <v>0</v>
      </c>
      <c r="M14" s="49">
        <f>AVERAGE('22.08 Iganga-Kaliro'!M14,'23.08 Iganga-Kaliro'!M14,'25.08 Iganga-Kaliro'!M14,'27.08 Iganga-Kaliro'!M14,'24.08 Iganga-Kaliro-24h'!M14,'26.08 Iganga-Kaliro-24h'!M14,'28.08 Iganga-Kaliro'!M14)</f>
        <v>52.142857142857146</v>
      </c>
      <c r="N14" s="49">
        <f>AVERAGE('22.08 Iganga-Kaliro'!N14,'23.08 Iganga-Kaliro'!N14,'25.08 Iganga-Kaliro'!N14,'27.08 Iganga-Kaliro'!N14,'24.08 Iganga-Kaliro-24h'!N14,'26.08 Iganga-Kaliro-24h'!N14,'28.08 Iganga-Kaliro'!N14)</f>
        <v>0</v>
      </c>
      <c r="O14" s="15">
        <f t="shared" si="0"/>
        <v>13.571428571428573</v>
      </c>
      <c r="P14" s="15">
        <f t="shared" si="1"/>
        <v>65.714285714285722</v>
      </c>
      <c r="R14" s="1" t="s">
        <v>10</v>
      </c>
      <c r="S14" s="17">
        <f t="shared" ref="S14:AF14" si="6">SUM(C26:C29)</f>
        <v>13</v>
      </c>
      <c r="T14" s="17">
        <f t="shared" si="6"/>
        <v>10</v>
      </c>
      <c r="U14" s="17">
        <f t="shared" si="6"/>
        <v>7.5714285714285712</v>
      </c>
      <c r="V14" s="17">
        <f t="shared" si="6"/>
        <v>10.142857142857142</v>
      </c>
      <c r="W14" s="17">
        <f t="shared" si="6"/>
        <v>0.42857142857142855</v>
      </c>
      <c r="X14" s="17">
        <f t="shared" si="6"/>
        <v>0.14285714285714285</v>
      </c>
      <c r="Y14" s="17">
        <f t="shared" si="6"/>
        <v>6.8571428571428577</v>
      </c>
      <c r="Z14" s="17">
        <f t="shared" si="6"/>
        <v>6.5714285714285721</v>
      </c>
      <c r="AA14" s="17">
        <f t="shared" si="6"/>
        <v>0.8571428571428571</v>
      </c>
      <c r="AB14" s="17">
        <f t="shared" si="6"/>
        <v>0.14285714285714285</v>
      </c>
      <c r="AC14" s="17">
        <f t="shared" si="6"/>
        <v>316</v>
      </c>
      <c r="AD14" s="17">
        <f t="shared" si="6"/>
        <v>0.14285714285714285</v>
      </c>
      <c r="AE14" s="31">
        <f t="shared" si="6"/>
        <v>55.857142857142854</v>
      </c>
      <c r="AF14" s="31">
        <f t="shared" si="6"/>
        <v>371.85714285714283</v>
      </c>
    </row>
    <row r="15" spans="2:32" ht="23.1" customHeight="1" x14ac:dyDescent="0.25">
      <c r="B15" s="23" t="s">
        <v>42</v>
      </c>
      <c r="C15" s="49">
        <f>AVERAGE('22.08 Iganga-Kaliro'!C15,'23.08 Iganga-Kaliro'!C15,'25.08 Iganga-Kaliro'!C15,'27.08 Iganga-Kaliro'!C15,'24.08 Iganga-Kaliro-24h'!C15,'26.08 Iganga-Kaliro-24h'!C15,'28.08 Iganga-Kaliro'!C15)</f>
        <v>3.4285714285714284</v>
      </c>
      <c r="D15" s="49">
        <f>AVERAGE('22.08 Iganga-Kaliro'!D15,'23.08 Iganga-Kaliro'!D15,'25.08 Iganga-Kaliro'!D15,'27.08 Iganga-Kaliro'!D15,'24.08 Iganga-Kaliro-24h'!D15,'26.08 Iganga-Kaliro-24h'!D15,'28.08 Iganga-Kaliro'!D15)</f>
        <v>2.7142857142857144</v>
      </c>
      <c r="E15" s="49">
        <f>AVERAGE('22.08 Iganga-Kaliro'!E15,'23.08 Iganga-Kaliro'!E15,'25.08 Iganga-Kaliro'!E15,'27.08 Iganga-Kaliro'!E15,'24.08 Iganga-Kaliro-24h'!E15,'26.08 Iganga-Kaliro-24h'!E15,'28.08 Iganga-Kaliro'!E15)</f>
        <v>1.5714285714285714</v>
      </c>
      <c r="F15" s="49">
        <f>AVERAGE('22.08 Iganga-Kaliro'!F15,'23.08 Iganga-Kaliro'!F15,'25.08 Iganga-Kaliro'!F15,'27.08 Iganga-Kaliro'!F15,'24.08 Iganga-Kaliro-24h'!F15,'26.08 Iganga-Kaliro-24h'!F15,'28.08 Iganga-Kaliro'!F15)</f>
        <v>2</v>
      </c>
      <c r="G15" s="49">
        <f>AVERAGE('22.08 Iganga-Kaliro'!G15,'23.08 Iganga-Kaliro'!G15,'25.08 Iganga-Kaliro'!G15,'27.08 Iganga-Kaliro'!G15,'24.08 Iganga-Kaliro-24h'!G15,'26.08 Iganga-Kaliro-24h'!G15,'28.08 Iganga-Kaliro'!G15)</f>
        <v>0.2857142857142857</v>
      </c>
      <c r="H15" s="49">
        <f>AVERAGE('22.08 Iganga-Kaliro'!H15,'23.08 Iganga-Kaliro'!H15,'25.08 Iganga-Kaliro'!H15,'27.08 Iganga-Kaliro'!H15,'24.08 Iganga-Kaliro-24h'!H15,'26.08 Iganga-Kaliro-24h'!H15,'28.08 Iganga-Kaliro'!H15)</f>
        <v>0</v>
      </c>
      <c r="I15" s="49">
        <f>AVERAGE('22.08 Iganga-Kaliro'!I15,'23.08 Iganga-Kaliro'!I15,'25.08 Iganga-Kaliro'!I15,'27.08 Iganga-Kaliro'!I15,'24.08 Iganga-Kaliro-24h'!I15,'26.08 Iganga-Kaliro-24h'!I15,'28.08 Iganga-Kaliro'!I15)</f>
        <v>1.4285714285714286</v>
      </c>
      <c r="J15" s="49">
        <f>AVERAGE('22.08 Iganga-Kaliro'!J15,'23.08 Iganga-Kaliro'!J15,'25.08 Iganga-Kaliro'!J15,'27.08 Iganga-Kaliro'!J15,'24.08 Iganga-Kaliro-24h'!J15,'26.08 Iganga-Kaliro-24h'!J15,'28.08 Iganga-Kaliro'!J15)</f>
        <v>0.7142857142857143</v>
      </c>
      <c r="K15" s="49">
        <f>AVERAGE('22.08 Iganga-Kaliro'!K15,'23.08 Iganga-Kaliro'!K15,'25.08 Iganga-Kaliro'!K15,'27.08 Iganga-Kaliro'!K15,'24.08 Iganga-Kaliro-24h'!K15,'26.08 Iganga-Kaliro-24h'!K15,'28.08 Iganga-Kaliro'!K15)</f>
        <v>0.14285714285714285</v>
      </c>
      <c r="L15" s="49">
        <f>AVERAGE('22.08 Iganga-Kaliro'!L15,'23.08 Iganga-Kaliro'!L15,'25.08 Iganga-Kaliro'!L15,'27.08 Iganga-Kaliro'!L15,'24.08 Iganga-Kaliro-24h'!L15,'26.08 Iganga-Kaliro-24h'!L15,'28.08 Iganga-Kaliro'!L15)</f>
        <v>0</v>
      </c>
      <c r="M15" s="49">
        <f>AVERAGE('22.08 Iganga-Kaliro'!M15,'23.08 Iganga-Kaliro'!M15,'25.08 Iganga-Kaliro'!M15,'27.08 Iganga-Kaliro'!M15,'24.08 Iganga-Kaliro-24h'!M15,'26.08 Iganga-Kaliro-24h'!M15,'28.08 Iganga-Kaliro'!M15)</f>
        <v>54.714285714285715</v>
      </c>
      <c r="N15" s="49">
        <f>AVERAGE('22.08 Iganga-Kaliro'!N15,'23.08 Iganga-Kaliro'!N15,'25.08 Iganga-Kaliro'!N15,'27.08 Iganga-Kaliro'!N15,'24.08 Iganga-Kaliro-24h'!N15,'26.08 Iganga-Kaliro-24h'!N15,'28.08 Iganga-Kaliro'!N15)</f>
        <v>0</v>
      </c>
      <c r="O15" s="15">
        <f t="shared" si="0"/>
        <v>12.285714285714285</v>
      </c>
      <c r="P15" s="15">
        <f t="shared" si="1"/>
        <v>67</v>
      </c>
      <c r="R15" s="1" t="s">
        <v>11</v>
      </c>
      <c r="S15" s="17">
        <f t="shared" ref="S15:AF15" si="7">SUM(C30:C33)</f>
        <v>13.857142857142858</v>
      </c>
      <c r="T15" s="17">
        <f t="shared" si="7"/>
        <v>10</v>
      </c>
      <c r="U15" s="17">
        <f t="shared" si="7"/>
        <v>5.5714285714285712</v>
      </c>
      <c r="V15" s="17">
        <f t="shared" si="7"/>
        <v>14.571428571428573</v>
      </c>
      <c r="W15" s="17">
        <f t="shared" si="7"/>
        <v>0.5714285714285714</v>
      </c>
      <c r="X15" s="17">
        <f t="shared" si="7"/>
        <v>0.2857142857142857</v>
      </c>
      <c r="Y15" s="17">
        <f t="shared" si="7"/>
        <v>6</v>
      </c>
      <c r="Z15" s="17">
        <f t="shared" si="7"/>
        <v>4.8571428571428577</v>
      </c>
      <c r="AA15" s="17">
        <f t="shared" si="7"/>
        <v>0.42857142857142855</v>
      </c>
      <c r="AB15" s="17">
        <f t="shared" si="7"/>
        <v>0</v>
      </c>
      <c r="AC15" s="17">
        <f t="shared" si="7"/>
        <v>300.71428571428567</v>
      </c>
      <c r="AD15" s="17">
        <f t="shared" si="7"/>
        <v>0</v>
      </c>
      <c r="AE15" s="31">
        <f t="shared" si="7"/>
        <v>56.142857142857139</v>
      </c>
      <c r="AF15" s="31">
        <f t="shared" si="7"/>
        <v>356.85714285714283</v>
      </c>
    </row>
    <row r="16" spans="2:32" ht="23.1" customHeight="1" x14ac:dyDescent="0.25">
      <c r="B16" s="23" t="s">
        <v>43</v>
      </c>
      <c r="C16" s="49">
        <f>AVERAGE('22.08 Iganga-Kaliro'!C16,'23.08 Iganga-Kaliro'!C16,'25.08 Iganga-Kaliro'!C16,'27.08 Iganga-Kaliro'!C16,'24.08 Iganga-Kaliro-24h'!C16,'26.08 Iganga-Kaliro-24h'!C16,'28.08 Iganga-Kaliro'!C16)</f>
        <v>2.4285714285714284</v>
      </c>
      <c r="D16" s="49">
        <f>AVERAGE('22.08 Iganga-Kaliro'!D16,'23.08 Iganga-Kaliro'!D16,'25.08 Iganga-Kaliro'!D16,'27.08 Iganga-Kaliro'!D16,'24.08 Iganga-Kaliro-24h'!D16,'26.08 Iganga-Kaliro-24h'!D16,'28.08 Iganga-Kaliro'!D16)</f>
        <v>2</v>
      </c>
      <c r="E16" s="49">
        <f>AVERAGE('22.08 Iganga-Kaliro'!E16,'23.08 Iganga-Kaliro'!E16,'25.08 Iganga-Kaliro'!E16,'27.08 Iganga-Kaliro'!E16,'24.08 Iganga-Kaliro-24h'!E16,'26.08 Iganga-Kaliro-24h'!E16,'28.08 Iganga-Kaliro'!E16)</f>
        <v>0.8571428571428571</v>
      </c>
      <c r="F16" s="49">
        <f>AVERAGE('22.08 Iganga-Kaliro'!F16,'23.08 Iganga-Kaliro'!F16,'25.08 Iganga-Kaliro'!F16,'27.08 Iganga-Kaliro'!F16,'24.08 Iganga-Kaliro-24h'!F16,'26.08 Iganga-Kaliro-24h'!F16,'28.08 Iganga-Kaliro'!F16)</f>
        <v>2</v>
      </c>
      <c r="G16" s="49">
        <f>AVERAGE('22.08 Iganga-Kaliro'!G16,'23.08 Iganga-Kaliro'!G16,'25.08 Iganga-Kaliro'!G16,'27.08 Iganga-Kaliro'!G16,'24.08 Iganga-Kaliro-24h'!G16,'26.08 Iganga-Kaliro-24h'!G16,'28.08 Iganga-Kaliro'!G16)</f>
        <v>0</v>
      </c>
      <c r="H16" s="49">
        <f>AVERAGE('22.08 Iganga-Kaliro'!H16,'23.08 Iganga-Kaliro'!H16,'25.08 Iganga-Kaliro'!H16,'27.08 Iganga-Kaliro'!H16,'24.08 Iganga-Kaliro-24h'!H16,'26.08 Iganga-Kaliro-24h'!H16,'28.08 Iganga-Kaliro'!H16)</f>
        <v>0</v>
      </c>
      <c r="I16" s="49">
        <f>AVERAGE('22.08 Iganga-Kaliro'!I16,'23.08 Iganga-Kaliro'!I16,'25.08 Iganga-Kaliro'!I16,'27.08 Iganga-Kaliro'!I16,'24.08 Iganga-Kaliro-24h'!I16,'26.08 Iganga-Kaliro-24h'!I16,'28.08 Iganga-Kaliro'!I16)</f>
        <v>0.8571428571428571</v>
      </c>
      <c r="J16" s="49">
        <f>AVERAGE('22.08 Iganga-Kaliro'!J16,'23.08 Iganga-Kaliro'!J16,'25.08 Iganga-Kaliro'!J16,'27.08 Iganga-Kaliro'!J16,'24.08 Iganga-Kaliro-24h'!J16,'26.08 Iganga-Kaliro-24h'!J16,'28.08 Iganga-Kaliro'!J16)</f>
        <v>1.1428571428571428</v>
      </c>
      <c r="K16" s="49">
        <f>AVERAGE('22.08 Iganga-Kaliro'!K16,'23.08 Iganga-Kaliro'!K16,'25.08 Iganga-Kaliro'!K16,'27.08 Iganga-Kaliro'!K16,'24.08 Iganga-Kaliro-24h'!K16,'26.08 Iganga-Kaliro-24h'!K16,'28.08 Iganga-Kaliro'!K16)</f>
        <v>0</v>
      </c>
      <c r="L16" s="49">
        <f>AVERAGE('22.08 Iganga-Kaliro'!L16,'23.08 Iganga-Kaliro'!L16,'25.08 Iganga-Kaliro'!L16,'27.08 Iganga-Kaliro'!L16,'24.08 Iganga-Kaliro-24h'!L16,'26.08 Iganga-Kaliro-24h'!L16,'28.08 Iganga-Kaliro'!L16)</f>
        <v>0</v>
      </c>
      <c r="M16" s="49">
        <f>AVERAGE('22.08 Iganga-Kaliro'!M16,'23.08 Iganga-Kaliro'!M16,'25.08 Iganga-Kaliro'!M16,'27.08 Iganga-Kaliro'!M16,'24.08 Iganga-Kaliro-24h'!M16,'26.08 Iganga-Kaliro-24h'!M16,'28.08 Iganga-Kaliro'!M16)</f>
        <v>73.571428571428569</v>
      </c>
      <c r="N16" s="49">
        <f>AVERAGE('22.08 Iganga-Kaliro'!N16,'23.08 Iganga-Kaliro'!N16,'25.08 Iganga-Kaliro'!N16,'27.08 Iganga-Kaliro'!N16,'24.08 Iganga-Kaliro-24h'!N16,'26.08 Iganga-Kaliro-24h'!N16,'28.08 Iganga-Kaliro'!N16)</f>
        <v>0.14285714285714285</v>
      </c>
      <c r="O16" s="15">
        <f t="shared" si="0"/>
        <v>9.428571428571427</v>
      </c>
      <c r="P16" s="15">
        <f t="shared" si="1"/>
        <v>83</v>
      </c>
      <c r="R16" s="1" t="s">
        <v>12</v>
      </c>
      <c r="S16" s="17">
        <f t="shared" ref="S16:AF16" si="8">SUM(C34:C37)</f>
        <v>15</v>
      </c>
      <c r="T16" s="17">
        <f t="shared" si="8"/>
        <v>9.4285714285714288</v>
      </c>
      <c r="U16" s="17">
        <f t="shared" si="8"/>
        <v>7.7142857142857135</v>
      </c>
      <c r="V16" s="17">
        <f t="shared" si="8"/>
        <v>17.142857142857146</v>
      </c>
      <c r="W16" s="17">
        <f t="shared" si="8"/>
        <v>1.4285714285714286</v>
      </c>
      <c r="X16" s="17">
        <f t="shared" si="8"/>
        <v>0.71428571428571419</v>
      </c>
      <c r="Y16" s="17">
        <f t="shared" si="8"/>
        <v>6.4285714285714288</v>
      </c>
      <c r="Z16" s="17">
        <f t="shared" si="8"/>
        <v>5.8571428571428568</v>
      </c>
      <c r="AA16" s="17">
        <f t="shared" si="8"/>
        <v>0.5714285714285714</v>
      </c>
      <c r="AB16" s="17">
        <f t="shared" si="8"/>
        <v>0.42857142857142855</v>
      </c>
      <c r="AC16" s="17">
        <f t="shared" si="8"/>
        <v>277.85714285714289</v>
      </c>
      <c r="AD16" s="17">
        <f t="shared" si="8"/>
        <v>0</v>
      </c>
      <c r="AE16" s="31">
        <f t="shared" si="8"/>
        <v>64.714285714285708</v>
      </c>
      <c r="AF16" s="31">
        <f t="shared" si="8"/>
        <v>342.57142857142856</v>
      </c>
    </row>
    <row r="17" spans="2:32" ht="23.1" customHeight="1" x14ac:dyDescent="0.25">
      <c r="B17" s="23" t="s">
        <v>44</v>
      </c>
      <c r="C17" s="49">
        <f>AVERAGE('22.08 Iganga-Kaliro'!C17,'23.08 Iganga-Kaliro'!C17,'25.08 Iganga-Kaliro'!C17,'27.08 Iganga-Kaliro'!C17,'24.08 Iganga-Kaliro-24h'!C17,'26.08 Iganga-Kaliro-24h'!C17,'28.08 Iganga-Kaliro'!C17)</f>
        <v>3</v>
      </c>
      <c r="D17" s="49">
        <f>AVERAGE('22.08 Iganga-Kaliro'!D17,'23.08 Iganga-Kaliro'!D17,'25.08 Iganga-Kaliro'!D17,'27.08 Iganga-Kaliro'!D17,'24.08 Iganga-Kaliro-24h'!D17,'26.08 Iganga-Kaliro-24h'!D17,'28.08 Iganga-Kaliro'!D17)</f>
        <v>2.4285714285714284</v>
      </c>
      <c r="E17" s="49">
        <f>AVERAGE('22.08 Iganga-Kaliro'!E17,'23.08 Iganga-Kaliro'!E17,'25.08 Iganga-Kaliro'!E17,'27.08 Iganga-Kaliro'!E17,'24.08 Iganga-Kaliro-24h'!E17,'26.08 Iganga-Kaliro-24h'!E17,'28.08 Iganga-Kaliro'!E17)</f>
        <v>1.1428571428571428</v>
      </c>
      <c r="F17" s="49">
        <f>AVERAGE('22.08 Iganga-Kaliro'!F17,'23.08 Iganga-Kaliro'!F17,'25.08 Iganga-Kaliro'!F17,'27.08 Iganga-Kaliro'!F17,'24.08 Iganga-Kaliro-24h'!F17,'26.08 Iganga-Kaliro-24h'!F17,'28.08 Iganga-Kaliro'!F17)</f>
        <v>2.2857142857142856</v>
      </c>
      <c r="G17" s="49">
        <f>AVERAGE('22.08 Iganga-Kaliro'!G17,'23.08 Iganga-Kaliro'!G17,'25.08 Iganga-Kaliro'!G17,'27.08 Iganga-Kaliro'!G17,'24.08 Iganga-Kaliro-24h'!G17,'26.08 Iganga-Kaliro-24h'!G17,'28.08 Iganga-Kaliro'!G17)</f>
        <v>0</v>
      </c>
      <c r="H17" s="49">
        <f>AVERAGE('22.08 Iganga-Kaliro'!H17,'23.08 Iganga-Kaliro'!H17,'25.08 Iganga-Kaliro'!H17,'27.08 Iganga-Kaliro'!H17,'24.08 Iganga-Kaliro-24h'!H17,'26.08 Iganga-Kaliro-24h'!H17,'28.08 Iganga-Kaliro'!H17)</f>
        <v>0</v>
      </c>
      <c r="I17" s="49">
        <f>AVERAGE('22.08 Iganga-Kaliro'!I17,'23.08 Iganga-Kaliro'!I17,'25.08 Iganga-Kaliro'!I17,'27.08 Iganga-Kaliro'!I17,'24.08 Iganga-Kaliro-24h'!I17,'26.08 Iganga-Kaliro-24h'!I17,'28.08 Iganga-Kaliro'!I17)</f>
        <v>0.8571428571428571</v>
      </c>
      <c r="J17" s="49">
        <f>AVERAGE('22.08 Iganga-Kaliro'!J17,'23.08 Iganga-Kaliro'!J17,'25.08 Iganga-Kaliro'!J17,'27.08 Iganga-Kaliro'!J17,'24.08 Iganga-Kaliro-24h'!J17,'26.08 Iganga-Kaliro-24h'!J17,'28.08 Iganga-Kaliro'!J17)</f>
        <v>1.2857142857142858</v>
      </c>
      <c r="K17" s="49">
        <f>AVERAGE('22.08 Iganga-Kaliro'!K17,'23.08 Iganga-Kaliro'!K17,'25.08 Iganga-Kaliro'!K17,'27.08 Iganga-Kaliro'!K17,'24.08 Iganga-Kaliro-24h'!K17,'26.08 Iganga-Kaliro-24h'!K17,'28.08 Iganga-Kaliro'!K17)</f>
        <v>0.2857142857142857</v>
      </c>
      <c r="L17" s="49">
        <f>AVERAGE('22.08 Iganga-Kaliro'!L17,'23.08 Iganga-Kaliro'!L17,'25.08 Iganga-Kaliro'!L17,'27.08 Iganga-Kaliro'!L17,'24.08 Iganga-Kaliro-24h'!L17,'26.08 Iganga-Kaliro-24h'!L17,'28.08 Iganga-Kaliro'!L17)</f>
        <v>0</v>
      </c>
      <c r="M17" s="49">
        <f>AVERAGE('22.08 Iganga-Kaliro'!M17,'23.08 Iganga-Kaliro'!M17,'25.08 Iganga-Kaliro'!M17,'27.08 Iganga-Kaliro'!M17,'24.08 Iganga-Kaliro-24h'!M17,'26.08 Iganga-Kaliro-24h'!M17,'28.08 Iganga-Kaliro'!M17)</f>
        <v>70.857142857142861</v>
      </c>
      <c r="N17" s="49">
        <f>AVERAGE('22.08 Iganga-Kaliro'!N17,'23.08 Iganga-Kaliro'!N17,'25.08 Iganga-Kaliro'!N17,'27.08 Iganga-Kaliro'!N17,'24.08 Iganga-Kaliro-24h'!N17,'26.08 Iganga-Kaliro-24h'!N17,'28.08 Iganga-Kaliro'!N17)</f>
        <v>0.14285714285714285</v>
      </c>
      <c r="O17" s="15">
        <f t="shared" si="0"/>
        <v>11.428571428571431</v>
      </c>
      <c r="P17" s="15">
        <f t="shared" si="1"/>
        <v>82.285714285714292</v>
      </c>
      <c r="R17" s="1" t="s">
        <v>13</v>
      </c>
      <c r="S17" s="17">
        <f t="shared" ref="S17:AF17" si="9">SUM(C38:C41)</f>
        <v>14.714285714285715</v>
      </c>
      <c r="T17" s="17">
        <f t="shared" si="9"/>
        <v>11.142857142857142</v>
      </c>
      <c r="U17" s="17">
        <f t="shared" si="9"/>
        <v>7.5714285714285712</v>
      </c>
      <c r="V17" s="17">
        <f t="shared" si="9"/>
        <v>18.571428571428569</v>
      </c>
      <c r="W17" s="17">
        <f t="shared" si="9"/>
        <v>0.42857142857142855</v>
      </c>
      <c r="X17" s="17">
        <f t="shared" si="9"/>
        <v>0.5714285714285714</v>
      </c>
      <c r="Y17" s="17">
        <f t="shared" si="9"/>
        <v>6</v>
      </c>
      <c r="Z17" s="17">
        <f t="shared" si="9"/>
        <v>8.4285714285714288</v>
      </c>
      <c r="AA17" s="17">
        <f t="shared" si="9"/>
        <v>0.42857142857142855</v>
      </c>
      <c r="AB17" s="17">
        <f t="shared" si="9"/>
        <v>1.1428571428571428</v>
      </c>
      <c r="AC17" s="17">
        <f t="shared" si="9"/>
        <v>262.85714285714289</v>
      </c>
      <c r="AD17" s="17">
        <f t="shared" si="9"/>
        <v>0</v>
      </c>
      <c r="AE17" s="31">
        <f t="shared" si="9"/>
        <v>69</v>
      </c>
      <c r="AF17" s="31">
        <f t="shared" si="9"/>
        <v>331.85714285714289</v>
      </c>
    </row>
    <row r="18" spans="2:32" ht="23.1" customHeight="1" x14ac:dyDescent="0.25">
      <c r="B18" s="23" t="s">
        <v>45</v>
      </c>
      <c r="C18" s="49">
        <f>AVERAGE('22.08 Iganga-Kaliro'!C18,'23.08 Iganga-Kaliro'!C18,'25.08 Iganga-Kaliro'!C18,'27.08 Iganga-Kaliro'!C18,'24.08 Iganga-Kaliro-24h'!C18,'26.08 Iganga-Kaliro-24h'!C18,'28.08 Iganga-Kaliro'!C18)</f>
        <v>2.8571428571428572</v>
      </c>
      <c r="D18" s="49">
        <f>AVERAGE('22.08 Iganga-Kaliro'!D18,'23.08 Iganga-Kaliro'!D18,'25.08 Iganga-Kaliro'!D18,'27.08 Iganga-Kaliro'!D18,'24.08 Iganga-Kaliro-24h'!D18,'26.08 Iganga-Kaliro-24h'!D18,'28.08 Iganga-Kaliro'!D18)</f>
        <v>1.5714285714285714</v>
      </c>
      <c r="E18" s="49">
        <f>AVERAGE('22.08 Iganga-Kaliro'!E18,'23.08 Iganga-Kaliro'!E18,'25.08 Iganga-Kaliro'!E18,'27.08 Iganga-Kaliro'!E18,'24.08 Iganga-Kaliro-24h'!E18,'26.08 Iganga-Kaliro-24h'!E18,'28.08 Iganga-Kaliro'!E18)</f>
        <v>1.1428571428571428</v>
      </c>
      <c r="F18" s="49">
        <f>AVERAGE('22.08 Iganga-Kaliro'!F18,'23.08 Iganga-Kaliro'!F18,'25.08 Iganga-Kaliro'!F18,'27.08 Iganga-Kaliro'!F18,'24.08 Iganga-Kaliro-24h'!F18,'26.08 Iganga-Kaliro-24h'!F18,'28.08 Iganga-Kaliro'!F18)</f>
        <v>1.8571428571428572</v>
      </c>
      <c r="G18" s="49">
        <f>AVERAGE('22.08 Iganga-Kaliro'!G18,'23.08 Iganga-Kaliro'!G18,'25.08 Iganga-Kaliro'!G18,'27.08 Iganga-Kaliro'!G18,'24.08 Iganga-Kaliro-24h'!G18,'26.08 Iganga-Kaliro-24h'!G18,'28.08 Iganga-Kaliro'!G18)</f>
        <v>0.14285714285714285</v>
      </c>
      <c r="H18" s="49">
        <f>AVERAGE('22.08 Iganga-Kaliro'!H18,'23.08 Iganga-Kaliro'!H18,'25.08 Iganga-Kaliro'!H18,'27.08 Iganga-Kaliro'!H18,'24.08 Iganga-Kaliro-24h'!H18,'26.08 Iganga-Kaliro-24h'!H18,'28.08 Iganga-Kaliro'!H18)</f>
        <v>0</v>
      </c>
      <c r="I18" s="49">
        <f>AVERAGE('22.08 Iganga-Kaliro'!I18,'23.08 Iganga-Kaliro'!I18,'25.08 Iganga-Kaliro'!I18,'27.08 Iganga-Kaliro'!I18,'24.08 Iganga-Kaliro-24h'!I18,'26.08 Iganga-Kaliro-24h'!I18,'28.08 Iganga-Kaliro'!I18)</f>
        <v>1.1428571428571428</v>
      </c>
      <c r="J18" s="49">
        <f>AVERAGE('22.08 Iganga-Kaliro'!J18,'23.08 Iganga-Kaliro'!J18,'25.08 Iganga-Kaliro'!J18,'27.08 Iganga-Kaliro'!J18,'24.08 Iganga-Kaliro-24h'!J18,'26.08 Iganga-Kaliro-24h'!J18,'28.08 Iganga-Kaliro'!J18)</f>
        <v>0.42857142857142855</v>
      </c>
      <c r="K18" s="49">
        <f>AVERAGE('22.08 Iganga-Kaliro'!K18,'23.08 Iganga-Kaliro'!K18,'25.08 Iganga-Kaliro'!K18,'27.08 Iganga-Kaliro'!K18,'24.08 Iganga-Kaliro-24h'!K18,'26.08 Iganga-Kaliro-24h'!K18,'28.08 Iganga-Kaliro'!K18)</f>
        <v>0.14285714285714285</v>
      </c>
      <c r="L18" s="49">
        <f>AVERAGE('22.08 Iganga-Kaliro'!L18,'23.08 Iganga-Kaliro'!L18,'25.08 Iganga-Kaliro'!L18,'27.08 Iganga-Kaliro'!L18,'24.08 Iganga-Kaliro-24h'!L18,'26.08 Iganga-Kaliro-24h'!L18,'28.08 Iganga-Kaliro'!L18)</f>
        <v>0</v>
      </c>
      <c r="M18" s="49">
        <f>AVERAGE('22.08 Iganga-Kaliro'!M18,'23.08 Iganga-Kaliro'!M18,'25.08 Iganga-Kaliro'!M18,'27.08 Iganga-Kaliro'!M18,'24.08 Iganga-Kaliro-24h'!M18,'26.08 Iganga-Kaliro-24h'!M18,'28.08 Iganga-Kaliro'!M18)</f>
        <v>76.428571428571431</v>
      </c>
      <c r="N18" s="49">
        <f>AVERAGE('22.08 Iganga-Kaliro'!N18,'23.08 Iganga-Kaliro'!N18,'25.08 Iganga-Kaliro'!N18,'27.08 Iganga-Kaliro'!N18,'24.08 Iganga-Kaliro-24h'!N18,'26.08 Iganga-Kaliro-24h'!N18,'28.08 Iganga-Kaliro'!N18)</f>
        <v>0</v>
      </c>
      <c r="O18" s="15">
        <f t="shared" si="0"/>
        <v>9.2857142857142865</v>
      </c>
      <c r="P18" s="15">
        <f t="shared" si="1"/>
        <v>85.714285714285722</v>
      </c>
      <c r="R18" s="1" t="s">
        <v>14</v>
      </c>
      <c r="S18" s="17">
        <f t="shared" ref="S18:AF18" si="10">SUM(C42:C45)</f>
        <v>16.714285714285715</v>
      </c>
      <c r="T18" s="17">
        <f t="shared" si="10"/>
        <v>11.714285714285714</v>
      </c>
      <c r="U18" s="17">
        <f t="shared" si="10"/>
        <v>10.285714285714286</v>
      </c>
      <c r="V18" s="17">
        <f t="shared" si="10"/>
        <v>22.142857142857142</v>
      </c>
      <c r="W18" s="17">
        <f t="shared" si="10"/>
        <v>0.8571428571428571</v>
      </c>
      <c r="X18" s="17">
        <f t="shared" si="10"/>
        <v>0.2857142857142857</v>
      </c>
      <c r="Y18" s="17">
        <f t="shared" si="10"/>
        <v>8.2857142857142865</v>
      </c>
      <c r="Z18" s="17">
        <f t="shared" si="10"/>
        <v>5</v>
      </c>
      <c r="AA18" s="17">
        <f t="shared" si="10"/>
        <v>0.71428571428571419</v>
      </c>
      <c r="AB18" s="17">
        <f t="shared" si="10"/>
        <v>0</v>
      </c>
      <c r="AC18" s="17">
        <f t="shared" si="10"/>
        <v>300.71428571428567</v>
      </c>
      <c r="AD18" s="17">
        <f t="shared" si="10"/>
        <v>0</v>
      </c>
      <c r="AE18" s="31">
        <f t="shared" si="10"/>
        <v>76</v>
      </c>
      <c r="AF18" s="31">
        <f t="shared" si="10"/>
        <v>376.71428571428572</v>
      </c>
    </row>
    <row r="19" spans="2:32" ht="23.1" customHeight="1" x14ac:dyDescent="0.25">
      <c r="B19" s="23" t="s">
        <v>46</v>
      </c>
      <c r="C19" s="49">
        <f>AVERAGE('22.08 Iganga-Kaliro'!C19,'23.08 Iganga-Kaliro'!C19,'25.08 Iganga-Kaliro'!C19,'27.08 Iganga-Kaliro'!C19,'24.08 Iganga-Kaliro-24h'!C19,'26.08 Iganga-Kaliro-24h'!C19,'28.08 Iganga-Kaliro'!C19)</f>
        <v>3.1428571428571428</v>
      </c>
      <c r="D19" s="49">
        <f>AVERAGE('22.08 Iganga-Kaliro'!D19,'23.08 Iganga-Kaliro'!D19,'25.08 Iganga-Kaliro'!D19,'27.08 Iganga-Kaliro'!D19,'24.08 Iganga-Kaliro-24h'!D19,'26.08 Iganga-Kaliro-24h'!D19,'28.08 Iganga-Kaliro'!D19)</f>
        <v>2.4285714285714284</v>
      </c>
      <c r="E19" s="49">
        <f>AVERAGE('22.08 Iganga-Kaliro'!E19,'23.08 Iganga-Kaliro'!E19,'25.08 Iganga-Kaliro'!E19,'27.08 Iganga-Kaliro'!E19,'24.08 Iganga-Kaliro-24h'!E19,'26.08 Iganga-Kaliro-24h'!E19,'28.08 Iganga-Kaliro'!E19)</f>
        <v>2.2857142857142856</v>
      </c>
      <c r="F19" s="49">
        <f>AVERAGE('22.08 Iganga-Kaliro'!F19,'23.08 Iganga-Kaliro'!F19,'25.08 Iganga-Kaliro'!F19,'27.08 Iganga-Kaliro'!F19,'24.08 Iganga-Kaliro-24h'!F19,'26.08 Iganga-Kaliro-24h'!F19,'28.08 Iganga-Kaliro'!F19)</f>
        <v>2.8571428571428572</v>
      </c>
      <c r="G19" s="49">
        <f>AVERAGE('22.08 Iganga-Kaliro'!G19,'23.08 Iganga-Kaliro'!G19,'25.08 Iganga-Kaliro'!G19,'27.08 Iganga-Kaliro'!G19,'24.08 Iganga-Kaliro-24h'!G19,'26.08 Iganga-Kaliro-24h'!G19,'28.08 Iganga-Kaliro'!G19)</f>
        <v>0.42857142857142855</v>
      </c>
      <c r="H19" s="49">
        <f>AVERAGE('22.08 Iganga-Kaliro'!H19,'23.08 Iganga-Kaliro'!H19,'25.08 Iganga-Kaliro'!H19,'27.08 Iganga-Kaliro'!H19,'24.08 Iganga-Kaliro-24h'!H19,'26.08 Iganga-Kaliro-24h'!H19,'28.08 Iganga-Kaliro'!H19)</f>
        <v>0.8571428571428571</v>
      </c>
      <c r="I19" s="49">
        <f>AVERAGE('22.08 Iganga-Kaliro'!I19,'23.08 Iganga-Kaliro'!I19,'25.08 Iganga-Kaliro'!I19,'27.08 Iganga-Kaliro'!I19,'24.08 Iganga-Kaliro-24h'!I19,'26.08 Iganga-Kaliro-24h'!I19,'28.08 Iganga-Kaliro'!I19)</f>
        <v>1.7142857142857142</v>
      </c>
      <c r="J19" s="49">
        <f>AVERAGE('22.08 Iganga-Kaliro'!J19,'23.08 Iganga-Kaliro'!J19,'25.08 Iganga-Kaliro'!J19,'27.08 Iganga-Kaliro'!J19,'24.08 Iganga-Kaliro-24h'!J19,'26.08 Iganga-Kaliro-24h'!J19,'28.08 Iganga-Kaliro'!J19)</f>
        <v>1.1428571428571428</v>
      </c>
      <c r="K19" s="49">
        <f>AVERAGE('22.08 Iganga-Kaliro'!K19,'23.08 Iganga-Kaliro'!K19,'25.08 Iganga-Kaliro'!K19,'27.08 Iganga-Kaliro'!K19,'24.08 Iganga-Kaliro-24h'!K19,'26.08 Iganga-Kaliro-24h'!K19,'28.08 Iganga-Kaliro'!K19)</f>
        <v>0.42857142857142855</v>
      </c>
      <c r="L19" s="49">
        <f>AVERAGE('22.08 Iganga-Kaliro'!L19,'23.08 Iganga-Kaliro'!L19,'25.08 Iganga-Kaliro'!L19,'27.08 Iganga-Kaliro'!L19,'24.08 Iganga-Kaliro-24h'!L19,'26.08 Iganga-Kaliro-24h'!L19,'28.08 Iganga-Kaliro'!L19)</f>
        <v>0</v>
      </c>
      <c r="M19" s="49">
        <f>AVERAGE('22.08 Iganga-Kaliro'!M19,'23.08 Iganga-Kaliro'!M19,'25.08 Iganga-Kaliro'!M19,'27.08 Iganga-Kaliro'!M19,'24.08 Iganga-Kaliro-24h'!M19,'26.08 Iganga-Kaliro-24h'!M19,'28.08 Iganga-Kaliro'!M19)</f>
        <v>67.285714285714292</v>
      </c>
      <c r="N19" s="49">
        <f>AVERAGE('22.08 Iganga-Kaliro'!N19,'23.08 Iganga-Kaliro'!N19,'25.08 Iganga-Kaliro'!N19,'27.08 Iganga-Kaliro'!N19,'24.08 Iganga-Kaliro-24h'!N19,'26.08 Iganga-Kaliro-24h'!N19,'28.08 Iganga-Kaliro'!N19)</f>
        <v>0.14285714285714285</v>
      </c>
      <c r="O19" s="15">
        <f t="shared" si="0"/>
        <v>15.428571428571427</v>
      </c>
      <c r="P19" s="15">
        <f t="shared" si="1"/>
        <v>82.714285714285722</v>
      </c>
      <c r="R19" s="1" t="s">
        <v>15</v>
      </c>
      <c r="S19" s="17">
        <f t="shared" ref="S19:AF19" si="11">SUM(C46:C49)</f>
        <v>14.285714285714288</v>
      </c>
      <c r="T19" s="17">
        <f t="shared" si="11"/>
        <v>13.142857142857142</v>
      </c>
      <c r="U19" s="17">
        <f t="shared" si="11"/>
        <v>8.5714285714285712</v>
      </c>
      <c r="V19" s="17">
        <f t="shared" si="11"/>
        <v>17.285714285714285</v>
      </c>
      <c r="W19" s="17">
        <f t="shared" si="11"/>
        <v>0.5714285714285714</v>
      </c>
      <c r="X19" s="17">
        <f t="shared" si="11"/>
        <v>0.14285714285714285</v>
      </c>
      <c r="Y19" s="17">
        <f t="shared" si="11"/>
        <v>5.5714285714285712</v>
      </c>
      <c r="Z19" s="17">
        <f t="shared" si="11"/>
        <v>3</v>
      </c>
      <c r="AA19" s="17">
        <f t="shared" si="11"/>
        <v>0.14285714285714285</v>
      </c>
      <c r="AB19" s="17">
        <f t="shared" si="11"/>
        <v>0.14285714285714285</v>
      </c>
      <c r="AC19" s="17">
        <f t="shared" si="11"/>
        <v>283.28571428571428</v>
      </c>
      <c r="AD19" s="17">
        <f t="shared" si="11"/>
        <v>0.5714285714285714</v>
      </c>
      <c r="AE19" s="31">
        <f t="shared" si="11"/>
        <v>63.428571428571431</v>
      </c>
      <c r="AF19" s="31">
        <f t="shared" si="11"/>
        <v>346.71428571428572</v>
      </c>
    </row>
    <row r="20" spans="2:32" ht="23.1" customHeight="1" x14ac:dyDescent="0.25">
      <c r="B20" s="23" t="s">
        <v>47</v>
      </c>
      <c r="C20" s="49">
        <f>AVERAGE('22.08 Iganga-Kaliro'!C20,'23.08 Iganga-Kaliro'!C20,'25.08 Iganga-Kaliro'!C20,'27.08 Iganga-Kaliro'!C20,'24.08 Iganga-Kaliro-24h'!C20,'26.08 Iganga-Kaliro-24h'!C20,'28.08 Iganga-Kaliro'!C20)</f>
        <v>5.1428571428571432</v>
      </c>
      <c r="D20" s="49">
        <f>AVERAGE('22.08 Iganga-Kaliro'!D20,'23.08 Iganga-Kaliro'!D20,'25.08 Iganga-Kaliro'!D20,'27.08 Iganga-Kaliro'!D20,'24.08 Iganga-Kaliro-24h'!D20,'26.08 Iganga-Kaliro-24h'!D20,'28.08 Iganga-Kaliro'!D20)</f>
        <v>2</v>
      </c>
      <c r="E20" s="49">
        <f>AVERAGE('22.08 Iganga-Kaliro'!E20,'23.08 Iganga-Kaliro'!E20,'25.08 Iganga-Kaliro'!E20,'27.08 Iganga-Kaliro'!E20,'24.08 Iganga-Kaliro-24h'!E20,'26.08 Iganga-Kaliro-24h'!E20,'28.08 Iganga-Kaliro'!E20)</f>
        <v>1.4285714285714286</v>
      </c>
      <c r="F20" s="49">
        <f>AVERAGE('22.08 Iganga-Kaliro'!F20,'23.08 Iganga-Kaliro'!F20,'25.08 Iganga-Kaliro'!F20,'27.08 Iganga-Kaliro'!F20,'24.08 Iganga-Kaliro-24h'!F20,'26.08 Iganga-Kaliro-24h'!F20,'28.08 Iganga-Kaliro'!F20)</f>
        <v>3.1428571428571428</v>
      </c>
      <c r="G20" s="49">
        <f>AVERAGE('22.08 Iganga-Kaliro'!G20,'23.08 Iganga-Kaliro'!G20,'25.08 Iganga-Kaliro'!G20,'27.08 Iganga-Kaliro'!G20,'24.08 Iganga-Kaliro-24h'!G20,'26.08 Iganga-Kaliro-24h'!G20,'28.08 Iganga-Kaliro'!G20)</f>
        <v>0.14285714285714285</v>
      </c>
      <c r="H20" s="49">
        <f>AVERAGE('22.08 Iganga-Kaliro'!H20,'23.08 Iganga-Kaliro'!H20,'25.08 Iganga-Kaliro'!H20,'27.08 Iganga-Kaliro'!H20,'24.08 Iganga-Kaliro-24h'!H20,'26.08 Iganga-Kaliro-24h'!H20,'28.08 Iganga-Kaliro'!H20)</f>
        <v>0</v>
      </c>
      <c r="I20" s="49">
        <f>AVERAGE('22.08 Iganga-Kaliro'!I20,'23.08 Iganga-Kaliro'!I20,'25.08 Iganga-Kaliro'!I20,'27.08 Iganga-Kaliro'!I20,'24.08 Iganga-Kaliro-24h'!I20,'26.08 Iganga-Kaliro-24h'!I20,'28.08 Iganga-Kaliro'!I20)</f>
        <v>1.2857142857142858</v>
      </c>
      <c r="J20" s="49">
        <f>AVERAGE('22.08 Iganga-Kaliro'!J20,'23.08 Iganga-Kaliro'!J20,'25.08 Iganga-Kaliro'!J20,'27.08 Iganga-Kaliro'!J20,'24.08 Iganga-Kaliro-24h'!J20,'26.08 Iganga-Kaliro-24h'!J20,'28.08 Iganga-Kaliro'!J20)</f>
        <v>2.7142857142857144</v>
      </c>
      <c r="K20" s="49">
        <f>AVERAGE('22.08 Iganga-Kaliro'!K20,'23.08 Iganga-Kaliro'!K20,'25.08 Iganga-Kaliro'!K20,'27.08 Iganga-Kaliro'!K20,'24.08 Iganga-Kaliro-24h'!K20,'26.08 Iganga-Kaliro-24h'!K20,'28.08 Iganga-Kaliro'!K20)</f>
        <v>0.14285714285714285</v>
      </c>
      <c r="L20" s="49">
        <f>AVERAGE('22.08 Iganga-Kaliro'!L20,'23.08 Iganga-Kaliro'!L20,'25.08 Iganga-Kaliro'!L20,'27.08 Iganga-Kaliro'!L20,'24.08 Iganga-Kaliro-24h'!L20,'26.08 Iganga-Kaliro-24h'!L20,'28.08 Iganga-Kaliro'!L20)</f>
        <v>0</v>
      </c>
      <c r="M20" s="49">
        <f>AVERAGE('22.08 Iganga-Kaliro'!M20,'23.08 Iganga-Kaliro'!M20,'25.08 Iganga-Kaliro'!M20,'27.08 Iganga-Kaliro'!M20,'24.08 Iganga-Kaliro-24h'!M20,'26.08 Iganga-Kaliro-24h'!M20,'28.08 Iganga-Kaliro'!M20)</f>
        <v>68</v>
      </c>
      <c r="N20" s="49">
        <f>AVERAGE('22.08 Iganga-Kaliro'!N20,'23.08 Iganga-Kaliro'!N20,'25.08 Iganga-Kaliro'!N20,'27.08 Iganga-Kaliro'!N20,'24.08 Iganga-Kaliro-24h'!N20,'26.08 Iganga-Kaliro-24h'!N20,'28.08 Iganga-Kaliro'!N20)</f>
        <v>0</v>
      </c>
      <c r="O20" s="15">
        <f t="shared" si="0"/>
        <v>16</v>
      </c>
      <c r="P20" s="15">
        <f t="shared" si="1"/>
        <v>84</v>
      </c>
      <c r="R20" s="1" t="s">
        <v>16</v>
      </c>
      <c r="S20" s="17">
        <f t="shared" ref="S20:AF20" si="12">SUM(C50:C53)</f>
        <v>15.285714285714286</v>
      </c>
      <c r="T20" s="17">
        <f t="shared" si="12"/>
        <v>10.428571428571429</v>
      </c>
      <c r="U20" s="17">
        <f t="shared" si="12"/>
        <v>10.285714285714286</v>
      </c>
      <c r="V20" s="17">
        <f t="shared" si="12"/>
        <v>22.428571428571427</v>
      </c>
      <c r="W20" s="17">
        <f t="shared" si="12"/>
        <v>0.42857142857142855</v>
      </c>
      <c r="X20" s="17">
        <f t="shared" si="12"/>
        <v>0.14285714285714285</v>
      </c>
      <c r="Y20" s="17">
        <f t="shared" si="12"/>
        <v>5.5714285714285712</v>
      </c>
      <c r="Z20" s="17">
        <f t="shared" si="12"/>
        <v>4</v>
      </c>
      <c r="AA20" s="17">
        <f t="shared" si="12"/>
        <v>0.71428571428571419</v>
      </c>
      <c r="AB20" s="17">
        <f t="shared" si="12"/>
        <v>0</v>
      </c>
      <c r="AC20" s="17">
        <f t="shared" si="12"/>
        <v>278.57142857142856</v>
      </c>
      <c r="AD20" s="17">
        <f t="shared" si="12"/>
        <v>0.42857142857142855</v>
      </c>
      <c r="AE20" s="31">
        <f t="shared" si="12"/>
        <v>69.714285714285708</v>
      </c>
      <c r="AF20" s="31">
        <f t="shared" si="12"/>
        <v>348.28571428571422</v>
      </c>
    </row>
    <row r="21" spans="2:32" ht="23.1" customHeight="1" x14ac:dyDescent="0.25">
      <c r="B21" s="23" t="s">
        <v>48</v>
      </c>
      <c r="C21" s="49">
        <f>AVERAGE('22.08 Iganga-Kaliro'!C21,'23.08 Iganga-Kaliro'!C21,'25.08 Iganga-Kaliro'!C21,'27.08 Iganga-Kaliro'!C21,'24.08 Iganga-Kaliro-24h'!C21,'26.08 Iganga-Kaliro-24h'!C21,'28.08 Iganga-Kaliro'!C21)</f>
        <v>3.7142857142857144</v>
      </c>
      <c r="D21" s="49">
        <f>AVERAGE('22.08 Iganga-Kaliro'!D21,'23.08 Iganga-Kaliro'!D21,'25.08 Iganga-Kaliro'!D21,'27.08 Iganga-Kaliro'!D21,'24.08 Iganga-Kaliro-24h'!D21,'26.08 Iganga-Kaliro-24h'!D21,'28.08 Iganga-Kaliro'!D21)</f>
        <v>1.5714285714285714</v>
      </c>
      <c r="E21" s="49">
        <f>AVERAGE('22.08 Iganga-Kaliro'!E21,'23.08 Iganga-Kaliro'!E21,'25.08 Iganga-Kaliro'!E21,'27.08 Iganga-Kaliro'!E21,'24.08 Iganga-Kaliro-24h'!E21,'26.08 Iganga-Kaliro-24h'!E21,'28.08 Iganga-Kaliro'!E21)</f>
        <v>2</v>
      </c>
      <c r="F21" s="49">
        <f>AVERAGE('22.08 Iganga-Kaliro'!F21,'23.08 Iganga-Kaliro'!F21,'25.08 Iganga-Kaliro'!F21,'27.08 Iganga-Kaliro'!F21,'24.08 Iganga-Kaliro-24h'!F21,'26.08 Iganga-Kaliro-24h'!F21,'28.08 Iganga-Kaliro'!F21)</f>
        <v>1.8571428571428572</v>
      </c>
      <c r="G21" s="49">
        <f>AVERAGE('22.08 Iganga-Kaliro'!G21,'23.08 Iganga-Kaliro'!G21,'25.08 Iganga-Kaliro'!G21,'27.08 Iganga-Kaliro'!G21,'24.08 Iganga-Kaliro-24h'!G21,'26.08 Iganga-Kaliro-24h'!G21,'28.08 Iganga-Kaliro'!G21)</f>
        <v>0.14285714285714285</v>
      </c>
      <c r="H21" s="49">
        <f>AVERAGE('22.08 Iganga-Kaliro'!H21,'23.08 Iganga-Kaliro'!H21,'25.08 Iganga-Kaliro'!H21,'27.08 Iganga-Kaliro'!H21,'24.08 Iganga-Kaliro-24h'!H21,'26.08 Iganga-Kaliro-24h'!H21,'28.08 Iganga-Kaliro'!H21)</f>
        <v>0</v>
      </c>
      <c r="I21" s="49">
        <f>AVERAGE('22.08 Iganga-Kaliro'!I21,'23.08 Iganga-Kaliro'!I21,'25.08 Iganga-Kaliro'!I21,'27.08 Iganga-Kaliro'!I21,'24.08 Iganga-Kaliro-24h'!I21,'26.08 Iganga-Kaliro-24h'!I21,'28.08 Iganga-Kaliro'!I21)</f>
        <v>2.1428571428571428</v>
      </c>
      <c r="J21" s="49">
        <f>AVERAGE('22.08 Iganga-Kaliro'!J21,'23.08 Iganga-Kaliro'!J21,'25.08 Iganga-Kaliro'!J21,'27.08 Iganga-Kaliro'!J21,'24.08 Iganga-Kaliro-24h'!J21,'26.08 Iganga-Kaliro-24h'!J21,'28.08 Iganga-Kaliro'!J21)</f>
        <v>1.7142857142857142</v>
      </c>
      <c r="K21" s="49">
        <f>AVERAGE('22.08 Iganga-Kaliro'!K21,'23.08 Iganga-Kaliro'!K21,'25.08 Iganga-Kaliro'!K21,'27.08 Iganga-Kaliro'!K21,'24.08 Iganga-Kaliro-24h'!K21,'26.08 Iganga-Kaliro-24h'!K21,'28.08 Iganga-Kaliro'!K21)</f>
        <v>0</v>
      </c>
      <c r="L21" s="49">
        <f>AVERAGE('22.08 Iganga-Kaliro'!L21,'23.08 Iganga-Kaliro'!L21,'25.08 Iganga-Kaliro'!L21,'27.08 Iganga-Kaliro'!L21,'24.08 Iganga-Kaliro-24h'!L21,'26.08 Iganga-Kaliro-24h'!L21,'28.08 Iganga-Kaliro'!L21)</f>
        <v>0</v>
      </c>
      <c r="M21" s="49">
        <f>AVERAGE('22.08 Iganga-Kaliro'!M21,'23.08 Iganga-Kaliro'!M21,'25.08 Iganga-Kaliro'!M21,'27.08 Iganga-Kaliro'!M21,'24.08 Iganga-Kaliro-24h'!M21,'26.08 Iganga-Kaliro-24h'!M21,'28.08 Iganga-Kaliro'!M21)</f>
        <v>63</v>
      </c>
      <c r="N21" s="49">
        <f>AVERAGE('22.08 Iganga-Kaliro'!N21,'23.08 Iganga-Kaliro'!N21,'25.08 Iganga-Kaliro'!N21,'27.08 Iganga-Kaliro'!N21,'24.08 Iganga-Kaliro-24h'!N21,'26.08 Iganga-Kaliro-24h'!N21,'28.08 Iganga-Kaliro'!N21)</f>
        <v>0.14285714285714285</v>
      </c>
      <c r="O21" s="15">
        <f t="shared" si="0"/>
        <v>13.285714285714283</v>
      </c>
      <c r="P21" s="15">
        <f t="shared" si="1"/>
        <v>76.285714285714278</v>
      </c>
      <c r="R21" s="36" t="s">
        <v>20</v>
      </c>
      <c r="S21" s="34">
        <f t="shared" ref="S21:AF21" si="13">SUM(C54:C57)</f>
        <v>14.142857142857142</v>
      </c>
      <c r="T21" s="17">
        <f t="shared" si="13"/>
        <v>10.714285714285714</v>
      </c>
      <c r="U21" s="17">
        <f t="shared" si="13"/>
        <v>6.2857142857142856</v>
      </c>
      <c r="V21" s="17">
        <f t="shared" si="13"/>
        <v>23.285714285714285</v>
      </c>
      <c r="W21" s="17">
        <f t="shared" si="13"/>
        <v>0.2857142857142857</v>
      </c>
      <c r="X21" s="17">
        <f t="shared" si="13"/>
        <v>0.14285714285714285</v>
      </c>
      <c r="Y21" s="17">
        <f t="shared" si="13"/>
        <v>6.1428571428571423</v>
      </c>
      <c r="Z21" s="17">
        <f t="shared" si="13"/>
        <v>4.4285714285714288</v>
      </c>
      <c r="AA21" s="17">
        <f t="shared" si="13"/>
        <v>0</v>
      </c>
      <c r="AB21" s="17">
        <f t="shared" si="13"/>
        <v>0</v>
      </c>
      <c r="AC21" s="17">
        <f t="shared" si="13"/>
        <v>237.14285714285717</v>
      </c>
      <c r="AD21" s="17">
        <f t="shared" si="13"/>
        <v>0.2857142857142857</v>
      </c>
      <c r="AE21" s="31">
        <f t="shared" si="13"/>
        <v>65.714285714285722</v>
      </c>
      <c r="AF21" s="31">
        <f t="shared" si="13"/>
        <v>302.85714285714289</v>
      </c>
    </row>
    <row r="22" spans="2:32" ht="23.1" customHeight="1" x14ac:dyDescent="0.25">
      <c r="B22" s="23" t="s">
        <v>49</v>
      </c>
      <c r="C22" s="49">
        <f>AVERAGE('22.08 Iganga-Kaliro'!C22,'23.08 Iganga-Kaliro'!C22,'25.08 Iganga-Kaliro'!C22,'27.08 Iganga-Kaliro'!C22,'24.08 Iganga-Kaliro-24h'!C22,'26.08 Iganga-Kaliro-24h'!C22,'28.08 Iganga-Kaliro'!C22)</f>
        <v>5.2857142857142856</v>
      </c>
      <c r="D22" s="49">
        <f>AVERAGE('22.08 Iganga-Kaliro'!D22,'23.08 Iganga-Kaliro'!D22,'25.08 Iganga-Kaliro'!D22,'27.08 Iganga-Kaliro'!D22,'24.08 Iganga-Kaliro-24h'!D22,'26.08 Iganga-Kaliro-24h'!D22,'28.08 Iganga-Kaliro'!D22)</f>
        <v>3.2857142857142856</v>
      </c>
      <c r="E22" s="49">
        <f>AVERAGE('22.08 Iganga-Kaliro'!E22,'23.08 Iganga-Kaliro'!E22,'25.08 Iganga-Kaliro'!E22,'27.08 Iganga-Kaliro'!E22,'24.08 Iganga-Kaliro-24h'!E22,'26.08 Iganga-Kaliro-24h'!E22,'28.08 Iganga-Kaliro'!E22)</f>
        <v>1.8571428571428572</v>
      </c>
      <c r="F22" s="49">
        <f>AVERAGE('22.08 Iganga-Kaliro'!F22,'23.08 Iganga-Kaliro'!F22,'25.08 Iganga-Kaliro'!F22,'27.08 Iganga-Kaliro'!F22,'24.08 Iganga-Kaliro-24h'!F22,'26.08 Iganga-Kaliro-24h'!F22,'28.08 Iganga-Kaliro'!F22)</f>
        <v>4.7142857142857144</v>
      </c>
      <c r="G22" s="49">
        <f>AVERAGE('22.08 Iganga-Kaliro'!G22,'23.08 Iganga-Kaliro'!G22,'25.08 Iganga-Kaliro'!G22,'27.08 Iganga-Kaliro'!G22,'24.08 Iganga-Kaliro-24h'!G22,'26.08 Iganga-Kaliro-24h'!G22,'28.08 Iganga-Kaliro'!G22)</f>
        <v>0.14285714285714285</v>
      </c>
      <c r="H22" s="49">
        <f>AVERAGE('22.08 Iganga-Kaliro'!H22,'23.08 Iganga-Kaliro'!H22,'25.08 Iganga-Kaliro'!H22,'27.08 Iganga-Kaliro'!H22,'24.08 Iganga-Kaliro-24h'!H22,'26.08 Iganga-Kaliro-24h'!H22,'28.08 Iganga-Kaliro'!H22)</f>
        <v>0.14285714285714285</v>
      </c>
      <c r="I22" s="49">
        <f>AVERAGE('22.08 Iganga-Kaliro'!I22,'23.08 Iganga-Kaliro'!I22,'25.08 Iganga-Kaliro'!I22,'27.08 Iganga-Kaliro'!I22,'24.08 Iganga-Kaliro-24h'!I22,'26.08 Iganga-Kaliro-24h'!I22,'28.08 Iganga-Kaliro'!I22)</f>
        <v>2</v>
      </c>
      <c r="J22" s="49">
        <f>AVERAGE('22.08 Iganga-Kaliro'!J22,'23.08 Iganga-Kaliro'!J22,'25.08 Iganga-Kaliro'!J22,'27.08 Iganga-Kaliro'!J22,'24.08 Iganga-Kaliro-24h'!J22,'26.08 Iganga-Kaliro-24h'!J22,'28.08 Iganga-Kaliro'!J22)</f>
        <v>1.5714285714285714</v>
      </c>
      <c r="K22" s="49">
        <f>AVERAGE('22.08 Iganga-Kaliro'!K22,'23.08 Iganga-Kaliro'!K22,'25.08 Iganga-Kaliro'!K22,'27.08 Iganga-Kaliro'!K22,'24.08 Iganga-Kaliro-24h'!K22,'26.08 Iganga-Kaliro-24h'!K22,'28.08 Iganga-Kaliro'!K22)</f>
        <v>0</v>
      </c>
      <c r="L22" s="49">
        <f>AVERAGE('22.08 Iganga-Kaliro'!L22,'23.08 Iganga-Kaliro'!L22,'25.08 Iganga-Kaliro'!L22,'27.08 Iganga-Kaliro'!L22,'24.08 Iganga-Kaliro-24h'!L22,'26.08 Iganga-Kaliro-24h'!L22,'28.08 Iganga-Kaliro'!L22)</f>
        <v>0</v>
      </c>
      <c r="M22" s="49">
        <f>AVERAGE('22.08 Iganga-Kaliro'!M22,'23.08 Iganga-Kaliro'!M22,'25.08 Iganga-Kaliro'!M22,'27.08 Iganga-Kaliro'!M22,'24.08 Iganga-Kaliro-24h'!M22,'26.08 Iganga-Kaliro-24h'!M22,'28.08 Iganga-Kaliro'!M22)</f>
        <v>68.571428571428569</v>
      </c>
      <c r="N22" s="49">
        <f>AVERAGE('22.08 Iganga-Kaliro'!N22,'23.08 Iganga-Kaliro'!N22,'25.08 Iganga-Kaliro'!N22,'27.08 Iganga-Kaliro'!N22,'24.08 Iganga-Kaliro-24h'!N22,'26.08 Iganga-Kaliro-24h'!N22,'28.08 Iganga-Kaliro'!N22)</f>
        <v>0</v>
      </c>
      <c r="O22" s="15">
        <f t="shared" si="0"/>
        <v>19</v>
      </c>
      <c r="P22" s="15">
        <f t="shared" si="1"/>
        <v>87.571428571428569</v>
      </c>
      <c r="R22" s="1" t="s">
        <v>146</v>
      </c>
      <c r="S22" s="34">
        <f>SUM(C58:C61)</f>
        <v>13</v>
      </c>
      <c r="T22" s="34">
        <f t="shared" ref="T22:AF22" si="14">SUM(D58:D61)</f>
        <v>7</v>
      </c>
      <c r="U22" s="34">
        <f t="shared" si="14"/>
        <v>3</v>
      </c>
      <c r="V22" s="34">
        <f t="shared" si="14"/>
        <v>6.5</v>
      </c>
      <c r="W22" s="34">
        <f t="shared" si="14"/>
        <v>0</v>
      </c>
      <c r="X22" s="34">
        <f t="shared" si="14"/>
        <v>0</v>
      </c>
      <c r="Y22" s="34">
        <f t="shared" si="14"/>
        <v>2</v>
      </c>
      <c r="Z22" s="34">
        <f t="shared" si="14"/>
        <v>1</v>
      </c>
      <c r="AA22" s="34">
        <f t="shared" si="14"/>
        <v>0</v>
      </c>
      <c r="AB22" s="34">
        <f t="shared" si="14"/>
        <v>0</v>
      </c>
      <c r="AC22" s="34">
        <f t="shared" si="14"/>
        <v>240</v>
      </c>
      <c r="AD22" s="34">
        <f t="shared" si="14"/>
        <v>0</v>
      </c>
      <c r="AE22" s="31">
        <f t="shared" si="14"/>
        <v>32.5</v>
      </c>
      <c r="AF22" s="31">
        <f t="shared" si="14"/>
        <v>272.5</v>
      </c>
    </row>
    <row r="23" spans="2:32" ht="23.1" customHeight="1" x14ac:dyDescent="0.25">
      <c r="B23" s="23" t="s">
        <v>50</v>
      </c>
      <c r="C23" s="49">
        <f>AVERAGE('22.08 Iganga-Kaliro'!C23,'23.08 Iganga-Kaliro'!C23,'25.08 Iganga-Kaliro'!C23,'27.08 Iganga-Kaliro'!C23,'24.08 Iganga-Kaliro-24h'!C23,'26.08 Iganga-Kaliro-24h'!C23,'28.08 Iganga-Kaliro'!C23)</f>
        <v>4</v>
      </c>
      <c r="D23" s="49">
        <f>AVERAGE('22.08 Iganga-Kaliro'!D23,'23.08 Iganga-Kaliro'!D23,'25.08 Iganga-Kaliro'!D23,'27.08 Iganga-Kaliro'!D23,'24.08 Iganga-Kaliro-24h'!D23,'26.08 Iganga-Kaliro-24h'!D23,'28.08 Iganga-Kaliro'!D23)</f>
        <v>2.4285714285714284</v>
      </c>
      <c r="E23" s="49">
        <f>AVERAGE('22.08 Iganga-Kaliro'!E23,'23.08 Iganga-Kaliro'!E23,'25.08 Iganga-Kaliro'!E23,'27.08 Iganga-Kaliro'!E23,'24.08 Iganga-Kaliro-24h'!E23,'26.08 Iganga-Kaliro-24h'!E23,'28.08 Iganga-Kaliro'!E23)</f>
        <v>1.4285714285714286</v>
      </c>
      <c r="F23" s="49">
        <f>AVERAGE('22.08 Iganga-Kaliro'!F23,'23.08 Iganga-Kaliro'!F23,'25.08 Iganga-Kaliro'!F23,'27.08 Iganga-Kaliro'!F23,'24.08 Iganga-Kaliro-24h'!F23,'26.08 Iganga-Kaliro-24h'!F23,'28.08 Iganga-Kaliro'!F23)</f>
        <v>3.1428571428571428</v>
      </c>
      <c r="G23" s="49">
        <f>AVERAGE('22.08 Iganga-Kaliro'!G23,'23.08 Iganga-Kaliro'!G23,'25.08 Iganga-Kaliro'!G23,'27.08 Iganga-Kaliro'!G23,'24.08 Iganga-Kaliro-24h'!G23,'26.08 Iganga-Kaliro-24h'!G23,'28.08 Iganga-Kaliro'!G23)</f>
        <v>0</v>
      </c>
      <c r="H23" s="49">
        <f>AVERAGE('22.08 Iganga-Kaliro'!H23,'23.08 Iganga-Kaliro'!H23,'25.08 Iganga-Kaliro'!H23,'27.08 Iganga-Kaliro'!H23,'24.08 Iganga-Kaliro-24h'!H23,'26.08 Iganga-Kaliro-24h'!H23,'28.08 Iganga-Kaliro'!H23)</f>
        <v>0</v>
      </c>
      <c r="I23" s="49">
        <f>AVERAGE('22.08 Iganga-Kaliro'!I23,'23.08 Iganga-Kaliro'!I23,'25.08 Iganga-Kaliro'!I23,'27.08 Iganga-Kaliro'!I23,'24.08 Iganga-Kaliro-24h'!I23,'26.08 Iganga-Kaliro-24h'!I23,'28.08 Iganga-Kaliro'!I23)</f>
        <v>1.8571428571428572</v>
      </c>
      <c r="J23" s="49">
        <f>AVERAGE('22.08 Iganga-Kaliro'!J23,'23.08 Iganga-Kaliro'!J23,'25.08 Iganga-Kaliro'!J23,'27.08 Iganga-Kaliro'!J23,'24.08 Iganga-Kaliro-24h'!J23,'26.08 Iganga-Kaliro-24h'!J23,'28.08 Iganga-Kaliro'!J23)</f>
        <v>2</v>
      </c>
      <c r="K23" s="49">
        <f>AVERAGE('22.08 Iganga-Kaliro'!K23,'23.08 Iganga-Kaliro'!K23,'25.08 Iganga-Kaliro'!K23,'27.08 Iganga-Kaliro'!K23,'24.08 Iganga-Kaliro-24h'!K23,'26.08 Iganga-Kaliro-24h'!K23,'28.08 Iganga-Kaliro'!K23)</f>
        <v>0</v>
      </c>
      <c r="L23" s="49">
        <f>AVERAGE('22.08 Iganga-Kaliro'!L23,'23.08 Iganga-Kaliro'!L23,'25.08 Iganga-Kaliro'!L23,'27.08 Iganga-Kaliro'!L23,'24.08 Iganga-Kaliro-24h'!L23,'26.08 Iganga-Kaliro-24h'!L23,'28.08 Iganga-Kaliro'!L23)</f>
        <v>0.14285714285714285</v>
      </c>
      <c r="M23" s="49">
        <f>AVERAGE('22.08 Iganga-Kaliro'!M23,'23.08 Iganga-Kaliro'!M23,'25.08 Iganga-Kaliro'!M23,'27.08 Iganga-Kaliro'!M23,'24.08 Iganga-Kaliro-24h'!M23,'26.08 Iganga-Kaliro-24h'!M23,'28.08 Iganga-Kaliro'!M23)</f>
        <v>80.142857142857139</v>
      </c>
      <c r="N23" s="49">
        <f>AVERAGE('22.08 Iganga-Kaliro'!N23,'23.08 Iganga-Kaliro'!N23,'25.08 Iganga-Kaliro'!N23,'27.08 Iganga-Kaliro'!N23,'24.08 Iganga-Kaliro-24h'!N23,'26.08 Iganga-Kaliro-24h'!N23,'28.08 Iganga-Kaliro'!N23)</f>
        <v>0.14285714285714285</v>
      </c>
      <c r="O23" s="15">
        <f t="shared" si="0"/>
        <v>15.142857142857142</v>
      </c>
      <c r="P23" s="15">
        <f t="shared" si="1"/>
        <v>95.285714285714278</v>
      </c>
      <c r="R23" s="1" t="s">
        <v>147</v>
      </c>
      <c r="S23" s="34">
        <f>SUM(C62:C65)</f>
        <v>11.5</v>
      </c>
      <c r="T23" s="34">
        <f t="shared" ref="T23:AF23" si="15">SUM(D62:D65)</f>
        <v>3.5</v>
      </c>
      <c r="U23" s="34">
        <f t="shared" si="15"/>
        <v>3.5</v>
      </c>
      <c r="V23" s="34">
        <f t="shared" si="15"/>
        <v>6</v>
      </c>
      <c r="W23" s="34">
        <f t="shared" si="15"/>
        <v>0</v>
      </c>
      <c r="X23" s="34">
        <f t="shared" si="15"/>
        <v>0</v>
      </c>
      <c r="Y23" s="34">
        <f t="shared" si="15"/>
        <v>2</v>
      </c>
      <c r="Z23" s="34">
        <f t="shared" si="15"/>
        <v>0</v>
      </c>
      <c r="AA23" s="34">
        <f t="shared" si="15"/>
        <v>0.5</v>
      </c>
      <c r="AB23" s="34">
        <f t="shared" si="15"/>
        <v>0</v>
      </c>
      <c r="AC23" s="34">
        <f t="shared" si="15"/>
        <v>241</v>
      </c>
      <c r="AD23" s="34">
        <f t="shared" si="15"/>
        <v>0</v>
      </c>
      <c r="AE23" s="31">
        <f t="shared" si="15"/>
        <v>27</v>
      </c>
      <c r="AF23" s="31">
        <f t="shared" si="15"/>
        <v>268</v>
      </c>
    </row>
    <row r="24" spans="2:32" ht="23.1" customHeight="1" x14ac:dyDescent="0.25">
      <c r="B24" s="23" t="s">
        <v>51</v>
      </c>
      <c r="C24" s="49">
        <f>AVERAGE('22.08 Iganga-Kaliro'!C24,'23.08 Iganga-Kaliro'!C24,'25.08 Iganga-Kaliro'!C24,'27.08 Iganga-Kaliro'!C24,'24.08 Iganga-Kaliro-24h'!C24,'26.08 Iganga-Kaliro-24h'!C24,'28.08 Iganga-Kaliro'!C24)</f>
        <v>3.7142857142857144</v>
      </c>
      <c r="D24" s="49">
        <f>AVERAGE('22.08 Iganga-Kaliro'!D24,'23.08 Iganga-Kaliro'!D24,'25.08 Iganga-Kaliro'!D24,'27.08 Iganga-Kaliro'!D24,'24.08 Iganga-Kaliro-24h'!D24,'26.08 Iganga-Kaliro-24h'!D24,'28.08 Iganga-Kaliro'!D24)</f>
        <v>2.4285714285714284</v>
      </c>
      <c r="E24" s="49">
        <f>AVERAGE('22.08 Iganga-Kaliro'!E24,'23.08 Iganga-Kaliro'!E24,'25.08 Iganga-Kaliro'!E24,'27.08 Iganga-Kaliro'!E24,'24.08 Iganga-Kaliro-24h'!E24,'26.08 Iganga-Kaliro-24h'!E24,'28.08 Iganga-Kaliro'!E24)</f>
        <v>1.8571428571428572</v>
      </c>
      <c r="F24" s="49">
        <f>AVERAGE('22.08 Iganga-Kaliro'!F24,'23.08 Iganga-Kaliro'!F24,'25.08 Iganga-Kaliro'!F24,'27.08 Iganga-Kaliro'!F24,'24.08 Iganga-Kaliro-24h'!F24,'26.08 Iganga-Kaliro-24h'!F24,'28.08 Iganga-Kaliro'!F24)</f>
        <v>2.5714285714285716</v>
      </c>
      <c r="G24" s="49">
        <f>AVERAGE('22.08 Iganga-Kaliro'!G24,'23.08 Iganga-Kaliro'!G24,'25.08 Iganga-Kaliro'!G24,'27.08 Iganga-Kaliro'!G24,'24.08 Iganga-Kaliro-24h'!G24,'26.08 Iganga-Kaliro-24h'!G24,'28.08 Iganga-Kaliro'!G24)</f>
        <v>0.14285714285714285</v>
      </c>
      <c r="H24" s="49">
        <f>AVERAGE('22.08 Iganga-Kaliro'!H24,'23.08 Iganga-Kaliro'!H24,'25.08 Iganga-Kaliro'!H24,'27.08 Iganga-Kaliro'!H24,'24.08 Iganga-Kaliro-24h'!H24,'26.08 Iganga-Kaliro-24h'!H24,'28.08 Iganga-Kaliro'!H24)</f>
        <v>0</v>
      </c>
      <c r="I24" s="49">
        <f>AVERAGE('22.08 Iganga-Kaliro'!I24,'23.08 Iganga-Kaliro'!I24,'25.08 Iganga-Kaliro'!I24,'27.08 Iganga-Kaliro'!I24,'24.08 Iganga-Kaliro-24h'!I24,'26.08 Iganga-Kaliro-24h'!I24,'28.08 Iganga-Kaliro'!I24)</f>
        <v>1.2857142857142858</v>
      </c>
      <c r="J24" s="49">
        <f>AVERAGE('22.08 Iganga-Kaliro'!J24,'23.08 Iganga-Kaliro'!J24,'25.08 Iganga-Kaliro'!J24,'27.08 Iganga-Kaliro'!J24,'24.08 Iganga-Kaliro-24h'!J24,'26.08 Iganga-Kaliro-24h'!J24,'28.08 Iganga-Kaliro'!J24)</f>
        <v>1.5714285714285714</v>
      </c>
      <c r="K24" s="49">
        <f>AVERAGE('22.08 Iganga-Kaliro'!K24,'23.08 Iganga-Kaliro'!K24,'25.08 Iganga-Kaliro'!K24,'27.08 Iganga-Kaliro'!K24,'24.08 Iganga-Kaliro-24h'!K24,'26.08 Iganga-Kaliro-24h'!K24,'28.08 Iganga-Kaliro'!K24)</f>
        <v>0.14285714285714285</v>
      </c>
      <c r="L24" s="49">
        <f>AVERAGE('22.08 Iganga-Kaliro'!L24,'23.08 Iganga-Kaliro'!L24,'25.08 Iganga-Kaliro'!L24,'27.08 Iganga-Kaliro'!L24,'24.08 Iganga-Kaliro-24h'!L24,'26.08 Iganga-Kaliro-24h'!L24,'28.08 Iganga-Kaliro'!L24)</f>
        <v>0</v>
      </c>
      <c r="M24" s="49">
        <f>AVERAGE('22.08 Iganga-Kaliro'!M24,'23.08 Iganga-Kaliro'!M24,'25.08 Iganga-Kaliro'!M24,'27.08 Iganga-Kaliro'!M24,'24.08 Iganga-Kaliro-24h'!M24,'26.08 Iganga-Kaliro-24h'!M24,'28.08 Iganga-Kaliro'!M24)</f>
        <v>82.142857142857139</v>
      </c>
      <c r="N24" s="49">
        <f>AVERAGE('22.08 Iganga-Kaliro'!N24,'23.08 Iganga-Kaliro'!N24,'25.08 Iganga-Kaliro'!N24,'27.08 Iganga-Kaliro'!N24,'24.08 Iganga-Kaliro-24h'!N24,'26.08 Iganga-Kaliro-24h'!N24,'28.08 Iganga-Kaliro'!N24)</f>
        <v>0</v>
      </c>
      <c r="O24" s="15">
        <f t="shared" si="0"/>
        <v>13.714285714285714</v>
      </c>
      <c r="P24" s="15">
        <f t="shared" si="1"/>
        <v>95.857142857142847</v>
      </c>
      <c r="R24" s="1" t="s">
        <v>148</v>
      </c>
      <c r="S24" s="34">
        <f>SUM(C66:C69)</f>
        <v>9.5</v>
      </c>
      <c r="T24" s="34">
        <f t="shared" ref="T24:AF24" si="16">SUM(D66:D69)</f>
        <v>4.5</v>
      </c>
      <c r="U24" s="34">
        <f t="shared" si="16"/>
        <v>4.5</v>
      </c>
      <c r="V24" s="34">
        <f t="shared" si="16"/>
        <v>7</v>
      </c>
      <c r="W24" s="34">
        <f t="shared" si="16"/>
        <v>0</v>
      </c>
      <c r="X24" s="34">
        <f t="shared" si="16"/>
        <v>0</v>
      </c>
      <c r="Y24" s="34">
        <f t="shared" si="16"/>
        <v>0.5</v>
      </c>
      <c r="Z24" s="34">
        <f t="shared" si="16"/>
        <v>1</v>
      </c>
      <c r="AA24" s="34">
        <f t="shared" si="16"/>
        <v>0</v>
      </c>
      <c r="AB24" s="34">
        <f t="shared" si="16"/>
        <v>0</v>
      </c>
      <c r="AC24" s="34">
        <f t="shared" si="16"/>
        <v>189.5</v>
      </c>
      <c r="AD24" s="34">
        <f t="shared" si="16"/>
        <v>0</v>
      </c>
      <c r="AE24" s="31">
        <f t="shared" si="16"/>
        <v>27</v>
      </c>
      <c r="AF24" s="31">
        <f t="shared" si="16"/>
        <v>216.5</v>
      </c>
    </row>
    <row r="25" spans="2:32" ht="23.1" customHeight="1" x14ac:dyDescent="0.25">
      <c r="B25" s="23" t="s">
        <v>52</v>
      </c>
      <c r="C25" s="49">
        <f>AVERAGE('22.08 Iganga-Kaliro'!C25,'23.08 Iganga-Kaliro'!C25,'25.08 Iganga-Kaliro'!C25,'27.08 Iganga-Kaliro'!C25,'24.08 Iganga-Kaliro-24h'!C25,'26.08 Iganga-Kaliro-24h'!C25,'28.08 Iganga-Kaliro'!C25)</f>
        <v>3</v>
      </c>
      <c r="D25" s="49">
        <f>AVERAGE('22.08 Iganga-Kaliro'!D25,'23.08 Iganga-Kaliro'!D25,'25.08 Iganga-Kaliro'!D25,'27.08 Iganga-Kaliro'!D25,'24.08 Iganga-Kaliro-24h'!D25,'26.08 Iganga-Kaliro-24h'!D25,'28.08 Iganga-Kaliro'!D25)</f>
        <v>1.7142857142857142</v>
      </c>
      <c r="E25" s="49">
        <f>AVERAGE('22.08 Iganga-Kaliro'!E25,'23.08 Iganga-Kaliro'!E25,'25.08 Iganga-Kaliro'!E25,'27.08 Iganga-Kaliro'!E25,'24.08 Iganga-Kaliro-24h'!E25,'26.08 Iganga-Kaliro-24h'!E25,'28.08 Iganga-Kaliro'!E25)</f>
        <v>1.1428571428571428</v>
      </c>
      <c r="F25" s="49">
        <f>AVERAGE('22.08 Iganga-Kaliro'!F25,'23.08 Iganga-Kaliro'!F25,'25.08 Iganga-Kaliro'!F25,'27.08 Iganga-Kaliro'!F25,'24.08 Iganga-Kaliro-24h'!F25,'26.08 Iganga-Kaliro-24h'!F25,'28.08 Iganga-Kaliro'!F25)</f>
        <v>3.2857142857142856</v>
      </c>
      <c r="G25" s="49">
        <f>AVERAGE('22.08 Iganga-Kaliro'!G25,'23.08 Iganga-Kaliro'!G25,'25.08 Iganga-Kaliro'!G25,'27.08 Iganga-Kaliro'!G25,'24.08 Iganga-Kaliro-24h'!G25,'26.08 Iganga-Kaliro-24h'!G25,'28.08 Iganga-Kaliro'!G25)</f>
        <v>0.14285714285714285</v>
      </c>
      <c r="H25" s="49">
        <f>AVERAGE('22.08 Iganga-Kaliro'!H25,'23.08 Iganga-Kaliro'!H25,'25.08 Iganga-Kaliro'!H25,'27.08 Iganga-Kaliro'!H25,'24.08 Iganga-Kaliro-24h'!H25,'26.08 Iganga-Kaliro-24h'!H25,'28.08 Iganga-Kaliro'!H25)</f>
        <v>0.14285714285714285</v>
      </c>
      <c r="I25" s="49">
        <f>AVERAGE('22.08 Iganga-Kaliro'!I25,'23.08 Iganga-Kaliro'!I25,'25.08 Iganga-Kaliro'!I25,'27.08 Iganga-Kaliro'!I25,'24.08 Iganga-Kaliro-24h'!I25,'26.08 Iganga-Kaliro-24h'!I25,'28.08 Iganga-Kaliro'!I25)</f>
        <v>1.2857142857142858</v>
      </c>
      <c r="J25" s="49">
        <f>AVERAGE('22.08 Iganga-Kaliro'!J25,'23.08 Iganga-Kaliro'!J25,'25.08 Iganga-Kaliro'!J25,'27.08 Iganga-Kaliro'!J25,'24.08 Iganga-Kaliro-24h'!J25,'26.08 Iganga-Kaliro-24h'!J25,'28.08 Iganga-Kaliro'!J25)</f>
        <v>1.5714285714285714</v>
      </c>
      <c r="K25" s="49">
        <f>AVERAGE('22.08 Iganga-Kaliro'!K25,'23.08 Iganga-Kaliro'!K25,'25.08 Iganga-Kaliro'!K25,'27.08 Iganga-Kaliro'!K25,'24.08 Iganga-Kaliro-24h'!K25,'26.08 Iganga-Kaliro-24h'!K25,'28.08 Iganga-Kaliro'!K25)</f>
        <v>0.14285714285714285</v>
      </c>
      <c r="L25" s="49">
        <f>AVERAGE('22.08 Iganga-Kaliro'!L25,'23.08 Iganga-Kaliro'!L25,'25.08 Iganga-Kaliro'!L25,'27.08 Iganga-Kaliro'!L25,'24.08 Iganga-Kaliro-24h'!L25,'26.08 Iganga-Kaliro-24h'!L25,'28.08 Iganga-Kaliro'!L25)</f>
        <v>0</v>
      </c>
      <c r="M25" s="49">
        <f>AVERAGE('22.08 Iganga-Kaliro'!M25,'23.08 Iganga-Kaliro'!M25,'25.08 Iganga-Kaliro'!M25,'27.08 Iganga-Kaliro'!M25,'24.08 Iganga-Kaliro-24h'!M25,'26.08 Iganga-Kaliro-24h'!M25,'28.08 Iganga-Kaliro'!M25)</f>
        <v>71.571428571428569</v>
      </c>
      <c r="N25" s="49">
        <f>AVERAGE('22.08 Iganga-Kaliro'!N25,'23.08 Iganga-Kaliro'!N25,'25.08 Iganga-Kaliro'!N25,'27.08 Iganga-Kaliro'!N25,'24.08 Iganga-Kaliro-24h'!N25,'26.08 Iganga-Kaliro-24h'!N25,'28.08 Iganga-Kaliro'!N25)</f>
        <v>0</v>
      </c>
      <c r="O25" s="15">
        <f t="shared" si="0"/>
        <v>12.428571428571427</v>
      </c>
      <c r="P25" s="15">
        <f t="shared" si="1"/>
        <v>84</v>
      </c>
      <c r="R25" s="1" t="s">
        <v>149</v>
      </c>
      <c r="S25" s="34">
        <f>SUM(C70:C73)</f>
        <v>8</v>
      </c>
      <c r="T25" s="34">
        <f t="shared" ref="T25:AF25" si="17">SUM(D70:D73)</f>
        <v>6</v>
      </c>
      <c r="U25" s="34">
        <f t="shared" si="17"/>
        <v>2.5</v>
      </c>
      <c r="V25" s="34">
        <f t="shared" si="17"/>
        <v>7.5</v>
      </c>
      <c r="W25" s="34">
        <f t="shared" si="17"/>
        <v>0</v>
      </c>
      <c r="X25" s="34">
        <f t="shared" si="17"/>
        <v>0</v>
      </c>
      <c r="Y25" s="34">
        <f t="shared" si="17"/>
        <v>0.5</v>
      </c>
      <c r="Z25" s="34">
        <f t="shared" si="17"/>
        <v>1</v>
      </c>
      <c r="AA25" s="34">
        <f t="shared" si="17"/>
        <v>0</v>
      </c>
      <c r="AB25" s="34">
        <f t="shared" si="17"/>
        <v>0</v>
      </c>
      <c r="AC25" s="34">
        <f t="shared" si="17"/>
        <v>179</v>
      </c>
      <c r="AD25" s="34">
        <f t="shared" si="17"/>
        <v>0</v>
      </c>
      <c r="AE25" s="31">
        <f t="shared" si="17"/>
        <v>25.5</v>
      </c>
      <c r="AF25" s="31">
        <f t="shared" si="17"/>
        <v>204.5</v>
      </c>
    </row>
    <row r="26" spans="2:32" ht="23.1" customHeight="1" x14ac:dyDescent="0.25">
      <c r="B26" s="23" t="s">
        <v>53</v>
      </c>
      <c r="C26" s="49">
        <f>AVERAGE('22.08 Iganga-Kaliro'!C26,'23.08 Iganga-Kaliro'!C26,'25.08 Iganga-Kaliro'!C26,'27.08 Iganga-Kaliro'!C26,'24.08 Iganga-Kaliro-24h'!C26,'26.08 Iganga-Kaliro-24h'!C26,'28.08 Iganga-Kaliro'!C26)</f>
        <v>3.2857142857142856</v>
      </c>
      <c r="D26" s="49">
        <f>AVERAGE('22.08 Iganga-Kaliro'!D26,'23.08 Iganga-Kaliro'!D26,'25.08 Iganga-Kaliro'!D26,'27.08 Iganga-Kaliro'!D26,'24.08 Iganga-Kaliro-24h'!D26,'26.08 Iganga-Kaliro-24h'!D26,'28.08 Iganga-Kaliro'!D26)</f>
        <v>2.2857142857142856</v>
      </c>
      <c r="E26" s="49">
        <f>AVERAGE('22.08 Iganga-Kaliro'!E26,'23.08 Iganga-Kaliro'!E26,'25.08 Iganga-Kaliro'!E26,'27.08 Iganga-Kaliro'!E26,'24.08 Iganga-Kaliro-24h'!E26,'26.08 Iganga-Kaliro-24h'!E26,'28.08 Iganga-Kaliro'!E26)</f>
        <v>1.7142857142857142</v>
      </c>
      <c r="F26" s="49">
        <f>AVERAGE('22.08 Iganga-Kaliro'!F26,'23.08 Iganga-Kaliro'!F26,'25.08 Iganga-Kaliro'!F26,'27.08 Iganga-Kaliro'!F26,'24.08 Iganga-Kaliro-24h'!F26,'26.08 Iganga-Kaliro-24h'!F26,'28.08 Iganga-Kaliro'!F26)</f>
        <v>2.7142857142857144</v>
      </c>
      <c r="G26" s="49">
        <f>AVERAGE('22.08 Iganga-Kaliro'!G26,'23.08 Iganga-Kaliro'!G26,'25.08 Iganga-Kaliro'!G26,'27.08 Iganga-Kaliro'!G26,'24.08 Iganga-Kaliro-24h'!G26,'26.08 Iganga-Kaliro-24h'!G26,'28.08 Iganga-Kaliro'!G26)</f>
        <v>0.14285714285714285</v>
      </c>
      <c r="H26" s="49">
        <f>AVERAGE('22.08 Iganga-Kaliro'!H26,'23.08 Iganga-Kaliro'!H26,'25.08 Iganga-Kaliro'!H26,'27.08 Iganga-Kaliro'!H26,'24.08 Iganga-Kaliro-24h'!H26,'26.08 Iganga-Kaliro-24h'!H26,'28.08 Iganga-Kaliro'!H26)</f>
        <v>0</v>
      </c>
      <c r="I26" s="49">
        <f>AVERAGE('22.08 Iganga-Kaliro'!I26,'23.08 Iganga-Kaliro'!I26,'25.08 Iganga-Kaliro'!I26,'27.08 Iganga-Kaliro'!I26,'24.08 Iganga-Kaliro-24h'!I26,'26.08 Iganga-Kaliro-24h'!I26,'28.08 Iganga-Kaliro'!I26)</f>
        <v>0.8571428571428571</v>
      </c>
      <c r="J26" s="49">
        <f>AVERAGE('22.08 Iganga-Kaliro'!J26,'23.08 Iganga-Kaliro'!J26,'25.08 Iganga-Kaliro'!J26,'27.08 Iganga-Kaliro'!J26,'24.08 Iganga-Kaliro-24h'!J26,'26.08 Iganga-Kaliro-24h'!J26,'28.08 Iganga-Kaliro'!J26)</f>
        <v>1</v>
      </c>
      <c r="K26" s="49">
        <f>AVERAGE('22.08 Iganga-Kaliro'!K26,'23.08 Iganga-Kaliro'!K26,'25.08 Iganga-Kaliro'!K26,'27.08 Iganga-Kaliro'!K26,'24.08 Iganga-Kaliro-24h'!K26,'26.08 Iganga-Kaliro-24h'!K26,'28.08 Iganga-Kaliro'!K26)</f>
        <v>0.14285714285714285</v>
      </c>
      <c r="L26" s="49">
        <f>AVERAGE('22.08 Iganga-Kaliro'!L26,'23.08 Iganga-Kaliro'!L26,'25.08 Iganga-Kaliro'!L26,'27.08 Iganga-Kaliro'!L26,'24.08 Iganga-Kaliro-24h'!L26,'26.08 Iganga-Kaliro-24h'!L26,'28.08 Iganga-Kaliro'!L26)</f>
        <v>0.14285714285714285</v>
      </c>
      <c r="M26" s="49">
        <f>AVERAGE('22.08 Iganga-Kaliro'!M26,'23.08 Iganga-Kaliro'!M26,'25.08 Iganga-Kaliro'!M26,'27.08 Iganga-Kaliro'!M26,'24.08 Iganga-Kaliro-24h'!M26,'26.08 Iganga-Kaliro-24h'!M26,'28.08 Iganga-Kaliro'!M26)</f>
        <v>75.714285714285708</v>
      </c>
      <c r="N26" s="49">
        <f>AVERAGE('22.08 Iganga-Kaliro'!N26,'23.08 Iganga-Kaliro'!N26,'25.08 Iganga-Kaliro'!N26,'27.08 Iganga-Kaliro'!N26,'24.08 Iganga-Kaliro-24h'!N26,'26.08 Iganga-Kaliro-24h'!N26,'28.08 Iganga-Kaliro'!N26)</f>
        <v>0</v>
      </c>
      <c r="O26" s="15">
        <f t="shared" si="0"/>
        <v>12.285714285714285</v>
      </c>
      <c r="P26" s="15">
        <f t="shared" si="1"/>
        <v>88</v>
      </c>
      <c r="R26" s="1" t="s">
        <v>150</v>
      </c>
      <c r="S26" s="34">
        <f>SUM(C74:C77)</f>
        <v>9.5</v>
      </c>
      <c r="T26" s="34">
        <f t="shared" ref="T26:AF26" si="18">SUM(D74:D77)</f>
        <v>4.5</v>
      </c>
      <c r="U26" s="34">
        <f t="shared" si="18"/>
        <v>3</v>
      </c>
      <c r="V26" s="34">
        <f t="shared" si="18"/>
        <v>4.5</v>
      </c>
      <c r="W26" s="34">
        <f t="shared" si="18"/>
        <v>0</v>
      </c>
      <c r="X26" s="34">
        <f t="shared" si="18"/>
        <v>0</v>
      </c>
      <c r="Y26" s="34">
        <f t="shared" si="18"/>
        <v>2</v>
      </c>
      <c r="Z26" s="34">
        <f t="shared" si="18"/>
        <v>1</v>
      </c>
      <c r="AA26" s="34">
        <f t="shared" si="18"/>
        <v>0</v>
      </c>
      <c r="AB26" s="34">
        <f t="shared" si="18"/>
        <v>0</v>
      </c>
      <c r="AC26" s="34">
        <f t="shared" si="18"/>
        <v>126.5</v>
      </c>
      <c r="AD26" s="34">
        <f t="shared" si="18"/>
        <v>0</v>
      </c>
      <c r="AE26" s="31">
        <f t="shared" si="18"/>
        <v>24.5</v>
      </c>
      <c r="AF26" s="31">
        <f t="shared" si="18"/>
        <v>151</v>
      </c>
    </row>
    <row r="27" spans="2:32" ht="23.1" customHeight="1" x14ac:dyDescent="0.25">
      <c r="B27" s="23" t="s">
        <v>54</v>
      </c>
      <c r="C27" s="49">
        <f>AVERAGE('22.08 Iganga-Kaliro'!C27,'23.08 Iganga-Kaliro'!C27,'25.08 Iganga-Kaliro'!C27,'27.08 Iganga-Kaliro'!C27,'24.08 Iganga-Kaliro-24h'!C27,'26.08 Iganga-Kaliro-24h'!C27,'28.08 Iganga-Kaliro'!C27)</f>
        <v>3.5714285714285716</v>
      </c>
      <c r="D27" s="49">
        <f>AVERAGE('22.08 Iganga-Kaliro'!D27,'23.08 Iganga-Kaliro'!D27,'25.08 Iganga-Kaliro'!D27,'27.08 Iganga-Kaliro'!D27,'24.08 Iganga-Kaliro-24h'!D27,'26.08 Iganga-Kaliro-24h'!D27,'28.08 Iganga-Kaliro'!D27)</f>
        <v>2.7142857142857144</v>
      </c>
      <c r="E27" s="49">
        <f>AVERAGE('22.08 Iganga-Kaliro'!E27,'23.08 Iganga-Kaliro'!E27,'25.08 Iganga-Kaliro'!E27,'27.08 Iganga-Kaliro'!E27,'24.08 Iganga-Kaliro-24h'!E27,'26.08 Iganga-Kaliro-24h'!E27,'28.08 Iganga-Kaliro'!E27)</f>
        <v>1.5714285714285714</v>
      </c>
      <c r="F27" s="49">
        <f>AVERAGE('22.08 Iganga-Kaliro'!F27,'23.08 Iganga-Kaliro'!F27,'25.08 Iganga-Kaliro'!F27,'27.08 Iganga-Kaliro'!F27,'24.08 Iganga-Kaliro-24h'!F27,'26.08 Iganga-Kaliro-24h'!F27,'28.08 Iganga-Kaliro'!F27)</f>
        <v>2.8571428571428572</v>
      </c>
      <c r="G27" s="49">
        <f>AVERAGE('22.08 Iganga-Kaliro'!G27,'23.08 Iganga-Kaliro'!G27,'25.08 Iganga-Kaliro'!G27,'27.08 Iganga-Kaliro'!G27,'24.08 Iganga-Kaliro-24h'!G27,'26.08 Iganga-Kaliro-24h'!G27,'28.08 Iganga-Kaliro'!G27)</f>
        <v>0.14285714285714285</v>
      </c>
      <c r="H27" s="49">
        <f>AVERAGE('22.08 Iganga-Kaliro'!H27,'23.08 Iganga-Kaliro'!H27,'25.08 Iganga-Kaliro'!H27,'27.08 Iganga-Kaliro'!H27,'24.08 Iganga-Kaliro-24h'!H27,'26.08 Iganga-Kaliro-24h'!H27,'28.08 Iganga-Kaliro'!H27)</f>
        <v>0</v>
      </c>
      <c r="I27" s="49">
        <f>AVERAGE('22.08 Iganga-Kaliro'!I27,'23.08 Iganga-Kaliro'!I27,'25.08 Iganga-Kaliro'!I27,'27.08 Iganga-Kaliro'!I27,'24.08 Iganga-Kaliro-24h'!I27,'26.08 Iganga-Kaliro-24h'!I27,'28.08 Iganga-Kaliro'!I27)</f>
        <v>1.8571428571428572</v>
      </c>
      <c r="J27" s="49">
        <f>AVERAGE('22.08 Iganga-Kaliro'!J27,'23.08 Iganga-Kaliro'!J27,'25.08 Iganga-Kaliro'!J27,'27.08 Iganga-Kaliro'!J27,'24.08 Iganga-Kaliro-24h'!J27,'26.08 Iganga-Kaliro-24h'!J27,'28.08 Iganga-Kaliro'!J27)</f>
        <v>1.4285714285714286</v>
      </c>
      <c r="K27" s="49">
        <f>AVERAGE('22.08 Iganga-Kaliro'!K27,'23.08 Iganga-Kaliro'!K27,'25.08 Iganga-Kaliro'!K27,'27.08 Iganga-Kaliro'!K27,'24.08 Iganga-Kaliro-24h'!K27,'26.08 Iganga-Kaliro-24h'!K27,'28.08 Iganga-Kaliro'!K27)</f>
        <v>0.14285714285714285</v>
      </c>
      <c r="L27" s="49">
        <f>AVERAGE('22.08 Iganga-Kaliro'!L27,'23.08 Iganga-Kaliro'!L27,'25.08 Iganga-Kaliro'!L27,'27.08 Iganga-Kaliro'!L27,'24.08 Iganga-Kaliro-24h'!L27,'26.08 Iganga-Kaliro-24h'!L27,'28.08 Iganga-Kaliro'!L27)</f>
        <v>0</v>
      </c>
      <c r="M27" s="49">
        <f>AVERAGE('22.08 Iganga-Kaliro'!M27,'23.08 Iganga-Kaliro'!M27,'25.08 Iganga-Kaliro'!M27,'27.08 Iganga-Kaliro'!M27,'24.08 Iganga-Kaliro-24h'!M27,'26.08 Iganga-Kaliro-24h'!M27,'28.08 Iganga-Kaliro'!M27)</f>
        <v>87.142857142857139</v>
      </c>
      <c r="N27" s="49">
        <f>AVERAGE('22.08 Iganga-Kaliro'!N27,'23.08 Iganga-Kaliro'!N27,'25.08 Iganga-Kaliro'!N27,'27.08 Iganga-Kaliro'!N27,'24.08 Iganga-Kaliro-24h'!N27,'26.08 Iganga-Kaliro-24h'!N27,'28.08 Iganga-Kaliro'!N27)</f>
        <v>0.14285714285714285</v>
      </c>
      <c r="O27" s="15">
        <f t="shared" si="0"/>
        <v>14.428571428571429</v>
      </c>
      <c r="P27" s="15">
        <f t="shared" si="1"/>
        <v>101.57142857142857</v>
      </c>
      <c r="R27" s="1" t="s">
        <v>151</v>
      </c>
      <c r="S27" s="34">
        <f>SUM(C78:C81)</f>
        <v>5.5</v>
      </c>
      <c r="T27" s="34">
        <f t="shared" ref="T27:AF27" si="19">SUM(D78:D81)</f>
        <v>5</v>
      </c>
      <c r="U27" s="34">
        <f t="shared" si="19"/>
        <v>2.5</v>
      </c>
      <c r="V27" s="34">
        <f t="shared" si="19"/>
        <v>1</v>
      </c>
      <c r="W27" s="34">
        <f t="shared" si="19"/>
        <v>0</v>
      </c>
      <c r="X27" s="34">
        <f t="shared" si="19"/>
        <v>0</v>
      </c>
      <c r="Y27" s="34">
        <f t="shared" si="19"/>
        <v>1.5</v>
      </c>
      <c r="Z27" s="34">
        <f t="shared" si="19"/>
        <v>0.5</v>
      </c>
      <c r="AA27" s="34">
        <f t="shared" si="19"/>
        <v>0</v>
      </c>
      <c r="AB27" s="34">
        <f t="shared" si="19"/>
        <v>0</v>
      </c>
      <c r="AC27" s="34">
        <f t="shared" si="19"/>
        <v>102.5</v>
      </c>
      <c r="AD27" s="34">
        <f t="shared" si="19"/>
        <v>0</v>
      </c>
      <c r="AE27" s="31">
        <f t="shared" si="19"/>
        <v>16</v>
      </c>
      <c r="AF27" s="31">
        <f t="shared" si="19"/>
        <v>118.5</v>
      </c>
    </row>
    <row r="28" spans="2:32" ht="23.1" customHeight="1" x14ac:dyDescent="0.25">
      <c r="B28" s="23" t="s">
        <v>55</v>
      </c>
      <c r="C28" s="49">
        <f>AVERAGE('22.08 Iganga-Kaliro'!C28,'23.08 Iganga-Kaliro'!C28,'25.08 Iganga-Kaliro'!C28,'27.08 Iganga-Kaliro'!C28,'24.08 Iganga-Kaliro-24h'!C28,'26.08 Iganga-Kaliro-24h'!C28,'28.08 Iganga-Kaliro'!C28)</f>
        <v>2.8571428571428572</v>
      </c>
      <c r="D28" s="49">
        <f>AVERAGE('22.08 Iganga-Kaliro'!D28,'23.08 Iganga-Kaliro'!D28,'25.08 Iganga-Kaliro'!D28,'27.08 Iganga-Kaliro'!D28,'24.08 Iganga-Kaliro-24h'!D28,'26.08 Iganga-Kaliro-24h'!D28,'28.08 Iganga-Kaliro'!D28)</f>
        <v>2.1428571428571428</v>
      </c>
      <c r="E28" s="49">
        <f>AVERAGE('22.08 Iganga-Kaliro'!E28,'23.08 Iganga-Kaliro'!E28,'25.08 Iganga-Kaliro'!E28,'27.08 Iganga-Kaliro'!E28,'24.08 Iganga-Kaliro-24h'!E28,'26.08 Iganga-Kaliro-24h'!E28,'28.08 Iganga-Kaliro'!E28)</f>
        <v>2.2857142857142856</v>
      </c>
      <c r="F28" s="49">
        <f>AVERAGE('22.08 Iganga-Kaliro'!F28,'23.08 Iganga-Kaliro'!F28,'25.08 Iganga-Kaliro'!F28,'27.08 Iganga-Kaliro'!F28,'24.08 Iganga-Kaliro-24h'!F28,'26.08 Iganga-Kaliro-24h'!F28,'28.08 Iganga-Kaliro'!F28)</f>
        <v>2.2857142857142856</v>
      </c>
      <c r="G28" s="49">
        <f>AVERAGE('22.08 Iganga-Kaliro'!G28,'23.08 Iganga-Kaliro'!G28,'25.08 Iganga-Kaliro'!G28,'27.08 Iganga-Kaliro'!G28,'24.08 Iganga-Kaliro-24h'!G28,'26.08 Iganga-Kaliro-24h'!G28,'28.08 Iganga-Kaliro'!G28)</f>
        <v>0.14285714285714285</v>
      </c>
      <c r="H28" s="49">
        <f>AVERAGE('22.08 Iganga-Kaliro'!H28,'23.08 Iganga-Kaliro'!H28,'25.08 Iganga-Kaliro'!H28,'27.08 Iganga-Kaliro'!H28,'24.08 Iganga-Kaliro-24h'!H28,'26.08 Iganga-Kaliro-24h'!H28,'28.08 Iganga-Kaliro'!H28)</f>
        <v>0.14285714285714285</v>
      </c>
      <c r="I28" s="49">
        <f>AVERAGE('22.08 Iganga-Kaliro'!I28,'23.08 Iganga-Kaliro'!I28,'25.08 Iganga-Kaliro'!I28,'27.08 Iganga-Kaliro'!I28,'24.08 Iganga-Kaliro-24h'!I28,'26.08 Iganga-Kaliro-24h'!I28,'28.08 Iganga-Kaliro'!I28)</f>
        <v>2</v>
      </c>
      <c r="J28" s="49">
        <f>AVERAGE('22.08 Iganga-Kaliro'!J28,'23.08 Iganga-Kaliro'!J28,'25.08 Iganga-Kaliro'!J28,'27.08 Iganga-Kaliro'!J28,'24.08 Iganga-Kaliro-24h'!J28,'26.08 Iganga-Kaliro-24h'!J28,'28.08 Iganga-Kaliro'!J28)</f>
        <v>1.8571428571428572</v>
      </c>
      <c r="K28" s="49">
        <f>AVERAGE('22.08 Iganga-Kaliro'!K28,'23.08 Iganga-Kaliro'!K28,'25.08 Iganga-Kaliro'!K28,'27.08 Iganga-Kaliro'!K28,'24.08 Iganga-Kaliro-24h'!K28,'26.08 Iganga-Kaliro-24h'!K28,'28.08 Iganga-Kaliro'!K28)</f>
        <v>0.14285714285714285</v>
      </c>
      <c r="L28" s="49">
        <f>AVERAGE('22.08 Iganga-Kaliro'!L28,'23.08 Iganga-Kaliro'!L28,'25.08 Iganga-Kaliro'!L28,'27.08 Iganga-Kaliro'!L28,'24.08 Iganga-Kaliro-24h'!L28,'26.08 Iganga-Kaliro-24h'!L28,'28.08 Iganga-Kaliro'!L28)</f>
        <v>0</v>
      </c>
      <c r="M28" s="49">
        <f>AVERAGE('22.08 Iganga-Kaliro'!M28,'23.08 Iganga-Kaliro'!M28,'25.08 Iganga-Kaliro'!M28,'27.08 Iganga-Kaliro'!M28,'24.08 Iganga-Kaliro-24h'!M28,'26.08 Iganga-Kaliro-24h'!M28,'28.08 Iganga-Kaliro'!M28)</f>
        <v>71.714285714285708</v>
      </c>
      <c r="N28" s="49">
        <f>AVERAGE('22.08 Iganga-Kaliro'!N28,'23.08 Iganga-Kaliro'!N28,'25.08 Iganga-Kaliro'!N28,'27.08 Iganga-Kaliro'!N28,'24.08 Iganga-Kaliro-24h'!N28,'26.08 Iganga-Kaliro-24h'!N28,'28.08 Iganga-Kaliro'!N28)</f>
        <v>0</v>
      </c>
      <c r="O28" s="15">
        <f t="shared" si="0"/>
        <v>13.857142857142856</v>
      </c>
      <c r="P28" s="15">
        <f t="shared" si="1"/>
        <v>85.571428571428569</v>
      </c>
      <c r="R28" s="1" t="s">
        <v>152</v>
      </c>
      <c r="S28" s="34">
        <f>SUM(C82:C85)</f>
        <v>4</v>
      </c>
      <c r="T28" s="34">
        <f t="shared" ref="T28:AF28" si="20">SUM(D82:D85)</f>
        <v>5</v>
      </c>
      <c r="U28" s="34">
        <f t="shared" si="20"/>
        <v>1.5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0.5</v>
      </c>
      <c r="Z28" s="34">
        <f t="shared" si="20"/>
        <v>0.5</v>
      </c>
      <c r="AA28" s="34">
        <f t="shared" si="20"/>
        <v>0</v>
      </c>
      <c r="AB28" s="34">
        <f t="shared" si="20"/>
        <v>0</v>
      </c>
      <c r="AC28" s="34">
        <f t="shared" si="20"/>
        <v>55.5</v>
      </c>
      <c r="AD28" s="34">
        <f t="shared" si="20"/>
        <v>0</v>
      </c>
      <c r="AE28" s="31">
        <f t="shared" si="20"/>
        <v>12.5</v>
      </c>
      <c r="AF28" s="31">
        <f t="shared" si="20"/>
        <v>68</v>
      </c>
    </row>
    <row r="29" spans="2:32" ht="23.1" customHeight="1" x14ac:dyDescent="0.25">
      <c r="B29" s="23" t="s">
        <v>56</v>
      </c>
      <c r="C29" s="49">
        <f>AVERAGE('22.08 Iganga-Kaliro'!C29,'23.08 Iganga-Kaliro'!C29,'25.08 Iganga-Kaliro'!C29,'27.08 Iganga-Kaliro'!C29,'24.08 Iganga-Kaliro-24h'!C29,'26.08 Iganga-Kaliro-24h'!C29,'28.08 Iganga-Kaliro'!C29)</f>
        <v>3.2857142857142856</v>
      </c>
      <c r="D29" s="49">
        <f>AVERAGE('22.08 Iganga-Kaliro'!D29,'23.08 Iganga-Kaliro'!D29,'25.08 Iganga-Kaliro'!D29,'27.08 Iganga-Kaliro'!D29,'24.08 Iganga-Kaliro-24h'!D29,'26.08 Iganga-Kaliro-24h'!D29,'28.08 Iganga-Kaliro'!D29)</f>
        <v>2.8571428571428572</v>
      </c>
      <c r="E29" s="49">
        <f>AVERAGE('22.08 Iganga-Kaliro'!E29,'23.08 Iganga-Kaliro'!E29,'25.08 Iganga-Kaliro'!E29,'27.08 Iganga-Kaliro'!E29,'24.08 Iganga-Kaliro-24h'!E29,'26.08 Iganga-Kaliro-24h'!E29,'28.08 Iganga-Kaliro'!E29)</f>
        <v>2</v>
      </c>
      <c r="F29" s="49">
        <f>AVERAGE('22.08 Iganga-Kaliro'!F29,'23.08 Iganga-Kaliro'!F29,'25.08 Iganga-Kaliro'!F29,'27.08 Iganga-Kaliro'!F29,'24.08 Iganga-Kaliro-24h'!F29,'26.08 Iganga-Kaliro-24h'!F29,'28.08 Iganga-Kaliro'!F29)</f>
        <v>2.2857142857142856</v>
      </c>
      <c r="G29" s="49">
        <f>AVERAGE('22.08 Iganga-Kaliro'!G29,'23.08 Iganga-Kaliro'!G29,'25.08 Iganga-Kaliro'!G29,'27.08 Iganga-Kaliro'!G29,'24.08 Iganga-Kaliro-24h'!G29,'26.08 Iganga-Kaliro-24h'!G29,'28.08 Iganga-Kaliro'!G29)</f>
        <v>0</v>
      </c>
      <c r="H29" s="49">
        <f>AVERAGE('22.08 Iganga-Kaliro'!H29,'23.08 Iganga-Kaliro'!H29,'25.08 Iganga-Kaliro'!H29,'27.08 Iganga-Kaliro'!H29,'24.08 Iganga-Kaliro-24h'!H29,'26.08 Iganga-Kaliro-24h'!H29,'28.08 Iganga-Kaliro'!H29)</f>
        <v>0</v>
      </c>
      <c r="I29" s="49">
        <f>AVERAGE('22.08 Iganga-Kaliro'!I29,'23.08 Iganga-Kaliro'!I29,'25.08 Iganga-Kaliro'!I29,'27.08 Iganga-Kaliro'!I29,'24.08 Iganga-Kaliro-24h'!I29,'26.08 Iganga-Kaliro-24h'!I29,'28.08 Iganga-Kaliro'!I29)</f>
        <v>2.1428571428571428</v>
      </c>
      <c r="J29" s="49">
        <f>AVERAGE('22.08 Iganga-Kaliro'!J29,'23.08 Iganga-Kaliro'!J29,'25.08 Iganga-Kaliro'!J29,'27.08 Iganga-Kaliro'!J29,'24.08 Iganga-Kaliro-24h'!J29,'26.08 Iganga-Kaliro-24h'!J29,'28.08 Iganga-Kaliro'!J29)</f>
        <v>2.2857142857142856</v>
      </c>
      <c r="K29" s="49">
        <f>AVERAGE('22.08 Iganga-Kaliro'!K29,'23.08 Iganga-Kaliro'!K29,'25.08 Iganga-Kaliro'!K29,'27.08 Iganga-Kaliro'!K29,'24.08 Iganga-Kaliro-24h'!K29,'26.08 Iganga-Kaliro-24h'!K29,'28.08 Iganga-Kaliro'!K29)</f>
        <v>0.42857142857142855</v>
      </c>
      <c r="L29" s="49">
        <f>AVERAGE('22.08 Iganga-Kaliro'!L29,'23.08 Iganga-Kaliro'!L29,'25.08 Iganga-Kaliro'!L29,'27.08 Iganga-Kaliro'!L29,'24.08 Iganga-Kaliro-24h'!L29,'26.08 Iganga-Kaliro-24h'!L29,'28.08 Iganga-Kaliro'!L29)</f>
        <v>0</v>
      </c>
      <c r="M29" s="49">
        <f>AVERAGE('22.08 Iganga-Kaliro'!M29,'23.08 Iganga-Kaliro'!M29,'25.08 Iganga-Kaliro'!M29,'27.08 Iganga-Kaliro'!M29,'24.08 Iganga-Kaliro-24h'!M29,'26.08 Iganga-Kaliro-24h'!M29,'28.08 Iganga-Kaliro'!M29)</f>
        <v>81.428571428571431</v>
      </c>
      <c r="N29" s="49">
        <f>AVERAGE('22.08 Iganga-Kaliro'!N29,'23.08 Iganga-Kaliro'!N29,'25.08 Iganga-Kaliro'!N29,'27.08 Iganga-Kaliro'!N29,'24.08 Iganga-Kaliro-24h'!N29,'26.08 Iganga-Kaliro-24h'!N29,'28.08 Iganga-Kaliro'!N29)</f>
        <v>0</v>
      </c>
      <c r="O29" s="15">
        <f t="shared" si="0"/>
        <v>15.285714285714283</v>
      </c>
      <c r="P29" s="15">
        <f t="shared" si="1"/>
        <v>96.714285714285708</v>
      </c>
      <c r="R29" s="1" t="s">
        <v>153</v>
      </c>
      <c r="S29" s="34">
        <f>SUM(C86:C89)</f>
        <v>4</v>
      </c>
      <c r="T29" s="34">
        <f t="shared" ref="T29:AF29" si="21">SUM(D86:D89)</f>
        <v>1.5</v>
      </c>
      <c r="U29" s="34">
        <f t="shared" si="21"/>
        <v>1.5</v>
      </c>
      <c r="V29" s="34">
        <f t="shared" si="21"/>
        <v>1</v>
      </c>
      <c r="W29" s="34">
        <f t="shared" si="21"/>
        <v>0</v>
      </c>
      <c r="X29" s="34">
        <f t="shared" si="21"/>
        <v>0</v>
      </c>
      <c r="Y29" s="34">
        <f t="shared" si="21"/>
        <v>1</v>
      </c>
      <c r="Z29" s="34">
        <f t="shared" si="21"/>
        <v>0</v>
      </c>
      <c r="AA29" s="34">
        <f t="shared" si="21"/>
        <v>0</v>
      </c>
      <c r="AB29" s="34">
        <f t="shared" si="21"/>
        <v>0</v>
      </c>
      <c r="AC29" s="34">
        <f t="shared" si="21"/>
        <v>33.5</v>
      </c>
      <c r="AD29" s="34">
        <f t="shared" si="21"/>
        <v>0</v>
      </c>
      <c r="AE29" s="31">
        <f t="shared" si="21"/>
        <v>9</v>
      </c>
      <c r="AF29" s="31">
        <f t="shared" si="21"/>
        <v>42.5</v>
      </c>
    </row>
    <row r="30" spans="2:32" ht="23.1" customHeight="1" x14ac:dyDescent="0.25">
      <c r="B30" s="23" t="s">
        <v>57</v>
      </c>
      <c r="C30" s="49">
        <f>AVERAGE('22.08 Iganga-Kaliro'!C30,'23.08 Iganga-Kaliro'!C30,'25.08 Iganga-Kaliro'!C30,'27.08 Iganga-Kaliro'!C30,'24.08 Iganga-Kaliro-24h'!C30,'26.08 Iganga-Kaliro-24h'!C30,'28.08 Iganga-Kaliro'!C30)</f>
        <v>4</v>
      </c>
      <c r="D30" s="49">
        <f>AVERAGE('22.08 Iganga-Kaliro'!D30,'23.08 Iganga-Kaliro'!D30,'25.08 Iganga-Kaliro'!D30,'27.08 Iganga-Kaliro'!D30,'24.08 Iganga-Kaliro-24h'!D30,'26.08 Iganga-Kaliro-24h'!D30,'28.08 Iganga-Kaliro'!D30)</f>
        <v>2.8571428571428572</v>
      </c>
      <c r="E30" s="49">
        <f>AVERAGE('22.08 Iganga-Kaliro'!E30,'23.08 Iganga-Kaliro'!E30,'25.08 Iganga-Kaliro'!E30,'27.08 Iganga-Kaliro'!E30,'24.08 Iganga-Kaliro-24h'!E30,'26.08 Iganga-Kaliro-24h'!E30,'28.08 Iganga-Kaliro'!E30)</f>
        <v>1.1428571428571428</v>
      </c>
      <c r="F30" s="49">
        <f>AVERAGE('22.08 Iganga-Kaliro'!F30,'23.08 Iganga-Kaliro'!F30,'25.08 Iganga-Kaliro'!F30,'27.08 Iganga-Kaliro'!F30,'24.08 Iganga-Kaliro-24h'!F30,'26.08 Iganga-Kaliro-24h'!F30,'28.08 Iganga-Kaliro'!F30)</f>
        <v>5.4285714285714288</v>
      </c>
      <c r="G30" s="49">
        <f>AVERAGE('22.08 Iganga-Kaliro'!G30,'23.08 Iganga-Kaliro'!G30,'25.08 Iganga-Kaliro'!G30,'27.08 Iganga-Kaliro'!G30,'24.08 Iganga-Kaliro-24h'!G30,'26.08 Iganga-Kaliro-24h'!G30,'28.08 Iganga-Kaliro'!G30)</f>
        <v>0.14285714285714285</v>
      </c>
      <c r="H30" s="49">
        <f>AVERAGE('22.08 Iganga-Kaliro'!H30,'23.08 Iganga-Kaliro'!H30,'25.08 Iganga-Kaliro'!H30,'27.08 Iganga-Kaliro'!H30,'24.08 Iganga-Kaliro-24h'!H30,'26.08 Iganga-Kaliro-24h'!H30,'28.08 Iganga-Kaliro'!H30)</f>
        <v>0</v>
      </c>
      <c r="I30" s="49">
        <f>AVERAGE('22.08 Iganga-Kaliro'!I30,'23.08 Iganga-Kaliro'!I30,'25.08 Iganga-Kaliro'!I30,'27.08 Iganga-Kaliro'!I30,'24.08 Iganga-Kaliro-24h'!I30,'26.08 Iganga-Kaliro-24h'!I30,'28.08 Iganga-Kaliro'!I30)</f>
        <v>1</v>
      </c>
      <c r="J30" s="49">
        <f>AVERAGE('22.08 Iganga-Kaliro'!J30,'23.08 Iganga-Kaliro'!J30,'25.08 Iganga-Kaliro'!J30,'27.08 Iganga-Kaliro'!J30,'24.08 Iganga-Kaliro-24h'!J30,'26.08 Iganga-Kaliro-24h'!J30,'28.08 Iganga-Kaliro'!J30)</f>
        <v>1.2857142857142858</v>
      </c>
      <c r="K30" s="49">
        <f>AVERAGE('22.08 Iganga-Kaliro'!K30,'23.08 Iganga-Kaliro'!K30,'25.08 Iganga-Kaliro'!K30,'27.08 Iganga-Kaliro'!K30,'24.08 Iganga-Kaliro-24h'!K30,'26.08 Iganga-Kaliro-24h'!K30,'28.08 Iganga-Kaliro'!K30)</f>
        <v>0</v>
      </c>
      <c r="L30" s="49">
        <f>AVERAGE('22.08 Iganga-Kaliro'!L30,'23.08 Iganga-Kaliro'!L30,'25.08 Iganga-Kaliro'!L30,'27.08 Iganga-Kaliro'!L30,'24.08 Iganga-Kaliro-24h'!L30,'26.08 Iganga-Kaliro-24h'!L30,'28.08 Iganga-Kaliro'!L30)</f>
        <v>0</v>
      </c>
      <c r="M30" s="49">
        <f>AVERAGE('22.08 Iganga-Kaliro'!M30,'23.08 Iganga-Kaliro'!M30,'25.08 Iganga-Kaliro'!M30,'27.08 Iganga-Kaliro'!M30,'24.08 Iganga-Kaliro-24h'!M30,'26.08 Iganga-Kaliro-24h'!M30,'28.08 Iganga-Kaliro'!M30)</f>
        <v>76.428571428571431</v>
      </c>
      <c r="N30" s="49">
        <f>AVERAGE('22.08 Iganga-Kaliro'!N30,'23.08 Iganga-Kaliro'!N30,'25.08 Iganga-Kaliro'!N30,'27.08 Iganga-Kaliro'!N30,'24.08 Iganga-Kaliro-24h'!N30,'26.08 Iganga-Kaliro-24h'!N30,'28.08 Iganga-Kaliro'!N30)</f>
        <v>0</v>
      </c>
      <c r="O30" s="15">
        <f t="shared" si="0"/>
        <v>15.857142857142858</v>
      </c>
      <c r="P30" s="15">
        <f t="shared" si="1"/>
        <v>92.285714285714292</v>
      </c>
      <c r="R30" s="1" t="s">
        <v>154</v>
      </c>
      <c r="S30" s="34">
        <f>SUM(C90:C93)</f>
        <v>1</v>
      </c>
      <c r="T30" s="34">
        <f t="shared" ref="T30:AF30" si="22">SUM(D90:D93)</f>
        <v>1.5</v>
      </c>
      <c r="U30" s="34">
        <f t="shared" si="22"/>
        <v>0</v>
      </c>
      <c r="V30" s="34">
        <f t="shared" si="22"/>
        <v>0</v>
      </c>
      <c r="W30" s="34">
        <f t="shared" si="22"/>
        <v>0</v>
      </c>
      <c r="X30" s="34">
        <f t="shared" si="22"/>
        <v>0</v>
      </c>
      <c r="Y30" s="34">
        <f t="shared" si="22"/>
        <v>1</v>
      </c>
      <c r="Z30" s="34">
        <f t="shared" si="22"/>
        <v>1</v>
      </c>
      <c r="AA30" s="34">
        <f t="shared" si="22"/>
        <v>0</v>
      </c>
      <c r="AB30" s="34">
        <f t="shared" si="22"/>
        <v>0</v>
      </c>
      <c r="AC30" s="34">
        <f t="shared" si="22"/>
        <v>14.5</v>
      </c>
      <c r="AD30" s="34">
        <f t="shared" si="22"/>
        <v>0</v>
      </c>
      <c r="AE30" s="31">
        <f t="shared" si="22"/>
        <v>4.5</v>
      </c>
      <c r="AF30" s="31">
        <f t="shared" si="22"/>
        <v>19</v>
      </c>
    </row>
    <row r="31" spans="2:32" ht="23.1" customHeight="1" x14ac:dyDescent="0.25">
      <c r="B31" s="24" t="s">
        <v>58</v>
      </c>
      <c r="C31" s="49">
        <f>AVERAGE('22.08 Iganga-Kaliro'!C31,'23.08 Iganga-Kaliro'!C31,'25.08 Iganga-Kaliro'!C31,'27.08 Iganga-Kaliro'!C31,'24.08 Iganga-Kaliro-24h'!C31,'26.08 Iganga-Kaliro-24h'!C31,'28.08 Iganga-Kaliro'!C31)</f>
        <v>3.4285714285714284</v>
      </c>
      <c r="D31" s="49">
        <f>AVERAGE('22.08 Iganga-Kaliro'!D31,'23.08 Iganga-Kaliro'!D31,'25.08 Iganga-Kaliro'!D31,'27.08 Iganga-Kaliro'!D31,'24.08 Iganga-Kaliro-24h'!D31,'26.08 Iganga-Kaliro-24h'!D31,'28.08 Iganga-Kaliro'!D31)</f>
        <v>2.7142857142857144</v>
      </c>
      <c r="E31" s="49">
        <f>AVERAGE('22.08 Iganga-Kaliro'!E31,'23.08 Iganga-Kaliro'!E31,'25.08 Iganga-Kaliro'!E31,'27.08 Iganga-Kaliro'!E31,'24.08 Iganga-Kaliro-24h'!E31,'26.08 Iganga-Kaliro-24h'!E31,'28.08 Iganga-Kaliro'!E31)</f>
        <v>1.5714285714285714</v>
      </c>
      <c r="F31" s="49">
        <f>AVERAGE('22.08 Iganga-Kaliro'!F31,'23.08 Iganga-Kaliro'!F31,'25.08 Iganga-Kaliro'!F31,'27.08 Iganga-Kaliro'!F31,'24.08 Iganga-Kaliro-24h'!F31,'26.08 Iganga-Kaliro-24h'!F31,'28.08 Iganga-Kaliro'!F31)</f>
        <v>3.4285714285714284</v>
      </c>
      <c r="G31" s="49">
        <f>AVERAGE('22.08 Iganga-Kaliro'!G31,'23.08 Iganga-Kaliro'!G31,'25.08 Iganga-Kaliro'!G31,'27.08 Iganga-Kaliro'!G31,'24.08 Iganga-Kaliro-24h'!G31,'26.08 Iganga-Kaliro-24h'!G31,'28.08 Iganga-Kaliro'!G31)</f>
        <v>0.14285714285714285</v>
      </c>
      <c r="H31" s="49">
        <f>AVERAGE('22.08 Iganga-Kaliro'!H31,'23.08 Iganga-Kaliro'!H31,'25.08 Iganga-Kaliro'!H31,'27.08 Iganga-Kaliro'!H31,'24.08 Iganga-Kaliro-24h'!H31,'26.08 Iganga-Kaliro-24h'!H31,'28.08 Iganga-Kaliro'!H31)</f>
        <v>0.14285714285714285</v>
      </c>
      <c r="I31" s="49">
        <f>AVERAGE('22.08 Iganga-Kaliro'!I31,'23.08 Iganga-Kaliro'!I31,'25.08 Iganga-Kaliro'!I31,'27.08 Iganga-Kaliro'!I31,'24.08 Iganga-Kaliro-24h'!I31,'26.08 Iganga-Kaliro-24h'!I31,'28.08 Iganga-Kaliro'!I31)</f>
        <v>2.2857142857142856</v>
      </c>
      <c r="J31" s="49">
        <f>AVERAGE('22.08 Iganga-Kaliro'!J31,'23.08 Iganga-Kaliro'!J31,'25.08 Iganga-Kaliro'!J31,'27.08 Iganga-Kaliro'!J31,'24.08 Iganga-Kaliro-24h'!J31,'26.08 Iganga-Kaliro-24h'!J31,'28.08 Iganga-Kaliro'!J31)</f>
        <v>1.4285714285714286</v>
      </c>
      <c r="K31" s="49">
        <f>AVERAGE('22.08 Iganga-Kaliro'!K31,'23.08 Iganga-Kaliro'!K31,'25.08 Iganga-Kaliro'!K31,'27.08 Iganga-Kaliro'!K31,'24.08 Iganga-Kaliro-24h'!K31,'26.08 Iganga-Kaliro-24h'!K31,'28.08 Iganga-Kaliro'!K31)</f>
        <v>0</v>
      </c>
      <c r="L31" s="49">
        <f>AVERAGE('22.08 Iganga-Kaliro'!L31,'23.08 Iganga-Kaliro'!L31,'25.08 Iganga-Kaliro'!L31,'27.08 Iganga-Kaliro'!L31,'24.08 Iganga-Kaliro-24h'!L31,'26.08 Iganga-Kaliro-24h'!L31,'28.08 Iganga-Kaliro'!L31)</f>
        <v>0</v>
      </c>
      <c r="M31" s="49">
        <f>AVERAGE('22.08 Iganga-Kaliro'!M31,'23.08 Iganga-Kaliro'!M31,'25.08 Iganga-Kaliro'!M31,'27.08 Iganga-Kaliro'!M31,'24.08 Iganga-Kaliro-24h'!M31,'26.08 Iganga-Kaliro-24h'!M31,'28.08 Iganga-Kaliro'!M31)</f>
        <v>70.714285714285708</v>
      </c>
      <c r="N31" s="49">
        <f>AVERAGE('22.08 Iganga-Kaliro'!N31,'23.08 Iganga-Kaliro'!N31,'25.08 Iganga-Kaliro'!N31,'27.08 Iganga-Kaliro'!N31,'24.08 Iganga-Kaliro-24h'!N31,'26.08 Iganga-Kaliro-24h'!N31,'28.08 Iganga-Kaliro'!N31)</f>
        <v>0</v>
      </c>
      <c r="O31" s="15">
        <f t="shared" si="0"/>
        <v>15.142857142857141</v>
      </c>
      <c r="P31" s="15">
        <f t="shared" si="1"/>
        <v>85.857142857142847</v>
      </c>
      <c r="R31" s="1" t="s">
        <v>155</v>
      </c>
      <c r="S31" s="34">
        <f>SUM(C94:C97)</f>
        <v>2</v>
      </c>
      <c r="T31" s="34">
        <f t="shared" ref="T31:AF31" si="23">SUM(D94:D97)</f>
        <v>0.5</v>
      </c>
      <c r="U31" s="34">
        <f t="shared" si="23"/>
        <v>0</v>
      </c>
      <c r="V31" s="34">
        <f t="shared" si="23"/>
        <v>1</v>
      </c>
      <c r="W31" s="34">
        <f t="shared" si="23"/>
        <v>0</v>
      </c>
      <c r="X31" s="34">
        <f t="shared" si="23"/>
        <v>1</v>
      </c>
      <c r="Y31" s="34">
        <f t="shared" si="23"/>
        <v>0</v>
      </c>
      <c r="Z31" s="34">
        <f t="shared" si="23"/>
        <v>1</v>
      </c>
      <c r="AA31" s="34">
        <f t="shared" si="23"/>
        <v>0</v>
      </c>
      <c r="AB31" s="34">
        <f t="shared" si="23"/>
        <v>0</v>
      </c>
      <c r="AC31" s="34">
        <f t="shared" si="23"/>
        <v>1.5</v>
      </c>
      <c r="AD31" s="34">
        <f t="shared" si="23"/>
        <v>0</v>
      </c>
      <c r="AE31" s="31">
        <f t="shared" si="23"/>
        <v>5.5</v>
      </c>
      <c r="AF31" s="31">
        <f t="shared" si="23"/>
        <v>7</v>
      </c>
    </row>
    <row r="32" spans="2:32" ht="23.1" customHeight="1" x14ac:dyDescent="0.25">
      <c r="B32" s="24" t="s">
        <v>59</v>
      </c>
      <c r="C32" s="49">
        <f>AVERAGE('22.08 Iganga-Kaliro'!C32,'23.08 Iganga-Kaliro'!C32,'25.08 Iganga-Kaliro'!C32,'27.08 Iganga-Kaliro'!C32,'24.08 Iganga-Kaliro-24h'!C32,'26.08 Iganga-Kaliro-24h'!C32,'28.08 Iganga-Kaliro'!C32)</f>
        <v>3.4285714285714284</v>
      </c>
      <c r="D32" s="49">
        <f>AVERAGE('22.08 Iganga-Kaliro'!D32,'23.08 Iganga-Kaliro'!D32,'25.08 Iganga-Kaliro'!D32,'27.08 Iganga-Kaliro'!D32,'24.08 Iganga-Kaliro-24h'!D32,'26.08 Iganga-Kaliro-24h'!D32,'28.08 Iganga-Kaliro'!D32)</f>
        <v>2.4285714285714284</v>
      </c>
      <c r="E32" s="49">
        <f>AVERAGE('22.08 Iganga-Kaliro'!E32,'23.08 Iganga-Kaliro'!E32,'25.08 Iganga-Kaliro'!E32,'27.08 Iganga-Kaliro'!E32,'24.08 Iganga-Kaliro-24h'!E32,'26.08 Iganga-Kaliro-24h'!E32,'28.08 Iganga-Kaliro'!E32)</f>
        <v>1.7142857142857142</v>
      </c>
      <c r="F32" s="49">
        <f>AVERAGE('22.08 Iganga-Kaliro'!F32,'23.08 Iganga-Kaliro'!F32,'25.08 Iganga-Kaliro'!F32,'27.08 Iganga-Kaliro'!F32,'24.08 Iganga-Kaliro-24h'!F32,'26.08 Iganga-Kaliro-24h'!F32,'28.08 Iganga-Kaliro'!F32)</f>
        <v>3.7142857142857144</v>
      </c>
      <c r="G32" s="49">
        <f>AVERAGE('22.08 Iganga-Kaliro'!G32,'23.08 Iganga-Kaliro'!G32,'25.08 Iganga-Kaliro'!G32,'27.08 Iganga-Kaliro'!G32,'24.08 Iganga-Kaliro-24h'!G32,'26.08 Iganga-Kaliro-24h'!G32,'28.08 Iganga-Kaliro'!G32)</f>
        <v>0.14285714285714285</v>
      </c>
      <c r="H32" s="49">
        <f>AVERAGE('22.08 Iganga-Kaliro'!H32,'23.08 Iganga-Kaliro'!H32,'25.08 Iganga-Kaliro'!H32,'27.08 Iganga-Kaliro'!H32,'24.08 Iganga-Kaliro-24h'!H32,'26.08 Iganga-Kaliro-24h'!H32,'28.08 Iganga-Kaliro'!H32)</f>
        <v>0</v>
      </c>
      <c r="I32" s="49">
        <f>AVERAGE('22.08 Iganga-Kaliro'!I32,'23.08 Iganga-Kaliro'!I32,'25.08 Iganga-Kaliro'!I32,'27.08 Iganga-Kaliro'!I32,'24.08 Iganga-Kaliro-24h'!I32,'26.08 Iganga-Kaliro-24h'!I32,'28.08 Iganga-Kaliro'!I32)</f>
        <v>1.7142857142857142</v>
      </c>
      <c r="J32" s="49">
        <f>AVERAGE('22.08 Iganga-Kaliro'!J32,'23.08 Iganga-Kaliro'!J32,'25.08 Iganga-Kaliro'!J32,'27.08 Iganga-Kaliro'!J32,'24.08 Iganga-Kaliro-24h'!J32,'26.08 Iganga-Kaliro-24h'!J32,'28.08 Iganga-Kaliro'!J32)</f>
        <v>1</v>
      </c>
      <c r="K32" s="49">
        <f>AVERAGE('22.08 Iganga-Kaliro'!K32,'23.08 Iganga-Kaliro'!K32,'25.08 Iganga-Kaliro'!K32,'27.08 Iganga-Kaliro'!K32,'24.08 Iganga-Kaliro-24h'!K32,'26.08 Iganga-Kaliro-24h'!K32,'28.08 Iganga-Kaliro'!K32)</f>
        <v>0.14285714285714285</v>
      </c>
      <c r="L32" s="49">
        <f>AVERAGE('22.08 Iganga-Kaliro'!L32,'23.08 Iganga-Kaliro'!L32,'25.08 Iganga-Kaliro'!L32,'27.08 Iganga-Kaliro'!L32,'24.08 Iganga-Kaliro-24h'!L32,'26.08 Iganga-Kaliro-24h'!L32,'28.08 Iganga-Kaliro'!L32)</f>
        <v>0</v>
      </c>
      <c r="M32" s="49">
        <f>AVERAGE('22.08 Iganga-Kaliro'!M32,'23.08 Iganga-Kaliro'!M32,'25.08 Iganga-Kaliro'!M32,'27.08 Iganga-Kaliro'!M32,'24.08 Iganga-Kaliro-24h'!M32,'26.08 Iganga-Kaliro-24h'!M32,'28.08 Iganga-Kaliro'!M32)</f>
        <v>75.714285714285708</v>
      </c>
      <c r="N32" s="49">
        <f>AVERAGE('22.08 Iganga-Kaliro'!N32,'23.08 Iganga-Kaliro'!N32,'25.08 Iganga-Kaliro'!N32,'27.08 Iganga-Kaliro'!N32,'24.08 Iganga-Kaliro-24h'!N32,'26.08 Iganga-Kaliro-24h'!N32,'28.08 Iganga-Kaliro'!N32)</f>
        <v>0</v>
      </c>
      <c r="O32" s="15">
        <f t="shared" si="0"/>
        <v>14.285714285714283</v>
      </c>
      <c r="P32" s="15">
        <f t="shared" si="1"/>
        <v>89.999999999999986</v>
      </c>
      <c r="R32" s="1" t="s">
        <v>156</v>
      </c>
      <c r="S32" s="34">
        <f>SUM(C98:C101)</f>
        <v>2</v>
      </c>
      <c r="T32" s="34">
        <f t="shared" ref="T32:AF32" si="24">SUM(D98:D101)</f>
        <v>2.5</v>
      </c>
      <c r="U32" s="34">
        <f t="shared" si="24"/>
        <v>2</v>
      </c>
      <c r="V32" s="34">
        <f t="shared" si="24"/>
        <v>2</v>
      </c>
      <c r="W32" s="34">
        <f t="shared" si="24"/>
        <v>0</v>
      </c>
      <c r="X32" s="34">
        <f t="shared" si="24"/>
        <v>0</v>
      </c>
      <c r="Y32" s="34">
        <f t="shared" si="24"/>
        <v>1.5</v>
      </c>
      <c r="Z32" s="34">
        <f t="shared" si="24"/>
        <v>0.5</v>
      </c>
      <c r="AA32" s="34">
        <f t="shared" si="24"/>
        <v>0</v>
      </c>
      <c r="AB32" s="34">
        <f t="shared" si="24"/>
        <v>0</v>
      </c>
      <c r="AC32" s="34">
        <f t="shared" si="24"/>
        <v>14.5</v>
      </c>
      <c r="AD32" s="34">
        <f t="shared" si="24"/>
        <v>0</v>
      </c>
      <c r="AE32" s="31">
        <f t="shared" si="24"/>
        <v>10.5</v>
      </c>
      <c r="AF32" s="31">
        <f t="shared" si="24"/>
        <v>25</v>
      </c>
    </row>
    <row r="33" spans="2:32" ht="23.1" customHeight="1" x14ac:dyDescent="0.25">
      <c r="B33" s="23" t="s">
        <v>60</v>
      </c>
      <c r="C33" s="49">
        <f>AVERAGE('22.08 Iganga-Kaliro'!C33,'23.08 Iganga-Kaliro'!C33,'25.08 Iganga-Kaliro'!C33,'27.08 Iganga-Kaliro'!C33,'24.08 Iganga-Kaliro-24h'!C33,'26.08 Iganga-Kaliro-24h'!C33,'28.08 Iganga-Kaliro'!C33)</f>
        <v>3</v>
      </c>
      <c r="D33" s="49">
        <f>AVERAGE('22.08 Iganga-Kaliro'!D33,'23.08 Iganga-Kaliro'!D33,'25.08 Iganga-Kaliro'!D33,'27.08 Iganga-Kaliro'!D33,'24.08 Iganga-Kaliro-24h'!D33,'26.08 Iganga-Kaliro-24h'!D33,'28.08 Iganga-Kaliro'!D33)</f>
        <v>2</v>
      </c>
      <c r="E33" s="49">
        <f>AVERAGE('22.08 Iganga-Kaliro'!E33,'23.08 Iganga-Kaliro'!E33,'25.08 Iganga-Kaliro'!E33,'27.08 Iganga-Kaliro'!E33,'24.08 Iganga-Kaliro-24h'!E33,'26.08 Iganga-Kaliro-24h'!E33,'28.08 Iganga-Kaliro'!E33)</f>
        <v>1.1428571428571428</v>
      </c>
      <c r="F33" s="49">
        <f>AVERAGE('22.08 Iganga-Kaliro'!F33,'23.08 Iganga-Kaliro'!F33,'25.08 Iganga-Kaliro'!F33,'27.08 Iganga-Kaliro'!F33,'24.08 Iganga-Kaliro-24h'!F33,'26.08 Iganga-Kaliro-24h'!F33,'28.08 Iganga-Kaliro'!F33)</f>
        <v>2</v>
      </c>
      <c r="G33" s="49">
        <f>AVERAGE('22.08 Iganga-Kaliro'!G33,'23.08 Iganga-Kaliro'!G33,'25.08 Iganga-Kaliro'!G33,'27.08 Iganga-Kaliro'!G33,'24.08 Iganga-Kaliro-24h'!G33,'26.08 Iganga-Kaliro-24h'!G33,'28.08 Iganga-Kaliro'!G33)</f>
        <v>0.14285714285714285</v>
      </c>
      <c r="H33" s="49">
        <f>AVERAGE('22.08 Iganga-Kaliro'!H33,'23.08 Iganga-Kaliro'!H33,'25.08 Iganga-Kaliro'!H33,'27.08 Iganga-Kaliro'!H33,'24.08 Iganga-Kaliro-24h'!H33,'26.08 Iganga-Kaliro-24h'!H33,'28.08 Iganga-Kaliro'!H33)</f>
        <v>0.14285714285714285</v>
      </c>
      <c r="I33" s="49">
        <f>AVERAGE('22.08 Iganga-Kaliro'!I33,'23.08 Iganga-Kaliro'!I33,'25.08 Iganga-Kaliro'!I33,'27.08 Iganga-Kaliro'!I33,'24.08 Iganga-Kaliro-24h'!I33,'26.08 Iganga-Kaliro-24h'!I33,'28.08 Iganga-Kaliro'!I33)</f>
        <v>1</v>
      </c>
      <c r="J33" s="49">
        <f>AVERAGE('22.08 Iganga-Kaliro'!J33,'23.08 Iganga-Kaliro'!J33,'25.08 Iganga-Kaliro'!J33,'27.08 Iganga-Kaliro'!J33,'24.08 Iganga-Kaliro-24h'!J33,'26.08 Iganga-Kaliro-24h'!J33,'28.08 Iganga-Kaliro'!J33)</f>
        <v>1.1428571428571428</v>
      </c>
      <c r="K33" s="49">
        <f>AVERAGE('22.08 Iganga-Kaliro'!K33,'23.08 Iganga-Kaliro'!K33,'25.08 Iganga-Kaliro'!K33,'27.08 Iganga-Kaliro'!K33,'24.08 Iganga-Kaliro-24h'!K33,'26.08 Iganga-Kaliro-24h'!K33,'28.08 Iganga-Kaliro'!K33)</f>
        <v>0.2857142857142857</v>
      </c>
      <c r="L33" s="49">
        <f>AVERAGE('22.08 Iganga-Kaliro'!L33,'23.08 Iganga-Kaliro'!L33,'25.08 Iganga-Kaliro'!L33,'27.08 Iganga-Kaliro'!L33,'24.08 Iganga-Kaliro-24h'!L33,'26.08 Iganga-Kaliro-24h'!L33,'28.08 Iganga-Kaliro'!L33)</f>
        <v>0</v>
      </c>
      <c r="M33" s="49">
        <f>AVERAGE('22.08 Iganga-Kaliro'!M33,'23.08 Iganga-Kaliro'!M33,'25.08 Iganga-Kaliro'!M33,'27.08 Iganga-Kaliro'!M33,'24.08 Iganga-Kaliro-24h'!M33,'26.08 Iganga-Kaliro-24h'!M33,'28.08 Iganga-Kaliro'!M33)</f>
        <v>77.857142857142861</v>
      </c>
      <c r="N33" s="49">
        <f>AVERAGE('22.08 Iganga-Kaliro'!N33,'23.08 Iganga-Kaliro'!N33,'25.08 Iganga-Kaliro'!N33,'27.08 Iganga-Kaliro'!N33,'24.08 Iganga-Kaliro-24h'!N33,'26.08 Iganga-Kaliro-24h'!N33,'28.08 Iganga-Kaliro'!N33)</f>
        <v>0</v>
      </c>
      <c r="O33" s="15">
        <f t="shared" si="0"/>
        <v>10.857142857142856</v>
      </c>
      <c r="P33" s="15">
        <f t="shared" si="1"/>
        <v>88.714285714285722</v>
      </c>
      <c r="R33" s="1" t="s">
        <v>157</v>
      </c>
      <c r="S33" s="34">
        <f>SUM(C102:C105)</f>
        <v>6</v>
      </c>
      <c r="T33" s="34">
        <f t="shared" ref="T33:AF33" si="25">SUM(D102:D105)</f>
        <v>4</v>
      </c>
      <c r="U33" s="34">
        <f t="shared" si="25"/>
        <v>1.5</v>
      </c>
      <c r="V33" s="34">
        <f t="shared" si="25"/>
        <v>7</v>
      </c>
      <c r="W33" s="34">
        <f t="shared" si="25"/>
        <v>0</v>
      </c>
      <c r="X33" s="34">
        <f t="shared" si="25"/>
        <v>0</v>
      </c>
      <c r="Y33" s="34">
        <f t="shared" si="25"/>
        <v>2</v>
      </c>
      <c r="Z33" s="34">
        <f t="shared" si="25"/>
        <v>1.5</v>
      </c>
      <c r="AA33" s="34">
        <f t="shared" si="25"/>
        <v>0</v>
      </c>
      <c r="AB33" s="34">
        <f t="shared" si="25"/>
        <v>0</v>
      </c>
      <c r="AC33" s="34">
        <f t="shared" si="25"/>
        <v>81.5</v>
      </c>
      <c r="AD33" s="34">
        <f t="shared" si="25"/>
        <v>0</v>
      </c>
      <c r="AE33" s="31">
        <f t="shared" si="25"/>
        <v>22</v>
      </c>
      <c r="AF33" s="31">
        <f t="shared" si="25"/>
        <v>103.5</v>
      </c>
    </row>
    <row r="34" spans="2:32" ht="23.1" customHeight="1" x14ac:dyDescent="0.25">
      <c r="B34" s="24" t="s">
        <v>61</v>
      </c>
      <c r="C34" s="49">
        <f>AVERAGE('22.08 Iganga-Kaliro'!C34,'23.08 Iganga-Kaliro'!C34,'25.08 Iganga-Kaliro'!C34,'27.08 Iganga-Kaliro'!C34,'24.08 Iganga-Kaliro-24h'!C34,'26.08 Iganga-Kaliro-24h'!C34,'28.08 Iganga-Kaliro'!C34)</f>
        <v>3.4285714285714284</v>
      </c>
      <c r="D34" s="49">
        <f>AVERAGE('22.08 Iganga-Kaliro'!D34,'23.08 Iganga-Kaliro'!D34,'25.08 Iganga-Kaliro'!D34,'27.08 Iganga-Kaliro'!D34,'24.08 Iganga-Kaliro-24h'!D34,'26.08 Iganga-Kaliro-24h'!D34,'28.08 Iganga-Kaliro'!D34)</f>
        <v>3.2857142857142856</v>
      </c>
      <c r="E34" s="49">
        <f>AVERAGE('22.08 Iganga-Kaliro'!E34,'23.08 Iganga-Kaliro'!E34,'25.08 Iganga-Kaliro'!E34,'27.08 Iganga-Kaliro'!E34,'24.08 Iganga-Kaliro-24h'!E34,'26.08 Iganga-Kaliro-24h'!E34,'28.08 Iganga-Kaliro'!E34)</f>
        <v>1.7142857142857142</v>
      </c>
      <c r="F34" s="49">
        <f>AVERAGE('22.08 Iganga-Kaliro'!F34,'23.08 Iganga-Kaliro'!F34,'25.08 Iganga-Kaliro'!F34,'27.08 Iganga-Kaliro'!F34,'24.08 Iganga-Kaliro-24h'!F34,'26.08 Iganga-Kaliro-24h'!F34,'28.08 Iganga-Kaliro'!F34)</f>
        <v>6.1428571428571432</v>
      </c>
      <c r="G34" s="49">
        <f>AVERAGE('22.08 Iganga-Kaliro'!G34,'23.08 Iganga-Kaliro'!G34,'25.08 Iganga-Kaliro'!G34,'27.08 Iganga-Kaliro'!G34,'24.08 Iganga-Kaliro-24h'!G34,'26.08 Iganga-Kaliro-24h'!G34,'28.08 Iganga-Kaliro'!G34)</f>
        <v>0.14285714285714285</v>
      </c>
      <c r="H34" s="49">
        <f>AVERAGE('22.08 Iganga-Kaliro'!H34,'23.08 Iganga-Kaliro'!H34,'25.08 Iganga-Kaliro'!H34,'27.08 Iganga-Kaliro'!H34,'24.08 Iganga-Kaliro-24h'!H34,'26.08 Iganga-Kaliro-24h'!H34,'28.08 Iganga-Kaliro'!H34)</f>
        <v>0</v>
      </c>
      <c r="I34" s="49">
        <f>AVERAGE('22.08 Iganga-Kaliro'!I34,'23.08 Iganga-Kaliro'!I34,'25.08 Iganga-Kaliro'!I34,'27.08 Iganga-Kaliro'!I34,'24.08 Iganga-Kaliro-24h'!I34,'26.08 Iganga-Kaliro-24h'!I34,'28.08 Iganga-Kaliro'!I34)</f>
        <v>1.5714285714285714</v>
      </c>
      <c r="J34" s="49">
        <f>AVERAGE('22.08 Iganga-Kaliro'!J34,'23.08 Iganga-Kaliro'!J34,'25.08 Iganga-Kaliro'!J34,'27.08 Iganga-Kaliro'!J34,'24.08 Iganga-Kaliro-24h'!J34,'26.08 Iganga-Kaliro-24h'!J34,'28.08 Iganga-Kaliro'!J34)</f>
        <v>1.7142857142857142</v>
      </c>
      <c r="K34" s="49">
        <f>AVERAGE('22.08 Iganga-Kaliro'!K34,'23.08 Iganga-Kaliro'!K34,'25.08 Iganga-Kaliro'!K34,'27.08 Iganga-Kaliro'!K34,'24.08 Iganga-Kaliro-24h'!K34,'26.08 Iganga-Kaliro-24h'!K34,'28.08 Iganga-Kaliro'!K34)</f>
        <v>0.14285714285714285</v>
      </c>
      <c r="L34" s="49">
        <f>AVERAGE('22.08 Iganga-Kaliro'!L34,'23.08 Iganga-Kaliro'!L34,'25.08 Iganga-Kaliro'!L34,'27.08 Iganga-Kaliro'!L34,'24.08 Iganga-Kaliro-24h'!L34,'26.08 Iganga-Kaliro-24h'!L34,'28.08 Iganga-Kaliro'!L34)</f>
        <v>0</v>
      </c>
      <c r="M34" s="49">
        <f>AVERAGE('22.08 Iganga-Kaliro'!M34,'23.08 Iganga-Kaliro'!M34,'25.08 Iganga-Kaliro'!M34,'27.08 Iganga-Kaliro'!M34,'24.08 Iganga-Kaliro-24h'!M34,'26.08 Iganga-Kaliro-24h'!M34,'28.08 Iganga-Kaliro'!M34)</f>
        <v>71.428571428571431</v>
      </c>
      <c r="N34" s="49">
        <f>AVERAGE('22.08 Iganga-Kaliro'!N34,'23.08 Iganga-Kaliro'!N34,'25.08 Iganga-Kaliro'!N34,'27.08 Iganga-Kaliro'!N34,'24.08 Iganga-Kaliro-24h'!N34,'26.08 Iganga-Kaliro-24h'!N34,'28.08 Iganga-Kaliro'!N34)</f>
        <v>0</v>
      </c>
      <c r="O34" s="15">
        <f t="shared" si="0"/>
        <v>18.142857142857142</v>
      </c>
      <c r="P34" s="15">
        <f t="shared" si="1"/>
        <v>89.571428571428569</v>
      </c>
      <c r="R34" s="38" t="s">
        <v>90</v>
      </c>
      <c r="S34" s="39">
        <f t="shared" ref="S34:AF34" si="26">MAX(S10:S12)</f>
        <v>14.857142857142858</v>
      </c>
      <c r="T34" s="39">
        <f t="shared" si="26"/>
        <v>10</v>
      </c>
      <c r="U34" s="39">
        <f t="shared" si="26"/>
        <v>8.4285714285714288</v>
      </c>
      <c r="V34" s="39">
        <f t="shared" si="26"/>
        <v>19.857142857142854</v>
      </c>
      <c r="W34" s="39">
        <f t="shared" si="26"/>
        <v>2.9999999999999996</v>
      </c>
      <c r="X34" s="39">
        <f t="shared" si="26"/>
        <v>1.4285714285714284</v>
      </c>
      <c r="Y34" s="39">
        <f t="shared" si="26"/>
        <v>7.4285714285714288</v>
      </c>
      <c r="Z34" s="39">
        <f t="shared" si="26"/>
        <v>6</v>
      </c>
      <c r="AA34" s="39">
        <f t="shared" si="26"/>
        <v>0.8571428571428571</v>
      </c>
      <c r="AB34" s="39">
        <f t="shared" si="26"/>
        <v>0</v>
      </c>
      <c r="AC34" s="39">
        <f t="shared" si="26"/>
        <v>274.71428571428572</v>
      </c>
      <c r="AD34" s="39">
        <f t="shared" si="26"/>
        <v>0.42857142857142855</v>
      </c>
      <c r="AE34" s="40">
        <f t="shared" si="26"/>
        <v>66.571428571428569</v>
      </c>
      <c r="AF34" s="40">
        <f t="shared" si="26"/>
        <v>328.71428571428572</v>
      </c>
    </row>
    <row r="35" spans="2:32" ht="23.1" customHeight="1" x14ac:dyDescent="0.25">
      <c r="B35" s="24" t="s">
        <v>62</v>
      </c>
      <c r="C35" s="49">
        <f>AVERAGE('22.08 Iganga-Kaliro'!C35,'23.08 Iganga-Kaliro'!C35,'25.08 Iganga-Kaliro'!C35,'27.08 Iganga-Kaliro'!C35,'24.08 Iganga-Kaliro-24h'!C35,'26.08 Iganga-Kaliro-24h'!C35,'28.08 Iganga-Kaliro'!C35)</f>
        <v>4.1428571428571432</v>
      </c>
      <c r="D35" s="49">
        <f>AVERAGE('22.08 Iganga-Kaliro'!D35,'23.08 Iganga-Kaliro'!D35,'25.08 Iganga-Kaliro'!D35,'27.08 Iganga-Kaliro'!D35,'24.08 Iganga-Kaliro-24h'!D35,'26.08 Iganga-Kaliro-24h'!D35,'28.08 Iganga-Kaliro'!D35)</f>
        <v>1.7142857142857142</v>
      </c>
      <c r="E35" s="49">
        <f>AVERAGE('22.08 Iganga-Kaliro'!E35,'23.08 Iganga-Kaliro'!E35,'25.08 Iganga-Kaliro'!E35,'27.08 Iganga-Kaliro'!E35,'24.08 Iganga-Kaliro-24h'!E35,'26.08 Iganga-Kaliro-24h'!E35,'28.08 Iganga-Kaliro'!E35)</f>
        <v>1.7142857142857142</v>
      </c>
      <c r="F35" s="49">
        <f>AVERAGE('22.08 Iganga-Kaliro'!F35,'23.08 Iganga-Kaliro'!F35,'25.08 Iganga-Kaliro'!F35,'27.08 Iganga-Kaliro'!F35,'24.08 Iganga-Kaliro-24h'!F35,'26.08 Iganga-Kaliro-24h'!F35,'28.08 Iganga-Kaliro'!F35)</f>
        <v>4.4285714285714288</v>
      </c>
      <c r="G35" s="49">
        <f>AVERAGE('22.08 Iganga-Kaliro'!G35,'23.08 Iganga-Kaliro'!G35,'25.08 Iganga-Kaliro'!G35,'27.08 Iganga-Kaliro'!G35,'24.08 Iganga-Kaliro-24h'!G35,'26.08 Iganga-Kaliro-24h'!G35,'28.08 Iganga-Kaliro'!G35)</f>
        <v>0.42857142857142855</v>
      </c>
      <c r="H35" s="49">
        <f>AVERAGE('22.08 Iganga-Kaliro'!H35,'23.08 Iganga-Kaliro'!H35,'25.08 Iganga-Kaliro'!H35,'27.08 Iganga-Kaliro'!H35,'24.08 Iganga-Kaliro-24h'!H35,'26.08 Iganga-Kaliro-24h'!H35,'28.08 Iganga-Kaliro'!H35)</f>
        <v>0.2857142857142857</v>
      </c>
      <c r="I35" s="49">
        <f>AVERAGE('22.08 Iganga-Kaliro'!I35,'23.08 Iganga-Kaliro'!I35,'25.08 Iganga-Kaliro'!I35,'27.08 Iganga-Kaliro'!I35,'24.08 Iganga-Kaliro-24h'!I35,'26.08 Iganga-Kaliro-24h'!I35,'28.08 Iganga-Kaliro'!I35)</f>
        <v>1.5714285714285714</v>
      </c>
      <c r="J35" s="49">
        <f>AVERAGE('22.08 Iganga-Kaliro'!J35,'23.08 Iganga-Kaliro'!J35,'25.08 Iganga-Kaliro'!J35,'27.08 Iganga-Kaliro'!J35,'24.08 Iganga-Kaliro-24h'!J35,'26.08 Iganga-Kaliro-24h'!J35,'28.08 Iganga-Kaliro'!J35)</f>
        <v>1.5714285714285714</v>
      </c>
      <c r="K35" s="49">
        <f>AVERAGE('22.08 Iganga-Kaliro'!K35,'23.08 Iganga-Kaliro'!K35,'25.08 Iganga-Kaliro'!K35,'27.08 Iganga-Kaliro'!K35,'24.08 Iganga-Kaliro-24h'!K35,'26.08 Iganga-Kaliro-24h'!K35,'28.08 Iganga-Kaliro'!K35)</f>
        <v>0.14285714285714285</v>
      </c>
      <c r="L35" s="49">
        <f>AVERAGE('22.08 Iganga-Kaliro'!L35,'23.08 Iganga-Kaliro'!L35,'25.08 Iganga-Kaliro'!L35,'27.08 Iganga-Kaliro'!L35,'24.08 Iganga-Kaliro-24h'!L35,'26.08 Iganga-Kaliro-24h'!L35,'28.08 Iganga-Kaliro'!L35)</f>
        <v>0</v>
      </c>
      <c r="M35" s="49">
        <f>AVERAGE('22.08 Iganga-Kaliro'!M35,'23.08 Iganga-Kaliro'!M35,'25.08 Iganga-Kaliro'!M35,'27.08 Iganga-Kaliro'!M35,'24.08 Iganga-Kaliro-24h'!M35,'26.08 Iganga-Kaliro-24h'!M35,'28.08 Iganga-Kaliro'!M35)</f>
        <v>64.285714285714292</v>
      </c>
      <c r="N35" s="49">
        <f>AVERAGE('22.08 Iganga-Kaliro'!N35,'23.08 Iganga-Kaliro'!N35,'25.08 Iganga-Kaliro'!N35,'27.08 Iganga-Kaliro'!N35,'24.08 Iganga-Kaliro-24h'!N35,'26.08 Iganga-Kaliro-24h'!N35,'28.08 Iganga-Kaliro'!N35)</f>
        <v>0</v>
      </c>
      <c r="O35" s="15">
        <f t="shared" si="0"/>
        <v>16</v>
      </c>
      <c r="P35" s="15">
        <f t="shared" si="1"/>
        <v>80.285714285714292</v>
      </c>
      <c r="R35" s="38" t="s">
        <v>91</v>
      </c>
      <c r="S35" s="39">
        <f t="shared" ref="S35:AF35" si="27">MAX(S13:S18)</f>
        <v>16.714285714285715</v>
      </c>
      <c r="T35" s="39">
        <f t="shared" si="27"/>
        <v>11.714285714285714</v>
      </c>
      <c r="U35" s="39">
        <f t="shared" si="27"/>
        <v>10.285714285714286</v>
      </c>
      <c r="V35" s="39">
        <f t="shared" si="27"/>
        <v>22.142857142857142</v>
      </c>
      <c r="W35" s="39">
        <f t="shared" si="27"/>
        <v>1.4285714285714286</v>
      </c>
      <c r="X35" s="39">
        <f t="shared" si="27"/>
        <v>0.71428571428571419</v>
      </c>
      <c r="Y35" s="39">
        <f t="shared" si="27"/>
        <v>8.2857142857142865</v>
      </c>
      <c r="Z35" s="39">
        <f t="shared" si="27"/>
        <v>8.4285714285714288</v>
      </c>
      <c r="AA35" s="39">
        <f t="shared" si="27"/>
        <v>0.8571428571428571</v>
      </c>
      <c r="AB35" s="39">
        <f t="shared" si="27"/>
        <v>1.1428571428571428</v>
      </c>
      <c r="AC35" s="39">
        <f t="shared" si="27"/>
        <v>316</v>
      </c>
      <c r="AD35" s="39">
        <f t="shared" si="27"/>
        <v>0.14285714285714285</v>
      </c>
      <c r="AE35" s="40">
        <f t="shared" si="27"/>
        <v>76</v>
      </c>
      <c r="AF35" s="40">
        <f t="shared" si="27"/>
        <v>376.71428571428572</v>
      </c>
    </row>
    <row r="36" spans="2:32" ht="23.1" customHeight="1" x14ac:dyDescent="0.25">
      <c r="B36" s="24" t="s">
        <v>63</v>
      </c>
      <c r="C36" s="49">
        <f>AVERAGE('22.08 Iganga-Kaliro'!C36,'23.08 Iganga-Kaliro'!C36,'25.08 Iganga-Kaliro'!C36,'27.08 Iganga-Kaliro'!C36,'24.08 Iganga-Kaliro-24h'!C36,'26.08 Iganga-Kaliro-24h'!C36,'28.08 Iganga-Kaliro'!C36)</f>
        <v>3.8571428571428572</v>
      </c>
      <c r="D36" s="49">
        <f>AVERAGE('22.08 Iganga-Kaliro'!D36,'23.08 Iganga-Kaliro'!D36,'25.08 Iganga-Kaliro'!D36,'27.08 Iganga-Kaliro'!D36,'24.08 Iganga-Kaliro-24h'!D36,'26.08 Iganga-Kaliro-24h'!D36,'28.08 Iganga-Kaliro'!D36)</f>
        <v>2.4285714285714284</v>
      </c>
      <c r="E36" s="49">
        <f>AVERAGE('22.08 Iganga-Kaliro'!E36,'23.08 Iganga-Kaliro'!E36,'25.08 Iganga-Kaliro'!E36,'27.08 Iganga-Kaliro'!E36,'24.08 Iganga-Kaliro-24h'!E36,'26.08 Iganga-Kaliro-24h'!E36,'28.08 Iganga-Kaliro'!E36)</f>
        <v>2.1428571428571428</v>
      </c>
      <c r="F36" s="49">
        <f>AVERAGE('22.08 Iganga-Kaliro'!F36,'23.08 Iganga-Kaliro'!F36,'25.08 Iganga-Kaliro'!F36,'27.08 Iganga-Kaliro'!F36,'24.08 Iganga-Kaliro-24h'!F36,'26.08 Iganga-Kaliro-24h'!F36,'28.08 Iganga-Kaliro'!F36)</f>
        <v>3</v>
      </c>
      <c r="G36" s="49">
        <f>AVERAGE('22.08 Iganga-Kaliro'!G36,'23.08 Iganga-Kaliro'!G36,'25.08 Iganga-Kaliro'!G36,'27.08 Iganga-Kaliro'!G36,'24.08 Iganga-Kaliro-24h'!G36,'26.08 Iganga-Kaliro-24h'!G36,'28.08 Iganga-Kaliro'!G36)</f>
        <v>0.42857142857142855</v>
      </c>
      <c r="H36" s="49">
        <f>AVERAGE('22.08 Iganga-Kaliro'!H36,'23.08 Iganga-Kaliro'!H36,'25.08 Iganga-Kaliro'!H36,'27.08 Iganga-Kaliro'!H36,'24.08 Iganga-Kaliro-24h'!H36,'26.08 Iganga-Kaliro-24h'!H36,'28.08 Iganga-Kaliro'!H36)</f>
        <v>0.14285714285714285</v>
      </c>
      <c r="I36" s="49">
        <f>AVERAGE('22.08 Iganga-Kaliro'!I36,'23.08 Iganga-Kaliro'!I36,'25.08 Iganga-Kaliro'!I36,'27.08 Iganga-Kaliro'!I36,'24.08 Iganga-Kaliro-24h'!I36,'26.08 Iganga-Kaliro-24h'!I36,'28.08 Iganga-Kaliro'!I36)</f>
        <v>1.5714285714285714</v>
      </c>
      <c r="J36" s="49">
        <f>AVERAGE('22.08 Iganga-Kaliro'!J36,'23.08 Iganga-Kaliro'!J36,'25.08 Iganga-Kaliro'!J36,'27.08 Iganga-Kaliro'!J36,'24.08 Iganga-Kaliro-24h'!J36,'26.08 Iganga-Kaliro-24h'!J36,'28.08 Iganga-Kaliro'!J36)</f>
        <v>1.8571428571428572</v>
      </c>
      <c r="K36" s="49">
        <f>AVERAGE('22.08 Iganga-Kaliro'!K36,'23.08 Iganga-Kaliro'!K36,'25.08 Iganga-Kaliro'!K36,'27.08 Iganga-Kaliro'!K36,'24.08 Iganga-Kaliro-24h'!K36,'26.08 Iganga-Kaliro-24h'!K36,'28.08 Iganga-Kaliro'!K36)</f>
        <v>0.2857142857142857</v>
      </c>
      <c r="L36" s="49">
        <f>AVERAGE('22.08 Iganga-Kaliro'!L36,'23.08 Iganga-Kaliro'!L36,'25.08 Iganga-Kaliro'!L36,'27.08 Iganga-Kaliro'!L36,'24.08 Iganga-Kaliro-24h'!L36,'26.08 Iganga-Kaliro-24h'!L36,'28.08 Iganga-Kaliro'!L36)</f>
        <v>0.42857142857142855</v>
      </c>
      <c r="M36" s="49">
        <f>AVERAGE('22.08 Iganga-Kaliro'!M36,'23.08 Iganga-Kaliro'!M36,'25.08 Iganga-Kaliro'!M36,'27.08 Iganga-Kaliro'!M36,'24.08 Iganga-Kaliro-24h'!M36,'26.08 Iganga-Kaliro-24h'!M36,'28.08 Iganga-Kaliro'!M36)</f>
        <v>69.285714285714292</v>
      </c>
      <c r="N36" s="49">
        <f>AVERAGE('22.08 Iganga-Kaliro'!N36,'23.08 Iganga-Kaliro'!N36,'25.08 Iganga-Kaliro'!N36,'27.08 Iganga-Kaliro'!N36,'24.08 Iganga-Kaliro-24h'!N36,'26.08 Iganga-Kaliro-24h'!N36,'28.08 Iganga-Kaliro'!N36)</f>
        <v>0</v>
      </c>
      <c r="O36" s="15">
        <f t="shared" si="0"/>
        <v>16.142857142857142</v>
      </c>
      <c r="P36" s="15">
        <f t="shared" si="1"/>
        <v>85.428571428571431</v>
      </c>
      <c r="R36" s="38" t="s">
        <v>92</v>
      </c>
      <c r="S36" s="39">
        <f t="shared" ref="S36:AF36" si="28">MAX(S19:S21)</f>
        <v>15.285714285714286</v>
      </c>
      <c r="T36" s="39">
        <f t="shared" si="28"/>
        <v>13.142857142857142</v>
      </c>
      <c r="U36" s="39">
        <f t="shared" si="28"/>
        <v>10.285714285714286</v>
      </c>
      <c r="V36" s="39">
        <f t="shared" si="28"/>
        <v>23.285714285714285</v>
      </c>
      <c r="W36" s="39">
        <f t="shared" si="28"/>
        <v>0.5714285714285714</v>
      </c>
      <c r="X36" s="39">
        <f t="shared" si="28"/>
        <v>0.14285714285714285</v>
      </c>
      <c r="Y36" s="39">
        <f t="shared" si="28"/>
        <v>6.1428571428571423</v>
      </c>
      <c r="Z36" s="39">
        <f t="shared" si="28"/>
        <v>4.4285714285714288</v>
      </c>
      <c r="AA36" s="39">
        <f t="shared" si="28"/>
        <v>0.71428571428571419</v>
      </c>
      <c r="AB36" s="39">
        <f t="shared" si="28"/>
        <v>0.14285714285714285</v>
      </c>
      <c r="AC36" s="39">
        <f t="shared" si="28"/>
        <v>283.28571428571428</v>
      </c>
      <c r="AD36" s="39">
        <f t="shared" si="28"/>
        <v>0.5714285714285714</v>
      </c>
      <c r="AE36" s="40">
        <f t="shared" si="28"/>
        <v>69.714285714285708</v>
      </c>
      <c r="AF36" s="40">
        <f t="shared" si="28"/>
        <v>348.28571428571422</v>
      </c>
    </row>
    <row r="37" spans="2:32" ht="23.1" customHeight="1" x14ac:dyDescent="0.25">
      <c r="B37" s="23" t="s">
        <v>64</v>
      </c>
      <c r="C37" s="49">
        <f>AVERAGE('22.08 Iganga-Kaliro'!C37,'23.08 Iganga-Kaliro'!C37,'25.08 Iganga-Kaliro'!C37,'27.08 Iganga-Kaliro'!C37,'24.08 Iganga-Kaliro-24h'!C37,'26.08 Iganga-Kaliro-24h'!C37,'28.08 Iganga-Kaliro'!C37)</f>
        <v>3.5714285714285716</v>
      </c>
      <c r="D37" s="49">
        <f>AVERAGE('22.08 Iganga-Kaliro'!D37,'23.08 Iganga-Kaliro'!D37,'25.08 Iganga-Kaliro'!D37,'27.08 Iganga-Kaliro'!D37,'24.08 Iganga-Kaliro-24h'!D37,'26.08 Iganga-Kaliro-24h'!D37,'28.08 Iganga-Kaliro'!D37)</f>
        <v>2</v>
      </c>
      <c r="E37" s="49">
        <f>AVERAGE('22.08 Iganga-Kaliro'!E37,'23.08 Iganga-Kaliro'!E37,'25.08 Iganga-Kaliro'!E37,'27.08 Iganga-Kaliro'!E37,'24.08 Iganga-Kaliro-24h'!E37,'26.08 Iganga-Kaliro-24h'!E37,'28.08 Iganga-Kaliro'!E37)</f>
        <v>2.1428571428571428</v>
      </c>
      <c r="F37" s="49">
        <f>AVERAGE('22.08 Iganga-Kaliro'!F37,'23.08 Iganga-Kaliro'!F37,'25.08 Iganga-Kaliro'!F37,'27.08 Iganga-Kaliro'!F37,'24.08 Iganga-Kaliro-24h'!F37,'26.08 Iganga-Kaliro-24h'!F37,'28.08 Iganga-Kaliro'!F37)</f>
        <v>3.5714285714285716</v>
      </c>
      <c r="G37" s="49">
        <f>AVERAGE('22.08 Iganga-Kaliro'!G37,'23.08 Iganga-Kaliro'!G37,'25.08 Iganga-Kaliro'!G37,'27.08 Iganga-Kaliro'!G37,'24.08 Iganga-Kaliro-24h'!G37,'26.08 Iganga-Kaliro-24h'!G37,'28.08 Iganga-Kaliro'!G37)</f>
        <v>0.42857142857142855</v>
      </c>
      <c r="H37" s="49">
        <f>AVERAGE('22.08 Iganga-Kaliro'!H37,'23.08 Iganga-Kaliro'!H37,'25.08 Iganga-Kaliro'!H37,'27.08 Iganga-Kaliro'!H37,'24.08 Iganga-Kaliro-24h'!H37,'26.08 Iganga-Kaliro-24h'!H37,'28.08 Iganga-Kaliro'!H37)</f>
        <v>0.2857142857142857</v>
      </c>
      <c r="I37" s="49">
        <f>AVERAGE('22.08 Iganga-Kaliro'!I37,'23.08 Iganga-Kaliro'!I37,'25.08 Iganga-Kaliro'!I37,'27.08 Iganga-Kaliro'!I37,'24.08 Iganga-Kaliro-24h'!I37,'26.08 Iganga-Kaliro-24h'!I37,'28.08 Iganga-Kaliro'!I37)</f>
        <v>1.7142857142857142</v>
      </c>
      <c r="J37" s="49">
        <f>AVERAGE('22.08 Iganga-Kaliro'!J37,'23.08 Iganga-Kaliro'!J37,'25.08 Iganga-Kaliro'!J37,'27.08 Iganga-Kaliro'!J37,'24.08 Iganga-Kaliro-24h'!J37,'26.08 Iganga-Kaliro-24h'!J37,'28.08 Iganga-Kaliro'!J37)</f>
        <v>0.7142857142857143</v>
      </c>
      <c r="K37" s="49">
        <f>AVERAGE('22.08 Iganga-Kaliro'!K37,'23.08 Iganga-Kaliro'!K37,'25.08 Iganga-Kaliro'!K37,'27.08 Iganga-Kaliro'!K37,'24.08 Iganga-Kaliro-24h'!K37,'26.08 Iganga-Kaliro-24h'!K37,'28.08 Iganga-Kaliro'!K37)</f>
        <v>0</v>
      </c>
      <c r="L37" s="49">
        <f>AVERAGE('22.08 Iganga-Kaliro'!L37,'23.08 Iganga-Kaliro'!L37,'25.08 Iganga-Kaliro'!L37,'27.08 Iganga-Kaliro'!L37,'24.08 Iganga-Kaliro-24h'!L37,'26.08 Iganga-Kaliro-24h'!L37,'28.08 Iganga-Kaliro'!L37)</f>
        <v>0</v>
      </c>
      <c r="M37" s="49">
        <f>AVERAGE('22.08 Iganga-Kaliro'!M37,'23.08 Iganga-Kaliro'!M37,'25.08 Iganga-Kaliro'!M37,'27.08 Iganga-Kaliro'!M37,'24.08 Iganga-Kaliro-24h'!M37,'26.08 Iganga-Kaliro-24h'!M37,'28.08 Iganga-Kaliro'!M37)</f>
        <v>72.857142857142861</v>
      </c>
      <c r="N37" s="49">
        <f>AVERAGE('22.08 Iganga-Kaliro'!N37,'23.08 Iganga-Kaliro'!N37,'25.08 Iganga-Kaliro'!N37,'27.08 Iganga-Kaliro'!N37,'24.08 Iganga-Kaliro-24h'!N37,'26.08 Iganga-Kaliro-24h'!N37,'28.08 Iganga-Kaliro'!N37)</f>
        <v>0</v>
      </c>
      <c r="O37" s="15">
        <f t="shared" si="0"/>
        <v>14.428571428571427</v>
      </c>
      <c r="P37" s="15">
        <f t="shared" si="1"/>
        <v>87.285714285714292</v>
      </c>
      <c r="R37" s="37" t="s">
        <v>85</v>
      </c>
      <c r="S37" s="35">
        <f t="shared" ref="S37:AF37" si="29">SUM(S10:S12)</f>
        <v>39.714285714285715</v>
      </c>
      <c r="T37" s="16">
        <f t="shared" si="29"/>
        <v>26.857142857142854</v>
      </c>
      <c r="U37" s="16">
        <f t="shared" si="29"/>
        <v>19.857142857142858</v>
      </c>
      <c r="V37" s="16">
        <f t="shared" si="29"/>
        <v>38.714285714285708</v>
      </c>
      <c r="W37" s="16">
        <f t="shared" si="29"/>
        <v>4.5714285714285703</v>
      </c>
      <c r="X37" s="16">
        <f t="shared" si="29"/>
        <v>2.2857142857142856</v>
      </c>
      <c r="Y37" s="16">
        <f t="shared" si="29"/>
        <v>18.285714285714285</v>
      </c>
      <c r="Z37" s="16">
        <f t="shared" si="29"/>
        <v>14</v>
      </c>
      <c r="AA37" s="16">
        <f t="shared" si="29"/>
        <v>1.9999999999999998</v>
      </c>
      <c r="AB37" s="16">
        <f t="shared" si="29"/>
        <v>0</v>
      </c>
      <c r="AC37" s="16">
        <f t="shared" si="29"/>
        <v>752.14285714285711</v>
      </c>
      <c r="AD37" s="16">
        <f t="shared" si="29"/>
        <v>0.99999999999999989</v>
      </c>
      <c r="AE37" s="32">
        <f t="shared" si="29"/>
        <v>167.28571428571428</v>
      </c>
      <c r="AF37" s="32">
        <f t="shared" si="29"/>
        <v>919.42857142857156</v>
      </c>
    </row>
    <row r="38" spans="2:32" ht="23.1" customHeight="1" x14ac:dyDescent="0.25">
      <c r="B38" s="24" t="s">
        <v>65</v>
      </c>
      <c r="C38" s="49">
        <f>AVERAGE('22.08 Iganga-Kaliro'!C38,'23.08 Iganga-Kaliro'!C38,'25.08 Iganga-Kaliro'!C38,'27.08 Iganga-Kaliro'!C38,'24.08 Iganga-Kaliro-24h'!C38,'26.08 Iganga-Kaliro-24h'!C38,'28.08 Iganga-Kaliro'!C38)</f>
        <v>3.8571428571428572</v>
      </c>
      <c r="D38" s="49">
        <f>AVERAGE('22.08 Iganga-Kaliro'!D38,'23.08 Iganga-Kaliro'!D38,'25.08 Iganga-Kaliro'!D38,'27.08 Iganga-Kaliro'!D38,'24.08 Iganga-Kaliro-24h'!D38,'26.08 Iganga-Kaliro-24h'!D38,'28.08 Iganga-Kaliro'!D38)</f>
        <v>2.4285714285714284</v>
      </c>
      <c r="E38" s="49">
        <f>AVERAGE('22.08 Iganga-Kaliro'!E38,'23.08 Iganga-Kaliro'!E38,'25.08 Iganga-Kaliro'!E38,'27.08 Iganga-Kaliro'!E38,'24.08 Iganga-Kaliro-24h'!E38,'26.08 Iganga-Kaliro-24h'!E38,'28.08 Iganga-Kaliro'!E38)</f>
        <v>2.2857142857142856</v>
      </c>
      <c r="F38" s="49">
        <f>AVERAGE('22.08 Iganga-Kaliro'!F38,'23.08 Iganga-Kaliro'!F38,'25.08 Iganga-Kaliro'!F38,'27.08 Iganga-Kaliro'!F38,'24.08 Iganga-Kaliro-24h'!F38,'26.08 Iganga-Kaliro-24h'!F38,'28.08 Iganga-Kaliro'!F38)</f>
        <v>6.7142857142857144</v>
      </c>
      <c r="G38" s="49">
        <f>AVERAGE('22.08 Iganga-Kaliro'!G38,'23.08 Iganga-Kaliro'!G38,'25.08 Iganga-Kaliro'!G38,'27.08 Iganga-Kaliro'!G38,'24.08 Iganga-Kaliro-24h'!G38,'26.08 Iganga-Kaliro-24h'!G38,'28.08 Iganga-Kaliro'!G38)</f>
        <v>0.2857142857142857</v>
      </c>
      <c r="H38" s="49">
        <f>AVERAGE('22.08 Iganga-Kaliro'!H38,'23.08 Iganga-Kaliro'!H38,'25.08 Iganga-Kaliro'!H38,'27.08 Iganga-Kaliro'!H38,'24.08 Iganga-Kaliro-24h'!H38,'26.08 Iganga-Kaliro-24h'!H38,'28.08 Iganga-Kaliro'!H38)</f>
        <v>0.5714285714285714</v>
      </c>
      <c r="I38" s="49">
        <f>AVERAGE('22.08 Iganga-Kaliro'!I38,'23.08 Iganga-Kaliro'!I38,'25.08 Iganga-Kaliro'!I38,'27.08 Iganga-Kaliro'!I38,'24.08 Iganga-Kaliro-24h'!I38,'26.08 Iganga-Kaliro-24h'!I38,'28.08 Iganga-Kaliro'!I38)</f>
        <v>1</v>
      </c>
      <c r="J38" s="49">
        <f>AVERAGE('22.08 Iganga-Kaliro'!J38,'23.08 Iganga-Kaliro'!J38,'25.08 Iganga-Kaliro'!J38,'27.08 Iganga-Kaliro'!J38,'24.08 Iganga-Kaliro-24h'!J38,'26.08 Iganga-Kaliro-24h'!J38,'28.08 Iganga-Kaliro'!J38)</f>
        <v>2.1428571428571428</v>
      </c>
      <c r="K38" s="49">
        <f>AVERAGE('22.08 Iganga-Kaliro'!K38,'23.08 Iganga-Kaliro'!K38,'25.08 Iganga-Kaliro'!K38,'27.08 Iganga-Kaliro'!K38,'24.08 Iganga-Kaliro-24h'!K38,'26.08 Iganga-Kaliro-24h'!K38,'28.08 Iganga-Kaliro'!K38)</f>
        <v>0</v>
      </c>
      <c r="L38" s="49">
        <f>AVERAGE('22.08 Iganga-Kaliro'!L38,'23.08 Iganga-Kaliro'!L38,'25.08 Iganga-Kaliro'!L38,'27.08 Iganga-Kaliro'!L38,'24.08 Iganga-Kaliro-24h'!L38,'26.08 Iganga-Kaliro-24h'!L38,'28.08 Iganga-Kaliro'!L38)</f>
        <v>0.7142857142857143</v>
      </c>
      <c r="M38" s="49">
        <f>AVERAGE('22.08 Iganga-Kaliro'!M38,'23.08 Iganga-Kaliro'!M38,'25.08 Iganga-Kaliro'!M38,'27.08 Iganga-Kaliro'!M38,'24.08 Iganga-Kaliro-24h'!M38,'26.08 Iganga-Kaliro-24h'!M38,'28.08 Iganga-Kaliro'!M38)</f>
        <v>70.714285714285708</v>
      </c>
      <c r="N38" s="49">
        <f>AVERAGE('22.08 Iganga-Kaliro'!N38,'23.08 Iganga-Kaliro'!N38,'25.08 Iganga-Kaliro'!N38,'27.08 Iganga-Kaliro'!N38,'24.08 Iganga-Kaliro-24h'!N38,'26.08 Iganga-Kaliro-24h'!N38,'28.08 Iganga-Kaliro'!N38)</f>
        <v>0</v>
      </c>
      <c r="O38" s="15">
        <f t="shared" si="0"/>
        <v>20</v>
      </c>
      <c r="P38" s="15">
        <f t="shared" si="1"/>
        <v>90.714285714285708</v>
      </c>
      <c r="R38" s="28" t="s">
        <v>86</v>
      </c>
      <c r="S38" s="16">
        <f t="shared" ref="S38:AF38" si="30">SUM(S13:S18)</f>
        <v>89.285714285714306</v>
      </c>
      <c r="T38" s="16">
        <f t="shared" si="30"/>
        <v>62.142857142857146</v>
      </c>
      <c r="U38" s="16">
        <f t="shared" si="30"/>
        <v>44.999999999999993</v>
      </c>
      <c r="V38" s="16">
        <f t="shared" si="30"/>
        <v>96.285714285714278</v>
      </c>
      <c r="W38" s="16">
        <f t="shared" si="30"/>
        <v>4.1428571428571423</v>
      </c>
      <c r="X38" s="16">
        <f t="shared" si="30"/>
        <v>2.2857142857142856</v>
      </c>
      <c r="Y38" s="16">
        <f t="shared" si="30"/>
        <v>40</v>
      </c>
      <c r="Z38" s="16">
        <f t="shared" si="30"/>
        <v>37.428571428571431</v>
      </c>
      <c r="AA38" s="16">
        <f t="shared" si="30"/>
        <v>3.2857142857142856</v>
      </c>
      <c r="AB38" s="16">
        <f t="shared" si="30"/>
        <v>1.857142857142857</v>
      </c>
      <c r="AC38" s="16">
        <f t="shared" si="30"/>
        <v>1760.5714285714284</v>
      </c>
      <c r="AD38" s="16">
        <f t="shared" si="30"/>
        <v>0.2857142857142857</v>
      </c>
      <c r="AE38" s="32">
        <f t="shared" si="30"/>
        <v>382</v>
      </c>
      <c r="AF38" s="32">
        <f t="shared" si="30"/>
        <v>2142.5714285714284</v>
      </c>
    </row>
    <row r="39" spans="2:32" ht="23.1" customHeight="1" x14ac:dyDescent="0.25">
      <c r="B39" s="24" t="s">
        <v>66</v>
      </c>
      <c r="C39" s="49">
        <f>AVERAGE('22.08 Iganga-Kaliro'!C39,'23.08 Iganga-Kaliro'!C39,'25.08 Iganga-Kaliro'!C39,'27.08 Iganga-Kaliro'!C39,'24.08 Iganga-Kaliro-24h'!C39,'26.08 Iganga-Kaliro-24h'!C39,'28.08 Iganga-Kaliro'!C39)</f>
        <v>3.7142857142857144</v>
      </c>
      <c r="D39" s="49">
        <f>AVERAGE('22.08 Iganga-Kaliro'!D39,'23.08 Iganga-Kaliro'!D39,'25.08 Iganga-Kaliro'!D39,'27.08 Iganga-Kaliro'!D39,'24.08 Iganga-Kaliro-24h'!D39,'26.08 Iganga-Kaliro-24h'!D39,'28.08 Iganga-Kaliro'!D39)</f>
        <v>2.5714285714285716</v>
      </c>
      <c r="E39" s="49">
        <f>AVERAGE('22.08 Iganga-Kaliro'!E39,'23.08 Iganga-Kaliro'!E39,'25.08 Iganga-Kaliro'!E39,'27.08 Iganga-Kaliro'!E39,'24.08 Iganga-Kaliro-24h'!E39,'26.08 Iganga-Kaliro-24h'!E39,'28.08 Iganga-Kaliro'!E39)</f>
        <v>2.2857142857142856</v>
      </c>
      <c r="F39" s="49">
        <f>AVERAGE('22.08 Iganga-Kaliro'!F39,'23.08 Iganga-Kaliro'!F39,'25.08 Iganga-Kaliro'!F39,'27.08 Iganga-Kaliro'!F39,'24.08 Iganga-Kaliro-24h'!F39,'26.08 Iganga-Kaliro-24h'!F39,'28.08 Iganga-Kaliro'!F39)</f>
        <v>4.5714285714285712</v>
      </c>
      <c r="G39" s="49">
        <f>AVERAGE('22.08 Iganga-Kaliro'!G39,'23.08 Iganga-Kaliro'!G39,'25.08 Iganga-Kaliro'!G39,'27.08 Iganga-Kaliro'!G39,'24.08 Iganga-Kaliro-24h'!G39,'26.08 Iganga-Kaliro-24h'!G39,'28.08 Iganga-Kaliro'!G39)</f>
        <v>0</v>
      </c>
      <c r="H39" s="49">
        <f>AVERAGE('22.08 Iganga-Kaliro'!H39,'23.08 Iganga-Kaliro'!H39,'25.08 Iganga-Kaliro'!H39,'27.08 Iganga-Kaliro'!H39,'24.08 Iganga-Kaliro-24h'!H39,'26.08 Iganga-Kaliro-24h'!H39,'28.08 Iganga-Kaliro'!H39)</f>
        <v>0</v>
      </c>
      <c r="I39" s="49">
        <f>AVERAGE('22.08 Iganga-Kaliro'!I39,'23.08 Iganga-Kaliro'!I39,'25.08 Iganga-Kaliro'!I39,'27.08 Iganga-Kaliro'!I39,'24.08 Iganga-Kaliro-24h'!I39,'26.08 Iganga-Kaliro-24h'!I39,'28.08 Iganga-Kaliro'!I39)</f>
        <v>1.2857142857142858</v>
      </c>
      <c r="J39" s="49">
        <f>AVERAGE('22.08 Iganga-Kaliro'!J39,'23.08 Iganga-Kaliro'!J39,'25.08 Iganga-Kaliro'!J39,'27.08 Iganga-Kaliro'!J39,'24.08 Iganga-Kaliro-24h'!J39,'26.08 Iganga-Kaliro-24h'!J39,'28.08 Iganga-Kaliro'!J39)</f>
        <v>1.2857142857142858</v>
      </c>
      <c r="K39" s="49">
        <f>AVERAGE('22.08 Iganga-Kaliro'!K39,'23.08 Iganga-Kaliro'!K39,'25.08 Iganga-Kaliro'!K39,'27.08 Iganga-Kaliro'!K39,'24.08 Iganga-Kaliro-24h'!K39,'26.08 Iganga-Kaliro-24h'!K39,'28.08 Iganga-Kaliro'!K39)</f>
        <v>0</v>
      </c>
      <c r="L39" s="49">
        <f>AVERAGE('22.08 Iganga-Kaliro'!L39,'23.08 Iganga-Kaliro'!L39,'25.08 Iganga-Kaliro'!L39,'27.08 Iganga-Kaliro'!L39,'24.08 Iganga-Kaliro-24h'!L39,'26.08 Iganga-Kaliro-24h'!L39,'28.08 Iganga-Kaliro'!L39)</f>
        <v>0</v>
      </c>
      <c r="M39" s="49">
        <f>AVERAGE('22.08 Iganga-Kaliro'!M39,'23.08 Iganga-Kaliro'!M39,'25.08 Iganga-Kaliro'!M39,'27.08 Iganga-Kaliro'!M39,'24.08 Iganga-Kaliro-24h'!M39,'26.08 Iganga-Kaliro-24h'!M39,'28.08 Iganga-Kaliro'!M39)</f>
        <v>70</v>
      </c>
      <c r="N39" s="49">
        <f>AVERAGE('22.08 Iganga-Kaliro'!N39,'23.08 Iganga-Kaliro'!N39,'25.08 Iganga-Kaliro'!N39,'27.08 Iganga-Kaliro'!N39,'24.08 Iganga-Kaliro-24h'!N39,'26.08 Iganga-Kaliro-24h'!N39,'28.08 Iganga-Kaliro'!N39)</f>
        <v>0</v>
      </c>
      <c r="O39" s="15">
        <f t="shared" si="0"/>
        <v>15.714285714285717</v>
      </c>
      <c r="P39" s="15">
        <f t="shared" si="1"/>
        <v>85.714285714285722</v>
      </c>
      <c r="R39" s="29" t="s">
        <v>87</v>
      </c>
      <c r="S39" s="16">
        <f t="shared" ref="S39:AF39" si="31">SUM(S19:S21)</f>
        <v>43.714285714285722</v>
      </c>
      <c r="T39" s="16">
        <f t="shared" si="31"/>
        <v>34.285714285714285</v>
      </c>
      <c r="U39" s="16">
        <f t="shared" si="31"/>
        <v>25.142857142857142</v>
      </c>
      <c r="V39" s="16">
        <f t="shared" si="31"/>
        <v>62.999999999999993</v>
      </c>
      <c r="W39" s="16">
        <f t="shared" si="31"/>
        <v>1.2857142857142856</v>
      </c>
      <c r="X39" s="16">
        <f t="shared" si="31"/>
        <v>0.42857142857142855</v>
      </c>
      <c r="Y39" s="16">
        <f t="shared" si="31"/>
        <v>17.285714285714285</v>
      </c>
      <c r="Z39" s="16">
        <f t="shared" si="31"/>
        <v>11.428571428571429</v>
      </c>
      <c r="AA39" s="16">
        <f t="shared" si="31"/>
        <v>0.85714285714285698</v>
      </c>
      <c r="AB39" s="16">
        <f t="shared" si="31"/>
        <v>0.14285714285714285</v>
      </c>
      <c r="AC39" s="16">
        <f t="shared" si="31"/>
        <v>799</v>
      </c>
      <c r="AD39" s="16">
        <f t="shared" si="31"/>
        <v>1.2857142857142856</v>
      </c>
      <c r="AE39" s="32">
        <f t="shared" si="31"/>
        <v>198.85714285714286</v>
      </c>
      <c r="AF39" s="32">
        <f t="shared" si="31"/>
        <v>997.85714285714289</v>
      </c>
    </row>
    <row r="40" spans="2:32" ht="23.1" customHeight="1" x14ac:dyDescent="0.25">
      <c r="B40" s="24" t="s">
        <v>67</v>
      </c>
      <c r="C40" s="49">
        <f>AVERAGE('22.08 Iganga-Kaliro'!C40,'23.08 Iganga-Kaliro'!C40,'25.08 Iganga-Kaliro'!C40,'27.08 Iganga-Kaliro'!C40,'24.08 Iganga-Kaliro-24h'!C40,'26.08 Iganga-Kaliro-24h'!C40,'28.08 Iganga-Kaliro'!C40)</f>
        <v>3.8571428571428572</v>
      </c>
      <c r="D40" s="49">
        <f>AVERAGE('22.08 Iganga-Kaliro'!D40,'23.08 Iganga-Kaliro'!D40,'25.08 Iganga-Kaliro'!D40,'27.08 Iganga-Kaliro'!D40,'24.08 Iganga-Kaliro-24h'!D40,'26.08 Iganga-Kaliro-24h'!D40,'28.08 Iganga-Kaliro'!D40)</f>
        <v>2.8571428571428572</v>
      </c>
      <c r="E40" s="49">
        <f>AVERAGE('22.08 Iganga-Kaliro'!E40,'23.08 Iganga-Kaliro'!E40,'25.08 Iganga-Kaliro'!E40,'27.08 Iganga-Kaliro'!E40,'24.08 Iganga-Kaliro-24h'!E40,'26.08 Iganga-Kaliro-24h'!E40,'28.08 Iganga-Kaliro'!E40)</f>
        <v>1.1428571428571428</v>
      </c>
      <c r="F40" s="49">
        <f>AVERAGE('22.08 Iganga-Kaliro'!F40,'23.08 Iganga-Kaliro'!F40,'25.08 Iganga-Kaliro'!F40,'27.08 Iganga-Kaliro'!F40,'24.08 Iganga-Kaliro-24h'!F40,'26.08 Iganga-Kaliro-24h'!F40,'28.08 Iganga-Kaliro'!F40)</f>
        <v>4.2857142857142856</v>
      </c>
      <c r="G40" s="49">
        <f>AVERAGE('22.08 Iganga-Kaliro'!G40,'23.08 Iganga-Kaliro'!G40,'25.08 Iganga-Kaliro'!G40,'27.08 Iganga-Kaliro'!G40,'24.08 Iganga-Kaliro-24h'!G40,'26.08 Iganga-Kaliro-24h'!G40,'28.08 Iganga-Kaliro'!G40)</f>
        <v>0.14285714285714285</v>
      </c>
      <c r="H40" s="49">
        <f>AVERAGE('22.08 Iganga-Kaliro'!H40,'23.08 Iganga-Kaliro'!H40,'25.08 Iganga-Kaliro'!H40,'27.08 Iganga-Kaliro'!H40,'24.08 Iganga-Kaliro-24h'!H40,'26.08 Iganga-Kaliro-24h'!H40,'28.08 Iganga-Kaliro'!H40)</f>
        <v>0</v>
      </c>
      <c r="I40" s="49">
        <f>AVERAGE('22.08 Iganga-Kaliro'!I40,'23.08 Iganga-Kaliro'!I40,'25.08 Iganga-Kaliro'!I40,'27.08 Iganga-Kaliro'!I40,'24.08 Iganga-Kaliro-24h'!I40,'26.08 Iganga-Kaliro-24h'!I40,'28.08 Iganga-Kaliro'!I40)</f>
        <v>1.8571428571428572</v>
      </c>
      <c r="J40" s="49">
        <f>AVERAGE('22.08 Iganga-Kaliro'!J40,'23.08 Iganga-Kaliro'!J40,'25.08 Iganga-Kaliro'!J40,'27.08 Iganga-Kaliro'!J40,'24.08 Iganga-Kaliro-24h'!J40,'26.08 Iganga-Kaliro-24h'!J40,'28.08 Iganga-Kaliro'!J40)</f>
        <v>3.4285714285714284</v>
      </c>
      <c r="K40" s="49">
        <f>AVERAGE('22.08 Iganga-Kaliro'!K40,'23.08 Iganga-Kaliro'!K40,'25.08 Iganga-Kaliro'!K40,'27.08 Iganga-Kaliro'!K40,'24.08 Iganga-Kaliro-24h'!K40,'26.08 Iganga-Kaliro-24h'!K40,'28.08 Iganga-Kaliro'!K40)</f>
        <v>0.42857142857142855</v>
      </c>
      <c r="L40" s="49">
        <f>AVERAGE('22.08 Iganga-Kaliro'!L40,'23.08 Iganga-Kaliro'!L40,'25.08 Iganga-Kaliro'!L40,'27.08 Iganga-Kaliro'!L40,'24.08 Iganga-Kaliro-24h'!L40,'26.08 Iganga-Kaliro-24h'!L40,'28.08 Iganga-Kaliro'!L40)</f>
        <v>0.42857142857142855</v>
      </c>
      <c r="M40" s="49">
        <f>AVERAGE('22.08 Iganga-Kaliro'!M40,'23.08 Iganga-Kaliro'!M40,'25.08 Iganga-Kaliro'!M40,'27.08 Iganga-Kaliro'!M40,'24.08 Iganga-Kaliro-24h'!M40,'26.08 Iganga-Kaliro-24h'!M40,'28.08 Iganga-Kaliro'!M40)</f>
        <v>61.428571428571431</v>
      </c>
      <c r="N40" s="49">
        <f>AVERAGE('22.08 Iganga-Kaliro'!N40,'23.08 Iganga-Kaliro'!N40,'25.08 Iganga-Kaliro'!N40,'27.08 Iganga-Kaliro'!N40,'24.08 Iganga-Kaliro-24h'!N40,'26.08 Iganga-Kaliro-24h'!N40,'28.08 Iganga-Kaliro'!N40)</f>
        <v>0</v>
      </c>
      <c r="O40" s="15">
        <f t="shared" si="0"/>
        <v>18.428571428571423</v>
      </c>
      <c r="P40" s="15">
        <f t="shared" si="1"/>
        <v>79.857142857142861</v>
      </c>
      <c r="R40" s="5" t="s">
        <v>17</v>
      </c>
      <c r="S40" s="16">
        <f t="shared" ref="S40:AF40" si="32">SUM(S10:S21)</f>
        <v>172.71428571428572</v>
      </c>
      <c r="T40" s="16">
        <f t="shared" si="32"/>
        <v>123.28571428571426</v>
      </c>
      <c r="U40" s="16">
        <f t="shared" si="32"/>
        <v>90.000000000000014</v>
      </c>
      <c r="V40" s="16">
        <f t="shared" si="32"/>
        <v>197.99999999999997</v>
      </c>
      <c r="W40" s="16">
        <f t="shared" si="32"/>
        <v>10</v>
      </c>
      <c r="X40" s="16">
        <f t="shared" si="32"/>
        <v>5</v>
      </c>
      <c r="Y40" s="16">
        <f t="shared" si="32"/>
        <v>75.571428571428569</v>
      </c>
      <c r="Z40" s="16">
        <f t="shared" si="32"/>
        <v>62.857142857142861</v>
      </c>
      <c r="AA40" s="16">
        <f t="shared" si="32"/>
        <v>6.1428571428571432</v>
      </c>
      <c r="AB40" s="16">
        <f t="shared" si="32"/>
        <v>1.9999999999999998</v>
      </c>
      <c r="AC40" s="16">
        <f t="shared" si="32"/>
        <v>3311.7142857142858</v>
      </c>
      <c r="AD40" s="16">
        <f t="shared" si="32"/>
        <v>2.5714285714285712</v>
      </c>
      <c r="AE40" s="32">
        <f t="shared" si="32"/>
        <v>748.14285714285711</v>
      </c>
      <c r="AF40" s="32">
        <f t="shared" si="32"/>
        <v>4059.8571428571431</v>
      </c>
    </row>
    <row r="41" spans="2:32" ht="23.1" customHeight="1" x14ac:dyDescent="0.25">
      <c r="B41" s="23" t="s">
        <v>68</v>
      </c>
      <c r="C41" s="49">
        <f>AVERAGE('22.08 Iganga-Kaliro'!C41,'23.08 Iganga-Kaliro'!C41,'25.08 Iganga-Kaliro'!C41,'27.08 Iganga-Kaliro'!C41,'24.08 Iganga-Kaliro-24h'!C41,'26.08 Iganga-Kaliro-24h'!C41,'28.08 Iganga-Kaliro'!C41)</f>
        <v>3.2857142857142856</v>
      </c>
      <c r="D41" s="49">
        <f>AVERAGE('22.08 Iganga-Kaliro'!D41,'23.08 Iganga-Kaliro'!D41,'25.08 Iganga-Kaliro'!D41,'27.08 Iganga-Kaliro'!D41,'24.08 Iganga-Kaliro-24h'!D41,'26.08 Iganga-Kaliro-24h'!D41,'28.08 Iganga-Kaliro'!D41)</f>
        <v>3.2857142857142856</v>
      </c>
      <c r="E41" s="49">
        <f>AVERAGE('22.08 Iganga-Kaliro'!E41,'23.08 Iganga-Kaliro'!E41,'25.08 Iganga-Kaliro'!E41,'27.08 Iganga-Kaliro'!E41,'24.08 Iganga-Kaliro-24h'!E41,'26.08 Iganga-Kaliro-24h'!E41,'28.08 Iganga-Kaliro'!E41)</f>
        <v>1.8571428571428572</v>
      </c>
      <c r="F41" s="49">
        <f>AVERAGE('22.08 Iganga-Kaliro'!F41,'23.08 Iganga-Kaliro'!F41,'25.08 Iganga-Kaliro'!F41,'27.08 Iganga-Kaliro'!F41,'24.08 Iganga-Kaliro-24h'!F41,'26.08 Iganga-Kaliro-24h'!F41,'28.08 Iganga-Kaliro'!F41)</f>
        <v>3</v>
      </c>
      <c r="G41" s="49">
        <f>AVERAGE('22.08 Iganga-Kaliro'!G41,'23.08 Iganga-Kaliro'!G41,'25.08 Iganga-Kaliro'!G41,'27.08 Iganga-Kaliro'!G41,'24.08 Iganga-Kaliro-24h'!G41,'26.08 Iganga-Kaliro-24h'!G41,'28.08 Iganga-Kaliro'!G41)</f>
        <v>0</v>
      </c>
      <c r="H41" s="49">
        <f>AVERAGE('22.08 Iganga-Kaliro'!H41,'23.08 Iganga-Kaliro'!H41,'25.08 Iganga-Kaliro'!H41,'27.08 Iganga-Kaliro'!H41,'24.08 Iganga-Kaliro-24h'!H41,'26.08 Iganga-Kaliro-24h'!H41,'28.08 Iganga-Kaliro'!H41)</f>
        <v>0</v>
      </c>
      <c r="I41" s="49">
        <f>AVERAGE('22.08 Iganga-Kaliro'!I41,'23.08 Iganga-Kaliro'!I41,'25.08 Iganga-Kaliro'!I41,'27.08 Iganga-Kaliro'!I41,'24.08 Iganga-Kaliro-24h'!I41,'26.08 Iganga-Kaliro-24h'!I41,'28.08 Iganga-Kaliro'!I41)</f>
        <v>1.8571428571428572</v>
      </c>
      <c r="J41" s="49">
        <f>AVERAGE('22.08 Iganga-Kaliro'!J41,'23.08 Iganga-Kaliro'!J41,'25.08 Iganga-Kaliro'!J41,'27.08 Iganga-Kaliro'!J41,'24.08 Iganga-Kaliro-24h'!J41,'26.08 Iganga-Kaliro-24h'!J41,'28.08 Iganga-Kaliro'!J41)</f>
        <v>1.5714285714285714</v>
      </c>
      <c r="K41" s="49">
        <f>AVERAGE('22.08 Iganga-Kaliro'!K41,'23.08 Iganga-Kaliro'!K41,'25.08 Iganga-Kaliro'!K41,'27.08 Iganga-Kaliro'!K41,'24.08 Iganga-Kaliro-24h'!K41,'26.08 Iganga-Kaliro-24h'!K41,'28.08 Iganga-Kaliro'!K41)</f>
        <v>0</v>
      </c>
      <c r="L41" s="49">
        <f>AVERAGE('22.08 Iganga-Kaliro'!L41,'23.08 Iganga-Kaliro'!L41,'25.08 Iganga-Kaliro'!L41,'27.08 Iganga-Kaliro'!L41,'24.08 Iganga-Kaliro-24h'!L41,'26.08 Iganga-Kaliro-24h'!L41,'28.08 Iganga-Kaliro'!L41)</f>
        <v>0</v>
      </c>
      <c r="M41" s="49">
        <f>AVERAGE('22.08 Iganga-Kaliro'!M41,'23.08 Iganga-Kaliro'!M41,'25.08 Iganga-Kaliro'!M41,'27.08 Iganga-Kaliro'!M41,'24.08 Iganga-Kaliro-24h'!M41,'26.08 Iganga-Kaliro-24h'!M41,'28.08 Iganga-Kaliro'!M41)</f>
        <v>60.714285714285715</v>
      </c>
      <c r="N41" s="49">
        <f>AVERAGE('22.08 Iganga-Kaliro'!N41,'23.08 Iganga-Kaliro'!N41,'25.08 Iganga-Kaliro'!N41,'27.08 Iganga-Kaliro'!N41,'24.08 Iganga-Kaliro-24h'!N41,'26.08 Iganga-Kaliro-24h'!N41,'28.08 Iganga-Kaliro'!N41)</f>
        <v>0</v>
      </c>
      <c r="O41" s="15">
        <f t="shared" si="0"/>
        <v>14.857142857142858</v>
      </c>
      <c r="P41" s="15">
        <f t="shared" si="1"/>
        <v>75.571428571428569</v>
      </c>
      <c r="R41" s="5" t="s">
        <v>177</v>
      </c>
      <c r="S41" s="16">
        <f>SUM(S10:S33)</f>
        <v>248.71428571428572</v>
      </c>
      <c r="T41" s="16">
        <f t="shared" ref="T41:AD41" si="33">SUM(T10:T33)</f>
        <v>168.78571428571428</v>
      </c>
      <c r="U41" s="16">
        <f t="shared" si="33"/>
        <v>115.50000000000001</v>
      </c>
      <c r="V41" s="16">
        <f t="shared" si="33"/>
        <v>242.49999999999997</v>
      </c>
      <c r="W41" s="16">
        <f t="shared" si="33"/>
        <v>10</v>
      </c>
      <c r="X41" s="16">
        <f t="shared" si="33"/>
        <v>6</v>
      </c>
      <c r="Y41" s="16">
        <f t="shared" si="33"/>
        <v>90.071428571428569</v>
      </c>
      <c r="Z41" s="16">
        <f t="shared" si="33"/>
        <v>71.857142857142861</v>
      </c>
      <c r="AA41" s="16">
        <f t="shared" si="33"/>
        <v>6.6428571428571432</v>
      </c>
      <c r="AB41" s="16">
        <f t="shared" si="33"/>
        <v>1.9999999999999998</v>
      </c>
      <c r="AC41" s="16">
        <f t="shared" si="33"/>
        <v>4591.2142857142862</v>
      </c>
      <c r="AD41" s="16">
        <f t="shared" si="33"/>
        <v>2.5714285714285712</v>
      </c>
      <c r="AE41" s="32">
        <f>SUM(AE10:AE33)</f>
        <v>964.64285714285711</v>
      </c>
      <c r="AF41" s="32">
        <f>SUM(AF10:AF33)</f>
        <v>5555.8571428571431</v>
      </c>
    </row>
    <row r="42" spans="2:32" ht="23.1" customHeight="1" x14ac:dyDescent="0.25">
      <c r="B42" s="24" t="s">
        <v>69</v>
      </c>
      <c r="C42" s="49">
        <f>AVERAGE('22.08 Iganga-Kaliro'!C42,'23.08 Iganga-Kaliro'!C42,'25.08 Iganga-Kaliro'!C42,'27.08 Iganga-Kaliro'!C42,'24.08 Iganga-Kaliro-24h'!C42,'26.08 Iganga-Kaliro-24h'!C42,'28.08 Iganga-Kaliro'!C42)</f>
        <v>4.2857142857142856</v>
      </c>
      <c r="D42" s="49">
        <f>AVERAGE('22.08 Iganga-Kaliro'!D42,'23.08 Iganga-Kaliro'!D42,'25.08 Iganga-Kaliro'!D42,'27.08 Iganga-Kaliro'!D42,'24.08 Iganga-Kaliro-24h'!D42,'26.08 Iganga-Kaliro-24h'!D42,'28.08 Iganga-Kaliro'!D42)</f>
        <v>3.1428571428571428</v>
      </c>
      <c r="E42" s="49">
        <f>AVERAGE('22.08 Iganga-Kaliro'!E42,'23.08 Iganga-Kaliro'!E42,'25.08 Iganga-Kaliro'!E42,'27.08 Iganga-Kaliro'!E42,'24.08 Iganga-Kaliro-24h'!E42,'26.08 Iganga-Kaliro-24h'!E42,'28.08 Iganga-Kaliro'!E42)</f>
        <v>2.1428571428571428</v>
      </c>
      <c r="F42" s="49">
        <f>AVERAGE('22.08 Iganga-Kaliro'!F42,'23.08 Iganga-Kaliro'!F42,'25.08 Iganga-Kaliro'!F42,'27.08 Iganga-Kaliro'!F42,'24.08 Iganga-Kaliro-24h'!F42,'26.08 Iganga-Kaliro-24h'!F42,'28.08 Iganga-Kaliro'!F42)</f>
        <v>7.7142857142857144</v>
      </c>
      <c r="G42" s="49">
        <f>AVERAGE('22.08 Iganga-Kaliro'!G42,'23.08 Iganga-Kaliro'!G42,'25.08 Iganga-Kaliro'!G42,'27.08 Iganga-Kaliro'!G42,'24.08 Iganga-Kaliro-24h'!G42,'26.08 Iganga-Kaliro-24h'!G42,'28.08 Iganga-Kaliro'!G42)</f>
        <v>0</v>
      </c>
      <c r="H42" s="49">
        <f>AVERAGE('22.08 Iganga-Kaliro'!H42,'23.08 Iganga-Kaliro'!H42,'25.08 Iganga-Kaliro'!H42,'27.08 Iganga-Kaliro'!H42,'24.08 Iganga-Kaliro-24h'!H42,'26.08 Iganga-Kaliro-24h'!H42,'28.08 Iganga-Kaliro'!H42)</f>
        <v>0</v>
      </c>
      <c r="I42" s="49">
        <f>AVERAGE('22.08 Iganga-Kaliro'!I42,'23.08 Iganga-Kaliro'!I42,'25.08 Iganga-Kaliro'!I42,'27.08 Iganga-Kaliro'!I42,'24.08 Iganga-Kaliro-24h'!I42,'26.08 Iganga-Kaliro-24h'!I42,'28.08 Iganga-Kaliro'!I42)</f>
        <v>4.2857142857142856</v>
      </c>
      <c r="J42" s="49">
        <f>AVERAGE('22.08 Iganga-Kaliro'!J42,'23.08 Iganga-Kaliro'!J42,'25.08 Iganga-Kaliro'!J42,'27.08 Iganga-Kaliro'!J42,'24.08 Iganga-Kaliro-24h'!J42,'26.08 Iganga-Kaliro-24h'!J42,'28.08 Iganga-Kaliro'!J42)</f>
        <v>1.8571428571428572</v>
      </c>
      <c r="K42" s="49">
        <f>AVERAGE('22.08 Iganga-Kaliro'!K42,'23.08 Iganga-Kaliro'!K42,'25.08 Iganga-Kaliro'!K42,'27.08 Iganga-Kaliro'!K42,'24.08 Iganga-Kaliro-24h'!K42,'26.08 Iganga-Kaliro-24h'!K42,'28.08 Iganga-Kaliro'!K42)</f>
        <v>0</v>
      </c>
      <c r="L42" s="49">
        <f>AVERAGE('22.08 Iganga-Kaliro'!L42,'23.08 Iganga-Kaliro'!L42,'25.08 Iganga-Kaliro'!L42,'27.08 Iganga-Kaliro'!L42,'24.08 Iganga-Kaliro-24h'!L42,'26.08 Iganga-Kaliro-24h'!L42,'28.08 Iganga-Kaliro'!L42)</f>
        <v>0</v>
      </c>
      <c r="M42" s="49">
        <f>AVERAGE('22.08 Iganga-Kaliro'!M42,'23.08 Iganga-Kaliro'!M42,'25.08 Iganga-Kaliro'!M42,'27.08 Iganga-Kaliro'!M42,'24.08 Iganga-Kaliro-24h'!M42,'26.08 Iganga-Kaliro-24h'!M42,'28.08 Iganga-Kaliro'!M42)</f>
        <v>72.142857142857139</v>
      </c>
      <c r="N42" s="49">
        <f>AVERAGE('22.08 Iganga-Kaliro'!N42,'23.08 Iganga-Kaliro'!N42,'25.08 Iganga-Kaliro'!N42,'27.08 Iganga-Kaliro'!N42,'24.08 Iganga-Kaliro-24h'!N42,'26.08 Iganga-Kaliro-24h'!N42,'28.08 Iganga-Kaliro'!N42)</f>
        <v>0</v>
      </c>
      <c r="O42" s="15">
        <f t="shared" si="0"/>
        <v>23.428571428571427</v>
      </c>
      <c r="P42" s="15">
        <f t="shared" si="1"/>
        <v>95.571428571428569</v>
      </c>
      <c r="R42" s="5" t="s">
        <v>160</v>
      </c>
      <c r="S42" s="48">
        <f>S41/S40</f>
        <v>1.4400330851943755</v>
      </c>
      <c r="T42" s="48">
        <f t="shared" ref="T42:AF42" si="34">T41/T40</f>
        <v>1.3690614136732331</v>
      </c>
      <c r="U42" s="48">
        <f t="shared" si="34"/>
        <v>1.2833333333333332</v>
      </c>
      <c r="V42" s="48">
        <f t="shared" si="34"/>
        <v>1.2247474747474747</v>
      </c>
      <c r="W42" s="48">
        <f t="shared" si="34"/>
        <v>1</v>
      </c>
      <c r="X42" s="48">
        <f t="shared" si="34"/>
        <v>1.2</v>
      </c>
      <c r="Y42" s="48">
        <f t="shared" si="34"/>
        <v>1.1918714555765595</v>
      </c>
      <c r="Z42" s="48">
        <f t="shared" si="34"/>
        <v>1.1431818181818181</v>
      </c>
      <c r="AA42" s="48">
        <f t="shared" si="34"/>
        <v>1.0813953488372092</v>
      </c>
      <c r="AB42" s="48">
        <f t="shared" si="34"/>
        <v>1</v>
      </c>
      <c r="AC42" s="48">
        <f t="shared" si="34"/>
        <v>1.3863557932878958</v>
      </c>
      <c r="AD42" s="48">
        <f t="shared" si="34"/>
        <v>1</v>
      </c>
      <c r="AE42" s="51">
        <f t="shared" si="34"/>
        <v>1.2893832346763414</v>
      </c>
      <c r="AF42" s="51">
        <f t="shared" si="34"/>
        <v>1.3684858721278017</v>
      </c>
    </row>
    <row r="43" spans="2:32" ht="23.1" customHeight="1" x14ac:dyDescent="0.25">
      <c r="B43" s="23" t="s">
        <v>70</v>
      </c>
      <c r="C43" s="49">
        <f>AVERAGE('22.08 Iganga-Kaliro'!C43,'23.08 Iganga-Kaliro'!C43,'25.08 Iganga-Kaliro'!C43,'27.08 Iganga-Kaliro'!C43,'24.08 Iganga-Kaliro-24h'!C43,'26.08 Iganga-Kaliro-24h'!C43,'28.08 Iganga-Kaliro'!C43)</f>
        <v>4.4285714285714288</v>
      </c>
      <c r="D43" s="49">
        <f>AVERAGE('22.08 Iganga-Kaliro'!D43,'23.08 Iganga-Kaliro'!D43,'25.08 Iganga-Kaliro'!D43,'27.08 Iganga-Kaliro'!D43,'24.08 Iganga-Kaliro-24h'!D43,'26.08 Iganga-Kaliro-24h'!D43,'28.08 Iganga-Kaliro'!D43)</f>
        <v>4</v>
      </c>
      <c r="E43" s="49">
        <f>AVERAGE('22.08 Iganga-Kaliro'!E43,'23.08 Iganga-Kaliro'!E43,'25.08 Iganga-Kaliro'!E43,'27.08 Iganga-Kaliro'!E43,'24.08 Iganga-Kaliro-24h'!E43,'26.08 Iganga-Kaliro-24h'!E43,'28.08 Iganga-Kaliro'!E43)</f>
        <v>2.7142857142857144</v>
      </c>
      <c r="F43" s="49">
        <f>AVERAGE('22.08 Iganga-Kaliro'!F43,'23.08 Iganga-Kaliro'!F43,'25.08 Iganga-Kaliro'!F43,'27.08 Iganga-Kaliro'!F43,'24.08 Iganga-Kaliro-24h'!F43,'26.08 Iganga-Kaliro-24h'!F43,'28.08 Iganga-Kaliro'!F43)</f>
        <v>5.5714285714285712</v>
      </c>
      <c r="G43" s="49">
        <f>AVERAGE('22.08 Iganga-Kaliro'!G43,'23.08 Iganga-Kaliro'!G43,'25.08 Iganga-Kaliro'!G43,'27.08 Iganga-Kaliro'!G43,'24.08 Iganga-Kaliro-24h'!G43,'26.08 Iganga-Kaliro-24h'!G43,'28.08 Iganga-Kaliro'!G43)</f>
        <v>0.14285714285714285</v>
      </c>
      <c r="H43" s="49">
        <f>AVERAGE('22.08 Iganga-Kaliro'!H43,'23.08 Iganga-Kaliro'!H43,'25.08 Iganga-Kaliro'!H43,'27.08 Iganga-Kaliro'!H43,'24.08 Iganga-Kaliro-24h'!H43,'26.08 Iganga-Kaliro-24h'!H43,'28.08 Iganga-Kaliro'!H43)</f>
        <v>0</v>
      </c>
      <c r="I43" s="49">
        <f>AVERAGE('22.08 Iganga-Kaliro'!I43,'23.08 Iganga-Kaliro'!I43,'25.08 Iganga-Kaliro'!I43,'27.08 Iganga-Kaliro'!I43,'24.08 Iganga-Kaliro-24h'!I43,'26.08 Iganga-Kaliro-24h'!I43,'28.08 Iganga-Kaliro'!I43)</f>
        <v>1.4285714285714286</v>
      </c>
      <c r="J43" s="49">
        <f>AVERAGE('22.08 Iganga-Kaliro'!J43,'23.08 Iganga-Kaliro'!J43,'25.08 Iganga-Kaliro'!J43,'27.08 Iganga-Kaliro'!J43,'24.08 Iganga-Kaliro-24h'!J43,'26.08 Iganga-Kaliro-24h'!J43,'28.08 Iganga-Kaliro'!J43)</f>
        <v>1</v>
      </c>
      <c r="K43" s="49">
        <f>AVERAGE('22.08 Iganga-Kaliro'!K43,'23.08 Iganga-Kaliro'!K43,'25.08 Iganga-Kaliro'!K43,'27.08 Iganga-Kaliro'!K43,'24.08 Iganga-Kaliro-24h'!K43,'26.08 Iganga-Kaliro-24h'!K43,'28.08 Iganga-Kaliro'!K43)</f>
        <v>0</v>
      </c>
      <c r="L43" s="49">
        <f>AVERAGE('22.08 Iganga-Kaliro'!L43,'23.08 Iganga-Kaliro'!L43,'25.08 Iganga-Kaliro'!L43,'27.08 Iganga-Kaliro'!L43,'24.08 Iganga-Kaliro-24h'!L43,'26.08 Iganga-Kaliro-24h'!L43,'28.08 Iganga-Kaliro'!L43)</f>
        <v>0</v>
      </c>
      <c r="M43" s="49">
        <f>AVERAGE('22.08 Iganga-Kaliro'!M43,'23.08 Iganga-Kaliro'!M43,'25.08 Iganga-Kaliro'!M43,'27.08 Iganga-Kaliro'!M43,'24.08 Iganga-Kaliro-24h'!M43,'26.08 Iganga-Kaliro-24h'!M43,'28.08 Iganga-Kaliro'!M43)</f>
        <v>74.714285714285708</v>
      </c>
      <c r="N43" s="49">
        <f>AVERAGE('22.08 Iganga-Kaliro'!N43,'23.08 Iganga-Kaliro'!N43,'25.08 Iganga-Kaliro'!N43,'27.08 Iganga-Kaliro'!N43,'24.08 Iganga-Kaliro-24h'!N43,'26.08 Iganga-Kaliro-24h'!N43,'28.08 Iganga-Kaliro'!N43)</f>
        <v>0</v>
      </c>
      <c r="O43" s="15">
        <f t="shared" si="0"/>
        <v>19.285714285714285</v>
      </c>
      <c r="P43" s="15">
        <f t="shared" si="1"/>
        <v>94</v>
      </c>
    </row>
    <row r="44" spans="2:32" ht="23.1" customHeight="1" x14ac:dyDescent="0.25">
      <c r="B44" s="25" t="s">
        <v>71</v>
      </c>
      <c r="C44" s="49">
        <f>AVERAGE('22.08 Iganga-Kaliro'!C44,'23.08 Iganga-Kaliro'!C44,'25.08 Iganga-Kaliro'!C44,'27.08 Iganga-Kaliro'!C44,'24.08 Iganga-Kaliro-24h'!C44,'26.08 Iganga-Kaliro-24h'!C44,'28.08 Iganga-Kaliro'!C44)</f>
        <v>3.2857142857142856</v>
      </c>
      <c r="D44" s="49">
        <f>AVERAGE('22.08 Iganga-Kaliro'!D44,'23.08 Iganga-Kaliro'!D44,'25.08 Iganga-Kaliro'!D44,'27.08 Iganga-Kaliro'!D44,'24.08 Iganga-Kaliro-24h'!D44,'26.08 Iganga-Kaliro-24h'!D44,'28.08 Iganga-Kaliro'!D44)</f>
        <v>1.7142857142857142</v>
      </c>
      <c r="E44" s="49">
        <f>AVERAGE('22.08 Iganga-Kaliro'!E44,'23.08 Iganga-Kaliro'!E44,'25.08 Iganga-Kaliro'!E44,'27.08 Iganga-Kaliro'!E44,'24.08 Iganga-Kaliro-24h'!E44,'26.08 Iganga-Kaliro-24h'!E44,'28.08 Iganga-Kaliro'!E44)</f>
        <v>2.5714285714285716</v>
      </c>
      <c r="F44" s="49">
        <f>AVERAGE('22.08 Iganga-Kaliro'!F44,'23.08 Iganga-Kaliro'!F44,'25.08 Iganga-Kaliro'!F44,'27.08 Iganga-Kaliro'!F44,'24.08 Iganga-Kaliro-24h'!F44,'26.08 Iganga-Kaliro-24h'!F44,'28.08 Iganga-Kaliro'!F44)</f>
        <v>3.5714285714285716</v>
      </c>
      <c r="G44" s="49">
        <f>AVERAGE('22.08 Iganga-Kaliro'!G44,'23.08 Iganga-Kaliro'!G44,'25.08 Iganga-Kaliro'!G44,'27.08 Iganga-Kaliro'!G44,'24.08 Iganga-Kaliro-24h'!G44,'26.08 Iganga-Kaliro-24h'!G44,'28.08 Iganga-Kaliro'!G44)</f>
        <v>0.14285714285714285</v>
      </c>
      <c r="H44" s="49">
        <f>AVERAGE('22.08 Iganga-Kaliro'!H44,'23.08 Iganga-Kaliro'!H44,'25.08 Iganga-Kaliro'!H44,'27.08 Iganga-Kaliro'!H44,'24.08 Iganga-Kaliro-24h'!H44,'26.08 Iganga-Kaliro-24h'!H44,'28.08 Iganga-Kaliro'!H44)</f>
        <v>0.2857142857142857</v>
      </c>
      <c r="I44" s="49">
        <f>AVERAGE('22.08 Iganga-Kaliro'!I44,'23.08 Iganga-Kaliro'!I44,'25.08 Iganga-Kaliro'!I44,'27.08 Iganga-Kaliro'!I44,'24.08 Iganga-Kaliro-24h'!I44,'26.08 Iganga-Kaliro-24h'!I44,'28.08 Iganga-Kaliro'!I44)</f>
        <v>1</v>
      </c>
      <c r="J44" s="49">
        <f>AVERAGE('22.08 Iganga-Kaliro'!J44,'23.08 Iganga-Kaliro'!J44,'25.08 Iganga-Kaliro'!J44,'27.08 Iganga-Kaliro'!J44,'24.08 Iganga-Kaliro-24h'!J44,'26.08 Iganga-Kaliro-24h'!J44,'28.08 Iganga-Kaliro'!J44)</f>
        <v>1.4285714285714286</v>
      </c>
      <c r="K44" s="49">
        <f>AVERAGE('22.08 Iganga-Kaliro'!K44,'23.08 Iganga-Kaliro'!K44,'25.08 Iganga-Kaliro'!K44,'27.08 Iganga-Kaliro'!K44,'24.08 Iganga-Kaliro-24h'!K44,'26.08 Iganga-Kaliro-24h'!K44,'28.08 Iganga-Kaliro'!K44)</f>
        <v>0.42857142857142855</v>
      </c>
      <c r="L44" s="49">
        <f>AVERAGE('22.08 Iganga-Kaliro'!L44,'23.08 Iganga-Kaliro'!L44,'25.08 Iganga-Kaliro'!L44,'27.08 Iganga-Kaliro'!L44,'24.08 Iganga-Kaliro-24h'!L44,'26.08 Iganga-Kaliro-24h'!L44,'28.08 Iganga-Kaliro'!L44)</f>
        <v>0</v>
      </c>
      <c r="M44" s="49">
        <f>AVERAGE('22.08 Iganga-Kaliro'!M44,'23.08 Iganga-Kaliro'!M44,'25.08 Iganga-Kaliro'!M44,'27.08 Iganga-Kaliro'!M44,'24.08 Iganga-Kaliro-24h'!M44,'26.08 Iganga-Kaliro-24h'!M44,'28.08 Iganga-Kaliro'!M44)</f>
        <v>75</v>
      </c>
      <c r="N44" s="49">
        <f>AVERAGE('22.08 Iganga-Kaliro'!N44,'23.08 Iganga-Kaliro'!N44,'25.08 Iganga-Kaliro'!N44,'27.08 Iganga-Kaliro'!N44,'24.08 Iganga-Kaliro-24h'!N44,'26.08 Iganga-Kaliro-24h'!N44,'28.08 Iganga-Kaliro'!N44)</f>
        <v>0</v>
      </c>
      <c r="O44" s="15">
        <f t="shared" si="0"/>
        <v>14.428571428571429</v>
      </c>
      <c r="P44" s="15">
        <f t="shared" si="1"/>
        <v>89.428571428571431</v>
      </c>
    </row>
    <row r="45" spans="2:32" ht="23.1" customHeight="1" x14ac:dyDescent="0.25">
      <c r="B45" s="23" t="s">
        <v>72</v>
      </c>
      <c r="C45" s="49">
        <f>AVERAGE('22.08 Iganga-Kaliro'!C45,'23.08 Iganga-Kaliro'!C45,'25.08 Iganga-Kaliro'!C45,'27.08 Iganga-Kaliro'!C45,'24.08 Iganga-Kaliro-24h'!C45,'26.08 Iganga-Kaliro-24h'!C45,'28.08 Iganga-Kaliro'!C45)</f>
        <v>4.7142857142857144</v>
      </c>
      <c r="D45" s="49">
        <f>AVERAGE('22.08 Iganga-Kaliro'!D45,'23.08 Iganga-Kaliro'!D45,'25.08 Iganga-Kaliro'!D45,'27.08 Iganga-Kaliro'!D45,'24.08 Iganga-Kaliro-24h'!D45,'26.08 Iganga-Kaliro-24h'!D45,'28.08 Iganga-Kaliro'!D45)</f>
        <v>2.8571428571428572</v>
      </c>
      <c r="E45" s="49">
        <f>AVERAGE('22.08 Iganga-Kaliro'!E45,'23.08 Iganga-Kaliro'!E45,'25.08 Iganga-Kaliro'!E45,'27.08 Iganga-Kaliro'!E45,'24.08 Iganga-Kaliro-24h'!E45,'26.08 Iganga-Kaliro-24h'!E45,'28.08 Iganga-Kaliro'!E45)</f>
        <v>2.8571428571428572</v>
      </c>
      <c r="F45" s="49">
        <f>AVERAGE('22.08 Iganga-Kaliro'!F45,'23.08 Iganga-Kaliro'!F45,'25.08 Iganga-Kaliro'!F45,'27.08 Iganga-Kaliro'!F45,'24.08 Iganga-Kaliro-24h'!F45,'26.08 Iganga-Kaliro-24h'!F45,'28.08 Iganga-Kaliro'!F45)</f>
        <v>5.2857142857142856</v>
      </c>
      <c r="G45" s="49">
        <f>AVERAGE('22.08 Iganga-Kaliro'!G45,'23.08 Iganga-Kaliro'!G45,'25.08 Iganga-Kaliro'!G45,'27.08 Iganga-Kaliro'!G45,'24.08 Iganga-Kaliro-24h'!G45,'26.08 Iganga-Kaliro-24h'!G45,'28.08 Iganga-Kaliro'!G45)</f>
        <v>0.5714285714285714</v>
      </c>
      <c r="H45" s="49">
        <f>AVERAGE('22.08 Iganga-Kaliro'!H45,'23.08 Iganga-Kaliro'!H45,'25.08 Iganga-Kaliro'!H45,'27.08 Iganga-Kaliro'!H45,'24.08 Iganga-Kaliro-24h'!H45,'26.08 Iganga-Kaliro-24h'!H45,'28.08 Iganga-Kaliro'!H45)</f>
        <v>0</v>
      </c>
      <c r="I45" s="49">
        <f>AVERAGE('22.08 Iganga-Kaliro'!I45,'23.08 Iganga-Kaliro'!I45,'25.08 Iganga-Kaliro'!I45,'27.08 Iganga-Kaliro'!I45,'24.08 Iganga-Kaliro-24h'!I45,'26.08 Iganga-Kaliro-24h'!I45,'28.08 Iganga-Kaliro'!I45)</f>
        <v>1.5714285714285714</v>
      </c>
      <c r="J45" s="49">
        <f>AVERAGE('22.08 Iganga-Kaliro'!J45,'23.08 Iganga-Kaliro'!J45,'25.08 Iganga-Kaliro'!J45,'27.08 Iganga-Kaliro'!J45,'24.08 Iganga-Kaliro-24h'!J45,'26.08 Iganga-Kaliro-24h'!J45,'28.08 Iganga-Kaliro'!J45)</f>
        <v>0.7142857142857143</v>
      </c>
      <c r="K45" s="49">
        <f>AVERAGE('22.08 Iganga-Kaliro'!K45,'23.08 Iganga-Kaliro'!K45,'25.08 Iganga-Kaliro'!K45,'27.08 Iganga-Kaliro'!K45,'24.08 Iganga-Kaliro-24h'!K45,'26.08 Iganga-Kaliro-24h'!K45,'28.08 Iganga-Kaliro'!K45)</f>
        <v>0.2857142857142857</v>
      </c>
      <c r="L45" s="49">
        <f>AVERAGE('22.08 Iganga-Kaliro'!L45,'23.08 Iganga-Kaliro'!L45,'25.08 Iganga-Kaliro'!L45,'27.08 Iganga-Kaliro'!L45,'24.08 Iganga-Kaliro-24h'!L45,'26.08 Iganga-Kaliro-24h'!L45,'28.08 Iganga-Kaliro'!L45)</f>
        <v>0</v>
      </c>
      <c r="M45" s="49">
        <f>AVERAGE('22.08 Iganga-Kaliro'!M45,'23.08 Iganga-Kaliro'!M45,'25.08 Iganga-Kaliro'!M45,'27.08 Iganga-Kaliro'!M45,'24.08 Iganga-Kaliro-24h'!M45,'26.08 Iganga-Kaliro-24h'!M45,'28.08 Iganga-Kaliro'!M45)</f>
        <v>78.857142857142861</v>
      </c>
      <c r="N45" s="49">
        <f>AVERAGE('22.08 Iganga-Kaliro'!N45,'23.08 Iganga-Kaliro'!N45,'25.08 Iganga-Kaliro'!N45,'27.08 Iganga-Kaliro'!N45,'24.08 Iganga-Kaliro-24h'!N45,'26.08 Iganga-Kaliro-24h'!N45,'28.08 Iganga-Kaliro'!N45)</f>
        <v>0</v>
      </c>
      <c r="O45" s="15">
        <f t="shared" si="0"/>
        <v>18.857142857142861</v>
      </c>
      <c r="P45" s="15">
        <f t="shared" si="1"/>
        <v>97.714285714285722</v>
      </c>
    </row>
    <row r="46" spans="2:32" ht="23.1" customHeight="1" x14ac:dyDescent="0.25">
      <c r="B46" s="24" t="s">
        <v>73</v>
      </c>
      <c r="C46" s="49">
        <f>AVERAGE('22.08 Iganga-Kaliro'!C46,'23.08 Iganga-Kaliro'!C46,'25.08 Iganga-Kaliro'!C46,'27.08 Iganga-Kaliro'!C46,'24.08 Iganga-Kaliro-24h'!C46,'26.08 Iganga-Kaliro-24h'!C46,'28.08 Iganga-Kaliro'!C46)</f>
        <v>4.1428571428571432</v>
      </c>
      <c r="D46" s="49">
        <f>AVERAGE('22.08 Iganga-Kaliro'!D46,'23.08 Iganga-Kaliro'!D46,'25.08 Iganga-Kaliro'!D46,'27.08 Iganga-Kaliro'!D46,'24.08 Iganga-Kaliro-24h'!D46,'26.08 Iganga-Kaliro-24h'!D46,'28.08 Iganga-Kaliro'!D46)</f>
        <v>2.7142857142857144</v>
      </c>
      <c r="E46" s="49">
        <f>AVERAGE('22.08 Iganga-Kaliro'!E46,'23.08 Iganga-Kaliro'!E46,'25.08 Iganga-Kaliro'!E46,'27.08 Iganga-Kaliro'!E46,'24.08 Iganga-Kaliro-24h'!E46,'26.08 Iganga-Kaliro-24h'!E46,'28.08 Iganga-Kaliro'!E46)</f>
        <v>1.4285714285714286</v>
      </c>
      <c r="F46" s="49">
        <f>AVERAGE('22.08 Iganga-Kaliro'!F46,'23.08 Iganga-Kaliro'!F46,'25.08 Iganga-Kaliro'!F46,'27.08 Iganga-Kaliro'!F46,'24.08 Iganga-Kaliro-24h'!F46,'26.08 Iganga-Kaliro-24h'!F46,'28.08 Iganga-Kaliro'!F46)</f>
        <v>4.5714285714285712</v>
      </c>
      <c r="G46" s="49">
        <f>AVERAGE('22.08 Iganga-Kaliro'!G46,'23.08 Iganga-Kaliro'!G46,'25.08 Iganga-Kaliro'!G46,'27.08 Iganga-Kaliro'!G46,'24.08 Iganga-Kaliro-24h'!G46,'26.08 Iganga-Kaliro-24h'!G46,'28.08 Iganga-Kaliro'!G46)</f>
        <v>0</v>
      </c>
      <c r="H46" s="49">
        <f>AVERAGE('22.08 Iganga-Kaliro'!H46,'23.08 Iganga-Kaliro'!H46,'25.08 Iganga-Kaliro'!H46,'27.08 Iganga-Kaliro'!H46,'24.08 Iganga-Kaliro-24h'!H46,'26.08 Iganga-Kaliro-24h'!H46,'28.08 Iganga-Kaliro'!H46)</f>
        <v>0</v>
      </c>
      <c r="I46" s="49">
        <f>AVERAGE('22.08 Iganga-Kaliro'!I46,'23.08 Iganga-Kaliro'!I46,'25.08 Iganga-Kaliro'!I46,'27.08 Iganga-Kaliro'!I46,'24.08 Iganga-Kaliro-24h'!I46,'26.08 Iganga-Kaliro-24h'!I46,'28.08 Iganga-Kaliro'!I46)</f>
        <v>1.4285714285714286</v>
      </c>
      <c r="J46" s="49">
        <f>AVERAGE('22.08 Iganga-Kaliro'!J46,'23.08 Iganga-Kaliro'!J46,'25.08 Iganga-Kaliro'!J46,'27.08 Iganga-Kaliro'!J46,'24.08 Iganga-Kaliro-24h'!J46,'26.08 Iganga-Kaliro-24h'!J46,'28.08 Iganga-Kaliro'!J46)</f>
        <v>1</v>
      </c>
      <c r="K46" s="49">
        <f>AVERAGE('22.08 Iganga-Kaliro'!K46,'23.08 Iganga-Kaliro'!K46,'25.08 Iganga-Kaliro'!K46,'27.08 Iganga-Kaliro'!K46,'24.08 Iganga-Kaliro-24h'!K46,'26.08 Iganga-Kaliro-24h'!K46,'28.08 Iganga-Kaliro'!K46)</f>
        <v>0</v>
      </c>
      <c r="L46" s="49">
        <f>AVERAGE('22.08 Iganga-Kaliro'!L46,'23.08 Iganga-Kaliro'!L46,'25.08 Iganga-Kaliro'!L46,'27.08 Iganga-Kaliro'!L46,'24.08 Iganga-Kaliro-24h'!L46,'26.08 Iganga-Kaliro-24h'!L46,'28.08 Iganga-Kaliro'!L46)</f>
        <v>0</v>
      </c>
      <c r="M46" s="49">
        <f>AVERAGE('22.08 Iganga-Kaliro'!M46,'23.08 Iganga-Kaliro'!M46,'25.08 Iganga-Kaliro'!M46,'27.08 Iganga-Kaliro'!M46,'24.08 Iganga-Kaliro-24h'!M46,'26.08 Iganga-Kaliro-24h'!M46,'28.08 Iganga-Kaliro'!M46)</f>
        <v>74</v>
      </c>
      <c r="N46" s="49">
        <f>AVERAGE('22.08 Iganga-Kaliro'!N46,'23.08 Iganga-Kaliro'!N46,'25.08 Iganga-Kaliro'!N46,'27.08 Iganga-Kaliro'!N46,'24.08 Iganga-Kaliro-24h'!N46,'26.08 Iganga-Kaliro-24h'!N46,'28.08 Iganga-Kaliro'!N46)</f>
        <v>0</v>
      </c>
      <c r="O46" s="15">
        <f t="shared" si="0"/>
        <v>15.285714285714286</v>
      </c>
      <c r="P46" s="15">
        <f t="shared" si="1"/>
        <v>89.285714285714292</v>
      </c>
      <c r="R46" s="8"/>
      <c r="T46"/>
    </row>
    <row r="47" spans="2:32" ht="23.1" customHeight="1" x14ac:dyDescent="0.25">
      <c r="B47" s="24" t="s">
        <v>74</v>
      </c>
      <c r="C47" s="49">
        <f>AVERAGE('22.08 Iganga-Kaliro'!C47,'23.08 Iganga-Kaliro'!C47,'25.08 Iganga-Kaliro'!C47,'27.08 Iganga-Kaliro'!C47,'24.08 Iganga-Kaliro-24h'!C47,'26.08 Iganga-Kaliro-24h'!C47,'28.08 Iganga-Kaliro'!C47)</f>
        <v>3.1428571428571428</v>
      </c>
      <c r="D47" s="49">
        <f>AVERAGE('22.08 Iganga-Kaliro'!D47,'23.08 Iganga-Kaliro'!D47,'25.08 Iganga-Kaliro'!D47,'27.08 Iganga-Kaliro'!D47,'24.08 Iganga-Kaliro-24h'!D47,'26.08 Iganga-Kaliro-24h'!D47,'28.08 Iganga-Kaliro'!D47)</f>
        <v>3.8571428571428572</v>
      </c>
      <c r="E47" s="49">
        <f>AVERAGE('22.08 Iganga-Kaliro'!E47,'23.08 Iganga-Kaliro'!E47,'25.08 Iganga-Kaliro'!E47,'27.08 Iganga-Kaliro'!E47,'24.08 Iganga-Kaliro-24h'!E47,'26.08 Iganga-Kaliro-24h'!E47,'28.08 Iganga-Kaliro'!E47)</f>
        <v>1.4285714285714286</v>
      </c>
      <c r="F47" s="49">
        <f>AVERAGE('22.08 Iganga-Kaliro'!F47,'23.08 Iganga-Kaliro'!F47,'25.08 Iganga-Kaliro'!F47,'27.08 Iganga-Kaliro'!F47,'24.08 Iganga-Kaliro-24h'!F47,'26.08 Iganga-Kaliro-24h'!F47,'28.08 Iganga-Kaliro'!F47)</f>
        <v>5</v>
      </c>
      <c r="G47" s="49">
        <f>AVERAGE('22.08 Iganga-Kaliro'!G47,'23.08 Iganga-Kaliro'!G47,'25.08 Iganga-Kaliro'!G47,'27.08 Iganga-Kaliro'!G47,'24.08 Iganga-Kaliro-24h'!G47,'26.08 Iganga-Kaliro-24h'!G47,'28.08 Iganga-Kaliro'!G47)</f>
        <v>0.14285714285714285</v>
      </c>
      <c r="H47" s="49">
        <f>AVERAGE('22.08 Iganga-Kaliro'!H47,'23.08 Iganga-Kaliro'!H47,'25.08 Iganga-Kaliro'!H47,'27.08 Iganga-Kaliro'!H47,'24.08 Iganga-Kaliro-24h'!H47,'26.08 Iganga-Kaliro-24h'!H47,'28.08 Iganga-Kaliro'!H47)</f>
        <v>0</v>
      </c>
      <c r="I47" s="49">
        <f>AVERAGE('22.08 Iganga-Kaliro'!I47,'23.08 Iganga-Kaliro'!I47,'25.08 Iganga-Kaliro'!I47,'27.08 Iganga-Kaliro'!I47,'24.08 Iganga-Kaliro-24h'!I47,'26.08 Iganga-Kaliro-24h'!I47,'28.08 Iganga-Kaliro'!I47)</f>
        <v>2</v>
      </c>
      <c r="J47" s="49">
        <f>AVERAGE('22.08 Iganga-Kaliro'!J47,'23.08 Iganga-Kaliro'!J47,'25.08 Iganga-Kaliro'!J47,'27.08 Iganga-Kaliro'!J47,'24.08 Iganga-Kaliro-24h'!J47,'26.08 Iganga-Kaliro-24h'!J47,'28.08 Iganga-Kaliro'!J47)</f>
        <v>0.5714285714285714</v>
      </c>
      <c r="K47" s="49">
        <f>AVERAGE('22.08 Iganga-Kaliro'!K47,'23.08 Iganga-Kaliro'!K47,'25.08 Iganga-Kaliro'!K47,'27.08 Iganga-Kaliro'!K47,'24.08 Iganga-Kaliro-24h'!K47,'26.08 Iganga-Kaliro-24h'!K47,'28.08 Iganga-Kaliro'!K47)</f>
        <v>0.14285714285714285</v>
      </c>
      <c r="L47" s="49">
        <f>AVERAGE('22.08 Iganga-Kaliro'!L47,'23.08 Iganga-Kaliro'!L47,'25.08 Iganga-Kaliro'!L47,'27.08 Iganga-Kaliro'!L47,'24.08 Iganga-Kaliro-24h'!L47,'26.08 Iganga-Kaliro-24h'!L47,'28.08 Iganga-Kaliro'!L47)</f>
        <v>0</v>
      </c>
      <c r="M47" s="49">
        <f>AVERAGE('22.08 Iganga-Kaliro'!M47,'23.08 Iganga-Kaliro'!M47,'25.08 Iganga-Kaliro'!M47,'27.08 Iganga-Kaliro'!M47,'24.08 Iganga-Kaliro-24h'!M47,'26.08 Iganga-Kaliro-24h'!M47,'28.08 Iganga-Kaliro'!M47)</f>
        <v>72.142857142857139</v>
      </c>
      <c r="N47" s="49">
        <f>AVERAGE('22.08 Iganga-Kaliro'!N47,'23.08 Iganga-Kaliro'!N47,'25.08 Iganga-Kaliro'!N47,'27.08 Iganga-Kaliro'!N47,'24.08 Iganga-Kaliro-24h'!N47,'26.08 Iganga-Kaliro-24h'!N47,'28.08 Iganga-Kaliro'!N47)</f>
        <v>0.42857142857142855</v>
      </c>
      <c r="O47" s="15">
        <f t="shared" si="0"/>
        <v>16.714285714285712</v>
      </c>
      <c r="P47" s="15">
        <f t="shared" si="1"/>
        <v>88.857142857142847</v>
      </c>
      <c r="R47" s="8"/>
      <c r="T47"/>
    </row>
    <row r="48" spans="2:32" ht="23.1" customHeight="1" x14ac:dyDescent="0.25">
      <c r="B48" s="24" t="s">
        <v>75</v>
      </c>
      <c r="C48" s="49">
        <f>AVERAGE('22.08 Iganga-Kaliro'!C48,'23.08 Iganga-Kaliro'!C48,'25.08 Iganga-Kaliro'!C48,'27.08 Iganga-Kaliro'!C48,'24.08 Iganga-Kaliro-24h'!C48,'26.08 Iganga-Kaliro-24h'!C48,'28.08 Iganga-Kaliro'!C48)</f>
        <v>3.2857142857142856</v>
      </c>
      <c r="D48" s="49">
        <f>AVERAGE('22.08 Iganga-Kaliro'!D48,'23.08 Iganga-Kaliro'!D48,'25.08 Iganga-Kaliro'!D48,'27.08 Iganga-Kaliro'!D48,'24.08 Iganga-Kaliro-24h'!D48,'26.08 Iganga-Kaliro-24h'!D48,'28.08 Iganga-Kaliro'!D48)</f>
        <v>2.7142857142857144</v>
      </c>
      <c r="E48" s="49">
        <f>AVERAGE('22.08 Iganga-Kaliro'!E48,'23.08 Iganga-Kaliro'!E48,'25.08 Iganga-Kaliro'!E48,'27.08 Iganga-Kaliro'!E48,'24.08 Iganga-Kaliro-24h'!E48,'26.08 Iganga-Kaliro-24h'!E48,'28.08 Iganga-Kaliro'!E48)</f>
        <v>2.2857142857142856</v>
      </c>
      <c r="F48" s="49">
        <f>AVERAGE('22.08 Iganga-Kaliro'!F48,'23.08 Iganga-Kaliro'!F48,'25.08 Iganga-Kaliro'!F48,'27.08 Iganga-Kaliro'!F48,'24.08 Iganga-Kaliro-24h'!F48,'26.08 Iganga-Kaliro-24h'!F48,'28.08 Iganga-Kaliro'!F48)</f>
        <v>4.7142857142857144</v>
      </c>
      <c r="G48" s="49">
        <f>AVERAGE('22.08 Iganga-Kaliro'!G48,'23.08 Iganga-Kaliro'!G48,'25.08 Iganga-Kaliro'!G48,'27.08 Iganga-Kaliro'!G48,'24.08 Iganga-Kaliro-24h'!G48,'26.08 Iganga-Kaliro-24h'!G48,'28.08 Iganga-Kaliro'!G48)</f>
        <v>0</v>
      </c>
      <c r="H48" s="49">
        <f>AVERAGE('22.08 Iganga-Kaliro'!H48,'23.08 Iganga-Kaliro'!H48,'25.08 Iganga-Kaliro'!H48,'27.08 Iganga-Kaliro'!H48,'24.08 Iganga-Kaliro-24h'!H48,'26.08 Iganga-Kaliro-24h'!H48,'28.08 Iganga-Kaliro'!H48)</f>
        <v>0</v>
      </c>
      <c r="I48" s="49">
        <f>AVERAGE('22.08 Iganga-Kaliro'!I48,'23.08 Iganga-Kaliro'!I48,'25.08 Iganga-Kaliro'!I48,'27.08 Iganga-Kaliro'!I48,'24.08 Iganga-Kaliro-24h'!I48,'26.08 Iganga-Kaliro-24h'!I48,'28.08 Iganga-Kaliro'!I48)</f>
        <v>1.1428571428571428</v>
      </c>
      <c r="J48" s="49">
        <f>AVERAGE('22.08 Iganga-Kaliro'!J48,'23.08 Iganga-Kaliro'!J48,'25.08 Iganga-Kaliro'!J48,'27.08 Iganga-Kaliro'!J48,'24.08 Iganga-Kaliro-24h'!J48,'26.08 Iganga-Kaliro-24h'!J48,'28.08 Iganga-Kaliro'!J48)</f>
        <v>0.42857142857142855</v>
      </c>
      <c r="K48" s="49">
        <f>AVERAGE('22.08 Iganga-Kaliro'!K48,'23.08 Iganga-Kaliro'!K48,'25.08 Iganga-Kaliro'!K48,'27.08 Iganga-Kaliro'!K48,'24.08 Iganga-Kaliro-24h'!K48,'26.08 Iganga-Kaliro-24h'!K48,'28.08 Iganga-Kaliro'!K48)</f>
        <v>0</v>
      </c>
      <c r="L48" s="49">
        <f>AVERAGE('22.08 Iganga-Kaliro'!L48,'23.08 Iganga-Kaliro'!L48,'25.08 Iganga-Kaliro'!L48,'27.08 Iganga-Kaliro'!L48,'24.08 Iganga-Kaliro-24h'!L48,'26.08 Iganga-Kaliro-24h'!L48,'28.08 Iganga-Kaliro'!L48)</f>
        <v>0.14285714285714285</v>
      </c>
      <c r="M48" s="49">
        <f>AVERAGE('22.08 Iganga-Kaliro'!M48,'23.08 Iganga-Kaliro'!M48,'25.08 Iganga-Kaliro'!M48,'27.08 Iganga-Kaliro'!M48,'24.08 Iganga-Kaliro-24h'!M48,'26.08 Iganga-Kaliro-24h'!M48,'28.08 Iganga-Kaliro'!M48)</f>
        <v>68.571428571428569</v>
      </c>
      <c r="N48" s="49">
        <f>AVERAGE('22.08 Iganga-Kaliro'!N48,'23.08 Iganga-Kaliro'!N48,'25.08 Iganga-Kaliro'!N48,'27.08 Iganga-Kaliro'!N48,'24.08 Iganga-Kaliro-24h'!N48,'26.08 Iganga-Kaliro-24h'!N48,'28.08 Iganga-Kaliro'!N48)</f>
        <v>0</v>
      </c>
      <c r="O48" s="15">
        <f t="shared" si="0"/>
        <v>14.714285714285714</v>
      </c>
      <c r="P48" s="15">
        <f t="shared" si="1"/>
        <v>83.285714285714278</v>
      </c>
      <c r="R48" s="8"/>
      <c r="T48"/>
    </row>
    <row r="49" spans="2:20" ht="23.1" customHeight="1" x14ac:dyDescent="0.25">
      <c r="B49" s="23" t="s">
        <v>76</v>
      </c>
      <c r="C49" s="49">
        <f>AVERAGE('22.08 Iganga-Kaliro'!C49,'23.08 Iganga-Kaliro'!C49,'25.08 Iganga-Kaliro'!C49,'27.08 Iganga-Kaliro'!C49,'24.08 Iganga-Kaliro-24h'!C49,'26.08 Iganga-Kaliro-24h'!C49,'28.08 Iganga-Kaliro'!C49)</f>
        <v>3.7142857142857144</v>
      </c>
      <c r="D49" s="49">
        <f>AVERAGE('22.08 Iganga-Kaliro'!D49,'23.08 Iganga-Kaliro'!D49,'25.08 Iganga-Kaliro'!D49,'27.08 Iganga-Kaliro'!D49,'24.08 Iganga-Kaliro-24h'!D49,'26.08 Iganga-Kaliro-24h'!D49,'28.08 Iganga-Kaliro'!D49)</f>
        <v>3.8571428571428572</v>
      </c>
      <c r="E49" s="49">
        <f>AVERAGE('22.08 Iganga-Kaliro'!E49,'23.08 Iganga-Kaliro'!E49,'25.08 Iganga-Kaliro'!E49,'27.08 Iganga-Kaliro'!E49,'24.08 Iganga-Kaliro-24h'!E49,'26.08 Iganga-Kaliro-24h'!E49,'28.08 Iganga-Kaliro'!E49)</f>
        <v>3.4285714285714284</v>
      </c>
      <c r="F49" s="49">
        <f>AVERAGE('22.08 Iganga-Kaliro'!F49,'23.08 Iganga-Kaliro'!F49,'25.08 Iganga-Kaliro'!F49,'27.08 Iganga-Kaliro'!F49,'24.08 Iganga-Kaliro-24h'!F49,'26.08 Iganga-Kaliro-24h'!F49,'28.08 Iganga-Kaliro'!F49)</f>
        <v>3</v>
      </c>
      <c r="G49" s="49">
        <f>AVERAGE('22.08 Iganga-Kaliro'!G49,'23.08 Iganga-Kaliro'!G49,'25.08 Iganga-Kaliro'!G49,'27.08 Iganga-Kaliro'!G49,'24.08 Iganga-Kaliro-24h'!G49,'26.08 Iganga-Kaliro-24h'!G49,'28.08 Iganga-Kaliro'!G49)</f>
        <v>0.42857142857142855</v>
      </c>
      <c r="H49" s="49">
        <f>AVERAGE('22.08 Iganga-Kaliro'!H49,'23.08 Iganga-Kaliro'!H49,'25.08 Iganga-Kaliro'!H49,'27.08 Iganga-Kaliro'!H49,'24.08 Iganga-Kaliro-24h'!H49,'26.08 Iganga-Kaliro-24h'!H49,'28.08 Iganga-Kaliro'!H49)</f>
        <v>0.14285714285714285</v>
      </c>
      <c r="I49" s="49">
        <f>AVERAGE('22.08 Iganga-Kaliro'!I49,'23.08 Iganga-Kaliro'!I49,'25.08 Iganga-Kaliro'!I49,'27.08 Iganga-Kaliro'!I49,'24.08 Iganga-Kaliro-24h'!I49,'26.08 Iganga-Kaliro-24h'!I49,'28.08 Iganga-Kaliro'!I49)</f>
        <v>1</v>
      </c>
      <c r="J49" s="49">
        <f>AVERAGE('22.08 Iganga-Kaliro'!J49,'23.08 Iganga-Kaliro'!J49,'25.08 Iganga-Kaliro'!J49,'27.08 Iganga-Kaliro'!J49,'24.08 Iganga-Kaliro-24h'!J49,'26.08 Iganga-Kaliro-24h'!J49,'28.08 Iganga-Kaliro'!J49)</f>
        <v>1</v>
      </c>
      <c r="K49" s="49">
        <f>AVERAGE('22.08 Iganga-Kaliro'!K49,'23.08 Iganga-Kaliro'!K49,'25.08 Iganga-Kaliro'!K49,'27.08 Iganga-Kaliro'!K49,'24.08 Iganga-Kaliro-24h'!K49,'26.08 Iganga-Kaliro-24h'!K49,'28.08 Iganga-Kaliro'!K49)</f>
        <v>0</v>
      </c>
      <c r="L49" s="49">
        <f>AVERAGE('22.08 Iganga-Kaliro'!L49,'23.08 Iganga-Kaliro'!L49,'25.08 Iganga-Kaliro'!L49,'27.08 Iganga-Kaliro'!L49,'24.08 Iganga-Kaliro-24h'!L49,'26.08 Iganga-Kaliro-24h'!L49,'28.08 Iganga-Kaliro'!L49)</f>
        <v>0</v>
      </c>
      <c r="M49" s="49">
        <f>AVERAGE('22.08 Iganga-Kaliro'!M49,'23.08 Iganga-Kaliro'!M49,'25.08 Iganga-Kaliro'!M49,'27.08 Iganga-Kaliro'!M49,'24.08 Iganga-Kaliro-24h'!M49,'26.08 Iganga-Kaliro-24h'!M49,'28.08 Iganga-Kaliro'!M49)</f>
        <v>68.571428571428569</v>
      </c>
      <c r="N49" s="49">
        <f>AVERAGE('22.08 Iganga-Kaliro'!N49,'23.08 Iganga-Kaliro'!N49,'25.08 Iganga-Kaliro'!N49,'27.08 Iganga-Kaliro'!N49,'24.08 Iganga-Kaliro-24h'!N49,'26.08 Iganga-Kaliro-24h'!N49,'28.08 Iganga-Kaliro'!N49)</f>
        <v>0.14285714285714285</v>
      </c>
      <c r="O49" s="15">
        <f t="shared" si="0"/>
        <v>16.714285714285712</v>
      </c>
      <c r="P49" s="15">
        <f t="shared" si="1"/>
        <v>85.285714285714278</v>
      </c>
      <c r="R49" s="8"/>
      <c r="T49"/>
    </row>
    <row r="50" spans="2:20" ht="23.1" customHeight="1" x14ac:dyDescent="0.25">
      <c r="B50" s="24" t="s">
        <v>77</v>
      </c>
      <c r="C50" s="49">
        <f>AVERAGE('22.08 Iganga-Kaliro'!C50,'23.08 Iganga-Kaliro'!C50,'25.08 Iganga-Kaliro'!C50,'27.08 Iganga-Kaliro'!C50,'24.08 Iganga-Kaliro-24h'!C50,'26.08 Iganga-Kaliro-24h'!C50,'28.08 Iganga-Kaliro'!C50)</f>
        <v>4.1428571428571432</v>
      </c>
      <c r="D50" s="49">
        <f>AVERAGE('22.08 Iganga-Kaliro'!D50,'23.08 Iganga-Kaliro'!D50,'25.08 Iganga-Kaliro'!D50,'27.08 Iganga-Kaliro'!D50,'24.08 Iganga-Kaliro-24h'!D50,'26.08 Iganga-Kaliro-24h'!D50,'28.08 Iganga-Kaliro'!D50)</f>
        <v>2.4285714285714284</v>
      </c>
      <c r="E50" s="49">
        <f>AVERAGE('22.08 Iganga-Kaliro'!E50,'23.08 Iganga-Kaliro'!E50,'25.08 Iganga-Kaliro'!E50,'27.08 Iganga-Kaliro'!E50,'24.08 Iganga-Kaliro-24h'!E50,'26.08 Iganga-Kaliro-24h'!E50,'28.08 Iganga-Kaliro'!E50)</f>
        <v>2.2857142857142856</v>
      </c>
      <c r="F50" s="49">
        <f>AVERAGE('22.08 Iganga-Kaliro'!F50,'23.08 Iganga-Kaliro'!F50,'25.08 Iganga-Kaliro'!F50,'27.08 Iganga-Kaliro'!F50,'24.08 Iganga-Kaliro-24h'!F50,'26.08 Iganga-Kaliro-24h'!F50,'28.08 Iganga-Kaliro'!F50)</f>
        <v>5.2857142857142856</v>
      </c>
      <c r="G50" s="49">
        <f>AVERAGE('22.08 Iganga-Kaliro'!G50,'23.08 Iganga-Kaliro'!G50,'25.08 Iganga-Kaliro'!G50,'27.08 Iganga-Kaliro'!G50,'24.08 Iganga-Kaliro-24h'!G50,'26.08 Iganga-Kaliro-24h'!G50,'28.08 Iganga-Kaliro'!G50)</f>
        <v>0</v>
      </c>
      <c r="H50" s="49">
        <f>AVERAGE('22.08 Iganga-Kaliro'!H50,'23.08 Iganga-Kaliro'!H50,'25.08 Iganga-Kaliro'!H50,'27.08 Iganga-Kaliro'!H50,'24.08 Iganga-Kaliro-24h'!H50,'26.08 Iganga-Kaliro-24h'!H50,'28.08 Iganga-Kaliro'!H50)</f>
        <v>0</v>
      </c>
      <c r="I50" s="49">
        <f>AVERAGE('22.08 Iganga-Kaliro'!I50,'23.08 Iganga-Kaliro'!I50,'25.08 Iganga-Kaliro'!I50,'27.08 Iganga-Kaliro'!I50,'24.08 Iganga-Kaliro-24h'!I50,'26.08 Iganga-Kaliro-24h'!I50,'28.08 Iganga-Kaliro'!I50)</f>
        <v>1.8571428571428572</v>
      </c>
      <c r="J50" s="49">
        <f>AVERAGE('22.08 Iganga-Kaliro'!J50,'23.08 Iganga-Kaliro'!J50,'25.08 Iganga-Kaliro'!J50,'27.08 Iganga-Kaliro'!J50,'24.08 Iganga-Kaliro-24h'!J50,'26.08 Iganga-Kaliro-24h'!J50,'28.08 Iganga-Kaliro'!J50)</f>
        <v>1</v>
      </c>
      <c r="K50" s="49">
        <f>AVERAGE('22.08 Iganga-Kaliro'!K50,'23.08 Iganga-Kaliro'!K50,'25.08 Iganga-Kaliro'!K50,'27.08 Iganga-Kaliro'!K50,'24.08 Iganga-Kaliro-24h'!K50,'26.08 Iganga-Kaliro-24h'!K50,'28.08 Iganga-Kaliro'!K50)</f>
        <v>0.42857142857142855</v>
      </c>
      <c r="L50" s="49">
        <f>AVERAGE('22.08 Iganga-Kaliro'!L50,'23.08 Iganga-Kaliro'!L50,'25.08 Iganga-Kaliro'!L50,'27.08 Iganga-Kaliro'!L50,'24.08 Iganga-Kaliro-24h'!L50,'26.08 Iganga-Kaliro-24h'!L50,'28.08 Iganga-Kaliro'!L50)</f>
        <v>0</v>
      </c>
      <c r="M50" s="49">
        <f>AVERAGE('22.08 Iganga-Kaliro'!M50,'23.08 Iganga-Kaliro'!M50,'25.08 Iganga-Kaliro'!M50,'27.08 Iganga-Kaliro'!M50,'24.08 Iganga-Kaliro-24h'!M50,'26.08 Iganga-Kaliro-24h'!M50,'28.08 Iganga-Kaliro'!M50)</f>
        <v>74.285714285714292</v>
      </c>
      <c r="N50" s="49">
        <f>AVERAGE('22.08 Iganga-Kaliro'!N50,'23.08 Iganga-Kaliro'!N50,'25.08 Iganga-Kaliro'!N50,'27.08 Iganga-Kaliro'!N50,'24.08 Iganga-Kaliro-24h'!N50,'26.08 Iganga-Kaliro-24h'!N50,'28.08 Iganga-Kaliro'!N50)</f>
        <v>0</v>
      </c>
      <c r="O50" s="15">
        <f t="shared" si="0"/>
        <v>17.428571428571427</v>
      </c>
      <c r="P50" s="15">
        <f t="shared" si="1"/>
        <v>91.714285714285722</v>
      </c>
      <c r="R50" s="8"/>
      <c r="T50"/>
    </row>
    <row r="51" spans="2:20" ht="23.1" customHeight="1" x14ac:dyDescent="0.25">
      <c r="B51" s="24" t="s">
        <v>78</v>
      </c>
      <c r="C51" s="49">
        <f>AVERAGE('22.08 Iganga-Kaliro'!C51,'23.08 Iganga-Kaliro'!C51,'25.08 Iganga-Kaliro'!C51,'27.08 Iganga-Kaliro'!C51,'24.08 Iganga-Kaliro-24h'!C51,'26.08 Iganga-Kaliro-24h'!C51,'28.08 Iganga-Kaliro'!C51)</f>
        <v>3.2857142857142856</v>
      </c>
      <c r="D51" s="49">
        <f>AVERAGE('22.08 Iganga-Kaliro'!D51,'23.08 Iganga-Kaliro'!D51,'25.08 Iganga-Kaliro'!D51,'27.08 Iganga-Kaliro'!D51,'24.08 Iganga-Kaliro-24h'!D51,'26.08 Iganga-Kaliro-24h'!D51,'28.08 Iganga-Kaliro'!D51)</f>
        <v>2.5714285714285716</v>
      </c>
      <c r="E51" s="49">
        <f>AVERAGE('22.08 Iganga-Kaliro'!E51,'23.08 Iganga-Kaliro'!E51,'25.08 Iganga-Kaliro'!E51,'27.08 Iganga-Kaliro'!E51,'24.08 Iganga-Kaliro-24h'!E51,'26.08 Iganga-Kaliro-24h'!E51,'28.08 Iganga-Kaliro'!E51)</f>
        <v>2.5714285714285716</v>
      </c>
      <c r="F51" s="49">
        <f>AVERAGE('22.08 Iganga-Kaliro'!F51,'23.08 Iganga-Kaliro'!F51,'25.08 Iganga-Kaliro'!F51,'27.08 Iganga-Kaliro'!F51,'24.08 Iganga-Kaliro-24h'!F51,'26.08 Iganga-Kaliro-24h'!F51,'28.08 Iganga-Kaliro'!F51)</f>
        <v>4</v>
      </c>
      <c r="G51" s="49">
        <f>AVERAGE('22.08 Iganga-Kaliro'!G51,'23.08 Iganga-Kaliro'!G51,'25.08 Iganga-Kaliro'!G51,'27.08 Iganga-Kaliro'!G51,'24.08 Iganga-Kaliro-24h'!G51,'26.08 Iganga-Kaliro-24h'!G51,'28.08 Iganga-Kaliro'!G51)</f>
        <v>0.14285714285714285</v>
      </c>
      <c r="H51" s="49">
        <f>AVERAGE('22.08 Iganga-Kaliro'!H51,'23.08 Iganga-Kaliro'!H51,'25.08 Iganga-Kaliro'!H51,'27.08 Iganga-Kaliro'!H51,'24.08 Iganga-Kaliro-24h'!H51,'26.08 Iganga-Kaliro-24h'!H51,'28.08 Iganga-Kaliro'!H51)</f>
        <v>0.14285714285714285</v>
      </c>
      <c r="I51" s="49">
        <f>AVERAGE('22.08 Iganga-Kaliro'!I51,'23.08 Iganga-Kaliro'!I51,'25.08 Iganga-Kaliro'!I51,'27.08 Iganga-Kaliro'!I51,'24.08 Iganga-Kaliro-24h'!I51,'26.08 Iganga-Kaliro-24h'!I51,'28.08 Iganga-Kaliro'!I51)</f>
        <v>1.7142857142857142</v>
      </c>
      <c r="J51" s="49">
        <f>AVERAGE('22.08 Iganga-Kaliro'!J51,'23.08 Iganga-Kaliro'!J51,'25.08 Iganga-Kaliro'!J51,'27.08 Iganga-Kaliro'!J51,'24.08 Iganga-Kaliro-24h'!J51,'26.08 Iganga-Kaliro-24h'!J51,'28.08 Iganga-Kaliro'!J51)</f>
        <v>1.1428571428571428</v>
      </c>
      <c r="K51" s="49">
        <f>AVERAGE('22.08 Iganga-Kaliro'!K51,'23.08 Iganga-Kaliro'!K51,'25.08 Iganga-Kaliro'!K51,'27.08 Iganga-Kaliro'!K51,'24.08 Iganga-Kaliro-24h'!K51,'26.08 Iganga-Kaliro-24h'!K51,'28.08 Iganga-Kaliro'!K51)</f>
        <v>0</v>
      </c>
      <c r="L51" s="49">
        <f>AVERAGE('22.08 Iganga-Kaliro'!L51,'23.08 Iganga-Kaliro'!L51,'25.08 Iganga-Kaliro'!L51,'27.08 Iganga-Kaliro'!L51,'24.08 Iganga-Kaliro-24h'!L51,'26.08 Iganga-Kaliro-24h'!L51,'28.08 Iganga-Kaliro'!L51)</f>
        <v>0</v>
      </c>
      <c r="M51" s="49">
        <f>AVERAGE('22.08 Iganga-Kaliro'!M51,'23.08 Iganga-Kaliro'!M51,'25.08 Iganga-Kaliro'!M51,'27.08 Iganga-Kaliro'!M51,'24.08 Iganga-Kaliro-24h'!M51,'26.08 Iganga-Kaliro-24h'!M51,'28.08 Iganga-Kaliro'!M51)</f>
        <v>75.142857142857139</v>
      </c>
      <c r="N51" s="49">
        <f>AVERAGE('22.08 Iganga-Kaliro'!N51,'23.08 Iganga-Kaliro'!N51,'25.08 Iganga-Kaliro'!N51,'27.08 Iganga-Kaliro'!N51,'24.08 Iganga-Kaliro-24h'!N51,'26.08 Iganga-Kaliro-24h'!N51,'28.08 Iganga-Kaliro'!N51)</f>
        <v>0.14285714285714285</v>
      </c>
      <c r="O51" s="15">
        <f t="shared" si="0"/>
        <v>15.714285714285712</v>
      </c>
      <c r="P51" s="15">
        <f t="shared" si="1"/>
        <v>90.857142857142847</v>
      </c>
      <c r="R51" s="8"/>
      <c r="T51"/>
    </row>
    <row r="52" spans="2:20" ht="23.1" customHeight="1" x14ac:dyDescent="0.25">
      <c r="B52" s="24" t="s">
        <v>79</v>
      </c>
      <c r="C52" s="49">
        <f>AVERAGE('22.08 Iganga-Kaliro'!C52,'23.08 Iganga-Kaliro'!C52,'25.08 Iganga-Kaliro'!C52,'27.08 Iganga-Kaliro'!C52,'24.08 Iganga-Kaliro-24h'!C52,'26.08 Iganga-Kaliro-24h'!C52,'28.08 Iganga-Kaliro'!C52)</f>
        <v>3.4285714285714284</v>
      </c>
      <c r="D52" s="49">
        <f>AVERAGE('22.08 Iganga-Kaliro'!D52,'23.08 Iganga-Kaliro'!D52,'25.08 Iganga-Kaliro'!D52,'27.08 Iganga-Kaliro'!D52,'24.08 Iganga-Kaliro-24h'!D52,'26.08 Iganga-Kaliro-24h'!D52,'28.08 Iganga-Kaliro'!D52)</f>
        <v>2.5714285714285716</v>
      </c>
      <c r="E52" s="49">
        <f>AVERAGE('22.08 Iganga-Kaliro'!E52,'23.08 Iganga-Kaliro'!E52,'25.08 Iganga-Kaliro'!E52,'27.08 Iganga-Kaliro'!E52,'24.08 Iganga-Kaliro-24h'!E52,'26.08 Iganga-Kaliro-24h'!E52,'28.08 Iganga-Kaliro'!E52)</f>
        <v>2</v>
      </c>
      <c r="F52" s="49">
        <f>AVERAGE('22.08 Iganga-Kaliro'!F52,'23.08 Iganga-Kaliro'!F52,'25.08 Iganga-Kaliro'!F52,'27.08 Iganga-Kaliro'!F52,'24.08 Iganga-Kaliro-24h'!F52,'26.08 Iganga-Kaliro-24h'!F52,'28.08 Iganga-Kaliro'!F52)</f>
        <v>9</v>
      </c>
      <c r="G52" s="49">
        <f>AVERAGE('22.08 Iganga-Kaliro'!G52,'23.08 Iganga-Kaliro'!G52,'25.08 Iganga-Kaliro'!G52,'27.08 Iganga-Kaliro'!G52,'24.08 Iganga-Kaliro-24h'!G52,'26.08 Iganga-Kaliro-24h'!G52,'28.08 Iganga-Kaliro'!G52)</f>
        <v>0.14285714285714285</v>
      </c>
      <c r="H52" s="49">
        <f>AVERAGE('22.08 Iganga-Kaliro'!H52,'23.08 Iganga-Kaliro'!H52,'25.08 Iganga-Kaliro'!H52,'27.08 Iganga-Kaliro'!H52,'24.08 Iganga-Kaliro-24h'!H52,'26.08 Iganga-Kaliro-24h'!H52,'28.08 Iganga-Kaliro'!H52)</f>
        <v>0</v>
      </c>
      <c r="I52" s="49">
        <f>AVERAGE('22.08 Iganga-Kaliro'!I52,'23.08 Iganga-Kaliro'!I52,'25.08 Iganga-Kaliro'!I52,'27.08 Iganga-Kaliro'!I52,'24.08 Iganga-Kaliro-24h'!I52,'26.08 Iganga-Kaliro-24h'!I52,'28.08 Iganga-Kaliro'!I52)</f>
        <v>1.2857142857142858</v>
      </c>
      <c r="J52" s="49">
        <f>AVERAGE('22.08 Iganga-Kaliro'!J52,'23.08 Iganga-Kaliro'!J52,'25.08 Iganga-Kaliro'!J52,'27.08 Iganga-Kaliro'!J52,'24.08 Iganga-Kaliro-24h'!J52,'26.08 Iganga-Kaliro-24h'!J52,'28.08 Iganga-Kaliro'!J52)</f>
        <v>1</v>
      </c>
      <c r="K52" s="49">
        <f>AVERAGE('22.08 Iganga-Kaliro'!K52,'23.08 Iganga-Kaliro'!K52,'25.08 Iganga-Kaliro'!K52,'27.08 Iganga-Kaliro'!K52,'24.08 Iganga-Kaliro-24h'!K52,'26.08 Iganga-Kaliro-24h'!K52,'28.08 Iganga-Kaliro'!K52)</f>
        <v>0</v>
      </c>
      <c r="L52" s="49">
        <f>AVERAGE('22.08 Iganga-Kaliro'!L52,'23.08 Iganga-Kaliro'!L52,'25.08 Iganga-Kaliro'!L52,'27.08 Iganga-Kaliro'!L52,'24.08 Iganga-Kaliro-24h'!L52,'26.08 Iganga-Kaliro-24h'!L52,'28.08 Iganga-Kaliro'!L52)</f>
        <v>0</v>
      </c>
      <c r="M52" s="49">
        <f>AVERAGE('22.08 Iganga-Kaliro'!M52,'23.08 Iganga-Kaliro'!M52,'25.08 Iganga-Kaliro'!M52,'27.08 Iganga-Kaliro'!M52,'24.08 Iganga-Kaliro-24h'!M52,'26.08 Iganga-Kaliro-24h'!M52,'28.08 Iganga-Kaliro'!M52)</f>
        <v>61.571428571428569</v>
      </c>
      <c r="N52" s="49">
        <f>AVERAGE('22.08 Iganga-Kaliro'!N52,'23.08 Iganga-Kaliro'!N52,'25.08 Iganga-Kaliro'!N52,'27.08 Iganga-Kaliro'!N52,'24.08 Iganga-Kaliro-24h'!N52,'26.08 Iganga-Kaliro-24h'!N52,'28.08 Iganga-Kaliro'!N52)</f>
        <v>0.14285714285714285</v>
      </c>
      <c r="O52" s="15">
        <f t="shared" si="0"/>
        <v>19.571428571428569</v>
      </c>
      <c r="P52" s="15">
        <f t="shared" si="1"/>
        <v>81.142857142857139</v>
      </c>
      <c r="R52" s="8"/>
      <c r="T52"/>
    </row>
    <row r="53" spans="2:20" ht="23.1" customHeight="1" x14ac:dyDescent="0.25">
      <c r="B53" s="23" t="s">
        <v>80</v>
      </c>
      <c r="C53" s="49">
        <f>AVERAGE('22.08 Iganga-Kaliro'!C53,'23.08 Iganga-Kaliro'!C53,'25.08 Iganga-Kaliro'!C53,'27.08 Iganga-Kaliro'!C53,'24.08 Iganga-Kaliro-24h'!C53,'26.08 Iganga-Kaliro-24h'!C53,'28.08 Iganga-Kaliro'!C53)</f>
        <v>4.4285714285714288</v>
      </c>
      <c r="D53" s="49">
        <f>AVERAGE('22.08 Iganga-Kaliro'!D53,'23.08 Iganga-Kaliro'!D53,'25.08 Iganga-Kaliro'!D53,'27.08 Iganga-Kaliro'!D53,'24.08 Iganga-Kaliro-24h'!D53,'26.08 Iganga-Kaliro-24h'!D53,'28.08 Iganga-Kaliro'!D53)</f>
        <v>2.8571428571428572</v>
      </c>
      <c r="E53" s="49">
        <f>AVERAGE('22.08 Iganga-Kaliro'!E53,'23.08 Iganga-Kaliro'!E53,'25.08 Iganga-Kaliro'!E53,'27.08 Iganga-Kaliro'!E53,'24.08 Iganga-Kaliro-24h'!E53,'26.08 Iganga-Kaliro-24h'!E53,'28.08 Iganga-Kaliro'!E53)</f>
        <v>3.4285714285714284</v>
      </c>
      <c r="F53" s="49">
        <f>AVERAGE('22.08 Iganga-Kaliro'!F53,'23.08 Iganga-Kaliro'!F53,'25.08 Iganga-Kaliro'!F53,'27.08 Iganga-Kaliro'!F53,'24.08 Iganga-Kaliro-24h'!F53,'26.08 Iganga-Kaliro-24h'!F53,'28.08 Iganga-Kaliro'!F53)</f>
        <v>4.1428571428571432</v>
      </c>
      <c r="G53" s="49">
        <f>AVERAGE('22.08 Iganga-Kaliro'!G53,'23.08 Iganga-Kaliro'!G53,'25.08 Iganga-Kaliro'!G53,'27.08 Iganga-Kaliro'!G53,'24.08 Iganga-Kaliro-24h'!G53,'26.08 Iganga-Kaliro-24h'!G53,'28.08 Iganga-Kaliro'!G53)</f>
        <v>0.14285714285714285</v>
      </c>
      <c r="H53" s="49">
        <f>AVERAGE('22.08 Iganga-Kaliro'!H53,'23.08 Iganga-Kaliro'!H53,'25.08 Iganga-Kaliro'!H53,'27.08 Iganga-Kaliro'!H53,'24.08 Iganga-Kaliro-24h'!H53,'26.08 Iganga-Kaliro-24h'!H53,'28.08 Iganga-Kaliro'!H53)</f>
        <v>0</v>
      </c>
      <c r="I53" s="49">
        <f>AVERAGE('22.08 Iganga-Kaliro'!I53,'23.08 Iganga-Kaliro'!I53,'25.08 Iganga-Kaliro'!I53,'27.08 Iganga-Kaliro'!I53,'24.08 Iganga-Kaliro-24h'!I53,'26.08 Iganga-Kaliro-24h'!I53,'28.08 Iganga-Kaliro'!I53)</f>
        <v>0.7142857142857143</v>
      </c>
      <c r="J53" s="49">
        <f>AVERAGE('22.08 Iganga-Kaliro'!J53,'23.08 Iganga-Kaliro'!J53,'25.08 Iganga-Kaliro'!J53,'27.08 Iganga-Kaliro'!J53,'24.08 Iganga-Kaliro-24h'!J53,'26.08 Iganga-Kaliro-24h'!J53,'28.08 Iganga-Kaliro'!J53)</f>
        <v>0.8571428571428571</v>
      </c>
      <c r="K53" s="49">
        <f>AVERAGE('22.08 Iganga-Kaliro'!K53,'23.08 Iganga-Kaliro'!K53,'25.08 Iganga-Kaliro'!K53,'27.08 Iganga-Kaliro'!K53,'24.08 Iganga-Kaliro-24h'!K53,'26.08 Iganga-Kaliro-24h'!K53,'28.08 Iganga-Kaliro'!K53)</f>
        <v>0.2857142857142857</v>
      </c>
      <c r="L53" s="49">
        <f>AVERAGE('22.08 Iganga-Kaliro'!L53,'23.08 Iganga-Kaliro'!L53,'25.08 Iganga-Kaliro'!L53,'27.08 Iganga-Kaliro'!L53,'24.08 Iganga-Kaliro-24h'!L53,'26.08 Iganga-Kaliro-24h'!L53,'28.08 Iganga-Kaliro'!L53)</f>
        <v>0</v>
      </c>
      <c r="M53" s="49">
        <f>AVERAGE('22.08 Iganga-Kaliro'!M53,'23.08 Iganga-Kaliro'!M53,'25.08 Iganga-Kaliro'!M53,'27.08 Iganga-Kaliro'!M53,'24.08 Iganga-Kaliro-24h'!M53,'26.08 Iganga-Kaliro-24h'!M53,'28.08 Iganga-Kaliro'!M53)</f>
        <v>67.571428571428569</v>
      </c>
      <c r="N53" s="49">
        <f>AVERAGE('22.08 Iganga-Kaliro'!N53,'23.08 Iganga-Kaliro'!N53,'25.08 Iganga-Kaliro'!N53,'27.08 Iganga-Kaliro'!N53,'24.08 Iganga-Kaliro-24h'!N53,'26.08 Iganga-Kaliro-24h'!N53,'28.08 Iganga-Kaliro'!N53)</f>
        <v>0.14285714285714285</v>
      </c>
      <c r="O53" s="15">
        <f t="shared" si="0"/>
        <v>16.999999999999996</v>
      </c>
      <c r="P53" s="15">
        <f t="shared" si="1"/>
        <v>84.571428571428555</v>
      </c>
      <c r="R53" s="8"/>
      <c r="T53"/>
    </row>
    <row r="54" spans="2:20" ht="23.1" customHeight="1" x14ac:dyDescent="0.25">
      <c r="B54" s="23" t="s">
        <v>81</v>
      </c>
      <c r="C54" s="49">
        <f>AVERAGE('22.08 Iganga-Kaliro'!C54,'23.08 Iganga-Kaliro'!C54,'25.08 Iganga-Kaliro'!C54,'27.08 Iganga-Kaliro'!C54,'24.08 Iganga-Kaliro-24h'!C54,'26.08 Iganga-Kaliro-24h'!C54,'28.08 Iganga-Kaliro'!C54)</f>
        <v>4.1428571428571432</v>
      </c>
      <c r="D54" s="49">
        <f>AVERAGE('22.08 Iganga-Kaliro'!D54,'23.08 Iganga-Kaliro'!D54,'25.08 Iganga-Kaliro'!D54,'27.08 Iganga-Kaliro'!D54,'24.08 Iganga-Kaliro-24h'!D54,'26.08 Iganga-Kaliro-24h'!D54,'28.08 Iganga-Kaliro'!D54)</f>
        <v>3.4285714285714284</v>
      </c>
      <c r="E54" s="49">
        <f>AVERAGE('22.08 Iganga-Kaliro'!E54,'23.08 Iganga-Kaliro'!E54,'25.08 Iganga-Kaliro'!E54,'27.08 Iganga-Kaliro'!E54,'24.08 Iganga-Kaliro-24h'!E54,'26.08 Iganga-Kaliro-24h'!E54,'28.08 Iganga-Kaliro'!E54)</f>
        <v>1.2857142857142858</v>
      </c>
      <c r="F54" s="49">
        <f>AVERAGE('22.08 Iganga-Kaliro'!F54,'23.08 Iganga-Kaliro'!F54,'25.08 Iganga-Kaliro'!F54,'27.08 Iganga-Kaliro'!F54,'24.08 Iganga-Kaliro-24h'!F54,'26.08 Iganga-Kaliro-24h'!F54,'28.08 Iganga-Kaliro'!F54)</f>
        <v>10.285714285714286</v>
      </c>
      <c r="G54" s="49">
        <f>AVERAGE('22.08 Iganga-Kaliro'!G54,'23.08 Iganga-Kaliro'!G54,'25.08 Iganga-Kaliro'!G54,'27.08 Iganga-Kaliro'!G54,'24.08 Iganga-Kaliro-24h'!G54,'26.08 Iganga-Kaliro-24h'!G54,'28.08 Iganga-Kaliro'!G54)</f>
        <v>0</v>
      </c>
      <c r="H54" s="49">
        <f>AVERAGE('22.08 Iganga-Kaliro'!H54,'23.08 Iganga-Kaliro'!H54,'25.08 Iganga-Kaliro'!H54,'27.08 Iganga-Kaliro'!H54,'24.08 Iganga-Kaliro-24h'!H54,'26.08 Iganga-Kaliro-24h'!H54,'28.08 Iganga-Kaliro'!H54)</f>
        <v>0.14285714285714285</v>
      </c>
      <c r="I54" s="49">
        <f>AVERAGE('22.08 Iganga-Kaliro'!I54,'23.08 Iganga-Kaliro'!I54,'25.08 Iganga-Kaliro'!I54,'27.08 Iganga-Kaliro'!I54,'24.08 Iganga-Kaliro-24h'!I54,'26.08 Iganga-Kaliro-24h'!I54,'28.08 Iganga-Kaliro'!I54)</f>
        <v>1.8571428571428572</v>
      </c>
      <c r="J54" s="49">
        <f>AVERAGE('22.08 Iganga-Kaliro'!J54,'23.08 Iganga-Kaliro'!J54,'25.08 Iganga-Kaliro'!J54,'27.08 Iganga-Kaliro'!J54,'24.08 Iganga-Kaliro-24h'!J54,'26.08 Iganga-Kaliro-24h'!J54,'28.08 Iganga-Kaliro'!J54)</f>
        <v>1.1428571428571428</v>
      </c>
      <c r="K54" s="49">
        <f>AVERAGE('22.08 Iganga-Kaliro'!K54,'23.08 Iganga-Kaliro'!K54,'25.08 Iganga-Kaliro'!K54,'27.08 Iganga-Kaliro'!K54,'24.08 Iganga-Kaliro-24h'!K54,'26.08 Iganga-Kaliro-24h'!K54,'28.08 Iganga-Kaliro'!K54)</f>
        <v>0</v>
      </c>
      <c r="L54" s="49">
        <f>AVERAGE('22.08 Iganga-Kaliro'!L54,'23.08 Iganga-Kaliro'!L54,'25.08 Iganga-Kaliro'!L54,'27.08 Iganga-Kaliro'!L54,'24.08 Iganga-Kaliro-24h'!L54,'26.08 Iganga-Kaliro-24h'!L54,'28.08 Iganga-Kaliro'!L54)</f>
        <v>0</v>
      </c>
      <c r="M54" s="49">
        <f>AVERAGE('22.08 Iganga-Kaliro'!M54,'23.08 Iganga-Kaliro'!M54,'25.08 Iganga-Kaliro'!M54,'27.08 Iganga-Kaliro'!M54,'24.08 Iganga-Kaliro-24h'!M54,'26.08 Iganga-Kaliro-24h'!M54,'28.08 Iganga-Kaliro'!M54)</f>
        <v>56.428571428571431</v>
      </c>
      <c r="N54" s="49">
        <f>AVERAGE('22.08 Iganga-Kaliro'!N54,'23.08 Iganga-Kaliro'!N54,'25.08 Iganga-Kaliro'!N54,'27.08 Iganga-Kaliro'!N54,'24.08 Iganga-Kaliro-24h'!N54,'26.08 Iganga-Kaliro-24h'!N54,'28.08 Iganga-Kaliro'!N54)</f>
        <v>0.14285714285714285</v>
      </c>
      <c r="O54" s="15">
        <f t="shared" si="0"/>
        <v>22.428571428571431</v>
      </c>
      <c r="P54" s="15">
        <f t="shared" si="1"/>
        <v>78.857142857142861</v>
      </c>
      <c r="R54" s="8"/>
      <c r="T54"/>
    </row>
    <row r="55" spans="2:20" ht="23.1" customHeight="1" x14ac:dyDescent="0.25">
      <c r="B55" s="23" t="s">
        <v>82</v>
      </c>
      <c r="C55" s="49">
        <f>AVERAGE('22.08 Iganga-Kaliro'!C55,'23.08 Iganga-Kaliro'!C55,'25.08 Iganga-Kaliro'!C55,'27.08 Iganga-Kaliro'!C55,'24.08 Iganga-Kaliro-24h'!C55,'26.08 Iganga-Kaliro-24h'!C55,'28.08 Iganga-Kaliro'!C55)</f>
        <v>3.2857142857142856</v>
      </c>
      <c r="D55" s="49">
        <f>AVERAGE('22.08 Iganga-Kaliro'!D55,'23.08 Iganga-Kaliro'!D55,'25.08 Iganga-Kaliro'!D55,'27.08 Iganga-Kaliro'!D55,'24.08 Iganga-Kaliro-24h'!D55,'26.08 Iganga-Kaliro-24h'!D55,'28.08 Iganga-Kaliro'!D55)</f>
        <v>2.2857142857142856</v>
      </c>
      <c r="E55" s="49">
        <f>AVERAGE('22.08 Iganga-Kaliro'!E55,'23.08 Iganga-Kaliro'!E55,'25.08 Iganga-Kaliro'!E55,'27.08 Iganga-Kaliro'!E55,'24.08 Iganga-Kaliro-24h'!E55,'26.08 Iganga-Kaliro-24h'!E55,'28.08 Iganga-Kaliro'!E55)</f>
        <v>1.5714285714285714</v>
      </c>
      <c r="F55" s="49">
        <f>AVERAGE('22.08 Iganga-Kaliro'!F55,'23.08 Iganga-Kaliro'!F55,'25.08 Iganga-Kaliro'!F55,'27.08 Iganga-Kaliro'!F55,'24.08 Iganga-Kaliro-24h'!F55,'26.08 Iganga-Kaliro-24h'!F55,'28.08 Iganga-Kaliro'!F55)</f>
        <v>3.8571428571428572</v>
      </c>
      <c r="G55" s="49">
        <f>AVERAGE('22.08 Iganga-Kaliro'!G55,'23.08 Iganga-Kaliro'!G55,'25.08 Iganga-Kaliro'!G55,'27.08 Iganga-Kaliro'!G55,'24.08 Iganga-Kaliro-24h'!G55,'26.08 Iganga-Kaliro-24h'!G55,'28.08 Iganga-Kaliro'!G55)</f>
        <v>0.14285714285714285</v>
      </c>
      <c r="H55" s="49">
        <f>AVERAGE('22.08 Iganga-Kaliro'!H55,'23.08 Iganga-Kaliro'!H55,'25.08 Iganga-Kaliro'!H55,'27.08 Iganga-Kaliro'!H55,'24.08 Iganga-Kaliro-24h'!H55,'26.08 Iganga-Kaliro-24h'!H55,'28.08 Iganga-Kaliro'!H55)</f>
        <v>0</v>
      </c>
      <c r="I55" s="49">
        <f>AVERAGE('22.08 Iganga-Kaliro'!I55,'23.08 Iganga-Kaliro'!I55,'25.08 Iganga-Kaliro'!I55,'27.08 Iganga-Kaliro'!I55,'24.08 Iganga-Kaliro-24h'!I55,'26.08 Iganga-Kaliro-24h'!I55,'28.08 Iganga-Kaliro'!I55)</f>
        <v>1.7142857142857142</v>
      </c>
      <c r="J55" s="49">
        <f>AVERAGE('22.08 Iganga-Kaliro'!J55,'23.08 Iganga-Kaliro'!J55,'25.08 Iganga-Kaliro'!J55,'27.08 Iganga-Kaliro'!J55,'24.08 Iganga-Kaliro-24h'!J55,'26.08 Iganga-Kaliro-24h'!J55,'28.08 Iganga-Kaliro'!J55)</f>
        <v>1.1428571428571428</v>
      </c>
      <c r="K55" s="49">
        <f>AVERAGE('22.08 Iganga-Kaliro'!K55,'23.08 Iganga-Kaliro'!K55,'25.08 Iganga-Kaliro'!K55,'27.08 Iganga-Kaliro'!K55,'24.08 Iganga-Kaliro-24h'!K55,'26.08 Iganga-Kaliro-24h'!K55,'28.08 Iganga-Kaliro'!K55)</f>
        <v>0</v>
      </c>
      <c r="L55" s="49">
        <f>AVERAGE('22.08 Iganga-Kaliro'!L55,'23.08 Iganga-Kaliro'!L55,'25.08 Iganga-Kaliro'!L55,'27.08 Iganga-Kaliro'!L55,'24.08 Iganga-Kaliro-24h'!L55,'26.08 Iganga-Kaliro-24h'!L55,'28.08 Iganga-Kaliro'!L55)</f>
        <v>0</v>
      </c>
      <c r="M55" s="49">
        <f>AVERAGE('22.08 Iganga-Kaliro'!M55,'23.08 Iganga-Kaliro'!M55,'25.08 Iganga-Kaliro'!M55,'27.08 Iganga-Kaliro'!M55,'24.08 Iganga-Kaliro-24h'!M55,'26.08 Iganga-Kaliro-24h'!M55,'28.08 Iganga-Kaliro'!M55)</f>
        <v>58.571428571428569</v>
      </c>
      <c r="N55" s="49">
        <f>AVERAGE('22.08 Iganga-Kaliro'!N55,'23.08 Iganga-Kaliro'!N55,'25.08 Iganga-Kaliro'!N55,'27.08 Iganga-Kaliro'!N55,'24.08 Iganga-Kaliro-24h'!N55,'26.08 Iganga-Kaliro-24h'!N55,'28.08 Iganga-Kaliro'!N55)</f>
        <v>0</v>
      </c>
      <c r="O55" s="15">
        <f t="shared" si="0"/>
        <v>13.999999999999998</v>
      </c>
      <c r="P55" s="15">
        <f t="shared" si="1"/>
        <v>72.571428571428569</v>
      </c>
      <c r="R55" s="8"/>
      <c r="T55"/>
    </row>
    <row r="56" spans="2:20" ht="23.1" customHeight="1" x14ac:dyDescent="0.25">
      <c r="B56" s="23" t="s">
        <v>83</v>
      </c>
      <c r="C56" s="49">
        <f>AVERAGE('22.08 Iganga-Kaliro'!C56,'23.08 Iganga-Kaliro'!C56,'25.08 Iganga-Kaliro'!C56,'27.08 Iganga-Kaliro'!C56,'24.08 Iganga-Kaliro-24h'!C56,'26.08 Iganga-Kaliro-24h'!C56,'28.08 Iganga-Kaliro'!C56)</f>
        <v>3.4285714285714284</v>
      </c>
      <c r="D56" s="49">
        <f>AVERAGE('22.08 Iganga-Kaliro'!D56,'23.08 Iganga-Kaliro'!D56,'25.08 Iganga-Kaliro'!D56,'27.08 Iganga-Kaliro'!D56,'24.08 Iganga-Kaliro-24h'!D56,'26.08 Iganga-Kaliro-24h'!D56,'28.08 Iganga-Kaliro'!D56)</f>
        <v>2</v>
      </c>
      <c r="E56" s="49">
        <f>AVERAGE('22.08 Iganga-Kaliro'!E56,'23.08 Iganga-Kaliro'!E56,'25.08 Iganga-Kaliro'!E56,'27.08 Iganga-Kaliro'!E56,'24.08 Iganga-Kaliro-24h'!E56,'26.08 Iganga-Kaliro-24h'!E56,'28.08 Iganga-Kaliro'!E56)</f>
        <v>1.7142857142857142</v>
      </c>
      <c r="F56" s="49">
        <f>AVERAGE('22.08 Iganga-Kaliro'!F56,'23.08 Iganga-Kaliro'!F56,'25.08 Iganga-Kaliro'!F56,'27.08 Iganga-Kaliro'!F56,'24.08 Iganga-Kaliro-24h'!F56,'26.08 Iganga-Kaliro-24h'!F56,'28.08 Iganga-Kaliro'!F56)</f>
        <v>4.8571428571428568</v>
      </c>
      <c r="G56" s="49">
        <f>AVERAGE('22.08 Iganga-Kaliro'!G56,'23.08 Iganga-Kaliro'!G56,'25.08 Iganga-Kaliro'!G56,'27.08 Iganga-Kaliro'!G56,'24.08 Iganga-Kaliro-24h'!G56,'26.08 Iganga-Kaliro-24h'!G56,'28.08 Iganga-Kaliro'!G56)</f>
        <v>0.14285714285714285</v>
      </c>
      <c r="H56" s="49">
        <f>AVERAGE('22.08 Iganga-Kaliro'!H56,'23.08 Iganga-Kaliro'!H56,'25.08 Iganga-Kaliro'!H56,'27.08 Iganga-Kaliro'!H56,'24.08 Iganga-Kaliro-24h'!H56,'26.08 Iganga-Kaliro-24h'!H56,'28.08 Iganga-Kaliro'!H56)</f>
        <v>0</v>
      </c>
      <c r="I56" s="49">
        <f>AVERAGE('22.08 Iganga-Kaliro'!I56,'23.08 Iganga-Kaliro'!I56,'25.08 Iganga-Kaliro'!I56,'27.08 Iganga-Kaliro'!I56,'24.08 Iganga-Kaliro-24h'!I56,'26.08 Iganga-Kaliro-24h'!I56,'28.08 Iganga-Kaliro'!I56)</f>
        <v>1.4285714285714286</v>
      </c>
      <c r="J56" s="49">
        <f>AVERAGE('22.08 Iganga-Kaliro'!J56,'23.08 Iganga-Kaliro'!J56,'25.08 Iganga-Kaliro'!J56,'27.08 Iganga-Kaliro'!J56,'24.08 Iganga-Kaliro-24h'!J56,'26.08 Iganga-Kaliro-24h'!J56,'28.08 Iganga-Kaliro'!J56)</f>
        <v>1</v>
      </c>
      <c r="K56" s="49">
        <f>AVERAGE('22.08 Iganga-Kaliro'!K56,'23.08 Iganga-Kaliro'!K56,'25.08 Iganga-Kaliro'!K56,'27.08 Iganga-Kaliro'!K56,'24.08 Iganga-Kaliro-24h'!K56,'26.08 Iganga-Kaliro-24h'!K56,'28.08 Iganga-Kaliro'!K56)</f>
        <v>0</v>
      </c>
      <c r="L56" s="49">
        <f>AVERAGE('22.08 Iganga-Kaliro'!L56,'23.08 Iganga-Kaliro'!L56,'25.08 Iganga-Kaliro'!L56,'27.08 Iganga-Kaliro'!L56,'24.08 Iganga-Kaliro-24h'!L56,'26.08 Iganga-Kaliro-24h'!L56,'28.08 Iganga-Kaliro'!L56)</f>
        <v>0</v>
      </c>
      <c r="M56" s="49">
        <f>AVERAGE('22.08 Iganga-Kaliro'!M56,'23.08 Iganga-Kaliro'!M56,'25.08 Iganga-Kaliro'!M56,'27.08 Iganga-Kaliro'!M56,'24.08 Iganga-Kaliro-24h'!M56,'26.08 Iganga-Kaliro-24h'!M56,'28.08 Iganga-Kaliro'!M56)</f>
        <v>60.714285714285715</v>
      </c>
      <c r="N56" s="49">
        <f>AVERAGE('22.08 Iganga-Kaliro'!N56,'23.08 Iganga-Kaliro'!N56,'25.08 Iganga-Kaliro'!N56,'27.08 Iganga-Kaliro'!N56,'24.08 Iganga-Kaliro-24h'!N56,'26.08 Iganga-Kaliro-24h'!N56,'28.08 Iganga-Kaliro'!N56)</f>
        <v>0.14285714285714285</v>
      </c>
      <c r="O56" s="15">
        <f t="shared" si="0"/>
        <v>14.714285714285714</v>
      </c>
      <c r="P56" s="15">
        <f t="shared" si="1"/>
        <v>75.428571428571431</v>
      </c>
      <c r="R56" s="8"/>
      <c r="T56"/>
    </row>
    <row r="57" spans="2:20" ht="23.1" customHeight="1" x14ac:dyDescent="0.25">
      <c r="B57" s="23" t="s">
        <v>84</v>
      </c>
      <c r="C57" s="49">
        <f>AVERAGE('22.08 Iganga-Kaliro'!C57,'23.08 Iganga-Kaliro'!C57,'25.08 Iganga-Kaliro'!C57,'27.08 Iganga-Kaliro'!C57,'24.08 Iganga-Kaliro-24h'!C57,'26.08 Iganga-Kaliro-24h'!C57,'28.08 Iganga-Kaliro'!C57)</f>
        <v>3.2857142857142856</v>
      </c>
      <c r="D57" s="49">
        <f>AVERAGE('22.08 Iganga-Kaliro'!D57,'23.08 Iganga-Kaliro'!D57,'25.08 Iganga-Kaliro'!D57,'27.08 Iganga-Kaliro'!D57,'24.08 Iganga-Kaliro-24h'!D57,'26.08 Iganga-Kaliro-24h'!D57,'28.08 Iganga-Kaliro'!D57)</f>
        <v>3</v>
      </c>
      <c r="E57" s="49">
        <f>AVERAGE('22.08 Iganga-Kaliro'!E57,'23.08 Iganga-Kaliro'!E57,'25.08 Iganga-Kaliro'!E57,'27.08 Iganga-Kaliro'!E57,'24.08 Iganga-Kaliro-24h'!E57,'26.08 Iganga-Kaliro-24h'!E57,'28.08 Iganga-Kaliro'!E57)</f>
        <v>1.7142857142857142</v>
      </c>
      <c r="F57" s="49">
        <f>AVERAGE('22.08 Iganga-Kaliro'!F57,'23.08 Iganga-Kaliro'!F57,'25.08 Iganga-Kaliro'!F57,'27.08 Iganga-Kaliro'!F57,'24.08 Iganga-Kaliro-24h'!F57,'26.08 Iganga-Kaliro-24h'!F57,'28.08 Iganga-Kaliro'!F57)</f>
        <v>4.2857142857142856</v>
      </c>
      <c r="G57" s="49">
        <f>AVERAGE('22.08 Iganga-Kaliro'!G57,'23.08 Iganga-Kaliro'!G57,'25.08 Iganga-Kaliro'!G57,'27.08 Iganga-Kaliro'!G57,'24.08 Iganga-Kaliro-24h'!G57,'26.08 Iganga-Kaliro-24h'!G57,'28.08 Iganga-Kaliro'!G57)</f>
        <v>0</v>
      </c>
      <c r="H57" s="49">
        <f>AVERAGE('22.08 Iganga-Kaliro'!H57,'23.08 Iganga-Kaliro'!H57,'25.08 Iganga-Kaliro'!H57,'27.08 Iganga-Kaliro'!H57,'24.08 Iganga-Kaliro-24h'!H57,'26.08 Iganga-Kaliro-24h'!H57,'28.08 Iganga-Kaliro'!H57)</f>
        <v>0</v>
      </c>
      <c r="I57" s="49">
        <f>AVERAGE('22.08 Iganga-Kaliro'!I57,'23.08 Iganga-Kaliro'!I57,'25.08 Iganga-Kaliro'!I57,'27.08 Iganga-Kaliro'!I57,'24.08 Iganga-Kaliro-24h'!I57,'26.08 Iganga-Kaliro-24h'!I57,'28.08 Iganga-Kaliro'!I57)</f>
        <v>1.1428571428571428</v>
      </c>
      <c r="J57" s="49">
        <f>AVERAGE('22.08 Iganga-Kaliro'!J57,'23.08 Iganga-Kaliro'!J57,'25.08 Iganga-Kaliro'!J57,'27.08 Iganga-Kaliro'!J57,'24.08 Iganga-Kaliro-24h'!J57,'26.08 Iganga-Kaliro-24h'!J57,'28.08 Iganga-Kaliro'!J57)</f>
        <v>1.1428571428571428</v>
      </c>
      <c r="K57" s="49">
        <f>AVERAGE('22.08 Iganga-Kaliro'!K57,'23.08 Iganga-Kaliro'!K57,'25.08 Iganga-Kaliro'!K57,'27.08 Iganga-Kaliro'!K57,'24.08 Iganga-Kaliro-24h'!K57,'26.08 Iganga-Kaliro-24h'!K57,'28.08 Iganga-Kaliro'!K57)</f>
        <v>0</v>
      </c>
      <c r="L57" s="49">
        <f>AVERAGE('22.08 Iganga-Kaliro'!L57,'23.08 Iganga-Kaliro'!L57,'25.08 Iganga-Kaliro'!L57,'27.08 Iganga-Kaliro'!L57,'24.08 Iganga-Kaliro-24h'!L57,'26.08 Iganga-Kaliro-24h'!L57,'28.08 Iganga-Kaliro'!L57)</f>
        <v>0</v>
      </c>
      <c r="M57" s="49">
        <f>AVERAGE('22.08 Iganga-Kaliro'!M57,'23.08 Iganga-Kaliro'!M57,'25.08 Iganga-Kaliro'!M57,'27.08 Iganga-Kaliro'!M57,'24.08 Iganga-Kaliro-24h'!M57,'26.08 Iganga-Kaliro-24h'!M57,'28.08 Iganga-Kaliro'!M57)</f>
        <v>61.428571428571431</v>
      </c>
      <c r="N57" s="49">
        <f>AVERAGE('22.08 Iganga-Kaliro'!N57,'23.08 Iganga-Kaliro'!N57,'25.08 Iganga-Kaliro'!N57,'27.08 Iganga-Kaliro'!N57,'24.08 Iganga-Kaliro-24h'!N57,'26.08 Iganga-Kaliro-24h'!N57,'28.08 Iganga-Kaliro'!N57)</f>
        <v>0</v>
      </c>
      <c r="O57" s="15">
        <f t="shared" si="0"/>
        <v>14.571428571428569</v>
      </c>
      <c r="P57" s="15">
        <f t="shared" si="1"/>
        <v>76</v>
      </c>
      <c r="R57" s="8"/>
      <c r="T57"/>
    </row>
    <row r="58" spans="2:20" ht="23.1" customHeight="1" x14ac:dyDescent="0.25">
      <c r="B58" s="23" t="s">
        <v>99</v>
      </c>
      <c r="C58" s="49">
        <f>AVERAGE('24.08 Iganga-Kaliro-24h'!C58,'26.08 Iganga-Kaliro-24h'!C58)</f>
        <v>3.5</v>
      </c>
      <c r="D58" s="49">
        <f>AVERAGE('24.08 Iganga-Kaliro-24h'!D58,'26.08 Iganga-Kaliro-24h'!D58)</f>
        <v>1.5</v>
      </c>
      <c r="E58" s="49">
        <f>AVERAGE('24.08 Iganga-Kaliro-24h'!E58,'26.08 Iganga-Kaliro-24h'!E58)</f>
        <v>0.5</v>
      </c>
      <c r="F58" s="49">
        <f>AVERAGE('24.08 Iganga-Kaliro-24h'!F58,'26.08 Iganga-Kaliro-24h'!F58)</f>
        <v>2</v>
      </c>
      <c r="G58" s="49">
        <f>AVERAGE('24.08 Iganga-Kaliro-24h'!G58,'26.08 Iganga-Kaliro-24h'!G58)</f>
        <v>0</v>
      </c>
      <c r="H58" s="49">
        <f>AVERAGE('24.08 Iganga-Kaliro-24h'!H58,'26.08 Iganga-Kaliro-24h'!H58)</f>
        <v>0</v>
      </c>
      <c r="I58" s="49">
        <f>AVERAGE('24.08 Iganga-Kaliro-24h'!I58,'26.08 Iganga-Kaliro-24h'!I58)</f>
        <v>1</v>
      </c>
      <c r="J58" s="49">
        <f>AVERAGE('24.08 Iganga-Kaliro-24h'!J58,'26.08 Iganga-Kaliro-24h'!J58)</f>
        <v>0.5</v>
      </c>
      <c r="K58" s="49">
        <f>AVERAGE('24.08 Iganga-Kaliro-24h'!K58,'26.08 Iganga-Kaliro-24h'!K58)</f>
        <v>0</v>
      </c>
      <c r="L58" s="49">
        <f>AVERAGE('24.08 Iganga-Kaliro-24h'!L58,'26.08 Iganga-Kaliro-24h'!L58)</f>
        <v>0</v>
      </c>
      <c r="M58" s="49">
        <f>AVERAGE('24.08 Iganga-Kaliro-24h'!M58,'26.08 Iganga-Kaliro-24h'!M58)</f>
        <v>57.5</v>
      </c>
      <c r="N58" s="49">
        <f>AVERAGE('24.08 Iganga-Kaliro-24h'!N58,'26.08 Iganga-Kaliro-24h'!N58)</f>
        <v>0</v>
      </c>
      <c r="O58" s="15">
        <f t="shared" si="0"/>
        <v>9</v>
      </c>
      <c r="P58" s="15">
        <f t="shared" si="1"/>
        <v>66.5</v>
      </c>
      <c r="R58" s="8"/>
      <c r="T58"/>
    </row>
    <row r="59" spans="2:20" ht="23.1" customHeight="1" x14ac:dyDescent="0.25">
      <c r="B59" s="23" t="s">
        <v>100</v>
      </c>
      <c r="C59" s="49">
        <f>AVERAGE('24.08 Iganga-Kaliro-24h'!C59,'26.08 Iganga-Kaliro-24h'!C59)</f>
        <v>5</v>
      </c>
      <c r="D59" s="49">
        <f>AVERAGE('24.08 Iganga-Kaliro-24h'!D59,'26.08 Iganga-Kaliro-24h'!D59)</f>
        <v>2.5</v>
      </c>
      <c r="E59" s="49">
        <f>AVERAGE('24.08 Iganga-Kaliro-24h'!E59,'26.08 Iganga-Kaliro-24h'!E59)</f>
        <v>0.5</v>
      </c>
      <c r="F59" s="49">
        <f>AVERAGE('24.08 Iganga-Kaliro-24h'!F59,'26.08 Iganga-Kaliro-24h'!F59)</f>
        <v>2</v>
      </c>
      <c r="G59" s="49">
        <f>AVERAGE('24.08 Iganga-Kaliro-24h'!G59,'26.08 Iganga-Kaliro-24h'!G59)</f>
        <v>0</v>
      </c>
      <c r="H59" s="49">
        <f>AVERAGE('24.08 Iganga-Kaliro-24h'!H59,'26.08 Iganga-Kaliro-24h'!H59)</f>
        <v>0</v>
      </c>
      <c r="I59" s="49">
        <f>AVERAGE('24.08 Iganga-Kaliro-24h'!I59,'26.08 Iganga-Kaliro-24h'!I59)</f>
        <v>0.5</v>
      </c>
      <c r="J59" s="49">
        <f>AVERAGE('24.08 Iganga-Kaliro-24h'!J59,'26.08 Iganga-Kaliro-24h'!J59)</f>
        <v>0</v>
      </c>
      <c r="K59" s="49">
        <f>AVERAGE('24.08 Iganga-Kaliro-24h'!K59,'26.08 Iganga-Kaliro-24h'!K59)</f>
        <v>0</v>
      </c>
      <c r="L59" s="49">
        <f>AVERAGE('24.08 Iganga-Kaliro-24h'!L59,'26.08 Iganga-Kaliro-24h'!L59)</f>
        <v>0</v>
      </c>
      <c r="M59" s="49">
        <f>AVERAGE('24.08 Iganga-Kaliro-24h'!M59,'26.08 Iganga-Kaliro-24h'!M59)</f>
        <v>52.5</v>
      </c>
      <c r="N59" s="49">
        <f>AVERAGE('24.08 Iganga-Kaliro-24h'!N59,'26.08 Iganga-Kaliro-24h'!N59)</f>
        <v>0</v>
      </c>
      <c r="O59" s="15">
        <f t="shared" si="0"/>
        <v>10.5</v>
      </c>
      <c r="P59" s="15">
        <f t="shared" si="1"/>
        <v>63</v>
      </c>
      <c r="R59" s="8"/>
      <c r="T59"/>
    </row>
    <row r="60" spans="2:20" ht="23.1" customHeight="1" x14ac:dyDescent="0.25">
      <c r="B60" s="23" t="s">
        <v>101</v>
      </c>
      <c r="C60" s="49">
        <f>AVERAGE('24.08 Iganga-Kaliro-24h'!C60,'26.08 Iganga-Kaliro-24h'!C60)</f>
        <v>3</v>
      </c>
      <c r="D60" s="49">
        <f>AVERAGE('24.08 Iganga-Kaliro-24h'!D60,'26.08 Iganga-Kaliro-24h'!D60)</f>
        <v>1</v>
      </c>
      <c r="E60" s="49">
        <f>AVERAGE('24.08 Iganga-Kaliro-24h'!E60,'26.08 Iganga-Kaliro-24h'!E60)</f>
        <v>1.5</v>
      </c>
      <c r="F60" s="49">
        <f>AVERAGE('24.08 Iganga-Kaliro-24h'!F60,'26.08 Iganga-Kaliro-24h'!F60)</f>
        <v>2.5</v>
      </c>
      <c r="G60" s="49">
        <f>AVERAGE('24.08 Iganga-Kaliro-24h'!G60,'26.08 Iganga-Kaliro-24h'!G60)</f>
        <v>0</v>
      </c>
      <c r="H60" s="49">
        <f>AVERAGE('24.08 Iganga-Kaliro-24h'!H60,'26.08 Iganga-Kaliro-24h'!H60)</f>
        <v>0</v>
      </c>
      <c r="I60" s="49">
        <f>AVERAGE('24.08 Iganga-Kaliro-24h'!I60,'26.08 Iganga-Kaliro-24h'!I60)</f>
        <v>0.5</v>
      </c>
      <c r="J60" s="49">
        <f>AVERAGE('24.08 Iganga-Kaliro-24h'!J60,'26.08 Iganga-Kaliro-24h'!J60)</f>
        <v>0.5</v>
      </c>
      <c r="K60" s="49">
        <f>AVERAGE('24.08 Iganga-Kaliro-24h'!K60,'26.08 Iganga-Kaliro-24h'!K60)</f>
        <v>0</v>
      </c>
      <c r="L60" s="49">
        <f>AVERAGE('24.08 Iganga-Kaliro-24h'!L60,'26.08 Iganga-Kaliro-24h'!L60)</f>
        <v>0</v>
      </c>
      <c r="M60" s="49">
        <f>AVERAGE('24.08 Iganga-Kaliro-24h'!M60,'26.08 Iganga-Kaliro-24h'!M60)</f>
        <v>62.5</v>
      </c>
      <c r="N60" s="49">
        <f>AVERAGE('24.08 Iganga-Kaliro-24h'!N60,'26.08 Iganga-Kaliro-24h'!N60)</f>
        <v>0</v>
      </c>
      <c r="O60" s="15">
        <f t="shared" si="0"/>
        <v>9</v>
      </c>
      <c r="P60" s="15">
        <f t="shared" si="1"/>
        <v>71.5</v>
      </c>
      <c r="R60" s="8"/>
      <c r="T60"/>
    </row>
    <row r="61" spans="2:20" ht="23.1" customHeight="1" x14ac:dyDescent="0.25">
      <c r="B61" s="23" t="s">
        <v>102</v>
      </c>
      <c r="C61" s="49">
        <f>AVERAGE('24.08 Iganga-Kaliro-24h'!C61,'26.08 Iganga-Kaliro-24h'!C61)</f>
        <v>1.5</v>
      </c>
      <c r="D61" s="49">
        <f>AVERAGE('24.08 Iganga-Kaliro-24h'!D61,'26.08 Iganga-Kaliro-24h'!D61)</f>
        <v>2</v>
      </c>
      <c r="E61" s="49">
        <f>AVERAGE('24.08 Iganga-Kaliro-24h'!E61,'26.08 Iganga-Kaliro-24h'!E61)</f>
        <v>0.5</v>
      </c>
      <c r="F61" s="49">
        <f>AVERAGE('24.08 Iganga-Kaliro-24h'!F61,'26.08 Iganga-Kaliro-24h'!F61)</f>
        <v>0</v>
      </c>
      <c r="G61" s="49">
        <f>AVERAGE('24.08 Iganga-Kaliro-24h'!G61,'26.08 Iganga-Kaliro-24h'!G61)</f>
        <v>0</v>
      </c>
      <c r="H61" s="49">
        <f>AVERAGE('24.08 Iganga-Kaliro-24h'!H61,'26.08 Iganga-Kaliro-24h'!H61)</f>
        <v>0</v>
      </c>
      <c r="I61" s="49">
        <f>AVERAGE('24.08 Iganga-Kaliro-24h'!I61,'26.08 Iganga-Kaliro-24h'!I61)</f>
        <v>0</v>
      </c>
      <c r="J61" s="49">
        <f>AVERAGE('24.08 Iganga-Kaliro-24h'!J61,'26.08 Iganga-Kaliro-24h'!J61)</f>
        <v>0</v>
      </c>
      <c r="K61" s="49">
        <f>AVERAGE('24.08 Iganga-Kaliro-24h'!K61,'26.08 Iganga-Kaliro-24h'!K61)</f>
        <v>0</v>
      </c>
      <c r="L61" s="49">
        <f>AVERAGE('24.08 Iganga-Kaliro-24h'!L61,'26.08 Iganga-Kaliro-24h'!L61)</f>
        <v>0</v>
      </c>
      <c r="M61" s="49">
        <f>AVERAGE('24.08 Iganga-Kaliro-24h'!M61,'26.08 Iganga-Kaliro-24h'!M61)</f>
        <v>67.5</v>
      </c>
      <c r="N61" s="49">
        <f>AVERAGE('24.08 Iganga-Kaliro-24h'!N61,'26.08 Iganga-Kaliro-24h'!N61)</f>
        <v>0</v>
      </c>
      <c r="O61" s="15">
        <f t="shared" si="0"/>
        <v>4</v>
      </c>
      <c r="P61" s="15">
        <f t="shared" si="1"/>
        <v>71.5</v>
      </c>
      <c r="R61" s="8"/>
      <c r="T61"/>
    </row>
    <row r="62" spans="2:20" ht="23.1" customHeight="1" x14ac:dyDescent="0.25">
      <c r="B62" s="23" t="s">
        <v>107</v>
      </c>
      <c r="C62" s="49">
        <f>AVERAGE('24.08 Iganga-Kaliro-24h'!C62,'26.08 Iganga-Kaliro-24h'!C62)</f>
        <v>3.5</v>
      </c>
      <c r="D62" s="49">
        <f>AVERAGE('24.08 Iganga-Kaliro-24h'!D62,'26.08 Iganga-Kaliro-24h'!D62)</f>
        <v>1</v>
      </c>
      <c r="E62" s="49">
        <f>AVERAGE('24.08 Iganga-Kaliro-24h'!E62,'26.08 Iganga-Kaliro-24h'!E62)</f>
        <v>0.5</v>
      </c>
      <c r="F62" s="49">
        <f>AVERAGE('24.08 Iganga-Kaliro-24h'!F62,'26.08 Iganga-Kaliro-24h'!F62)</f>
        <v>2</v>
      </c>
      <c r="G62" s="49">
        <f>AVERAGE('24.08 Iganga-Kaliro-24h'!G62,'26.08 Iganga-Kaliro-24h'!G62)</f>
        <v>0</v>
      </c>
      <c r="H62" s="49">
        <f>AVERAGE('24.08 Iganga-Kaliro-24h'!H62,'26.08 Iganga-Kaliro-24h'!H62)</f>
        <v>0</v>
      </c>
      <c r="I62" s="49">
        <f>AVERAGE('24.08 Iganga-Kaliro-24h'!I62,'26.08 Iganga-Kaliro-24h'!I62)</f>
        <v>0</v>
      </c>
      <c r="J62" s="49">
        <f>AVERAGE('24.08 Iganga-Kaliro-24h'!J62,'26.08 Iganga-Kaliro-24h'!J62)</f>
        <v>0</v>
      </c>
      <c r="K62" s="49">
        <f>AVERAGE('24.08 Iganga-Kaliro-24h'!K62,'26.08 Iganga-Kaliro-24h'!K62)</f>
        <v>0</v>
      </c>
      <c r="L62" s="49">
        <f>AVERAGE('24.08 Iganga-Kaliro-24h'!L62,'26.08 Iganga-Kaliro-24h'!L62)</f>
        <v>0</v>
      </c>
      <c r="M62" s="49">
        <f>AVERAGE('24.08 Iganga-Kaliro-24h'!M62,'26.08 Iganga-Kaliro-24h'!M62)</f>
        <v>72.5</v>
      </c>
      <c r="N62" s="49">
        <f>AVERAGE('24.08 Iganga-Kaliro-24h'!N62,'26.08 Iganga-Kaliro-24h'!N62)</f>
        <v>0</v>
      </c>
      <c r="O62" s="15">
        <f t="shared" si="0"/>
        <v>7</v>
      </c>
      <c r="P62" s="15">
        <f t="shared" si="1"/>
        <v>79.5</v>
      </c>
      <c r="R62" s="8"/>
      <c r="T62"/>
    </row>
    <row r="63" spans="2:20" ht="23.1" customHeight="1" x14ac:dyDescent="0.25">
      <c r="B63" s="23" t="s">
        <v>108</v>
      </c>
      <c r="C63" s="49">
        <f>AVERAGE('24.08 Iganga-Kaliro-24h'!C63,'26.08 Iganga-Kaliro-24h'!C63)</f>
        <v>5</v>
      </c>
      <c r="D63" s="49">
        <f>AVERAGE('24.08 Iganga-Kaliro-24h'!D63,'26.08 Iganga-Kaliro-24h'!D63)</f>
        <v>0.5</v>
      </c>
      <c r="E63" s="49">
        <f>AVERAGE('24.08 Iganga-Kaliro-24h'!E63,'26.08 Iganga-Kaliro-24h'!E63)</f>
        <v>1</v>
      </c>
      <c r="F63" s="49">
        <f>AVERAGE('24.08 Iganga-Kaliro-24h'!F63,'26.08 Iganga-Kaliro-24h'!F63)</f>
        <v>0.5</v>
      </c>
      <c r="G63" s="49">
        <f>AVERAGE('24.08 Iganga-Kaliro-24h'!G63,'26.08 Iganga-Kaliro-24h'!G63)</f>
        <v>0</v>
      </c>
      <c r="H63" s="49">
        <f>AVERAGE('24.08 Iganga-Kaliro-24h'!H63,'26.08 Iganga-Kaliro-24h'!H63)</f>
        <v>0</v>
      </c>
      <c r="I63" s="49">
        <f>AVERAGE('24.08 Iganga-Kaliro-24h'!I63,'26.08 Iganga-Kaliro-24h'!I63)</f>
        <v>1</v>
      </c>
      <c r="J63" s="49">
        <f>AVERAGE('24.08 Iganga-Kaliro-24h'!J63,'26.08 Iganga-Kaliro-24h'!J63)</f>
        <v>0</v>
      </c>
      <c r="K63" s="49">
        <f>AVERAGE('24.08 Iganga-Kaliro-24h'!K63,'26.08 Iganga-Kaliro-24h'!K63)</f>
        <v>0</v>
      </c>
      <c r="L63" s="49">
        <f>AVERAGE('24.08 Iganga-Kaliro-24h'!L63,'26.08 Iganga-Kaliro-24h'!L63)</f>
        <v>0</v>
      </c>
      <c r="M63" s="49">
        <f>AVERAGE('24.08 Iganga-Kaliro-24h'!M63,'26.08 Iganga-Kaliro-24h'!M63)</f>
        <v>80</v>
      </c>
      <c r="N63" s="49">
        <f>AVERAGE('24.08 Iganga-Kaliro-24h'!N63,'26.08 Iganga-Kaliro-24h'!N63)</f>
        <v>0</v>
      </c>
      <c r="O63" s="15">
        <f t="shared" si="0"/>
        <v>8</v>
      </c>
      <c r="P63" s="15">
        <f t="shared" si="1"/>
        <v>88</v>
      </c>
      <c r="R63" s="8"/>
      <c r="T63"/>
    </row>
    <row r="64" spans="2:20" ht="23.1" customHeight="1" x14ac:dyDescent="0.25">
      <c r="B64" s="23" t="s">
        <v>109</v>
      </c>
      <c r="C64" s="49">
        <f>AVERAGE('24.08 Iganga-Kaliro-24h'!C64,'26.08 Iganga-Kaliro-24h'!C64)</f>
        <v>1</v>
      </c>
      <c r="D64" s="49">
        <f>AVERAGE('24.08 Iganga-Kaliro-24h'!D64,'26.08 Iganga-Kaliro-24h'!D64)</f>
        <v>1.5</v>
      </c>
      <c r="E64" s="49">
        <f>AVERAGE('24.08 Iganga-Kaliro-24h'!E64,'26.08 Iganga-Kaliro-24h'!E64)</f>
        <v>1</v>
      </c>
      <c r="F64" s="49">
        <f>AVERAGE('24.08 Iganga-Kaliro-24h'!F64,'26.08 Iganga-Kaliro-24h'!F64)</f>
        <v>2</v>
      </c>
      <c r="G64" s="49">
        <f>AVERAGE('24.08 Iganga-Kaliro-24h'!G64,'26.08 Iganga-Kaliro-24h'!G64)</f>
        <v>0</v>
      </c>
      <c r="H64" s="49">
        <f>AVERAGE('24.08 Iganga-Kaliro-24h'!H64,'26.08 Iganga-Kaliro-24h'!H64)</f>
        <v>0</v>
      </c>
      <c r="I64" s="49">
        <f>AVERAGE('24.08 Iganga-Kaliro-24h'!I64,'26.08 Iganga-Kaliro-24h'!I64)</f>
        <v>0.5</v>
      </c>
      <c r="J64" s="49">
        <f>AVERAGE('24.08 Iganga-Kaliro-24h'!J64,'26.08 Iganga-Kaliro-24h'!J64)</f>
        <v>0</v>
      </c>
      <c r="K64" s="49">
        <f>AVERAGE('24.08 Iganga-Kaliro-24h'!K64,'26.08 Iganga-Kaliro-24h'!K64)</f>
        <v>0.5</v>
      </c>
      <c r="L64" s="49">
        <f>AVERAGE('24.08 Iganga-Kaliro-24h'!L64,'26.08 Iganga-Kaliro-24h'!L64)</f>
        <v>0</v>
      </c>
      <c r="M64" s="49">
        <f>AVERAGE('24.08 Iganga-Kaliro-24h'!M64,'26.08 Iganga-Kaliro-24h'!M64)</f>
        <v>61</v>
      </c>
      <c r="N64" s="49">
        <f>AVERAGE('24.08 Iganga-Kaliro-24h'!N64,'26.08 Iganga-Kaliro-24h'!N64)</f>
        <v>0</v>
      </c>
      <c r="O64" s="15">
        <f t="shared" si="0"/>
        <v>6.5</v>
      </c>
      <c r="P64" s="15">
        <f t="shared" si="1"/>
        <v>67.5</v>
      </c>
      <c r="R64" s="8"/>
      <c r="T64"/>
    </row>
    <row r="65" spans="2:20" ht="23.1" customHeight="1" x14ac:dyDescent="0.25">
      <c r="B65" s="23" t="s">
        <v>158</v>
      </c>
      <c r="C65" s="49">
        <f>AVERAGE('24.08 Iganga-Kaliro-24h'!C65,'26.08 Iganga-Kaliro-24h'!C65)</f>
        <v>2</v>
      </c>
      <c r="D65" s="49">
        <f>AVERAGE('24.08 Iganga-Kaliro-24h'!D65,'26.08 Iganga-Kaliro-24h'!D65)</f>
        <v>0.5</v>
      </c>
      <c r="E65" s="49">
        <f>AVERAGE('24.08 Iganga-Kaliro-24h'!E65,'26.08 Iganga-Kaliro-24h'!E65)</f>
        <v>1</v>
      </c>
      <c r="F65" s="49">
        <f>AVERAGE('24.08 Iganga-Kaliro-24h'!F65,'26.08 Iganga-Kaliro-24h'!F65)</f>
        <v>1.5</v>
      </c>
      <c r="G65" s="49">
        <f>AVERAGE('24.08 Iganga-Kaliro-24h'!G65,'26.08 Iganga-Kaliro-24h'!G65)</f>
        <v>0</v>
      </c>
      <c r="H65" s="49">
        <f>AVERAGE('24.08 Iganga-Kaliro-24h'!H65,'26.08 Iganga-Kaliro-24h'!H65)</f>
        <v>0</v>
      </c>
      <c r="I65" s="49">
        <f>AVERAGE('24.08 Iganga-Kaliro-24h'!I65,'26.08 Iganga-Kaliro-24h'!I65)</f>
        <v>0.5</v>
      </c>
      <c r="J65" s="49">
        <f>AVERAGE('24.08 Iganga-Kaliro-24h'!J65,'26.08 Iganga-Kaliro-24h'!J65)</f>
        <v>0</v>
      </c>
      <c r="K65" s="49">
        <f>AVERAGE('24.08 Iganga-Kaliro-24h'!K65,'26.08 Iganga-Kaliro-24h'!K65)</f>
        <v>0</v>
      </c>
      <c r="L65" s="49">
        <f>AVERAGE('24.08 Iganga-Kaliro-24h'!L65,'26.08 Iganga-Kaliro-24h'!L65)</f>
        <v>0</v>
      </c>
      <c r="M65" s="49">
        <f>AVERAGE('24.08 Iganga-Kaliro-24h'!M65,'26.08 Iganga-Kaliro-24h'!M65)</f>
        <v>27.5</v>
      </c>
      <c r="N65" s="49">
        <f>AVERAGE('24.08 Iganga-Kaliro-24h'!N65,'26.08 Iganga-Kaliro-24h'!N65)</f>
        <v>0</v>
      </c>
      <c r="O65" s="15">
        <f t="shared" si="0"/>
        <v>5.5</v>
      </c>
      <c r="P65" s="15">
        <f t="shared" si="1"/>
        <v>33</v>
      </c>
      <c r="R65" s="8"/>
      <c r="T65"/>
    </row>
    <row r="66" spans="2:20" ht="23.1" customHeight="1" x14ac:dyDescent="0.25">
      <c r="B66" s="23" t="s">
        <v>103</v>
      </c>
      <c r="C66" s="49">
        <f>AVERAGE('24.08 Iganga-Kaliro-24h'!C66,'26.08 Iganga-Kaliro-24h'!C66)</f>
        <v>3</v>
      </c>
      <c r="D66" s="49">
        <f>AVERAGE('24.08 Iganga-Kaliro-24h'!D66,'26.08 Iganga-Kaliro-24h'!D66)</f>
        <v>0.5</v>
      </c>
      <c r="E66" s="49">
        <f>AVERAGE('24.08 Iganga-Kaliro-24h'!E66,'26.08 Iganga-Kaliro-24h'!E66)</f>
        <v>1.5</v>
      </c>
      <c r="F66" s="49">
        <f>AVERAGE('24.08 Iganga-Kaliro-24h'!F66,'26.08 Iganga-Kaliro-24h'!F66)</f>
        <v>2.5</v>
      </c>
      <c r="G66" s="49">
        <f>AVERAGE('24.08 Iganga-Kaliro-24h'!G66,'26.08 Iganga-Kaliro-24h'!G66)</f>
        <v>0</v>
      </c>
      <c r="H66" s="49">
        <f>AVERAGE('24.08 Iganga-Kaliro-24h'!H66,'26.08 Iganga-Kaliro-24h'!H66)</f>
        <v>0</v>
      </c>
      <c r="I66" s="49">
        <f>AVERAGE('24.08 Iganga-Kaliro-24h'!I66,'26.08 Iganga-Kaliro-24h'!I66)</f>
        <v>0</v>
      </c>
      <c r="J66" s="49">
        <f>AVERAGE('24.08 Iganga-Kaliro-24h'!J66,'26.08 Iganga-Kaliro-24h'!J66)</f>
        <v>0</v>
      </c>
      <c r="K66" s="49">
        <f>AVERAGE('24.08 Iganga-Kaliro-24h'!K66,'26.08 Iganga-Kaliro-24h'!K66)</f>
        <v>0</v>
      </c>
      <c r="L66" s="49">
        <f>AVERAGE('24.08 Iganga-Kaliro-24h'!L66,'26.08 Iganga-Kaliro-24h'!L66)</f>
        <v>0</v>
      </c>
      <c r="M66" s="49">
        <f>AVERAGE('24.08 Iganga-Kaliro-24h'!M66,'26.08 Iganga-Kaliro-24h'!M66)</f>
        <v>52.5</v>
      </c>
      <c r="N66" s="49">
        <f>AVERAGE('24.08 Iganga-Kaliro-24h'!N66,'26.08 Iganga-Kaliro-24h'!N66)</f>
        <v>0</v>
      </c>
      <c r="O66" s="15">
        <f t="shared" si="0"/>
        <v>7.5</v>
      </c>
      <c r="P66" s="15">
        <f t="shared" si="1"/>
        <v>60</v>
      </c>
      <c r="R66" s="8"/>
      <c r="T66"/>
    </row>
    <row r="67" spans="2:20" ht="23.1" customHeight="1" x14ac:dyDescent="0.25">
      <c r="B67" s="23" t="s">
        <v>104</v>
      </c>
      <c r="C67" s="49">
        <f>AVERAGE('24.08 Iganga-Kaliro-24h'!C67,'26.08 Iganga-Kaliro-24h'!C67)</f>
        <v>2.5</v>
      </c>
      <c r="D67" s="49">
        <f>AVERAGE('24.08 Iganga-Kaliro-24h'!D67,'26.08 Iganga-Kaliro-24h'!D67)</f>
        <v>0.5</v>
      </c>
      <c r="E67" s="49">
        <f>AVERAGE('24.08 Iganga-Kaliro-24h'!E67,'26.08 Iganga-Kaliro-24h'!E67)</f>
        <v>0</v>
      </c>
      <c r="F67" s="49">
        <f>AVERAGE('24.08 Iganga-Kaliro-24h'!F67,'26.08 Iganga-Kaliro-24h'!F67)</f>
        <v>2</v>
      </c>
      <c r="G67" s="49">
        <f>AVERAGE('24.08 Iganga-Kaliro-24h'!G67,'26.08 Iganga-Kaliro-24h'!G67)</f>
        <v>0</v>
      </c>
      <c r="H67" s="49">
        <f>AVERAGE('24.08 Iganga-Kaliro-24h'!H67,'26.08 Iganga-Kaliro-24h'!H67)</f>
        <v>0</v>
      </c>
      <c r="I67" s="49">
        <f>AVERAGE('24.08 Iganga-Kaliro-24h'!I67,'26.08 Iganga-Kaliro-24h'!I67)</f>
        <v>0</v>
      </c>
      <c r="J67" s="49">
        <f>AVERAGE('24.08 Iganga-Kaliro-24h'!J67,'26.08 Iganga-Kaliro-24h'!J67)</f>
        <v>0.5</v>
      </c>
      <c r="K67" s="49">
        <f>AVERAGE('24.08 Iganga-Kaliro-24h'!K67,'26.08 Iganga-Kaliro-24h'!K67)</f>
        <v>0</v>
      </c>
      <c r="L67" s="49">
        <f>AVERAGE('24.08 Iganga-Kaliro-24h'!L67,'26.08 Iganga-Kaliro-24h'!L67)</f>
        <v>0</v>
      </c>
      <c r="M67" s="49">
        <f>AVERAGE('24.08 Iganga-Kaliro-24h'!M67,'26.08 Iganga-Kaliro-24h'!M67)</f>
        <v>50</v>
      </c>
      <c r="N67" s="49">
        <f>AVERAGE('24.08 Iganga-Kaliro-24h'!N67,'26.08 Iganga-Kaliro-24h'!N67)</f>
        <v>0</v>
      </c>
      <c r="O67" s="15">
        <f t="shared" si="0"/>
        <v>5.5</v>
      </c>
      <c r="P67" s="15">
        <f t="shared" si="1"/>
        <v>55.5</v>
      </c>
      <c r="R67" s="8"/>
      <c r="T67"/>
    </row>
    <row r="68" spans="2:20" ht="23.1" customHeight="1" x14ac:dyDescent="0.25">
      <c r="B68" s="23" t="s">
        <v>105</v>
      </c>
      <c r="C68" s="49">
        <f>AVERAGE('24.08 Iganga-Kaliro-24h'!C68,'26.08 Iganga-Kaliro-24h'!C68)</f>
        <v>2.5</v>
      </c>
      <c r="D68" s="49">
        <f>AVERAGE('24.08 Iganga-Kaliro-24h'!D68,'26.08 Iganga-Kaliro-24h'!D68)</f>
        <v>2.5</v>
      </c>
      <c r="E68" s="49">
        <f>AVERAGE('24.08 Iganga-Kaliro-24h'!E68,'26.08 Iganga-Kaliro-24h'!E68)</f>
        <v>1</v>
      </c>
      <c r="F68" s="49">
        <f>AVERAGE('24.08 Iganga-Kaliro-24h'!F68,'26.08 Iganga-Kaliro-24h'!F68)</f>
        <v>1</v>
      </c>
      <c r="G68" s="49">
        <f>AVERAGE('24.08 Iganga-Kaliro-24h'!G68,'26.08 Iganga-Kaliro-24h'!G68)</f>
        <v>0</v>
      </c>
      <c r="H68" s="49">
        <f>AVERAGE('24.08 Iganga-Kaliro-24h'!H68,'26.08 Iganga-Kaliro-24h'!H68)</f>
        <v>0</v>
      </c>
      <c r="I68" s="49">
        <f>AVERAGE('24.08 Iganga-Kaliro-24h'!I68,'26.08 Iganga-Kaliro-24h'!I68)</f>
        <v>0.5</v>
      </c>
      <c r="J68" s="49">
        <f>AVERAGE('24.08 Iganga-Kaliro-24h'!J68,'26.08 Iganga-Kaliro-24h'!J68)</f>
        <v>0</v>
      </c>
      <c r="K68" s="49">
        <f>AVERAGE('24.08 Iganga-Kaliro-24h'!K68,'26.08 Iganga-Kaliro-24h'!K68)</f>
        <v>0</v>
      </c>
      <c r="L68" s="49">
        <f>AVERAGE('24.08 Iganga-Kaliro-24h'!L68,'26.08 Iganga-Kaliro-24h'!L68)</f>
        <v>0</v>
      </c>
      <c r="M68" s="49">
        <f>AVERAGE('24.08 Iganga-Kaliro-24h'!M68,'26.08 Iganga-Kaliro-24h'!M68)</f>
        <v>49</v>
      </c>
      <c r="N68" s="49">
        <f>AVERAGE('24.08 Iganga-Kaliro-24h'!N68,'26.08 Iganga-Kaliro-24h'!N68)</f>
        <v>0</v>
      </c>
      <c r="O68" s="15">
        <f t="shared" si="0"/>
        <v>7.5</v>
      </c>
      <c r="P68" s="15">
        <f t="shared" si="1"/>
        <v>56.5</v>
      </c>
      <c r="R68" s="8"/>
      <c r="T68"/>
    </row>
    <row r="69" spans="2:20" ht="23.1" customHeight="1" x14ac:dyDescent="0.25">
      <c r="B69" s="23" t="s">
        <v>106</v>
      </c>
      <c r="C69" s="49">
        <f>AVERAGE('24.08 Iganga-Kaliro-24h'!C69,'26.08 Iganga-Kaliro-24h'!C69)</f>
        <v>1.5</v>
      </c>
      <c r="D69" s="49">
        <f>AVERAGE('24.08 Iganga-Kaliro-24h'!D69,'26.08 Iganga-Kaliro-24h'!D69)</f>
        <v>1</v>
      </c>
      <c r="E69" s="49">
        <f>AVERAGE('24.08 Iganga-Kaliro-24h'!E69,'26.08 Iganga-Kaliro-24h'!E69)</f>
        <v>2</v>
      </c>
      <c r="F69" s="49">
        <f>AVERAGE('24.08 Iganga-Kaliro-24h'!F69,'26.08 Iganga-Kaliro-24h'!F69)</f>
        <v>1.5</v>
      </c>
      <c r="G69" s="49">
        <f>AVERAGE('24.08 Iganga-Kaliro-24h'!G69,'26.08 Iganga-Kaliro-24h'!G69)</f>
        <v>0</v>
      </c>
      <c r="H69" s="49">
        <f>AVERAGE('24.08 Iganga-Kaliro-24h'!H69,'26.08 Iganga-Kaliro-24h'!H69)</f>
        <v>0</v>
      </c>
      <c r="I69" s="49">
        <f>AVERAGE('24.08 Iganga-Kaliro-24h'!I69,'26.08 Iganga-Kaliro-24h'!I69)</f>
        <v>0</v>
      </c>
      <c r="J69" s="49">
        <f>AVERAGE('24.08 Iganga-Kaliro-24h'!J69,'26.08 Iganga-Kaliro-24h'!J69)</f>
        <v>0.5</v>
      </c>
      <c r="K69" s="49">
        <f>AVERAGE('24.08 Iganga-Kaliro-24h'!K69,'26.08 Iganga-Kaliro-24h'!K69)</f>
        <v>0</v>
      </c>
      <c r="L69" s="49">
        <f>AVERAGE('24.08 Iganga-Kaliro-24h'!L69,'26.08 Iganga-Kaliro-24h'!L69)</f>
        <v>0</v>
      </c>
      <c r="M69" s="49">
        <f>AVERAGE('24.08 Iganga-Kaliro-24h'!M69,'26.08 Iganga-Kaliro-24h'!M69)</f>
        <v>38</v>
      </c>
      <c r="N69" s="49">
        <f>AVERAGE('24.08 Iganga-Kaliro-24h'!N69,'26.08 Iganga-Kaliro-24h'!N69)</f>
        <v>0</v>
      </c>
      <c r="O69" s="15">
        <f t="shared" si="0"/>
        <v>6.5</v>
      </c>
      <c r="P69" s="15">
        <f t="shared" si="1"/>
        <v>44.5</v>
      </c>
      <c r="R69" s="8"/>
      <c r="T69"/>
    </row>
    <row r="70" spans="2:20" ht="23.1" customHeight="1" x14ac:dyDescent="0.25">
      <c r="B70" s="23" t="s">
        <v>110</v>
      </c>
      <c r="C70" s="49">
        <f>AVERAGE('24.08 Iganga-Kaliro-24h'!C70,'26.08 Iganga-Kaliro-24h'!C70)</f>
        <v>2</v>
      </c>
      <c r="D70" s="49">
        <f>AVERAGE('24.08 Iganga-Kaliro-24h'!D70,'26.08 Iganga-Kaliro-24h'!D70)</f>
        <v>1.5</v>
      </c>
      <c r="E70" s="49">
        <f>AVERAGE('24.08 Iganga-Kaliro-24h'!E70,'26.08 Iganga-Kaliro-24h'!E70)</f>
        <v>0.5</v>
      </c>
      <c r="F70" s="49">
        <f>AVERAGE('24.08 Iganga-Kaliro-24h'!F70,'26.08 Iganga-Kaliro-24h'!F70)</f>
        <v>0</v>
      </c>
      <c r="G70" s="49">
        <f>AVERAGE('24.08 Iganga-Kaliro-24h'!G70,'26.08 Iganga-Kaliro-24h'!G70)</f>
        <v>0</v>
      </c>
      <c r="H70" s="49">
        <f>AVERAGE('24.08 Iganga-Kaliro-24h'!H70,'26.08 Iganga-Kaliro-24h'!H70)</f>
        <v>0</v>
      </c>
      <c r="I70" s="49">
        <f>AVERAGE('24.08 Iganga-Kaliro-24h'!I70,'26.08 Iganga-Kaliro-24h'!I70)</f>
        <v>0</v>
      </c>
      <c r="J70" s="49">
        <f>AVERAGE('24.08 Iganga-Kaliro-24h'!J70,'26.08 Iganga-Kaliro-24h'!J70)</f>
        <v>0</v>
      </c>
      <c r="K70" s="49">
        <f>AVERAGE('24.08 Iganga-Kaliro-24h'!K70,'26.08 Iganga-Kaliro-24h'!K70)</f>
        <v>0</v>
      </c>
      <c r="L70" s="49">
        <f>AVERAGE('24.08 Iganga-Kaliro-24h'!L70,'26.08 Iganga-Kaliro-24h'!L70)</f>
        <v>0</v>
      </c>
      <c r="M70" s="49">
        <f>AVERAGE('24.08 Iganga-Kaliro-24h'!M70,'26.08 Iganga-Kaliro-24h'!M70)</f>
        <v>45</v>
      </c>
      <c r="N70" s="49">
        <f>AVERAGE('24.08 Iganga-Kaliro-24h'!N70,'26.08 Iganga-Kaliro-24h'!N70)</f>
        <v>0</v>
      </c>
      <c r="O70" s="15">
        <f t="shared" si="0"/>
        <v>4</v>
      </c>
      <c r="P70" s="15">
        <f t="shared" si="1"/>
        <v>49</v>
      </c>
      <c r="R70" s="8"/>
      <c r="T70"/>
    </row>
    <row r="71" spans="2:20" ht="23.1" customHeight="1" x14ac:dyDescent="0.25">
      <c r="B71" s="23" t="s">
        <v>111</v>
      </c>
      <c r="C71" s="49">
        <f>AVERAGE('24.08 Iganga-Kaliro-24h'!C71,'26.08 Iganga-Kaliro-24h'!C71)</f>
        <v>3</v>
      </c>
      <c r="D71" s="49">
        <f>AVERAGE('24.08 Iganga-Kaliro-24h'!D71,'26.08 Iganga-Kaliro-24h'!D71)</f>
        <v>1.5</v>
      </c>
      <c r="E71" s="49">
        <f>AVERAGE('24.08 Iganga-Kaliro-24h'!E71,'26.08 Iganga-Kaliro-24h'!E71)</f>
        <v>1</v>
      </c>
      <c r="F71" s="49">
        <f>AVERAGE('24.08 Iganga-Kaliro-24h'!F71,'26.08 Iganga-Kaliro-24h'!F71)</f>
        <v>3.5</v>
      </c>
      <c r="G71" s="49">
        <f>AVERAGE('24.08 Iganga-Kaliro-24h'!G71,'26.08 Iganga-Kaliro-24h'!G71)</f>
        <v>0</v>
      </c>
      <c r="H71" s="49">
        <f>AVERAGE('24.08 Iganga-Kaliro-24h'!H71,'26.08 Iganga-Kaliro-24h'!H71)</f>
        <v>0</v>
      </c>
      <c r="I71" s="49">
        <f>AVERAGE('24.08 Iganga-Kaliro-24h'!I71,'26.08 Iganga-Kaliro-24h'!I71)</f>
        <v>0</v>
      </c>
      <c r="J71" s="49">
        <f>AVERAGE('24.08 Iganga-Kaliro-24h'!J71,'26.08 Iganga-Kaliro-24h'!J71)</f>
        <v>0.5</v>
      </c>
      <c r="K71" s="49">
        <f>AVERAGE('24.08 Iganga-Kaliro-24h'!K71,'26.08 Iganga-Kaliro-24h'!K71)</f>
        <v>0</v>
      </c>
      <c r="L71" s="49">
        <f>AVERAGE('24.08 Iganga-Kaliro-24h'!L71,'26.08 Iganga-Kaliro-24h'!L71)</f>
        <v>0</v>
      </c>
      <c r="M71" s="49">
        <f>AVERAGE('24.08 Iganga-Kaliro-24h'!M71,'26.08 Iganga-Kaliro-24h'!M71)</f>
        <v>47.5</v>
      </c>
      <c r="N71" s="49">
        <f>AVERAGE('24.08 Iganga-Kaliro-24h'!N71,'26.08 Iganga-Kaliro-24h'!N71)</f>
        <v>0</v>
      </c>
      <c r="O71" s="15">
        <f t="shared" si="0"/>
        <v>9.5</v>
      </c>
      <c r="P71" s="15">
        <f t="shared" si="1"/>
        <v>57</v>
      </c>
      <c r="R71" s="8"/>
      <c r="T71"/>
    </row>
    <row r="72" spans="2:20" ht="23.1" customHeight="1" x14ac:dyDescent="0.25">
      <c r="B72" s="23" t="s">
        <v>112</v>
      </c>
      <c r="C72" s="49">
        <f>AVERAGE('24.08 Iganga-Kaliro-24h'!C72,'26.08 Iganga-Kaliro-24h'!C72)</f>
        <v>1.5</v>
      </c>
      <c r="D72" s="49">
        <f>AVERAGE('24.08 Iganga-Kaliro-24h'!D72,'26.08 Iganga-Kaliro-24h'!D72)</f>
        <v>1</v>
      </c>
      <c r="E72" s="49">
        <f>AVERAGE('24.08 Iganga-Kaliro-24h'!E72,'26.08 Iganga-Kaliro-24h'!E72)</f>
        <v>0.5</v>
      </c>
      <c r="F72" s="49">
        <f>AVERAGE('24.08 Iganga-Kaliro-24h'!F72,'26.08 Iganga-Kaliro-24h'!F72)</f>
        <v>1.5</v>
      </c>
      <c r="G72" s="49">
        <f>AVERAGE('24.08 Iganga-Kaliro-24h'!G72,'26.08 Iganga-Kaliro-24h'!G72)</f>
        <v>0</v>
      </c>
      <c r="H72" s="49">
        <f>AVERAGE('24.08 Iganga-Kaliro-24h'!H72,'26.08 Iganga-Kaliro-24h'!H72)</f>
        <v>0</v>
      </c>
      <c r="I72" s="49">
        <f>AVERAGE('24.08 Iganga-Kaliro-24h'!I72,'26.08 Iganga-Kaliro-24h'!I72)</f>
        <v>0.5</v>
      </c>
      <c r="J72" s="49">
        <f>AVERAGE('24.08 Iganga-Kaliro-24h'!J72,'26.08 Iganga-Kaliro-24h'!J72)</f>
        <v>0</v>
      </c>
      <c r="K72" s="49">
        <f>AVERAGE('24.08 Iganga-Kaliro-24h'!K72,'26.08 Iganga-Kaliro-24h'!K72)</f>
        <v>0</v>
      </c>
      <c r="L72" s="49">
        <f>AVERAGE('24.08 Iganga-Kaliro-24h'!L72,'26.08 Iganga-Kaliro-24h'!L72)</f>
        <v>0</v>
      </c>
      <c r="M72" s="49">
        <f>AVERAGE('24.08 Iganga-Kaliro-24h'!M72,'26.08 Iganga-Kaliro-24h'!M72)</f>
        <v>45</v>
      </c>
      <c r="N72" s="49">
        <f>AVERAGE('24.08 Iganga-Kaliro-24h'!N72,'26.08 Iganga-Kaliro-24h'!N72)</f>
        <v>0</v>
      </c>
      <c r="O72" s="15">
        <f t="shared" si="0"/>
        <v>5</v>
      </c>
      <c r="P72" s="15">
        <f t="shared" si="1"/>
        <v>50</v>
      </c>
      <c r="R72" s="8"/>
      <c r="T72"/>
    </row>
    <row r="73" spans="2:20" ht="23.1" customHeight="1" x14ac:dyDescent="0.25">
      <c r="B73" s="23" t="s">
        <v>113</v>
      </c>
      <c r="C73" s="49">
        <f>AVERAGE('24.08 Iganga-Kaliro-24h'!C73,'26.08 Iganga-Kaliro-24h'!C73)</f>
        <v>1.5</v>
      </c>
      <c r="D73" s="49">
        <f>AVERAGE('24.08 Iganga-Kaliro-24h'!D73,'26.08 Iganga-Kaliro-24h'!D73)</f>
        <v>2</v>
      </c>
      <c r="E73" s="49">
        <f>AVERAGE('24.08 Iganga-Kaliro-24h'!E73,'26.08 Iganga-Kaliro-24h'!E73)</f>
        <v>0.5</v>
      </c>
      <c r="F73" s="49">
        <f>AVERAGE('24.08 Iganga-Kaliro-24h'!F73,'26.08 Iganga-Kaliro-24h'!F73)</f>
        <v>2.5</v>
      </c>
      <c r="G73" s="49">
        <f>AVERAGE('24.08 Iganga-Kaliro-24h'!G73,'26.08 Iganga-Kaliro-24h'!G73)</f>
        <v>0</v>
      </c>
      <c r="H73" s="49">
        <f>AVERAGE('24.08 Iganga-Kaliro-24h'!H73,'26.08 Iganga-Kaliro-24h'!H73)</f>
        <v>0</v>
      </c>
      <c r="I73" s="49">
        <f>AVERAGE('24.08 Iganga-Kaliro-24h'!I73,'26.08 Iganga-Kaliro-24h'!I73)</f>
        <v>0</v>
      </c>
      <c r="J73" s="49">
        <f>AVERAGE('24.08 Iganga-Kaliro-24h'!J73,'26.08 Iganga-Kaliro-24h'!J73)</f>
        <v>0.5</v>
      </c>
      <c r="K73" s="49">
        <f>AVERAGE('24.08 Iganga-Kaliro-24h'!K73,'26.08 Iganga-Kaliro-24h'!K73)</f>
        <v>0</v>
      </c>
      <c r="L73" s="49">
        <f>AVERAGE('24.08 Iganga-Kaliro-24h'!L73,'26.08 Iganga-Kaliro-24h'!L73)</f>
        <v>0</v>
      </c>
      <c r="M73" s="49">
        <f>AVERAGE('24.08 Iganga-Kaliro-24h'!M73,'26.08 Iganga-Kaliro-24h'!M73)</f>
        <v>41.5</v>
      </c>
      <c r="N73" s="49">
        <f>AVERAGE('24.08 Iganga-Kaliro-24h'!N73,'26.08 Iganga-Kaliro-24h'!N73)</f>
        <v>0</v>
      </c>
      <c r="O73" s="15">
        <f t="shared" si="0"/>
        <v>7</v>
      </c>
      <c r="P73" s="15">
        <f t="shared" si="1"/>
        <v>48.5</v>
      </c>
      <c r="R73" s="8"/>
      <c r="T73"/>
    </row>
    <row r="74" spans="2:20" ht="23.1" customHeight="1" x14ac:dyDescent="0.25">
      <c r="B74" s="23" t="s">
        <v>114</v>
      </c>
      <c r="C74" s="49">
        <f>AVERAGE('24.08 Iganga-Kaliro-24h'!C74,'26.08 Iganga-Kaliro-24h'!C74)</f>
        <v>2.5</v>
      </c>
      <c r="D74" s="49">
        <f>AVERAGE('24.08 Iganga-Kaliro-24h'!D74,'26.08 Iganga-Kaliro-24h'!D74)</f>
        <v>1</v>
      </c>
      <c r="E74" s="49">
        <f>AVERAGE('24.08 Iganga-Kaliro-24h'!E74,'26.08 Iganga-Kaliro-24h'!E74)</f>
        <v>0.5</v>
      </c>
      <c r="F74" s="49">
        <f>AVERAGE('24.08 Iganga-Kaliro-24h'!F74,'26.08 Iganga-Kaliro-24h'!F74)</f>
        <v>0</v>
      </c>
      <c r="G74" s="49">
        <f>AVERAGE('24.08 Iganga-Kaliro-24h'!G74,'26.08 Iganga-Kaliro-24h'!G74)</f>
        <v>0</v>
      </c>
      <c r="H74" s="49">
        <f>AVERAGE('24.08 Iganga-Kaliro-24h'!H74,'26.08 Iganga-Kaliro-24h'!H74)</f>
        <v>0</v>
      </c>
      <c r="I74" s="49">
        <f>AVERAGE('24.08 Iganga-Kaliro-24h'!I74,'26.08 Iganga-Kaliro-24h'!I74)</f>
        <v>1</v>
      </c>
      <c r="J74" s="49">
        <f>AVERAGE('24.08 Iganga-Kaliro-24h'!J74,'26.08 Iganga-Kaliro-24h'!J74)</f>
        <v>0</v>
      </c>
      <c r="K74" s="49">
        <f>AVERAGE('24.08 Iganga-Kaliro-24h'!K74,'26.08 Iganga-Kaliro-24h'!K74)</f>
        <v>0</v>
      </c>
      <c r="L74" s="49">
        <f>AVERAGE('24.08 Iganga-Kaliro-24h'!L74,'26.08 Iganga-Kaliro-24h'!L74)</f>
        <v>0</v>
      </c>
      <c r="M74" s="49">
        <f>AVERAGE('24.08 Iganga-Kaliro-24h'!M74,'26.08 Iganga-Kaliro-24h'!M74)</f>
        <v>32.5</v>
      </c>
      <c r="N74" s="49">
        <f>AVERAGE('24.08 Iganga-Kaliro-24h'!N74,'26.08 Iganga-Kaliro-24h'!N74)</f>
        <v>0</v>
      </c>
      <c r="O74" s="15">
        <f t="shared" ref="O74:O105" si="35">SUM(C74:L74,N74)</f>
        <v>5</v>
      </c>
      <c r="P74" s="15">
        <f t="shared" ref="P74:P105" si="36">SUM(C74:N74)</f>
        <v>37.5</v>
      </c>
      <c r="R74" s="8"/>
      <c r="T74"/>
    </row>
    <row r="75" spans="2:20" ht="23.1" customHeight="1" x14ac:dyDescent="0.25">
      <c r="B75" s="23" t="s">
        <v>115</v>
      </c>
      <c r="C75" s="49">
        <f>AVERAGE('24.08 Iganga-Kaliro-24h'!C75,'26.08 Iganga-Kaliro-24h'!C75)</f>
        <v>1.5</v>
      </c>
      <c r="D75" s="49">
        <f>AVERAGE('24.08 Iganga-Kaliro-24h'!D75,'26.08 Iganga-Kaliro-24h'!D75)</f>
        <v>1</v>
      </c>
      <c r="E75" s="49">
        <f>AVERAGE('24.08 Iganga-Kaliro-24h'!E75,'26.08 Iganga-Kaliro-24h'!E75)</f>
        <v>1</v>
      </c>
      <c r="F75" s="49">
        <f>AVERAGE('24.08 Iganga-Kaliro-24h'!F75,'26.08 Iganga-Kaliro-24h'!F75)</f>
        <v>1.5</v>
      </c>
      <c r="G75" s="49">
        <f>AVERAGE('24.08 Iganga-Kaliro-24h'!G75,'26.08 Iganga-Kaliro-24h'!G75)</f>
        <v>0</v>
      </c>
      <c r="H75" s="49">
        <f>AVERAGE('24.08 Iganga-Kaliro-24h'!H75,'26.08 Iganga-Kaliro-24h'!H75)</f>
        <v>0</v>
      </c>
      <c r="I75" s="49">
        <f>AVERAGE('24.08 Iganga-Kaliro-24h'!I75,'26.08 Iganga-Kaliro-24h'!I75)</f>
        <v>0.5</v>
      </c>
      <c r="J75" s="49">
        <f>AVERAGE('24.08 Iganga-Kaliro-24h'!J75,'26.08 Iganga-Kaliro-24h'!J75)</f>
        <v>0.5</v>
      </c>
      <c r="K75" s="49">
        <f>AVERAGE('24.08 Iganga-Kaliro-24h'!K75,'26.08 Iganga-Kaliro-24h'!K75)</f>
        <v>0</v>
      </c>
      <c r="L75" s="49">
        <f>AVERAGE('24.08 Iganga-Kaliro-24h'!L75,'26.08 Iganga-Kaliro-24h'!L75)</f>
        <v>0</v>
      </c>
      <c r="M75" s="49">
        <f>AVERAGE('24.08 Iganga-Kaliro-24h'!M75,'26.08 Iganga-Kaliro-24h'!M75)</f>
        <v>36</v>
      </c>
      <c r="N75" s="49">
        <f>AVERAGE('24.08 Iganga-Kaliro-24h'!N75,'26.08 Iganga-Kaliro-24h'!N75)</f>
        <v>0</v>
      </c>
      <c r="O75" s="15">
        <f t="shared" si="35"/>
        <v>6</v>
      </c>
      <c r="P75" s="15">
        <f t="shared" si="36"/>
        <v>42</v>
      </c>
      <c r="R75" s="8"/>
      <c r="T75"/>
    </row>
    <row r="76" spans="2:20" ht="23.1" customHeight="1" x14ac:dyDescent="0.25">
      <c r="B76" s="23" t="s">
        <v>116</v>
      </c>
      <c r="C76" s="49">
        <f>AVERAGE('24.08 Iganga-Kaliro-24h'!C76,'26.08 Iganga-Kaliro-24h'!C76)</f>
        <v>3.5</v>
      </c>
      <c r="D76" s="49">
        <f>AVERAGE('24.08 Iganga-Kaliro-24h'!D76,'26.08 Iganga-Kaliro-24h'!D76)</f>
        <v>1</v>
      </c>
      <c r="E76" s="49">
        <f>AVERAGE('24.08 Iganga-Kaliro-24h'!E76,'26.08 Iganga-Kaliro-24h'!E76)</f>
        <v>1</v>
      </c>
      <c r="F76" s="49">
        <f>AVERAGE('24.08 Iganga-Kaliro-24h'!F76,'26.08 Iganga-Kaliro-24h'!F76)</f>
        <v>2</v>
      </c>
      <c r="G76" s="49">
        <f>AVERAGE('24.08 Iganga-Kaliro-24h'!G76,'26.08 Iganga-Kaliro-24h'!G76)</f>
        <v>0</v>
      </c>
      <c r="H76" s="49">
        <f>AVERAGE('24.08 Iganga-Kaliro-24h'!H76,'26.08 Iganga-Kaliro-24h'!H76)</f>
        <v>0</v>
      </c>
      <c r="I76" s="49">
        <f>AVERAGE('24.08 Iganga-Kaliro-24h'!I76,'26.08 Iganga-Kaliro-24h'!I76)</f>
        <v>0.5</v>
      </c>
      <c r="J76" s="49">
        <f>AVERAGE('24.08 Iganga-Kaliro-24h'!J76,'26.08 Iganga-Kaliro-24h'!J76)</f>
        <v>0.5</v>
      </c>
      <c r="K76" s="49">
        <f>AVERAGE('24.08 Iganga-Kaliro-24h'!K76,'26.08 Iganga-Kaliro-24h'!K76)</f>
        <v>0</v>
      </c>
      <c r="L76" s="49">
        <f>AVERAGE('24.08 Iganga-Kaliro-24h'!L76,'26.08 Iganga-Kaliro-24h'!L76)</f>
        <v>0</v>
      </c>
      <c r="M76" s="49">
        <f>AVERAGE('24.08 Iganga-Kaliro-24h'!M76,'26.08 Iganga-Kaliro-24h'!M76)</f>
        <v>28</v>
      </c>
      <c r="N76" s="49">
        <f>AVERAGE('24.08 Iganga-Kaliro-24h'!N76,'26.08 Iganga-Kaliro-24h'!N76)</f>
        <v>0</v>
      </c>
      <c r="O76" s="15">
        <f t="shared" si="35"/>
        <v>8.5</v>
      </c>
      <c r="P76" s="15">
        <f t="shared" si="36"/>
        <v>36.5</v>
      </c>
      <c r="R76" s="8"/>
      <c r="T76"/>
    </row>
    <row r="77" spans="2:20" ht="23.1" customHeight="1" x14ac:dyDescent="0.25">
      <c r="B77" s="23" t="s">
        <v>117</v>
      </c>
      <c r="C77" s="49">
        <f>AVERAGE('24.08 Iganga-Kaliro-24h'!C77,'26.08 Iganga-Kaliro-24h'!C77)</f>
        <v>2</v>
      </c>
      <c r="D77" s="49">
        <f>AVERAGE('24.08 Iganga-Kaliro-24h'!D77,'26.08 Iganga-Kaliro-24h'!D77)</f>
        <v>1.5</v>
      </c>
      <c r="E77" s="49">
        <f>AVERAGE('24.08 Iganga-Kaliro-24h'!E77,'26.08 Iganga-Kaliro-24h'!E77)</f>
        <v>0.5</v>
      </c>
      <c r="F77" s="49">
        <f>AVERAGE('24.08 Iganga-Kaliro-24h'!F77,'26.08 Iganga-Kaliro-24h'!F77)</f>
        <v>1</v>
      </c>
      <c r="G77" s="49">
        <f>AVERAGE('24.08 Iganga-Kaliro-24h'!G77,'26.08 Iganga-Kaliro-24h'!G77)</f>
        <v>0</v>
      </c>
      <c r="H77" s="49">
        <f>AVERAGE('24.08 Iganga-Kaliro-24h'!H77,'26.08 Iganga-Kaliro-24h'!H77)</f>
        <v>0</v>
      </c>
      <c r="I77" s="49">
        <f>AVERAGE('24.08 Iganga-Kaliro-24h'!I77,'26.08 Iganga-Kaliro-24h'!I77)</f>
        <v>0</v>
      </c>
      <c r="J77" s="49">
        <f>AVERAGE('24.08 Iganga-Kaliro-24h'!J77,'26.08 Iganga-Kaliro-24h'!J77)</f>
        <v>0</v>
      </c>
      <c r="K77" s="49">
        <f>AVERAGE('24.08 Iganga-Kaliro-24h'!K77,'26.08 Iganga-Kaliro-24h'!K77)</f>
        <v>0</v>
      </c>
      <c r="L77" s="49">
        <f>AVERAGE('24.08 Iganga-Kaliro-24h'!L77,'26.08 Iganga-Kaliro-24h'!L77)</f>
        <v>0</v>
      </c>
      <c r="M77" s="49">
        <f>AVERAGE('24.08 Iganga-Kaliro-24h'!M77,'26.08 Iganga-Kaliro-24h'!M77)</f>
        <v>30</v>
      </c>
      <c r="N77" s="49">
        <f>AVERAGE('24.08 Iganga-Kaliro-24h'!N77,'26.08 Iganga-Kaliro-24h'!N77)</f>
        <v>0</v>
      </c>
      <c r="O77" s="15">
        <f t="shared" si="35"/>
        <v>5</v>
      </c>
      <c r="P77" s="15">
        <f t="shared" si="36"/>
        <v>35</v>
      </c>
      <c r="R77" s="8"/>
      <c r="T77"/>
    </row>
    <row r="78" spans="2:20" ht="23.1" customHeight="1" x14ac:dyDescent="0.25">
      <c r="B78" s="24" t="s">
        <v>118</v>
      </c>
      <c r="C78" s="49">
        <f>AVERAGE('24.08 Iganga-Kaliro-24h'!C78,'26.08 Iganga-Kaliro-24h'!C78)</f>
        <v>2.5</v>
      </c>
      <c r="D78" s="49">
        <f>AVERAGE('24.08 Iganga-Kaliro-24h'!D78,'26.08 Iganga-Kaliro-24h'!D78)</f>
        <v>1</v>
      </c>
      <c r="E78" s="49">
        <f>AVERAGE('24.08 Iganga-Kaliro-24h'!E78,'26.08 Iganga-Kaliro-24h'!E78)</f>
        <v>0</v>
      </c>
      <c r="F78" s="49">
        <f>AVERAGE('24.08 Iganga-Kaliro-24h'!F78,'26.08 Iganga-Kaliro-24h'!F78)</f>
        <v>0.5</v>
      </c>
      <c r="G78" s="49">
        <f>AVERAGE('24.08 Iganga-Kaliro-24h'!G78,'26.08 Iganga-Kaliro-24h'!G78)</f>
        <v>0</v>
      </c>
      <c r="H78" s="49">
        <f>AVERAGE('24.08 Iganga-Kaliro-24h'!H78,'26.08 Iganga-Kaliro-24h'!H78)</f>
        <v>0</v>
      </c>
      <c r="I78" s="49">
        <f>AVERAGE('24.08 Iganga-Kaliro-24h'!I78,'26.08 Iganga-Kaliro-24h'!I78)</f>
        <v>0.5</v>
      </c>
      <c r="J78" s="49">
        <f>AVERAGE('24.08 Iganga-Kaliro-24h'!J78,'26.08 Iganga-Kaliro-24h'!J78)</f>
        <v>0</v>
      </c>
      <c r="K78" s="49">
        <f>AVERAGE('24.08 Iganga-Kaliro-24h'!K78,'26.08 Iganga-Kaliro-24h'!K78)</f>
        <v>0</v>
      </c>
      <c r="L78" s="49">
        <f>AVERAGE('24.08 Iganga-Kaliro-24h'!L78,'26.08 Iganga-Kaliro-24h'!L78)</f>
        <v>0</v>
      </c>
      <c r="M78" s="49">
        <f>AVERAGE('24.08 Iganga-Kaliro-24h'!M78,'26.08 Iganga-Kaliro-24h'!M78)</f>
        <v>27.5</v>
      </c>
      <c r="N78" s="49">
        <f>AVERAGE('24.08 Iganga-Kaliro-24h'!N78,'26.08 Iganga-Kaliro-24h'!N78)</f>
        <v>0</v>
      </c>
      <c r="O78" s="15">
        <f t="shared" si="35"/>
        <v>4.5</v>
      </c>
      <c r="P78" s="15">
        <f t="shared" si="36"/>
        <v>32</v>
      </c>
      <c r="R78" s="8"/>
      <c r="T78"/>
    </row>
    <row r="79" spans="2:20" ht="23.1" customHeight="1" x14ac:dyDescent="0.25">
      <c r="B79" s="23" t="s">
        <v>119</v>
      </c>
      <c r="C79" s="49">
        <f>AVERAGE('24.08 Iganga-Kaliro-24h'!C79,'26.08 Iganga-Kaliro-24h'!C79)</f>
        <v>1.5</v>
      </c>
      <c r="D79" s="49">
        <f>AVERAGE('24.08 Iganga-Kaliro-24h'!D79,'26.08 Iganga-Kaliro-24h'!D79)</f>
        <v>1.5</v>
      </c>
      <c r="E79" s="49">
        <f>AVERAGE('24.08 Iganga-Kaliro-24h'!E79,'26.08 Iganga-Kaliro-24h'!E79)</f>
        <v>1</v>
      </c>
      <c r="F79" s="49">
        <f>AVERAGE('24.08 Iganga-Kaliro-24h'!F79,'26.08 Iganga-Kaliro-24h'!F79)</f>
        <v>0</v>
      </c>
      <c r="G79" s="49">
        <f>AVERAGE('24.08 Iganga-Kaliro-24h'!G79,'26.08 Iganga-Kaliro-24h'!G79)</f>
        <v>0</v>
      </c>
      <c r="H79" s="49">
        <f>AVERAGE('24.08 Iganga-Kaliro-24h'!H79,'26.08 Iganga-Kaliro-24h'!H79)</f>
        <v>0</v>
      </c>
      <c r="I79" s="49">
        <f>AVERAGE('24.08 Iganga-Kaliro-24h'!I79,'26.08 Iganga-Kaliro-24h'!I79)</f>
        <v>0</v>
      </c>
      <c r="J79" s="49">
        <f>AVERAGE('24.08 Iganga-Kaliro-24h'!J79,'26.08 Iganga-Kaliro-24h'!J79)</f>
        <v>0.5</v>
      </c>
      <c r="K79" s="49">
        <f>AVERAGE('24.08 Iganga-Kaliro-24h'!K79,'26.08 Iganga-Kaliro-24h'!K79)</f>
        <v>0</v>
      </c>
      <c r="L79" s="49">
        <f>AVERAGE('24.08 Iganga-Kaliro-24h'!L79,'26.08 Iganga-Kaliro-24h'!L79)</f>
        <v>0</v>
      </c>
      <c r="M79" s="49">
        <f>AVERAGE('24.08 Iganga-Kaliro-24h'!M79,'26.08 Iganga-Kaliro-24h'!M79)</f>
        <v>24</v>
      </c>
      <c r="N79" s="49">
        <f>AVERAGE('24.08 Iganga-Kaliro-24h'!N79,'26.08 Iganga-Kaliro-24h'!N79)</f>
        <v>0</v>
      </c>
      <c r="O79" s="15">
        <f t="shared" si="35"/>
        <v>4.5</v>
      </c>
      <c r="P79" s="15">
        <f t="shared" si="36"/>
        <v>28.5</v>
      </c>
      <c r="R79" s="8"/>
      <c r="T79"/>
    </row>
    <row r="80" spans="2:20" ht="23.1" customHeight="1" x14ac:dyDescent="0.25">
      <c r="B80" s="25" t="s">
        <v>120</v>
      </c>
      <c r="C80" s="49">
        <f>AVERAGE('24.08 Iganga-Kaliro-24h'!C80,'26.08 Iganga-Kaliro-24h'!C80)</f>
        <v>1</v>
      </c>
      <c r="D80" s="49">
        <f>AVERAGE('24.08 Iganga-Kaliro-24h'!D80,'26.08 Iganga-Kaliro-24h'!D80)</f>
        <v>1</v>
      </c>
      <c r="E80" s="49">
        <f>AVERAGE('24.08 Iganga-Kaliro-24h'!E80,'26.08 Iganga-Kaliro-24h'!E80)</f>
        <v>1</v>
      </c>
      <c r="F80" s="49">
        <f>AVERAGE('24.08 Iganga-Kaliro-24h'!F80,'26.08 Iganga-Kaliro-24h'!F80)</f>
        <v>0.5</v>
      </c>
      <c r="G80" s="49">
        <f>AVERAGE('24.08 Iganga-Kaliro-24h'!G80,'26.08 Iganga-Kaliro-24h'!G80)</f>
        <v>0</v>
      </c>
      <c r="H80" s="49">
        <f>AVERAGE('24.08 Iganga-Kaliro-24h'!H80,'26.08 Iganga-Kaliro-24h'!H80)</f>
        <v>0</v>
      </c>
      <c r="I80" s="49">
        <f>AVERAGE('24.08 Iganga-Kaliro-24h'!I80,'26.08 Iganga-Kaliro-24h'!I80)</f>
        <v>0.5</v>
      </c>
      <c r="J80" s="49">
        <f>AVERAGE('24.08 Iganga-Kaliro-24h'!J80,'26.08 Iganga-Kaliro-24h'!J80)</f>
        <v>0</v>
      </c>
      <c r="K80" s="49">
        <f>AVERAGE('24.08 Iganga-Kaliro-24h'!K80,'26.08 Iganga-Kaliro-24h'!K80)</f>
        <v>0</v>
      </c>
      <c r="L80" s="49">
        <f>AVERAGE('24.08 Iganga-Kaliro-24h'!L80,'26.08 Iganga-Kaliro-24h'!L80)</f>
        <v>0</v>
      </c>
      <c r="M80" s="49">
        <f>AVERAGE('24.08 Iganga-Kaliro-24h'!M80,'26.08 Iganga-Kaliro-24h'!M80)</f>
        <v>26</v>
      </c>
      <c r="N80" s="49">
        <f>AVERAGE('24.08 Iganga-Kaliro-24h'!N80,'26.08 Iganga-Kaliro-24h'!N80)</f>
        <v>0</v>
      </c>
      <c r="O80" s="15">
        <f t="shared" si="35"/>
        <v>4</v>
      </c>
      <c r="P80" s="15">
        <f t="shared" si="36"/>
        <v>30</v>
      </c>
      <c r="R80" s="8"/>
      <c r="T80"/>
    </row>
    <row r="81" spans="2:20" ht="23.1" customHeight="1" x14ac:dyDescent="0.25">
      <c r="B81" s="23" t="s">
        <v>121</v>
      </c>
      <c r="C81" s="49">
        <f>AVERAGE('24.08 Iganga-Kaliro-24h'!C81,'26.08 Iganga-Kaliro-24h'!C81)</f>
        <v>0.5</v>
      </c>
      <c r="D81" s="49">
        <f>AVERAGE('24.08 Iganga-Kaliro-24h'!D81,'26.08 Iganga-Kaliro-24h'!D81)</f>
        <v>1.5</v>
      </c>
      <c r="E81" s="49">
        <f>AVERAGE('24.08 Iganga-Kaliro-24h'!E81,'26.08 Iganga-Kaliro-24h'!E81)</f>
        <v>0.5</v>
      </c>
      <c r="F81" s="49">
        <f>AVERAGE('24.08 Iganga-Kaliro-24h'!F81,'26.08 Iganga-Kaliro-24h'!F81)</f>
        <v>0</v>
      </c>
      <c r="G81" s="49">
        <f>AVERAGE('24.08 Iganga-Kaliro-24h'!G81,'26.08 Iganga-Kaliro-24h'!G81)</f>
        <v>0</v>
      </c>
      <c r="H81" s="49">
        <f>AVERAGE('24.08 Iganga-Kaliro-24h'!H81,'26.08 Iganga-Kaliro-24h'!H81)</f>
        <v>0</v>
      </c>
      <c r="I81" s="49">
        <f>AVERAGE('24.08 Iganga-Kaliro-24h'!I81,'26.08 Iganga-Kaliro-24h'!I81)</f>
        <v>0.5</v>
      </c>
      <c r="J81" s="49">
        <f>AVERAGE('24.08 Iganga-Kaliro-24h'!J81,'26.08 Iganga-Kaliro-24h'!J81)</f>
        <v>0</v>
      </c>
      <c r="K81" s="49">
        <f>AVERAGE('24.08 Iganga-Kaliro-24h'!K81,'26.08 Iganga-Kaliro-24h'!K81)</f>
        <v>0</v>
      </c>
      <c r="L81" s="49">
        <f>AVERAGE('24.08 Iganga-Kaliro-24h'!L81,'26.08 Iganga-Kaliro-24h'!L81)</f>
        <v>0</v>
      </c>
      <c r="M81" s="49">
        <f>AVERAGE('24.08 Iganga-Kaliro-24h'!M81,'26.08 Iganga-Kaliro-24h'!M81)</f>
        <v>25</v>
      </c>
      <c r="N81" s="49">
        <f>AVERAGE('24.08 Iganga-Kaliro-24h'!N81,'26.08 Iganga-Kaliro-24h'!N81)</f>
        <v>0</v>
      </c>
      <c r="O81" s="15">
        <f t="shared" si="35"/>
        <v>3</v>
      </c>
      <c r="P81" s="15">
        <f t="shared" si="36"/>
        <v>28</v>
      </c>
      <c r="R81" s="8"/>
      <c r="T81"/>
    </row>
    <row r="82" spans="2:20" ht="23.1" customHeight="1" x14ac:dyDescent="0.25">
      <c r="B82" s="24" t="s">
        <v>122</v>
      </c>
      <c r="C82" s="49">
        <f>AVERAGE('24.08 Iganga-Kaliro-24h'!C82,'26.08 Iganga-Kaliro-24h'!C82)</f>
        <v>1</v>
      </c>
      <c r="D82" s="49">
        <f>AVERAGE('24.08 Iganga-Kaliro-24h'!D82,'26.08 Iganga-Kaliro-24h'!D82)</f>
        <v>2</v>
      </c>
      <c r="E82" s="49">
        <f>AVERAGE('24.08 Iganga-Kaliro-24h'!E82,'26.08 Iganga-Kaliro-24h'!E82)</f>
        <v>0</v>
      </c>
      <c r="F82" s="49">
        <f>AVERAGE('24.08 Iganga-Kaliro-24h'!F82,'26.08 Iganga-Kaliro-24h'!F82)</f>
        <v>1</v>
      </c>
      <c r="G82" s="49">
        <f>AVERAGE('24.08 Iganga-Kaliro-24h'!G82,'26.08 Iganga-Kaliro-24h'!G82)</f>
        <v>0</v>
      </c>
      <c r="H82" s="49">
        <f>AVERAGE('24.08 Iganga-Kaliro-24h'!H82,'26.08 Iganga-Kaliro-24h'!H82)</f>
        <v>0</v>
      </c>
      <c r="I82" s="49">
        <f>AVERAGE('24.08 Iganga-Kaliro-24h'!I82,'26.08 Iganga-Kaliro-24h'!I82)</f>
        <v>0</v>
      </c>
      <c r="J82" s="49">
        <f>AVERAGE('24.08 Iganga-Kaliro-24h'!J82,'26.08 Iganga-Kaliro-24h'!J82)</f>
        <v>0</v>
      </c>
      <c r="K82" s="49">
        <f>AVERAGE('24.08 Iganga-Kaliro-24h'!K82,'26.08 Iganga-Kaliro-24h'!K82)</f>
        <v>0</v>
      </c>
      <c r="L82" s="49">
        <f>AVERAGE('24.08 Iganga-Kaliro-24h'!L82,'26.08 Iganga-Kaliro-24h'!L82)</f>
        <v>0</v>
      </c>
      <c r="M82" s="49">
        <f>AVERAGE('24.08 Iganga-Kaliro-24h'!M82,'26.08 Iganga-Kaliro-24h'!M82)</f>
        <v>12.5</v>
      </c>
      <c r="N82" s="49">
        <f>AVERAGE('24.08 Iganga-Kaliro-24h'!N82,'26.08 Iganga-Kaliro-24h'!N82)</f>
        <v>0</v>
      </c>
      <c r="O82" s="15">
        <f t="shared" si="35"/>
        <v>4</v>
      </c>
      <c r="P82" s="15">
        <f t="shared" si="36"/>
        <v>16.5</v>
      </c>
      <c r="R82" s="8"/>
      <c r="T82"/>
    </row>
    <row r="83" spans="2:20" ht="23.1" customHeight="1" x14ac:dyDescent="0.25">
      <c r="B83" s="23" t="s">
        <v>123</v>
      </c>
      <c r="C83" s="49">
        <f>AVERAGE('24.08 Iganga-Kaliro-24h'!C83,'26.08 Iganga-Kaliro-24h'!C83)</f>
        <v>1.5</v>
      </c>
      <c r="D83" s="49">
        <f>AVERAGE('24.08 Iganga-Kaliro-24h'!D83,'26.08 Iganga-Kaliro-24h'!D83)</f>
        <v>1</v>
      </c>
      <c r="E83" s="49">
        <f>AVERAGE('24.08 Iganga-Kaliro-24h'!E83,'26.08 Iganga-Kaliro-24h'!E83)</f>
        <v>0.5</v>
      </c>
      <c r="F83" s="49">
        <f>AVERAGE('24.08 Iganga-Kaliro-24h'!F83,'26.08 Iganga-Kaliro-24h'!F83)</f>
        <v>0</v>
      </c>
      <c r="G83" s="49">
        <f>AVERAGE('24.08 Iganga-Kaliro-24h'!G83,'26.08 Iganga-Kaliro-24h'!G83)</f>
        <v>0</v>
      </c>
      <c r="H83" s="49">
        <f>AVERAGE('24.08 Iganga-Kaliro-24h'!H83,'26.08 Iganga-Kaliro-24h'!H83)</f>
        <v>0</v>
      </c>
      <c r="I83" s="49">
        <f>AVERAGE('24.08 Iganga-Kaliro-24h'!I83,'26.08 Iganga-Kaliro-24h'!I83)</f>
        <v>0</v>
      </c>
      <c r="J83" s="49">
        <f>AVERAGE('24.08 Iganga-Kaliro-24h'!J83,'26.08 Iganga-Kaliro-24h'!J83)</f>
        <v>0</v>
      </c>
      <c r="K83" s="49">
        <f>AVERAGE('24.08 Iganga-Kaliro-24h'!K83,'26.08 Iganga-Kaliro-24h'!K83)</f>
        <v>0</v>
      </c>
      <c r="L83" s="49">
        <f>AVERAGE('24.08 Iganga-Kaliro-24h'!L83,'26.08 Iganga-Kaliro-24h'!L83)</f>
        <v>0</v>
      </c>
      <c r="M83" s="49">
        <f>AVERAGE('24.08 Iganga-Kaliro-24h'!M83,'26.08 Iganga-Kaliro-24h'!M83)</f>
        <v>12.5</v>
      </c>
      <c r="N83" s="49">
        <f>AVERAGE('24.08 Iganga-Kaliro-24h'!N83,'26.08 Iganga-Kaliro-24h'!N83)</f>
        <v>0</v>
      </c>
      <c r="O83" s="15">
        <f t="shared" si="35"/>
        <v>3</v>
      </c>
      <c r="P83" s="15">
        <f t="shared" si="36"/>
        <v>15.5</v>
      </c>
      <c r="R83" s="8"/>
      <c r="T83"/>
    </row>
    <row r="84" spans="2:20" ht="23.1" customHeight="1" x14ac:dyDescent="0.25">
      <c r="B84" s="25" t="s">
        <v>124</v>
      </c>
      <c r="C84" s="49">
        <f>AVERAGE('24.08 Iganga-Kaliro-24h'!C84,'26.08 Iganga-Kaliro-24h'!C84)</f>
        <v>0.5</v>
      </c>
      <c r="D84" s="49">
        <f>AVERAGE('24.08 Iganga-Kaliro-24h'!D84,'26.08 Iganga-Kaliro-24h'!D84)</f>
        <v>1</v>
      </c>
      <c r="E84" s="49">
        <f>AVERAGE('24.08 Iganga-Kaliro-24h'!E84,'26.08 Iganga-Kaliro-24h'!E84)</f>
        <v>1</v>
      </c>
      <c r="F84" s="49">
        <f>AVERAGE('24.08 Iganga-Kaliro-24h'!F84,'26.08 Iganga-Kaliro-24h'!F84)</f>
        <v>0</v>
      </c>
      <c r="G84" s="49">
        <f>AVERAGE('24.08 Iganga-Kaliro-24h'!G84,'26.08 Iganga-Kaliro-24h'!G84)</f>
        <v>0</v>
      </c>
      <c r="H84" s="49">
        <f>AVERAGE('24.08 Iganga-Kaliro-24h'!H84,'26.08 Iganga-Kaliro-24h'!H84)</f>
        <v>0</v>
      </c>
      <c r="I84" s="49">
        <f>AVERAGE('24.08 Iganga-Kaliro-24h'!I84,'26.08 Iganga-Kaliro-24h'!I84)</f>
        <v>0.5</v>
      </c>
      <c r="J84" s="49">
        <f>AVERAGE('24.08 Iganga-Kaliro-24h'!J84,'26.08 Iganga-Kaliro-24h'!J84)</f>
        <v>0</v>
      </c>
      <c r="K84" s="49">
        <f>AVERAGE('24.08 Iganga-Kaliro-24h'!K84,'26.08 Iganga-Kaliro-24h'!K84)</f>
        <v>0</v>
      </c>
      <c r="L84" s="49">
        <f>AVERAGE('24.08 Iganga-Kaliro-24h'!L84,'26.08 Iganga-Kaliro-24h'!L84)</f>
        <v>0</v>
      </c>
      <c r="M84" s="49">
        <f>AVERAGE('24.08 Iganga-Kaliro-24h'!M84,'26.08 Iganga-Kaliro-24h'!M84)</f>
        <v>16.5</v>
      </c>
      <c r="N84" s="49">
        <f>AVERAGE('24.08 Iganga-Kaliro-24h'!N84,'26.08 Iganga-Kaliro-24h'!N84)</f>
        <v>0</v>
      </c>
      <c r="O84" s="15">
        <f t="shared" si="35"/>
        <v>3</v>
      </c>
      <c r="P84" s="15">
        <f t="shared" si="36"/>
        <v>19.5</v>
      </c>
      <c r="R84" s="8"/>
      <c r="T84"/>
    </row>
    <row r="85" spans="2:20" ht="23.1" customHeight="1" x14ac:dyDescent="0.25">
      <c r="B85" s="23" t="s">
        <v>125</v>
      </c>
      <c r="C85" s="49">
        <f>AVERAGE('24.08 Iganga-Kaliro-24h'!C85,'26.08 Iganga-Kaliro-24h'!C85)</f>
        <v>1</v>
      </c>
      <c r="D85" s="49">
        <f>AVERAGE('24.08 Iganga-Kaliro-24h'!D85,'26.08 Iganga-Kaliro-24h'!D85)</f>
        <v>1</v>
      </c>
      <c r="E85" s="49">
        <f>AVERAGE('24.08 Iganga-Kaliro-24h'!E85,'26.08 Iganga-Kaliro-24h'!E85)</f>
        <v>0</v>
      </c>
      <c r="F85" s="49">
        <f>AVERAGE('24.08 Iganga-Kaliro-24h'!F85,'26.08 Iganga-Kaliro-24h'!F85)</f>
        <v>0</v>
      </c>
      <c r="G85" s="49">
        <f>AVERAGE('24.08 Iganga-Kaliro-24h'!G85,'26.08 Iganga-Kaliro-24h'!G85)</f>
        <v>0</v>
      </c>
      <c r="H85" s="49">
        <f>AVERAGE('24.08 Iganga-Kaliro-24h'!H85,'26.08 Iganga-Kaliro-24h'!H85)</f>
        <v>0</v>
      </c>
      <c r="I85" s="49">
        <f>AVERAGE('24.08 Iganga-Kaliro-24h'!I85,'26.08 Iganga-Kaliro-24h'!I85)</f>
        <v>0</v>
      </c>
      <c r="J85" s="49">
        <f>AVERAGE('24.08 Iganga-Kaliro-24h'!J85,'26.08 Iganga-Kaliro-24h'!J85)</f>
        <v>0.5</v>
      </c>
      <c r="K85" s="49">
        <f>AVERAGE('24.08 Iganga-Kaliro-24h'!K85,'26.08 Iganga-Kaliro-24h'!K85)</f>
        <v>0</v>
      </c>
      <c r="L85" s="49">
        <f>AVERAGE('24.08 Iganga-Kaliro-24h'!L85,'26.08 Iganga-Kaliro-24h'!L85)</f>
        <v>0</v>
      </c>
      <c r="M85" s="49">
        <f>AVERAGE('24.08 Iganga-Kaliro-24h'!M85,'26.08 Iganga-Kaliro-24h'!M85)</f>
        <v>14</v>
      </c>
      <c r="N85" s="49">
        <f>AVERAGE('24.08 Iganga-Kaliro-24h'!N85,'26.08 Iganga-Kaliro-24h'!N85)</f>
        <v>0</v>
      </c>
      <c r="O85" s="15">
        <f t="shared" si="35"/>
        <v>2.5</v>
      </c>
      <c r="P85" s="15">
        <f t="shared" si="36"/>
        <v>16.5</v>
      </c>
      <c r="R85" s="8"/>
      <c r="T85"/>
    </row>
    <row r="86" spans="2:20" ht="23.1" customHeight="1" x14ac:dyDescent="0.25">
      <c r="B86" s="24" t="s">
        <v>126</v>
      </c>
      <c r="C86" s="49">
        <f>AVERAGE('24.08 Iganga-Kaliro-24h'!C86,'26.08 Iganga-Kaliro-24h'!C86)</f>
        <v>2</v>
      </c>
      <c r="D86" s="49">
        <f>AVERAGE('24.08 Iganga-Kaliro-24h'!D86,'26.08 Iganga-Kaliro-24h'!D86)</f>
        <v>0</v>
      </c>
      <c r="E86" s="49">
        <f>AVERAGE('24.08 Iganga-Kaliro-24h'!E86,'26.08 Iganga-Kaliro-24h'!E86)</f>
        <v>0.5</v>
      </c>
      <c r="F86" s="49">
        <f>AVERAGE('24.08 Iganga-Kaliro-24h'!F86,'26.08 Iganga-Kaliro-24h'!F86)</f>
        <v>0.5</v>
      </c>
      <c r="G86" s="49">
        <f>AVERAGE('24.08 Iganga-Kaliro-24h'!G86,'26.08 Iganga-Kaliro-24h'!G86)</f>
        <v>0</v>
      </c>
      <c r="H86" s="49">
        <f>AVERAGE('24.08 Iganga-Kaliro-24h'!H86,'26.08 Iganga-Kaliro-24h'!H86)</f>
        <v>0</v>
      </c>
      <c r="I86" s="49">
        <f>AVERAGE('24.08 Iganga-Kaliro-24h'!I86,'26.08 Iganga-Kaliro-24h'!I86)</f>
        <v>0</v>
      </c>
      <c r="J86" s="49">
        <f>AVERAGE('24.08 Iganga-Kaliro-24h'!J86,'26.08 Iganga-Kaliro-24h'!J86)</f>
        <v>0</v>
      </c>
      <c r="K86" s="49">
        <f>AVERAGE('24.08 Iganga-Kaliro-24h'!K86,'26.08 Iganga-Kaliro-24h'!K86)</f>
        <v>0</v>
      </c>
      <c r="L86" s="49">
        <f>AVERAGE('24.08 Iganga-Kaliro-24h'!L86,'26.08 Iganga-Kaliro-24h'!L86)</f>
        <v>0</v>
      </c>
      <c r="M86" s="49">
        <f>AVERAGE('24.08 Iganga-Kaliro-24h'!M86,'26.08 Iganga-Kaliro-24h'!M86)</f>
        <v>10.5</v>
      </c>
      <c r="N86" s="49">
        <f>AVERAGE('24.08 Iganga-Kaliro-24h'!N86,'26.08 Iganga-Kaliro-24h'!N86)</f>
        <v>0</v>
      </c>
      <c r="O86" s="15">
        <f t="shared" si="35"/>
        <v>3</v>
      </c>
      <c r="P86" s="15">
        <f t="shared" si="36"/>
        <v>13.5</v>
      </c>
      <c r="R86" s="8"/>
      <c r="T86"/>
    </row>
    <row r="87" spans="2:20" ht="23.1" customHeight="1" x14ac:dyDescent="0.25">
      <c r="B87" s="23" t="s">
        <v>127</v>
      </c>
      <c r="C87" s="49">
        <f>AVERAGE('24.08 Iganga-Kaliro-24h'!C87,'26.08 Iganga-Kaliro-24h'!C87)</f>
        <v>0.5</v>
      </c>
      <c r="D87" s="49">
        <f>AVERAGE('24.08 Iganga-Kaliro-24h'!D87,'26.08 Iganga-Kaliro-24h'!D87)</f>
        <v>1</v>
      </c>
      <c r="E87" s="49">
        <f>AVERAGE('24.08 Iganga-Kaliro-24h'!E87,'26.08 Iganga-Kaliro-24h'!E87)</f>
        <v>0.5</v>
      </c>
      <c r="F87" s="49">
        <f>AVERAGE('24.08 Iganga-Kaliro-24h'!F87,'26.08 Iganga-Kaliro-24h'!F87)</f>
        <v>0</v>
      </c>
      <c r="G87" s="49">
        <f>AVERAGE('24.08 Iganga-Kaliro-24h'!G87,'26.08 Iganga-Kaliro-24h'!G87)</f>
        <v>0</v>
      </c>
      <c r="H87" s="49">
        <f>AVERAGE('24.08 Iganga-Kaliro-24h'!H87,'26.08 Iganga-Kaliro-24h'!H87)</f>
        <v>0</v>
      </c>
      <c r="I87" s="49">
        <f>AVERAGE('24.08 Iganga-Kaliro-24h'!I87,'26.08 Iganga-Kaliro-24h'!I87)</f>
        <v>0.5</v>
      </c>
      <c r="J87" s="49">
        <f>AVERAGE('24.08 Iganga-Kaliro-24h'!J87,'26.08 Iganga-Kaliro-24h'!J87)</f>
        <v>0</v>
      </c>
      <c r="K87" s="49">
        <f>AVERAGE('24.08 Iganga-Kaliro-24h'!K87,'26.08 Iganga-Kaliro-24h'!K87)</f>
        <v>0</v>
      </c>
      <c r="L87" s="49">
        <f>AVERAGE('24.08 Iganga-Kaliro-24h'!L87,'26.08 Iganga-Kaliro-24h'!L87)</f>
        <v>0</v>
      </c>
      <c r="M87" s="49">
        <f>AVERAGE('24.08 Iganga-Kaliro-24h'!M87,'26.08 Iganga-Kaliro-24h'!M87)</f>
        <v>11</v>
      </c>
      <c r="N87" s="49">
        <f>AVERAGE('24.08 Iganga-Kaliro-24h'!N87,'26.08 Iganga-Kaliro-24h'!N87)</f>
        <v>0</v>
      </c>
      <c r="O87" s="15">
        <f t="shared" si="35"/>
        <v>2.5</v>
      </c>
      <c r="P87" s="15">
        <f t="shared" si="36"/>
        <v>13.5</v>
      </c>
      <c r="R87" s="8"/>
      <c r="T87"/>
    </row>
    <row r="88" spans="2:20" ht="23.1" customHeight="1" x14ac:dyDescent="0.25">
      <c r="B88" s="25" t="s">
        <v>128</v>
      </c>
      <c r="C88" s="49">
        <f>AVERAGE('24.08 Iganga-Kaliro-24h'!C88,'26.08 Iganga-Kaliro-24h'!C88)</f>
        <v>1</v>
      </c>
      <c r="D88" s="49">
        <f>AVERAGE('24.08 Iganga-Kaliro-24h'!D88,'26.08 Iganga-Kaliro-24h'!D88)</f>
        <v>0</v>
      </c>
      <c r="E88" s="49">
        <f>AVERAGE('24.08 Iganga-Kaliro-24h'!E88,'26.08 Iganga-Kaliro-24h'!E88)</f>
        <v>0.5</v>
      </c>
      <c r="F88" s="49">
        <f>AVERAGE('24.08 Iganga-Kaliro-24h'!F88,'26.08 Iganga-Kaliro-24h'!F88)</f>
        <v>0.5</v>
      </c>
      <c r="G88" s="49">
        <f>AVERAGE('24.08 Iganga-Kaliro-24h'!G88,'26.08 Iganga-Kaliro-24h'!G88)</f>
        <v>0</v>
      </c>
      <c r="H88" s="49">
        <f>AVERAGE('24.08 Iganga-Kaliro-24h'!H88,'26.08 Iganga-Kaliro-24h'!H88)</f>
        <v>0</v>
      </c>
      <c r="I88" s="49">
        <f>AVERAGE('24.08 Iganga-Kaliro-24h'!I88,'26.08 Iganga-Kaliro-24h'!I88)</f>
        <v>0</v>
      </c>
      <c r="J88" s="49">
        <f>AVERAGE('24.08 Iganga-Kaliro-24h'!J88,'26.08 Iganga-Kaliro-24h'!J88)</f>
        <v>0</v>
      </c>
      <c r="K88" s="49">
        <f>AVERAGE('24.08 Iganga-Kaliro-24h'!K88,'26.08 Iganga-Kaliro-24h'!K88)</f>
        <v>0</v>
      </c>
      <c r="L88" s="49">
        <f>AVERAGE('24.08 Iganga-Kaliro-24h'!L88,'26.08 Iganga-Kaliro-24h'!L88)</f>
        <v>0</v>
      </c>
      <c r="M88" s="49">
        <f>AVERAGE('24.08 Iganga-Kaliro-24h'!M88,'26.08 Iganga-Kaliro-24h'!M88)</f>
        <v>6</v>
      </c>
      <c r="N88" s="49">
        <f>AVERAGE('24.08 Iganga-Kaliro-24h'!N88,'26.08 Iganga-Kaliro-24h'!N88)</f>
        <v>0</v>
      </c>
      <c r="O88" s="15">
        <f t="shared" si="35"/>
        <v>2</v>
      </c>
      <c r="P88" s="15">
        <f t="shared" si="36"/>
        <v>8</v>
      </c>
      <c r="R88" s="8"/>
      <c r="T88"/>
    </row>
    <row r="89" spans="2:20" ht="23.1" customHeight="1" x14ac:dyDescent="0.25">
      <c r="B89" s="23" t="s">
        <v>129</v>
      </c>
      <c r="C89" s="49">
        <f>AVERAGE('24.08 Iganga-Kaliro-24h'!C89,'26.08 Iganga-Kaliro-24h'!C89)</f>
        <v>0.5</v>
      </c>
      <c r="D89" s="49">
        <f>AVERAGE('24.08 Iganga-Kaliro-24h'!D89,'26.08 Iganga-Kaliro-24h'!D89)</f>
        <v>0.5</v>
      </c>
      <c r="E89" s="49">
        <f>AVERAGE('24.08 Iganga-Kaliro-24h'!E89,'26.08 Iganga-Kaliro-24h'!E89)</f>
        <v>0</v>
      </c>
      <c r="F89" s="49">
        <f>AVERAGE('24.08 Iganga-Kaliro-24h'!F89,'26.08 Iganga-Kaliro-24h'!F89)</f>
        <v>0</v>
      </c>
      <c r="G89" s="49">
        <f>AVERAGE('24.08 Iganga-Kaliro-24h'!G89,'26.08 Iganga-Kaliro-24h'!G89)</f>
        <v>0</v>
      </c>
      <c r="H89" s="49">
        <f>AVERAGE('24.08 Iganga-Kaliro-24h'!H89,'26.08 Iganga-Kaliro-24h'!H89)</f>
        <v>0</v>
      </c>
      <c r="I89" s="49">
        <f>AVERAGE('24.08 Iganga-Kaliro-24h'!I89,'26.08 Iganga-Kaliro-24h'!I89)</f>
        <v>0.5</v>
      </c>
      <c r="J89" s="49">
        <f>AVERAGE('24.08 Iganga-Kaliro-24h'!J89,'26.08 Iganga-Kaliro-24h'!J89)</f>
        <v>0</v>
      </c>
      <c r="K89" s="49">
        <f>AVERAGE('24.08 Iganga-Kaliro-24h'!K89,'26.08 Iganga-Kaliro-24h'!K89)</f>
        <v>0</v>
      </c>
      <c r="L89" s="49">
        <f>AVERAGE('24.08 Iganga-Kaliro-24h'!L89,'26.08 Iganga-Kaliro-24h'!L89)</f>
        <v>0</v>
      </c>
      <c r="M89" s="49">
        <f>AVERAGE('24.08 Iganga-Kaliro-24h'!M89,'26.08 Iganga-Kaliro-24h'!M89)</f>
        <v>6</v>
      </c>
      <c r="N89" s="49">
        <f>AVERAGE('24.08 Iganga-Kaliro-24h'!N89,'26.08 Iganga-Kaliro-24h'!N89)</f>
        <v>0</v>
      </c>
      <c r="O89" s="15">
        <f t="shared" si="35"/>
        <v>1.5</v>
      </c>
      <c r="P89" s="15">
        <f t="shared" si="36"/>
        <v>7.5</v>
      </c>
      <c r="R89" s="8"/>
      <c r="T89"/>
    </row>
    <row r="90" spans="2:20" ht="23.1" customHeight="1" x14ac:dyDescent="0.25">
      <c r="B90" s="24" t="s">
        <v>130</v>
      </c>
      <c r="C90" s="49">
        <f>AVERAGE('24.08 Iganga-Kaliro-24h'!C90,'26.08 Iganga-Kaliro-24h'!C90)</f>
        <v>0.5</v>
      </c>
      <c r="D90" s="49">
        <f>AVERAGE('24.08 Iganga-Kaliro-24h'!D90,'26.08 Iganga-Kaliro-24h'!D90)</f>
        <v>0.5</v>
      </c>
      <c r="E90" s="49">
        <f>AVERAGE('24.08 Iganga-Kaliro-24h'!E90,'26.08 Iganga-Kaliro-24h'!E90)</f>
        <v>0</v>
      </c>
      <c r="F90" s="49">
        <f>AVERAGE('24.08 Iganga-Kaliro-24h'!F90,'26.08 Iganga-Kaliro-24h'!F90)</f>
        <v>0</v>
      </c>
      <c r="G90" s="49">
        <f>AVERAGE('24.08 Iganga-Kaliro-24h'!G90,'26.08 Iganga-Kaliro-24h'!G90)</f>
        <v>0</v>
      </c>
      <c r="H90" s="49">
        <f>AVERAGE('24.08 Iganga-Kaliro-24h'!H90,'26.08 Iganga-Kaliro-24h'!H90)</f>
        <v>0</v>
      </c>
      <c r="I90" s="49">
        <f>AVERAGE('24.08 Iganga-Kaliro-24h'!I90,'26.08 Iganga-Kaliro-24h'!I90)</f>
        <v>0</v>
      </c>
      <c r="J90" s="49">
        <f>AVERAGE('24.08 Iganga-Kaliro-24h'!J90,'26.08 Iganga-Kaliro-24h'!J90)</f>
        <v>0.5</v>
      </c>
      <c r="K90" s="49">
        <f>AVERAGE('24.08 Iganga-Kaliro-24h'!K90,'26.08 Iganga-Kaliro-24h'!K90)</f>
        <v>0</v>
      </c>
      <c r="L90" s="49">
        <f>AVERAGE('24.08 Iganga-Kaliro-24h'!L90,'26.08 Iganga-Kaliro-24h'!L90)</f>
        <v>0</v>
      </c>
      <c r="M90" s="49">
        <f>AVERAGE('24.08 Iganga-Kaliro-24h'!M90,'26.08 Iganga-Kaliro-24h'!M90)</f>
        <v>4.5</v>
      </c>
      <c r="N90" s="49">
        <f>AVERAGE('24.08 Iganga-Kaliro-24h'!N90,'26.08 Iganga-Kaliro-24h'!N90)</f>
        <v>0</v>
      </c>
      <c r="O90" s="15">
        <f t="shared" si="35"/>
        <v>1.5</v>
      </c>
      <c r="P90" s="15">
        <f t="shared" si="36"/>
        <v>6</v>
      </c>
      <c r="R90" s="8"/>
      <c r="T90"/>
    </row>
    <row r="91" spans="2:20" ht="23.1" customHeight="1" x14ac:dyDescent="0.25">
      <c r="B91" s="23" t="s">
        <v>131</v>
      </c>
      <c r="C91" s="49">
        <f>AVERAGE('24.08 Iganga-Kaliro-24h'!C91,'26.08 Iganga-Kaliro-24h'!C91)</f>
        <v>0.5</v>
      </c>
      <c r="D91" s="49">
        <f>AVERAGE('24.08 Iganga-Kaliro-24h'!D91,'26.08 Iganga-Kaliro-24h'!D91)</f>
        <v>0.5</v>
      </c>
      <c r="E91" s="49">
        <f>AVERAGE('24.08 Iganga-Kaliro-24h'!E91,'26.08 Iganga-Kaliro-24h'!E91)</f>
        <v>0</v>
      </c>
      <c r="F91" s="49">
        <f>AVERAGE('24.08 Iganga-Kaliro-24h'!F91,'26.08 Iganga-Kaliro-24h'!F91)</f>
        <v>0</v>
      </c>
      <c r="G91" s="49">
        <f>AVERAGE('24.08 Iganga-Kaliro-24h'!G91,'26.08 Iganga-Kaliro-24h'!G91)</f>
        <v>0</v>
      </c>
      <c r="H91" s="49">
        <f>AVERAGE('24.08 Iganga-Kaliro-24h'!H91,'26.08 Iganga-Kaliro-24h'!H91)</f>
        <v>0</v>
      </c>
      <c r="I91" s="49">
        <f>AVERAGE('24.08 Iganga-Kaliro-24h'!I91,'26.08 Iganga-Kaliro-24h'!I91)</f>
        <v>0.5</v>
      </c>
      <c r="J91" s="49">
        <f>AVERAGE('24.08 Iganga-Kaliro-24h'!J91,'26.08 Iganga-Kaliro-24h'!J91)</f>
        <v>0</v>
      </c>
      <c r="K91" s="49">
        <f>AVERAGE('24.08 Iganga-Kaliro-24h'!K91,'26.08 Iganga-Kaliro-24h'!K91)</f>
        <v>0</v>
      </c>
      <c r="L91" s="49">
        <f>AVERAGE('24.08 Iganga-Kaliro-24h'!L91,'26.08 Iganga-Kaliro-24h'!L91)</f>
        <v>0</v>
      </c>
      <c r="M91" s="49">
        <f>AVERAGE('24.08 Iganga-Kaliro-24h'!M91,'26.08 Iganga-Kaliro-24h'!M91)</f>
        <v>5.5</v>
      </c>
      <c r="N91" s="49">
        <f>AVERAGE('24.08 Iganga-Kaliro-24h'!N91,'26.08 Iganga-Kaliro-24h'!N91)</f>
        <v>0</v>
      </c>
      <c r="O91" s="15">
        <f t="shared" si="35"/>
        <v>1.5</v>
      </c>
      <c r="P91" s="15">
        <f t="shared" si="36"/>
        <v>7</v>
      </c>
      <c r="R91" s="8"/>
      <c r="T91"/>
    </row>
    <row r="92" spans="2:20" ht="23.1" customHeight="1" x14ac:dyDescent="0.25">
      <c r="B92" s="25" t="s">
        <v>132</v>
      </c>
      <c r="C92" s="49">
        <f>AVERAGE('24.08 Iganga-Kaliro-24h'!C92,'26.08 Iganga-Kaliro-24h'!C92)</f>
        <v>0</v>
      </c>
      <c r="D92" s="49">
        <f>AVERAGE('24.08 Iganga-Kaliro-24h'!D92,'26.08 Iganga-Kaliro-24h'!D92)</f>
        <v>0</v>
      </c>
      <c r="E92" s="49">
        <f>AVERAGE('24.08 Iganga-Kaliro-24h'!E92,'26.08 Iganga-Kaliro-24h'!E92)</f>
        <v>0</v>
      </c>
      <c r="F92" s="49">
        <f>AVERAGE('24.08 Iganga-Kaliro-24h'!F92,'26.08 Iganga-Kaliro-24h'!F92)</f>
        <v>0</v>
      </c>
      <c r="G92" s="49">
        <f>AVERAGE('24.08 Iganga-Kaliro-24h'!G92,'26.08 Iganga-Kaliro-24h'!G92)</f>
        <v>0</v>
      </c>
      <c r="H92" s="49">
        <f>AVERAGE('24.08 Iganga-Kaliro-24h'!H92,'26.08 Iganga-Kaliro-24h'!H92)</f>
        <v>0</v>
      </c>
      <c r="I92" s="49">
        <f>AVERAGE('24.08 Iganga-Kaliro-24h'!I92,'26.08 Iganga-Kaliro-24h'!I92)</f>
        <v>0</v>
      </c>
      <c r="J92" s="49">
        <f>AVERAGE('24.08 Iganga-Kaliro-24h'!J92,'26.08 Iganga-Kaliro-24h'!J92)</f>
        <v>0.5</v>
      </c>
      <c r="K92" s="49">
        <f>AVERAGE('24.08 Iganga-Kaliro-24h'!K92,'26.08 Iganga-Kaliro-24h'!K92)</f>
        <v>0</v>
      </c>
      <c r="L92" s="49">
        <f>AVERAGE('24.08 Iganga-Kaliro-24h'!L92,'26.08 Iganga-Kaliro-24h'!L92)</f>
        <v>0</v>
      </c>
      <c r="M92" s="49">
        <f>AVERAGE('24.08 Iganga-Kaliro-24h'!M92,'26.08 Iganga-Kaliro-24h'!M92)</f>
        <v>3</v>
      </c>
      <c r="N92" s="49">
        <f>AVERAGE('24.08 Iganga-Kaliro-24h'!N92,'26.08 Iganga-Kaliro-24h'!N92)</f>
        <v>0</v>
      </c>
      <c r="O92" s="15">
        <f t="shared" si="35"/>
        <v>0.5</v>
      </c>
      <c r="P92" s="15">
        <f t="shared" si="36"/>
        <v>3.5</v>
      </c>
      <c r="R92" s="8"/>
      <c r="T92"/>
    </row>
    <row r="93" spans="2:20" ht="23.1" customHeight="1" x14ac:dyDescent="0.25">
      <c r="B93" s="23" t="s">
        <v>133</v>
      </c>
      <c r="C93" s="49">
        <f>AVERAGE('24.08 Iganga-Kaliro-24h'!C93,'26.08 Iganga-Kaliro-24h'!C93)</f>
        <v>0</v>
      </c>
      <c r="D93" s="49">
        <f>AVERAGE('24.08 Iganga-Kaliro-24h'!D93,'26.08 Iganga-Kaliro-24h'!D93)</f>
        <v>0.5</v>
      </c>
      <c r="E93" s="49">
        <f>AVERAGE('24.08 Iganga-Kaliro-24h'!E93,'26.08 Iganga-Kaliro-24h'!E93)</f>
        <v>0</v>
      </c>
      <c r="F93" s="49">
        <f>AVERAGE('24.08 Iganga-Kaliro-24h'!F93,'26.08 Iganga-Kaliro-24h'!F93)</f>
        <v>0</v>
      </c>
      <c r="G93" s="49">
        <f>AVERAGE('24.08 Iganga-Kaliro-24h'!G93,'26.08 Iganga-Kaliro-24h'!G93)</f>
        <v>0</v>
      </c>
      <c r="H93" s="49">
        <f>AVERAGE('24.08 Iganga-Kaliro-24h'!H93,'26.08 Iganga-Kaliro-24h'!H93)</f>
        <v>0</v>
      </c>
      <c r="I93" s="49">
        <f>AVERAGE('24.08 Iganga-Kaliro-24h'!I93,'26.08 Iganga-Kaliro-24h'!I93)</f>
        <v>0.5</v>
      </c>
      <c r="J93" s="49">
        <f>AVERAGE('24.08 Iganga-Kaliro-24h'!J93,'26.08 Iganga-Kaliro-24h'!J93)</f>
        <v>0</v>
      </c>
      <c r="K93" s="49">
        <f>AVERAGE('24.08 Iganga-Kaliro-24h'!K93,'26.08 Iganga-Kaliro-24h'!K93)</f>
        <v>0</v>
      </c>
      <c r="L93" s="49">
        <f>AVERAGE('24.08 Iganga-Kaliro-24h'!L93,'26.08 Iganga-Kaliro-24h'!L93)</f>
        <v>0</v>
      </c>
      <c r="M93" s="49">
        <f>AVERAGE('24.08 Iganga-Kaliro-24h'!M93,'26.08 Iganga-Kaliro-24h'!M93)</f>
        <v>1.5</v>
      </c>
      <c r="N93" s="49">
        <f>AVERAGE('24.08 Iganga-Kaliro-24h'!N93,'26.08 Iganga-Kaliro-24h'!N93)</f>
        <v>0</v>
      </c>
      <c r="O93" s="15">
        <f t="shared" si="35"/>
        <v>1</v>
      </c>
      <c r="P93" s="15">
        <f t="shared" si="36"/>
        <v>2.5</v>
      </c>
      <c r="R93" s="8"/>
      <c r="T93"/>
    </row>
    <row r="94" spans="2:20" ht="23.1" customHeight="1" x14ac:dyDescent="0.25">
      <c r="B94" s="24" t="s">
        <v>134</v>
      </c>
      <c r="C94" s="49">
        <f>AVERAGE('24.08 Iganga-Kaliro-24h'!C94,'26.08 Iganga-Kaliro-24h'!C94)</f>
        <v>0.5</v>
      </c>
      <c r="D94" s="49">
        <f>AVERAGE('24.08 Iganga-Kaliro-24h'!D94,'26.08 Iganga-Kaliro-24h'!D94)</f>
        <v>0</v>
      </c>
      <c r="E94" s="49">
        <f>AVERAGE('24.08 Iganga-Kaliro-24h'!E94,'26.08 Iganga-Kaliro-24h'!E94)</f>
        <v>0</v>
      </c>
      <c r="F94" s="49">
        <f>AVERAGE('24.08 Iganga-Kaliro-24h'!F94,'26.08 Iganga-Kaliro-24h'!F94)</f>
        <v>0</v>
      </c>
      <c r="G94" s="49">
        <f>AVERAGE('24.08 Iganga-Kaliro-24h'!G94,'26.08 Iganga-Kaliro-24h'!G94)</f>
        <v>0</v>
      </c>
      <c r="H94" s="49">
        <f>AVERAGE('24.08 Iganga-Kaliro-24h'!H94,'26.08 Iganga-Kaliro-24h'!H94)</f>
        <v>0</v>
      </c>
      <c r="I94" s="49">
        <f>AVERAGE('24.08 Iganga-Kaliro-24h'!I94,'26.08 Iganga-Kaliro-24h'!I94)</f>
        <v>0</v>
      </c>
      <c r="J94" s="49">
        <f>AVERAGE('24.08 Iganga-Kaliro-24h'!J94,'26.08 Iganga-Kaliro-24h'!J94)</f>
        <v>1</v>
      </c>
      <c r="K94" s="49">
        <f>AVERAGE('24.08 Iganga-Kaliro-24h'!K94,'26.08 Iganga-Kaliro-24h'!K94)</f>
        <v>0</v>
      </c>
      <c r="L94" s="49">
        <f>AVERAGE('24.08 Iganga-Kaliro-24h'!L94,'26.08 Iganga-Kaliro-24h'!L94)</f>
        <v>0</v>
      </c>
      <c r="M94" s="49">
        <f>AVERAGE('24.08 Iganga-Kaliro-24h'!M94,'26.08 Iganga-Kaliro-24h'!M94)</f>
        <v>0.5</v>
      </c>
      <c r="N94" s="49">
        <f>AVERAGE('24.08 Iganga-Kaliro-24h'!N94,'26.08 Iganga-Kaliro-24h'!N94)</f>
        <v>0</v>
      </c>
      <c r="O94" s="15">
        <f t="shared" si="35"/>
        <v>1.5</v>
      </c>
      <c r="P94" s="15">
        <f t="shared" si="36"/>
        <v>2</v>
      </c>
      <c r="R94" s="8"/>
      <c r="T94"/>
    </row>
    <row r="95" spans="2:20" ht="23.1" customHeight="1" x14ac:dyDescent="0.25">
      <c r="B95" s="23" t="s">
        <v>135</v>
      </c>
      <c r="C95" s="49">
        <f>AVERAGE('24.08 Iganga-Kaliro-24h'!C95,'26.08 Iganga-Kaliro-24h'!C95)</f>
        <v>0</v>
      </c>
      <c r="D95" s="49">
        <f>AVERAGE('24.08 Iganga-Kaliro-24h'!D95,'26.08 Iganga-Kaliro-24h'!D95)</f>
        <v>0</v>
      </c>
      <c r="E95" s="49">
        <f>AVERAGE('24.08 Iganga-Kaliro-24h'!E95,'26.08 Iganga-Kaliro-24h'!E95)</f>
        <v>0</v>
      </c>
      <c r="F95" s="49">
        <f>AVERAGE('24.08 Iganga-Kaliro-24h'!F95,'26.08 Iganga-Kaliro-24h'!F95)</f>
        <v>0.5</v>
      </c>
      <c r="G95" s="49">
        <f>AVERAGE('24.08 Iganga-Kaliro-24h'!G95,'26.08 Iganga-Kaliro-24h'!G95)</f>
        <v>0</v>
      </c>
      <c r="H95" s="49">
        <f>AVERAGE('24.08 Iganga-Kaliro-24h'!H95,'26.08 Iganga-Kaliro-24h'!H95)</f>
        <v>0.5</v>
      </c>
      <c r="I95" s="49">
        <f>AVERAGE('24.08 Iganga-Kaliro-24h'!I95,'26.08 Iganga-Kaliro-24h'!I95)</f>
        <v>0</v>
      </c>
      <c r="J95" s="49">
        <f>AVERAGE('24.08 Iganga-Kaliro-24h'!J95,'26.08 Iganga-Kaliro-24h'!J95)</f>
        <v>0</v>
      </c>
      <c r="K95" s="49">
        <f>AVERAGE('24.08 Iganga-Kaliro-24h'!K95,'26.08 Iganga-Kaliro-24h'!K95)</f>
        <v>0</v>
      </c>
      <c r="L95" s="49">
        <f>AVERAGE('24.08 Iganga-Kaliro-24h'!L95,'26.08 Iganga-Kaliro-24h'!L95)</f>
        <v>0</v>
      </c>
      <c r="M95" s="49">
        <f>AVERAGE('24.08 Iganga-Kaliro-24h'!M95,'26.08 Iganga-Kaliro-24h'!M95)</f>
        <v>0</v>
      </c>
      <c r="N95" s="49">
        <f>AVERAGE('24.08 Iganga-Kaliro-24h'!N95,'26.08 Iganga-Kaliro-24h'!N95)</f>
        <v>0</v>
      </c>
      <c r="O95" s="15">
        <f t="shared" si="35"/>
        <v>1</v>
      </c>
      <c r="P95" s="15">
        <f t="shared" si="36"/>
        <v>1</v>
      </c>
      <c r="R95" s="8"/>
      <c r="T95"/>
    </row>
    <row r="96" spans="2:20" ht="23.1" customHeight="1" x14ac:dyDescent="0.25">
      <c r="B96" s="25" t="s">
        <v>136</v>
      </c>
      <c r="C96" s="49">
        <f>AVERAGE('24.08 Iganga-Kaliro-24h'!C96,'26.08 Iganga-Kaliro-24h'!C96)</f>
        <v>0.5</v>
      </c>
      <c r="D96" s="49">
        <f>AVERAGE('24.08 Iganga-Kaliro-24h'!D96,'26.08 Iganga-Kaliro-24h'!D96)</f>
        <v>0</v>
      </c>
      <c r="E96" s="49">
        <f>AVERAGE('24.08 Iganga-Kaliro-24h'!E96,'26.08 Iganga-Kaliro-24h'!E96)</f>
        <v>0</v>
      </c>
      <c r="F96" s="49">
        <f>AVERAGE('24.08 Iganga-Kaliro-24h'!F96,'26.08 Iganga-Kaliro-24h'!F96)</f>
        <v>0.5</v>
      </c>
      <c r="G96" s="49">
        <f>AVERAGE('24.08 Iganga-Kaliro-24h'!G96,'26.08 Iganga-Kaliro-24h'!G96)</f>
        <v>0</v>
      </c>
      <c r="H96" s="49">
        <f>AVERAGE('24.08 Iganga-Kaliro-24h'!H96,'26.08 Iganga-Kaliro-24h'!H96)</f>
        <v>0</v>
      </c>
      <c r="I96" s="49">
        <f>AVERAGE('24.08 Iganga-Kaliro-24h'!I96,'26.08 Iganga-Kaliro-24h'!I96)</f>
        <v>0</v>
      </c>
      <c r="J96" s="49">
        <f>AVERAGE('24.08 Iganga-Kaliro-24h'!J96,'26.08 Iganga-Kaliro-24h'!J96)</f>
        <v>0</v>
      </c>
      <c r="K96" s="49">
        <f>AVERAGE('24.08 Iganga-Kaliro-24h'!K96,'26.08 Iganga-Kaliro-24h'!K96)</f>
        <v>0</v>
      </c>
      <c r="L96" s="49">
        <f>AVERAGE('24.08 Iganga-Kaliro-24h'!L96,'26.08 Iganga-Kaliro-24h'!L96)</f>
        <v>0</v>
      </c>
      <c r="M96" s="49">
        <f>AVERAGE('24.08 Iganga-Kaliro-24h'!M96,'26.08 Iganga-Kaliro-24h'!M96)</f>
        <v>0.5</v>
      </c>
      <c r="N96" s="49">
        <f>AVERAGE('24.08 Iganga-Kaliro-24h'!N96,'26.08 Iganga-Kaliro-24h'!N96)</f>
        <v>0</v>
      </c>
      <c r="O96" s="15">
        <f t="shared" si="35"/>
        <v>1</v>
      </c>
      <c r="P96" s="15">
        <f t="shared" si="36"/>
        <v>1.5</v>
      </c>
      <c r="R96" s="8"/>
      <c r="T96"/>
    </row>
    <row r="97" spans="2:20" ht="23.1" customHeight="1" x14ac:dyDescent="0.25">
      <c r="B97" s="23" t="s">
        <v>137</v>
      </c>
      <c r="C97" s="49">
        <f>AVERAGE('24.08 Iganga-Kaliro-24h'!C97,'26.08 Iganga-Kaliro-24h'!C97)</f>
        <v>1</v>
      </c>
      <c r="D97" s="49">
        <f>AVERAGE('24.08 Iganga-Kaliro-24h'!D97,'26.08 Iganga-Kaliro-24h'!D97)</f>
        <v>0.5</v>
      </c>
      <c r="E97" s="49">
        <f>AVERAGE('24.08 Iganga-Kaliro-24h'!E97,'26.08 Iganga-Kaliro-24h'!E97)</f>
        <v>0</v>
      </c>
      <c r="F97" s="49">
        <f>AVERAGE('24.08 Iganga-Kaliro-24h'!F97,'26.08 Iganga-Kaliro-24h'!F97)</f>
        <v>0</v>
      </c>
      <c r="G97" s="49">
        <f>AVERAGE('24.08 Iganga-Kaliro-24h'!G97,'26.08 Iganga-Kaliro-24h'!G97)</f>
        <v>0</v>
      </c>
      <c r="H97" s="49">
        <f>AVERAGE('24.08 Iganga-Kaliro-24h'!H97,'26.08 Iganga-Kaliro-24h'!H97)</f>
        <v>0.5</v>
      </c>
      <c r="I97" s="49">
        <f>AVERAGE('24.08 Iganga-Kaliro-24h'!I97,'26.08 Iganga-Kaliro-24h'!I97)</f>
        <v>0</v>
      </c>
      <c r="J97" s="49">
        <f>AVERAGE('24.08 Iganga-Kaliro-24h'!J97,'26.08 Iganga-Kaliro-24h'!J97)</f>
        <v>0</v>
      </c>
      <c r="K97" s="49">
        <f>AVERAGE('24.08 Iganga-Kaliro-24h'!K97,'26.08 Iganga-Kaliro-24h'!K97)</f>
        <v>0</v>
      </c>
      <c r="L97" s="49">
        <f>AVERAGE('24.08 Iganga-Kaliro-24h'!L97,'26.08 Iganga-Kaliro-24h'!L97)</f>
        <v>0</v>
      </c>
      <c r="M97" s="49">
        <f>AVERAGE('24.08 Iganga-Kaliro-24h'!M97,'26.08 Iganga-Kaliro-24h'!M97)</f>
        <v>0.5</v>
      </c>
      <c r="N97" s="49">
        <f>AVERAGE('24.08 Iganga-Kaliro-24h'!N97,'26.08 Iganga-Kaliro-24h'!N97)</f>
        <v>0</v>
      </c>
      <c r="O97" s="15">
        <f t="shared" si="35"/>
        <v>2</v>
      </c>
      <c r="P97" s="15">
        <f t="shared" si="36"/>
        <v>2.5</v>
      </c>
      <c r="R97" s="8"/>
      <c r="T97"/>
    </row>
    <row r="98" spans="2:20" ht="23.1" customHeight="1" x14ac:dyDescent="0.25">
      <c r="B98" s="24" t="s">
        <v>138</v>
      </c>
      <c r="C98" s="49">
        <f>AVERAGE('24.08 Iganga-Kaliro-24h'!C98,'26.08 Iganga-Kaliro-24h'!C98)</f>
        <v>0</v>
      </c>
      <c r="D98" s="49">
        <f>AVERAGE('24.08 Iganga-Kaliro-24h'!D98,'26.08 Iganga-Kaliro-24h'!D98)</f>
        <v>0.5</v>
      </c>
      <c r="E98" s="49">
        <f>AVERAGE('24.08 Iganga-Kaliro-24h'!E98,'26.08 Iganga-Kaliro-24h'!E98)</f>
        <v>2</v>
      </c>
      <c r="F98" s="49">
        <f>AVERAGE('24.08 Iganga-Kaliro-24h'!F98,'26.08 Iganga-Kaliro-24h'!F98)</f>
        <v>1</v>
      </c>
      <c r="G98" s="49">
        <f>AVERAGE('24.08 Iganga-Kaliro-24h'!G98,'26.08 Iganga-Kaliro-24h'!G98)</f>
        <v>0</v>
      </c>
      <c r="H98" s="49">
        <f>AVERAGE('24.08 Iganga-Kaliro-24h'!H98,'26.08 Iganga-Kaliro-24h'!H98)</f>
        <v>0</v>
      </c>
      <c r="I98" s="49">
        <f>AVERAGE('24.08 Iganga-Kaliro-24h'!I98,'26.08 Iganga-Kaliro-24h'!I98)</f>
        <v>0</v>
      </c>
      <c r="J98" s="49">
        <f>AVERAGE('24.08 Iganga-Kaliro-24h'!J98,'26.08 Iganga-Kaliro-24h'!J98)</f>
        <v>0</v>
      </c>
      <c r="K98" s="49">
        <f>AVERAGE('24.08 Iganga-Kaliro-24h'!K98,'26.08 Iganga-Kaliro-24h'!K98)</f>
        <v>0</v>
      </c>
      <c r="L98" s="49">
        <f>AVERAGE('24.08 Iganga-Kaliro-24h'!L98,'26.08 Iganga-Kaliro-24h'!L98)</f>
        <v>0</v>
      </c>
      <c r="M98" s="49">
        <f>AVERAGE('24.08 Iganga-Kaliro-24h'!M98,'26.08 Iganga-Kaliro-24h'!M98)</f>
        <v>3.5</v>
      </c>
      <c r="N98" s="49">
        <f>AVERAGE('24.08 Iganga-Kaliro-24h'!N98,'26.08 Iganga-Kaliro-24h'!N98)</f>
        <v>0</v>
      </c>
      <c r="O98" s="15">
        <f t="shared" si="35"/>
        <v>3.5</v>
      </c>
      <c r="P98" s="15">
        <f t="shared" si="36"/>
        <v>7</v>
      </c>
      <c r="R98" s="8"/>
      <c r="T98"/>
    </row>
    <row r="99" spans="2:20" ht="23.1" customHeight="1" x14ac:dyDescent="0.25">
      <c r="B99" s="23" t="s">
        <v>139</v>
      </c>
      <c r="C99" s="49">
        <f>AVERAGE('24.08 Iganga-Kaliro-24h'!C99,'26.08 Iganga-Kaliro-24h'!C99)</f>
        <v>0.5</v>
      </c>
      <c r="D99" s="49">
        <f>AVERAGE('24.08 Iganga-Kaliro-24h'!D99,'26.08 Iganga-Kaliro-24h'!D99)</f>
        <v>0.5</v>
      </c>
      <c r="E99" s="49">
        <f>AVERAGE('24.08 Iganga-Kaliro-24h'!E99,'26.08 Iganga-Kaliro-24h'!E99)</f>
        <v>0</v>
      </c>
      <c r="F99" s="49">
        <f>AVERAGE('24.08 Iganga-Kaliro-24h'!F99,'26.08 Iganga-Kaliro-24h'!F99)</f>
        <v>0</v>
      </c>
      <c r="G99" s="49">
        <f>AVERAGE('24.08 Iganga-Kaliro-24h'!G99,'26.08 Iganga-Kaliro-24h'!G99)</f>
        <v>0</v>
      </c>
      <c r="H99" s="49">
        <f>AVERAGE('24.08 Iganga-Kaliro-24h'!H99,'26.08 Iganga-Kaliro-24h'!H99)</f>
        <v>0</v>
      </c>
      <c r="I99" s="49">
        <f>AVERAGE('24.08 Iganga-Kaliro-24h'!I99,'26.08 Iganga-Kaliro-24h'!I99)</f>
        <v>1.5</v>
      </c>
      <c r="J99" s="49">
        <f>AVERAGE('24.08 Iganga-Kaliro-24h'!J99,'26.08 Iganga-Kaliro-24h'!J99)</f>
        <v>0</v>
      </c>
      <c r="K99" s="49">
        <f>AVERAGE('24.08 Iganga-Kaliro-24h'!K99,'26.08 Iganga-Kaliro-24h'!K99)</f>
        <v>0</v>
      </c>
      <c r="L99" s="49">
        <f>AVERAGE('24.08 Iganga-Kaliro-24h'!L99,'26.08 Iganga-Kaliro-24h'!L99)</f>
        <v>0</v>
      </c>
      <c r="M99" s="49">
        <f>AVERAGE('24.08 Iganga-Kaliro-24h'!M99,'26.08 Iganga-Kaliro-24h'!M99)</f>
        <v>5</v>
      </c>
      <c r="N99" s="49">
        <f>AVERAGE('24.08 Iganga-Kaliro-24h'!N99,'26.08 Iganga-Kaliro-24h'!N99)</f>
        <v>0</v>
      </c>
      <c r="O99" s="15">
        <f t="shared" si="35"/>
        <v>2.5</v>
      </c>
      <c r="P99" s="15">
        <f t="shared" si="36"/>
        <v>7.5</v>
      </c>
      <c r="R99" s="8"/>
      <c r="T99"/>
    </row>
    <row r="100" spans="2:20" ht="23.1" customHeight="1" x14ac:dyDescent="0.25">
      <c r="B100" s="25" t="s">
        <v>140</v>
      </c>
      <c r="C100" s="49">
        <f>AVERAGE('24.08 Iganga-Kaliro-24h'!C100,'26.08 Iganga-Kaliro-24h'!C100)</f>
        <v>0</v>
      </c>
      <c r="D100" s="49">
        <f>AVERAGE('24.08 Iganga-Kaliro-24h'!D100,'26.08 Iganga-Kaliro-24h'!D100)</f>
        <v>0</v>
      </c>
      <c r="E100" s="49">
        <f>AVERAGE('24.08 Iganga-Kaliro-24h'!E100,'26.08 Iganga-Kaliro-24h'!E100)</f>
        <v>0</v>
      </c>
      <c r="F100" s="49">
        <f>AVERAGE('24.08 Iganga-Kaliro-24h'!F100,'26.08 Iganga-Kaliro-24h'!F100)</f>
        <v>1</v>
      </c>
      <c r="G100" s="49">
        <f>AVERAGE('24.08 Iganga-Kaliro-24h'!G100,'26.08 Iganga-Kaliro-24h'!G100)</f>
        <v>0</v>
      </c>
      <c r="H100" s="49">
        <f>AVERAGE('24.08 Iganga-Kaliro-24h'!H100,'26.08 Iganga-Kaliro-24h'!H100)</f>
        <v>0</v>
      </c>
      <c r="I100" s="49">
        <f>AVERAGE('24.08 Iganga-Kaliro-24h'!I100,'26.08 Iganga-Kaliro-24h'!I100)</f>
        <v>0</v>
      </c>
      <c r="J100" s="49">
        <f>AVERAGE('24.08 Iganga-Kaliro-24h'!J100,'26.08 Iganga-Kaliro-24h'!J100)</f>
        <v>0.5</v>
      </c>
      <c r="K100" s="49">
        <f>AVERAGE('24.08 Iganga-Kaliro-24h'!K100,'26.08 Iganga-Kaliro-24h'!K100)</f>
        <v>0</v>
      </c>
      <c r="L100" s="49">
        <f>AVERAGE('24.08 Iganga-Kaliro-24h'!L100,'26.08 Iganga-Kaliro-24h'!L100)</f>
        <v>0</v>
      </c>
      <c r="M100" s="49">
        <f>AVERAGE('24.08 Iganga-Kaliro-24h'!M100,'26.08 Iganga-Kaliro-24h'!M100)</f>
        <v>1</v>
      </c>
      <c r="N100" s="49">
        <f>AVERAGE('24.08 Iganga-Kaliro-24h'!N100,'26.08 Iganga-Kaliro-24h'!N100)</f>
        <v>0</v>
      </c>
      <c r="O100" s="15">
        <f t="shared" si="35"/>
        <v>1.5</v>
      </c>
      <c r="P100" s="15">
        <f t="shared" si="36"/>
        <v>2.5</v>
      </c>
      <c r="R100" s="8"/>
      <c r="T100"/>
    </row>
    <row r="101" spans="2:20" ht="23.1" customHeight="1" x14ac:dyDescent="0.25">
      <c r="B101" s="23" t="s">
        <v>141</v>
      </c>
      <c r="C101" s="49">
        <f>AVERAGE('24.08 Iganga-Kaliro-24h'!C101,'26.08 Iganga-Kaliro-24h'!C101)</f>
        <v>1.5</v>
      </c>
      <c r="D101" s="49">
        <f>AVERAGE('24.08 Iganga-Kaliro-24h'!D101,'26.08 Iganga-Kaliro-24h'!D101)</f>
        <v>1.5</v>
      </c>
      <c r="E101" s="49">
        <f>AVERAGE('24.08 Iganga-Kaliro-24h'!E101,'26.08 Iganga-Kaliro-24h'!E101)</f>
        <v>0</v>
      </c>
      <c r="F101" s="49">
        <f>AVERAGE('24.08 Iganga-Kaliro-24h'!F101,'26.08 Iganga-Kaliro-24h'!F101)</f>
        <v>0</v>
      </c>
      <c r="G101" s="49">
        <f>AVERAGE('24.08 Iganga-Kaliro-24h'!G101,'26.08 Iganga-Kaliro-24h'!G101)</f>
        <v>0</v>
      </c>
      <c r="H101" s="49">
        <f>AVERAGE('24.08 Iganga-Kaliro-24h'!H101,'26.08 Iganga-Kaliro-24h'!H101)</f>
        <v>0</v>
      </c>
      <c r="I101" s="49">
        <f>AVERAGE('24.08 Iganga-Kaliro-24h'!I101,'26.08 Iganga-Kaliro-24h'!I101)</f>
        <v>0</v>
      </c>
      <c r="J101" s="49">
        <f>AVERAGE('24.08 Iganga-Kaliro-24h'!J101,'26.08 Iganga-Kaliro-24h'!J101)</f>
        <v>0</v>
      </c>
      <c r="K101" s="49">
        <f>AVERAGE('24.08 Iganga-Kaliro-24h'!K101,'26.08 Iganga-Kaliro-24h'!K101)</f>
        <v>0</v>
      </c>
      <c r="L101" s="49">
        <f>AVERAGE('24.08 Iganga-Kaliro-24h'!L101,'26.08 Iganga-Kaliro-24h'!L101)</f>
        <v>0</v>
      </c>
      <c r="M101" s="49">
        <f>AVERAGE('24.08 Iganga-Kaliro-24h'!M101,'26.08 Iganga-Kaliro-24h'!M101)</f>
        <v>5</v>
      </c>
      <c r="N101" s="49">
        <f>AVERAGE('24.08 Iganga-Kaliro-24h'!N101,'26.08 Iganga-Kaliro-24h'!N101)</f>
        <v>0</v>
      </c>
      <c r="O101" s="15">
        <f t="shared" si="35"/>
        <v>3</v>
      </c>
      <c r="P101" s="15">
        <f t="shared" si="36"/>
        <v>8</v>
      </c>
      <c r="R101" s="8"/>
      <c r="T101"/>
    </row>
    <row r="102" spans="2:20" ht="23.1" customHeight="1" x14ac:dyDescent="0.25">
      <c r="B102" s="24" t="s">
        <v>142</v>
      </c>
      <c r="C102" s="49">
        <f>AVERAGE('24.08 Iganga-Kaliro-24h'!C102,'26.08 Iganga-Kaliro-24h'!C102)</f>
        <v>2</v>
      </c>
      <c r="D102" s="49">
        <f>AVERAGE('24.08 Iganga-Kaliro-24h'!D102,'26.08 Iganga-Kaliro-24h'!D102)</f>
        <v>1.5</v>
      </c>
      <c r="E102" s="49">
        <f>AVERAGE('24.08 Iganga-Kaliro-24h'!E102,'26.08 Iganga-Kaliro-24h'!E102)</f>
        <v>1</v>
      </c>
      <c r="F102" s="49">
        <f>AVERAGE('24.08 Iganga-Kaliro-24h'!F102,'26.08 Iganga-Kaliro-24h'!F102)</f>
        <v>2</v>
      </c>
      <c r="G102" s="49">
        <f>AVERAGE('24.08 Iganga-Kaliro-24h'!G102,'26.08 Iganga-Kaliro-24h'!G102)</f>
        <v>0</v>
      </c>
      <c r="H102" s="49">
        <f>AVERAGE('24.08 Iganga-Kaliro-24h'!H102,'26.08 Iganga-Kaliro-24h'!H102)</f>
        <v>0</v>
      </c>
      <c r="I102" s="49">
        <f>AVERAGE('24.08 Iganga-Kaliro-24h'!I102,'26.08 Iganga-Kaliro-24h'!I102)</f>
        <v>1.5</v>
      </c>
      <c r="J102" s="49">
        <f>AVERAGE('24.08 Iganga-Kaliro-24h'!J102,'26.08 Iganga-Kaliro-24h'!J102)</f>
        <v>0</v>
      </c>
      <c r="K102" s="49">
        <f>AVERAGE('24.08 Iganga-Kaliro-24h'!K102,'26.08 Iganga-Kaliro-24h'!K102)</f>
        <v>0</v>
      </c>
      <c r="L102" s="49">
        <f>AVERAGE('24.08 Iganga-Kaliro-24h'!L102,'26.08 Iganga-Kaliro-24h'!L102)</f>
        <v>0</v>
      </c>
      <c r="M102" s="49">
        <f>AVERAGE('24.08 Iganga-Kaliro-24h'!M102,'26.08 Iganga-Kaliro-24h'!M102)</f>
        <v>22.5</v>
      </c>
      <c r="N102" s="49">
        <f>AVERAGE('24.08 Iganga-Kaliro-24h'!N102,'26.08 Iganga-Kaliro-24h'!N102)</f>
        <v>0</v>
      </c>
      <c r="O102" s="15">
        <f t="shared" si="35"/>
        <v>8</v>
      </c>
      <c r="P102" s="15">
        <f t="shared" si="36"/>
        <v>30.5</v>
      </c>
      <c r="R102" s="8"/>
      <c r="T102"/>
    </row>
    <row r="103" spans="2:20" ht="23.1" customHeight="1" x14ac:dyDescent="0.25">
      <c r="B103" s="23" t="s">
        <v>143</v>
      </c>
      <c r="C103" s="49">
        <f>AVERAGE('24.08 Iganga-Kaliro-24h'!C103,'26.08 Iganga-Kaliro-24h'!C103)</f>
        <v>2</v>
      </c>
      <c r="D103" s="49">
        <f>AVERAGE('24.08 Iganga-Kaliro-24h'!D103,'26.08 Iganga-Kaliro-24h'!D103)</f>
        <v>0.5</v>
      </c>
      <c r="E103" s="49">
        <f>AVERAGE('24.08 Iganga-Kaliro-24h'!E103,'26.08 Iganga-Kaliro-24h'!E103)</f>
        <v>0</v>
      </c>
      <c r="F103" s="49">
        <f>AVERAGE('24.08 Iganga-Kaliro-24h'!F103,'26.08 Iganga-Kaliro-24h'!F103)</f>
        <v>0</v>
      </c>
      <c r="G103" s="49">
        <f>AVERAGE('24.08 Iganga-Kaliro-24h'!G103,'26.08 Iganga-Kaliro-24h'!G103)</f>
        <v>0</v>
      </c>
      <c r="H103" s="49">
        <f>AVERAGE('24.08 Iganga-Kaliro-24h'!H103,'26.08 Iganga-Kaliro-24h'!H103)</f>
        <v>0</v>
      </c>
      <c r="I103" s="49">
        <f>AVERAGE('24.08 Iganga-Kaliro-24h'!I103,'26.08 Iganga-Kaliro-24h'!I103)</f>
        <v>0.5</v>
      </c>
      <c r="J103" s="49">
        <f>AVERAGE('24.08 Iganga-Kaliro-24h'!J103,'26.08 Iganga-Kaliro-24h'!J103)</f>
        <v>1.5</v>
      </c>
      <c r="K103" s="49">
        <f>AVERAGE('24.08 Iganga-Kaliro-24h'!K103,'26.08 Iganga-Kaliro-24h'!K103)</f>
        <v>0</v>
      </c>
      <c r="L103" s="49">
        <f>AVERAGE('24.08 Iganga-Kaliro-24h'!L103,'26.08 Iganga-Kaliro-24h'!L103)</f>
        <v>0</v>
      </c>
      <c r="M103" s="49">
        <f>AVERAGE('24.08 Iganga-Kaliro-24h'!M103,'26.08 Iganga-Kaliro-24h'!M103)</f>
        <v>16.5</v>
      </c>
      <c r="N103" s="49">
        <f>AVERAGE('24.08 Iganga-Kaliro-24h'!N103,'26.08 Iganga-Kaliro-24h'!N103)</f>
        <v>0</v>
      </c>
      <c r="O103" s="15">
        <f t="shared" si="35"/>
        <v>4.5</v>
      </c>
      <c r="P103" s="15">
        <f t="shared" si="36"/>
        <v>21</v>
      </c>
      <c r="R103" s="8"/>
      <c r="T103"/>
    </row>
    <row r="104" spans="2:20" ht="23.1" customHeight="1" x14ac:dyDescent="0.25">
      <c r="B104" s="25" t="s">
        <v>144</v>
      </c>
      <c r="C104" s="49">
        <f>AVERAGE('24.08 Iganga-Kaliro-24h'!C104,'26.08 Iganga-Kaliro-24h'!C104)</f>
        <v>0.5</v>
      </c>
      <c r="D104" s="49">
        <f>AVERAGE('24.08 Iganga-Kaliro-24h'!D104,'26.08 Iganga-Kaliro-24h'!D104)</f>
        <v>0.5</v>
      </c>
      <c r="E104" s="49">
        <f>AVERAGE('24.08 Iganga-Kaliro-24h'!E104,'26.08 Iganga-Kaliro-24h'!E104)</f>
        <v>0.5</v>
      </c>
      <c r="F104" s="49">
        <f>AVERAGE('24.08 Iganga-Kaliro-24h'!F104,'26.08 Iganga-Kaliro-24h'!F104)</f>
        <v>1</v>
      </c>
      <c r="G104" s="49">
        <f>AVERAGE('24.08 Iganga-Kaliro-24h'!G104,'26.08 Iganga-Kaliro-24h'!G104)</f>
        <v>0</v>
      </c>
      <c r="H104" s="49">
        <f>AVERAGE('24.08 Iganga-Kaliro-24h'!H104,'26.08 Iganga-Kaliro-24h'!H104)</f>
        <v>0</v>
      </c>
      <c r="I104" s="49">
        <f>AVERAGE('24.08 Iganga-Kaliro-24h'!I104,'26.08 Iganga-Kaliro-24h'!I104)</f>
        <v>0</v>
      </c>
      <c r="J104" s="49">
        <f>AVERAGE('24.08 Iganga-Kaliro-24h'!J104,'26.08 Iganga-Kaliro-24h'!J104)</f>
        <v>0</v>
      </c>
      <c r="K104" s="49">
        <f>AVERAGE('24.08 Iganga-Kaliro-24h'!K104,'26.08 Iganga-Kaliro-24h'!K104)</f>
        <v>0</v>
      </c>
      <c r="L104" s="49">
        <f>AVERAGE('24.08 Iganga-Kaliro-24h'!L104,'26.08 Iganga-Kaliro-24h'!L104)</f>
        <v>0</v>
      </c>
      <c r="M104" s="49">
        <f>AVERAGE('24.08 Iganga-Kaliro-24h'!M104,'26.08 Iganga-Kaliro-24h'!M104)</f>
        <v>27.5</v>
      </c>
      <c r="N104" s="49">
        <f>AVERAGE('24.08 Iganga-Kaliro-24h'!N104,'26.08 Iganga-Kaliro-24h'!N104)</f>
        <v>0</v>
      </c>
      <c r="O104" s="15">
        <f t="shared" si="35"/>
        <v>2.5</v>
      </c>
      <c r="P104" s="15">
        <f t="shared" si="36"/>
        <v>30</v>
      </c>
      <c r="R104" s="8"/>
      <c r="T104"/>
    </row>
    <row r="105" spans="2:20" ht="23.1" customHeight="1" x14ac:dyDescent="0.25">
      <c r="B105" s="23" t="s">
        <v>145</v>
      </c>
      <c r="C105" s="49">
        <f>AVERAGE('24.08 Iganga-Kaliro-24h'!C105,'26.08 Iganga-Kaliro-24h'!C105)</f>
        <v>1.5</v>
      </c>
      <c r="D105" s="49">
        <f>AVERAGE('24.08 Iganga-Kaliro-24h'!D105,'26.08 Iganga-Kaliro-24h'!D105)</f>
        <v>1.5</v>
      </c>
      <c r="E105" s="49">
        <f>AVERAGE('24.08 Iganga-Kaliro-24h'!E105,'26.08 Iganga-Kaliro-24h'!E105)</f>
        <v>0</v>
      </c>
      <c r="F105" s="49">
        <f>AVERAGE('24.08 Iganga-Kaliro-24h'!F105,'26.08 Iganga-Kaliro-24h'!F105)</f>
        <v>4</v>
      </c>
      <c r="G105" s="49">
        <f>AVERAGE('24.08 Iganga-Kaliro-24h'!G105,'26.08 Iganga-Kaliro-24h'!G105)</f>
        <v>0</v>
      </c>
      <c r="H105" s="49">
        <f>AVERAGE('24.08 Iganga-Kaliro-24h'!H105,'26.08 Iganga-Kaliro-24h'!H105)</f>
        <v>0</v>
      </c>
      <c r="I105" s="49">
        <f>AVERAGE('24.08 Iganga-Kaliro-24h'!I105,'26.08 Iganga-Kaliro-24h'!I105)</f>
        <v>0</v>
      </c>
      <c r="J105" s="49">
        <f>AVERAGE('24.08 Iganga-Kaliro-24h'!J105,'26.08 Iganga-Kaliro-24h'!J105)</f>
        <v>0</v>
      </c>
      <c r="K105" s="49">
        <f>AVERAGE('24.08 Iganga-Kaliro-24h'!K105,'26.08 Iganga-Kaliro-24h'!K105)</f>
        <v>0</v>
      </c>
      <c r="L105" s="49">
        <f>AVERAGE('24.08 Iganga-Kaliro-24h'!L105,'26.08 Iganga-Kaliro-24h'!L105)</f>
        <v>0</v>
      </c>
      <c r="M105" s="49">
        <f>AVERAGE('24.08 Iganga-Kaliro-24h'!M105,'26.08 Iganga-Kaliro-24h'!M105)</f>
        <v>15</v>
      </c>
      <c r="N105" s="49">
        <f>AVERAGE('24.08 Iganga-Kaliro-24h'!N105,'26.08 Iganga-Kaliro-24h'!N105)</f>
        <v>0</v>
      </c>
      <c r="O105" s="15">
        <f t="shared" si="35"/>
        <v>7</v>
      </c>
      <c r="P105" s="15">
        <f t="shared" si="36"/>
        <v>22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248.71428571428567</v>
      </c>
      <c r="D106" s="16">
        <f t="shared" ref="D106:P106" si="37">SUM(D10:D105)</f>
        <v>168.78571428571428</v>
      </c>
      <c r="E106" s="16">
        <f t="shared" si="37"/>
        <v>115.50000000000001</v>
      </c>
      <c r="F106" s="16">
        <f t="shared" si="37"/>
        <v>242.49999999999997</v>
      </c>
      <c r="G106" s="16">
        <f t="shared" si="37"/>
        <v>10.000000000000002</v>
      </c>
      <c r="H106" s="16">
        <f t="shared" si="37"/>
        <v>6</v>
      </c>
      <c r="I106" s="16">
        <f t="shared" si="37"/>
        <v>90.071428571428555</v>
      </c>
      <c r="J106" s="16">
        <f t="shared" si="37"/>
        <v>71.857142857142861</v>
      </c>
      <c r="K106" s="16">
        <f t="shared" si="37"/>
        <v>6.6428571428571432</v>
      </c>
      <c r="L106" s="16">
        <f t="shared" si="37"/>
        <v>1.9999999999999998</v>
      </c>
      <c r="M106" s="16">
        <f t="shared" si="37"/>
        <v>4591.2142857142862</v>
      </c>
      <c r="N106" s="16">
        <f t="shared" si="37"/>
        <v>2.5714285714285707</v>
      </c>
      <c r="O106" s="16">
        <f t="shared" si="37"/>
        <v>964.642857142857</v>
      </c>
      <c r="P106" s="16">
        <f t="shared" si="37"/>
        <v>5555.8571428571431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4.4766141266616946E-2</v>
      </c>
      <c r="D107" s="43">
        <f t="shared" si="38"/>
        <v>3.0379779383404897E-2</v>
      </c>
      <c r="E107" s="43">
        <f t="shared" si="38"/>
        <v>2.0788871461263531E-2</v>
      </c>
      <c r="F107" s="43">
        <f t="shared" si="38"/>
        <v>4.3647630557198315E-2</v>
      </c>
      <c r="G107" s="43">
        <f t="shared" si="38"/>
        <v>1.7999022910184879E-3</v>
      </c>
      <c r="H107" s="43">
        <f t="shared" si="38"/>
        <v>1.0799413746110924E-3</v>
      </c>
      <c r="I107" s="43">
        <f t="shared" si="38"/>
        <v>1.6211977064102229E-2</v>
      </c>
      <c r="J107" s="43">
        <f t="shared" si="38"/>
        <v>1.2933583605461417E-2</v>
      </c>
      <c r="K107" s="43">
        <f t="shared" si="38"/>
        <v>1.1956493790337096E-3</v>
      </c>
      <c r="L107" s="43">
        <f t="shared" si="38"/>
        <v>3.5998045820369746E-4</v>
      </c>
      <c r="M107" s="43">
        <f t="shared" si="38"/>
        <v>0.82637371114139524</v>
      </c>
      <c r="N107" s="43">
        <f t="shared" si="38"/>
        <v>4.6283201769046806E-4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0.25783043317289889</v>
      </c>
      <c r="D108" s="44">
        <f t="shared" ref="D108:N108" si="39">D106/$O$106</f>
        <v>0.17497223250647909</v>
      </c>
      <c r="E108" s="44">
        <f t="shared" si="39"/>
        <v>0.11973343206219922</v>
      </c>
      <c r="F108" s="44">
        <f t="shared" si="39"/>
        <v>0.25138837467604591</v>
      </c>
      <c r="G108" s="44">
        <f t="shared" si="39"/>
        <v>1.0366530914476124E-2</v>
      </c>
      <c r="H108" s="44">
        <f t="shared" si="39"/>
        <v>6.2199185486856729E-3</v>
      </c>
      <c r="I108" s="44">
        <f t="shared" si="39"/>
        <v>9.3372824879674188E-2</v>
      </c>
      <c r="J108" s="44">
        <f t="shared" si="39"/>
        <v>7.4490929285449856E-2</v>
      </c>
      <c r="K108" s="44">
        <f t="shared" si="39"/>
        <v>6.8863383931877095E-3</v>
      </c>
      <c r="L108" s="44">
        <f t="shared" si="39"/>
        <v>2.0733061828952242E-3</v>
      </c>
      <c r="M108" s="44"/>
      <c r="N108" s="44">
        <f t="shared" si="39"/>
        <v>2.665679378008145E-3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T100" sqref="T100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'28.08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'28.08 Kaliro-Iganga'!G5:H5</f>
        <v>Kigulu</v>
      </c>
      <c r="H5" s="62"/>
      <c r="I5" s="14"/>
      <c r="J5" s="2" t="s">
        <v>5</v>
      </c>
      <c r="K5" s="61" t="str">
        <f>'28.08 Kaliro-Iganga'!K5:L5</f>
        <v>Racheal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1" t="str">
        <f>'28.08 Kaliro-Iganga'!D6:E6</f>
        <v>Kaliro</v>
      </c>
      <c r="E6" s="62"/>
      <c r="F6" s="2" t="s">
        <v>2</v>
      </c>
      <c r="G6" s="61" t="str">
        <f>'28.08 Kaliro-Iganga'!G6:H6</f>
        <v>Iganga</v>
      </c>
      <c r="H6" s="62"/>
      <c r="J6" s="2" t="s">
        <v>21</v>
      </c>
      <c r="K6" s="61" t="str">
        <f>'28.08 Kaliro-Iganga'!K6:L6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AVERAGE('22.08 Kaliro-Iganga'!C10,'23.08 Kaliro-Iganga'!C10,'25.08 Kaliro-Iganga'!C10,'27.08 Kaliro-Iganga'!C10,'24.08 Kaliro-Iganga-24h'!C10,'26.08 Kaliro-Iganga-24h'!C10,'28.08 Kaliro-Iganga'!C10)</f>
        <v>3.2857142857142856</v>
      </c>
      <c r="D10" s="49">
        <f>AVERAGE('22.08 Kaliro-Iganga'!D10,'23.08 Kaliro-Iganga'!D10,'25.08 Kaliro-Iganga'!D10,'27.08 Kaliro-Iganga'!D10,'24.08 Kaliro-Iganga-24h'!D10,'26.08 Kaliro-Iganga-24h'!D10,'28.08 Kaliro-Iganga'!D10)</f>
        <v>1.2857142857142858</v>
      </c>
      <c r="E10" s="49">
        <f>AVERAGE('22.08 Kaliro-Iganga'!E10,'23.08 Kaliro-Iganga'!E10,'25.08 Kaliro-Iganga'!E10,'27.08 Kaliro-Iganga'!E10,'24.08 Kaliro-Iganga-24h'!E10,'26.08 Kaliro-Iganga-24h'!E10,'28.08 Kaliro-Iganga'!E10)</f>
        <v>2</v>
      </c>
      <c r="F10" s="49">
        <f>AVERAGE('22.08 Kaliro-Iganga'!F10,'23.08 Kaliro-Iganga'!F10,'25.08 Kaliro-Iganga'!F10,'27.08 Kaliro-Iganga'!F10,'24.08 Kaliro-Iganga-24h'!F10,'26.08 Kaliro-Iganga-24h'!F10,'28.08 Kaliro-Iganga'!F10)</f>
        <v>4.1428571428571432</v>
      </c>
      <c r="G10" s="49">
        <f>AVERAGE('22.08 Kaliro-Iganga'!G10,'23.08 Kaliro-Iganga'!G10,'25.08 Kaliro-Iganga'!G10,'27.08 Kaliro-Iganga'!G10,'24.08 Kaliro-Iganga-24h'!G10,'26.08 Kaliro-Iganga-24h'!G10,'28.08 Kaliro-Iganga'!G10)</f>
        <v>0</v>
      </c>
      <c r="H10" s="49">
        <f>AVERAGE('22.08 Kaliro-Iganga'!H10,'23.08 Kaliro-Iganga'!H10,'25.08 Kaliro-Iganga'!H10,'27.08 Kaliro-Iganga'!H10,'24.08 Kaliro-Iganga-24h'!H10,'26.08 Kaliro-Iganga-24h'!H10,'28.08 Kaliro-Iganga'!H10)</f>
        <v>0.14285714285714285</v>
      </c>
      <c r="I10" s="49">
        <f>AVERAGE('22.08 Kaliro-Iganga'!I10,'23.08 Kaliro-Iganga'!I10,'25.08 Kaliro-Iganga'!I10,'27.08 Kaliro-Iganga'!I10,'24.08 Kaliro-Iganga-24h'!I10,'26.08 Kaliro-Iganga-24h'!I10,'28.08 Kaliro-Iganga'!I10)</f>
        <v>1.2857142857142858</v>
      </c>
      <c r="J10" s="49">
        <f>AVERAGE('22.08 Kaliro-Iganga'!J10,'23.08 Kaliro-Iganga'!J10,'25.08 Kaliro-Iganga'!J10,'27.08 Kaliro-Iganga'!J10,'24.08 Kaliro-Iganga-24h'!J10,'26.08 Kaliro-Iganga-24h'!J10,'28.08 Kaliro-Iganga'!J10)</f>
        <v>0.5714285714285714</v>
      </c>
      <c r="K10" s="49">
        <f>AVERAGE('22.08 Kaliro-Iganga'!K10,'23.08 Kaliro-Iganga'!K10,'25.08 Kaliro-Iganga'!K10,'27.08 Kaliro-Iganga'!K10,'24.08 Kaliro-Iganga-24h'!K10,'26.08 Kaliro-Iganga-24h'!K10,'28.08 Kaliro-Iganga'!K10)</f>
        <v>0</v>
      </c>
      <c r="L10" s="49">
        <f>AVERAGE('22.08 Kaliro-Iganga'!L10,'23.08 Kaliro-Iganga'!L10,'25.08 Kaliro-Iganga'!L10,'27.08 Kaliro-Iganga'!L10,'24.08 Kaliro-Iganga-24h'!L10,'26.08 Kaliro-Iganga-24h'!L10,'28.08 Kaliro-Iganga'!L10)</f>
        <v>0</v>
      </c>
      <c r="M10" s="49">
        <f>AVERAGE('22.08 Kaliro-Iganga'!M10,'23.08 Kaliro-Iganga'!M10,'25.08 Kaliro-Iganga'!M10,'27.08 Kaliro-Iganga'!M10,'24.08 Kaliro-Iganga-24h'!M10,'26.08 Kaliro-Iganga-24h'!M10,'28.08 Kaliro-Iganga'!M10)</f>
        <v>60.428571428571431</v>
      </c>
      <c r="N10" s="49">
        <f>AVERAGE('22.08 Kaliro-Iganga'!N10,'23.08 Kaliro-Iganga'!N10,'25.08 Kaliro-Iganga'!N10,'27.08 Kaliro-Iganga'!N10,'24.08 Kaliro-Iganga-24h'!N10,'26.08 Kaliro-Iganga-24h'!N10,'28.08 Kaliro-Iganga'!N10)</f>
        <v>0</v>
      </c>
      <c r="O10" s="15">
        <f t="shared" ref="O10:O73" si="0">SUM(C10:L10,N10)</f>
        <v>12.714285714285715</v>
      </c>
      <c r="P10" s="15">
        <f t="shared" ref="P10:P73" si="1">SUM(C10:N10)</f>
        <v>73.142857142857139</v>
      </c>
      <c r="R10" s="1" t="s">
        <v>6</v>
      </c>
      <c r="S10" s="17">
        <f t="shared" ref="S10:AF10" si="2">SUM(C10:C13)</f>
        <v>10.714285714285715</v>
      </c>
      <c r="T10" s="17">
        <f t="shared" si="2"/>
        <v>3.285714285714286</v>
      </c>
      <c r="U10" s="17">
        <f t="shared" si="2"/>
        <v>6.5714285714285712</v>
      </c>
      <c r="V10" s="17">
        <f t="shared" si="2"/>
        <v>12.142857142857142</v>
      </c>
      <c r="W10" s="17">
        <f t="shared" si="2"/>
        <v>0</v>
      </c>
      <c r="X10" s="17">
        <f t="shared" si="2"/>
        <v>0.2857142857142857</v>
      </c>
      <c r="Y10" s="17">
        <f t="shared" si="2"/>
        <v>4.5714285714285721</v>
      </c>
      <c r="Z10" s="17">
        <f t="shared" si="2"/>
        <v>1.857142857142857</v>
      </c>
      <c r="AA10" s="17">
        <f t="shared" si="2"/>
        <v>0.71428571428571419</v>
      </c>
      <c r="AB10" s="17">
        <f t="shared" si="2"/>
        <v>0</v>
      </c>
      <c r="AC10" s="17">
        <f t="shared" si="2"/>
        <v>259.42857142857144</v>
      </c>
      <c r="AD10" s="17">
        <f t="shared" si="2"/>
        <v>0</v>
      </c>
      <c r="AE10" s="31">
        <f t="shared" si="2"/>
        <v>40.142857142857139</v>
      </c>
      <c r="AF10" s="31">
        <f t="shared" si="2"/>
        <v>299.57142857142856</v>
      </c>
    </row>
    <row r="11" spans="2:32" s="6" customFormat="1" ht="23.1" customHeight="1" x14ac:dyDescent="0.25">
      <c r="B11" s="23" t="s">
        <v>38</v>
      </c>
      <c r="C11" s="49">
        <f>AVERAGE('22.08 Kaliro-Iganga'!C11,'23.08 Kaliro-Iganga'!C11,'25.08 Kaliro-Iganga'!C11,'27.08 Kaliro-Iganga'!C11,'24.08 Kaliro-Iganga-24h'!C11,'26.08 Kaliro-Iganga-24h'!C11,'28.08 Kaliro-Iganga'!C11)</f>
        <v>3</v>
      </c>
      <c r="D11" s="49">
        <f>AVERAGE('22.08 Kaliro-Iganga'!D11,'23.08 Kaliro-Iganga'!D11,'25.08 Kaliro-Iganga'!D11,'27.08 Kaliro-Iganga'!D11,'24.08 Kaliro-Iganga-24h'!D11,'26.08 Kaliro-Iganga-24h'!D11,'28.08 Kaliro-Iganga'!D11)</f>
        <v>0.5714285714285714</v>
      </c>
      <c r="E11" s="49">
        <f>AVERAGE('22.08 Kaliro-Iganga'!E11,'23.08 Kaliro-Iganga'!E11,'25.08 Kaliro-Iganga'!E11,'27.08 Kaliro-Iganga'!E11,'24.08 Kaliro-Iganga-24h'!E11,'26.08 Kaliro-Iganga-24h'!E11,'28.08 Kaliro-Iganga'!E11)</f>
        <v>2.7142857142857144</v>
      </c>
      <c r="F11" s="49">
        <f>AVERAGE('22.08 Kaliro-Iganga'!F11,'23.08 Kaliro-Iganga'!F11,'25.08 Kaliro-Iganga'!F11,'27.08 Kaliro-Iganga'!F11,'24.08 Kaliro-Iganga-24h'!F11,'26.08 Kaliro-Iganga-24h'!F11,'28.08 Kaliro-Iganga'!F11)</f>
        <v>3.5714285714285716</v>
      </c>
      <c r="G11" s="49">
        <f>AVERAGE('22.08 Kaliro-Iganga'!G11,'23.08 Kaliro-Iganga'!G11,'25.08 Kaliro-Iganga'!G11,'27.08 Kaliro-Iganga'!G11,'24.08 Kaliro-Iganga-24h'!G11,'26.08 Kaliro-Iganga-24h'!G11,'28.08 Kaliro-Iganga'!G11)</f>
        <v>0</v>
      </c>
      <c r="H11" s="49">
        <f>AVERAGE('22.08 Kaliro-Iganga'!H11,'23.08 Kaliro-Iganga'!H11,'25.08 Kaliro-Iganga'!H11,'27.08 Kaliro-Iganga'!H11,'24.08 Kaliro-Iganga-24h'!H11,'26.08 Kaliro-Iganga-24h'!H11,'28.08 Kaliro-Iganga'!H11)</f>
        <v>0</v>
      </c>
      <c r="I11" s="49">
        <f>AVERAGE('22.08 Kaliro-Iganga'!I11,'23.08 Kaliro-Iganga'!I11,'25.08 Kaliro-Iganga'!I11,'27.08 Kaliro-Iganga'!I11,'24.08 Kaliro-Iganga-24h'!I11,'26.08 Kaliro-Iganga-24h'!I11,'28.08 Kaliro-Iganga'!I11)</f>
        <v>0.5714285714285714</v>
      </c>
      <c r="J11" s="49">
        <f>AVERAGE('22.08 Kaliro-Iganga'!J11,'23.08 Kaliro-Iganga'!J11,'25.08 Kaliro-Iganga'!J11,'27.08 Kaliro-Iganga'!J11,'24.08 Kaliro-Iganga-24h'!J11,'26.08 Kaliro-Iganga-24h'!J11,'28.08 Kaliro-Iganga'!J11)</f>
        <v>0.8571428571428571</v>
      </c>
      <c r="K11" s="49">
        <f>AVERAGE('22.08 Kaliro-Iganga'!K11,'23.08 Kaliro-Iganga'!K11,'25.08 Kaliro-Iganga'!K11,'27.08 Kaliro-Iganga'!K11,'24.08 Kaliro-Iganga-24h'!K11,'26.08 Kaliro-Iganga-24h'!K11,'28.08 Kaliro-Iganga'!K11)</f>
        <v>0.2857142857142857</v>
      </c>
      <c r="L11" s="49">
        <f>AVERAGE('22.08 Kaliro-Iganga'!L11,'23.08 Kaliro-Iganga'!L11,'25.08 Kaliro-Iganga'!L11,'27.08 Kaliro-Iganga'!L11,'24.08 Kaliro-Iganga-24h'!L11,'26.08 Kaliro-Iganga-24h'!L11,'28.08 Kaliro-Iganga'!L11)</f>
        <v>0</v>
      </c>
      <c r="M11" s="49">
        <f>AVERAGE('22.08 Kaliro-Iganga'!M11,'23.08 Kaliro-Iganga'!M11,'25.08 Kaliro-Iganga'!M11,'27.08 Kaliro-Iganga'!M11,'24.08 Kaliro-Iganga-24h'!M11,'26.08 Kaliro-Iganga-24h'!M11,'28.08 Kaliro-Iganga'!M11)</f>
        <v>69.285714285714292</v>
      </c>
      <c r="N11" s="49">
        <f>AVERAGE('22.08 Kaliro-Iganga'!N11,'23.08 Kaliro-Iganga'!N11,'25.08 Kaliro-Iganga'!N11,'27.08 Kaliro-Iganga'!N11,'24.08 Kaliro-Iganga-24h'!N11,'26.08 Kaliro-Iganga-24h'!N11,'28.08 Kaliro-Iganga'!N11)</f>
        <v>0</v>
      </c>
      <c r="O11" s="15">
        <f t="shared" si="0"/>
        <v>11.571428571428573</v>
      </c>
      <c r="P11" s="15">
        <f t="shared" si="1"/>
        <v>80.857142857142861</v>
      </c>
      <c r="R11" s="1" t="s">
        <v>7</v>
      </c>
      <c r="S11" s="17">
        <f t="shared" ref="S11:AF11" si="3">SUM(C14:C17)</f>
        <v>10.571428571428573</v>
      </c>
      <c r="T11" s="17">
        <f t="shared" si="3"/>
        <v>2.714285714285714</v>
      </c>
      <c r="U11" s="17">
        <f t="shared" si="3"/>
        <v>3.8571428571428577</v>
      </c>
      <c r="V11" s="17">
        <f t="shared" si="3"/>
        <v>12.857142857142858</v>
      </c>
      <c r="W11" s="17">
        <f t="shared" si="3"/>
        <v>0.14285714285714285</v>
      </c>
      <c r="X11" s="17">
        <f t="shared" si="3"/>
        <v>0.14285714285714285</v>
      </c>
      <c r="Y11" s="17">
        <f t="shared" si="3"/>
        <v>3.4285714285714284</v>
      </c>
      <c r="Z11" s="17">
        <f t="shared" si="3"/>
        <v>1.2857142857142856</v>
      </c>
      <c r="AA11" s="17">
        <f t="shared" si="3"/>
        <v>0.5714285714285714</v>
      </c>
      <c r="AB11" s="17">
        <f t="shared" si="3"/>
        <v>0</v>
      </c>
      <c r="AC11" s="17">
        <f t="shared" si="3"/>
        <v>281.85714285714289</v>
      </c>
      <c r="AD11" s="17">
        <f t="shared" si="3"/>
        <v>0</v>
      </c>
      <c r="AE11" s="31">
        <f t="shared" si="3"/>
        <v>35.571428571428569</v>
      </c>
      <c r="AF11" s="31">
        <f t="shared" si="3"/>
        <v>317.42857142857144</v>
      </c>
    </row>
    <row r="12" spans="2:32" ht="23.1" customHeight="1" x14ac:dyDescent="0.25">
      <c r="B12" s="23" t="s">
        <v>39</v>
      </c>
      <c r="C12" s="49">
        <f>AVERAGE('22.08 Kaliro-Iganga'!C12,'23.08 Kaliro-Iganga'!C12,'25.08 Kaliro-Iganga'!C12,'27.08 Kaliro-Iganga'!C12,'24.08 Kaliro-Iganga-24h'!C12,'26.08 Kaliro-Iganga-24h'!C12,'28.08 Kaliro-Iganga'!C12)</f>
        <v>2.5714285714285716</v>
      </c>
      <c r="D12" s="49">
        <f>AVERAGE('22.08 Kaliro-Iganga'!D12,'23.08 Kaliro-Iganga'!D12,'25.08 Kaliro-Iganga'!D12,'27.08 Kaliro-Iganga'!D12,'24.08 Kaliro-Iganga-24h'!D12,'26.08 Kaliro-Iganga-24h'!D12,'28.08 Kaliro-Iganga'!D12)</f>
        <v>0.5714285714285714</v>
      </c>
      <c r="E12" s="49">
        <f>AVERAGE('22.08 Kaliro-Iganga'!E12,'23.08 Kaliro-Iganga'!E12,'25.08 Kaliro-Iganga'!E12,'27.08 Kaliro-Iganga'!E12,'24.08 Kaliro-Iganga-24h'!E12,'26.08 Kaliro-Iganga-24h'!E12,'28.08 Kaliro-Iganga'!E12)</f>
        <v>0.8571428571428571</v>
      </c>
      <c r="F12" s="49">
        <f>AVERAGE('22.08 Kaliro-Iganga'!F12,'23.08 Kaliro-Iganga'!F12,'25.08 Kaliro-Iganga'!F12,'27.08 Kaliro-Iganga'!F12,'24.08 Kaliro-Iganga-24h'!F12,'26.08 Kaliro-Iganga-24h'!F12,'28.08 Kaliro-Iganga'!F12)</f>
        <v>2.1428571428571428</v>
      </c>
      <c r="G12" s="49">
        <f>AVERAGE('22.08 Kaliro-Iganga'!G12,'23.08 Kaliro-Iganga'!G12,'25.08 Kaliro-Iganga'!G12,'27.08 Kaliro-Iganga'!G12,'24.08 Kaliro-Iganga-24h'!G12,'26.08 Kaliro-Iganga-24h'!G12,'28.08 Kaliro-Iganga'!G12)</f>
        <v>0</v>
      </c>
      <c r="H12" s="49">
        <f>AVERAGE('22.08 Kaliro-Iganga'!H12,'23.08 Kaliro-Iganga'!H12,'25.08 Kaliro-Iganga'!H12,'27.08 Kaliro-Iganga'!H12,'24.08 Kaliro-Iganga-24h'!H12,'26.08 Kaliro-Iganga-24h'!H12,'28.08 Kaliro-Iganga'!H12)</f>
        <v>0</v>
      </c>
      <c r="I12" s="49">
        <f>AVERAGE('22.08 Kaliro-Iganga'!I12,'23.08 Kaliro-Iganga'!I12,'25.08 Kaliro-Iganga'!I12,'27.08 Kaliro-Iganga'!I12,'24.08 Kaliro-Iganga-24h'!I12,'26.08 Kaliro-Iganga-24h'!I12,'28.08 Kaliro-Iganga'!I12)</f>
        <v>1.2857142857142858</v>
      </c>
      <c r="J12" s="49">
        <f>AVERAGE('22.08 Kaliro-Iganga'!J12,'23.08 Kaliro-Iganga'!J12,'25.08 Kaliro-Iganga'!J12,'27.08 Kaliro-Iganga'!J12,'24.08 Kaliro-Iganga-24h'!J12,'26.08 Kaliro-Iganga-24h'!J12,'28.08 Kaliro-Iganga'!J12)</f>
        <v>0.42857142857142855</v>
      </c>
      <c r="K12" s="49">
        <f>AVERAGE('22.08 Kaliro-Iganga'!K12,'23.08 Kaliro-Iganga'!K12,'25.08 Kaliro-Iganga'!K12,'27.08 Kaliro-Iganga'!K12,'24.08 Kaliro-Iganga-24h'!K12,'26.08 Kaliro-Iganga-24h'!K12,'28.08 Kaliro-Iganga'!K12)</f>
        <v>0.42857142857142855</v>
      </c>
      <c r="L12" s="49">
        <f>AVERAGE('22.08 Kaliro-Iganga'!L12,'23.08 Kaliro-Iganga'!L12,'25.08 Kaliro-Iganga'!L12,'27.08 Kaliro-Iganga'!L12,'24.08 Kaliro-Iganga-24h'!L12,'26.08 Kaliro-Iganga-24h'!L12,'28.08 Kaliro-Iganga'!L12)</f>
        <v>0</v>
      </c>
      <c r="M12" s="49">
        <f>AVERAGE('22.08 Kaliro-Iganga'!M12,'23.08 Kaliro-Iganga'!M12,'25.08 Kaliro-Iganga'!M12,'27.08 Kaliro-Iganga'!M12,'24.08 Kaliro-Iganga-24h'!M12,'26.08 Kaliro-Iganga-24h'!M12,'28.08 Kaliro-Iganga'!M12)</f>
        <v>66.714285714285708</v>
      </c>
      <c r="N12" s="49">
        <f>AVERAGE('22.08 Kaliro-Iganga'!N12,'23.08 Kaliro-Iganga'!N12,'25.08 Kaliro-Iganga'!N12,'27.08 Kaliro-Iganga'!N12,'24.08 Kaliro-Iganga-24h'!N12,'26.08 Kaliro-Iganga-24h'!N12,'28.08 Kaliro-Iganga'!N12)</f>
        <v>0</v>
      </c>
      <c r="O12" s="15">
        <f t="shared" si="0"/>
        <v>8.2857142857142847</v>
      </c>
      <c r="P12" s="15">
        <f t="shared" si="1"/>
        <v>75</v>
      </c>
      <c r="R12" s="1" t="s">
        <v>8</v>
      </c>
      <c r="S12" s="17">
        <f t="shared" ref="S12:AF12" si="4">SUM(C18:C21)</f>
        <v>13.285714285714286</v>
      </c>
      <c r="T12" s="17">
        <f t="shared" si="4"/>
        <v>3.7142857142857144</v>
      </c>
      <c r="U12" s="17">
        <f t="shared" si="4"/>
        <v>3.4285714285714288</v>
      </c>
      <c r="V12" s="17">
        <f t="shared" si="4"/>
        <v>16.142857142857142</v>
      </c>
      <c r="W12" s="17">
        <f t="shared" si="4"/>
        <v>1.8571428571428572</v>
      </c>
      <c r="X12" s="17">
        <f t="shared" si="4"/>
        <v>0.14285714285714285</v>
      </c>
      <c r="Y12" s="17">
        <f t="shared" si="4"/>
        <v>4.4285714285714288</v>
      </c>
      <c r="Z12" s="17">
        <f t="shared" si="4"/>
        <v>2.5714285714285712</v>
      </c>
      <c r="AA12" s="17">
        <f t="shared" si="4"/>
        <v>0.5714285714285714</v>
      </c>
      <c r="AB12" s="17">
        <f t="shared" si="4"/>
        <v>0</v>
      </c>
      <c r="AC12" s="17">
        <f t="shared" si="4"/>
        <v>315.71428571428567</v>
      </c>
      <c r="AD12" s="17">
        <f t="shared" si="4"/>
        <v>0</v>
      </c>
      <c r="AE12" s="31">
        <f t="shared" si="4"/>
        <v>46.142857142857139</v>
      </c>
      <c r="AF12" s="31">
        <f t="shared" si="4"/>
        <v>361.85714285714289</v>
      </c>
    </row>
    <row r="13" spans="2:32" ht="23.1" customHeight="1" x14ac:dyDescent="0.25">
      <c r="B13" s="23" t="s">
        <v>40</v>
      </c>
      <c r="C13" s="49">
        <f>AVERAGE('22.08 Kaliro-Iganga'!C13,'23.08 Kaliro-Iganga'!C13,'25.08 Kaliro-Iganga'!C13,'27.08 Kaliro-Iganga'!C13,'24.08 Kaliro-Iganga-24h'!C13,'26.08 Kaliro-Iganga-24h'!C13,'28.08 Kaliro-Iganga'!C13)</f>
        <v>1.8571428571428572</v>
      </c>
      <c r="D13" s="49">
        <f>AVERAGE('22.08 Kaliro-Iganga'!D13,'23.08 Kaliro-Iganga'!D13,'25.08 Kaliro-Iganga'!D13,'27.08 Kaliro-Iganga'!D13,'24.08 Kaliro-Iganga-24h'!D13,'26.08 Kaliro-Iganga-24h'!D13,'28.08 Kaliro-Iganga'!D13)</f>
        <v>0.8571428571428571</v>
      </c>
      <c r="E13" s="49">
        <f>AVERAGE('22.08 Kaliro-Iganga'!E13,'23.08 Kaliro-Iganga'!E13,'25.08 Kaliro-Iganga'!E13,'27.08 Kaliro-Iganga'!E13,'24.08 Kaliro-Iganga-24h'!E13,'26.08 Kaliro-Iganga-24h'!E13,'28.08 Kaliro-Iganga'!E13)</f>
        <v>1</v>
      </c>
      <c r="F13" s="49">
        <f>AVERAGE('22.08 Kaliro-Iganga'!F13,'23.08 Kaliro-Iganga'!F13,'25.08 Kaliro-Iganga'!F13,'27.08 Kaliro-Iganga'!F13,'24.08 Kaliro-Iganga-24h'!F13,'26.08 Kaliro-Iganga-24h'!F13,'28.08 Kaliro-Iganga'!F13)</f>
        <v>2.2857142857142856</v>
      </c>
      <c r="G13" s="49">
        <f>AVERAGE('22.08 Kaliro-Iganga'!G13,'23.08 Kaliro-Iganga'!G13,'25.08 Kaliro-Iganga'!G13,'27.08 Kaliro-Iganga'!G13,'24.08 Kaliro-Iganga-24h'!G13,'26.08 Kaliro-Iganga-24h'!G13,'28.08 Kaliro-Iganga'!G13)</f>
        <v>0</v>
      </c>
      <c r="H13" s="49">
        <f>AVERAGE('22.08 Kaliro-Iganga'!H13,'23.08 Kaliro-Iganga'!H13,'25.08 Kaliro-Iganga'!H13,'27.08 Kaliro-Iganga'!H13,'24.08 Kaliro-Iganga-24h'!H13,'26.08 Kaliro-Iganga-24h'!H13,'28.08 Kaliro-Iganga'!H13)</f>
        <v>0.14285714285714285</v>
      </c>
      <c r="I13" s="49">
        <f>AVERAGE('22.08 Kaliro-Iganga'!I13,'23.08 Kaliro-Iganga'!I13,'25.08 Kaliro-Iganga'!I13,'27.08 Kaliro-Iganga'!I13,'24.08 Kaliro-Iganga-24h'!I13,'26.08 Kaliro-Iganga-24h'!I13,'28.08 Kaliro-Iganga'!I13)</f>
        <v>1.4285714285714286</v>
      </c>
      <c r="J13" s="49">
        <f>AVERAGE('22.08 Kaliro-Iganga'!J13,'23.08 Kaliro-Iganga'!J13,'25.08 Kaliro-Iganga'!J13,'27.08 Kaliro-Iganga'!J13,'24.08 Kaliro-Iganga-24h'!J13,'26.08 Kaliro-Iganga-24h'!J13,'28.08 Kaliro-Iganga'!J13)</f>
        <v>0</v>
      </c>
      <c r="K13" s="49">
        <f>AVERAGE('22.08 Kaliro-Iganga'!K13,'23.08 Kaliro-Iganga'!K13,'25.08 Kaliro-Iganga'!K13,'27.08 Kaliro-Iganga'!K13,'24.08 Kaliro-Iganga-24h'!K13,'26.08 Kaliro-Iganga-24h'!K13,'28.08 Kaliro-Iganga'!K13)</f>
        <v>0</v>
      </c>
      <c r="L13" s="49">
        <f>AVERAGE('22.08 Kaliro-Iganga'!L13,'23.08 Kaliro-Iganga'!L13,'25.08 Kaliro-Iganga'!L13,'27.08 Kaliro-Iganga'!L13,'24.08 Kaliro-Iganga-24h'!L13,'26.08 Kaliro-Iganga-24h'!L13,'28.08 Kaliro-Iganga'!L13)</f>
        <v>0</v>
      </c>
      <c r="M13" s="49">
        <f>AVERAGE('22.08 Kaliro-Iganga'!M13,'23.08 Kaliro-Iganga'!M13,'25.08 Kaliro-Iganga'!M13,'27.08 Kaliro-Iganga'!M13,'24.08 Kaliro-Iganga-24h'!M13,'26.08 Kaliro-Iganga-24h'!M13,'28.08 Kaliro-Iganga'!M13)</f>
        <v>63</v>
      </c>
      <c r="N13" s="49">
        <f>AVERAGE('22.08 Kaliro-Iganga'!N13,'23.08 Kaliro-Iganga'!N13,'25.08 Kaliro-Iganga'!N13,'27.08 Kaliro-Iganga'!N13,'24.08 Kaliro-Iganga-24h'!N13,'26.08 Kaliro-Iganga-24h'!N13,'28.08 Kaliro-Iganga'!N13)</f>
        <v>0</v>
      </c>
      <c r="O13" s="15">
        <f t="shared" si="0"/>
        <v>7.5714285714285721</v>
      </c>
      <c r="P13" s="15">
        <f t="shared" si="1"/>
        <v>70.571428571428569</v>
      </c>
      <c r="R13" s="1" t="s">
        <v>9</v>
      </c>
      <c r="S13" s="17">
        <f t="shared" ref="S13:AF13" si="5">SUM(C22:C25)</f>
        <v>16</v>
      </c>
      <c r="T13" s="17">
        <f t="shared" si="5"/>
        <v>4.2857142857142856</v>
      </c>
      <c r="U13" s="17">
        <f t="shared" si="5"/>
        <v>4.7142857142857144</v>
      </c>
      <c r="V13" s="17">
        <f t="shared" si="5"/>
        <v>12.857142857142858</v>
      </c>
      <c r="W13" s="17">
        <f t="shared" si="5"/>
        <v>0.2857142857142857</v>
      </c>
      <c r="X13" s="17">
        <f t="shared" si="5"/>
        <v>0</v>
      </c>
      <c r="Y13" s="17">
        <f t="shared" si="5"/>
        <v>6.7142857142857144</v>
      </c>
      <c r="Z13" s="17">
        <f t="shared" si="5"/>
        <v>2.5714285714285716</v>
      </c>
      <c r="AA13" s="17">
        <f t="shared" si="5"/>
        <v>0.85714285714285721</v>
      </c>
      <c r="AB13" s="17">
        <f t="shared" si="5"/>
        <v>0</v>
      </c>
      <c r="AC13" s="17">
        <f t="shared" si="5"/>
        <v>318</v>
      </c>
      <c r="AD13" s="17">
        <f t="shared" si="5"/>
        <v>0.42857142857142855</v>
      </c>
      <c r="AE13" s="31">
        <f t="shared" si="5"/>
        <v>48.714285714285708</v>
      </c>
      <c r="AF13" s="31">
        <f t="shared" si="5"/>
        <v>366.71428571428572</v>
      </c>
    </row>
    <row r="14" spans="2:32" ht="23.1" customHeight="1" x14ac:dyDescent="0.25">
      <c r="B14" s="23" t="s">
        <v>41</v>
      </c>
      <c r="C14" s="49">
        <f>AVERAGE('22.08 Kaliro-Iganga'!C14,'23.08 Kaliro-Iganga'!C14,'25.08 Kaliro-Iganga'!C14,'27.08 Kaliro-Iganga'!C14,'24.08 Kaliro-Iganga-24h'!C14,'26.08 Kaliro-Iganga-24h'!C14,'28.08 Kaliro-Iganga'!C14)</f>
        <v>3.1428571428571428</v>
      </c>
      <c r="D14" s="49">
        <f>AVERAGE('22.08 Kaliro-Iganga'!D14,'23.08 Kaliro-Iganga'!D14,'25.08 Kaliro-Iganga'!D14,'27.08 Kaliro-Iganga'!D14,'24.08 Kaliro-Iganga-24h'!D14,'26.08 Kaliro-Iganga-24h'!D14,'28.08 Kaliro-Iganga'!D14)</f>
        <v>1.1428571428571428</v>
      </c>
      <c r="E14" s="49">
        <f>AVERAGE('22.08 Kaliro-Iganga'!E14,'23.08 Kaliro-Iganga'!E14,'25.08 Kaliro-Iganga'!E14,'27.08 Kaliro-Iganga'!E14,'24.08 Kaliro-Iganga-24h'!E14,'26.08 Kaliro-Iganga-24h'!E14,'28.08 Kaliro-Iganga'!E14)</f>
        <v>1.1428571428571428</v>
      </c>
      <c r="F14" s="49">
        <f>AVERAGE('22.08 Kaliro-Iganga'!F14,'23.08 Kaliro-Iganga'!F14,'25.08 Kaliro-Iganga'!F14,'27.08 Kaliro-Iganga'!F14,'24.08 Kaliro-Iganga-24h'!F14,'26.08 Kaliro-Iganga-24h'!F14,'28.08 Kaliro-Iganga'!F14)</f>
        <v>2.8571428571428572</v>
      </c>
      <c r="G14" s="49">
        <f>AVERAGE('22.08 Kaliro-Iganga'!G14,'23.08 Kaliro-Iganga'!G14,'25.08 Kaliro-Iganga'!G14,'27.08 Kaliro-Iganga'!G14,'24.08 Kaliro-Iganga-24h'!G14,'26.08 Kaliro-Iganga-24h'!G14,'28.08 Kaliro-Iganga'!G14)</f>
        <v>0</v>
      </c>
      <c r="H14" s="49">
        <f>AVERAGE('22.08 Kaliro-Iganga'!H14,'23.08 Kaliro-Iganga'!H14,'25.08 Kaliro-Iganga'!H14,'27.08 Kaliro-Iganga'!H14,'24.08 Kaliro-Iganga-24h'!H14,'26.08 Kaliro-Iganga-24h'!H14,'28.08 Kaliro-Iganga'!H14)</f>
        <v>0</v>
      </c>
      <c r="I14" s="49">
        <f>AVERAGE('22.08 Kaliro-Iganga'!I14,'23.08 Kaliro-Iganga'!I14,'25.08 Kaliro-Iganga'!I14,'27.08 Kaliro-Iganga'!I14,'24.08 Kaliro-Iganga-24h'!I14,'26.08 Kaliro-Iganga-24h'!I14,'28.08 Kaliro-Iganga'!I14)</f>
        <v>1</v>
      </c>
      <c r="J14" s="49">
        <f>AVERAGE('22.08 Kaliro-Iganga'!J14,'23.08 Kaliro-Iganga'!J14,'25.08 Kaliro-Iganga'!J14,'27.08 Kaliro-Iganga'!J14,'24.08 Kaliro-Iganga-24h'!J14,'26.08 Kaliro-Iganga-24h'!J14,'28.08 Kaliro-Iganga'!J14)</f>
        <v>0.2857142857142857</v>
      </c>
      <c r="K14" s="49">
        <f>AVERAGE('22.08 Kaliro-Iganga'!K14,'23.08 Kaliro-Iganga'!K14,'25.08 Kaliro-Iganga'!K14,'27.08 Kaliro-Iganga'!K14,'24.08 Kaliro-Iganga-24h'!K14,'26.08 Kaliro-Iganga-24h'!K14,'28.08 Kaliro-Iganga'!K14)</f>
        <v>0.2857142857142857</v>
      </c>
      <c r="L14" s="49">
        <f>AVERAGE('22.08 Kaliro-Iganga'!L14,'23.08 Kaliro-Iganga'!L14,'25.08 Kaliro-Iganga'!L14,'27.08 Kaliro-Iganga'!L14,'24.08 Kaliro-Iganga-24h'!L14,'26.08 Kaliro-Iganga-24h'!L14,'28.08 Kaliro-Iganga'!L14)</f>
        <v>0</v>
      </c>
      <c r="M14" s="49">
        <f>AVERAGE('22.08 Kaliro-Iganga'!M14,'23.08 Kaliro-Iganga'!M14,'25.08 Kaliro-Iganga'!M14,'27.08 Kaliro-Iganga'!M14,'24.08 Kaliro-Iganga-24h'!M14,'26.08 Kaliro-Iganga-24h'!M14,'28.08 Kaliro-Iganga'!M14)</f>
        <v>61.714285714285715</v>
      </c>
      <c r="N14" s="49">
        <f>AVERAGE('22.08 Kaliro-Iganga'!N14,'23.08 Kaliro-Iganga'!N14,'25.08 Kaliro-Iganga'!N14,'27.08 Kaliro-Iganga'!N14,'24.08 Kaliro-Iganga-24h'!N14,'26.08 Kaliro-Iganga-24h'!N14,'28.08 Kaliro-Iganga'!N14)</f>
        <v>0</v>
      </c>
      <c r="O14" s="15">
        <f t="shared" si="0"/>
        <v>9.8571428571428594</v>
      </c>
      <c r="P14" s="15">
        <f t="shared" si="1"/>
        <v>71.571428571428569</v>
      </c>
      <c r="R14" s="1" t="s">
        <v>10</v>
      </c>
      <c r="S14" s="17">
        <f t="shared" ref="S14:AF14" si="6">SUM(C26:C29)</f>
        <v>20.857142857142858</v>
      </c>
      <c r="T14" s="17">
        <f t="shared" si="6"/>
        <v>2.4285714285714284</v>
      </c>
      <c r="U14" s="17">
        <f t="shared" si="6"/>
        <v>3.8571428571428568</v>
      </c>
      <c r="V14" s="17">
        <f t="shared" si="6"/>
        <v>13.428571428571429</v>
      </c>
      <c r="W14" s="17">
        <f t="shared" si="6"/>
        <v>0.14285714285714285</v>
      </c>
      <c r="X14" s="17">
        <f t="shared" si="6"/>
        <v>0</v>
      </c>
      <c r="Y14" s="17">
        <f t="shared" si="6"/>
        <v>4.7142857142857144</v>
      </c>
      <c r="Z14" s="17">
        <f t="shared" si="6"/>
        <v>2.8571428571428568</v>
      </c>
      <c r="AA14" s="17">
        <f t="shared" si="6"/>
        <v>0.2857142857142857</v>
      </c>
      <c r="AB14" s="17">
        <f t="shared" si="6"/>
        <v>0.14285714285714285</v>
      </c>
      <c r="AC14" s="17">
        <f t="shared" si="6"/>
        <v>322.57142857142856</v>
      </c>
      <c r="AD14" s="17">
        <f t="shared" si="6"/>
        <v>0.14285714285714285</v>
      </c>
      <c r="AE14" s="31">
        <f t="shared" si="6"/>
        <v>48.857142857142854</v>
      </c>
      <c r="AF14" s="31">
        <f t="shared" si="6"/>
        <v>371.4285714285715</v>
      </c>
    </row>
    <row r="15" spans="2:32" ht="23.1" customHeight="1" x14ac:dyDescent="0.25">
      <c r="B15" s="23" t="s">
        <v>42</v>
      </c>
      <c r="C15" s="49">
        <f>AVERAGE('22.08 Kaliro-Iganga'!C15,'23.08 Kaliro-Iganga'!C15,'25.08 Kaliro-Iganga'!C15,'27.08 Kaliro-Iganga'!C15,'24.08 Kaliro-Iganga-24h'!C15,'26.08 Kaliro-Iganga-24h'!C15,'28.08 Kaliro-Iganga'!C15)</f>
        <v>2.5714285714285716</v>
      </c>
      <c r="D15" s="49">
        <f>AVERAGE('22.08 Kaliro-Iganga'!D15,'23.08 Kaliro-Iganga'!D15,'25.08 Kaliro-Iganga'!D15,'27.08 Kaliro-Iganga'!D15,'24.08 Kaliro-Iganga-24h'!D15,'26.08 Kaliro-Iganga-24h'!D15,'28.08 Kaliro-Iganga'!D15)</f>
        <v>0.8571428571428571</v>
      </c>
      <c r="E15" s="49">
        <f>AVERAGE('22.08 Kaliro-Iganga'!E15,'23.08 Kaliro-Iganga'!E15,'25.08 Kaliro-Iganga'!E15,'27.08 Kaliro-Iganga'!E15,'24.08 Kaliro-Iganga-24h'!E15,'26.08 Kaliro-Iganga-24h'!E15,'28.08 Kaliro-Iganga'!E15)</f>
        <v>1.2857142857142858</v>
      </c>
      <c r="F15" s="49">
        <f>AVERAGE('22.08 Kaliro-Iganga'!F15,'23.08 Kaliro-Iganga'!F15,'25.08 Kaliro-Iganga'!F15,'27.08 Kaliro-Iganga'!F15,'24.08 Kaliro-Iganga-24h'!F15,'26.08 Kaliro-Iganga-24h'!F15,'28.08 Kaliro-Iganga'!F15)</f>
        <v>2.8571428571428572</v>
      </c>
      <c r="G15" s="49">
        <f>AVERAGE('22.08 Kaliro-Iganga'!G15,'23.08 Kaliro-Iganga'!G15,'25.08 Kaliro-Iganga'!G15,'27.08 Kaliro-Iganga'!G15,'24.08 Kaliro-Iganga-24h'!G15,'26.08 Kaliro-Iganga-24h'!G15,'28.08 Kaliro-Iganga'!G15)</f>
        <v>0</v>
      </c>
      <c r="H15" s="49">
        <f>AVERAGE('22.08 Kaliro-Iganga'!H15,'23.08 Kaliro-Iganga'!H15,'25.08 Kaliro-Iganga'!H15,'27.08 Kaliro-Iganga'!H15,'24.08 Kaliro-Iganga-24h'!H15,'26.08 Kaliro-Iganga-24h'!H15,'28.08 Kaliro-Iganga'!H15)</f>
        <v>0</v>
      </c>
      <c r="I15" s="49">
        <f>AVERAGE('22.08 Kaliro-Iganga'!I15,'23.08 Kaliro-Iganga'!I15,'25.08 Kaliro-Iganga'!I15,'27.08 Kaliro-Iganga'!I15,'24.08 Kaliro-Iganga-24h'!I15,'26.08 Kaliro-Iganga-24h'!I15,'28.08 Kaliro-Iganga'!I15)</f>
        <v>0.2857142857142857</v>
      </c>
      <c r="J15" s="49">
        <f>AVERAGE('22.08 Kaliro-Iganga'!J15,'23.08 Kaliro-Iganga'!J15,'25.08 Kaliro-Iganga'!J15,'27.08 Kaliro-Iganga'!J15,'24.08 Kaliro-Iganga-24h'!J15,'26.08 Kaliro-Iganga-24h'!J15,'28.08 Kaliro-Iganga'!J15)</f>
        <v>0.42857142857142855</v>
      </c>
      <c r="K15" s="49">
        <f>AVERAGE('22.08 Kaliro-Iganga'!K15,'23.08 Kaliro-Iganga'!K15,'25.08 Kaliro-Iganga'!K15,'27.08 Kaliro-Iganga'!K15,'24.08 Kaliro-Iganga-24h'!K15,'26.08 Kaliro-Iganga-24h'!K15,'28.08 Kaliro-Iganga'!K15)</f>
        <v>0.14285714285714285</v>
      </c>
      <c r="L15" s="49">
        <f>AVERAGE('22.08 Kaliro-Iganga'!L15,'23.08 Kaliro-Iganga'!L15,'25.08 Kaliro-Iganga'!L15,'27.08 Kaliro-Iganga'!L15,'24.08 Kaliro-Iganga-24h'!L15,'26.08 Kaliro-Iganga-24h'!L15,'28.08 Kaliro-Iganga'!L15)</f>
        <v>0</v>
      </c>
      <c r="M15" s="49">
        <f>AVERAGE('22.08 Kaliro-Iganga'!M15,'23.08 Kaliro-Iganga'!M15,'25.08 Kaliro-Iganga'!M15,'27.08 Kaliro-Iganga'!M15,'24.08 Kaliro-Iganga-24h'!M15,'26.08 Kaliro-Iganga-24h'!M15,'28.08 Kaliro-Iganga'!M15)</f>
        <v>61.428571428571431</v>
      </c>
      <c r="N15" s="49">
        <f>AVERAGE('22.08 Kaliro-Iganga'!N15,'23.08 Kaliro-Iganga'!N15,'25.08 Kaliro-Iganga'!N15,'27.08 Kaliro-Iganga'!N15,'24.08 Kaliro-Iganga-24h'!N15,'26.08 Kaliro-Iganga-24h'!N15,'28.08 Kaliro-Iganga'!N15)</f>
        <v>0</v>
      </c>
      <c r="O15" s="15">
        <f t="shared" si="0"/>
        <v>8.428571428571427</v>
      </c>
      <c r="P15" s="15">
        <f t="shared" si="1"/>
        <v>69.857142857142861</v>
      </c>
      <c r="R15" s="1" t="s">
        <v>11</v>
      </c>
      <c r="S15" s="17">
        <f t="shared" ref="S15:AF15" si="7">SUM(C30:C33)</f>
        <v>11.714285714285714</v>
      </c>
      <c r="T15" s="17">
        <f t="shared" si="7"/>
        <v>3.1428571428571428</v>
      </c>
      <c r="U15" s="17">
        <f t="shared" si="7"/>
        <v>3.4285714285714284</v>
      </c>
      <c r="V15" s="17">
        <f t="shared" si="7"/>
        <v>10.142857142857144</v>
      </c>
      <c r="W15" s="17">
        <f t="shared" si="7"/>
        <v>0.42857142857142855</v>
      </c>
      <c r="X15" s="17">
        <f t="shared" si="7"/>
        <v>0</v>
      </c>
      <c r="Y15" s="17">
        <f t="shared" si="7"/>
        <v>5.9999999999999991</v>
      </c>
      <c r="Z15" s="17">
        <f t="shared" si="7"/>
        <v>3.7142857142857144</v>
      </c>
      <c r="AA15" s="17">
        <f t="shared" si="7"/>
        <v>0.99999999999999989</v>
      </c>
      <c r="AB15" s="17">
        <f t="shared" si="7"/>
        <v>0.2857142857142857</v>
      </c>
      <c r="AC15" s="17">
        <f t="shared" si="7"/>
        <v>307</v>
      </c>
      <c r="AD15" s="17">
        <f t="shared" si="7"/>
        <v>0.2857142857142857</v>
      </c>
      <c r="AE15" s="31">
        <f t="shared" si="7"/>
        <v>40.142857142857139</v>
      </c>
      <c r="AF15" s="31">
        <f t="shared" si="7"/>
        <v>347.14285714285717</v>
      </c>
    </row>
    <row r="16" spans="2:32" ht="23.1" customHeight="1" x14ac:dyDescent="0.25">
      <c r="B16" s="23" t="s">
        <v>43</v>
      </c>
      <c r="C16" s="49">
        <f>AVERAGE('22.08 Kaliro-Iganga'!C16,'23.08 Kaliro-Iganga'!C16,'25.08 Kaliro-Iganga'!C16,'27.08 Kaliro-Iganga'!C16,'24.08 Kaliro-Iganga-24h'!C16,'26.08 Kaliro-Iganga-24h'!C16,'28.08 Kaliro-Iganga'!C16)</f>
        <v>2.1428571428571428</v>
      </c>
      <c r="D16" s="49">
        <f>AVERAGE('22.08 Kaliro-Iganga'!D16,'23.08 Kaliro-Iganga'!D16,'25.08 Kaliro-Iganga'!D16,'27.08 Kaliro-Iganga'!D16,'24.08 Kaliro-Iganga-24h'!D16,'26.08 Kaliro-Iganga-24h'!D16,'28.08 Kaliro-Iganga'!D16)</f>
        <v>0.2857142857142857</v>
      </c>
      <c r="E16" s="49">
        <f>AVERAGE('22.08 Kaliro-Iganga'!E16,'23.08 Kaliro-Iganga'!E16,'25.08 Kaliro-Iganga'!E16,'27.08 Kaliro-Iganga'!E16,'24.08 Kaliro-Iganga-24h'!E16,'26.08 Kaliro-Iganga-24h'!E16,'28.08 Kaliro-Iganga'!E16)</f>
        <v>0.14285714285714285</v>
      </c>
      <c r="F16" s="49">
        <f>AVERAGE('22.08 Kaliro-Iganga'!F16,'23.08 Kaliro-Iganga'!F16,'25.08 Kaliro-Iganga'!F16,'27.08 Kaliro-Iganga'!F16,'24.08 Kaliro-Iganga-24h'!F16,'26.08 Kaliro-Iganga-24h'!F16,'28.08 Kaliro-Iganga'!F16)</f>
        <v>3.2857142857142856</v>
      </c>
      <c r="G16" s="49">
        <f>AVERAGE('22.08 Kaliro-Iganga'!G16,'23.08 Kaliro-Iganga'!G16,'25.08 Kaliro-Iganga'!G16,'27.08 Kaliro-Iganga'!G16,'24.08 Kaliro-Iganga-24h'!G16,'26.08 Kaliro-Iganga-24h'!G16,'28.08 Kaliro-Iganga'!G16)</f>
        <v>0.14285714285714285</v>
      </c>
      <c r="H16" s="49">
        <f>AVERAGE('22.08 Kaliro-Iganga'!H16,'23.08 Kaliro-Iganga'!H16,'25.08 Kaliro-Iganga'!H16,'27.08 Kaliro-Iganga'!H16,'24.08 Kaliro-Iganga-24h'!H16,'26.08 Kaliro-Iganga-24h'!H16,'28.08 Kaliro-Iganga'!H16)</f>
        <v>0.14285714285714285</v>
      </c>
      <c r="I16" s="49">
        <f>AVERAGE('22.08 Kaliro-Iganga'!I16,'23.08 Kaliro-Iganga'!I16,'25.08 Kaliro-Iganga'!I16,'27.08 Kaliro-Iganga'!I16,'24.08 Kaliro-Iganga-24h'!I16,'26.08 Kaliro-Iganga-24h'!I16,'28.08 Kaliro-Iganga'!I16)</f>
        <v>1.1428571428571428</v>
      </c>
      <c r="J16" s="49">
        <f>AVERAGE('22.08 Kaliro-Iganga'!J16,'23.08 Kaliro-Iganga'!J16,'25.08 Kaliro-Iganga'!J16,'27.08 Kaliro-Iganga'!J16,'24.08 Kaliro-Iganga-24h'!J16,'26.08 Kaliro-Iganga-24h'!J16,'28.08 Kaliro-Iganga'!J16)</f>
        <v>0.14285714285714285</v>
      </c>
      <c r="K16" s="49">
        <f>AVERAGE('22.08 Kaliro-Iganga'!K16,'23.08 Kaliro-Iganga'!K16,'25.08 Kaliro-Iganga'!K16,'27.08 Kaliro-Iganga'!K16,'24.08 Kaliro-Iganga-24h'!K16,'26.08 Kaliro-Iganga-24h'!K16,'28.08 Kaliro-Iganga'!K16)</f>
        <v>0.14285714285714285</v>
      </c>
      <c r="L16" s="49">
        <f>AVERAGE('22.08 Kaliro-Iganga'!L16,'23.08 Kaliro-Iganga'!L16,'25.08 Kaliro-Iganga'!L16,'27.08 Kaliro-Iganga'!L16,'24.08 Kaliro-Iganga-24h'!L16,'26.08 Kaliro-Iganga-24h'!L16,'28.08 Kaliro-Iganga'!L16)</f>
        <v>0</v>
      </c>
      <c r="M16" s="49">
        <f>AVERAGE('22.08 Kaliro-Iganga'!M16,'23.08 Kaliro-Iganga'!M16,'25.08 Kaliro-Iganga'!M16,'27.08 Kaliro-Iganga'!M16,'24.08 Kaliro-Iganga-24h'!M16,'26.08 Kaliro-Iganga-24h'!M16,'28.08 Kaliro-Iganga'!M16)</f>
        <v>73.857142857142861</v>
      </c>
      <c r="N16" s="49">
        <f>AVERAGE('22.08 Kaliro-Iganga'!N16,'23.08 Kaliro-Iganga'!N16,'25.08 Kaliro-Iganga'!N16,'27.08 Kaliro-Iganga'!N16,'24.08 Kaliro-Iganga-24h'!N16,'26.08 Kaliro-Iganga-24h'!N16,'28.08 Kaliro-Iganga'!N16)</f>
        <v>0</v>
      </c>
      <c r="O16" s="15">
        <f t="shared" si="0"/>
        <v>7.571428571428573</v>
      </c>
      <c r="P16" s="15">
        <f t="shared" si="1"/>
        <v>81.428571428571431</v>
      </c>
      <c r="R16" s="1" t="s">
        <v>12</v>
      </c>
      <c r="S16" s="17">
        <f t="shared" ref="S16:AF16" si="8">SUM(C34:C37)</f>
        <v>12.571428571428571</v>
      </c>
      <c r="T16" s="17">
        <f t="shared" si="8"/>
        <v>5</v>
      </c>
      <c r="U16" s="17">
        <f t="shared" si="8"/>
        <v>4.5714285714285712</v>
      </c>
      <c r="V16" s="17">
        <f t="shared" si="8"/>
        <v>10.142857142857142</v>
      </c>
      <c r="W16" s="17">
        <f t="shared" si="8"/>
        <v>0.42857142857142855</v>
      </c>
      <c r="X16" s="17">
        <f t="shared" si="8"/>
        <v>0</v>
      </c>
      <c r="Y16" s="17">
        <f t="shared" si="8"/>
        <v>4.4285714285714288</v>
      </c>
      <c r="Z16" s="17">
        <f t="shared" si="8"/>
        <v>3.5714285714285712</v>
      </c>
      <c r="AA16" s="17">
        <f t="shared" si="8"/>
        <v>0.5714285714285714</v>
      </c>
      <c r="AB16" s="17">
        <f t="shared" si="8"/>
        <v>0</v>
      </c>
      <c r="AC16" s="17">
        <f t="shared" si="8"/>
        <v>290.85714285714289</v>
      </c>
      <c r="AD16" s="17">
        <f t="shared" si="8"/>
        <v>0</v>
      </c>
      <c r="AE16" s="31">
        <f t="shared" si="8"/>
        <v>41.285714285714292</v>
      </c>
      <c r="AF16" s="31">
        <f t="shared" si="8"/>
        <v>332.14285714285717</v>
      </c>
    </row>
    <row r="17" spans="2:32" ht="23.1" customHeight="1" x14ac:dyDescent="0.25">
      <c r="B17" s="23" t="s">
        <v>44</v>
      </c>
      <c r="C17" s="49">
        <f>AVERAGE('22.08 Kaliro-Iganga'!C17,'23.08 Kaliro-Iganga'!C17,'25.08 Kaliro-Iganga'!C17,'27.08 Kaliro-Iganga'!C17,'24.08 Kaliro-Iganga-24h'!C17,'26.08 Kaliro-Iganga-24h'!C17,'28.08 Kaliro-Iganga'!C17)</f>
        <v>2.7142857142857144</v>
      </c>
      <c r="D17" s="49">
        <f>AVERAGE('22.08 Kaliro-Iganga'!D17,'23.08 Kaliro-Iganga'!D17,'25.08 Kaliro-Iganga'!D17,'27.08 Kaliro-Iganga'!D17,'24.08 Kaliro-Iganga-24h'!D17,'26.08 Kaliro-Iganga-24h'!D17,'28.08 Kaliro-Iganga'!D17)</f>
        <v>0.42857142857142855</v>
      </c>
      <c r="E17" s="49">
        <f>AVERAGE('22.08 Kaliro-Iganga'!E17,'23.08 Kaliro-Iganga'!E17,'25.08 Kaliro-Iganga'!E17,'27.08 Kaliro-Iganga'!E17,'24.08 Kaliro-Iganga-24h'!E17,'26.08 Kaliro-Iganga-24h'!E17,'28.08 Kaliro-Iganga'!E17)</f>
        <v>1.2857142857142858</v>
      </c>
      <c r="F17" s="49">
        <f>AVERAGE('22.08 Kaliro-Iganga'!F17,'23.08 Kaliro-Iganga'!F17,'25.08 Kaliro-Iganga'!F17,'27.08 Kaliro-Iganga'!F17,'24.08 Kaliro-Iganga-24h'!F17,'26.08 Kaliro-Iganga-24h'!F17,'28.08 Kaliro-Iganga'!F17)</f>
        <v>3.8571428571428572</v>
      </c>
      <c r="G17" s="49">
        <f>AVERAGE('22.08 Kaliro-Iganga'!G17,'23.08 Kaliro-Iganga'!G17,'25.08 Kaliro-Iganga'!G17,'27.08 Kaliro-Iganga'!G17,'24.08 Kaliro-Iganga-24h'!G17,'26.08 Kaliro-Iganga-24h'!G17,'28.08 Kaliro-Iganga'!G17)</f>
        <v>0</v>
      </c>
      <c r="H17" s="49">
        <f>AVERAGE('22.08 Kaliro-Iganga'!H17,'23.08 Kaliro-Iganga'!H17,'25.08 Kaliro-Iganga'!H17,'27.08 Kaliro-Iganga'!H17,'24.08 Kaliro-Iganga-24h'!H17,'26.08 Kaliro-Iganga-24h'!H17,'28.08 Kaliro-Iganga'!H17)</f>
        <v>0</v>
      </c>
      <c r="I17" s="49">
        <f>AVERAGE('22.08 Kaliro-Iganga'!I17,'23.08 Kaliro-Iganga'!I17,'25.08 Kaliro-Iganga'!I17,'27.08 Kaliro-Iganga'!I17,'24.08 Kaliro-Iganga-24h'!I17,'26.08 Kaliro-Iganga-24h'!I17,'28.08 Kaliro-Iganga'!I17)</f>
        <v>1</v>
      </c>
      <c r="J17" s="49">
        <f>AVERAGE('22.08 Kaliro-Iganga'!J17,'23.08 Kaliro-Iganga'!J17,'25.08 Kaliro-Iganga'!J17,'27.08 Kaliro-Iganga'!J17,'24.08 Kaliro-Iganga-24h'!J17,'26.08 Kaliro-Iganga-24h'!J17,'28.08 Kaliro-Iganga'!J17)</f>
        <v>0.42857142857142855</v>
      </c>
      <c r="K17" s="49">
        <f>AVERAGE('22.08 Kaliro-Iganga'!K17,'23.08 Kaliro-Iganga'!K17,'25.08 Kaliro-Iganga'!K17,'27.08 Kaliro-Iganga'!K17,'24.08 Kaliro-Iganga-24h'!K17,'26.08 Kaliro-Iganga-24h'!K17,'28.08 Kaliro-Iganga'!K17)</f>
        <v>0</v>
      </c>
      <c r="L17" s="49">
        <f>AVERAGE('22.08 Kaliro-Iganga'!L17,'23.08 Kaliro-Iganga'!L17,'25.08 Kaliro-Iganga'!L17,'27.08 Kaliro-Iganga'!L17,'24.08 Kaliro-Iganga-24h'!L17,'26.08 Kaliro-Iganga-24h'!L17,'28.08 Kaliro-Iganga'!L17)</f>
        <v>0</v>
      </c>
      <c r="M17" s="49">
        <f>AVERAGE('22.08 Kaliro-Iganga'!M17,'23.08 Kaliro-Iganga'!M17,'25.08 Kaliro-Iganga'!M17,'27.08 Kaliro-Iganga'!M17,'24.08 Kaliro-Iganga-24h'!M17,'26.08 Kaliro-Iganga-24h'!M17,'28.08 Kaliro-Iganga'!M17)</f>
        <v>84.857142857142861</v>
      </c>
      <c r="N17" s="49">
        <f>AVERAGE('22.08 Kaliro-Iganga'!N17,'23.08 Kaliro-Iganga'!N17,'25.08 Kaliro-Iganga'!N17,'27.08 Kaliro-Iganga'!N17,'24.08 Kaliro-Iganga-24h'!N17,'26.08 Kaliro-Iganga-24h'!N17,'28.08 Kaliro-Iganga'!N17)</f>
        <v>0</v>
      </c>
      <c r="O17" s="15">
        <f t="shared" si="0"/>
        <v>9.7142857142857153</v>
      </c>
      <c r="P17" s="15">
        <f t="shared" si="1"/>
        <v>94.571428571428584</v>
      </c>
      <c r="R17" s="1" t="s">
        <v>13</v>
      </c>
      <c r="S17" s="17">
        <f t="shared" ref="S17:AF17" si="9">SUM(C38:C41)</f>
        <v>16.857142857142858</v>
      </c>
      <c r="T17" s="17">
        <f t="shared" si="9"/>
        <v>5.4285714285714288</v>
      </c>
      <c r="U17" s="17">
        <f t="shared" si="9"/>
        <v>3.4285714285714288</v>
      </c>
      <c r="V17" s="17">
        <f t="shared" si="9"/>
        <v>14.714285714285715</v>
      </c>
      <c r="W17" s="17">
        <f t="shared" si="9"/>
        <v>0.14285714285714285</v>
      </c>
      <c r="X17" s="17">
        <f t="shared" si="9"/>
        <v>0.2857142857142857</v>
      </c>
      <c r="Y17" s="17">
        <f t="shared" si="9"/>
        <v>4.2857142857142856</v>
      </c>
      <c r="Z17" s="17">
        <f t="shared" si="9"/>
        <v>3</v>
      </c>
      <c r="AA17" s="17">
        <f t="shared" si="9"/>
        <v>0.14285714285714285</v>
      </c>
      <c r="AB17" s="17">
        <f t="shared" si="9"/>
        <v>0</v>
      </c>
      <c r="AC17" s="17">
        <f t="shared" si="9"/>
        <v>293.57142857142856</v>
      </c>
      <c r="AD17" s="17">
        <f t="shared" si="9"/>
        <v>0.14285714285714285</v>
      </c>
      <c r="AE17" s="31">
        <f t="shared" si="9"/>
        <v>48.428571428571423</v>
      </c>
      <c r="AF17" s="31">
        <f t="shared" si="9"/>
        <v>342</v>
      </c>
    </row>
    <row r="18" spans="2:32" ht="23.1" customHeight="1" x14ac:dyDescent="0.25">
      <c r="B18" s="23" t="s">
        <v>45</v>
      </c>
      <c r="C18" s="49">
        <f>AVERAGE('22.08 Kaliro-Iganga'!C18,'23.08 Kaliro-Iganga'!C18,'25.08 Kaliro-Iganga'!C18,'27.08 Kaliro-Iganga'!C18,'24.08 Kaliro-Iganga-24h'!C18,'26.08 Kaliro-Iganga-24h'!C18,'28.08 Kaliro-Iganga'!C18)</f>
        <v>4</v>
      </c>
      <c r="D18" s="49">
        <f>AVERAGE('22.08 Kaliro-Iganga'!D18,'23.08 Kaliro-Iganga'!D18,'25.08 Kaliro-Iganga'!D18,'27.08 Kaliro-Iganga'!D18,'24.08 Kaliro-Iganga-24h'!D18,'26.08 Kaliro-Iganga-24h'!D18,'28.08 Kaliro-Iganga'!D18)</f>
        <v>1.2857142857142858</v>
      </c>
      <c r="E18" s="49">
        <f>AVERAGE('22.08 Kaliro-Iganga'!E18,'23.08 Kaliro-Iganga'!E18,'25.08 Kaliro-Iganga'!E18,'27.08 Kaliro-Iganga'!E18,'24.08 Kaliro-Iganga-24h'!E18,'26.08 Kaliro-Iganga-24h'!E18,'28.08 Kaliro-Iganga'!E18)</f>
        <v>1.2857142857142858</v>
      </c>
      <c r="F18" s="49">
        <f>AVERAGE('22.08 Kaliro-Iganga'!F18,'23.08 Kaliro-Iganga'!F18,'25.08 Kaliro-Iganga'!F18,'27.08 Kaliro-Iganga'!F18,'24.08 Kaliro-Iganga-24h'!F18,'26.08 Kaliro-Iganga-24h'!F18,'28.08 Kaliro-Iganga'!F18)</f>
        <v>5</v>
      </c>
      <c r="G18" s="49">
        <f>AVERAGE('22.08 Kaliro-Iganga'!G18,'23.08 Kaliro-Iganga'!G18,'25.08 Kaliro-Iganga'!G18,'27.08 Kaliro-Iganga'!G18,'24.08 Kaliro-Iganga-24h'!G18,'26.08 Kaliro-Iganga-24h'!G18,'28.08 Kaliro-Iganga'!G18)</f>
        <v>0.2857142857142857</v>
      </c>
      <c r="H18" s="49">
        <f>AVERAGE('22.08 Kaliro-Iganga'!H18,'23.08 Kaliro-Iganga'!H18,'25.08 Kaliro-Iganga'!H18,'27.08 Kaliro-Iganga'!H18,'24.08 Kaliro-Iganga-24h'!H18,'26.08 Kaliro-Iganga-24h'!H18,'28.08 Kaliro-Iganga'!H18)</f>
        <v>0</v>
      </c>
      <c r="I18" s="49">
        <f>AVERAGE('22.08 Kaliro-Iganga'!I18,'23.08 Kaliro-Iganga'!I18,'25.08 Kaliro-Iganga'!I18,'27.08 Kaliro-Iganga'!I18,'24.08 Kaliro-Iganga-24h'!I18,'26.08 Kaliro-Iganga-24h'!I18,'28.08 Kaliro-Iganga'!I18)</f>
        <v>1.4285714285714286</v>
      </c>
      <c r="J18" s="49">
        <f>AVERAGE('22.08 Kaliro-Iganga'!J18,'23.08 Kaliro-Iganga'!J18,'25.08 Kaliro-Iganga'!J18,'27.08 Kaliro-Iganga'!J18,'24.08 Kaliro-Iganga-24h'!J18,'26.08 Kaliro-Iganga-24h'!J18,'28.08 Kaliro-Iganga'!J18)</f>
        <v>0.7142857142857143</v>
      </c>
      <c r="K18" s="49">
        <f>AVERAGE('22.08 Kaliro-Iganga'!K18,'23.08 Kaliro-Iganga'!K18,'25.08 Kaliro-Iganga'!K18,'27.08 Kaliro-Iganga'!K18,'24.08 Kaliro-Iganga-24h'!K18,'26.08 Kaliro-Iganga-24h'!K18,'28.08 Kaliro-Iganga'!K18)</f>
        <v>0.2857142857142857</v>
      </c>
      <c r="L18" s="49">
        <f>AVERAGE('22.08 Kaliro-Iganga'!L18,'23.08 Kaliro-Iganga'!L18,'25.08 Kaliro-Iganga'!L18,'27.08 Kaliro-Iganga'!L18,'24.08 Kaliro-Iganga-24h'!L18,'26.08 Kaliro-Iganga-24h'!L18,'28.08 Kaliro-Iganga'!L18)</f>
        <v>0</v>
      </c>
      <c r="M18" s="49">
        <f>AVERAGE('22.08 Kaliro-Iganga'!M18,'23.08 Kaliro-Iganga'!M18,'25.08 Kaliro-Iganga'!M18,'27.08 Kaliro-Iganga'!M18,'24.08 Kaliro-Iganga-24h'!M18,'26.08 Kaliro-Iganga-24h'!M18,'28.08 Kaliro-Iganga'!M18)</f>
        <v>79.714285714285708</v>
      </c>
      <c r="N18" s="49">
        <f>AVERAGE('22.08 Kaliro-Iganga'!N18,'23.08 Kaliro-Iganga'!N18,'25.08 Kaliro-Iganga'!N18,'27.08 Kaliro-Iganga'!N18,'24.08 Kaliro-Iganga-24h'!N18,'26.08 Kaliro-Iganga-24h'!N18,'28.08 Kaliro-Iganga'!N18)</f>
        <v>0</v>
      </c>
      <c r="O18" s="15">
        <f t="shared" si="0"/>
        <v>14.285714285714286</v>
      </c>
      <c r="P18" s="15">
        <f t="shared" si="1"/>
        <v>94</v>
      </c>
      <c r="R18" s="1" t="s">
        <v>14</v>
      </c>
      <c r="S18" s="17">
        <f t="shared" ref="S18:AF18" si="10">SUM(C42:C45)</f>
        <v>15</v>
      </c>
      <c r="T18" s="17">
        <f t="shared" si="10"/>
        <v>5.2857142857142847</v>
      </c>
      <c r="U18" s="17">
        <f t="shared" si="10"/>
        <v>6.2857142857142856</v>
      </c>
      <c r="V18" s="17">
        <f t="shared" si="10"/>
        <v>13.285714285714286</v>
      </c>
      <c r="W18" s="17">
        <f t="shared" si="10"/>
        <v>0.42857142857142855</v>
      </c>
      <c r="X18" s="17">
        <f t="shared" si="10"/>
        <v>0</v>
      </c>
      <c r="Y18" s="17">
        <f t="shared" si="10"/>
        <v>5.8571428571428577</v>
      </c>
      <c r="Z18" s="17">
        <f t="shared" si="10"/>
        <v>4.5714285714285721</v>
      </c>
      <c r="AA18" s="17">
        <f t="shared" si="10"/>
        <v>0.5714285714285714</v>
      </c>
      <c r="AB18" s="17">
        <f t="shared" si="10"/>
        <v>0.14285714285714285</v>
      </c>
      <c r="AC18" s="17">
        <f t="shared" si="10"/>
        <v>286.71428571428572</v>
      </c>
      <c r="AD18" s="17">
        <f t="shared" si="10"/>
        <v>0</v>
      </c>
      <c r="AE18" s="31">
        <f t="shared" si="10"/>
        <v>51.428571428571423</v>
      </c>
      <c r="AF18" s="31">
        <f t="shared" si="10"/>
        <v>338.14285714285717</v>
      </c>
    </row>
    <row r="19" spans="2:32" ht="23.1" customHeight="1" x14ac:dyDescent="0.25">
      <c r="B19" s="23" t="s">
        <v>46</v>
      </c>
      <c r="C19" s="49">
        <f>AVERAGE('22.08 Kaliro-Iganga'!C19,'23.08 Kaliro-Iganga'!C19,'25.08 Kaliro-Iganga'!C19,'27.08 Kaliro-Iganga'!C19,'24.08 Kaliro-Iganga-24h'!C19,'26.08 Kaliro-Iganga-24h'!C19,'28.08 Kaliro-Iganga'!C19)</f>
        <v>3.8571428571428572</v>
      </c>
      <c r="D19" s="49">
        <f>AVERAGE('22.08 Kaliro-Iganga'!D19,'23.08 Kaliro-Iganga'!D19,'25.08 Kaliro-Iganga'!D19,'27.08 Kaliro-Iganga'!D19,'24.08 Kaliro-Iganga-24h'!D19,'26.08 Kaliro-Iganga-24h'!D19,'28.08 Kaliro-Iganga'!D19)</f>
        <v>1.2857142857142858</v>
      </c>
      <c r="E19" s="49">
        <f>AVERAGE('22.08 Kaliro-Iganga'!E19,'23.08 Kaliro-Iganga'!E19,'25.08 Kaliro-Iganga'!E19,'27.08 Kaliro-Iganga'!E19,'24.08 Kaliro-Iganga-24h'!E19,'26.08 Kaliro-Iganga-24h'!E19,'28.08 Kaliro-Iganga'!E19)</f>
        <v>0.8571428571428571</v>
      </c>
      <c r="F19" s="49">
        <f>AVERAGE('22.08 Kaliro-Iganga'!F19,'23.08 Kaliro-Iganga'!F19,'25.08 Kaliro-Iganga'!F19,'27.08 Kaliro-Iganga'!F19,'24.08 Kaliro-Iganga-24h'!F19,'26.08 Kaliro-Iganga-24h'!F19,'28.08 Kaliro-Iganga'!F19)</f>
        <v>5.2857142857142856</v>
      </c>
      <c r="G19" s="49">
        <f>AVERAGE('22.08 Kaliro-Iganga'!G19,'23.08 Kaliro-Iganga'!G19,'25.08 Kaliro-Iganga'!G19,'27.08 Kaliro-Iganga'!G19,'24.08 Kaliro-Iganga-24h'!G19,'26.08 Kaliro-Iganga-24h'!G19,'28.08 Kaliro-Iganga'!G19)</f>
        <v>0.14285714285714285</v>
      </c>
      <c r="H19" s="49">
        <f>AVERAGE('22.08 Kaliro-Iganga'!H19,'23.08 Kaliro-Iganga'!H19,'25.08 Kaliro-Iganga'!H19,'27.08 Kaliro-Iganga'!H19,'24.08 Kaliro-Iganga-24h'!H19,'26.08 Kaliro-Iganga-24h'!H19,'28.08 Kaliro-Iganga'!H19)</f>
        <v>0.14285714285714285</v>
      </c>
      <c r="I19" s="49">
        <f>AVERAGE('22.08 Kaliro-Iganga'!I19,'23.08 Kaliro-Iganga'!I19,'25.08 Kaliro-Iganga'!I19,'27.08 Kaliro-Iganga'!I19,'24.08 Kaliro-Iganga-24h'!I19,'26.08 Kaliro-Iganga-24h'!I19,'28.08 Kaliro-Iganga'!I19)</f>
        <v>1.4285714285714286</v>
      </c>
      <c r="J19" s="49">
        <f>AVERAGE('22.08 Kaliro-Iganga'!J19,'23.08 Kaliro-Iganga'!J19,'25.08 Kaliro-Iganga'!J19,'27.08 Kaliro-Iganga'!J19,'24.08 Kaliro-Iganga-24h'!J19,'26.08 Kaliro-Iganga-24h'!J19,'28.08 Kaliro-Iganga'!J19)</f>
        <v>1.4285714285714286</v>
      </c>
      <c r="K19" s="49">
        <f>AVERAGE('22.08 Kaliro-Iganga'!K19,'23.08 Kaliro-Iganga'!K19,'25.08 Kaliro-Iganga'!K19,'27.08 Kaliro-Iganga'!K19,'24.08 Kaliro-Iganga-24h'!K19,'26.08 Kaliro-Iganga-24h'!K19,'28.08 Kaliro-Iganga'!K19)</f>
        <v>0.14285714285714285</v>
      </c>
      <c r="L19" s="49">
        <f>AVERAGE('22.08 Kaliro-Iganga'!L19,'23.08 Kaliro-Iganga'!L19,'25.08 Kaliro-Iganga'!L19,'27.08 Kaliro-Iganga'!L19,'24.08 Kaliro-Iganga-24h'!L19,'26.08 Kaliro-Iganga-24h'!L19,'28.08 Kaliro-Iganga'!L19)</f>
        <v>0</v>
      </c>
      <c r="M19" s="49">
        <f>AVERAGE('22.08 Kaliro-Iganga'!M19,'23.08 Kaliro-Iganga'!M19,'25.08 Kaliro-Iganga'!M19,'27.08 Kaliro-Iganga'!M19,'24.08 Kaliro-Iganga-24h'!M19,'26.08 Kaliro-Iganga-24h'!M19,'28.08 Kaliro-Iganga'!M19)</f>
        <v>83.142857142857139</v>
      </c>
      <c r="N19" s="49">
        <f>AVERAGE('22.08 Kaliro-Iganga'!N19,'23.08 Kaliro-Iganga'!N19,'25.08 Kaliro-Iganga'!N19,'27.08 Kaliro-Iganga'!N19,'24.08 Kaliro-Iganga-24h'!N19,'26.08 Kaliro-Iganga-24h'!N19,'28.08 Kaliro-Iganga'!N19)</f>
        <v>0</v>
      </c>
      <c r="O19" s="15">
        <f t="shared" si="0"/>
        <v>14.571428571428569</v>
      </c>
      <c r="P19" s="15">
        <f t="shared" si="1"/>
        <v>97.714285714285708</v>
      </c>
      <c r="R19" s="1" t="s">
        <v>15</v>
      </c>
      <c r="S19" s="17">
        <f t="shared" ref="S19:AF19" si="11">SUM(C46:C49)</f>
        <v>13.285714285714286</v>
      </c>
      <c r="T19" s="17">
        <f t="shared" si="11"/>
        <v>4.8571428571428568</v>
      </c>
      <c r="U19" s="17">
        <f t="shared" si="11"/>
        <v>6.1428571428571423</v>
      </c>
      <c r="V19" s="17">
        <f t="shared" si="11"/>
        <v>17.857142857142858</v>
      </c>
      <c r="W19" s="17">
        <f t="shared" si="11"/>
        <v>0.14285714285714285</v>
      </c>
      <c r="X19" s="17">
        <f t="shared" si="11"/>
        <v>0</v>
      </c>
      <c r="Y19" s="17">
        <f t="shared" si="11"/>
        <v>6.1428571428571423</v>
      </c>
      <c r="Z19" s="17">
        <f t="shared" si="11"/>
        <v>3.1428571428571428</v>
      </c>
      <c r="AA19" s="17">
        <f t="shared" si="11"/>
        <v>1</v>
      </c>
      <c r="AB19" s="17">
        <f t="shared" si="11"/>
        <v>0.2857142857142857</v>
      </c>
      <c r="AC19" s="17">
        <f t="shared" si="11"/>
        <v>280.28571428571428</v>
      </c>
      <c r="AD19" s="17">
        <f t="shared" si="11"/>
        <v>0</v>
      </c>
      <c r="AE19" s="31">
        <f t="shared" si="11"/>
        <v>52.857142857142854</v>
      </c>
      <c r="AF19" s="31">
        <f t="shared" si="11"/>
        <v>333.14285714285717</v>
      </c>
    </row>
    <row r="20" spans="2:32" ht="23.1" customHeight="1" x14ac:dyDescent="0.25">
      <c r="B20" s="23" t="s">
        <v>47</v>
      </c>
      <c r="C20" s="49">
        <f>AVERAGE('22.08 Kaliro-Iganga'!C20,'23.08 Kaliro-Iganga'!C20,'25.08 Kaliro-Iganga'!C20,'27.08 Kaliro-Iganga'!C20,'24.08 Kaliro-Iganga-24h'!C20,'26.08 Kaliro-Iganga-24h'!C20,'28.08 Kaliro-Iganga'!C20)</f>
        <v>2.8571428571428572</v>
      </c>
      <c r="D20" s="49">
        <f>AVERAGE('22.08 Kaliro-Iganga'!D20,'23.08 Kaliro-Iganga'!D20,'25.08 Kaliro-Iganga'!D20,'27.08 Kaliro-Iganga'!D20,'24.08 Kaliro-Iganga-24h'!D20,'26.08 Kaliro-Iganga-24h'!D20,'28.08 Kaliro-Iganga'!D20)</f>
        <v>0.42857142857142855</v>
      </c>
      <c r="E20" s="49">
        <f>AVERAGE('22.08 Kaliro-Iganga'!E20,'23.08 Kaliro-Iganga'!E20,'25.08 Kaliro-Iganga'!E20,'27.08 Kaliro-Iganga'!E20,'24.08 Kaliro-Iganga-24h'!E20,'26.08 Kaliro-Iganga-24h'!E20,'28.08 Kaliro-Iganga'!E20)</f>
        <v>0.5714285714285714</v>
      </c>
      <c r="F20" s="49">
        <f>AVERAGE('22.08 Kaliro-Iganga'!F20,'23.08 Kaliro-Iganga'!F20,'25.08 Kaliro-Iganga'!F20,'27.08 Kaliro-Iganga'!F20,'24.08 Kaliro-Iganga-24h'!F20,'26.08 Kaliro-Iganga-24h'!F20,'28.08 Kaliro-Iganga'!F20)</f>
        <v>3.8571428571428572</v>
      </c>
      <c r="G20" s="49">
        <f>AVERAGE('22.08 Kaliro-Iganga'!G20,'23.08 Kaliro-Iganga'!G20,'25.08 Kaliro-Iganga'!G20,'27.08 Kaliro-Iganga'!G20,'24.08 Kaliro-Iganga-24h'!G20,'26.08 Kaliro-Iganga-24h'!G20,'28.08 Kaliro-Iganga'!G20)</f>
        <v>0.5714285714285714</v>
      </c>
      <c r="H20" s="49">
        <f>AVERAGE('22.08 Kaliro-Iganga'!H20,'23.08 Kaliro-Iganga'!H20,'25.08 Kaliro-Iganga'!H20,'27.08 Kaliro-Iganga'!H20,'24.08 Kaliro-Iganga-24h'!H20,'26.08 Kaliro-Iganga-24h'!H20,'28.08 Kaliro-Iganga'!H20)</f>
        <v>0</v>
      </c>
      <c r="I20" s="49">
        <f>AVERAGE('22.08 Kaliro-Iganga'!I20,'23.08 Kaliro-Iganga'!I20,'25.08 Kaliro-Iganga'!I20,'27.08 Kaliro-Iganga'!I20,'24.08 Kaliro-Iganga-24h'!I20,'26.08 Kaliro-Iganga-24h'!I20,'28.08 Kaliro-Iganga'!I20)</f>
        <v>0.5714285714285714</v>
      </c>
      <c r="J20" s="49">
        <f>AVERAGE('22.08 Kaliro-Iganga'!J20,'23.08 Kaliro-Iganga'!J20,'25.08 Kaliro-Iganga'!J20,'27.08 Kaliro-Iganga'!J20,'24.08 Kaliro-Iganga-24h'!J20,'26.08 Kaliro-Iganga-24h'!J20,'28.08 Kaliro-Iganga'!J20)</f>
        <v>0.42857142857142855</v>
      </c>
      <c r="K20" s="49">
        <f>AVERAGE('22.08 Kaliro-Iganga'!K20,'23.08 Kaliro-Iganga'!K20,'25.08 Kaliro-Iganga'!K20,'27.08 Kaliro-Iganga'!K20,'24.08 Kaliro-Iganga-24h'!K20,'26.08 Kaliro-Iganga-24h'!K20,'28.08 Kaliro-Iganga'!K20)</f>
        <v>0</v>
      </c>
      <c r="L20" s="49">
        <f>AVERAGE('22.08 Kaliro-Iganga'!L20,'23.08 Kaliro-Iganga'!L20,'25.08 Kaliro-Iganga'!L20,'27.08 Kaliro-Iganga'!L20,'24.08 Kaliro-Iganga-24h'!L20,'26.08 Kaliro-Iganga-24h'!L20,'28.08 Kaliro-Iganga'!L20)</f>
        <v>0</v>
      </c>
      <c r="M20" s="49">
        <f>AVERAGE('22.08 Kaliro-Iganga'!M20,'23.08 Kaliro-Iganga'!M20,'25.08 Kaliro-Iganga'!M20,'27.08 Kaliro-Iganga'!M20,'24.08 Kaliro-Iganga-24h'!M20,'26.08 Kaliro-Iganga-24h'!M20,'28.08 Kaliro-Iganga'!M20)</f>
        <v>79.714285714285708</v>
      </c>
      <c r="N20" s="49">
        <f>AVERAGE('22.08 Kaliro-Iganga'!N20,'23.08 Kaliro-Iganga'!N20,'25.08 Kaliro-Iganga'!N20,'27.08 Kaliro-Iganga'!N20,'24.08 Kaliro-Iganga-24h'!N20,'26.08 Kaliro-Iganga-24h'!N20,'28.08 Kaliro-Iganga'!N20)</f>
        <v>0</v>
      </c>
      <c r="O20" s="15">
        <f t="shared" si="0"/>
        <v>9.2857142857142847</v>
      </c>
      <c r="P20" s="15">
        <f t="shared" si="1"/>
        <v>89</v>
      </c>
      <c r="R20" s="1" t="s">
        <v>16</v>
      </c>
      <c r="S20" s="17">
        <f t="shared" ref="S20:AF20" si="12">SUM(C50:C53)</f>
        <v>11.428571428571429</v>
      </c>
      <c r="T20" s="17">
        <f t="shared" si="12"/>
        <v>8.2857142857142865</v>
      </c>
      <c r="U20" s="17">
        <f t="shared" si="12"/>
        <v>6</v>
      </c>
      <c r="V20" s="17">
        <f t="shared" si="12"/>
        <v>17.714285714285715</v>
      </c>
      <c r="W20" s="17">
        <f t="shared" si="12"/>
        <v>0.5714285714285714</v>
      </c>
      <c r="X20" s="17">
        <f t="shared" si="12"/>
        <v>0</v>
      </c>
      <c r="Y20" s="17">
        <f t="shared" si="12"/>
        <v>5.2857142857142856</v>
      </c>
      <c r="Z20" s="17">
        <f t="shared" si="12"/>
        <v>3.7142857142857144</v>
      </c>
      <c r="AA20" s="17">
        <f t="shared" si="12"/>
        <v>1.1428571428571428</v>
      </c>
      <c r="AB20" s="17">
        <f t="shared" si="12"/>
        <v>0</v>
      </c>
      <c r="AC20" s="17">
        <f t="shared" si="12"/>
        <v>267</v>
      </c>
      <c r="AD20" s="17">
        <f t="shared" si="12"/>
        <v>0</v>
      </c>
      <c r="AE20" s="31">
        <f t="shared" si="12"/>
        <v>54.142857142857139</v>
      </c>
      <c r="AF20" s="31">
        <f t="shared" si="12"/>
        <v>321.14285714285711</v>
      </c>
    </row>
    <row r="21" spans="2:32" ht="23.1" customHeight="1" x14ac:dyDescent="0.25">
      <c r="B21" s="23" t="s">
        <v>48</v>
      </c>
      <c r="C21" s="49">
        <f>AVERAGE('22.08 Kaliro-Iganga'!C21,'23.08 Kaliro-Iganga'!C21,'25.08 Kaliro-Iganga'!C21,'27.08 Kaliro-Iganga'!C21,'24.08 Kaliro-Iganga-24h'!C21,'26.08 Kaliro-Iganga-24h'!C21,'28.08 Kaliro-Iganga'!C21)</f>
        <v>2.5714285714285716</v>
      </c>
      <c r="D21" s="49">
        <f>AVERAGE('22.08 Kaliro-Iganga'!D21,'23.08 Kaliro-Iganga'!D21,'25.08 Kaliro-Iganga'!D21,'27.08 Kaliro-Iganga'!D21,'24.08 Kaliro-Iganga-24h'!D21,'26.08 Kaliro-Iganga-24h'!D21,'28.08 Kaliro-Iganga'!D21)</f>
        <v>0.7142857142857143</v>
      </c>
      <c r="E21" s="49">
        <f>AVERAGE('22.08 Kaliro-Iganga'!E21,'23.08 Kaliro-Iganga'!E21,'25.08 Kaliro-Iganga'!E21,'27.08 Kaliro-Iganga'!E21,'24.08 Kaliro-Iganga-24h'!E21,'26.08 Kaliro-Iganga-24h'!E21,'28.08 Kaliro-Iganga'!E21)</f>
        <v>0.7142857142857143</v>
      </c>
      <c r="F21" s="49">
        <f>AVERAGE('22.08 Kaliro-Iganga'!F21,'23.08 Kaliro-Iganga'!F21,'25.08 Kaliro-Iganga'!F21,'27.08 Kaliro-Iganga'!F21,'24.08 Kaliro-Iganga-24h'!F21,'26.08 Kaliro-Iganga-24h'!F21,'28.08 Kaliro-Iganga'!F21)</f>
        <v>2</v>
      </c>
      <c r="G21" s="49">
        <f>AVERAGE('22.08 Kaliro-Iganga'!G21,'23.08 Kaliro-Iganga'!G21,'25.08 Kaliro-Iganga'!G21,'27.08 Kaliro-Iganga'!G21,'24.08 Kaliro-Iganga-24h'!G21,'26.08 Kaliro-Iganga-24h'!G21,'28.08 Kaliro-Iganga'!G21)</f>
        <v>0.8571428571428571</v>
      </c>
      <c r="H21" s="49">
        <f>AVERAGE('22.08 Kaliro-Iganga'!H21,'23.08 Kaliro-Iganga'!H21,'25.08 Kaliro-Iganga'!H21,'27.08 Kaliro-Iganga'!H21,'24.08 Kaliro-Iganga-24h'!H21,'26.08 Kaliro-Iganga-24h'!H21,'28.08 Kaliro-Iganga'!H21)</f>
        <v>0</v>
      </c>
      <c r="I21" s="49">
        <f>AVERAGE('22.08 Kaliro-Iganga'!I21,'23.08 Kaliro-Iganga'!I21,'25.08 Kaliro-Iganga'!I21,'27.08 Kaliro-Iganga'!I21,'24.08 Kaliro-Iganga-24h'!I21,'26.08 Kaliro-Iganga-24h'!I21,'28.08 Kaliro-Iganga'!I21)</f>
        <v>1</v>
      </c>
      <c r="J21" s="49">
        <f>AVERAGE('22.08 Kaliro-Iganga'!J21,'23.08 Kaliro-Iganga'!J21,'25.08 Kaliro-Iganga'!J21,'27.08 Kaliro-Iganga'!J21,'24.08 Kaliro-Iganga-24h'!J21,'26.08 Kaliro-Iganga-24h'!J21,'28.08 Kaliro-Iganga'!J21)</f>
        <v>0</v>
      </c>
      <c r="K21" s="49">
        <f>AVERAGE('22.08 Kaliro-Iganga'!K21,'23.08 Kaliro-Iganga'!K21,'25.08 Kaliro-Iganga'!K21,'27.08 Kaliro-Iganga'!K21,'24.08 Kaliro-Iganga-24h'!K21,'26.08 Kaliro-Iganga-24h'!K21,'28.08 Kaliro-Iganga'!K21)</f>
        <v>0.14285714285714285</v>
      </c>
      <c r="L21" s="49">
        <f>AVERAGE('22.08 Kaliro-Iganga'!L21,'23.08 Kaliro-Iganga'!L21,'25.08 Kaliro-Iganga'!L21,'27.08 Kaliro-Iganga'!L21,'24.08 Kaliro-Iganga-24h'!L21,'26.08 Kaliro-Iganga-24h'!L21,'28.08 Kaliro-Iganga'!L21)</f>
        <v>0</v>
      </c>
      <c r="M21" s="49">
        <f>AVERAGE('22.08 Kaliro-Iganga'!M21,'23.08 Kaliro-Iganga'!M21,'25.08 Kaliro-Iganga'!M21,'27.08 Kaliro-Iganga'!M21,'24.08 Kaliro-Iganga-24h'!M21,'26.08 Kaliro-Iganga-24h'!M21,'28.08 Kaliro-Iganga'!M21)</f>
        <v>73.142857142857139</v>
      </c>
      <c r="N21" s="49">
        <f>AVERAGE('22.08 Kaliro-Iganga'!N21,'23.08 Kaliro-Iganga'!N21,'25.08 Kaliro-Iganga'!N21,'27.08 Kaliro-Iganga'!N21,'24.08 Kaliro-Iganga-24h'!N21,'26.08 Kaliro-Iganga-24h'!N21,'28.08 Kaliro-Iganga'!N21)</f>
        <v>0</v>
      </c>
      <c r="O21" s="15">
        <f t="shared" si="0"/>
        <v>8</v>
      </c>
      <c r="P21" s="15">
        <f t="shared" si="1"/>
        <v>81.142857142857139</v>
      </c>
      <c r="R21" s="36" t="s">
        <v>20</v>
      </c>
      <c r="S21" s="34">
        <f t="shared" ref="S21:AF21" si="13">SUM(C54:C57)</f>
        <v>16.428571428571431</v>
      </c>
      <c r="T21" s="17">
        <f t="shared" si="13"/>
        <v>5.1428571428571432</v>
      </c>
      <c r="U21" s="17">
        <f t="shared" si="13"/>
        <v>7.428571428571427</v>
      </c>
      <c r="V21" s="17">
        <f t="shared" si="13"/>
        <v>19.142857142857146</v>
      </c>
      <c r="W21" s="17">
        <f t="shared" si="13"/>
        <v>0.14285714285714285</v>
      </c>
      <c r="X21" s="17">
        <f t="shared" si="13"/>
        <v>0</v>
      </c>
      <c r="Y21" s="17">
        <f t="shared" si="13"/>
        <v>6</v>
      </c>
      <c r="Z21" s="17">
        <f t="shared" si="13"/>
        <v>2.8571428571428572</v>
      </c>
      <c r="AA21" s="17">
        <f t="shared" si="13"/>
        <v>0.5714285714285714</v>
      </c>
      <c r="AB21" s="17">
        <f t="shared" si="13"/>
        <v>0</v>
      </c>
      <c r="AC21" s="17">
        <f t="shared" si="13"/>
        <v>271.57142857142856</v>
      </c>
      <c r="AD21" s="17">
        <f t="shared" si="13"/>
        <v>0.14285714285714285</v>
      </c>
      <c r="AE21" s="31">
        <f t="shared" si="13"/>
        <v>57.857142857142854</v>
      </c>
      <c r="AF21" s="31">
        <f t="shared" si="13"/>
        <v>329.42857142857144</v>
      </c>
    </row>
    <row r="22" spans="2:32" ht="23.1" customHeight="1" x14ac:dyDescent="0.25">
      <c r="B22" s="23" t="s">
        <v>49</v>
      </c>
      <c r="C22" s="49">
        <f>AVERAGE('22.08 Kaliro-Iganga'!C22,'23.08 Kaliro-Iganga'!C22,'25.08 Kaliro-Iganga'!C22,'27.08 Kaliro-Iganga'!C22,'24.08 Kaliro-Iganga-24h'!C22,'26.08 Kaliro-Iganga-24h'!C22,'28.08 Kaliro-Iganga'!C22)</f>
        <v>4.4285714285714288</v>
      </c>
      <c r="D22" s="49">
        <f>AVERAGE('22.08 Kaliro-Iganga'!D22,'23.08 Kaliro-Iganga'!D22,'25.08 Kaliro-Iganga'!D22,'27.08 Kaliro-Iganga'!D22,'24.08 Kaliro-Iganga-24h'!D22,'26.08 Kaliro-Iganga-24h'!D22,'28.08 Kaliro-Iganga'!D22)</f>
        <v>1.5714285714285714</v>
      </c>
      <c r="E22" s="49">
        <f>AVERAGE('22.08 Kaliro-Iganga'!E22,'23.08 Kaliro-Iganga'!E22,'25.08 Kaliro-Iganga'!E22,'27.08 Kaliro-Iganga'!E22,'24.08 Kaliro-Iganga-24h'!E22,'26.08 Kaliro-Iganga-24h'!E22,'28.08 Kaliro-Iganga'!E22)</f>
        <v>1.8571428571428572</v>
      </c>
      <c r="F22" s="49">
        <f>AVERAGE('22.08 Kaliro-Iganga'!F22,'23.08 Kaliro-Iganga'!F22,'25.08 Kaliro-Iganga'!F22,'27.08 Kaliro-Iganga'!F22,'24.08 Kaliro-Iganga-24h'!F22,'26.08 Kaliro-Iganga-24h'!F22,'28.08 Kaliro-Iganga'!F22)</f>
        <v>3.8571428571428572</v>
      </c>
      <c r="G22" s="49">
        <f>AVERAGE('22.08 Kaliro-Iganga'!G22,'23.08 Kaliro-Iganga'!G22,'25.08 Kaliro-Iganga'!G22,'27.08 Kaliro-Iganga'!G22,'24.08 Kaliro-Iganga-24h'!G22,'26.08 Kaliro-Iganga-24h'!G22,'28.08 Kaliro-Iganga'!G22)</f>
        <v>0.14285714285714285</v>
      </c>
      <c r="H22" s="49">
        <f>AVERAGE('22.08 Kaliro-Iganga'!H22,'23.08 Kaliro-Iganga'!H22,'25.08 Kaliro-Iganga'!H22,'27.08 Kaliro-Iganga'!H22,'24.08 Kaliro-Iganga-24h'!H22,'26.08 Kaliro-Iganga-24h'!H22,'28.08 Kaliro-Iganga'!H22)</f>
        <v>0</v>
      </c>
      <c r="I22" s="49">
        <f>AVERAGE('22.08 Kaliro-Iganga'!I22,'23.08 Kaliro-Iganga'!I22,'25.08 Kaliro-Iganga'!I22,'27.08 Kaliro-Iganga'!I22,'24.08 Kaliro-Iganga-24h'!I22,'26.08 Kaliro-Iganga-24h'!I22,'28.08 Kaliro-Iganga'!I22)</f>
        <v>1.8571428571428572</v>
      </c>
      <c r="J22" s="49">
        <f>AVERAGE('22.08 Kaliro-Iganga'!J22,'23.08 Kaliro-Iganga'!J22,'25.08 Kaliro-Iganga'!J22,'27.08 Kaliro-Iganga'!J22,'24.08 Kaliro-Iganga-24h'!J22,'26.08 Kaliro-Iganga-24h'!J22,'28.08 Kaliro-Iganga'!J22)</f>
        <v>0.5714285714285714</v>
      </c>
      <c r="K22" s="49">
        <f>AVERAGE('22.08 Kaliro-Iganga'!K22,'23.08 Kaliro-Iganga'!K22,'25.08 Kaliro-Iganga'!K22,'27.08 Kaliro-Iganga'!K22,'24.08 Kaliro-Iganga-24h'!K22,'26.08 Kaliro-Iganga-24h'!K22,'28.08 Kaliro-Iganga'!K22)</f>
        <v>0.7142857142857143</v>
      </c>
      <c r="L22" s="49">
        <f>AVERAGE('22.08 Kaliro-Iganga'!L22,'23.08 Kaliro-Iganga'!L22,'25.08 Kaliro-Iganga'!L22,'27.08 Kaliro-Iganga'!L22,'24.08 Kaliro-Iganga-24h'!L22,'26.08 Kaliro-Iganga-24h'!L22,'28.08 Kaliro-Iganga'!L22)</f>
        <v>0</v>
      </c>
      <c r="M22" s="49">
        <f>AVERAGE('22.08 Kaliro-Iganga'!M22,'23.08 Kaliro-Iganga'!M22,'25.08 Kaliro-Iganga'!M22,'27.08 Kaliro-Iganga'!M22,'24.08 Kaliro-Iganga-24h'!M22,'26.08 Kaliro-Iganga-24h'!M22,'28.08 Kaliro-Iganga'!M22)</f>
        <v>76.142857142857139</v>
      </c>
      <c r="N22" s="49">
        <f>AVERAGE('22.08 Kaliro-Iganga'!N22,'23.08 Kaliro-Iganga'!N22,'25.08 Kaliro-Iganga'!N22,'27.08 Kaliro-Iganga'!N22,'24.08 Kaliro-Iganga-24h'!N22,'26.08 Kaliro-Iganga-24h'!N22,'28.08 Kaliro-Iganga'!N22)</f>
        <v>0.2857142857142857</v>
      </c>
      <c r="O22" s="15">
        <f t="shared" si="0"/>
        <v>15.285714285714286</v>
      </c>
      <c r="P22" s="15">
        <f t="shared" si="1"/>
        <v>91.428571428571431</v>
      </c>
      <c r="R22" s="1" t="s">
        <v>146</v>
      </c>
      <c r="S22" s="34">
        <f>SUM(C58:C61)</f>
        <v>11</v>
      </c>
      <c r="T22" s="34">
        <f t="shared" ref="T22:AF22" si="14">SUM(D58:D61)</f>
        <v>3.5</v>
      </c>
      <c r="U22" s="34">
        <f t="shared" si="14"/>
        <v>3.5</v>
      </c>
      <c r="V22" s="34">
        <f t="shared" si="14"/>
        <v>20</v>
      </c>
      <c r="W22" s="34">
        <f t="shared" si="14"/>
        <v>0</v>
      </c>
      <c r="X22" s="34">
        <f t="shared" si="14"/>
        <v>0</v>
      </c>
      <c r="Y22" s="34">
        <f t="shared" si="14"/>
        <v>8.5</v>
      </c>
      <c r="Z22" s="34">
        <f t="shared" si="14"/>
        <v>4.5</v>
      </c>
      <c r="AA22" s="34">
        <f t="shared" si="14"/>
        <v>0.5</v>
      </c>
      <c r="AB22" s="34">
        <f t="shared" si="14"/>
        <v>0</v>
      </c>
      <c r="AC22" s="34">
        <f t="shared" si="14"/>
        <v>281.5</v>
      </c>
      <c r="AD22" s="34">
        <f t="shared" si="14"/>
        <v>0</v>
      </c>
      <c r="AE22" s="31">
        <f t="shared" si="14"/>
        <v>51.5</v>
      </c>
      <c r="AF22" s="31">
        <f t="shared" si="14"/>
        <v>333</v>
      </c>
    </row>
    <row r="23" spans="2:32" ht="23.1" customHeight="1" x14ac:dyDescent="0.25">
      <c r="B23" s="23" t="s">
        <v>50</v>
      </c>
      <c r="C23" s="49">
        <f>AVERAGE('22.08 Kaliro-Iganga'!C23,'23.08 Kaliro-Iganga'!C23,'25.08 Kaliro-Iganga'!C23,'27.08 Kaliro-Iganga'!C23,'24.08 Kaliro-Iganga-24h'!C23,'26.08 Kaliro-Iganga-24h'!C23,'28.08 Kaliro-Iganga'!C23)</f>
        <v>4</v>
      </c>
      <c r="D23" s="49">
        <f>AVERAGE('22.08 Kaliro-Iganga'!D23,'23.08 Kaliro-Iganga'!D23,'25.08 Kaliro-Iganga'!D23,'27.08 Kaliro-Iganga'!D23,'24.08 Kaliro-Iganga-24h'!D23,'26.08 Kaliro-Iganga-24h'!D23,'28.08 Kaliro-Iganga'!D23)</f>
        <v>1.2857142857142858</v>
      </c>
      <c r="E23" s="49">
        <f>AVERAGE('22.08 Kaliro-Iganga'!E23,'23.08 Kaliro-Iganga'!E23,'25.08 Kaliro-Iganga'!E23,'27.08 Kaliro-Iganga'!E23,'24.08 Kaliro-Iganga-24h'!E23,'26.08 Kaliro-Iganga-24h'!E23,'28.08 Kaliro-Iganga'!E23)</f>
        <v>1</v>
      </c>
      <c r="F23" s="49">
        <f>AVERAGE('22.08 Kaliro-Iganga'!F23,'23.08 Kaliro-Iganga'!F23,'25.08 Kaliro-Iganga'!F23,'27.08 Kaliro-Iganga'!F23,'24.08 Kaliro-Iganga-24h'!F23,'26.08 Kaliro-Iganga-24h'!F23,'28.08 Kaliro-Iganga'!F23)</f>
        <v>2.8571428571428572</v>
      </c>
      <c r="G23" s="49">
        <f>AVERAGE('22.08 Kaliro-Iganga'!G23,'23.08 Kaliro-Iganga'!G23,'25.08 Kaliro-Iganga'!G23,'27.08 Kaliro-Iganga'!G23,'24.08 Kaliro-Iganga-24h'!G23,'26.08 Kaliro-Iganga-24h'!G23,'28.08 Kaliro-Iganga'!G23)</f>
        <v>0.14285714285714285</v>
      </c>
      <c r="H23" s="49">
        <f>AVERAGE('22.08 Kaliro-Iganga'!H23,'23.08 Kaliro-Iganga'!H23,'25.08 Kaliro-Iganga'!H23,'27.08 Kaliro-Iganga'!H23,'24.08 Kaliro-Iganga-24h'!H23,'26.08 Kaliro-Iganga-24h'!H23,'28.08 Kaliro-Iganga'!H23)</f>
        <v>0</v>
      </c>
      <c r="I23" s="49">
        <f>AVERAGE('22.08 Kaliro-Iganga'!I23,'23.08 Kaliro-Iganga'!I23,'25.08 Kaliro-Iganga'!I23,'27.08 Kaliro-Iganga'!I23,'24.08 Kaliro-Iganga-24h'!I23,'26.08 Kaliro-Iganga-24h'!I23,'28.08 Kaliro-Iganga'!I23)</f>
        <v>1.5714285714285714</v>
      </c>
      <c r="J23" s="49">
        <f>AVERAGE('22.08 Kaliro-Iganga'!J23,'23.08 Kaliro-Iganga'!J23,'25.08 Kaliro-Iganga'!J23,'27.08 Kaliro-Iganga'!J23,'24.08 Kaliro-Iganga-24h'!J23,'26.08 Kaliro-Iganga-24h'!J23,'28.08 Kaliro-Iganga'!J23)</f>
        <v>0.5714285714285714</v>
      </c>
      <c r="K23" s="49">
        <f>AVERAGE('22.08 Kaliro-Iganga'!K23,'23.08 Kaliro-Iganga'!K23,'25.08 Kaliro-Iganga'!K23,'27.08 Kaliro-Iganga'!K23,'24.08 Kaliro-Iganga-24h'!K23,'26.08 Kaliro-Iganga-24h'!K23,'28.08 Kaliro-Iganga'!K23)</f>
        <v>0.14285714285714285</v>
      </c>
      <c r="L23" s="49">
        <f>AVERAGE('22.08 Kaliro-Iganga'!L23,'23.08 Kaliro-Iganga'!L23,'25.08 Kaliro-Iganga'!L23,'27.08 Kaliro-Iganga'!L23,'24.08 Kaliro-Iganga-24h'!L23,'26.08 Kaliro-Iganga-24h'!L23,'28.08 Kaliro-Iganga'!L23)</f>
        <v>0</v>
      </c>
      <c r="M23" s="49">
        <f>AVERAGE('22.08 Kaliro-Iganga'!M23,'23.08 Kaliro-Iganga'!M23,'25.08 Kaliro-Iganga'!M23,'27.08 Kaliro-Iganga'!M23,'24.08 Kaliro-Iganga-24h'!M23,'26.08 Kaliro-Iganga-24h'!M23,'28.08 Kaliro-Iganga'!M23)</f>
        <v>79.714285714285708</v>
      </c>
      <c r="N23" s="49">
        <f>AVERAGE('22.08 Kaliro-Iganga'!N23,'23.08 Kaliro-Iganga'!N23,'25.08 Kaliro-Iganga'!N23,'27.08 Kaliro-Iganga'!N23,'24.08 Kaliro-Iganga-24h'!N23,'26.08 Kaliro-Iganga-24h'!N23,'28.08 Kaliro-Iganga'!N23)</f>
        <v>0</v>
      </c>
      <c r="O23" s="15">
        <f t="shared" si="0"/>
        <v>11.571428571428569</v>
      </c>
      <c r="P23" s="15">
        <f t="shared" si="1"/>
        <v>91.285714285714278</v>
      </c>
      <c r="R23" s="1" t="s">
        <v>147</v>
      </c>
      <c r="S23" s="34">
        <f>SUM(C62:C65)</f>
        <v>12.5</v>
      </c>
      <c r="T23" s="34">
        <f t="shared" ref="T23:AF23" si="15">SUM(D62:D65)</f>
        <v>4.5</v>
      </c>
      <c r="U23" s="34">
        <f t="shared" si="15"/>
        <v>7</v>
      </c>
      <c r="V23" s="34">
        <f t="shared" si="15"/>
        <v>10.5</v>
      </c>
      <c r="W23" s="34">
        <f t="shared" si="15"/>
        <v>0</v>
      </c>
      <c r="X23" s="34">
        <f t="shared" si="15"/>
        <v>0</v>
      </c>
      <c r="Y23" s="34">
        <f t="shared" si="15"/>
        <v>3.5</v>
      </c>
      <c r="Z23" s="34">
        <f t="shared" si="15"/>
        <v>4</v>
      </c>
      <c r="AA23" s="34">
        <f t="shared" si="15"/>
        <v>0</v>
      </c>
      <c r="AB23" s="34">
        <f t="shared" si="15"/>
        <v>0</v>
      </c>
      <c r="AC23" s="34">
        <f t="shared" si="15"/>
        <v>225.5</v>
      </c>
      <c r="AD23" s="34">
        <f t="shared" si="15"/>
        <v>0</v>
      </c>
      <c r="AE23" s="31">
        <f t="shared" si="15"/>
        <v>42</v>
      </c>
      <c r="AF23" s="31">
        <f t="shared" si="15"/>
        <v>267.5</v>
      </c>
    </row>
    <row r="24" spans="2:32" ht="23.1" customHeight="1" x14ac:dyDescent="0.25">
      <c r="B24" s="23" t="s">
        <v>51</v>
      </c>
      <c r="C24" s="49">
        <f>AVERAGE('22.08 Kaliro-Iganga'!C24,'23.08 Kaliro-Iganga'!C24,'25.08 Kaliro-Iganga'!C24,'27.08 Kaliro-Iganga'!C24,'24.08 Kaliro-Iganga-24h'!C24,'26.08 Kaliro-Iganga-24h'!C24,'28.08 Kaliro-Iganga'!C24)</f>
        <v>4.7142857142857144</v>
      </c>
      <c r="D24" s="49">
        <f>AVERAGE('22.08 Kaliro-Iganga'!D24,'23.08 Kaliro-Iganga'!D24,'25.08 Kaliro-Iganga'!D24,'27.08 Kaliro-Iganga'!D24,'24.08 Kaliro-Iganga-24h'!D24,'26.08 Kaliro-Iganga-24h'!D24,'28.08 Kaliro-Iganga'!D24)</f>
        <v>0.2857142857142857</v>
      </c>
      <c r="E24" s="49">
        <f>AVERAGE('22.08 Kaliro-Iganga'!E24,'23.08 Kaliro-Iganga'!E24,'25.08 Kaliro-Iganga'!E24,'27.08 Kaliro-Iganga'!E24,'24.08 Kaliro-Iganga-24h'!E24,'26.08 Kaliro-Iganga-24h'!E24,'28.08 Kaliro-Iganga'!E24)</f>
        <v>1.1428571428571428</v>
      </c>
      <c r="F24" s="49">
        <f>AVERAGE('22.08 Kaliro-Iganga'!F24,'23.08 Kaliro-Iganga'!F24,'25.08 Kaliro-Iganga'!F24,'27.08 Kaliro-Iganga'!F24,'24.08 Kaliro-Iganga-24h'!F24,'26.08 Kaliro-Iganga-24h'!F24,'28.08 Kaliro-Iganga'!F24)</f>
        <v>3.5714285714285716</v>
      </c>
      <c r="G24" s="49">
        <f>AVERAGE('22.08 Kaliro-Iganga'!G24,'23.08 Kaliro-Iganga'!G24,'25.08 Kaliro-Iganga'!G24,'27.08 Kaliro-Iganga'!G24,'24.08 Kaliro-Iganga-24h'!G24,'26.08 Kaliro-Iganga-24h'!G24,'28.08 Kaliro-Iganga'!G24)</f>
        <v>0</v>
      </c>
      <c r="H24" s="49">
        <f>AVERAGE('22.08 Kaliro-Iganga'!H24,'23.08 Kaliro-Iganga'!H24,'25.08 Kaliro-Iganga'!H24,'27.08 Kaliro-Iganga'!H24,'24.08 Kaliro-Iganga-24h'!H24,'26.08 Kaliro-Iganga-24h'!H24,'28.08 Kaliro-Iganga'!H24)</f>
        <v>0</v>
      </c>
      <c r="I24" s="49">
        <f>AVERAGE('22.08 Kaliro-Iganga'!I24,'23.08 Kaliro-Iganga'!I24,'25.08 Kaliro-Iganga'!I24,'27.08 Kaliro-Iganga'!I24,'24.08 Kaliro-Iganga-24h'!I24,'26.08 Kaliro-Iganga-24h'!I24,'28.08 Kaliro-Iganga'!I24)</f>
        <v>1.7142857142857142</v>
      </c>
      <c r="J24" s="49">
        <f>AVERAGE('22.08 Kaliro-Iganga'!J24,'23.08 Kaliro-Iganga'!J24,'25.08 Kaliro-Iganga'!J24,'27.08 Kaliro-Iganga'!J24,'24.08 Kaliro-Iganga-24h'!J24,'26.08 Kaliro-Iganga-24h'!J24,'28.08 Kaliro-Iganga'!J24)</f>
        <v>0.7142857142857143</v>
      </c>
      <c r="K24" s="49">
        <f>AVERAGE('22.08 Kaliro-Iganga'!K24,'23.08 Kaliro-Iganga'!K24,'25.08 Kaliro-Iganga'!K24,'27.08 Kaliro-Iganga'!K24,'24.08 Kaliro-Iganga-24h'!K24,'26.08 Kaliro-Iganga-24h'!K24,'28.08 Kaliro-Iganga'!K24)</f>
        <v>0</v>
      </c>
      <c r="L24" s="49">
        <f>AVERAGE('22.08 Kaliro-Iganga'!L24,'23.08 Kaliro-Iganga'!L24,'25.08 Kaliro-Iganga'!L24,'27.08 Kaliro-Iganga'!L24,'24.08 Kaliro-Iganga-24h'!L24,'26.08 Kaliro-Iganga-24h'!L24,'28.08 Kaliro-Iganga'!L24)</f>
        <v>0</v>
      </c>
      <c r="M24" s="49">
        <f>AVERAGE('22.08 Kaliro-Iganga'!M24,'23.08 Kaliro-Iganga'!M24,'25.08 Kaliro-Iganga'!M24,'27.08 Kaliro-Iganga'!M24,'24.08 Kaliro-Iganga-24h'!M24,'26.08 Kaliro-Iganga-24h'!M24,'28.08 Kaliro-Iganga'!M24)</f>
        <v>83</v>
      </c>
      <c r="N24" s="49">
        <f>AVERAGE('22.08 Kaliro-Iganga'!N24,'23.08 Kaliro-Iganga'!N24,'25.08 Kaliro-Iganga'!N24,'27.08 Kaliro-Iganga'!N24,'24.08 Kaliro-Iganga-24h'!N24,'26.08 Kaliro-Iganga-24h'!N24,'28.08 Kaliro-Iganga'!N24)</f>
        <v>0.14285714285714285</v>
      </c>
      <c r="O24" s="15">
        <f t="shared" si="0"/>
        <v>12.285714285714283</v>
      </c>
      <c r="P24" s="15">
        <f t="shared" si="1"/>
        <v>95.285714285714278</v>
      </c>
      <c r="R24" s="1" t="s">
        <v>148</v>
      </c>
      <c r="S24" s="34">
        <f>SUM(C66:C69)</f>
        <v>6.5</v>
      </c>
      <c r="T24" s="34">
        <f t="shared" ref="T24:AF24" si="16">SUM(D66:D69)</f>
        <v>2.5</v>
      </c>
      <c r="U24" s="34">
        <f t="shared" si="16"/>
        <v>3</v>
      </c>
      <c r="V24" s="34">
        <f t="shared" si="16"/>
        <v>7.5</v>
      </c>
      <c r="W24" s="34">
        <f t="shared" si="16"/>
        <v>0</v>
      </c>
      <c r="X24" s="34">
        <f t="shared" si="16"/>
        <v>0</v>
      </c>
      <c r="Y24" s="34">
        <f t="shared" si="16"/>
        <v>4</v>
      </c>
      <c r="Z24" s="34">
        <f t="shared" si="16"/>
        <v>3</v>
      </c>
      <c r="AA24" s="34">
        <f t="shared" si="16"/>
        <v>0.5</v>
      </c>
      <c r="AB24" s="34">
        <f t="shared" si="16"/>
        <v>0.5</v>
      </c>
      <c r="AC24" s="34">
        <f t="shared" si="16"/>
        <v>183.5</v>
      </c>
      <c r="AD24" s="34">
        <f t="shared" si="16"/>
        <v>0.5</v>
      </c>
      <c r="AE24" s="31">
        <f t="shared" si="16"/>
        <v>28</v>
      </c>
      <c r="AF24" s="31">
        <f t="shared" si="16"/>
        <v>211.5</v>
      </c>
    </row>
    <row r="25" spans="2:32" ht="23.1" customHeight="1" x14ac:dyDescent="0.25">
      <c r="B25" s="23" t="s">
        <v>52</v>
      </c>
      <c r="C25" s="49">
        <f>AVERAGE('22.08 Kaliro-Iganga'!C25,'23.08 Kaliro-Iganga'!C25,'25.08 Kaliro-Iganga'!C25,'27.08 Kaliro-Iganga'!C25,'24.08 Kaliro-Iganga-24h'!C25,'26.08 Kaliro-Iganga-24h'!C25,'28.08 Kaliro-Iganga'!C25)</f>
        <v>2.8571428571428572</v>
      </c>
      <c r="D25" s="49">
        <f>AVERAGE('22.08 Kaliro-Iganga'!D25,'23.08 Kaliro-Iganga'!D25,'25.08 Kaliro-Iganga'!D25,'27.08 Kaliro-Iganga'!D25,'24.08 Kaliro-Iganga-24h'!D25,'26.08 Kaliro-Iganga-24h'!D25,'28.08 Kaliro-Iganga'!D25)</f>
        <v>1.1428571428571428</v>
      </c>
      <c r="E25" s="49">
        <f>AVERAGE('22.08 Kaliro-Iganga'!E25,'23.08 Kaliro-Iganga'!E25,'25.08 Kaliro-Iganga'!E25,'27.08 Kaliro-Iganga'!E25,'24.08 Kaliro-Iganga-24h'!E25,'26.08 Kaliro-Iganga-24h'!E25,'28.08 Kaliro-Iganga'!E25)</f>
        <v>0.7142857142857143</v>
      </c>
      <c r="F25" s="49">
        <f>AVERAGE('22.08 Kaliro-Iganga'!F25,'23.08 Kaliro-Iganga'!F25,'25.08 Kaliro-Iganga'!F25,'27.08 Kaliro-Iganga'!F25,'24.08 Kaliro-Iganga-24h'!F25,'26.08 Kaliro-Iganga-24h'!F25,'28.08 Kaliro-Iganga'!F25)</f>
        <v>2.5714285714285716</v>
      </c>
      <c r="G25" s="49">
        <f>AVERAGE('22.08 Kaliro-Iganga'!G25,'23.08 Kaliro-Iganga'!G25,'25.08 Kaliro-Iganga'!G25,'27.08 Kaliro-Iganga'!G25,'24.08 Kaliro-Iganga-24h'!G25,'26.08 Kaliro-Iganga-24h'!G25,'28.08 Kaliro-Iganga'!G25)</f>
        <v>0</v>
      </c>
      <c r="H25" s="49">
        <f>AVERAGE('22.08 Kaliro-Iganga'!H25,'23.08 Kaliro-Iganga'!H25,'25.08 Kaliro-Iganga'!H25,'27.08 Kaliro-Iganga'!H25,'24.08 Kaliro-Iganga-24h'!H25,'26.08 Kaliro-Iganga-24h'!H25,'28.08 Kaliro-Iganga'!H25)</f>
        <v>0</v>
      </c>
      <c r="I25" s="49">
        <f>AVERAGE('22.08 Kaliro-Iganga'!I25,'23.08 Kaliro-Iganga'!I25,'25.08 Kaliro-Iganga'!I25,'27.08 Kaliro-Iganga'!I25,'24.08 Kaliro-Iganga-24h'!I25,'26.08 Kaliro-Iganga-24h'!I25,'28.08 Kaliro-Iganga'!I25)</f>
        <v>1.5714285714285714</v>
      </c>
      <c r="J25" s="49">
        <f>AVERAGE('22.08 Kaliro-Iganga'!J25,'23.08 Kaliro-Iganga'!J25,'25.08 Kaliro-Iganga'!J25,'27.08 Kaliro-Iganga'!J25,'24.08 Kaliro-Iganga-24h'!J25,'26.08 Kaliro-Iganga-24h'!J25,'28.08 Kaliro-Iganga'!J25)</f>
        <v>0.7142857142857143</v>
      </c>
      <c r="K25" s="49">
        <f>AVERAGE('22.08 Kaliro-Iganga'!K25,'23.08 Kaliro-Iganga'!K25,'25.08 Kaliro-Iganga'!K25,'27.08 Kaliro-Iganga'!K25,'24.08 Kaliro-Iganga-24h'!K25,'26.08 Kaliro-Iganga-24h'!K25,'28.08 Kaliro-Iganga'!K25)</f>
        <v>0</v>
      </c>
      <c r="L25" s="49">
        <f>AVERAGE('22.08 Kaliro-Iganga'!L25,'23.08 Kaliro-Iganga'!L25,'25.08 Kaliro-Iganga'!L25,'27.08 Kaliro-Iganga'!L25,'24.08 Kaliro-Iganga-24h'!L25,'26.08 Kaliro-Iganga-24h'!L25,'28.08 Kaliro-Iganga'!L25)</f>
        <v>0</v>
      </c>
      <c r="M25" s="49">
        <f>AVERAGE('22.08 Kaliro-Iganga'!M25,'23.08 Kaliro-Iganga'!M25,'25.08 Kaliro-Iganga'!M25,'27.08 Kaliro-Iganga'!M25,'24.08 Kaliro-Iganga-24h'!M25,'26.08 Kaliro-Iganga-24h'!M25,'28.08 Kaliro-Iganga'!M25)</f>
        <v>79.142857142857139</v>
      </c>
      <c r="N25" s="49">
        <f>AVERAGE('22.08 Kaliro-Iganga'!N25,'23.08 Kaliro-Iganga'!N25,'25.08 Kaliro-Iganga'!N25,'27.08 Kaliro-Iganga'!N25,'24.08 Kaliro-Iganga-24h'!N25,'26.08 Kaliro-Iganga-24h'!N25,'28.08 Kaliro-Iganga'!N25)</f>
        <v>0</v>
      </c>
      <c r="O25" s="15">
        <f t="shared" si="0"/>
        <v>9.5714285714285712</v>
      </c>
      <c r="P25" s="15">
        <f t="shared" si="1"/>
        <v>88.714285714285708</v>
      </c>
      <c r="R25" s="1" t="s">
        <v>149</v>
      </c>
      <c r="S25" s="34">
        <f>SUM(C70:C73)</f>
        <v>5</v>
      </c>
      <c r="T25" s="34">
        <f t="shared" ref="T25:AF25" si="17">SUM(D70:D73)</f>
        <v>3.5</v>
      </c>
      <c r="U25" s="34">
        <f t="shared" si="17"/>
        <v>2.5</v>
      </c>
      <c r="V25" s="34">
        <f t="shared" si="17"/>
        <v>4.5</v>
      </c>
      <c r="W25" s="34">
        <f t="shared" si="17"/>
        <v>0.5</v>
      </c>
      <c r="X25" s="34">
        <f t="shared" si="17"/>
        <v>0</v>
      </c>
      <c r="Y25" s="34">
        <f t="shared" si="17"/>
        <v>2.5</v>
      </c>
      <c r="Z25" s="34">
        <f t="shared" si="17"/>
        <v>3.5</v>
      </c>
      <c r="AA25" s="34">
        <f t="shared" si="17"/>
        <v>1</v>
      </c>
      <c r="AB25" s="34">
        <f t="shared" si="17"/>
        <v>0</v>
      </c>
      <c r="AC25" s="34">
        <f t="shared" si="17"/>
        <v>132.5</v>
      </c>
      <c r="AD25" s="34">
        <f t="shared" si="17"/>
        <v>0</v>
      </c>
      <c r="AE25" s="31">
        <f t="shared" si="17"/>
        <v>23</v>
      </c>
      <c r="AF25" s="31">
        <f t="shared" si="17"/>
        <v>155.5</v>
      </c>
    </row>
    <row r="26" spans="2:32" ht="23.1" customHeight="1" x14ac:dyDescent="0.25">
      <c r="B26" s="23" t="s">
        <v>53</v>
      </c>
      <c r="C26" s="49">
        <f>AVERAGE('22.08 Kaliro-Iganga'!C26,'23.08 Kaliro-Iganga'!C26,'25.08 Kaliro-Iganga'!C26,'27.08 Kaliro-Iganga'!C26,'24.08 Kaliro-Iganga-24h'!C26,'26.08 Kaliro-Iganga-24h'!C26,'28.08 Kaliro-Iganga'!C26)</f>
        <v>6.1428571428571432</v>
      </c>
      <c r="D26" s="49">
        <f>AVERAGE('22.08 Kaliro-Iganga'!D26,'23.08 Kaliro-Iganga'!D26,'25.08 Kaliro-Iganga'!D26,'27.08 Kaliro-Iganga'!D26,'24.08 Kaliro-Iganga-24h'!D26,'26.08 Kaliro-Iganga-24h'!D26,'28.08 Kaliro-Iganga'!D26)</f>
        <v>0.2857142857142857</v>
      </c>
      <c r="E26" s="49">
        <f>AVERAGE('22.08 Kaliro-Iganga'!E26,'23.08 Kaliro-Iganga'!E26,'25.08 Kaliro-Iganga'!E26,'27.08 Kaliro-Iganga'!E26,'24.08 Kaliro-Iganga-24h'!E26,'26.08 Kaliro-Iganga-24h'!E26,'28.08 Kaliro-Iganga'!E26)</f>
        <v>1</v>
      </c>
      <c r="F26" s="49">
        <f>AVERAGE('22.08 Kaliro-Iganga'!F26,'23.08 Kaliro-Iganga'!F26,'25.08 Kaliro-Iganga'!F26,'27.08 Kaliro-Iganga'!F26,'24.08 Kaliro-Iganga-24h'!F26,'26.08 Kaliro-Iganga-24h'!F26,'28.08 Kaliro-Iganga'!F26)</f>
        <v>3.1428571428571428</v>
      </c>
      <c r="G26" s="49">
        <f>AVERAGE('22.08 Kaliro-Iganga'!G26,'23.08 Kaliro-Iganga'!G26,'25.08 Kaliro-Iganga'!G26,'27.08 Kaliro-Iganga'!G26,'24.08 Kaliro-Iganga-24h'!G26,'26.08 Kaliro-Iganga-24h'!G26,'28.08 Kaliro-Iganga'!G26)</f>
        <v>0</v>
      </c>
      <c r="H26" s="49">
        <f>AVERAGE('22.08 Kaliro-Iganga'!H26,'23.08 Kaliro-Iganga'!H26,'25.08 Kaliro-Iganga'!H26,'27.08 Kaliro-Iganga'!H26,'24.08 Kaliro-Iganga-24h'!H26,'26.08 Kaliro-Iganga-24h'!H26,'28.08 Kaliro-Iganga'!H26)</f>
        <v>0</v>
      </c>
      <c r="I26" s="49">
        <f>AVERAGE('22.08 Kaliro-Iganga'!I26,'23.08 Kaliro-Iganga'!I26,'25.08 Kaliro-Iganga'!I26,'27.08 Kaliro-Iganga'!I26,'24.08 Kaliro-Iganga-24h'!I26,'26.08 Kaliro-Iganga-24h'!I26,'28.08 Kaliro-Iganga'!I26)</f>
        <v>1.2857142857142858</v>
      </c>
      <c r="J26" s="49">
        <f>AVERAGE('22.08 Kaliro-Iganga'!J26,'23.08 Kaliro-Iganga'!J26,'25.08 Kaliro-Iganga'!J26,'27.08 Kaliro-Iganga'!J26,'24.08 Kaliro-Iganga-24h'!J26,'26.08 Kaliro-Iganga-24h'!J26,'28.08 Kaliro-Iganga'!J26)</f>
        <v>0.8571428571428571</v>
      </c>
      <c r="K26" s="49">
        <f>AVERAGE('22.08 Kaliro-Iganga'!K26,'23.08 Kaliro-Iganga'!K26,'25.08 Kaliro-Iganga'!K26,'27.08 Kaliro-Iganga'!K26,'24.08 Kaliro-Iganga-24h'!K26,'26.08 Kaliro-Iganga-24h'!K26,'28.08 Kaliro-Iganga'!K26)</f>
        <v>0.14285714285714285</v>
      </c>
      <c r="L26" s="49">
        <f>AVERAGE('22.08 Kaliro-Iganga'!L26,'23.08 Kaliro-Iganga'!L26,'25.08 Kaliro-Iganga'!L26,'27.08 Kaliro-Iganga'!L26,'24.08 Kaliro-Iganga-24h'!L26,'26.08 Kaliro-Iganga-24h'!L26,'28.08 Kaliro-Iganga'!L26)</f>
        <v>0</v>
      </c>
      <c r="M26" s="49">
        <f>AVERAGE('22.08 Kaliro-Iganga'!M26,'23.08 Kaliro-Iganga'!M26,'25.08 Kaliro-Iganga'!M26,'27.08 Kaliro-Iganga'!M26,'24.08 Kaliro-Iganga-24h'!M26,'26.08 Kaliro-Iganga-24h'!M26,'28.08 Kaliro-Iganga'!M26)</f>
        <v>93.857142857142861</v>
      </c>
      <c r="N26" s="49">
        <f>AVERAGE('22.08 Kaliro-Iganga'!N26,'23.08 Kaliro-Iganga'!N26,'25.08 Kaliro-Iganga'!N26,'27.08 Kaliro-Iganga'!N26,'24.08 Kaliro-Iganga-24h'!N26,'26.08 Kaliro-Iganga-24h'!N26,'28.08 Kaliro-Iganga'!N26)</f>
        <v>0</v>
      </c>
      <c r="O26" s="15">
        <f t="shared" si="0"/>
        <v>12.857142857142858</v>
      </c>
      <c r="P26" s="15">
        <f t="shared" si="1"/>
        <v>106.71428571428572</v>
      </c>
      <c r="R26" s="1" t="s">
        <v>150</v>
      </c>
      <c r="S26" s="34">
        <f>SUM(C74:C77)</f>
        <v>2</v>
      </c>
      <c r="T26" s="34">
        <f t="shared" ref="T26:AF26" si="18">SUM(D74:D77)</f>
        <v>1</v>
      </c>
      <c r="U26" s="34">
        <f t="shared" si="18"/>
        <v>2.5</v>
      </c>
      <c r="V26" s="34">
        <f t="shared" si="18"/>
        <v>1</v>
      </c>
      <c r="W26" s="34">
        <f t="shared" si="18"/>
        <v>0</v>
      </c>
      <c r="X26" s="34">
        <f t="shared" si="18"/>
        <v>0</v>
      </c>
      <c r="Y26" s="34">
        <f t="shared" si="18"/>
        <v>3.5</v>
      </c>
      <c r="Z26" s="34">
        <f t="shared" si="18"/>
        <v>2</v>
      </c>
      <c r="AA26" s="34">
        <f t="shared" si="18"/>
        <v>1</v>
      </c>
      <c r="AB26" s="34">
        <f t="shared" si="18"/>
        <v>0.5</v>
      </c>
      <c r="AC26" s="34">
        <f t="shared" si="18"/>
        <v>125</v>
      </c>
      <c r="AD26" s="34">
        <f t="shared" si="18"/>
        <v>0</v>
      </c>
      <c r="AE26" s="31">
        <f t="shared" si="18"/>
        <v>13.5</v>
      </c>
      <c r="AF26" s="31">
        <f t="shared" si="18"/>
        <v>138.5</v>
      </c>
    </row>
    <row r="27" spans="2:32" ht="23.1" customHeight="1" x14ac:dyDescent="0.25">
      <c r="B27" s="23" t="s">
        <v>54</v>
      </c>
      <c r="C27" s="49">
        <f>AVERAGE('22.08 Kaliro-Iganga'!C27,'23.08 Kaliro-Iganga'!C27,'25.08 Kaliro-Iganga'!C27,'27.08 Kaliro-Iganga'!C27,'24.08 Kaliro-Iganga-24h'!C27,'26.08 Kaliro-Iganga-24h'!C27,'28.08 Kaliro-Iganga'!C27)</f>
        <v>4</v>
      </c>
      <c r="D27" s="49">
        <f>AVERAGE('22.08 Kaliro-Iganga'!D27,'23.08 Kaliro-Iganga'!D27,'25.08 Kaliro-Iganga'!D27,'27.08 Kaliro-Iganga'!D27,'24.08 Kaliro-Iganga-24h'!D27,'26.08 Kaliro-Iganga-24h'!D27,'28.08 Kaliro-Iganga'!D27)</f>
        <v>1</v>
      </c>
      <c r="E27" s="49">
        <f>AVERAGE('22.08 Kaliro-Iganga'!E27,'23.08 Kaliro-Iganga'!E27,'25.08 Kaliro-Iganga'!E27,'27.08 Kaliro-Iganga'!E27,'24.08 Kaliro-Iganga-24h'!E27,'26.08 Kaliro-Iganga-24h'!E27,'28.08 Kaliro-Iganga'!E27)</f>
        <v>1</v>
      </c>
      <c r="F27" s="49">
        <f>AVERAGE('22.08 Kaliro-Iganga'!F27,'23.08 Kaliro-Iganga'!F27,'25.08 Kaliro-Iganga'!F27,'27.08 Kaliro-Iganga'!F27,'24.08 Kaliro-Iganga-24h'!F27,'26.08 Kaliro-Iganga-24h'!F27,'28.08 Kaliro-Iganga'!F27)</f>
        <v>3.2857142857142856</v>
      </c>
      <c r="G27" s="49">
        <f>AVERAGE('22.08 Kaliro-Iganga'!G27,'23.08 Kaliro-Iganga'!G27,'25.08 Kaliro-Iganga'!G27,'27.08 Kaliro-Iganga'!G27,'24.08 Kaliro-Iganga-24h'!G27,'26.08 Kaliro-Iganga-24h'!G27,'28.08 Kaliro-Iganga'!G27)</f>
        <v>0</v>
      </c>
      <c r="H27" s="49">
        <f>AVERAGE('22.08 Kaliro-Iganga'!H27,'23.08 Kaliro-Iganga'!H27,'25.08 Kaliro-Iganga'!H27,'27.08 Kaliro-Iganga'!H27,'24.08 Kaliro-Iganga-24h'!H27,'26.08 Kaliro-Iganga-24h'!H27,'28.08 Kaliro-Iganga'!H27)</f>
        <v>0</v>
      </c>
      <c r="I27" s="49">
        <f>AVERAGE('22.08 Kaliro-Iganga'!I27,'23.08 Kaliro-Iganga'!I27,'25.08 Kaliro-Iganga'!I27,'27.08 Kaliro-Iganga'!I27,'24.08 Kaliro-Iganga-24h'!I27,'26.08 Kaliro-Iganga-24h'!I27,'28.08 Kaliro-Iganga'!I27)</f>
        <v>1.2857142857142858</v>
      </c>
      <c r="J27" s="49">
        <f>AVERAGE('22.08 Kaliro-Iganga'!J27,'23.08 Kaliro-Iganga'!J27,'25.08 Kaliro-Iganga'!J27,'27.08 Kaliro-Iganga'!J27,'24.08 Kaliro-Iganga-24h'!J27,'26.08 Kaliro-Iganga-24h'!J27,'28.08 Kaliro-Iganga'!J27)</f>
        <v>0.2857142857142857</v>
      </c>
      <c r="K27" s="49">
        <f>AVERAGE('22.08 Kaliro-Iganga'!K27,'23.08 Kaliro-Iganga'!K27,'25.08 Kaliro-Iganga'!K27,'27.08 Kaliro-Iganga'!K27,'24.08 Kaliro-Iganga-24h'!K27,'26.08 Kaliro-Iganga-24h'!K27,'28.08 Kaliro-Iganga'!K27)</f>
        <v>0</v>
      </c>
      <c r="L27" s="49">
        <f>AVERAGE('22.08 Kaliro-Iganga'!L27,'23.08 Kaliro-Iganga'!L27,'25.08 Kaliro-Iganga'!L27,'27.08 Kaliro-Iganga'!L27,'24.08 Kaliro-Iganga-24h'!L27,'26.08 Kaliro-Iganga-24h'!L27,'28.08 Kaliro-Iganga'!L27)</f>
        <v>0</v>
      </c>
      <c r="M27" s="49">
        <f>AVERAGE('22.08 Kaliro-Iganga'!M27,'23.08 Kaliro-Iganga'!M27,'25.08 Kaliro-Iganga'!M27,'27.08 Kaliro-Iganga'!M27,'24.08 Kaliro-Iganga-24h'!M27,'26.08 Kaliro-Iganga-24h'!M27,'28.08 Kaliro-Iganga'!M27)</f>
        <v>72.857142857142861</v>
      </c>
      <c r="N27" s="49">
        <f>AVERAGE('22.08 Kaliro-Iganga'!N27,'23.08 Kaliro-Iganga'!N27,'25.08 Kaliro-Iganga'!N27,'27.08 Kaliro-Iganga'!N27,'24.08 Kaliro-Iganga-24h'!N27,'26.08 Kaliro-Iganga-24h'!N27,'28.08 Kaliro-Iganga'!N27)</f>
        <v>0.14285714285714285</v>
      </c>
      <c r="O27" s="15">
        <f t="shared" si="0"/>
        <v>11</v>
      </c>
      <c r="P27" s="15">
        <f t="shared" si="1"/>
        <v>83.857142857142861</v>
      </c>
      <c r="R27" s="1" t="s">
        <v>151</v>
      </c>
      <c r="S27" s="34">
        <f>SUM(C78:C81)</f>
        <v>2</v>
      </c>
      <c r="T27" s="34">
        <f t="shared" ref="T27:AF27" si="19">SUM(D78:D81)</f>
        <v>1</v>
      </c>
      <c r="U27" s="34">
        <f t="shared" si="19"/>
        <v>1.5</v>
      </c>
      <c r="V27" s="34">
        <f t="shared" si="19"/>
        <v>0.5</v>
      </c>
      <c r="W27" s="34">
        <f t="shared" si="19"/>
        <v>0</v>
      </c>
      <c r="X27" s="34">
        <f t="shared" si="19"/>
        <v>0</v>
      </c>
      <c r="Y27" s="34">
        <f t="shared" si="19"/>
        <v>1</v>
      </c>
      <c r="Z27" s="34">
        <f t="shared" si="19"/>
        <v>2</v>
      </c>
      <c r="AA27" s="34">
        <f t="shared" si="19"/>
        <v>1</v>
      </c>
      <c r="AB27" s="34">
        <f t="shared" si="19"/>
        <v>0</v>
      </c>
      <c r="AC27" s="34">
        <f t="shared" si="19"/>
        <v>61.5</v>
      </c>
      <c r="AD27" s="34">
        <f t="shared" si="19"/>
        <v>0</v>
      </c>
      <c r="AE27" s="31">
        <f t="shared" si="19"/>
        <v>9</v>
      </c>
      <c r="AF27" s="31">
        <f t="shared" si="19"/>
        <v>70.5</v>
      </c>
    </row>
    <row r="28" spans="2:32" ht="23.1" customHeight="1" x14ac:dyDescent="0.25">
      <c r="B28" s="23" t="s">
        <v>55</v>
      </c>
      <c r="C28" s="49">
        <f>AVERAGE('22.08 Kaliro-Iganga'!C28,'23.08 Kaliro-Iganga'!C28,'25.08 Kaliro-Iganga'!C28,'27.08 Kaliro-Iganga'!C28,'24.08 Kaliro-Iganga-24h'!C28,'26.08 Kaliro-Iganga-24h'!C28,'28.08 Kaliro-Iganga'!C28)</f>
        <v>6</v>
      </c>
      <c r="D28" s="49">
        <f>AVERAGE('22.08 Kaliro-Iganga'!D28,'23.08 Kaliro-Iganga'!D28,'25.08 Kaliro-Iganga'!D28,'27.08 Kaliro-Iganga'!D28,'24.08 Kaliro-Iganga-24h'!D28,'26.08 Kaliro-Iganga-24h'!D28,'28.08 Kaliro-Iganga'!D28)</f>
        <v>0.7142857142857143</v>
      </c>
      <c r="E28" s="49">
        <f>AVERAGE('22.08 Kaliro-Iganga'!E28,'23.08 Kaliro-Iganga'!E28,'25.08 Kaliro-Iganga'!E28,'27.08 Kaliro-Iganga'!E28,'24.08 Kaliro-Iganga-24h'!E28,'26.08 Kaliro-Iganga-24h'!E28,'28.08 Kaliro-Iganga'!E28)</f>
        <v>1.5714285714285714</v>
      </c>
      <c r="F28" s="49">
        <f>AVERAGE('22.08 Kaliro-Iganga'!F28,'23.08 Kaliro-Iganga'!F28,'25.08 Kaliro-Iganga'!F28,'27.08 Kaliro-Iganga'!F28,'24.08 Kaliro-Iganga-24h'!F28,'26.08 Kaliro-Iganga-24h'!F28,'28.08 Kaliro-Iganga'!F28)</f>
        <v>3.4285714285714284</v>
      </c>
      <c r="G28" s="49">
        <f>AVERAGE('22.08 Kaliro-Iganga'!G28,'23.08 Kaliro-Iganga'!G28,'25.08 Kaliro-Iganga'!G28,'27.08 Kaliro-Iganga'!G28,'24.08 Kaliro-Iganga-24h'!G28,'26.08 Kaliro-Iganga-24h'!G28,'28.08 Kaliro-Iganga'!G28)</f>
        <v>0</v>
      </c>
      <c r="H28" s="49">
        <f>AVERAGE('22.08 Kaliro-Iganga'!H28,'23.08 Kaliro-Iganga'!H28,'25.08 Kaliro-Iganga'!H28,'27.08 Kaliro-Iganga'!H28,'24.08 Kaliro-Iganga-24h'!H28,'26.08 Kaliro-Iganga-24h'!H28,'28.08 Kaliro-Iganga'!H28)</f>
        <v>0</v>
      </c>
      <c r="I28" s="49">
        <f>AVERAGE('22.08 Kaliro-Iganga'!I28,'23.08 Kaliro-Iganga'!I28,'25.08 Kaliro-Iganga'!I28,'27.08 Kaliro-Iganga'!I28,'24.08 Kaliro-Iganga-24h'!I28,'26.08 Kaliro-Iganga-24h'!I28,'28.08 Kaliro-Iganga'!I28)</f>
        <v>1.2857142857142858</v>
      </c>
      <c r="J28" s="49">
        <f>AVERAGE('22.08 Kaliro-Iganga'!J28,'23.08 Kaliro-Iganga'!J28,'25.08 Kaliro-Iganga'!J28,'27.08 Kaliro-Iganga'!J28,'24.08 Kaliro-Iganga-24h'!J28,'26.08 Kaliro-Iganga-24h'!J28,'28.08 Kaliro-Iganga'!J28)</f>
        <v>1.4285714285714286</v>
      </c>
      <c r="K28" s="49">
        <f>AVERAGE('22.08 Kaliro-Iganga'!K28,'23.08 Kaliro-Iganga'!K28,'25.08 Kaliro-Iganga'!K28,'27.08 Kaliro-Iganga'!K28,'24.08 Kaliro-Iganga-24h'!K28,'26.08 Kaliro-Iganga-24h'!K28,'28.08 Kaliro-Iganga'!K28)</f>
        <v>0.14285714285714285</v>
      </c>
      <c r="L28" s="49">
        <f>AVERAGE('22.08 Kaliro-Iganga'!L28,'23.08 Kaliro-Iganga'!L28,'25.08 Kaliro-Iganga'!L28,'27.08 Kaliro-Iganga'!L28,'24.08 Kaliro-Iganga-24h'!L28,'26.08 Kaliro-Iganga-24h'!L28,'28.08 Kaliro-Iganga'!L28)</f>
        <v>0.14285714285714285</v>
      </c>
      <c r="M28" s="49">
        <f>AVERAGE('22.08 Kaliro-Iganga'!M28,'23.08 Kaliro-Iganga'!M28,'25.08 Kaliro-Iganga'!M28,'27.08 Kaliro-Iganga'!M28,'24.08 Kaliro-Iganga-24h'!M28,'26.08 Kaliro-Iganga-24h'!M28,'28.08 Kaliro-Iganga'!M28)</f>
        <v>81</v>
      </c>
      <c r="N28" s="49">
        <f>AVERAGE('22.08 Kaliro-Iganga'!N28,'23.08 Kaliro-Iganga'!N28,'25.08 Kaliro-Iganga'!N28,'27.08 Kaliro-Iganga'!N28,'24.08 Kaliro-Iganga-24h'!N28,'26.08 Kaliro-Iganga-24h'!N28,'28.08 Kaliro-Iganga'!N28)</f>
        <v>0</v>
      </c>
      <c r="O28" s="15">
        <f t="shared" si="0"/>
        <v>14.714285714285715</v>
      </c>
      <c r="P28" s="15">
        <f t="shared" si="1"/>
        <v>95.714285714285722</v>
      </c>
      <c r="R28" s="1" t="s">
        <v>152</v>
      </c>
      <c r="S28" s="34">
        <f>SUM(C82:C85)</f>
        <v>0.5</v>
      </c>
      <c r="T28" s="34">
        <f t="shared" ref="T28:AF28" si="20">SUM(D82:D85)</f>
        <v>1</v>
      </c>
      <c r="U28" s="34">
        <f t="shared" si="20"/>
        <v>0.5</v>
      </c>
      <c r="V28" s="34">
        <f t="shared" si="20"/>
        <v>0</v>
      </c>
      <c r="W28" s="34">
        <f t="shared" si="20"/>
        <v>0</v>
      </c>
      <c r="X28" s="34">
        <f t="shared" si="20"/>
        <v>0</v>
      </c>
      <c r="Y28" s="34">
        <f t="shared" si="20"/>
        <v>2</v>
      </c>
      <c r="Z28" s="34">
        <f t="shared" si="20"/>
        <v>1.5</v>
      </c>
      <c r="AA28" s="34">
        <f t="shared" si="20"/>
        <v>0.5</v>
      </c>
      <c r="AB28" s="34">
        <f t="shared" si="20"/>
        <v>0</v>
      </c>
      <c r="AC28" s="34">
        <f t="shared" si="20"/>
        <v>9.5</v>
      </c>
      <c r="AD28" s="34">
        <f t="shared" si="20"/>
        <v>0</v>
      </c>
      <c r="AE28" s="31">
        <f t="shared" si="20"/>
        <v>6</v>
      </c>
      <c r="AF28" s="31">
        <f t="shared" si="20"/>
        <v>15.5</v>
      </c>
    </row>
    <row r="29" spans="2:32" ht="23.1" customHeight="1" x14ac:dyDescent="0.25">
      <c r="B29" s="23" t="s">
        <v>56</v>
      </c>
      <c r="C29" s="49">
        <f>AVERAGE('22.08 Kaliro-Iganga'!C29,'23.08 Kaliro-Iganga'!C29,'25.08 Kaliro-Iganga'!C29,'27.08 Kaliro-Iganga'!C29,'24.08 Kaliro-Iganga-24h'!C29,'26.08 Kaliro-Iganga-24h'!C29,'28.08 Kaliro-Iganga'!C29)</f>
        <v>4.7142857142857144</v>
      </c>
      <c r="D29" s="49">
        <f>AVERAGE('22.08 Kaliro-Iganga'!D29,'23.08 Kaliro-Iganga'!D29,'25.08 Kaliro-Iganga'!D29,'27.08 Kaliro-Iganga'!D29,'24.08 Kaliro-Iganga-24h'!D29,'26.08 Kaliro-Iganga-24h'!D29,'28.08 Kaliro-Iganga'!D29)</f>
        <v>0.42857142857142855</v>
      </c>
      <c r="E29" s="49">
        <f>AVERAGE('22.08 Kaliro-Iganga'!E29,'23.08 Kaliro-Iganga'!E29,'25.08 Kaliro-Iganga'!E29,'27.08 Kaliro-Iganga'!E29,'24.08 Kaliro-Iganga-24h'!E29,'26.08 Kaliro-Iganga-24h'!E29,'28.08 Kaliro-Iganga'!E29)</f>
        <v>0.2857142857142857</v>
      </c>
      <c r="F29" s="49">
        <f>AVERAGE('22.08 Kaliro-Iganga'!F29,'23.08 Kaliro-Iganga'!F29,'25.08 Kaliro-Iganga'!F29,'27.08 Kaliro-Iganga'!F29,'24.08 Kaliro-Iganga-24h'!F29,'26.08 Kaliro-Iganga-24h'!F29,'28.08 Kaliro-Iganga'!F29)</f>
        <v>3.5714285714285716</v>
      </c>
      <c r="G29" s="49">
        <f>AVERAGE('22.08 Kaliro-Iganga'!G29,'23.08 Kaliro-Iganga'!G29,'25.08 Kaliro-Iganga'!G29,'27.08 Kaliro-Iganga'!G29,'24.08 Kaliro-Iganga-24h'!G29,'26.08 Kaliro-Iganga-24h'!G29,'28.08 Kaliro-Iganga'!G29)</f>
        <v>0.14285714285714285</v>
      </c>
      <c r="H29" s="49">
        <f>AVERAGE('22.08 Kaliro-Iganga'!H29,'23.08 Kaliro-Iganga'!H29,'25.08 Kaliro-Iganga'!H29,'27.08 Kaliro-Iganga'!H29,'24.08 Kaliro-Iganga-24h'!H29,'26.08 Kaliro-Iganga-24h'!H29,'28.08 Kaliro-Iganga'!H29)</f>
        <v>0</v>
      </c>
      <c r="I29" s="49">
        <f>AVERAGE('22.08 Kaliro-Iganga'!I29,'23.08 Kaliro-Iganga'!I29,'25.08 Kaliro-Iganga'!I29,'27.08 Kaliro-Iganga'!I29,'24.08 Kaliro-Iganga-24h'!I29,'26.08 Kaliro-Iganga-24h'!I29,'28.08 Kaliro-Iganga'!I29)</f>
        <v>0.8571428571428571</v>
      </c>
      <c r="J29" s="49">
        <f>AVERAGE('22.08 Kaliro-Iganga'!J29,'23.08 Kaliro-Iganga'!J29,'25.08 Kaliro-Iganga'!J29,'27.08 Kaliro-Iganga'!J29,'24.08 Kaliro-Iganga-24h'!J29,'26.08 Kaliro-Iganga-24h'!J29,'28.08 Kaliro-Iganga'!J29)</f>
        <v>0.2857142857142857</v>
      </c>
      <c r="K29" s="49">
        <f>AVERAGE('22.08 Kaliro-Iganga'!K29,'23.08 Kaliro-Iganga'!K29,'25.08 Kaliro-Iganga'!K29,'27.08 Kaliro-Iganga'!K29,'24.08 Kaliro-Iganga-24h'!K29,'26.08 Kaliro-Iganga-24h'!K29,'28.08 Kaliro-Iganga'!K29)</f>
        <v>0</v>
      </c>
      <c r="L29" s="49">
        <f>AVERAGE('22.08 Kaliro-Iganga'!L29,'23.08 Kaliro-Iganga'!L29,'25.08 Kaliro-Iganga'!L29,'27.08 Kaliro-Iganga'!L29,'24.08 Kaliro-Iganga-24h'!L29,'26.08 Kaliro-Iganga-24h'!L29,'28.08 Kaliro-Iganga'!L29)</f>
        <v>0</v>
      </c>
      <c r="M29" s="49">
        <f>AVERAGE('22.08 Kaliro-Iganga'!M29,'23.08 Kaliro-Iganga'!M29,'25.08 Kaliro-Iganga'!M29,'27.08 Kaliro-Iganga'!M29,'24.08 Kaliro-Iganga-24h'!M29,'26.08 Kaliro-Iganga-24h'!M29,'28.08 Kaliro-Iganga'!M29)</f>
        <v>74.857142857142861</v>
      </c>
      <c r="N29" s="49">
        <f>AVERAGE('22.08 Kaliro-Iganga'!N29,'23.08 Kaliro-Iganga'!N29,'25.08 Kaliro-Iganga'!N29,'27.08 Kaliro-Iganga'!N29,'24.08 Kaliro-Iganga-24h'!N29,'26.08 Kaliro-Iganga-24h'!N29,'28.08 Kaliro-Iganga'!N29)</f>
        <v>0</v>
      </c>
      <c r="O29" s="15">
        <f t="shared" si="0"/>
        <v>10.285714285714286</v>
      </c>
      <c r="P29" s="15">
        <f t="shared" si="1"/>
        <v>85.142857142857153</v>
      </c>
      <c r="R29" s="1" t="s">
        <v>153</v>
      </c>
      <c r="S29" s="34">
        <f>SUM(C86:C89)</f>
        <v>1.5</v>
      </c>
      <c r="T29" s="34">
        <f t="shared" ref="T29:AF29" si="21">SUM(D86:D89)</f>
        <v>0.5</v>
      </c>
      <c r="U29" s="34">
        <f t="shared" si="21"/>
        <v>1.5</v>
      </c>
      <c r="V29" s="34">
        <f t="shared" si="21"/>
        <v>0.5</v>
      </c>
      <c r="W29" s="34">
        <f t="shared" si="21"/>
        <v>0</v>
      </c>
      <c r="X29" s="34">
        <f t="shared" si="21"/>
        <v>0</v>
      </c>
      <c r="Y29" s="34">
        <f t="shared" si="21"/>
        <v>1.5</v>
      </c>
      <c r="Z29" s="34">
        <f t="shared" si="21"/>
        <v>0</v>
      </c>
      <c r="AA29" s="34">
        <f t="shared" si="21"/>
        <v>0.5</v>
      </c>
      <c r="AB29" s="34">
        <f t="shared" si="21"/>
        <v>5.5</v>
      </c>
      <c r="AC29" s="34">
        <f t="shared" si="21"/>
        <v>0</v>
      </c>
      <c r="AD29" s="34">
        <f t="shared" si="21"/>
        <v>0</v>
      </c>
      <c r="AE29" s="31">
        <f t="shared" si="21"/>
        <v>11.5</v>
      </c>
      <c r="AF29" s="31">
        <f t="shared" si="21"/>
        <v>11.5</v>
      </c>
    </row>
    <row r="30" spans="2:32" ht="23.1" customHeight="1" x14ac:dyDescent="0.25">
      <c r="B30" s="23" t="s">
        <v>57</v>
      </c>
      <c r="C30" s="49">
        <f>AVERAGE('22.08 Kaliro-Iganga'!C30,'23.08 Kaliro-Iganga'!C30,'25.08 Kaliro-Iganga'!C30,'27.08 Kaliro-Iganga'!C30,'24.08 Kaliro-Iganga-24h'!C30,'26.08 Kaliro-Iganga-24h'!C30,'28.08 Kaliro-Iganga'!C30)</f>
        <v>4.5714285714285712</v>
      </c>
      <c r="D30" s="49">
        <f>AVERAGE('22.08 Kaliro-Iganga'!D30,'23.08 Kaliro-Iganga'!D30,'25.08 Kaliro-Iganga'!D30,'27.08 Kaliro-Iganga'!D30,'24.08 Kaliro-Iganga-24h'!D30,'26.08 Kaliro-Iganga-24h'!D30,'28.08 Kaliro-Iganga'!D30)</f>
        <v>1</v>
      </c>
      <c r="E30" s="49">
        <f>AVERAGE('22.08 Kaliro-Iganga'!E30,'23.08 Kaliro-Iganga'!E30,'25.08 Kaliro-Iganga'!E30,'27.08 Kaliro-Iganga'!E30,'24.08 Kaliro-Iganga-24h'!E30,'26.08 Kaliro-Iganga-24h'!E30,'28.08 Kaliro-Iganga'!E30)</f>
        <v>0.5714285714285714</v>
      </c>
      <c r="F30" s="49">
        <f>AVERAGE('22.08 Kaliro-Iganga'!F30,'23.08 Kaliro-Iganga'!F30,'25.08 Kaliro-Iganga'!F30,'27.08 Kaliro-Iganga'!F30,'24.08 Kaliro-Iganga-24h'!F30,'26.08 Kaliro-Iganga-24h'!F30,'28.08 Kaliro-Iganga'!F30)</f>
        <v>2.1428571428571428</v>
      </c>
      <c r="G30" s="49">
        <f>AVERAGE('22.08 Kaliro-Iganga'!G30,'23.08 Kaliro-Iganga'!G30,'25.08 Kaliro-Iganga'!G30,'27.08 Kaliro-Iganga'!G30,'24.08 Kaliro-Iganga-24h'!G30,'26.08 Kaliro-Iganga-24h'!G30,'28.08 Kaliro-Iganga'!G30)</f>
        <v>0.14285714285714285</v>
      </c>
      <c r="H30" s="49">
        <f>AVERAGE('22.08 Kaliro-Iganga'!H30,'23.08 Kaliro-Iganga'!H30,'25.08 Kaliro-Iganga'!H30,'27.08 Kaliro-Iganga'!H30,'24.08 Kaliro-Iganga-24h'!H30,'26.08 Kaliro-Iganga-24h'!H30,'28.08 Kaliro-Iganga'!H30)</f>
        <v>0</v>
      </c>
      <c r="I30" s="49">
        <f>AVERAGE('22.08 Kaliro-Iganga'!I30,'23.08 Kaliro-Iganga'!I30,'25.08 Kaliro-Iganga'!I30,'27.08 Kaliro-Iganga'!I30,'24.08 Kaliro-Iganga-24h'!I30,'26.08 Kaliro-Iganga-24h'!I30,'28.08 Kaliro-Iganga'!I30)</f>
        <v>1.4285714285714286</v>
      </c>
      <c r="J30" s="49">
        <f>AVERAGE('22.08 Kaliro-Iganga'!J30,'23.08 Kaliro-Iganga'!J30,'25.08 Kaliro-Iganga'!J30,'27.08 Kaliro-Iganga'!J30,'24.08 Kaliro-Iganga-24h'!J30,'26.08 Kaliro-Iganga-24h'!J30,'28.08 Kaliro-Iganga'!J30)</f>
        <v>0.7142857142857143</v>
      </c>
      <c r="K30" s="49">
        <f>AVERAGE('22.08 Kaliro-Iganga'!K30,'23.08 Kaliro-Iganga'!K30,'25.08 Kaliro-Iganga'!K30,'27.08 Kaliro-Iganga'!K30,'24.08 Kaliro-Iganga-24h'!K30,'26.08 Kaliro-Iganga-24h'!K30,'28.08 Kaliro-Iganga'!K30)</f>
        <v>0.5714285714285714</v>
      </c>
      <c r="L30" s="49">
        <f>AVERAGE('22.08 Kaliro-Iganga'!L30,'23.08 Kaliro-Iganga'!L30,'25.08 Kaliro-Iganga'!L30,'27.08 Kaliro-Iganga'!L30,'24.08 Kaliro-Iganga-24h'!L30,'26.08 Kaliro-Iganga-24h'!L30,'28.08 Kaliro-Iganga'!L30)</f>
        <v>0</v>
      </c>
      <c r="M30" s="49">
        <f>AVERAGE('22.08 Kaliro-Iganga'!M30,'23.08 Kaliro-Iganga'!M30,'25.08 Kaliro-Iganga'!M30,'27.08 Kaliro-Iganga'!M30,'24.08 Kaliro-Iganga-24h'!M30,'26.08 Kaliro-Iganga-24h'!M30,'28.08 Kaliro-Iganga'!M30)</f>
        <v>80.428571428571431</v>
      </c>
      <c r="N30" s="49">
        <f>AVERAGE('22.08 Kaliro-Iganga'!N30,'23.08 Kaliro-Iganga'!N30,'25.08 Kaliro-Iganga'!N30,'27.08 Kaliro-Iganga'!N30,'24.08 Kaliro-Iganga-24h'!N30,'26.08 Kaliro-Iganga-24h'!N30,'28.08 Kaliro-Iganga'!N30)</f>
        <v>0.14285714285714285</v>
      </c>
      <c r="O30" s="15">
        <f t="shared" si="0"/>
        <v>11.285714285714283</v>
      </c>
      <c r="P30" s="15">
        <f t="shared" si="1"/>
        <v>91.714285714285708</v>
      </c>
      <c r="R30" s="1" t="s">
        <v>154</v>
      </c>
      <c r="S30" s="34">
        <f>SUM(C90:C93)</f>
        <v>1.5</v>
      </c>
      <c r="T30" s="34">
        <f t="shared" ref="T30:AF30" si="22">SUM(D90:D93)</f>
        <v>3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2</v>
      </c>
      <c r="Z30" s="34">
        <f t="shared" si="22"/>
        <v>2.5</v>
      </c>
      <c r="AA30" s="34">
        <f t="shared" si="22"/>
        <v>0</v>
      </c>
      <c r="AB30" s="34">
        <f t="shared" si="22"/>
        <v>0</v>
      </c>
      <c r="AC30" s="34">
        <f t="shared" si="22"/>
        <v>3</v>
      </c>
      <c r="AD30" s="34">
        <f t="shared" si="22"/>
        <v>0</v>
      </c>
      <c r="AE30" s="31">
        <f t="shared" si="22"/>
        <v>13</v>
      </c>
      <c r="AF30" s="31">
        <f t="shared" si="22"/>
        <v>16</v>
      </c>
    </row>
    <row r="31" spans="2:32" ht="23.1" customHeight="1" x14ac:dyDescent="0.25">
      <c r="B31" s="24" t="s">
        <v>58</v>
      </c>
      <c r="C31" s="49">
        <f>AVERAGE('22.08 Kaliro-Iganga'!C31,'23.08 Kaliro-Iganga'!C31,'25.08 Kaliro-Iganga'!C31,'27.08 Kaliro-Iganga'!C31,'24.08 Kaliro-Iganga-24h'!C31,'26.08 Kaliro-Iganga-24h'!C31,'28.08 Kaliro-Iganga'!C31)</f>
        <v>2</v>
      </c>
      <c r="D31" s="49">
        <f>AVERAGE('22.08 Kaliro-Iganga'!D31,'23.08 Kaliro-Iganga'!D31,'25.08 Kaliro-Iganga'!D31,'27.08 Kaliro-Iganga'!D31,'24.08 Kaliro-Iganga-24h'!D31,'26.08 Kaliro-Iganga-24h'!D31,'28.08 Kaliro-Iganga'!D31)</f>
        <v>0.2857142857142857</v>
      </c>
      <c r="E31" s="49">
        <f>AVERAGE('22.08 Kaliro-Iganga'!E31,'23.08 Kaliro-Iganga'!E31,'25.08 Kaliro-Iganga'!E31,'27.08 Kaliro-Iganga'!E31,'24.08 Kaliro-Iganga-24h'!E31,'26.08 Kaliro-Iganga-24h'!E31,'28.08 Kaliro-Iganga'!E31)</f>
        <v>1</v>
      </c>
      <c r="F31" s="49">
        <f>AVERAGE('22.08 Kaliro-Iganga'!F31,'23.08 Kaliro-Iganga'!F31,'25.08 Kaliro-Iganga'!F31,'27.08 Kaliro-Iganga'!F31,'24.08 Kaliro-Iganga-24h'!F31,'26.08 Kaliro-Iganga-24h'!F31,'28.08 Kaliro-Iganga'!F31)</f>
        <v>1.5714285714285714</v>
      </c>
      <c r="G31" s="49">
        <f>AVERAGE('22.08 Kaliro-Iganga'!G31,'23.08 Kaliro-Iganga'!G31,'25.08 Kaliro-Iganga'!G31,'27.08 Kaliro-Iganga'!G31,'24.08 Kaliro-Iganga-24h'!G31,'26.08 Kaliro-Iganga-24h'!G31,'28.08 Kaliro-Iganga'!G31)</f>
        <v>0</v>
      </c>
      <c r="H31" s="49">
        <f>AVERAGE('22.08 Kaliro-Iganga'!H31,'23.08 Kaliro-Iganga'!H31,'25.08 Kaliro-Iganga'!H31,'27.08 Kaliro-Iganga'!H31,'24.08 Kaliro-Iganga-24h'!H31,'26.08 Kaliro-Iganga-24h'!H31,'28.08 Kaliro-Iganga'!H31)</f>
        <v>0</v>
      </c>
      <c r="I31" s="49">
        <f>AVERAGE('22.08 Kaliro-Iganga'!I31,'23.08 Kaliro-Iganga'!I31,'25.08 Kaliro-Iganga'!I31,'27.08 Kaliro-Iganga'!I31,'24.08 Kaliro-Iganga-24h'!I31,'26.08 Kaliro-Iganga-24h'!I31,'28.08 Kaliro-Iganga'!I31)</f>
        <v>2.1428571428571428</v>
      </c>
      <c r="J31" s="49">
        <f>AVERAGE('22.08 Kaliro-Iganga'!J31,'23.08 Kaliro-Iganga'!J31,'25.08 Kaliro-Iganga'!J31,'27.08 Kaliro-Iganga'!J31,'24.08 Kaliro-Iganga-24h'!J31,'26.08 Kaliro-Iganga-24h'!J31,'28.08 Kaliro-Iganga'!J31)</f>
        <v>1.1428571428571428</v>
      </c>
      <c r="K31" s="49">
        <f>AVERAGE('22.08 Kaliro-Iganga'!K31,'23.08 Kaliro-Iganga'!K31,'25.08 Kaliro-Iganga'!K31,'27.08 Kaliro-Iganga'!K31,'24.08 Kaliro-Iganga-24h'!K31,'26.08 Kaliro-Iganga-24h'!K31,'28.08 Kaliro-Iganga'!K31)</f>
        <v>0.14285714285714285</v>
      </c>
      <c r="L31" s="49">
        <f>AVERAGE('22.08 Kaliro-Iganga'!L31,'23.08 Kaliro-Iganga'!L31,'25.08 Kaliro-Iganga'!L31,'27.08 Kaliro-Iganga'!L31,'24.08 Kaliro-Iganga-24h'!L31,'26.08 Kaliro-Iganga-24h'!L31,'28.08 Kaliro-Iganga'!L31)</f>
        <v>0.14285714285714285</v>
      </c>
      <c r="M31" s="49">
        <f>AVERAGE('22.08 Kaliro-Iganga'!M31,'23.08 Kaliro-Iganga'!M31,'25.08 Kaliro-Iganga'!M31,'27.08 Kaliro-Iganga'!M31,'24.08 Kaliro-Iganga-24h'!M31,'26.08 Kaliro-Iganga-24h'!M31,'28.08 Kaliro-Iganga'!M31)</f>
        <v>82.857142857142861</v>
      </c>
      <c r="N31" s="49">
        <f>AVERAGE('22.08 Kaliro-Iganga'!N31,'23.08 Kaliro-Iganga'!N31,'25.08 Kaliro-Iganga'!N31,'27.08 Kaliro-Iganga'!N31,'24.08 Kaliro-Iganga-24h'!N31,'26.08 Kaliro-Iganga-24h'!N31,'28.08 Kaliro-Iganga'!N31)</f>
        <v>0</v>
      </c>
      <c r="O31" s="15">
        <f t="shared" si="0"/>
        <v>8.428571428571427</v>
      </c>
      <c r="P31" s="15">
        <f t="shared" si="1"/>
        <v>91.285714285714292</v>
      </c>
      <c r="R31" s="1" t="s">
        <v>155</v>
      </c>
      <c r="S31" s="34">
        <f>SUM(C94:C97)</f>
        <v>1.5</v>
      </c>
      <c r="T31" s="34">
        <f t="shared" ref="T31:AF31" si="23">SUM(D94:D97)</f>
        <v>1</v>
      </c>
      <c r="U31" s="34">
        <f t="shared" si="23"/>
        <v>4</v>
      </c>
      <c r="V31" s="34">
        <f t="shared" si="23"/>
        <v>3</v>
      </c>
      <c r="W31" s="34">
        <f t="shared" si="23"/>
        <v>0</v>
      </c>
      <c r="X31" s="34">
        <f t="shared" si="23"/>
        <v>0</v>
      </c>
      <c r="Y31" s="34">
        <f t="shared" si="23"/>
        <v>2</v>
      </c>
      <c r="Z31" s="34">
        <f t="shared" si="23"/>
        <v>1.5</v>
      </c>
      <c r="AA31" s="34">
        <f t="shared" si="23"/>
        <v>0.5</v>
      </c>
      <c r="AB31" s="34">
        <f t="shared" si="23"/>
        <v>0.5</v>
      </c>
      <c r="AC31" s="34">
        <f t="shared" si="23"/>
        <v>2</v>
      </c>
      <c r="AD31" s="34">
        <f t="shared" si="23"/>
        <v>0</v>
      </c>
      <c r="AE31" s="31">
        <f t="shared" si="23"/>
        <v>14</v>
      </c>
      <c r="AF31" s="31">
        <f t="shared" si="23"/>
        <v>16</v>
      </c>
    </row>
    <row r="32" spans="2:32" ht="23.1" customHeight="1" x14ac:dyDescent="0.25">
      <c r="B32" s="24" t="s">
        <v>59</v>
      </c>
      <c r="C32" s="49">
        <f>AVERAGE('22.08 Kaliro-Iganga'!C32,'23.08 Kaliro-Iganga'!C32,'25.08 Kaliro-Iganga'!C32,'27.08 Kaliro-Iganga'!C32,'24.08 Kaliro-Iganga-24h'!C32,'26.08 Kaliro-Iganga-24h'!C32,'28.08 Kaliro-Iganga'!C32)</f>
        <v>3</v>
      </c>
      <c r="D32" s="49">
        <f>AVERAGE('22.08 Kaliro-Iganga'!D32,'23.08 Kaliro-Iganga'!D32,'25.08 Kaliro-Iganga'!D32,'27.08 Kaliro-Iganga'!D32,'24.08 Kaliro-Iganga-24h'!D32,'26.08 Kaliro-Iganga-24h'!D32,'28.08 Kaliro-Iganga'!D32)</f>
        <v>0.8571428571428571</v>
      </c>
      <c r="E32" s="49">
        <f>AVERAGE('22.08 Kaliro-Iganga'!E32,'23.08 Kaliro-Iganga'!E32,'25.08 Kaliro-Iganga'!E32,'27.08 Kaliro-Iganga'!E32,'24.08 Kaliro-Iganga-24h'!E32,'26.08 Kaliro-Iganga-24h'!E32,'28.08 Kaliro-Iganga'!E32)</f>
        <v>1</v>
      </c>
      <c r="F32" s="49">
        <f>AVERAGE('22.08 Kaliro-Iganga'!F32,'23.08 Kaliro-Iganga'!F32,'25.08 Kaliro-Iganga'!F32,'27.08 Kaliro-Iganga'!F32,'24.08 Kaliro-Iganga-24h'!F32,'26.08 Kaliro-Iganga-24h'!F32,'28.08 Kaliro-Iganga'!F32)</f>
        <v>3.5714285714285716</v>
      </c>
      <c r="G32" s="49">
        <f>AVERAGE('22.08 Kaliro-Iganga'!G32,'23.08 Kaliro-Iganga'!G32,'25.08 Kaliro-Iganga'!G32,'27.08 Kaliro-Iganga'!G32,'24.08 Kaliro-Iganga-24h'!G32,'26.08 Kaliro-Iganga-24h'!G32,'28.08 Kaliro-Iganga'!G32)</f>
        <v>0.2857142857142857</v>
      </c>
      <c r="H32" s="49">
        <f>AVERAGE('22.08 Kaliro-Iganga'!H32,'23.08 Kaliro-Iganga'!H32,'25.08 Kaliro-Iganga'!H32,'27.08 Kaliro-Iganga'!H32,'24.08 Kaliro-Iganga-24h'!H32,'26.08 Kaliro-Iganga-24h'!H32,'28.08 Kaliro-Iganga'!H32)</f>
        <v>0</v>
      </c>
      <c r="I32" s="49">
        <f>AVERAGE('22.08 Kaliro-Iganga'!I32,'23.08 Kaliro-Iganga'!I32,'25.08 Kaliro-Iganga'!I32,'27.08 Kaliro-Iganga'!I32,'24.08 Kaliro-Iganga-24h'!I32,'26.08 Kaliro-Iganga-24h'!I32,'28.08 Kaliro-Iganga'!I32)</f>
        <v>1.1428571428571428</v>
      </c>
      <c r="J32" s="49">
        <f>AVERAGE('22.08 Kaliro-Iganga'!J32,'23.08 Kaliro-Iganga'!J32,'25.08 Kaliro-Iganga'!J32,'27.08 Kaliro-Iganga'!J32,'24.08 Kaliro-Iganga-24h'!J32,'26.08 Kaliro-Iganga-24h'!J32,'28.08 Kaliro-Iganga'!J32)</f>
        <v>1</v>
      </c>
      <c r="K32" s="49">
        <f>AVERAGE('22.08 Kaliro-Iganga'!K32,'23.08 Kaliro-Iganga'!K32,'25.08 Kaliro-Iganga'!K32,'27.08 Kaliro-Iganga'!K32,'24.08 Kaliro-Iganga-24h'!K32,'26.08 Kaliro-Iganga-24h'!K32,'28.08 Kaliro-Iganga'!K32)</f>
        <v>0</v>
      </c>
      <c r="L32" s="49">
        <f>AVERAGE('22.08 Kaliro-Iganga'!L32,'23.08 Kaliro-Iganga'!L32,'25.08 Kaliro-Iganga'!L32,'27.08 Kaliro-Iganga'!L32,'24.08 Kaliro-Iganga-24h'!L32,'26.08 Kaliro-Iganga-24h'!L32,'28.08 Kaliro-Iganga'!L32)</f>
        <v>0</v>
      </c>
      <c r="M32" s="49">
        <f>AVERAGE('22.08 Kaliro-Iganga'!M32,'23.08 Kaliro-Iganga'!M32,'25.08 Kaliro-Iganga'!M32,'27.08 Kaliro-Iganga'!M32,'24.08 Kaliro-Iganga-24h'!M32,'26.08 Kaliro-Iganga-24h'!M32,'28.08 Kaliro-Iganga'!M32)</f>
        <v>69.571428571428569</v>
      </c>
      <c r="N32" s="49">
        <f>AVERAGE('22.08 Kaliro-Iganga'!N32,'23.08 Kaliro-Iganga'!N32,'25.08 Kaliro-Iganga'!N32,'27.08 Kaliro-Iganga'!N32,'24.08 Kaliro-Iganga-24h'!N32,'26.08 Kaliro-Iganga-24h'!N32,'28.08 Kaliro-Iganga'!N32)</f>
        <v>0</v>
      </c>
      <c r="O32" s="15">
        <f t="shared" si="0"/>
        <v>10.857142857142858</v>
      </c>
      <c r="P32" s="15">
        <f t="shared" si="1"/>
        <v>80.428571428571431</v>
      </c>
      <c r="R32" s="1" t="s">
        <v>156</v>
      </c>
      <c r="S32" s="34">
        <f>SUM(C98:C101)</f>
        <v>2.5</v>
      </c>
      <c r="T32" s="34">
        <f t="shared" ref="T32:AF32" si="24">SUM(D98:D101)</f>
        <v>2</v>
      </c>
      <c r="U32" s="34">
        <f t="shared" si="24"/>
        <v>2.5</v>
      </c>
      <c r="V32" s="34">
        <f t="shared" si="24"/>
        <v>5</v>
      </c>
      <c r="W32" s="34">
        <f t="shared" si="24"/>
        <v>0.5</v>
      </c>
      <c r="X32" s="34">
        <f t="shared" si="24"/>
        <v>0</v>
      </c>
      <c r="Y32" s="34">
        <f t="shared" si="24"/>
        <v>3.5</v>
      </c>
      <c r="Z32" s="34">
        <f t="shared" si="24"/>
        <v>3</v>
      </c>
      <c r="AA32" s="34">
        <f t="shared" si="24"/>
        <v>1</v>
      </c>
      <c r="AB32" s="34">
        <f t="shared" si="24"/>
        <v>0</v>
      </c>
      <c r="AC32" s="34">
        <f t="shared" si="24"/>
        <v>6.5</v>
      </c>
      <c r="AD32" s="34">
        <f t="shared" si="24"/>
        <v>0</v>
      </c>
      <c r="AE32" s="31">
        <f t="shared" si="24"/>
        <v>20</v>
      </c>
      <c r="AF32" s="31">
        <f t="shared" si="24"/>
        <v>26.5</v>
      </c>
    </row>
    <row r="33" spans="2:32" ht="23.1" customHeight="1" x14ac:dyDescent="0.25">
      <c r="B33" s="23" t="s">
        <v>60</v>
      </c>
      <c r="C33" s="49">
        <f>AVERAGE('22.08 Kaliro-Iganga'!C33,'23.08 Kaliro-Iganga'!C33,'25.08 Kaliro-Iganga'!C33,'27.08 Kaliro-Iganga'!C33,'24.08 Kaliro-Iganga-24h'!C33,'26.08 Kaliro-Iganga-24h'!C33,'28.08 Kaliro-Iganga'!C33)</f>
        <v>2.1428571428571428</v>
      </c>
      <c r="D33" s="49">
        <f>AVERAGE('22.08 Kaliro-Iganga'!D33,'23.08 Kaliro-Iganga'!D33,'25.08 Kaliro-Iganga'!D33,'27.08 Kaliro-Iganga'!D33,'24.08 Kaliro-Iganga-24h'!D33,'26.08 Kaliro-Iganga-24h'!D33,'28.08 Kaliro-Iganga'!D33)</f>
        <v>1</v>
      </c>
      <c r="E33" s="49">
        <f>AVERAGE('22.08 Kaliro-Iganga'!E33,'23.08 Kaliro-Iganga'!E33,'25.08 Kaliro-Iganga'!E33,'27.08 Kaliro-Iganga'!E33,'24.08 Kaliro-Iganga-24h'!E33,'26.08 Kaliro-Iganga-24h'!E33,'28.08 Kaliro-Iganga'!E33)</f>
        <v>0.8571428571428571</v>
      </c>
      <c r="F33" s="49">
        <f>AVERAGE('22.08 Kaliro-Iganga'!F33,'23.08 Kaliro-Iganga'!F33,'25.08 Kaliro-Iganga'!F33,'27.08 Kaliro-Iganga'!F33,'24.08 Kaliro-Iganga-24h'!F33,'26.08 Kaliro-Iganga-24h'!F33,'28.08 Kaliro-Iganga'!F33)</f>
        <v>2.8571428571428572</v>
      </c>
      <c r="G33" s="49">
        <f>AVERAGE('22.08 Kaliro-Iganga'!G33,'23.08 Kaliro-Iganga'!G33,'25.08 Kaliro-Iganga'!G33,'27.08 Kaliro-Iganga'!G33,'24.08 Kaliro-Iganga-24h'!G33,'26.08 Kaliro-Iganga-24h'!G33,'28.08 Kaliro-Iganga'!G33)</f>
        <v>0</v>
      </c>
      <c r="H33" s="49">
        <f>AVERAGE('22.08 Kaliro-Iganga'!H33,'23.08 Kaliro-Iganga'!H33,'25.08 Kaliro-Iganga'!H33,'27.08 Kaliro-Iganga'!H33,'24.08 Kaliro-Iganga-24h'!H33,'26.08 Kaliro-Iganga-24h'!H33,'28.08 Kaliro-Iganga'!H33)</f>
        <v>0</v>
      </c>
      <c r="I33" s="49">
        <f>AVERAGE('22.08 Kaliro-Iganga'!I33,'23.08 Kaliro-Iganga'!I33,'25.08 Kaliro-Iganga'!I33,'27.08 Kaliro-Iganga'!I33,'24.08 Kaliro-Iganga-24h'!I33,'26.08 Kaliro-Iganga-24h'!I33,'28.08 Kaliro-Iganga'!I33)</f>
        <v>1.2857142857142858</v>
      </c>
      <c r="J33" s="49">
        <f>AVERAGE('22.08 Kaliro-Iganga'!J33,'23.08 Kaliro-Iganga'!J33,'25.08 Kaliro-Iganga'!J33,'27.08 Kaliro-Iganga'!J33,'24.08 Kaliro-Iganga-24h'!J33,'26.08 Kaliro-Iganga-24h'!J33,'28.08 Kaliro-Iganga'!J33)</f>
        <v>0.8571428571428571</v>
      </c>
      <c r="K33" s="49">
        <f>AVERAGE('22.08 Kaliro-Iganga'!K33,'23.08 Kaliro-Iganga'!K33,'25.08 Kaliro-Iganga'!K33,'27.08 Kaliro-Iganga'!K33,'24.08 Kaliro-Iganga-24h'!K33,'26.08 Kaliro-Iganga-24h'!K33,'28.08 Kaliro-Iganga'!K33)</f>
        <v>0.2857142857142857</v>
      </c>
      <c r="L33" s="49">
        <f>AVERAGE('22.08 Kaliro-Iganga'!L33,'23.08 Kaliro-Iganga'!L33,'25.08 Kaliro-Iganga'!L33,'27.08 Kaliro-Iganga'!L33,'24.08 Kaliro-Iganga-24h'!L33,'26.08 Kaliro-Iganga-24h'!L33,'28.08 Kaliro-Iganga'!L33)</f>
        <v>0.14285714285714285</v>
      </c>
      <c r="M33" s="49">
        <f>AVERAGE('22.08 Kaliro-Iganga'!M33,'23.08 Kaliro-Iganga'!M33,'25.08 Kaliro-Iganga'!M33,'27.08 Kaliro-Iganga'!M33,'24.08 Kaliro-Iganga-24h'!M33,'26.08 Kaliro-Iganga-24h'!M33,'28.08 Kaliro-Iganga'!M33)</f>
        <v>74.142857142857139</v>
      </c>
      <c r="N33" s="49">
        <f>AVERAGE('22.08 Kaliro-Iganga'!N33,'23.08 Kaliro-Iganga'!N33,'25.08 Kaliro-Iganga'!N33,'27.08 Kaliro-Iganga'!N33,'24.08 Kaliro-Iganga-24h'!N33,'26.08 Kaliro-Iganga-24h'!N33,'28.08 Kaliro-Iganga'!N33)</f>
        <v>0.14285714285714285</v>
      </c>
      <c r="O33" s="15">
        <f t="shared" si="0"/>
        <v>9.571428571428573</v>
      </c>
      <c r="P33" s="15">
        <f t="shared" si="1"/>
        <v>83.714285714285708</v>
      </c>
      <c r="R33" s="1" t="s">
        <v>157</v>
      </c>
      <c r="S33" s="34">
        <f>SUM(C102:C105)</f>
        <v>5</v>
      </c>
      <c r="T33" s="34">
        <f t="shared" ref="T33:AF33" si="25">SUM(D102:D105)</f>
        <v>4.5</v>
      </c>
      <c r="U33" s="34">
        <f t="shared" si="25"/>
        <v>4</v>
      </c>
      <c r="V33" s="34">
        <f t="shared" si="25"/>
        <v>16</v>
      </c>
      <c r="W33" s="34">
        <f t="shared" si="25"/>
        <v>0</v>
      </c>
      <c r="X33" s="34">
        <f t="shared" si="25"/>
        <v>0</v>
      </c>
      <c r="Y33" s="34">
        <f t="shared" si="25"/>
        <v>4.5</v>
      </c>
      <c r="Z33" s="34">
        <f t="shared" si="25"/>
        <v>2</v>
      </c>
      <c r="AA33" s="34">
        <f t="shared" si="25"/>
        <v>0.5</v>
      </c>
      <c r="AB33" s="34">
        <f t="shared" si="25"/>
        <v>0</v>
      </c>
      <c r="AC33" s="34">
        <f t="shared" si="25"/>
        <v>54</v>
      </c>
      <c r="AD33" s="34">
        <f t="shared" si="25"/>
        <v>0</v>
      </c>
      <c r="AE33" s="31">
        <f t="shared" si="25"/>
        <v>36.5</v>
      </c>
      <c r="AF33" s="31">
        <f t="shared" si="25"/>
        <v>90.5</v>
      </c>
    </row>
    <row r="34" spans="2:32" ht="23.1" customHeight="1" x14ac:dyDescent="0.25">
      <c r="B34" s="24" t="s">
        <v>61</v>
      </c>
      <c r="C34" s="49">
        <f>AVERAGE('22.08 Kaliro-Iganga'!C34,'23.08 Kaliro-Iganga'!C34,'25.08 Kaliro-Iganga'!C34,'27.08 Kaliro-Iganga'!C34,'24.08 Kaliro-Iganga-24h'!C34,'26.08 Kaliro-Iganga-24h'!C34,'28.08 Kaliro-Iganga'!C34)</f>
        <v>3.7142857142857144</v>
      </c>
      <c r="D34" s="49">
        <f>AVERAGE('22.08 Kaliro-Iganga'!D34,'23.08 Kaliro-Iganga'!D34,'25.08 Kaliro-Iganga'!D34,'27.08 Kaliro-Iganga'!D34,'24.08 Kaliro-Iganga-24h'!D34,'26.08 Kaliro-Iganga-24h'!D34,'28.08 Kaliro-Iganga'!D34)</f>
        <v>1.4285714285714286</v>
      </c>
      <c r="E34" s="49">
        <f>AVERAGE('22.08 Kaliro-Iganga'!E34,'23.08 Kaliro-Iganga'!E34,'25.08 Kaliro-Iganga'!E34,'27.08 Kaliro-Iganga'!E34,'24.08 Kaliro-Iganga-24h'!E34,'26.08 Kaliro-Iganga-24h'!E34,'28.08 Kaliro-Iganga'!E34)</f>
        <v>2.5714285714285716</v>
      </c>
      <c r="F34" s="49">
        <f>AVERAGE('22.08 Kaliro-Iganga'!F34,'23.08 Kaliro-Iganga'!F34,'25.08 Kaliro-Iganga'!F34,'27.08 Kaliro-Iganga'!F34,'24.08 Kaliro-Iganga-24h'!F34,'26.08 Kaliro-Iganga-24h'!F34,'28.08 Kaliro-Iganga'!F34)</f>
        <v>2.7142857142857144</v>
      </c>
      <c r="G34" s="49">
        <f>AVERAGE('22.08 Kaliro-Iganga'!G34,'23.08 Kaliro-Iganga'!G34,'25.08 Kaliro-Iganga'!G34,'27.08 Kaliro-Iganga'!G34,'24.08 Kaliro-Iganga-24h'!G34,'26.08 Kaliro-Iganga-24h'!G34,'28.08 Kaliro-Iganga'!G34)</f>
        <v>0</v>
      </c>
      <c r="H34" s="49">
        <f>AVERAGE('22.08 Kaliro-Iganga'!H34,'23.08 Kaliro-Iganga'!H34,'25.08 Kaliro-Iganga'!H34,'27.08 Kaliro-Iganga'!H34,'24.08 Kaliro-Iganga-24h'!H34,'26.08 Kaliro-Iganga-24h'!H34,'28.08 Kaliro-Iganga'!H34)</f>
        <v>0</v>
      </c>
      <c r="I34" s="49">
        <f>AVERAGE('22.08 Kaliro-Iganga'!I34,'23.08 Kaliro-Iganga'!I34,'25.08 Kaliro-Iganga'!I34,'27.08 Kaliro-Iganga'!I34,'24.08 Kaliro-Iganga-24h'!I34,'26.08 Kaliro-Iganga-24h'!I34,'28.08 Kaliro-Iganga'!I34)</f>
        <v>1.1428571428571428</v>
      </c>
      <c r="J34" s="49">
        <f>AVERAGE('22.08 Kaliro-Iganga'!J34,'23.08 Kaliro-Iganga'!J34,'25.08 Kaliro-Iganga'!J34,'27.08 Kaliro-Iganga'!J34,'24.08 Kaliro-Iganga-24h'!J34,'26.08 Kaliro-Iganga-24h'!J34,'28.08 Kaliro-Iganga'!J34)</f>
        <v>0.8571428571428571</v>
      </c>
      <c r="K34" s="49">
        <f>AVERAGE('22.08 Kaliro-Iganga'!K34,'23.08 Kaliro-Iganga'!K34,'25.08 Kaliro-Iganga'!K34,'27.08 Kaliro-Iganga'!K34,'24.08 Kaliro-Iganga-24h'!K34,'26.08 Kaliro-Iganga-24h'!K34,'28.08 Kaliro-Iganga'!K34)</f>
        <v>0.2857142857142857</v>
      </c>
      <c r="L34" s="49">
        <f>AVERAGE('22.08 Kaliro-Iganga'!L34,'23.08 Kaliro-Iganga'!L34,'25.08 Kaliro-Iganga'!L34,'27.08 Kaliro-Iganga'!L34,'24.08 Kaliro-Iganga-24h'!L34,'26.08 Kaliro-Iganga-24h'!L34,'28.08 Kaliro-Iganga'!L34)</f>
        <v>0</v>
      </c>
      <c r="M34" s="49">
        <f>AVERAGE('22.08 Kaliro-Iganga'!M34,'23.08 Kaliro-Iganga'!M34,'25.08 Kaliro-Iganga'!M34,'27.08 Kaliro-Iganga'!M34,'24.08 Kaliro-Iganga-24h'!M34,'26.08 Kaliro-Iganga-24h'!M34,'28.08 Kaliro-Iganga'!M34)</f>
        <v>69.428571428571431</v>
      </c>
      <c r="N34" s="49">
        <f>AVERAGE('22.08 Kaliro-Iganga'!N34,'23.08 Kaliro-Iganga'!N34,'25.08 Kaliro-Iganga'!N34,'27.08 Kaliro-Iganga'!N34,'24.08 Kaliro-Iganga-24h'!N34,'26.08 Kaliro-Iganga-24h'!N34,'28.08 Kaliro-Iganga'!N34)</f>
        <v>0</v>
      </c>
      <c r="O34" s="15">
        <f t="shared" si="0"/>
        <v>12.714285714285717</v>
      </c>
      <c r="P34" s="15">
        <f t="shared" si="1"/>
        <v>82.142857142857153</v>
      </c>
      <c r="R34" s="38" t="s">
        <v>90</v>
      </c>
      <c r="S34" s="39">
        <f t="shared" ref="S34:AF34" si="26">MAX(S10:S12)</f>
        <v>13.285714285714286</v>
      </c>
      <c r="T34" s="39">
        <f t="shared" si="26"/>
        <v>3.7142857142857144</v>
      </c>
      <c r="U34" s="39">
        <f t="shared" si="26"/>
        <v>6.5714285714285712</v>
      </c>
      <c r="V34" s="39">
        <f t="shared" si="26"/>
        <v>16.142857142857142</v>
      </c>
      <c r="W34" s="39">
        <f t="shared" si="26"/>
        <v>1.8571428571428572</v>
      </c>
      <c r="X34" s="39">
        <f t="shared" si="26"/>
        <v>0.2857142857142857</v>
      </c>
      <c r="Y34" s="39">
        <f t="shared" si="26"/>
        <v>4.5714285714285721</v>
      </c>
      <c r="Z34" s="39">
        <f t="shared" si="26"/>
        <v>2.5714285714285712</v>
      </c>
      <c r="AA34" s="39">
        <f t="shared" si="26"/>
        <v>0.71428571428571419</v>
      </c>
      <c r="AB34" s="39">
        <f t="shared" si="26"/>
        <v>0</v>
      </c>
      <c r="AC34" s="39">
        <f t="shared" si="26"/>
        <v>315.71428571428567</v>
      </c>
      <c r="AD34" s="39">
        <f t="shared" si="26"/>
        <v>0</v>
      </c>
      <c r="AE34" s="40">
        <f t="shared" si="26"/>
        <v>46.142857142857139</v>
      </c>
      <c r="AF34" s="40">
        <f t="shared" si="26"/>
        <v>361.85714285714289</v>
      </c>
    </row>
    <row r="35" spans="2:32" ht="23.1" customHeight="1" x14ac:dyDescent="0.25">
      <c r="B35" s="24" t="s">
        <v>62</v>
      </c>
      <c r="C35" s="49">
        <f>AVERAGE('22.08 Kaliro-Iganga'!C35,'23.08 Kaliro-Iganga'!C35,'25.08 Kaliro-Iganga'!C35,'27.08 Kaliro-Iganga'!C35,'24.08 Kaliro-Iganga-24h'!C35,'26.08 Kaliro-Iganga-24h'!C35,'28.08 Kaliro-Iganga'!C35)</f>
        <v>2.8571428571428572</v>
      </c>
      <c r="D35" s="49">
        <f>AVERAGE('22.08 Kaliro-Iganga'!D35,'23.08 Kaliro-Iganga'!D35,'25.08 Kaliro-Iganga'!D35,'27.08 Kaliro-Iganga'!D35,'24.08 Kaliro-Iganga-24h'!D35,'26.08 Kaliro-Iganga-24h'!D35,'28.08 Kaliro-Iganga'!D35)</f>
        <v>1.7142857142857142</v>
      </c>
      <c r="E35" s="49">
        <f>AVERAGE('22.08 Kaliro-Iganga'!E35,'23.08 Kaliro-Iganga'!E35,'25.08 Kaliro-Iganga'!E35,'27.08 Kaliro-Iganga'!E35,'24.08 Kaliro-Iganga-24h'!E35,'26.08 Kaliro-Iganga-24h'!E35,'28.08 Kaliro-Iganga'!E35)</f>
        <v>0.42857142857142855</v>
      </c>
      <c r="F35" s="49">
        <f>AVERAGE('22.08 Kaliro-Iganga'!F35,'23.08 Kaliro-Iganga'!F35,'25.08 Kaliro-Iganga'!F35,'27.08 Kaliro-Iganga'!F35,'24.08 Kaliro-Iganga-24h'!F35,'26.08 Kaliro-Iganga-24h'!F35,'28.08 Kaliro-Iganga'!F35)</f>
        <v>2.2857142857142856</v>
      </c>
      <c r="G35" s="49">
        <f>AVERAGE('22.08 Kaliro-Iganga'!G35,'23.08 Kaliro-Iganga'!G35,'25.08 Kaliro-Iganga'!G35,'27.08 Kaliro-Iganga'!G35,'24.08 Kaliro-Iganga-24h'!G35,'26.08 Kaliro-Iganga-24h'!G35,'28.08 Kaliro-Iganga'!G35)</f>
        <v>0.2857142857142857</v>
      </c>
      <c r="H35" s="49">
        <f>AVERAGE('22.08 Kaliro-Iganga'!H35,'23.08 Kaliro-Iganga'!H35,'25.08 Kaliro-Iganga'!H35,'27.08 Kaliro-Iganga'!H35,'24.08 Kaliro-Iganga-24h'!H35,'26.08 Kaliro-Iganga-24h'!H35,'28.08 Kaliro-Iganga'!H35)</f>
        <v>0</v>
      </c>
      <c r="I35" s="49">
        <f>AVERAGE('22.08 Kaliro-Iganga'!I35,'23.08 Kaliro-Iganga'!I35,'25.08 Kaliro-Iganga'!I35,'27.08 Kaliro-Iganga'!I35,'24.08 Kaliro-Iganga-24h'!I35,'26.08 Kaliro-Iganga-24h'!I35,'28.08 Kaliro-Iganga'!I35)</f>
        <v>1.5714285714285714</v>
      </c>
      <c r="J35" s="49">
        <f>AVERAGE('22.08 Kaliro-Iganga'!J35,'23.08 Kaliro-Iganga'!J35,'25.08 Kaliro-Iganga'!J35,'27.08 Kaliro-Iganga'!J35,'24.08 Kaliro-Iganga-24h'!J35,'26.08 Kaliro-Iganga-24h'!J35,'28.08 Kaliro-Iganga'!J35)</f>
        <v>0.5714285714285714</v>
      </c>
      <c r="K35" s="49">
        <f>AVERAGE('22.08 Kaliro-Iganga'!K35,'23.08 Kaliro-Iganga'!K35,'25.08 Kaliro-Iganga'!K35,'27.08 Kaliro-Iganga'!K35,'24.08 Kaliro-Iganga-24h'!K35,'26.08 Kaliro-Iganga-24h'!K35,'28.08 Kaliro-Iganga'!K35)</f>
        <v>0.14285714285714285</v>
      </c>
      <c r="L35" s="49">
        <f>AVERAGE('22.08 Kaliro-Iganga'!L35,'23.08 Kaliro-Iganga'!L35,'25.08 Kaliro-Iganga'!L35,'27.08 Kaliro-Iganga'!L35,'24.08 Kaliro-Iganga-24h'!L35,'26.08 Kaliro-Iganga-24h'!L35,'28.08 Kaliro-Iganga'!L35)</f>
        <v>0</v>
      </c>
      <c r="M35" s="49">
        <f>AVERAGE('22.08 Kaliro-Iganga'!M35,'23.08 Kaliro-Iganga'!M35,'25.08 Kaliro-Iganga'!M35,'27.08 Kaliro-Iganga'!M35,'24.08 Kaliro-Iganga-24h'!M35,'26.08 Kaliro-Iganga-24h'!M35,'28.08 Kaliro-Iganga'!M35)</f>
        <v>76</v>
      </c>
      <c r="N35" s="49">
        <f>AVERAGE('22.08 Kaliro-Iganga'!N35,'23.08 Kaliro-Iganga'!N35,'25.08 Kaliro-Iganga'!N35,'27.08 Kaliro-Iganga'!N35,'24.08 Kaliro-Iganga-24h'!N35,'26.08 Kaliro-Iganga-24h'!N35,'28.08 Kaliro-Iganga'!N35)</f>
        <v>0</v>
      </c>
      <c r="O35" s="15">
        <f t="shared" si="0"/>
        <v>9.8571428571428559</v>
      </c>
      <c r="P35" s="15">
        <f t="shared" si="1"/>
        <v>85.857142857142861</v>
      </c>
      <c r="R35" s="38" t="s">
        <v>91</v>
      </c>
      <c r="S35" s="39">
        <f t="shared" ref="S35:AF35" si="27">MAX(S13:S18)</f>
        <v>20.857142857142858</v>
      </c>
      <c r="T35" s="39">
        <f t="shared" si="27"/>
        <v>5.4285714285714288</v>
      </c>
      <c r="U35" s="39">
        <f t="shared" si="27"/>
        <v>6.2857142857142856</v>
      </c>
      <c r="V35" s="39">
        <f t="shared" si="27"/>
        <v>14.714285714285715</v>
      </c>
      <c r="W35" s="39">
        <f t="shared" si="27"/>
        <v>0.42857142857142855</v>
      </c>
      <c r="X35" s="39">
        <f t="shared" si="27"/>
        <v>0.2857142857142857</v>
      </c>
      <c r="Y35" s="39">
        <f t="shared" si="27"/>
        <v>6.7142857142857144</v>
      </c>
      <c r="Z35" s="39">
        <f t="shared" si="27"/>
        <v>4.5714285714285721</v>
      </c>
      <c r="AA35" s="39">
        <f t="shared" si="27"/>
        <v>0.99999999999999989</v>
      </c>
      <c r="AB35" s="39">
        <f t="shared" si="27"/>
        <v>0.2857142857142857</v>
      </c>
      <c r="AC35" s="39">
        <f t="shared" si="27"/>
        <v>322.57142857142856</v>
      </c>
      <c r="AD35" s="39">
        <f t="shared" si="27"/>
        <v>0.42857142857142855</v>
      </c>
      <c r="AE35" s="40">
        <f t="shared" si="27"/>
        <v>51.428571428571423</v>
      </c>
      <c r="AF35" s="40">
        <f t="shared" si="27"/>
        <v>371.4285714285715</v>
      </c>
    </row>
    <row r="36" spans="2:32" ht="23.1" customHeight="1" x14ac:dyDescent="0.25">
      <c r="B36" s="24" t="s">
        <v>63</v>
      </c>
      <c r="C36" s="49">
        <f>AVERAGE('22.08 Kaliro-Iganga'!C36,'23.08 Kaliro-Iganga'!C36,'25.08 Kaliro-Iganga'!C36,'27.08 Kaliro-Iganga'!C36,'24.08 Kaliro-Iganga-24h'!C36,'26.08 Kaliro-Iganga-24h'!C36,'28.08 Kaliro-Iganga'!C36)</f>
        <v>3</v>
      </c>
      <c r="D36" s="49">
        <f>AVERAGE('22.08 Kaliro-Iganga'!D36,'23.08 Kaliro-Iganga'!D36,'25.08 Kaliro-Iganga'!D36,'27.08 Kaliro-Iganga'!D36,'24.08 Kaliro-Iganga-24h'!D36,'26.08 Kaliro-Iganga-24h'!D36,'28.08 Kaliro-Iganga'!D36)</f>
        <v>1.1428571428571428</v>
      </c>
      <c r="E36" s="49">
        <f>AVERAGE('22.08 Kaliro-Iganga'!E36,'23.08 Kaliro-Iganga'!E36,'25.08 Kaliro-Iganga'!E36,'27.08 Kaliro-Iganga'!E36,'24.08 Kaliro-Iganga-24h'!E36,'26.08 Kaliro-Iganga-24h'!E36,'28.08 Kaliro-Iganga'!E36)</f>
        <v>0.7142857142857143</v>
      </c>
      <c r="F36" s="49">
        <f>AVERAGE('22.08 Kaliro-Iganga'!F36,'23.08 Kaliro-Iganga'!F36,'25.08 Kaliro-Iganga'!F36,'27.08 Kaliro-Iganga'!F36,'24.08 Kaliro-Iganga-24h'!F36,'26.08 Kaliro-Iganga-24h'!F36,'28.08 Kaliro-Iganga'!F36)</f>
        <v>2.5714285714285716</v>
      </c>
      <c r="G36" s="49">
        <f>AVERAGE('22.08 Kaliro-Iganga'!G36,'23.08 Kaliro-Iganga'!G36,'25.08 Kaliro-Iganga'!G36,'27.08 Kaliro-Iganga'!G36,'24.08 Kaliro-Iganga-24h'!G36,'26.08 Kaliro-Iganga-24h'!G36,'28.08 Kaliro-Iganga'!G36)</f>
        <v>0.14285714285714285</v>
      </c>
      <c r="H36" s="49">
        <f>AVERAGE('22.08 Kaliro-Iganga'!H36,'23.08 Kaliro-Iganga'!H36,'25.08 Kaliro-Iganga'!H36,'27.08 Kaliro-Iganga'!H36,'24.08 Kaliro-Iganga-24h'!H36,'26.08 Kaliro-Iganga-24h'!H36,'28.08 Kaliro-Iganga'!H36)</f>
        <v>0</v>
      </c>
      <c r="I36" s="49">
        <f>AVERAGE('22.08 Kaliro-Iganga'!I36,'23.08 Kaliro-Iganga'!I36,'25.08 Kaliro-Iganga'!I36,'27.08 Kaliro-Iganga'!I36,'24.08 Kaliro-Iganga-24h'!I36,'26.08 Kaliro-Iganga-24h'!I36,'28.08 Kaliro-Iganga'!I36)</f>
        <v>0.7142857142857143</v>
      </c>
      <c r="J36" s="49">
        <f>AVERAGE('22.08 Kaliro-Iganga'!J36,'23.08 Kaliro-Iganga'!J36,'25.08 Kaliro-Iganga'!J36,'27.08 Kaliro-Iganga'!J36,'24.08 Kaliro-Iganga-24h'!J36,'26.08 Kaliro-Iganga-24h'!J36,'28.08 Kaliro-Iganga'!J36)</f>
        <v>0.2857142857142857</v>
      </c>
      <c r="K36" s="49">
        <f>AVERAGE('22.08 Kaliro-Iganga'!K36,'23.08 Kaliro-Iganga'!K36,'25.08 Kaliro-Iganga'!K36,'27.08 Kaliro-Iganga'!K36,'24.08 Kaliro-Iganga-24h'!K36,'26.08 Kaliro-Iganga-24h'!K36,'28.08 Kaliro-Iganga'!K36)</f>
        <v>0</v>
      </c>
      <c r="L36" s="49">
        <f>AVERAGE('22.08 Kaliro-Iganga'!L36,'23.08 Kaliro-Iganga'!L36,'25.08 Kaliro-Iganga'!L36,'27.08 Kaliro-Iganga'!L36,'24.08 Kaliro-Iganga-24h'!L36,'26.08 Kaliro-Iganga-24h'!L36,'28.08 Kaliro-Iganga'!L36)</f>
        <v>0</v>
      </c>
      <c r="M36" s="49">
        <f>AVERAGE('22.08 Kaliro-Iganga'!M36,'23.08 Kaliro-Iganga'!M36,'25.08 Kaliro-Iganga'!M36,'27.08 Kaliro-Iganga'!M36,'24.08 Kaliro-Iganga-24h'!M36,'26.08 Kaliro-Iganga-24h'!M36,'28.08 Kaliro-Iganga'!M36)</f>
        <v>70.857142857142861</v>
      </c>
      <c r="N36" s="49">
        <f>AVERAGE('22.08 Kaliro-Iganga'!N36,'23.08 Kaliro-Iganga'!N36,'25.08 Kaliro-Iganga'!N36,'27.08 Kaliro-Iganga'!N36,'24.08 Kaliro-Iganga-24h'!N36,'26.08 Kaliro-Iganga-24h'!N36,'28.08 Kaliro-Iganga'!N36)</f>
        <v>0</v>
      </c>
      <c r="O36" s="15">
        <f t="shared" si="0"/>
        <v>8.571428571428573</v>
      </c>
      <c r="P36" s="15">
        <f t="shared" si="1"/>
        <v>79.428571428571431</v>
      </c>
      <c r="R36" s="38" t="s">
        <v>92</v>
      </c>
      <c r="S36" s="39">
        <f t="shared" ref="S36:AF36" si="28">MAX(S19:S21)</f>
        <v>16.428571428571431</v>
      </c>
      <c r="T36" s="39">
        <f t="shared" si="28"/>
        <v>8.2857142857142865</v>
      </c>
      <c r="U36" s="39">
        <f t="shared" si="28"/>
        <v>7.428571428571427</v>
      </c>
      <c r="V36" s="39">
        <f t="shared" si="28"/>
        <v>19.142857142857146</v>
      </c>
      <c r="W36" s="39">
        <f t="shared" si="28"/>
        <v>0.5714285714285714</v>
      </c>
      <c r="X36" s="39">
        <f t="shared" si="28"/>
        <v>0</v>
      </c>
      <c r="Y36" s="39">
        <f t="shared" si="28"/>
        <v>6.1428571428571423</v>
      </c>
      <c r="Z36" s="39">
        <f t="shared" si="28"/>
        <v>3.7142857142857144</v>
      </c>
      <c r="AA36" s="39">
        <f t="shared" si="28"/>
        <v>1.1428571428571428</v>
      </c>
      <c r="AB36" s="39">
        <f t="shared" si="28"/>
        <v>0.2857142857142857</v>
      </c>
      <c r="AC36" s="39">
        <f t="shared" si="28"/>
        <v>280.28571428571428</v>
      </c>
      <c r="AD36" s="39">
        <f t="shared" si="28"/>
        <v>0.14285714285714285</v>
      </c>
      <c r="AE36" s="40">
        <f t="shared" si="28"/>
        <v>57.857142857142854</v>
      </c>
      <c r="AF36" s="40">
        <f t="shared" si="28"/>
        <v>333.14285714285717</v>
      </c>
    </row>
    <row r="37" spans="2:32" ht="23.1" customHeight="1" x14ac:dyDescent="0.25">
      <c r="B37" s="23" t="s">
        <v>64</v>
      </c>
      <c r="C37" s="49">
        <f>AVERAGE('22.08 Kaliro-Iganga'!C37,'23.08 Kaliro-Iganga'!C37,'25.08 Kaliro-Iganga'!C37,'27.08 Kaliro-Iganga'!C37,'24.08 Kaliro-Iganga-24h'!C37,'26.08 Kaliro-Iganga-24h'!C37,'28.08 Kaliro-Iganga'!C37)</f>
        <v>3</v>
      </c>
      <c r="D37" s="49">
        <f>AVERAGE('22.08 Kaliro-Iganga'!D37,'23.08 Kaliro-Iganga'!D37,'25.08 Kaliro-Iganga'!D37,'27.08 Kaliro-Iganga'!D37,'24.08 Kaliro-Iganga-24h'!D37,'26.08 Kaliro-Iganga-24h'!D37,'28.08 Kaliro-Iganga'!D37)</f>
        <v>0.7142857142857143</v>
      </c>
      <c r="E37" s="49">
        <f>AVERAGE('22.08 Kaliro-Iganga'!E37,'23.08 Kaliro-Iganga'!E37,'25.08 Kaliro-Iganga'!E37,'27.08 Kaliro-Iganga'!E37,'24.08 Kaliro-Iganga-24h'!E37,'26.08 Kaliro-Iganga-24h'!E37,'28.08 Kaliro-Iganga'!E37)</f>
        <v>0.8571428571428571</v>
      </c>
      <c r="F37" s="49">
        <f>AVERAGE('22.08 Kaliro-Iganga'!F37,'23.08 Kaliro-Iganga'!F37,'25.08 Kaliro-Iganga'!F37,'27.08 Kaliro-Iganga'!F37,'24.08 Kaliro-Iganga-24h'!F37,'26.08 Kaliro-Iganga-24h'!F37,'28.08 Kaliro-Iganga'!F37)</f>
        <v>2.5714285714285716</v>
      </c>
      <c r="G37" s="49">
        <f>AVERAGE('22.08 Kaliro-Iganga'!G37,'23.08 Kaliro-Iganga'!G37,'25.08 Kaliro-Iganga'!G37,'27.08 Kaliro-Iganga'!G37,'24.08 Kaliro-Iganga-24h'!G37,'26.08 Kaliro-Iganga-24h'!G37,'28.08 Kaliro-Iganga'!G37)</f>
        <v>0</v>
      </c>
      <c r="H37" s="49">
        <f>AVERAGE('22.08 Kaliro-Iganga'!H37,'23.08 Kaliro-Iganga'!H37,'25.08 Kaliro-Iganga'!H37,'27.08 Kaliro-Iganga'!H37,'24.08 Kaliro-Iganga-24h'!H37,'26.08 Kaliro-Iganga-24h'!H37,'28.08 Kaliro-Iganga'!H37)</f>
        <v>0</v>
      </c>
      <c r="I37" s="49">
        <f>AVERAGE('22.08 Kaliro-Iganga'!I37,'23.08 Kaliro-Iganga'!I37,'25.08 Kaliro-Iganga'!I37,'27.08 Kaliro-Iganga'!I37,'24.08 Kaliro-Iganga-24h'!I37,'26.08 Kaliro-Iganga-24h'!I37,'28.08 Kaliro-Iganga'!I37)</f>
        <v>1</v>
      </c>
      <c r="J37" s="49">
        <f>AVERAGE('22.08 Kaliro-Iganga'!J37,'23.08 Kaliro-Iganga'!J37,'25.08 Kaliro-Iganga'!J37,'27.08 Kaliro-Iganga'!J37,'24.08 Kaliro-Iganga-24h'!J37,'26.08 Kaliro-Iganga-24h'!J37,'28.08 Kaliro-Iganga'!J37)</f>
        <v>1.8571428571428572</v>
      </c>
      <c r="K37" s="49">
        <f>AVERAGE('22.08 Kaliro-Iganga'!K37,'23.08 Kaliro-Iganga'!K37,'25.08 Kaliro-Iganga'!K37,'27.08 Kaliro-Iganga'!K37,'24.08 Kaliro-Iganga-24h'!K37,'26.08 Kaliro-Iganga-24h'!K37,'28.08 Kaliro-Iganga'!K37)</f>
        <v>0.14285714285714285</v>
      </c>
      <c r="L37" s="49">
        <f>AVERAGE('22.08 Kaliro-Iganga'!L37,'23.08 Kaliro-Iganga'!L37,'25.08 Kaliro-Iganga'!L37,'27.08 Kaliro-Iganga'!L37,'24.08 Kaliro-Iganga-24h'!L37,'26.08 Kaliro-Iganga-24h'!L37,'28.08 Kaliro-Iganga'!L37)</f>
        <v>0</v>
      </c>
      <c r="M37" s="49">
        <f>AVERAGE('22.08 Kaliro-Iganga'!M37,'23.08 Kaliro-Iganga'!M37,'25.08 Kaliro-Iganga'!M37,'27.08 Kaliro-Iganga'!M37,'24.08 Kaliro-Iganga-24h'!M37,'26.08 Kaliro-Iganga-24h'!M37,'28.08 Kaliro-Iganga'!M37)</f>
        <v>74.571428571428569</v>
      </c>
      <c r="N37" s="49">
        <f>AVERAGE('22.08 Kaliro-Iganga'!N37,'23.08 Kaliro-Iganga'!N37,'25.08 Kaliro-Iganga'!N37,'27.08 Kaliro-Iganga'!N37,'24.08 Kaliro-Iganga-24h'!N37,'26.08 Kaliro-Iganga-24h'!N37,'28.08 Kaliro-Iganga'!N37)</f>
        <v>0</v>
      </c>
      <c r="O37" s="15">
        <f t="shared" si="0"/>
        <v>10.142857142857142</v>
      </c>
      <c r="P37" s="15">
        <f t="shared" si="1"/>
        <v>84.714285714285708</v>
      </c>
      <c r="R37" s="37" t="s">
        <v>85</v>
      </c>
      <c r="S37" s="35">
        <f t="shared" ref="S37:AF37" si="29">SUM(S10:S12)</f>
        <v>34.571428571428577</v>
      </c>
      <c r="T37" s="16">
        <f t="shared" si="29"/>
        <v>9.7142857142857153</v>
      </c>
      <c r="U37" s="16">
        <f t="shared" si="29"/>
        <v>13.857142857142858</v>
      </c>
      <c r="V37" s="16">
        <f t="shared" si="29"/>
        <v>41.142857142857139</v>
      </c>
      <c r="W37" s="16">
        <f t="shared" si="29"/>
        <v>2</v>
      </c>
      <c r="X37" s="16">
        <f t="shared" si="29"/>
        <v>0.5714285714285714</v>
      </c>
      <c r="Y37" s="16">
        <f t="shared" si="29"/>
        <v>12.428571428571429</v>
      </c>
      <c r="Z37" s="16">
        <f t="shared" si="29"/>
        <v>5.7142857142857135</v>
      </c>
      <c r="AA37" s="16">
        <f t="shared" si="29"/>
        <v>1.857142857142857</v>
      </c>
      <c r="AB37" s="16">
        <f t="shared" si="29"/>
        <v>0</v>
      </c>
      <c r="AC37" s="16">
        <f t="shared" si="29"/>
        <v>857</v>
      </c>
      <c r="AD37" s="16">
        <f t="shared" si="29"/>
        <v>0</v>
      </c>
      <c r="AE37" s="32">
        <f t="shared" si="29"/>
        <v>121.85714285714285</v>
      </c>
      <c r="AF37" s="32">
        <f t="shared" si="29"/>
        <v>978.85714285714289</v>
      </c>
    </row>
    <row r="38" spans="2:32" ht="23.1" customHeight="1" x14ac:dyDescent="0.25">
      <c r="B38" s="24" t="s">
        <v>65</v>
      </c>
      <c r="C38" s="49">
        <f>AVERAGE('22.08 Kaliro-Iganga'!C38,'23.08 Kaliro-Iganga'!C38,'25.08 Kaliro-Iganga'!C38,'27.08 Kaliro-Iganga'!C38,'24.08 Kaliro-Iganga-24h'!C38,'26.08 Kaliro-Iganga-24h'!C38,'28.08 Kaliro-Iganga'!C38)</f>
        <v>4</v>
      </c>
      <c r="D38" s="49">
        <f>AVERAGE('22.08 Kaliro-Iganga'!D38,'23.08 Kaliro-Iganga'!D38,'25.08 Kaliro-Iganga'!D38,'27.08 Kaliro-Iganga'!D38,'24.08 Kaliro-Iganga-24h'!D38,'26.08 Kaliro-Iganga-24h'!D38,'28.08 Kaliro-Iganga'!D38)</f>
        <v>2</v>
      </c>
      <c r="E38" s="49">
        <f>AVERAGE('22.08 Kaliro-Iganga'!E38,'23.08 Kaliro-Iganga'!E38,'25.08 Kaliro-Iganga'!E38,'27.08 Kaliro-Iganga'!E38,'24.08 Kaliro-Iganga-24h'!E38,'26.08 Kaliro-Iganga-24h'!E38,'28.08 Kaliro-Iganga'!E38)</f>
        <v>1.2857142857142858</v>
      </c>
      <c r="F38" s="49">
        <f>AVERAGE('22.08 Kaliro-Iganga'!F38,'23.08 Kaliro-Iganga'!F38,'25.08 Kaliro-Iganga'!F38,'27.08 Kaliro-Iganga'!F38,'24.08 Kaliro-Iganga-24h'!F38,'26.08 Kaliro-Iganga-24h'!F38,'28.08 Kaliro-Iganga'!F38)</f>
        <v>4.5714285714285712</v>
      </c>
      <c r="G38" s="49">
        <f>AVERAGE('22.08 Kaliro-Iganga'!G38,'23.08 Kaliro-Iganga'!G38,'25.08 Kaliro-Iganga'!G38,'27.08 Kaliro-Iganga'!G38,'24.08 Kaliro-Iganga-24h'!G38,'26.08 Kaliro-Iganga-24h'!G38,'28.08 Kaliro-Iganga'!G38)</f>
        <v>0</v>
      </c>
      <c r="H38" s="49">
        <f>AVERAGE('22.08 Kaliro-Iganga'!H38,'23.08 Kaliro-Iganga'!H38,'25.08 Kaliro-Iganga'!H38,'27.08 Kaliro-Iganga'!H38,'24.08 Kaliro-Iganga-24h'!H38,'26.08 Kaliro-Iganga-24h'!H38,'28.08 Kaliro-Iganga'!H38)</f>
        <v>0</v>
      </c>
      <c r="I38" s="49">
        <f>AVERAGE('22.08 Kaliro-Iganga'!I38,'23.08 Kaliro-Iganga'!I38,'25.08 Kaliro-Iganga'!I38,'27.08 Kaliro-Iganga'!I38,'24.08 Kaliro-Iganga-24h'!I38,'26.08 Kaliro-Iganga-24h'!I38,'28.08 Kaliro-Iganga'!I38)</f>
        <v>1.4285714285714286</v>
      </c>
      <c r="J38" s="49">
        <f>AVERAGE('22.08 Kaliro-Iganga'!J38,'23.08 Kaliro-Iganga'!J38,'25.08 Kaliro-Iganga'!J38,'27.08 Kaliro-Iganga'!J38,'24.08 Kaliro-Iganga-24h'!J38,'26.08 Kaliro-Iganga-24h'!J38,'28.08 Kaliro-Iganga'!J38)</f>
        <v>1.5714285714285714</v>
      </c>
      <c r="K38" s="49">
        <f>AVERAGE('22.08 Kaliro-Iganga'!K38,'23.08 Kaliro-Iganga'!K38,'25.08 Kaliro-Iganga'!K38,'27.08 Kaliro-Iganga'!K38,'24.08 Kaliro-Iganga-24h'!K38,'26.08 Kaliro-Iganga-24h'!K38,'28.08 Kaliro-Iganga'!K38)</f>
        <v>0.14285714285714285</v>
      </c>
      <c r="L38" s="49">
        <f>AVERAGE('22.08 Kaliro-Iganga'!L38,'23.08 Kaliro-Iganga'!L38,'25.08 Kaliro-Iganga'!L38,'27.08 Kaliro-Iganga'!L38,'24.08 Kaliro-Iganga-24h'!L38,'26.08 Kaliro-Iganga-24h'!L38,'28.08 Kaliro-Iganga'!L38)</f>
        <v>0</v>
      </c>
      <c r="M38" s="49">
        <f>AVERAGE('22.08 Kaliro-Iganga'!M38,'23.08 Kaliro-Iganga'!M38,'25.08 Kaliro-Iganga'!M38,'27.08 Kaliro-Iganga'!M38,'24.08 Kaliro-Iganga-24h'!M38,'26.08 Kaliro-Iganga-24h'!M38,'28.08 Kaliro-Iganga'!M38)</f>
        <v>69.285714285714292</v>
      </c>
      <c r="N38" s="49">
        <f>AVERAGE('22.08 Kaliro-Iganga'!N38,'23.08 Kaliro-Iganga'!N38,'25.08 Kaliro-Iganga'!N38,'27.08 Kaliro-Iganga'!N38,'24.08 Kaliro-Iganga-24h'!N38,'26.08 Kaliro-Iganga-24h'!N38,'28.08 Kaliro-Iganga'!N38)</f>
        <v>0</v>
      </c>
      <c r="O38" s="15">
        <f t="shared" si="0"/>
        <v>15</v>
      </c>
      <c r="P38" s="15">
        <f t="shared" si="1"/>
        <v>84.285714285714292</v>
      </c>
      <c r="R38" s="28" t="s">
        <v>86</v>
      </c>
      <c r="S38" s="16">
        <f t="shared" ref="S38:AF38" si="30">SUM(S13:S18)</f>
        <v>93</v>
      </c>
      <c r="T38" s="16">
        <f t="shared" si="30"/>
        <v>25.571428571428569</v>
      </c>
      <c r="U38" s="16">
        <f t="shared" si="30"/>
        <v>26.285714285714285</v>
      </c>
      <c r="V38" s="16">
        <f t="shared" si="30"/>
        <v>74.571428571428569</v>
      </c>
      <c r="W38" s="16">
        <f t="shared" si="30"/>
        <v>1.857142857142857</v>
      </c>
      <c r="X38" s="16">
        <f t="shared" si="30"/>
        <v>0.2857142857142857</v>
      </c>
      <c r="Y38" s="16">
        <f t="shared" si="30"/>
        <v>31.999999999999996</v>
      </c>
      <c r="Z38" s="16">
        <f t="shared" si="30"/>
        <v>20.285714285714285</v>
      </c>
      <c r="AA38" s="16">
        <f t="shared" si="30"/>
        <v>3.4285714285714288</v>
      </c>
      <c r="AB38" s="16">
        <f t="shared" si="30"/>
        <v>0.5714285714285714</v>
      </c>
      <c r="AC38" s="16">
        <f t="shared" si="30"/>
        <v>1818.7142857142858</v>
      </c>
      <c r="AD38" s="16">
        <f t="shared" si="30"/>
        <v>1</v>
      </c>
      <c r="AE38" s="32">
        <f t="shared" si="30"/>
        <v>278.85714285714283</v>
      </c>
      <c r="AF38" s="32">
        <f t="shared" si="30"/>
        <v>2097.5714285714289</v>
      </c>
    </row>
    <row r="39" spans="2:32" ht="23.1" customHeight="1" x14ac:dyDescent="0.25">
      <c r="B39" s="24" t="s">
        <v>66</v>
      </c>
      <c r="C39" s="49">
        <f>AVERAGE('22.08 Kaliro-Iganga'!C39,'23.08 Kaliro-Iganga'!C39,'25.08 Kaliro-Iganga'!C39,'27.08 Kaliro-Iganga'!C39,'24.08 Kaliro-Iganga-24h'!C39,'26.08 Kaliro-Iganga-24h'!C39,'28.08 Kaliro-Iganga'!C39)</f>
        <v>3.5714285714285716</v>
      </c>
      <c r="D39" s="49">
        <f>AVERAGE('22.08 Kaliro-Iganga'!D39,'23.08 Kaliro-Iganga'!D39,'25.08 Kaliro-Iganga'!D39,'27.08 Kaliro-Iganga'!D39,'24.08 Kaliro-Iganga-24h'!D39,'26.08 Kaliro-Iganga-24h'!D39,'28.08 Kaliro-Iganga'!D39)</f>
        <v>0.7142857142857143</v>
      </c>
      <c r="E39" s="49">
        <f>AVERAGE('22.08 Kaliro-Iganga'!E39,'23.08 Kaliro-Iganga'!E39,'25.08 Kaliro-Iganga'!E39,'27.08 Kaliro-Iganga'!E39,'24.08 Kaliro-Iganga-24h'!E39,'26.08 Kaliro-Iganga-24h'!E39,'28.08 Kaliro-Iganga'!E39)</f>
        <v>0.42857142857142855</v>
      </c>
      <c r="F39" s="49">
        <f>AVERAGE('22.08 Kaliro-Iganga'!F39,'23.08 Kaliro-Iganga'!F39,'25.08 Kaliro-Iganga'!F39,'27.08 Kaliro-Iganga'!F39,'24.08 Kaliro-Iganga-24h'!F39,'26.08 Kaliro-Iganga-24h'!F39,'28.08 Kaliro-Iganga'!F39)</f>
        <v>4.1428571428571432</v>
      </c>
      <c r="G39" s="49">
        <f>AVERAGE('22.08 Kaliro-Iganga'!G39,'23.08 Kaliro-Iganga'!G39,'25.08 Kaliro-Iganga'!G39,'27.08 Kaliro-Iganga'!G39,'24.08 Kaliro-Iganga-24h'!G39,'26.08 Kaliro-Iganga-24h'!G39,'28.08 Kaliro-Iganga'!G39)</f>
        <v>0.14285714285714285</v>
      </c>
      <c r="H39" s="49">
        <f>AVERAGE('22.08 Kaliro-Iganga'!H39,'23.08 Kaliro-Iganga'!H39,'25.08 Kaliro-Iganga'!H39,'27.08 Kaliro-Iganga'!H39,'24.08 Kaliro-Iganga-24h'!H39,'26.08 Kaliro-Iganga-24h'!H39,'28.08 Kaliro-Iganga'!H39)</f>
        <v>0</v>
      </c>
      <c r="I39" s="49">
        <f>AVERAGE('22.08 Kaliro-Iganga'!I39,'23.08 Kaliro-Iganga'!I39,'25.08 Kaliro-Iganga'!I39,'27.08 Kaliro-Iganga'!I39,'24.08 Kaliro-Iganga-24h'!I39,'26.08 Kaliro-Iganga-24h'!I39,'28.08 Kaliro-Iganga'!I39)</f>
        <v>2</v>
      </c>
      <c r="J39" s="49">
        <f>AVERAGE('22.08 Kaliro-Iganga'!J39,'23.08 Kaliro-Iganga'!J39,'25.08 Kaliro-Iganga'!J39,'27.08 Kaliro-Iganga'!J39,'24.08 Kaliro-Iganga-24h'!J39,'26.08 Kaliro-Iganga-24h'!J39,'28.08 Kaliro-Iganga'!J39)</f>
        <v>0.5714285714285714</v>
      </c>
      <c r="K39" s="49">
        <f>AVERAGE('22.08 Kaliro-Iganga'!K39,'23.08 Kaliro-Iganga'!K39,'25.08 Kaliro-Iganga'!K39,'27.08 Kaliro-Iganga'!K39,'24.08 Kaliro-Iganga-24h'!K39,'26.08 Kaliro-Iganga-24h'!K39,'28.08 Kaliro-Iganga'!K39)</f>
        <v>0</v>
      </c>
      <c r="L39" s="49">
        <f>AVERAGE('22.08 Kaliro-Iganga'!L39,'23.08 Kaliro-Iganga'!L39,'25.08 Kaliro-Iganga'!L39,'27.08 Kaliro-Iganga'!L39,'24.08 Kaliro-Iganga-24h'!L39,'26.08 Kaliro-Iganga-24h'!L39,'28.08 Kaliro-Iganga'!L39)</f>
        <v>0</v>
      </c>
      <c r="M39" s="49">
        <f>AVERAGE('22.08 Kaliro-Iganga'!M39,'23.08 Kaliro-Iganga'!M39,'25.08 Kaliro-Iganga'!M39,'27.08 Kaliro-Iganga'!M39,'24.08 Kaliro-Iganga-24h'!M39,'26.08 Kaliro-Iganga-24h'!M39,'28.08 Kaliro-Iganga'!M39)</f>
        <v>70.142857142857139</v>
      </c>
      <c r="N39" s="49">
        <f>AVERAGE('22.08 Kaliro-Iganga'!N39,'23.08 Kaliro-Iganga'!N39,'25.08 Kaliro-Iganga'!N39,'27.08 Kaliro-Iganga'!N39,'24.08 Kaliro-Iganga-24h'!N39,'26.08 Kaliro-Iganga-24h'!N39,'28.08 Kaliro-Iganga'!N39)</f>
        <v>0</v>
      </c>
      <c r="O39" s="15">
        <f t="shared" si="0"/>
        <v>11.571428571428571</v>
      </c>
      <c r="P39" s="15">
        <f t="shared" si="1"/>
        <v>81.714285714285708</v>
      </c>
      <c r="R39" s="29" t="s">
        <v>87</v>
      </c>
      <c r="S39" s="16">
        <f t="shared" ref="S39:AF39" si="31">SUM(S19:S21)</f>
        <v>41.142857142857146</v>
      </c>
      <c r="T39" s="16">
        <f t="shared" si="31"/>
        <v>18.285714285714285</v>
      </c>
      <c r="U39" s="16">
        <f t="shared" si="31"/>
        <v>19.571428571428569</v>
      </c>
      <c r="V39" s="16">
        <f t="shared" si="31"/>
        <v>54.714285714285715</v>
      </c>
      <c r="W39" s="16">
        <f t="shared" si="31"/>
        <v>0.85714285714285698</v>
      </c>
      <c r="X39" s="16">
        <f t="shared" si="31"/>
        <v>0</v>
      </c>
      <c r="Y39" s="16">
        <f t="shared" si="31"/>
        <v>17.428571428571427</v>
      </c>
      <c r="Z39" s="16">
        <f t="shared" si="31"/>
        <v>9.7142857142857153</v>
      </c>
      <c r="AA39" s="16">
        <f t="shared" si="31"/>
        <v>2.7142857142857144</v>
      </c>
      <c r="AB39" s="16">
        <f t="shared" si="31"/>
        <v>0.2857142857142857</v>
      </c>
      <c r="AC39" s="16">
        <f t="shared" si="31"/>
        <v>818.85714285714278</v>
      </c>
      <c r="AD39" s="16">
        <f t="shared" si="31"/>
        <v>0.14285714285714285</v>
      </c>
      <c r="AE39" s="32">
        <f t="shared" si="31"/>
        <v>164.85714285714286</v>
      </c>
      <c r="AF39" s="32">
        <f t="shared" si="31"/>
        <v>983.71428571428567</v>
      </c>
    </row>
    <row r="40" spans="2:32" ht="23.1" customHeight="1" x14ac:dyDescent="0.25">
      <c r="B40" s="24" t="s">
        <v>67</v>
      </c>
      <c r="C40" s="49">
        <f>AVERAGE('22.08 Kaliro-Iganga'!C40,'23.08 Kaliro-Iganga'!C40,'25.08 Kaliro-Iganga'!C40,'27.08 Kaliro-Iganga'!C40,'24.08 Kaliro-Iganga-24h'!C40,'26.08 Kaliro-Iganga-24h'!C40,'28.08 Kaliro-Iganga'!C40)</f>
        <v>5</v>
      </c>
      <c r="D40" s="49">
        <f>AVERAGE('22.08 Kaliro-Iganga'!D40,'23.08 Kaliro-Iganga'!D40,'25.08 Kaliro-Iganga'!D40,'27.08 Kaliro-Iganga'!D40,'24.08 Kaliro-Iganga-24h'!D40,'26.08 Kaliro-Iganga-24h'!D40,'28.08 Kaliro-Iganga'!D40)</f>
        <v>1.1428571428571428</v>
      </c>
      <c r="E40" s="49">
        <f>AVERAGE('22.08 Kaliro-Iganga'!E40,'23.08 Kaliro-Iganga'!E40,'25.08 Kaliro-Iganga'!E40,'27.08 Kaliro-Iganga'!E40,'24.08 Kaliro-Iganga-24h'!E40,'26.08 Kaliro-Iganga-24h'!E40,'28.08 Kaliro-Iganga'!E40)</f>
        <v>0.2857142857142857</v>
      </c>
      <c r="F40" s="49">
        <f>AVERAGE('22.08 Kaliro-Iganga'!F40,'23.08 Kaliro-Iganga'!F40,'25.08 Kaliro-Iganga'!F40,'27.08 Kaliro-Iganga'!F40,'24.08 Kaliro-Iganga-24h'!F40,'26.08 Kaliro-Iganga-24h'!F40,'28.08 Kaliro-Iganga'!F40)</f>
        <v>2.5714285714285716</v>
      </c>
      <c r="G40" s="49">
        <f>AVERAGE('22.08 Kaliro-Iganga'!G40,'23.08 Kaliro-Iganga'!G40,'25.08 Kaliro-Iganga'!G40,'27.08 Kaliro-Iganga'!G40,'24.08 Kaliro-Iganga-24h'!G40,'26.08 Kaliro-Iganga-24h'!G40,'28.08 Kaliro-Iganga'!G40)</f>
        <v>0</v>
      </c>
      <c r="H40" s="49">
        <f>AVERAGE('22.08 Kaliro-Iganga'!H40,'23.08 Kaliro-Iganga'!H40,'25.08 Kaliro-Iganga'!H40,'27.08 Kaliro-Iganga'!H40,'24.08 Kaliro-Iganga-24h'!H40,'26.08 Kaliro-Iganga-24h'!H40,'28.08 Kaliro-Iganga'!H40)</f>
        <v>0</v>
      </c>
      <c r="I40" s="49">
        <f>AVERAGE('22.08 Kaliro-Iganga'!I40,'23.08 Kaliro-Iganga'!I40,'25.08 Kaliro-Iganga'!I40,'27.08 Kaliro-Iganga'!I40,'24.08 Kaliro-Iganga-24h'!I40,'26.08 Kaliro-Iganga-24h'!I40,'28.08 Kaliro-Iganga'!I40)</f>
        <v>0.42857142857142855</v>
      </c>
      <c r="J40" s="49">
        <f>AVERAGE('22.08 Kaliro-Iganga'!J40,'23.08 Kaliro-Iganga'!J40,'25.08 Kaliro-Iganga'!J40,'27.08 Kaliro-Iganga'!J40,'24.08 Kaliro-Iganga-24h'!J40,'26.08 Kaliro-Iganga-24h'!J40,'28.08 Kaliro-Iganga'!J40)</f>
        <v>0.7142857142857143</v>
      </c>
      <c r="K40" s="49">
        <f>AVERAGE('22.08 Kaliro-Iganga'!K40,'23.08 Kaliro-Iganga'!K40,'25.08 Kaliro-Iganga'!K40,'27.08 Kaliro-Iganga'!K40,'24.08 Kaliro-Iganga-24h'!K40,'26.08 Kaliro-Iganga-24h'!K40,'28.08 Kaliro-Iganga'!K40)</f>
        <v>0</v>
      </c>
      <c r="L40" s="49">
        <f>AVERAGE('22.08 Kaliro-Iganga'!L40,'23.08 Kaliro-Iganga'!L40,'25.08 Kaliro-Iganga'!L40,'27.08 Kaliro-Iganga'!L40,'24.08 Kaliro-Iganga-24h'!L40,'26.08 Kaliro-Iganga-24h'!L40,'28.08 Kaliro-Iganga'!L40)</f>
        <v>0</v>
      </c>
      <c r="M40" s="49">
        <f>AVERAGE('22.08 Kaliro-Iganga'!M40,'23.08 Kaliro-Iganga'!M40,'25.08 Kaliro-Iganga'!M40,'27.08 Kaliro-Iganga'!M40,'24.08 Kaliro-Iganga-24h'!M40,'26.08 Kaliro-Iganga-24h'!M40,'28.08 Kaliro-Iganga'!M40)</f>
        <v>77.285714285714292</v>
      </c>
      <c r="N40" s="49">
        <f>AVERAGE('22.08 Kaliro-Iganga'!N40,'23.08 Kaliro-Iganga'!N40,'25.08 Kaliro-Iganga'!N40,'27.08 Kaliro-Iganga'!N40,'24.08 Kaliro-Iganga-24h'!N40,'26.08 Kaliro-Iganga-24h'!N40,'28.08 Kaliro-Iganga'!N40)</f>
        <v>0.14285714285714285</v>
      </c>
      <c r="O40" s="15">
        <f t="shared" si="0"/>
        <v>10.285714285714285</v>
      </c>
      <c r="P40" s="15">
        <f t="shared" si="1"/>
        <v>87.571428571428569</v>
      </c>
      <c r="R40" s="5" t="s">
        <v>17</v>
      </c>
      <c r="S40" s="16">
        <f t="shared" ref="S40:AF40" si="32">SUM(S10:S21)</f>
        <v>168.71428571428572</v>
      </c>
      <c r="T40" s="16">
        <f t="shared" si="32"/>
        <v>53.571428571428569</v>
      </c>
      <c r="U40" s="16">
        <f t="shared" si="32"/>
        <v>59.714285714285722</v>
      </c>
      <c r="V40" s="16">
        <f t="shared" si="32"/>
        <v>170.42857142857142</v>
      </c>
      <c r="W40" s="16">
        <f t="shared" si="32"/>
        <v>4.7142857142857135</v>
      </c>
      <c r="X40" s="16">
        <f t="shared" si="32"/>
        <v>0.8571428571428571</v>
      </c>
      <c r="Y40" s="16">
        <f t="shared" si="32"/>
        <v>61.857142857142854</v>
      </c>
      <c r="Z40" s="16">
        <f t="shared" si="32"/>
        <v>35.714285714285715</v>
      </c>
      <c r="AA40" s="16">
        <f t="shared" si="32"/>
        <v>8</v>
      </c>
      <c r="AB40" s="16">
        <f t="shared" si="32"/>
        <v>0.8571428571428571</v>
      </c>
      <c r="AC40" s="16">
        <f t="shared" si="32"/>
        <v>3494.5714285714284</v>
      </c>
      <c r="AD40" s="16">
        <f t="shared" si="32"/>
        <v>1.1428571428571428</v>
      </c>
      <c r="AE40" s="32">
        <f t="shared" si="32"/>
        <v>565.57142857142856</v>
      </c>
      <c r="AF40" s="32">
        <f t="shared" si="32"/>
        <v>4060.1428571428578</v>
      </c>
    </row>
    <row r="41" spans="2:32" ht="23.1" customHeight="1" x14ac:dyDescent="0.25">
      <c r="B41" s="23" t="s">
        <v>68</v>
      </c>
      <c r="C41" s="49">
        <f>AVERAGE('22.08 Kaliro-Iganga'!C41,'23.08 Kaliro-Iganga'!C41,'25.08 Kaliro-Iganga'!C41,'27.08 Kaliro-Iganga'!C41,'24.08 Kaliro-Iganga-24h'!C41,'26.08 Kaliro-Iganga-24h'!C41,'28.08 Kaliro-Iganga'!C41)</f>
        <v>4.2857142857142856</v>
      </c>
      <c r="D41" s="49">
        <f>AVERAGE('22.08 Kaliro-Iganga'!D41,'23.08 Kaliro-Iganga'!D41,'25.08 Kaliro-Iganga'!D41,'27.08 Kaliro-Iganga'!D41,'24.08 Kaliro-Iganga-24h'!D41,'26.08 Kaliro-Iganga-24h'!D41,'28.08 Kaliro-Iganga'!D41)</f>
        <v>1.5714285714285714</v>
      </c>
      <c r="E41" s="49">
        <f>AVERAGE('22.08 Kaliro-Iganga'!E41,'23.08 Kaliro-Iganga'!E41,'25.08 Kaliro-Iganga'!E41,'27.08 Kaliro-Iganga'!E41,'24.08 Kaliro-Iganga-24h'!E41,'26.08 Kaliro-Iganga-24h'!E41,'28.08 Kaliro-Iganga'!E41)</f>
        <v>1.4285714285714286</v>
      </c>
      <c r="F41" s="49">
        <f>AVERAGE('22.08 Kaliro-Iganga'!F41,'23.08 Kaliro-Iganga'!F41,'25.08 Kaliro-Iganga'!F41,'27.08 Kaliro-Iganga'!F41,'24.08 Kaliro-Iganga-24h'!F41,'26.08 Kaliro-Iganga-24h'!F41,'28.08 Kaliro-Iganga'!F41)</f>
        <v>3.4285714285714284</v>
      </c>
      <c r="G41" s="49">
        <f>AVERAGE('22.08 Kaliro-Iganga'!G41,'23.08 Kaliro-Iganga'!G41,'25.08 Kaliro-Iganga'!G41,'27.08 Kaliro-Iganga'!G41,'24.08 Kaliro-Iganga-24h'!G41,'26.08 Kaliro-Iganga-24h'!G41,'28.08 Kaliro-Iganga'!G41)</f>
        <v>0</v>
      </c>
      <c r="H41" s="49">
        <f>AVERAGE('22.08 Kaliro-Iganga'!H41,'23.08 Kaliro-Iganga'!H41,'25.08 Kaliro-Iganga'!H41,'27.08 Kaliro-Iganga'!H41,'24.08 Kaliro-Iganga-24h'!H41,'26.08 Kaliro-Iganga-24h'!H41,'28.08 Kaliro-Iganga'!H41)</f>
        <v>0.2857142857142857</v>
      </c>
      <c r="I41" s="49">
        <f>AVERAGE('22.08 Kaliro-Iganga'!I41,'23.08 Kaliro-Iganga'!I41,'25.08 Kaliro-Iganga'!I41,'27.08 Kaliro-Iganga'!I41,'24.08 Kaliro-Iganga-24h'!I41,'26.08 Kaliro-Iganga-24h'!I41,'28.08 Kaliro-Iganga'!I41)</f>
        <v>0.42857142857142855</v>
      </c>
      <c r="J41" s="49">
        <f>AVERAGE('22.08 Kaliro-Iganga'!J41,'23.08 Kaliro-Iganga'!J41,'25.08 Kaliro-Iganga'!J41,'27.08 Kaliro-Iganga'!J41,'24.08 Kaliro-Iganga-24h'!J41,'26.08 Kaliro-Iganga-24h'!J41,'28.08 Kaliro-Iganga'!J41)</f>
        <v>0.14285714285714285</v>
      </c>
      <c r="K41" s="49">
        <f>AVERAGE('22.08 Kaliro-Iganga'!K41,'23.08 Kaliro-Iganga'!K41,'25.08 Kaliro-Iganga'!K41,'27.08 Kaliro-Iganga'!K41,'24.08 Kaliro-Iganga-24h'!K41,'26.08 Kaliro-Iganga-24h'!K41,'28.08 Kaliro-Iganga'!K41)</f>
        <v>0</v>
      </c>
      <c r="L41" s="49">
        <f>AVERAGE('22.08 Kaliro-Iganga'!L41,'23.08 Kaliro-Iganga'!L41,'25.08 Kaliro-Iganga'!L41,'27.08 Kaliro-Iganga'!L41,'24.08 Kaliro-Iganga-24h'!L41,'26.08 Kaliro-Iganga-24h'!L41,'28.08 Kaliro-Iganga'!L41)</f>
        <v>0</v>
      </c>
      <c r="M41" s="49">
        <f>AVERAGE('22.08 Kaliro-Iganga'!M41,'23.08 Kaliro-Iganga'!M41,'25.08 Kaliro-Iganga'!M41,'27.08 Kaliro-Iganga'!M41,'24.08 Kaliro-Iganga-24h'!M41,'26.08 Kaliro-Iganga-24h'!M41,'28.08 Kaliro-Iganga'!M41)</f>
        <v>76.857142857142861</v>
      </c>
      <c r="N41" s="49">
        <f>AVERAGE('22.08 Kaliro-Iganga'!N41,'23.08 Kaliro-Iganga'!N41,'25.08 Kaliro-Iganga'!N41,'27.08 Kaliro-Iganga'!N41,'24.08 Kaliro-Iganga-24h'!N41,'26.08 Kaliro-Iganga-24h'!N41,'28.08 Kaliro-Iganga'!N41)</f>
        <v>0</v>
      </c>
      <c r="O41" s="15">
        <f t="shared" si="0"/>
        <v>11.571428571428571</v>
      </c>
      <c r="P41" s="15">
        <f t="shared" si="1"/>
        <v>88.428571428571431</v>
      </c>
      <c r="R41" s="5" t="s">
        <v>177</v>
      </c>
      <c r="S41" s="16">
        <f>SUM(S10:S33)</f>
        <v>220.21428571428572</v>
      </c>
      <c r="T41" s="16">
        <f t="shared" ref="T41:AD41" si="33">SUM(T10:T33)</f>
        <v>81.571428571428569</v>
      </c>
      <c r="U41" s="16">
        <f t="shared" si="33"/>
        <v>94.214285714285722</v>
      </c>
      <c r="V41" s="16">
        <f t="shared" si="33"/>
        <v>240.92857142857142</v>
      </c>
      <c r="W41" s="16">
        <f t="shared" si="33"/>
        <v>5.7142857142857135</v>
      </c>
      <c r="X41" s="16">
        <f t="shared" si="33"/>
        <v>0.8571428571428571</v>
      </c>
      <c r="Y41" s="16">
        <f t="shared" si="33"/>
        <v>100.35714285714286</v>
      </c>
      <c r="Z41" s="16">
        <f t="shared" si="33"/>
        <v>65.214285714285722</v>
      </c>
      <c r="AA41" s="16">
        <f t="shared" si="33"/>
        <v>15</v>
      </c>
      <c r="AB41" s="16">
        <f t="shared" si="33"/>
        <v>7.8571428571428577</v>
      </c>
      <c r="AC41" s="16">
        <f t="shared" si="33"/>
        <v>4579.0714285714284</v>
      </c>
      <c r="AD41" s="16">
        <f t="shared" si="33"/>
        <v>1.6428571428571428</v>
      </c>
      <c r="AE41" s="32">
        <f>SUM(AE10:AE33)</f>
        <v>833.57142857142856</v>
      </c>
      <c r="AF41" s="32">
        <f>SUM(AF10:AF33)</f>
        <v>5412.6428571428578</v>
      </c>
    </row>
    <row r="42" spans="2:32" ht="23.1" customHeight="1" x14ac:dyDescent="0.25">
      <c r="B42" s="24" t="s">
        <v>69</v>
      </c>
      <c r="C42" s="49">
        <f>AVERAGE('22.08 Kaliro-Iganga'!C42,'23.08 Kaliro-Iganga'!C42,'25.08 Kaliro-Iganga'!C42,'27.08 Kaliro-Iganga'!C42,'24.08 Kaliro-Iganga-24h'!C42,'26.08 Kaliro-Iganga-24h'!C42,'28.08 Kaliro-Iganga'!C42)</f>
        <v>4.5714285714285712</v>
      </c>
      <c r="D42" s="49">
        <f>AVERAGE('22.08 Kaliro-Iganga'!D42,'23.08 Kaliro-Iganga'!D42,'25.08 Kaliro-Iganga'!D42,'27.08 Kaliro-Iganga'!D42,'24.08 Kaliro-Iganga-24h'!D42,'26.08 Kaliro-Iganga-24h'!D42,'28.08 Kaliro-Iganga'!D42)</f>
        <v>1.1428571428571428</v>
      </c>
      <c r="E42" s="49">
        <f>AVERAGE('22.08 Kaliro-Iganga'!E42,'23.08 Kaliro-Iganga'!E42,'25.08 Kaliro-Iganga'!E42,'27.08 Kaliro-Iganga'!E42,'24.08 Kaliro-Iganga-24h'!E42,'26.08 Kaliro-Iganga-24h'!E42,'28.08 Kaliro-Iganga'!E42)</f>
        <v>1.1428571428571428</v>
      </c>
      <c r="F42" s="49">
        <f>AVERAGE('22.08 Kaliro-Iganga'!F42,'23.08 Kaliro-Iganga'!F42,'25.08 Kaliro-Iganga'!F42,'27.08 Kaliro-Iganga'!F42,'24.08 Kaliro-Iganga-24h'!F42,'26.08 Kaliro-Iganga-24h'!F42,'28.08 Kaliro-Iganga'!F42)</f>
        <v>4.4285714285714288</v>
      </c>
      <c r="G42" s="49">
        <f>AVERAGE('22.08 Kaliro-Iganga'!G42,'23.08 Kaliro-Iganga'!G42,'25.08 Kaliro-Iganga'!G42,'27.08 Kaliro-Iganga'!G42,'24.08 Kaliro-Iganga-24h'!G42,'26.08 Kaliro-Iganga-24h'!G42,'28.08 Kaliro-Iganga'!G42)</f>
        <v>0.14285714285714285</v>
      </c>
      <c r="H42" s="49">
        <f>AVERAGE('22.08 Kaliro-Iganga'!H42,'23.08 Kaliro-Iganga'!H42,'25.08 Kaliro-Iganga'!H42,'27.08 Kaliro-Iganga'!H42,'24.08 Kaliro-Iganga-24h'!H42,'26.08 Kaliro-Iganga-24h'!H42,'28.08 Kaliro-Iganga'!H42)</f>
        <v>0</v>
      </c>
      <c r="I42" s="49">
        <f>AVERAGE('22.08 Kaliro-Iganga'!I42,'23.08 Kaliro-Iganga'!I42,'25.08 Kaliro-Iganga'!I42,'27.08 Kaliro-Iganga'!I42,'24.08 Kaliro-Iganga-24h'!I42,'26.08 Kaliro-Iganga-24h'!I42,'28.08 Kaliro-Iganga'!I42)</f>
        <v>1.5714285714285714</v>
      </c>
      <c r="J42" s="49">
        <f>AVERAGE('22.08 Kaliro-Iganga'!J42,'23.08 Kaliro-Iganga'!J42,'25.08 Kaliro-Iganga'!J42,'27.08 Kaliro-Iganga'!J42,'24.08 Kaliro-Iganga-24h'!J42,'26.08 Kaliro-Iganga-24h'!J42,'28.08 Kaliro-Iganga'!J42)</f>
        <v>1.4285714285714286</v>
      </c>
      <c r="K42" s="49">
        <f>AVERAGE('22.08 Kaliro-Iganga'!K42,'23.08 Kaliro-Iganga'!K42,'25.08 Kaliro-Iganga'!K42,'27.08 Kaliro-Iganga'!K42,'24.08 Kaliro-Iganga-24h'!K42,'26.08 Kaliro-Iganga-24h'!K42,'28.08 Kaliro-Iganga'!K42)</f>
        <v>0.14285714285714285</v>
      </c>
      <c r="L42" s="49">
        <f>AVERAGE('22.08 Kaliro-Iganga'!L42,'23.08 Kaliro-Iganga'!L42,'25.08 Kaliro-Iganga'!L42,'27.08 Kaliro-Iganga'!L42,'24.08 Kaliro-Iganga-24h'!L42,'26.08 Kaliro-Iganga-24h'!L42,'28.08 Kaliro-Iganga'!L42)</f>
        <v>0.14285714285714285</v>
      </c>
      <c r="M42" s="49">
        <f>AVERAGE('22.08 Kaliro-Iganga'!M42,'23.08 Kaliro-Iganga'!M42,'25.08 Kaliro-Iganga'!M42,'27.08 Kaliro-Iganga'!M42,'24.08 Kaliro-Iganga-24h'!M42,'26.08 Kaliro-Iganga-24h'!M42,'28.08 Kaliro-Iganga'!M42)</f>
        <v>71.142857142857139</v>
      </c>
      <c r="N42" s="49">
        <f>AVERAGE('22.08 Kaliro-Iganga'!N42,'23.08 Kaliro-Iganga'!N42,'25.08 Kaliro-Iganga'!N42,'27.08 Kaliro-Iganga'!N42,'24.08 Kaliro-Iganga-24h'!N42,'26.08 Kaliro-Iganga-24h'!N42,'28.08 Kaliro-Iganga'!N42)</f>
        <v>0</v>
      </c>
      <c r="O42" s="15">
        <f t="shared" si="0"/>
        <v>14.714285714285712</v>
      </c>
      <c r="P42" s="15">
        <f t="shared" si="1"/>
        <v>85.857142857142847</v>
      </c>
      <c r="R42" s="5" t="s">
        <v>160</v>
      </c>
      <c r="S42" s="48">
        <f>S41/S40</f>
        <v>1.3052497883149874</v>
      </c>
      <c r="T42" s="48">
        <f t="shared" ref="T42:AF42" si="34">T41/T40</f>
        <v>1.5226666666666666</v>
      </c>
      <c r="U42" s="48">
        <f t="shared" si="34"/>
        <v>1.5777511961722488</v>
      </c>
      <c r="V42" s="48">
        <f t="shared" si="34"/>
        <v>1.4136630343671417</v>
      </c>
      <c r="W42" s="48">
        <f t="shared" si="34"/>
        <v>1.2121212121212122</v>
      </c>
      <c r="X42" s="48">
        <f t="shared" si="34"/>
        <v>1</v>
      </c>
      <c r="Y42" s="48">
        <f t="shared" si="34"/>
        <v>1.6224018475750579</v>
      </c>
      <c r="Z42" s="48">
        <f t="shared" si="34"/>
        <v>1.8260000000000001</v>
      </c>
      <c r="AA42" s="48">
        <f t="shared" si="34"/>
        <v>1.875</v>
      </c>
      <c r="AB42" s="48">
        <f t="shared" si="34"/>
        <v>9.1666666666666679</v>
      </c>
      <c r="AC42" s="48">
        <f t="shared" si="34"/>
        <v>1.3103384841795438</v>
      </c>
      <c r="AD42" s="48">
        <f t="shared" si="34"/>
        <v>1.4375</v>
      </c>
      <c r="AE42" s="51">
        <f t="shared" si="34"/>
        <v>1.4738570346046982</v>
      </c>
      <c r="AF42" s="51">
        <f t="shared" si="34"/>
        <v>1.3331163576228844</v>
      </c>
    </row>
    <row r="43" spans="2:32" ht="23.1" customHeight="1" x14ac:dyDescent="0.25">
      <c r="B43" s="23" t="s">
        <v>70</v>
      </c>
      <c r="C43" s="49">
        <f>AVERAGE('22.08 Kaliro-Iganga'!C43,'23.08 Kaliro-Iganga'!C43,'25.08 Kaliro-Iganga'!C43,'27.08 Kaliro-Iganga'!C43,'24.08 Kaliro-Iganga-24h'!C43,'26.08 Kaliro-Iganga-24h'!C43,'28.08 Kaliro-Iganga'!C43)</f>
        <v>4.4285714285714288</v>
      </c>
      <c r="D43" s="49">
        <f>AVERAGE('22.08 Kaliro-Iganga'!D43,'23.08 Kaliro-Iganga'!D43,'25.08 Kaliro-Iganga'!D43,'27.08 Kaliro-Iganga'!D43,'24.08 Kaliro-Iganga-24h'!D43,'26.08 Kaliro-Iganga-24h'!D43,'28.08 Kaliro-Iganga'!D43)</f>
        <v>2</v>
      </c>
      <c r="E43" s="49">
        <f>AVERAGE('22.08 Kaliro-Iganga'!E43,'23.08 Kaliro-Iganga'!E43,'25.08 Kaliro-Iganga'!E43,'27.08 Kaliro-Iganga'!E43,'24.08 Kaliro-Iganga-24h'!E43,'26.08 Kaliro-Iganga-24h'!E43,'28.08 Kaliro-Iganga'!E43)</f>
        <v>2.1428571428571428</v>
      </c>
      <c r="F43" s="49">
        <f>AVERAGE('22.08 Kaliro-Iganga'!F43,'23.08 Kaliro-Iganga'!F43,'25.08 Kaliro-Iganga'!F43,'27.08 Kaliro-Iganga'!F43,'24.08 Kaliro-Iganga-24h'!F43,'26.08 Kaliro-Iganga-24h'!F43,'28.08 Kaliro-Iganga'!F43)</f>
        <v>4</v>
      </c>
      <c r="G43" s="49">
        <f>AVERAGE('22.08 Kaliro-Iganga'!G43,'23.08 Kaliro-Iganga'!G43,'25.08 Kaliro-Iganga'!G43,'27.08 Kaliro-Iganga'!G43,'24.08 Kaliro-Iganga-24h'!G43,'26.08 Kaliro-Iganga-24h'!G43,'28.08 Kaliro-Iganga'!G43)</f>
        <v>0.14285714285714285</v>
      </c>
      <c r="H43" s="49">
        <f>AVERAGE('22.08 Kaliro-Iganga'!H43,'23.08 Kaliro-Iganga'!H43,'25.08 Kaliro-Iganga'!H43,'27.08 Kaliro-Iganga'!H43,'24.08 Kaliro-Iganga-24h'!H43,'26.08 Kaliro-Iganga-24h'!H43,'28.08 Kaliro-Iganga'!H43)</f>
        <v>0</v>
      </c>
      <c r="I43" s="49">
        <f>AVERAGE('22.08 Kaliro-Iganga'!I43,'23.08 Kaliro-Iganga'!I43,'25.08 Kaliro-Iganga'!I43,'27.08 Kaliro-Iganga'!I43,'24.08 Kaliro-Iganga-24h'!I43,'26.08 Kaliro-Iganga-24h'!I43,'28.08 Kaliro-Iganga'!I43)</f>
        <v>1.5714285714285714</v>
      </c>
      <c r="J43" s="49">
        <f>AVERAGE('22.08 Kaliro-Iganga'!J43,'23.08 Kaliro-Iganga'!J43,'25.08 Kaliro-Iganga'!J43,'27.08 Kaliro-Iganga'!J43,'24.08 Kaliro-Iganga-24h'!J43,'26.08 Kaliro-Iganga-24h'!J43,'28.08 Kaliro-Iganga'!J43)</f>
        <v>2</v>
      </c>
      <c r="K43" s="49">
        <f>AVERAGE('22.08 Kaliro-Iganga'!K43,'23.08 Kaliro-Iganga'!K43,'25.08 Kaliro-Iganga'!K43,'27.08 Kaliro-Iganga'!K43,'24.08 Kaliro-Iganga-24h'!K43,'26.08 Kaliro-Iganga-24h'!K43,'28.08 Kaliro-Iganga'!K43)</f>
        <v>0</v>
      </c>
      <c r="L43" s="49">
        <f>AVERAGE('22.08 Kaliro-Iganga'!L43,'23.08 Kaliro-Iganga'!L43,'25.08 Kaliro-Iganga'!L43,'27.08 Kaliro-Iganga'!L43,'24.08 Kaliro-Iganga-24h'!L43,'26.08 Kaliro-Iganga-24h'!L43,'28.08 Kaliro-Iganga'!L43)</f>
        <v>0</v>
      </c>
      <c r="M43" s="49">
        <f>AVERAGE('22.08 Kaliro-Iganga'!M43,'23.08 Kaliro-Iganga'!M43,'25.08 Kaliro-Iganga'!M43,'27.08 Kaliro-Iganga'!M43,'24.08 Kaliro-Iganga-24h'!M43,'26.08 Kaliro-Iganga-24h'!M43,'28.08 Kaliro-Iganga'!M43)</f>
        <v>77.285714285714292</v>
      </c>
      <c r="N43" s="49">
        <f>AVERAGE('22.08 Kaliro-Iganga'!N43,'23.08 Kaliro-Iganga'!N43,'25.08 Kaliro-Iganga'!N43,'27.08 Kaliro-Iganga'!N43,'24.08 Kaliro-Iganga-24h'!N43,'26.08 Kaliro-Iganga-24h'!N43,'28.08 Kaliro-Iganga'!N43)</f>
        <v>0</v>
      </c>
      <c r="O43" s="15">
        <f t="shared" si="0"/>
        <v>16.285714285714285</v>
      </c>
      <c r="P43" s="15">
        <f t="shared" si="1"/>
        <v>93.571428571428584</v>
      </c>
    </row>
    <row r="44" spans="2:32" ht="23.1" customHeight="1" x14ac:dyDescent="0.25">
      <c r="B44" s="25" t="s">
        <v>71</v>
      </c>
      <c r="C44" s="49">
        <f>AVERAGE('22.08 Kaliro-Iganga'!C44,'23.08 Kaliro-Iganga'!C44,'25.08 Kaliro-Iganga'!C44,'27.08 Kaliro-Iganga'!C44,'24.08 Kaliro-Iganga-24h'!C44,'26.08 Kaliro-Iganga-24h'!C44,'28.08 Kaliro-Iganga'!C44)</f>
        <v>2.8571428571428572</v>
      </c>
      <c r="D44" s="49">
        <f>AVERAGE('22.08 Kaliro-Iganga'!D44,'23.08 Kaliro-Iganga'!D44,'25.08 Kaliro-Iganga'!D44,'27.08 Kaliro-Iganga'!D44,'24.08 Kaliro-Iganga-24h'!D44,'26.08 Kaliro-Iganga-24h'!D44,'28.08 Kaliro-Iganga'!D44)</f>
        <v>1</v>
      </c>
      <c r="E44" s="49">
        <f>AVERAGE('22.08 Kaliro-Iganga'!E44,'23.08 Kaliro-Iganga'!E44,'25.08 Kaliro-Iganga'!E44,'27.08 Kaliro-Iganga'!E44,'24.08 Kaliro-Iganga-24h'!E44,'26.08 Kaliro-Iganga-24h'!E44,'28.08 Kaliro-Iganga'!E44)</f>
        <v>1.5714285714285714</v>
      </c>
      <c r="F44" s="49">
        <f>AVERAGE('22.08 Kaliro-Iganga'!F44,'23.08 Kaliro-Iganga'!F44,'25.08 Kaliro-Iganga'!F44,'27.08 Kaliro-Iganga'!F44,'24.08 Kaliro-Iganga-24h'!F44,'26.08 Kaliro-Iganga-24h'!F44,'28.08 Kaliro-Iganga'!F44)</f>
        <v>2.2857142857142856</v>
      </c>
      <c r="G44" s="49">
        <f>AVERAGE('22.08 Kaliro-Iganga'!G44,'23.08 Kaliro-Iganga'!G44,'25.08 Kaliro-Iganga'!G44,'27.08 Kaliro-Iganga'!G44,'24.08 Kaliro-Iganga-24h'!G44,'26.08 Kaliro-Iganga-24h'!G44,'28.08 Kaliro-Iganga'!G44)</f>
        <v>0</v>
      </c>
      <c r="H44" s="49">
        <f>AVERAGE('22.08 Kaliro-Iganga'!H44,'23.08 Kaliro-Iganga'!H44,'25.08 Kaliro-Iganga'!H44,'27.08 Kaliro-Iganga'!H44,'24.08 Kaliro-Iganga-24h'!H44,'26.08 Kaliro-Iganga-24h'!H44,'28.08 Kaliro-Iganga'!H44)</f>
        <v>0</v>
      </c>
      <c r="I44" s="49">
        <f>AVERAGE('22.08 Kaliro-Iganga'!I44,'23.08 Kaliro-Iganga'!I44,'25.08 Kaliro-Iganga'!I44,'27.08 Kaliro-Iganga'!I44,'24.08 Kaliro-Iganga-24h'!I44,'26.08 Kaliro-Iganga-24h'!I44,'28.08 Kaliro-Iganga'!I44)</f>
        <v>1.5714285714285714</v>
      </c>
      <c r="J44" s="49">
        <f>AVERAGE('22.08 Kaliro-Iganga'!J44,'23.08 Kaliro-Iganga'!J44,'25.08 Kaliro-Iganga'!J44,'27.08 Kaliro-Iganga'!J44,'24.08 Kaliro-Iganga-24h'!J44,'26.08 Kaliro-Iganga-24h'!J44,'28.08 Kaliro-Iganga'!J44)</f>
        <v>0.7142857142857143</v>
      </c>
      <c r="K44" s="49">
        <f>AVERAGE('22.08 Kaliro-Iganga'!K44,'23.08 Kaliro-Iganga'!K44,'25.08 Kaliro-Iganga'!K44,'27.08 Kaliro-Iganga'!K44,'24.08 Kaliro-Iganga-24h'!K44,'26.08 Kaliro-Iganga-24h'!K44,'28.08 Kaliro-Iganga'!K44)</f>
        <v>0.14285714285714285</v>
      </c>
      <c r="L44" s="49">
        <f>AVERAGE('22.08 Kaliro-Iganga'!L44,'23.08 Kaliro-Iganga'!L44,'25.08 Kaliro-Iganga'!L44,'27.08 Kaliro-Iganga'!L44,'24.08 Kaliro-Iganga-24h'!L44,'26.08 Kaliro-Iganga-24h'!L44,'28.08 Kaliro-Iganga'!L44)</f>
        <v>0</v>
      </c>
      <c r="M44" s="49">
        <f>AVERAGE('22.08 Kaliro-Iganga'!M44,'23.08 Kaliro-Iganga'!M44,'25.08 Kaliro-Iganga'!M44,'27.08 Kaliro-Iganga'!M44,'24.08 Kaliro-Iganga-24h'!M44,'26.08 Kaliro-Iganga-24h'!M44,'28.08 Kaliro-Iganga'!M44)</f>
        <v>75.857142857142861</v>
      </c>
      <c r="N44" s="49">
        <f>AVERAGE('22.08 Kaliro-Iganga'!N44,'23.08 Kaliro-Iganga'!N44,'25.08 Kaliro-Iganga'!N44,'27.08 Kaliro-Iganga'!N44,'24.08 Kaliro-Iganga-24h'!N44,'26.08 Kaliro-Iganga-24h'!N44,'28.08 Kaliro-Iganga'!N44)</f>
        <v>0</v>
      </c>
      <c r="O44" s="15">
        <f t="shared" si="0"/>
        <v>10.142857142857142</v>
      </c>
      <c r="P44" s="15">
        <f t="shared" si="1"/>
        <v>86</v>
      </c>
    </row>
    <row r="45" spans="2:32" ht="23.1" customHeight="1" x14ac:dyDescent="0.25">
      <c r="B45" s="23" t="s">
        <v>72</v>
      </c>
      <c r="C45" s="49">
        <f>AVERAGE('22.08 Kaliro-Iganga'!C45,'23.08 Kaliro-Iganga'!C45,'25.08 Kaliro-Iganga'!C45,'27.08 Kaliro-Iganga'!C45,'24.08 Kaliro-Iganga-24h'!C45,'26.08 Kaliro-Iganga-24h'!C45,'28.08 Kaliro-Iganga'!C45)</f>
        <v>3.1428571428571428</v>
      </c>
      <c r="D45" s="49">
        <f>AVERAGE('22.08 Kaliro-Iganga'!D45,'23.08 Kaliro-Iganga'!D45,'25.08 Kaliro-Iganga'!D45,'27.08 Kaliro-Iganga'!D45,'24.08 Kaliro-Iganga-24h'!D45,'26.08 Kaliro-Iganga-24h'!D45,'28.08 Kaliro-Iganga'!D45)</f>
        <v>1.1428571428571428</v>
      </c>
      <c r="E45" s="49">
        <f>AVERAGE('22.08 Kaliro-Iganga'!E45,'23.08 Kaliro-Iganga'!E45,'25.08 Kaliro-Iganga'!E45,'27.08 Kaliro-Iganga'!E45,'24.08 Kaliro-Iganga-24h'!E45,'26.08 Kaliro-Iganga-24h'!E45,'28.08 Kaliro-Iganga'!E45)</f>
        <v>1.4285714285714286</v>
      </c>
      <c r="F45" s="49">
        <f>AVERAGE('22.08 Kaliro-Iganga'!F45,'23.08 Kaliro-Iganga'!F45,'25.08 Kaliro-Iganga'!F45,'27.08 Kaliro-Iganga'!F45,'24.08 Kaliro-Iganga-24h'!F45,'26.08 Kaliro-Iganga-24h'!F45,'28.08 Kaliro-Iganga'!F45)</f>
        <v>2.5714285714285716</v>
      </c>
      <c r="G45" s="49">
        <f>AVERAGE('22.08 Kaliro-Iganga'!G45,'23.08 Kaliro-Iganga'!G45,'25.08 Kaliro-Iganga'!G45,'27.08 Kaliro-Iganga'!G45,'24.08 Kaliro-Iganga-24h'!G45,'26.08 Kaliro-Iganga-24h'!G45,'28.08 Kaliro-Iganga'!G45)</f>
        <v>0.14285714285714285</v>
      </c>
      <c r="H45" s="49">
        <f>AVERAGE('22.08 Kaliro-Iganga'!H45,'23.08 Kaliro-Iganga'!H45,'25.08 Kaliro-Iganga'!H45,'27.08 Kaliro-Iganga'!H45,'24.08 Kaliro-Iganga-24h'!H45,'26.08 Kaliro-Iganga-24h'!H45,'28.08 Kaliro-Iganga'!H45)</f>
        <v>0</v>
      </c>
      <c r="I45" s="49">
        <f>AVERAGE('22.08 Kaliro-Iganga'!I45,'23.08 Kaliro-Iganga'!I45,'25.08 Kaliro-Iganga'!I45,'27.08 Kaliro-Iganga'!I45,'24.08 Kaliro-Iganga-24h'!I45,'26.08 Kaliro-Iganga-24h'!I45,'28.08 Kaliro-Iganga'!I45)</f>
        <v>1.1428571428571428</v>
      </c>
      <c r="J45" s="49">
        <f>AVERAGE('22.08 Kaliro-Iganga'!J45,'23.08 Kaliro-Iganga'!J45,'25.08 Kaliro-Iganga'!J45,'27.08 Kaliro-Iganga'!J45,'24.08 Kaliro-Iganga-24h'!J45,'26.08 Kaliro-Iganga-24h'!J45,'28.08 Kaliro-Iganga'!J45)</f>
        <v>0.42857142857142855</v>
      </c>
      <c r="K45" s="49">
        <f>AVERAGE('22.08 Kaliro-Iganga'!K45,'23.08 Kaliro-Iganga'!K45,'25.08 Kaliro-Iganga'!K45,'27.08 Kaliro-Iganga'!K45,'24.08 Kaliro-Iganga-24h'!K45,'26.08 Kaliro-Iganga-24h'!K45,'28.08 Kaliro-Iganga'!K45)</f>
        <v>0.2857142857142857</v>
      </c>
      <c r="L45" s="49">
        <f>AVERAGE('22.08 Kaliro-Iganga'!L45,'23.08 Kaliro-Iganga'!L45,'25.08 Kaliro-Iganga'!L45,'27.08 Kaliro-Iganga'!L45,'24.08 Kaliro-Iganga-24h'!L45,'26.08 Kaliro-Iganga-24h'!L45,'28.08 Kaliro-Iganga'!L45)</f>
        <v>0</v>
      </c>
      <c r="M45" s="49">
        <f>AVERAGE('22.08 Kaliro-Iganga'!M45,'23.08 Kaliro-Iganga'!M45,'25.08 Kaliro-Iganga'!M45,'27.08 Kaliro-Iganga'!M45,'24.08 Kaliro-Iganga-24h'!M45,'26.08 Kaliro-Iganga-24h'!M45,'28.08 Kaliro-Iganga'!M45)</f>
        <v>62.428571428571431</v>
      </c>
      <c r="N45" s="49">
        <f>AVERAGE('22.08 Kaliro-Iganga'!N45,'23.08 Kaliro-Iganga'!N45,'25.08 Kaliro-Iganga'!N45,'27.08 Kaliro-Iganga'!N45,'24.08 Kaliro-Iganga-24h'!N45,'26.08 Kaliro-Iganga-24h'!N45,'28.08 Kaliro-Iganga'!N45)</f>
        <v>0</v>
      </c>
      <c r="O45" s="15">
        <f t="shared" si="0"/>
        <v>10.285714285714286</v>
      </c>
      <c r="P45" s="15">
        <f t="shared" si="1"/>
        <v>72.714285714285722</v>
      </c>
    </row>
    <row r="46" spans="2:32" ht="23.1" customHeight="1" x14ac:dyDescent="0.25">
      <c r="B46" s="24" t="s">
        <v>73</v>
      </c>
      <c r="C46" s="49">
        <f>AVERAGE('22.08 Kaliro-Iganga'!C46,'23.08 Kaliro-Iganga'!C46,'25.08 Kaliro-Iganga'!C46,'27.08 Kaliro-Iganga'!C46,'24.08 Kaliro-Iganga-24h'!C46,'26.08 Kaliro-Iganga-24h'!C46,'28.08 Kaliro-Iganga'!C46)</f>
        <v>4.2857142857142856</v>
      </c>
      <c r="D46" s="49">
        <f>AVERAGE('22.08 Kaliro-Iganga'!D46,'23.08 Kaliro-Iganga'!D46,'25.08 Kaliro-Iganga'!D46,'27.08 Kaliro-Iganga'!D46,'24.08 Kaliro-Iganga-24h'!D46,'26.08 Kaliro-Iganga-24h'!D46,'28.08 Kaliro-Iganga'!D46)</f>
        <v>1.5714285714285714</v>
      </c>
      <c r="E46" s="49">
        <f>AVERAGE('22.08 Kaliro-Iganga'!E46,'23.08 Kaliro-Iganga'!E46,'25.08 Kaliro-Iganga'!E46,'27.08 Kaliro-Iganga'!E46,'24.08 Kaliro-Iganga-24h'!E46,'26.08 Kaliro-Iganga-24h'!E46,'28.08 Kaliro-Iganga'!E46)</f>
        <v>2.1428571428571428</v>
      </c>
      <c r="F46" s="49">
        <f>AVERAGE('22.08 Kaliro-Iganga'!F46,'23.08 Kaliro-Iganga'!F46,'25.08 Kaliro-Iganga'!F46,'27.08 Kaliro-Iganga'!F46,'24.08 Kaliro-Iganga-24h'!F46,'26.08 Kaliro-Iganga-24h'!F46,'28.08 Kaliro-Iganga'!F46)</f>
        <v>4.2857142857142856</v>
      </c>
      <c r="G46" s="49">
        <f>AVERAGE('22.08 Kaliro-Iganga'!G46,'23.08 Kaliro-Iganga'!G46,'25.08 Kaliro-Iganga'!G46,'27.08 Kaliro-Iganga'!G46,'24.08 Kaliro-Iganga-24h'!G46,'26.08 Kaliro-Iganga-24h'!G46,'28.08 Kaliro-Iganga'!G46)</f>
        <v>0.14285714285714285</v>
      </c>
      <c r="H46" s="49">
        <f>AVERAGE('22.08 Kaliro-Iganga'!H46,'23.08 Kaliro-Iganga'!H46,'25.08 Kaliro-Iganga'!H46,'27.08 Kaliro-Iganga'!H46,'24.08 Kaliro-Iganga-24h'!H46,'26.08 Kaliro-Iganga-24h'!H46,'28.08 Kaliro-Iganga'!H46)</f>
        <v>0</v>
      </c>
      <c r="I46" s="49">
        <f>AVERAGE('22.08 Kaliro-Iganga'!I46,'23.08 Kaliro-Iganga'!I46,'25.08 Kaliro-Iganga'!I46,'27.08 Kaliro-Iganga'!I46,'24.08 Kaliro-Iganga-24h'!I46,'26.08 Kaliro-Iganga-24h'!I46,'28.08 Kaliro-Iganga'!I46)</f>
        <v>1.2857142857142858</v>
      </c>
      <c r="J46" s="49">
        <f>AVERAGE('22.08 Kaliro-Iganga'!J46,'23.08 Kaliro-Iganga'!J46,'25.08 Kaliro-Iganga'!J46,'27.08 Kaliro-Iganga'!J46,'24.08 Kaliro-Iganga-24h'!J46,'26.08 Kaliro-Iganga-24h'!J46,'28.08 Kaliro-Iganga'!J46)</f>
        <v>1</v>
      </c>
      <c r="K46" s="49">
        <f>AVERAGE('22.08 Kaliro-Iganga'!K46,'23.08 Kaliro-Iganga'!K46,'25.08 Kaliro-Iganga'!K46,'27.08 Kaliro-Iganga'!K46,'24.08 Kaliro-Iganga-24h'!K46,'26.08 Kaliro-Iganga-24h'!K46,'28.08 Kaliro-Iganga'!K46)</f>
        <v>0.14285714285714285</v>
      </c>
      <c r="L46" s="49">
        <f>AVERAGE('22.08 Kaliro-Iganga'!L46,'23.08 Kaliro-Iganga'!L46,'25.08 Kaliro-Iganga'!L46,'27.08 Kaliro-Iganga'!L46,'24.08 Kaliro-Iganga-24h'!L46,'26.08 Kaliro-Iganga-24h'!L46,'28.08 Kaliro-Iganga'!L46)</f>
        <v>0</v>
      </c>
      <c r="M46" s="49">
        <f>AVERAGE('22.08 Kaliro-Iganga'!M46,'23.08 Kaliro-Iganga'!M46,'25.08 Kaliro-Iganga'!M46,'27.08 Kaliro-Iganga'!M46,'24.08 Kaliro-Iganga-24h'!M46,'26.08 Kaliro-Iganga-24h'!M46,'28.08 Kaliro-Iganga'!M46)</f>
        <v>65.428571428571431</v>
      </c>
      <c r="N46" s="49">
        <f>AVERAGE('22.08 Kaliro-Iganga'!N46,'23.08 Kaliro-Iganga'!N46,'25.08 Kaliro-Iganga'!N46,'27.08 Kaliro-Iganga'!N46,'24.08 Kaliro-Iganga-24h'!N46,'26.08 Kaliro-Iganga-24h'!N46,'28.08 Kaliro-Iganga'!N46)</f>
        <v>0</v>
      </c>
      <c r="O46" s="15">
        <f t="shared" si="0"/>
        <v>14.857142857142856</v>
      </c>
      <c r="P46" s="15">
        <f t="shared" si="1"/>
        <v>80.285714285714292</v>
      </c>
      <c r="R46" s="8"/>
      <c r="T46"/>
    </row>
    <row r="47" spans="2:32" ht="23.1" customHeight="1" x14ac:dyDescent="0.25">
      <c r="B47" s="24" t="s">
        <v>74</v>
      </c>
      <c r="C47" s="49">
        <f>AVERAGE('22.08 Kaliro-Iganga'!C47,'23.08 Kaliro-Iganga'!C47,'25.08 Kaliro-Iganga'!C47,'27.08 Kaliro-Iganga'!C47,'24.08 Kaliro-Iganga-24h'!C47,'26.08 Kaliro-Iganga-24h'!C47,'28.08 Kaliro-Iganga'!C47)</f>
        <v>2.5714285714285716</v>
      </c>
      <c r="D47" s="49">
        <f>AVERAGE('22.08 Kaliro-Iganga'!D47,'23.08 Kaliro-Iganga'!D47,'25.08 Kaliro-Iganga'!D47,'27.08 Kaliro-Iganga'!D47,'24.08 Kaliro-Iganga-24h'!D47,'26.08 Kaliro-Iganga-24h'!D47,'28.08 Kaliro-Iganga'!D47)</f>
        <v>1.4285714285714286</v>
      </c>
      <c r="E47" s="49">
        <f>AVERAGE('22.08 Kaliro-Iganga'!E47,'23.08 Kaliro-Iganga'!E47,'25.08 Kaliro-Iganga'!E47,'27.08 Kaliro-Iganga'!E47,'24.08 Kaliro-Iganga-24h'!E47,'26.08 Kaliro-Iganga-24h'!E47,'28.08 Kaliro-Iganga'!E47)</f>
        <v>1.1428571428571428</v>
      </c>
      <c r="F47" s="49">
        <f>AVERAGE('22.08 Kaliro-Iganga'!F47,'23.08 Kaliro-Iganga'!F47,'25.08 Kaliro-Iganga'!F47,'27.08 Kaliro-Iganga'!F47,'24.08 Kaliro-Iganga-24h'!F47,'26.08 Kaliro-Iganga-24h'!F47,'28.08 Kaliro-Iganga'!F47)</f>
        <v>4.4285714285714288</v>
      </c>
      <c r="G47" s="49">
        <f>AVERAGE('22.08 Kaliro-Iganga'!G47,'23.08 Kaliro-Iganga'!G47,'25.08 Kaliro-Iganga'!G47,'27.08 Kaliro-Iganga'!G47,'24.08 Kaliro-Iganga-24h'!G47,'26.08 Kaliro-Iganga-24h'!G47,'28.08 Kaliro-Iganga'!G47)</f>
        <v>0</v>
      </c>
      <c r="H47" s="49">
        <f>AVERAGE('22.08 Kaliro-Iganga'!H47,'23.08 Kaliro-Iganga'!H47,'25.08 Kaliro-Iganga'!H47,'27.08 Kaliro-Iganga'!H47,'24.08 Kaliro-Iganga-24h'!H47,'26.08 Kaliro-Iganga-24h'!H47,'28.08 Kaliro-Iganga'!H47)</f>
        <v>0</v>
      </c>
      <c r="I47" s="49">
        <f>AVERAGE('22.08 Kaliro-Iganga'!I47,'23.08 Kaliro-Iganga'!I47,'25.08 Kaliro-Iganga'!I47,'27.08 Kaliro-Iganga'!I47,'24.08 Kaliro-Iganga-24h'!I47,'26.08 Kaliro-Iganga-24h'!I47,'28.08 Kaliro-Iganga'!I47)</f>
        <v>2</v>
      </c>
      <c r="J47" s="49">
        <f>AVERAGE('22.08 Kaliro-Iganga'!J47,'23.08 Kaliro-Iganga'!J47,'25.08 Kaliro-Iganga'!J47,'27.08 Kaliro-Iganga'!J47,'24.08 Kaliro-Iganga-24h'!J47,'26.08 Kaliro-Iganga-24h'!J47,'28.08 Kaliro-Iganga'!J47)</f>
        <v>1.1428571428571428</v>
      </c>
      <c r="K47" s="49">
        <f>AVERAGE('22.08 Kaliro-Iganga'!K47,'23.08 Kaliro-Iganga'!K47,'25.08 Kaliro-Iganga'!K47,'27.08 Kaliro-Iganga'!K47,'24.08 Kaliro-Iganga-24h'!K47,'26.08 Kaliro-Iganga-24h'!K47,'28.08 Kaliro-Iganga'!K47)</f>
        <v>0.2857142857142857</v>
      </c>
      <c r="L47" s="49">
        <f>AVERAGE('22.08 Kaliro-Iganga'!L47,'23.08 Kaliro-Iganga'!L47,'25.08 Kaliro-Iganga'!L47,'27.08 Kaliro-Iganga'!L47,'24.08 Kaliro-Iganga-24h'!L47,'26.08 Kaliro-Iganga-24h'!L47,'28.08 Kaliro-Iganga'!L47)</f>
        <v>0</v>
      </c>
      <c r="M47" s="49">
        <f>AVERAGE('22.08 Kaliro-Iganga'!M47,'23.08 Kaliro-Iganga'!M47,'25.08 Kaliro-Iganga'!M47,'27.08 Kaliro-Iganga'!M47,'24.08 Kaliro-Iganga-24h'!M47,'26.08 Kaliro-Iganga-24h'!M47,'28.08 Kaliro-Iganga'!M47)</f>
        <v>67.142857142857139</v>
      </c>
      <c r="N47" s="49">
        <f>AVERAGE('22.08 Kaliro-Iganga'!N47,'23.08 Kaliro-Iganga'!N47,'25.08 Kaliro-Iganga'!N47,'27.08 Kaliro-Iganga'!N47,'24.08 Kaliro-Iganga-24h'!N47,'26.08 Kaliro-Iganga-24h'!N47,'28.08 Kaliro-Iganga'!N47)</f>
        <v>0</v>
      </c>
      <c r="O47" s="15">
        <f t="shared" si="0"/>
        <v>13</v>
      </c>
      <c r="P47" s="15">
        <f t="shared" si="1"/>
        <v>80.142857142857139</v>
      </c>
      <c r="R47" s="8"/>
      <c r="T47"/>
    </row>
    <row r="48" spans="2:32" ht="23.1" customHeight="1" x14ac:dyDescent="0.25">
      <c r="B48" s="24" t="s">
        <v>75</v>
      </c>
      <c r="C48" s="49">
        <f>AVERAGE('22.08 Kaliro-Iganga'!C48,'23.08 Kaliro-Iganga'!C48,'25.08 Kaliro-Iganga'!C48,'27.08 Kaliro-Iganga'!C48,'24.08 Kaliro-Iganga-24h'!C48,'26.08 Kaliro-Iganga-24h'!C48,'28.08 Kaliro-Iganga'!C48)</f>
        <v>3.4285714285714284</v>
      </c>
      <c r="D48" s="49">
        <f>AVERAGE('22.08 Kaliro-Iganga'!D48,'23.08 Kaliro-Iganga'!D48,'25.08 Kaliro-Iganga'!D48,'27.08 Kaliro-Iganga'!D48,'24.08 Kaliro-Iganga-24h'!D48,'26.08 Kaliro-Iganga-24h'!D48,'28.08 Kaliro-Iganga'!D48)</f>
        <v>1</v>
      </c>
      <c r="E48" s="49">
        <f>AVERAGE('22.08 Kaliro-Iganga'!E48,'23.08 Kaliro-Iganga'!E48,'25.08 Kaliro-Iganga'!E48,'27.08 Kaliro-Iganga'!E48,'24.08 Kaliro-Iganga-24h'!E48,'26.08 Kaliro-Iganga-24h'!E48,'28.08 Kaliro-Iganga'!E48)</f>
        <v>1.7142857142857142</v>
      </c>
      <c r="F48" s="49">
        <f>AVERAGE('22.08 Kaliro-Iganga'!F48,'23.08 Kaliro-Iganga'!F48,'25.08 Kaliro-Iganga'!F48,'27.08 Kaliro-Iganga'!F48,'24.08 Kaliro-Iganga-24h'!F48,'26.08 Kaliro-Iganga-24h'!F48,'28.08 Kaliro-Iganga'!F48)</f>
        <v>4.2857142857142856</v>
      </c>
      <c r="G48" s="49">
        <f>AVERAGE('22.08 Kaliro-Iganga'!G48,'23.08 Kaliro-Iganga'!G48,'25.08 Kaliro-Iganga'!G48,'27.08 Kaliro-Iganga'!G48,'24.08 Kaliro-Iganga-24h'!G48,'26.08 Kaliro-Iganga-24h'!G48,'28.08 Kaliro-Iganga'!G48)</f>
        <v>0</v>
      </c>
      <c r="H48" s="49">
        <f>AVERAGE('22.08 Kaliro-Iganga'!H48,'23.08 Kaliro-Iganga'!H48,'25.08 Kaliro-Iganga'!H48,'27.08 Kaliro-Iganga'!H48,'24.08 Kaliro-Iganga-24h'!H48,'26.08 Kaliro-Iganga-24h'!H48,'28.08 Kaliro-Iganga'!H48)</f>
        <v>0</v>
      </c>
      <c r="I48" s="49">
        <f>AVERAGE('22.08 Kaliro-Iganga'!I48,'23.08 Kaliro-Iganga'!I48,'25.08 Kaliro-Iganga'!I48,'27.08 Kaliro-Iganga'!I48,'24.08 Kaliro-Iganga-24h'!I48,'26.08 Kaliro-Iganga-24h'!I48,'28.08 Kaliro-Iganga'!I48)</f>
        <v>1.7142857142857142</v>
      </c>
      <c r="J48" s="49">
        <f>AVERAGE('22.08 Kaliro-Iganga'!J48,'23.08 Kaliro-Iganga'!J48,'25.08 Kaliro-Iganga'!J48,'27.08 Kaliro-Iganga'!J48,'24.08 Kaliro-Iganga-24h'!J48,'26.08 Kaliro-Iganga-24h'!J48,'28.08 Kaliro-Iganga'!J48)</f>
        <v>0.7142857142857143</v>
      </c>
      <c r="K48" s="49">
        <f>AVERAGE('22.08 Kaliro-Iganga'!K48,'23.08 Kaliro-Iganga'!K48,'25.08 Kaliro-Iganga'!K48,'27.08 Kaliro-Iganga'!K48,'24.08 Kaliro-Iganga-24h'!K48,'26.08 Kaliro-Iganga-24h'!K48,'28.08 Kaliro-Iganga'!K48)</f>
        <v>0.5714285714285714</v>
      </c>
      <c r="L48" s="49">
        <f>AVERAGE('22.08 Kaliro-Iganga'!L48,'23.08 Kaliro-Iganga'!L48,'25.08 Kaliro-Iganga'!L48,'27.08 Kaliro-Iganga'!L48,'24.08 Kaliro-Iganga-24h'!L48,'26.08 Kaliro-Iganga-24h'!L48,'28.08 Kaliro-Iganga'!L48)</f>
        <v>0.14285714285714285</v>
      </c>
      <c r="M48" s="49">
        <f>AVERAGE('22.08 Kaliro-Iganga'!M48,'23.08 Kaliro-Iganga'!M48,'25.08 Kaliro-Iganga'!M48,'27.08 Kaliro-Iganga'!M48,'24.08 Kaliro-Iganga-24h'!M48,'26.08 Kaliro-Iganga-24h'!M48,'28.08 Kaliro-Iganga'!M48)</f>
        <v>72.428571428571431</v>
      </c>
      <c r="N48" s="49">
        <f>AVERAGE('22.08 Kaliro-Iganga'!N48,'23.08 Kaliro-Iganga'!N48,'25.08 Kaliro-Iganga'!N48,'27.08 Kaliro-Iganga'!N48,'24.08 Kaliro-Iganga-24h'!N48,'26.08 Kaliro-Iganga-24h'!N48,'28.08 Kaliro-Iganga'!N48)</f>
        <v>0</v>
      </c>
      <c r="O48" s="15">
        <f t="shared" si="0"/>
        <v>13.571428571428569</v>
      </c>
      <c r="P48" s="15">
        <f t="shared" si="1"/>
        <v>86</v>
      </c>
      <c r="R48" s="8"/>
      <c r="T48"/>
    </row>
    <row r="49" spans="2:20" ht="23.1" customHeight="1" x14ac:dyDescent="0.25">
      <c r="B49" s="23" t="s">
        <v>76</v>
      </c>
      <c r="C49" s="49">
        <f>AVERAGE('22.08 Kaliro-Iganga'!C49,'23.08 Kaliro-Iganga'!C49,'25.08 Kaliro-Iganga'!C49,'27.08 Kaliro-Iganga'!C49,'24.08 Kaliro-Iganga-24h'!C49,'26.08 Kaliro-Iganga-24h'!C49,'28.08 Kaliro-Iganga'!C49)</f>
        <v>3</v>
      </c>
      <c r="D49" s="49">
        <f>AVERAGE('22.08 Kaliro-Iganga'!D49,'23.08 Kaliro-Iganga'!D49,'25.08 Kaliro-Iganga'!D49,'27.08 Kaliro-Iganga'!D49,'24.08 Kaliro-Iganga-24h'!D49,'26.08 Kaliro-Iganga-24h'!D49,'28.08 Kaliro-Iganga'!D49)</f>
        <v>0.8571428571428571</v>
      </c>
      <c r="E49" s="49">
        <f>AVERAGE('22.08 Kaliro-Iganga'!E49,'23.08 Kaliro-Iganga'!E49,'25.08 Kaliro-Iganga'!E49,'27.08 Kaliro-Iganga'!E49,'24.08 Kaliro-Iganga-24h'!E49,'26.08 Kaliro-Iganga-24h'!E49,'28.08 Kaliro-Iganga'!E49)</f>
        <v>1.1428571428571428</v>
      </c>
      <c r="F49" s="49">
        <f>AVERAGE('22.08 Kaliro-Iganga'!F49,'23.08 Kaliro-Iganga'!F49,'25.08 Kaliro-Iganga'!F49,'27.08 Kaliro-Iganga'!F49,'24.08 Kaliro-Iganga-24h'!F49,'26.08 Kaliro-Iganga-24h'!F49,'28.08 Kaliro-Iganga'!F49)</f>
        <v>4.8571428571428568</v>
      </c>
      <c r="G49" s="49">
        <f>AVERAGE('22.08 Kaliro-Iganga'!G49,'23.08 Kaliro-Iganga'!G49,'25.08 Kaliro-Iganga'!G49,'27.08 Kaliro-Iganga'!G49,'24.08 Kaliro-Iganga-24h'!G49,'26.08 Kaliro-Iganga-24h'!G49,'28.08 Kaliro-Iganga'!G49)</f>
        <v>0</v>
      </c>
      <c r="H49" s="49">
        <f>AVERAGE('22.08 Kaliro-Iganga'!H49,'23.08 Kaliro-Iganga'!H49,'25.08 Kaliro-Iganga'!H49,'27.08 Kaliro-Iganga'!H49,'24.08 Kaliro-Iganga-24h'!H49,'26.08 Kaliro-Iganga-24h'!H49,'28.08 Kaliro-Iganga'!H49)</f>
        <v>0</v>
      </c>
      <c r="I49" s="49">
        <f>AVERAGE('22.08 Kaliro-Iganga'!I49,'23.08 Kaliro-Iganga'!I49,'25.08 Kaliro-Iganga'!I49,'27.08 Kaliro-Iganga'!I49,'24.08 Kaliro-Iganga-24h'!I49,'26.08 Kaliro-Iganga-24h'!I49,'28.08 Kaliro-Iganga'!I49)</f>
        <v>1.1428571428571428</v>
      </c>
      <c r="J49" s="49">
        <f>AVERAGE('22.08 Kaliro-Iganga'!J49,'23.08 Kaliro-Iganga'!J49,'25.08 Kaliro-Iganga'!J49,'27.08 Kaliro-Iganga'!J49,'24.08 Kaliro-Iganga-24h'!J49,'26.08 Kaliro-Iganga-24h'!J49,'28.08 Kaliro-Iganga'!J49)</f>
        <v>0.2857142857142857</v>
      </c>
      <c r="K49" s="49">
        <f>AVERAGE('22.08 Kaliro-Iganga'!K49,'23.08 Kaliro-Iganga'!K49,'25.08 Kaliro-Iganga'!K49,'27.08 Kaliro-Iganga'!K49,'24.08 Kaliro-Iganga-24h'!K49,'26.08 Kaliro-Iganga-24h'!K49,'28.08 Kaliro-Iganga'!K49)</f>
        <v>0</v>
      </c>
      <c r="L49" s="49">
        <f>AVERAGE('22.08 Kaliro-Iganga'!L49,'23.08 Kaliro-Iganga'!L49,'25.08 Kaliro-Iganga'!L49,'27.08 Kaliro-Iganga'!L49,'24.08 Kaliro-Iganga-24h'!L49,'26.08 Kaliro-Iganga-24h'!L49,'28.08 Kaliro-Iganga'!L49)</f>
        <v>0.14285714285714285</v>
      </c>
      <c r="M49" s="49">
        <f>AVERAGE('22.08 Kaliro-Iganga'!M49,'23.08 Kaliro-Iganga'!M49,'25.08 Kaliro-Iganga'!M49,'27.08 Kaliro-Iganga'!M49,'24.08 Kaliro-Iganga-24h'!M49,'26.08 Kaliro-Iganga-24h'!M49,'28.08 Kaliro-Iganga'!M49)</f>
        <v>75.285714285714292</v>
      </c>
      <c r="N49" s="49">
        <f>AVERAGE('22.08 Kaliro-Iganga'!N49,'23.08 Kaliro-Iganga'!N49,'25.08 Kaliro-Iganga'!N49,'27.08 Kaliro-Iganga'!N49,'24.08 Kaliro-Iganga-24h'!N49,'26.08 Kaliro-Iganga-24h'!N49,'28.08 Kaliro-Iganga'!N49)</f>
        <v>0</v>
      </c>
      <c r="O49" s="15">
        <f t="shared" si="0"/>
        <v>11.428571428571429</v>
      </c>
      <c r="P49" s="15">
        <f t="shared" si="1"/>
        <v>86.714285714285722</v>
      </c>
      <c r="R49" s="8"/>
      <c r="T49"/>
    </row>
    <row r="50" spans="2:20" ht="23.1" customHeight="1" x14ac:dyDescent="0.25">
      <c r="B50" s="24" t="s">
        <v>77</v>
      </c>
      <c r="C50" s="49">
        <f>AVERAGE('22.08 Kaliro-Iganga'!C50,'23.08 Kaliro-Iganga'!C50,'25.08 Kaliro-Iganga'!C50,'27.08 Kaliro-Iganga'!C50,'24.08 Kaliro-Iganga-24h'!C50,'26.08 Kaliro-Iganga-24h'!C50,'28.08 Kaliro-Iganga'!C50)</f>
        <v>3.1428571428571428</v>
      </c>
      <c r="D50" s="49">
        <f>AVERAGE('22.08 Kaliro-Iganga'!D50,'23.08 Kaliro-Iganga'!D50,'25.08 Kaliro-Iganga'!D50,'27.08 Kaliro-Iganga'!D50,'24.08 Kaliro-Iganga-24h'!D50,'26.08 Kaliro-Iganga-24h'!D50,'28.08 Kaliro-Iganga'!D50)</f>
        <v>3.7142857142857144</v>
      </c>
      <c r="E50" s="49">
        <f>AVERAGE('22.08 Kaliro-Iganga'!E50,'23.08 Kaliro-Iganga'!E50,'25.08 Kaliro-Iganga'!E50,'27.08 Kaliro-Iganga'!E50,'24.08 Kaliro-Iganga-24h'!E50,'26.08 Kaliro-Iganga-24h'!E50,'28.08 Kaliro-Iganga'!E50)</f>
        <v>1.8571428571428572</v>
      </c>
      <c r="F50" s="49">
        <f>AVERAGE('22.08 Kaliro-Iganga'!F50,'23.08 Kaliro-Iganga'!F50,'25.08 Kaliro-Iganga'!F50,'27.08 Kaliro-Iganga'!F50,'24.08 Kaliro-Iganga-24h'!F50,'26.08 Kaliro-Iganga-24h'!F50,'28.08 Kaliro-Iganga'!F50)</f>
        <v>5.2857142857142856</v>
      </c>
      <c r="G50" s="49">
        <f>AVERAGE('22.08 Kaliro-Iganga'!G50,'23.08 Kaliro-Iganga'!G50,'25.08 Kaliro-Iganga'!G50,'27.08 Kaliro-Iganga'!G50,'24.08 Kaliro-Iganga-24h'!G50,'26.08 Kaliro-Iganga-24h'!G50,'28.08 Kaliro-Iganga'!G50)</f>
        <v>0.14285714285714285</v>
      </c>
      <c r="H50" s="49">
        <f>AVERAGE('22.08 Kaliro-Iganga'!H50,'23.08 Kaliro-Iganga'!H50,'25.08 Kaliro-Iganga'!H50,'27.08 Kaliro-Iganga'!H50,'24.08 Kaliro-Iganga-24h'!H50,'26.08 Kaliro-Iganga-24h'!H50,'28.08 Kaliro-Iganga'!H50)</f>
        <v>0</v>
      </c>
      <c r="I50" s="49">
        <f>AVERAGE('22.08 Kaliro-Iganga'!I50,'23.08 Kaliro-Iganga'!I50,'25.08 Kaliro-Iganga'!I50,'27.08 Kaliro-Iganga'!I50,'24.08 Kaliro-Iganga-24h'!I50,'26.08 Kaliro-Iganga-24h'!I50,'28.08 Kaliro-Iganga'!I50)</f>
        <v>2.2857142857142856</v>
      </c>
      <c r="J50" s="49">
        <f>AVERAGE('22.08 Kaliro-Iganga'!J50,'23.08 Kaliro-Iganga'!J50,'25.08 Kaliro-Iganga'!J50,'27.08 Kaliro-Iganga'!J50,'24.08 Kaliro-Iganga-24h'!J50,'26.08 Kaliro-Iganga-24h'!J50,'28.08 Kaliro-Iganga'!J50)</f>
        <v>0.7142857142857143</v>
      </c>
      <c r="K50" s="49">
        <f>AVERAGE('22.08 Kaliro-Iganga'!K50,'23.08 Kaliro-Iganga'!K50,'25.08 Kaliro-Iganga'!K50,'27.08 Kaliro-Iganga'!K50,'24.08 Kaliro-Iganga-24h'!K50,'26.08 Kaliro-Iganga-24h'!K50,'28.08 Kaliro-Iganga'!K50)</f>
        <v>0.42857142857142855</v>
      </c>
      <c r="L50" s="49">
        <f>AVERAGE('22.08 Kaliro-Iganga'!L50,'23.08 Kaliro-Iganga'!L50,'25.08 Kaliro-Iganga'!L50,'27.08 Kaliro-Iganga'!L50,'24.08 Kaliro-Iganga-24h'!L50,'26.08 Kaliro-Iganga-24h'!L50,'28.08 Kaliro-Iganga'!L50)</f>
        <v>0</v>
      </c>
      <c r="M50" s="49">
        <f>AVERAGE('22.08 Kaliro-Iganga'!M50,'23.08 Kaliro-Iganga'!M50,'25.08 Kaliro-Iganga'!M50,'27.08 Kaliro-Iganga'!M50,'24.08 Kaliro-Iganga-24h'!M50,'26.08 Kaliro-Iganga-24h'!M50,'28.08 Kaliro-Iganga'!M50)</f>
        <v>63.285714285714285</v>
      </c>
      <c r="N50" s="49">
        <f>AVERAGE('22.08 Kaliro-Iganga'!N50,'23.08 Kaliro-Iganga'!N50,'25.08 Kaliro-Iganga'!N50,'27.08 Kaliro-Iganga'!N50,'24.08 Kaliro-Iganga-24h'!N50,'26.08 Kaliro-Iganga-24h'!N50,'28.08 Kaliro-Iganga'!N50)</f>
        <v>0</v>
      </c>
      <c r="O50" s="15">
        <f t="shared" si="0"/>
        <v>17.571428571428569</v>
      </c>
      <c r="P50" s="15">
        <f t="shared" si="1"/>
        <v>80.857142857142861</v>
      </c>
      <c r="R50" s="8"/>
      <c r="T50"/>
    </row>
    <row r="51" spans="2:20" ht="23.1" customHeight="1" x14ac:dyDescent="0.25">
      <c r="B51" s="24" t="s">
        <v>78</v>
      </c>
      <c r="C51" s="49">
        <f>AVERAGE('22.08 Kaliro-Iganga'!C51,'23.08 Kaliro-Iganga'!C51,'25.08 Kaliro-Iganga'!C51,'27.08 Kaliro-Iganga'!C51,'24.08 Kaliro-Iganga-24h'!C51,'26.08 Kaliro-Iganga-24h'!C51,'28.08 Kaliro-Iganga'!C51)</f>
        <v>3.4285714285714284</v>
      </c>
      <c r="D51" s="49">
        <f>AVERAGE('22.08 Kaliro-Iganga'!D51,'23.08 Kaliro-Iganga'!D51,'25.08 Kaliro-Iganga'!D51,'27.08 Kaliro-Iganga'!D51,'24.08 Kaliro-Iganga-24h'!D51,'26.08 Kaliro-Iganga-24h'!D51,'28.08 Kaliro-Iganga'!D51)</f>
        <v>1.7142857142857142</v>
      </c>
      <c r="E51" s="49">
        <f>AVERAGE('22.08 Kaliro-Iganga'!E51,'23.08 Kaliro-Iganga'!E51,'25.08 Kaliro-Iganga'!E51,'27.08 Kaliro-Iganga'!E51,'24.08 Kaliro-Iganga-24h'!E51,'26.08 Kaliro-Iganga-24h'!E51,'28.08 Kaliro-Iganga'!E51)</f>
        <v>1.5714285714285714</v>
      </c>
      <c r="F51" s="49">
        <f>AVERAGE('22.08 Kaliro-Iganga'!F51,'23.08 Kaliro-Iganga'!F51,'25.08 Kaliro-Iganga'!F51,'27.08 Kaliro-Iganga'!F51,'24.08 Kaliro-Iganga-24h'!F51,'26.08 Kaliro-Iganga-24h'!F51,'28.08 Kaliro-Iganga'!F51)</f>
        <v>5.2857142857142856</v>
      </c>
      <c r="G51" s="49">
        <f>AVERAGE('22.08 Kaliro-Iganga'!G51,'23.08 Kaliro-Iganga'!G51,'25.08 Kaliro-Iganga'!G51,'27.08 Kaliro-Iganga'!G51,'24.08 Kaliro-Iganga-24h'!G51,'26.08 Kaliro-Iganga-24h'!G51,'28.08 Kaliro-Iganga'!G51)</f>
        <v>0</v>
      </c>
      <c r="H51" s="49">
        <f>AVERAGE('22.08 Kaliro-Iganga'!H51,'23.08 Kaliro-Iganga'!H51,'25.08 Kaliro-Iganga'!H51,'27.08 Kaliro-Iganga'!H51,'24.08 Kaliro-Iganga-24h'!H51,'26.08 Kaliro-Iganga-24h'!H51,'28.08 Kaliro-Iganga'!H51)</f>
        <v>0</v>
      </c>
      <c r="I51" s="49">
        <f>AVERAGE('22.08 Kaliro-Iganga'!I51,'23.08 Kaliro-Iganga'!I51,'25.08 Kaliro-Iganga'!I51,'27.08 Kaliro-Iganga'!I51,'24.08 Kaliro-Iganga-24h'!I51,'26.08 Kaliro-Iganga-24h'!I51,'28.08 Kaliro-Iganga'!I51)</f>
        <v>0.7142857142857143</v>
      </c>
      <c r="J51" s="49">
        <f>AVERAGE('22.08 Kaliro-Iganga'!J51,'23.08 Kaliro-Iganga'!J51,'25.08 Kaliro-Iganga'!J51,'27.08 Kaliro-Iganga'!J51,'24.08 Kaliro-Iganga-24h'!J51,'26.08 Kaliro-Iganga-24h'!J51,'28.08 Kaliro-Iganga'!J51)</f>
        <v>1</v>
      </c>
      <c r="K51" s="49">
        <f>AVERAGE('22.08 Kaliro-Iganga'!K51,'23.08 Kaliro-Iganga'!K51,'25.08 Kaliro-Iganga'!K51,'27.08 Kaliro-Iganga'!K51,'24.08 Kaliro-Iganga-24h'!K51,'26.08 Kaliro-Iganga-24h'!K51,'28.08 Kaliro-Iganga'!K51)</f>
        <v>0.14285714285714285</v>
      </c>
      <c r="L51" s="49">
        <f>AVERAGE('22.08 Kaliro-Iganga'!L51,'23.08 Kaliro-Iganga'!L51,'25.08 Kaliro-Iganga'!L51,'27.08 Kaliro-Iganga'!L51,'24.08 Kaliro-Iganga-24h'!L51,'26.08 Kaliro-Iganga-24h'!L51,'28.08 Kaliro-Iganga'!L51)</f>
        <v>0</v>
      </c>
      <c r="M51" s="49">
        <f>AVERAGE('22.08 Kaliro-Iganga'!M51,'23.08 Kaliro-Iganga'!M51,'25.08 Kaliro-Iganga'!M51,'27.08 Kaliro-Iganga'!M51,'24.08 Kaliro-Iganga-24h'!M51,'26.08 Kaliro-Iganga-24h'!M51,'28.08 Kaliro-Iganga'!M51)</f>
        <v>66.857142857142861</v>
      </c>
      <c r="N51" s="49">
        <f>AVERAGE('22.08 Kaliro-Iganga'!N51,'23.08 Kaliro-Iganga'!N51,'25.08 Kaliro-Iganga'!N51,'27.08 Kaliro-Iganga'!N51,'24.08 Kaliro-Iganga-24h'!N51,'26.08 Kaliro-Iganga-24h'!N51,'28.08 Kaliro-Iganga'!N51)</f>
        <v>0</v>
      </c>
      <c r="O51" s="15">
        <f t="shared" si="0"/>
        <v>13.857142857142856</v>
      </c>
      <c r="P51" s="15">
        <f t="shared" si="1"/>
        <v>80.714285714285722</v>
      </c>
      <c r="R51" s="8"/>
      <c r="T51"/>
    </row>
    <row r="52" spans="2:20" ht="23.1" customHeight="1" x14ac:dyDescent="0.25">
      <c r="B52" s="24" t="s">
        <v>79</v>
      </c>
      <c r="C52" s="49">
        <f>AVERAGE('22.08 Kaliro-Iganga'!C52,'23.08 Kaliro-Iganga'!C52,'25.08 Kaliro-Iganga'!C52,'27.08 Kaliro-Iganga'!C52,'24.08 Kaliro-Iganga-24h'!C52,'26.08 Kaliro-Iganga-24h'!C52,'28.08 Kaliro-Iganga'!C52)</f>
        <v>2.2857142857142856</v>
      </c>
      <c r="D52" s="49">
        <f>AVERAGE('22.08 Kaliro-Iganga'!D52,'23.08 Kaliro-Iganga'!D52,'25.08 Kaliro-Iganga'!D52,'27.08 Kaliro-Iganga'!D52,'24.08 Kaliro-Iganga-24h'!D52,'26.08 Kaliro-Iganga-24h'!D52,'28.08 Kaliro-Iganga'!D52)</f>
        <v>1.4285714285714286</v>
      </c>
      <c r="E52" s="49">
        <f>AVERAGE('22.08 Kaliro-Iganga'!E52,'23.08 Kaliro-Iganga'!E52,'25.08 Kaliro-Iganga'!E52,'27.08 Kaliro-Iganga'!E52,'24.08 Kaliro-Iganga-24h'!E52,'26.08 Kaliro-Iganga-24h'!E52,'28.08 Kaliro-Iganga'!E52)</f>
        <v>0.8571428571428571</v>
      </c>
      <c r="F52" s="49">
        <f>AVERAGE('22.08 Kaliro-Iganga'!F52,'23.08 Kaliro-Iganga'!F52,'25.08 Kaliro-Iganga'!F52,'27.08 Kaliro-Iganga'!F52,'24.08 Kaliro-Iganga-24h'!F52,'26.08 Kaliro-Iganga-24h'!F52,'28.08 Kaliro-Iganga'!F52)</f>
        <v>4</v>
      </c>
      <c r="G52" s="49">
        <f>AVERAGE('22.08 Kaliro-Iganga'!G52,'23.08 Kaliro-Iganga'!G52,'25.08 Kaliro-Iganga'!G52,'27.08 Kaliro-Iganga'!G52,'24.08 Kaliro-Iganga-24h'!G52,'26.08 Kaliro-Iganga-24h'!G52,'28.08 Kaliro-Iganga'!G52)</f>
        <v>0.14285714285714285</v>
      </c>
      <c r="H52" s="49">
        <f>AVERAGE('22.08 Kaliro-Iganga'!H52,'23.08 Kaliro-Iganga'!H52,'25.08 Kaliro-Iganga'!H52,'27.08 Kaliro-Iganga'!H52,'24.08 Kaliro-Iganga-24h'!H52,'26.08 Kaliro-Iganga-24h'!H52,'28.08 Kaliro-Iganga'!H52)</f>
        <v>0</v>
      </c>
      <c r="I52" s="49">
        <f>AVERAGE('22.08 Kaliro-Iganga'!I52,'23.08 Kaliro-Iganga'!I52,'25.08 Kaliro-Iganga'!I52,'27.08 Kaliro-Iganga'!I52,'24.08 Kaliro-Iganga-24h'!I52,'26.08 Kaliro-Iganga-24h'!I52,'28.08 Kaliro-Iganga'!I52)</f>
        <v>0.7142857142857143</v>
      </c>
      <c r="J52" s="49">
        <f>AVERAGE('22.08 Kaliro-Iganga'!J52,'23.08 Kaliro-Iganga'!J52,'25.08 Kaliro-Iganga'!J52,'27.08 Kaliro-Iganga'!J52,'24.08 Kaliro-Iganga-24h'!J52,'26.08 Kaliro-Iganga-24h'!J52,'28.08 Kaliro-Iganga'!J52)</f>
        <v>0.7142857142857143</v>
      </c>
      <c r="K52" s="49">
        <f>AVERAGE('22.08 Kaliro-Iganga'!K52,'23.08 Kaliro-Iganga'!K52,'25.08 Kaliro-Iganga'!K52,'27.08 Kaliro-Iganga'!K52,'24.08 Kaliro-Iganga-24h'!K52,'26.08 Kaliro-Iganga-24h'!K52,'28.08 Kaliro-Iganga'!K52)</f>
        <v>0.42857142857142855</v>
      </c>
      <c r="L52" s="49">
        <f>AVERAGE('22.08 Kaliro-Iganga'!L52,'23.08 Kaliro-Iganga'!L52,'25.08 Kaliro-Iganga'!L52,'27.08 Kaliro-Iganga'!L52,'24.08 Kaliro-Iganga-24h'!L52,'26.08 Kaliro-Iganga-24h'!L52,'28.08 Kaliro-Iganga'!L52)</f>
        <v>0</v>
      </c>
      <c r="M52" s="49">
        <f>AVERAGE('22.08 Kaliro-Iganga'!M52,'23.08 Kaliro-Iganga'!M52,'25.08 Kaliro-Iganga'!M52,'27.08 Kaliro-Iganga'!M52,'24.08 Kaliro-Iganga-24h'!M52,'26.08 Kaliro-Iganga-24h'!M52,'28.08 Kaliro-Iganga'!M52)</f>
        <v>69.714285714285708</v>
      </c>
      <c r="N52" s="49">
        <f>AVERAGE('22.08 Kaliro-Iganga'!N52,'23.08 Kaliro-Iganga'!N52,'25.08 Kaliro-Iganga'!N52,'27.08 Kaliro-Iganga'!N52,'24.08 Kaliro-Iganga-24h'!N52,'26.08 Kaliro-Iganga-24h'!N52,'28.08 Kaliro-Iganga'!N52)</f>
        <v>0</v>
      </c>
      <c r="O52" s="15">
        <f t="shared" si="0"/>
        <v>10.571428571428569</v>
      </c>
      <c r="P52" s="15">
        <f t="shared" si="1"/>
        <v>80.285714285714278</v>
      </c>
      <c r="R52" s="8"/>
      <c r="T52"/>
    </row>
    <row r="53" spans="2:20" ht="23.1" customHeight="1" x14ac:dyDescent="0.25">
      <c r="B53" s="23" t="s">
        <v>80</v>
      </c>
      <c r="C53" s="49">
        <f>AVERAGE('22.08 Kaliro-Iganga'!C53,'23.08 Kaliro-Iganga'!C53,'25.08 Kaliro-Iganga'!C53,'27.08 Kaliro-Iganga'!C53,'24.08 Kaliro-Iganga-24h'!C53,'26.08 Kaliro-Iganga-24h'!C53,'28.08 Kaliro-Iganga'!C53)</f>
        <v>2.5714285714285716</v>
      </c>
      <c r="D53" s="49">
        <f>AVERAGE('22.08 Kaliro-Iganga'!D53,'23.08 Kaliro-Iganga'!D53,'25.08 Kaliro-Iganga'!D53,'27.08 Kaliro-Iganga'!D53,'24.08 Kaliro-Iganga-24h'!D53,'26.08 Kaliro-Iganga-24h'!D53,'28.08 Kaliro-Iganga'!D53)</f>
        <v>1.4285714285714286</v>
      </c>
      <c r="E53" s="49">
        <f>AVERAGE('22.08 Kaliro-Iganga'!E53,'23.08 Kaliro-Iganga'!E53,'25.08 Kaliro-Iganga'!E53,'27.08 Kaliro-Iganga'!E53,'24.08 Kaliro-Iganga-24h'!E53,'26.08 Kaliro-Iganga-24h'!E53,'28.08 Kaliro-Iganga'!E53)</f>
        <v>1.7142857142857142</v>
      </c>
      <c r="F53" s="49">
        <f>AVERAGE('22.08 Kaliro-Iganga'!F53,'23.08 Kaliro-Iganga'!F53,'25.08 Kaliro-Iganga'!F53,'27.08 Kaliro-Iganga'!F53,'24.08 Kaliro-Iganga-24h'!F53,'26.08 Kaliro-Iganga-24h'!F53,'28.08 Kaliro-Iganga'!F53)</f>
        <v>3.1428571428571428</v>
      </c>
      <c r="G53" s="49">
        <f>AVERAGE('22.08 Kaliro-Iganga'!G53,'23.08 Kaliro-Iganga'!G53,'25.08 Kaliro-Iganga'!G53,'27.08 Kaliro-Iganga'!G53,'24.08 Kaliro-Iganga-24h'!G53,'26.08 Kaliro-Iganga-24h'!G53,'28.08 Kaliro-Iganga'!G53)</f>
        <v>0.2857142857142857</v>
      </c>
      <c r="H53" s="49">
        <f>AVERAGE('22.08 Kaliro-Iganga'!H53,'23.08 Kaliro-Iganga'!H53,'25.08 Kaliro-Iganga'!H53,'27.08 Kaliro-Iganga'!H53,'24.08 Kaliro-Iganga-24h'!H53,'26.08 Kaliro-Iganga-24h'!H53,'28.08 Kaliro-Iganga'!H53)</f>
        <v>0</v>
      </c>
      <c r="I53" s="49">
        <f>AVERAGE('22.08 Kaliro-Iganga'!I53,'23.08 Kaliro-Iganga'!I53,'25.08 Kaliro-Iganga'!I53,'27.08 Kaliro-Iganga'!I53,'24.08 Kaliro-Iganga-24h'!I53,'26.08 Kaliro-Iganga-24h'!I53,'28.08 Kaliro-Iganga'!I53)</f>
        <v>1.5714285714285714</v>
      </c>
      <c r="J53" s="49">
        <f>AVERAGE('22.08 Kaliro-Iganga'!J53,'23.08 Kaliro-Iganga'!J53,'25.08 Kaliro-Iganga'!J53,'27.08 Kaliro-Iganga'!J53,'24.08 Kaliro-Iganga-24h'!J53,'26.08 Kaliro-Iganga-24h'!J53,'28.08 Kaliro-Iganga'!J53)</f>
        <v>1.2857142857142858</v>
      </c>
      <c r="K53" s="49">
        <f>AVERAGE('22.08 Kaliro-Iganga'!K53,'23.08 Kaliro-Iganga'!K53,'25.08 Kaliro-Iganga'!K53,'27.08 Kaliro-Iganga'!K53,'24.08 Kaliro-Iganga-24h'!K53,'26.08 Kaliro-Iganga-24h'!K53,'28.08 Kaliro-Iganga'!K53)</f>
        <v>0.14285714285714285</v>
      </c>
      <c r="L53" s="49">
        <f>AVERAGE('22.08 Kaliro-Iganga'!L53,'23.08 Kaliro-Iganga'!L53,'25.08 Kaliro-Iganga'!L53,'27.08 Kaliro-Iganga'!L53,'24.08 Kaliro-Iganga-24h'!L53,'26.08 Kaliro-Iganga-24h'!L53,'28.08 Kaliro-Iganga'!L53)</f>
        <v>0</v>
      </c>
      <c r="M53" s="49">
        <f>AVERAGE('22.08 Kaliro-Iganga'!M53,'23.08 Kaliro-Iganga'!M53,'25.08 Kaliro-Iganga'!M53,'27.08 Kaliro-Iganga'!M53,'24.08 Kaliro-Iganga-24h'!M53,'26.08 Kaliro-Iganga-24h'!M53,'28.08 Kaliro-Iganga'!M53)</f>
        <v>67.142857142857139</v>
      </c>
      <c r="N53" s="49">
        <f>AVERAGE('22.08 Kaliro-Iganga'!N53,'23.08 Kaliro-Iganga'!N53,'25.08 Kaliro-Iganga'!N53,'27.08 Kaliro-Iganga'!N53,'24.08 Kaliro-Iganga-24h'!N53,'26.08 Kaliro-Iganga-24h'!N53,'28.08 Kaliro-Iganga'!N53)</f>
        <v>0</v>
      </c>
      <c r="O53" s="15">
        <f t="shared" si="0"/>
        <v>12.142857142857144</v>
      </c>
      <c r="P53" s="15">
        <f t="shared" si="1"/>
        <v>79.285714285714278</v>
      </c>
      <c r="R53" s="8"/>
      <c r="T53"/>
    </row>
    <row r="54" spans="2:20" ht="23.1" customHeight="1" x14ac:dyDescent="0.25">
      <c r="B54" s="23" t="s">
        <v>81</v>
      </c>
      <c r="C54" s="49">
        <f>AVERAGE('22.08 Kaliro-Iganga'!C54,'23.08 Kaliro-Iganga'!C54,'25.08 Kaliro-Iganga'!C54,'27.08 Kaliro-Iganga'!C54,'24.08 Kaliro-Iganga-24h'!C54,'26.08 Kaliro-Iganga-24h'!C54,'28.08 Kaliro-Iganga'!C54)</f>
        <v>3.8571428571428572</v>
      </c>
      <c r="D54" s="49">
        <f>AVERAGE('22.08 Kaliro-Iganga'!D54,'23.08 Kaliro-Iganga'!D54,'25.08 Kaliro-Iganga'!D54,'27.08 Kaliro-Iganga'!D54,'24.08 Kaliro-Iganga-24h'!D54,'26.08 Kaliro-Iganga-24h'!D54,'28.08 Kaliro-Iganga'!D54)</f>
        <v>1.5714285714285714</v>
      </c>
      <c r="E54" s="49">
        <f>AVERAGE('22.08 Kaliro-Iganga'!E54,'23.08 Kaliro-Iganga'!E54,'25.08 Kaliro-Iganga'!E54,'27.08 Kaliro-Iganga'!E54,'24.08 Kaliro-Iganga-24h'!E54,'26.08 Kaliro-Iganga-24h'!E54,'28.08 Kaliro-Iganga'!E54)</f>
        <v>2.2857142857142856</v>
      </c>
      <c r="F54" s="49">
        <f>AVERAGE('22.08 Kaliro-Iganga'!F54,'23.08 Kaliro-Iganga'!F54,'25.08 Kaliro-Iganga'!F54,'27.08 Kaliro-Iganga'!F54,'24.08 Kaliro-Iganga-24h'!F54,'26.08 Kaliro-Iganga-24h'!F54,'28.08 Kaliro-Iganga'!F54)</f>
        <v>7.1428571428571432</v>
      </c>
      <c r="G54" s="49">
        <f>AVERAGE('22.08 Kaliro-Iganga'!G54,'23.08 Kaliro-Iganga'!G54,'25.08 Kaliro-Iganga'!G54,'27.08 Kaliro-Iganga'!G54,'24.08 Kaliro-Iganga-24h'!G54,'26.08 Kaliro-Iganga-24h'!G54,'28.08 Kaliro-Iganga'!G54)</f>
        <v>0</v>
      </c>
      <c r="H54" s="49">
        <f>AVERAGE('22.08 Kaliro-Iganga'!H54,'23.08 Kaliro-Iganga'!H54,'25.08 Kaliro-Iganga'!H54,'27.08 Kaliro-Iganga'!H54,'24.08 Kaliro-Iganga-24h'!H54,'26.08 Kaliro-Iganga-24h'!H54,'28.08 Kaliro-Iganga'!H54)</f>
        <v>0</v>
      </c>
      <c r="I54" s="49">
        <f>AVERAGE('22.08 Kaliro-Iganga'!I54,'23.08 Kaliro-Iganga'!I54,'25.08 Kaliro-Iganga'!I54,'27.08 Kaliro-Iganga'!I54,'24.08 Kaliro-Iganga-24h'!I54,'26.08 Kaliro-Iganga-24h'!I54,'28.08 Kaliro-Iganga'!I54)</f>
        <v>1.5714285714285714</v>
      </c>
      <c r="J54" s="49">
        <f>AVERAGE('22.08 Kaliro-Iganga'!J54,'23.08 Kaliro-Iganga'!J54,'25.08 Kaliro-Iganga'!J54,'27.08 Kaliro-Iganga'!J54,'24.08 Kaliro-Iganga-24h'!J54,'26.08 Kaliro-Iganga-24h'!J54,'28.08 Kaliro-Iganga'!J54)</f>
        <v>0.2857142857142857</v>
      </c>
      <c r="K54" s="49">
        <f>AVERAGE('22.08 Kaliro-Iganga'!K54,'23.08 Kaliro-Iganga'!K54,'25.08 Kaliro-Iganga'!K54,'27.08 Kaliro-Iganga'!K54,'24.08 Kaliro-Iganga-24h'!K54,'26.08 Kaliro-Iganga-24h'!K54,'28.08 Kaliro-Iganga'!K54)</f>
        <v>0</v>
      </c>
      <c r="L54" s="49">
        <f>AVERAGE('22.08 Kaliro-Iganga'!L54,'23.08 Kaliro-Iganga'!L54,'25.08 Kaliro-Iganga'!L54,'27.08 Kaliro-Iganga'!L54,'24.08 Kaliro-Iganga-24h'!L54,'26.08 Kaliro-Iganga-24h'!L54,'28.08 Kaliro-Iganga'!L54)</f>
        <v>0</v>
      </c>
      <c r="M54" s="49">
        <f>AVERAGE('22.08 Kaliro-Iganga'!M54,'23.08 Kaliro-Iganga'!M54,'25.08 Kaliro-Iganga'!M54,'27.08 Kaliro-Iganga'!M54,'24.08 Kaliro-Iganga-24h'!M54,'26.08 Kaliro-Iganga-24h'!M54,'28.08 Kaliro-Iganga'!M54)</f>
        <v>69.571428571428569</v>
      </c>
      <c r="N54" s="49">
        <f>AVERAGE('22.08 Kaliro-Iganga'!N54,'23.08 Kaliro-Iganga'!N54,'25.08 Kaliro-Iganga'!N54,'27.08 Kaliro-Iganga'!N54,'24.08 Kaliro-Iganga-24h'!N54,'26.08 Kaliro-Iganga-24h'!N54,'28.08 Kaliro-Iganga'!N54)</f>
        <v>0</v>
      </c>
      <c r="O54" s="15">
        <f t="shared" si="0"/>
        <v>16.714285714285715</v>
      </c>
      <c r="P54" s="15">
        <f t="shared" si="1"/>
        <v>86.285714285714278</v>
      </c>
      <c r="R54" s="8"/>
      <c r="T54"/>
    </row>
    <row r="55" spans="2:20" ht="23.1" customHeight="1" x14ac:dyDescent="0.25">
      <c r="B55" s="23" t="s">
        <v>82</v>
      </c>
      <c r="C55" s="49">
        <f>AVERAGE('22.08 Kaliro-Iganga'!C55,'23.08 Kaliro-Iganga'!C55,'25.08 Kaliro-Iganga'!C55,'27.08 Kaliro-Iganga'!C55,'24.08 Kaliro-Iganga-24h'!C55,'26.08 Kaliro-Iganga-24h'!C55,'28.08 Kaliro-Iganga'!C55)</f>
        <v>5.4285714285714288</v>
      </c>
      <c r="D55" s="49">
        <f>AVERAGE('22.08 Kaliro-Iganga'!D55,'23.08 Kaliro-Iganga'!D55,'25.08 Kaliro-Iganga'!D55,'27.08 Kaliro-Iganga'!D55,'24.08 Kaliro-Iganga-24h'!D55,'26.08 Kaliro-Iganga-24h'!D55,'28.08 Kaliro-Iganga'!D55)</f>
        <v>0.5714285714285714</v>
      </c>
      <c r="E55" s="49">
        <f>AVERAGE('22.08 Kaliro-Iganga'!E55,'23.08 Kaliro-Iganga'!E55,'25.08 Kaliro-Iganga'!E55,'27.08 Kaliro-Iganga'!E55,'24.08 Kaliro-Iganga-24h'!E55,'26.08 Kaliro-Iganga-24h'!E55,'28.08 Kaliro-Iganga'!E55)</f>
        <v>1.5714285714285714</v>
      </c>
      <c r="F55" s="49">
        <f>AVERAGE('22.08 Kaliro-Iganga'!F55,'23.08 Kaliro-Iganga'!F55,'25.08 Kaliro-Iganga'!F55,'27.08 Kaliro-Iganga'!F55,'24.08 Kaliro-Iganga-24h'!F55,'26.08 Kaliro-Iganga-24h'!F55,'28.08 Kaliro-Iganga'!F55)</f>
        <v>5.1428571428571432</v>
      </c>
      <c r="G55" s="49">
        <f>AVERAGE('22.08 Kaliro-Iganga'!G55,'23.08 Kaliro-Iganga'!G55,'25.08 Kaliro-Iganga'!G55,'27.08 Kaliro-Iganga'!G55,'24.08 Kaliro-Iganga-24h'!G55,'26.08 Kaliro-Iganga-24h'!G55,'28.08 Kaliro-Iganga'!G55)</f>
        <v>0.14285714285714285</v>
      </c>
      <c r="H55" s="49">
        <f>AVERAGE('22.08 Kaliro-Iganga'!H55,'23.08 Kaliro-Iganga'!H55,'25.08 Kaliro-Iganga'!H55,'27.08 Kaliro-Iganga'!H55,'24.08 Kaliro-Iganga-24h'!H55,'26.08 Kaliro-Iganga-24h'!H55,'28.08 Kaliro-Iganga'!H55)</f>
        <v>0</v>
      </c>
      <c r="I55" s="49">
        <f>AVERAGE('22.08 Kaliro-Iganga'!I55,'23.08 Kaliro-Iganga'!I55,'25.08 Kaliro-Iganga'!I55,'27.08 Kaliro-Iganga'!I55,'24.08 Kaliro-Iganga-24h'!I55,'26.08 Kaliro-Iganga-24h'!I55,'28.08 Kaliro-Iganga'!I55)</f>
        <v>1.7142857142857142</v>
      </c>
      <c r="J55" s="49">
        <f>AVERAGE('22.08 Kaliro-Iganga'!J55,'23.08 Kaliro-Iganga'!J55,'25.08 Kaliro-Iganga'!J55,'27.08 Kaliro-Iganga'!J55,'24.08 Kaliro-Iganga-24h'!J55,'26.08 Kaliro-Iganga-24h'!J55,'28.08 Kaliro-Iganga'!J55)</f>
        <v>1.4285714285714286</v>
      </c>
      <c r="K55" s="49">
        <f>AVERAGE('22.08 Kaliro-Iganga'!K55,'23.08 Kaliro-Iganga'!K55,'25.08 Kaliro-Iganga'!K55,'27.08 Kaliro-Iganga'!K55,'24.08 Kaliro-Iganga-24h'!K55,'26.08 Kaliro-Iganga-24h'!K55,'28.08 Kaliro-Iganga'!K55)</f>
        <v>0.42857142857142855</v>
      </c>
      <c r="L55" s="49">
        <f>AVERAGE('22.08 Kaliro-Iganga'!L55,'23.08 Kaliro-Iganga'!L55,'25.08 Kaliro-Iganga'!L55,'27.08 Kaliro-Iganga'!L55,'24.08 Kaliro-Iganga-24h'!L55,'26.08 Kaliro-Iganga-24h'!L55,'28.08 Kaliro-Iganga'!L55)</f>
        <v>0</v>
      </c>
      <c r="M55" s="49">
        <f>AVERAGE('22.08 Kaliro-Iganga'!M55,'23.08 Kaliro-Iganga'!M55,'25.08 Kaliro-Iganga'!M55,'27.08 Kaliro-Iganga'!M55,'24.08 Kaliro-Iganga-24h'!M55,'26.08 Kaliro-Iganga-24h'!M55,'28.08 Kaliro-Iganga'!M55)</f>
        <v>67</v>
      </c>
      <c r="N55" s="49">
        <f>AVERAGE('22.08 Kaliro-Iganga'!N55,'23.08 Kaliro-Iganga'!N55,'25.08 Kaliro-Iganga'!N55,'27.08 Kaliro-Iganga'!N55,'24.08 Kaliro-Iganga-24h'!N55,'26.08 Kaliro-Iganga-24h'!N55,'28.08 Kaliro-Iganga'!N55)</f>
        <v>0</v>
      </c>
      <c r="O55" s="15">
        <f t="shared" si="0"/>
        <v>16.428571428571427</v>
      </c>
      <c r="P55" s="15">
        <f t="shared" si="1"/>
        <v>83.428571428571431</v>
      </c>
      <c r="R55" s="8"/>
      <c r="T55"/>
    </row>
    <row r="56" spans="2:20" ht="23.1" customHeight="1" x14ac:dyDescent="0.25">
      <c r="B56" s="23" t="s">
        <v>83</v>
      </c>
      <c r="C56" s="49">
        <f>AVERAGE('22.08 Kaliro-Iganga'!C56,'23.08 Kaliro-Iganga'!C56,'25.08 Kaliro-Iganga'!C56,'27.08 Kaliro-Iganga'!C56,'24.08 Kaliro-Iganga-24h'!C56,'26.08 Kaliro-Iganga-24h'!C56,'28.08 Kaliro-Iganga'!C56)</f>
        <v>3.5714285714285716</v>
      </c>
      <c r="D56" s="49">
        <f>AVERAGE('22.08 Kaliro-Iganga'!D56,'23.08 Kaliro-Iganga'!D56,'25.08 Kaliro-Iganga'!D56,'27.08 Kaliro-Iganga'!D56,'24.08 Kaliro-Iganga-24h'!D56,'26.08 Kaliro-Iganga-24h'!D56,'28.08 Kaliro-Iganga'!D56)</f>
        <v>1.5714285714285714</v>
      </c>
      <c r="E56" s="49">
        <f>AVERAGE('22.08 Kaliro-Iganga'!E56,'23.08 Kaliro-Iganga'!E56,'25.08 Kaliro-Iganga'!E56,'27.08 Kaliro-Iganga'!E56,'24.08 Kaliro-Iganga-24h'!E56,'26.08 Kaliro-Iganga-24h'!E56,'28.08 Kaliro-Iganga'!E56)</f>
        <v>2.4285714285714284</v>
      </c>
      <c r="F56" s="49">
        <f>AVERAGE('22.08 Kaliro-Iganga'!F56,'23.08 Kaliro-Iganga'!F56,'25.08 Kaliro-Iganga'!F56,'27.08 Kaliro-Iganga'!F56,'24.08 Kaliro-Iganga-24h'!F56,'26.08 Kaliro-Iganga-24h'!F56,'28.08 Kaliro-Iganga'!F56)</f>
        <v>3.2857142857142856</v>
      </c>
      <c r="G56" s="49">
        <f>AVERAGE('22.08 Kaliro-Iganga'!G56,'23.08 Kaliro-Iganga'!G56,'25.08 Kaliro-Iganga'!G56,'27.08 Kaliro-Iganga'!G56,'24.08 Kaliro-Iganga-24h'!G56,'26.08 Kaliro-Iganga-24h'!G56,'28.08 Kaliro-Iganga'!G56)</f>
        <v>0</v>
      </c>
      <c r="H56" s="49">
        <f>AVERAGE('22.08 Kaliro-Iganga'!H56,'23.08 Kaliro-Iganga'!H56,'25.08 Kaliro-Iganga'!H56,'27.08 Kaliro-Iganga'!H56,'24.08 Kaliro-Iganga-24h'!H56,'26.08 Kaliro-Iganga-24h'!H56,'28.08 Kaliro-Iganga'!H56)</f>
        <v>0</v>
      </c>
      <c r="I56" s="49">
        <f>AVERAGE('22.08 Kaliro-Iganga'!I56,'23.08 Kaliro-Iganga'!I56,'25.08 Kaliro-Iganga'!I56,'27.08 Kaliro-Iganga'!I56,'24.08 Kaliro-Iganga-24h'!I56,'26.08 Kaliro-Iganga-24h'!I56,'28.08 Kaliro-Iganga'!I56)</f>
        <v>1.4285714285714286</v>
      </c>
      <c r="J56" s="49">
        <f>AVERAGE('22.08 Kaliro-Iganga'!J56,'23.08 Kaliro-Iganga'!J56,'25.08 Kaliro-Iganga'!J56,'27.08 Kaliro-Iganga'!J56,'24.08 Kaliro-Iganga-24h'!J56,'26.08 Kaliro-Iganga-24h'!J56,'28.08 Kaliro-Iganga'!J56)</f>
        <v>0.8571428571428571</v>
      </c>
      <c r="K56" s="49">
        <f>AVERAGE('22.08 Kaliro-Iganga'!K56,'23.08 Kaliro-Iganga'!K56,'25.08 Kaliro-Iganga'!K56,'27.08 Kaliro-Iganga'!K56,'24.08 Kaliro-Iganga-24h'!K56,'26.08 Kaliro-Iganga-24h'!K56,'28.08 Kaliro-Iganga'!K56)</f>
        <v>0</v>
      </c>
      <c r="L56" s="49">
        <f>AVERAGE('22.08 Kaliro-Iganga'!L56,'23.08 Kaliro-Iganga'!L56,'25.08 Kaliro-Iganga'!L56,'27.08 Kaliro-Iganga'!L56,'24.08 Kaliro-Iganga-24h'!L56,'26.08 Kaliro-Iganga-24h'!L56,'28.08 Kaliro-Iganga'!L56)</f>
        <v>0</v>
      </c>
      <c r="M56" s="49">
        <f>AVERAGE('22.08 Kaliro-Iganga'!M56,'23.08 Kaliro-Iganga'!M56,'25.08 Kaliro-Iganga'!M56,'27.08 Kaliro-Iganga'!M56,'24.08 Kaliro-Iganga-24h'!M56,'26.08 Kaliro-Iganga-24h'!M56,'28.08 Kaliro-Iganga'!M56)</f>
        <v>69.142857142857139</v>
      </c>
      <c r="N56" s="49">
        <f>AVERAGE('22.08 Kaliro-Iganga'!N56,'23.08 Kaliro-Iganga'!N56,'25.08 Kaliro-Iganga'!N56,'27.08 Kaliro-Iganga'!N56,'24.08 Kaliro-Iganga-24h'!N56,'26.08 Kaliro-Iganga-24h'!N56,'28.08 Kaliro-Iganga'!N56)</f>
        <v>0.14285714285714285</v>
      </c>
      <c r="O56" s="15">
        <f t="shared" si="0"/>
        <v>13.285714285714286</v>
      </c>
      <c r="P56" s="15">
        <f t="shared" si="1"/>
        <v>82.428571428571416</v>
      </c>
      <c r="R56" s="8"/>
      <c r="T56"/>
    </row>
    <row r="57" spans="2:20" ht="23.1" customHeight="1" x14ac:dyDescent="0.25">
      <c r="B57" s="23" t="s">
        <v>84</v>
      </c>
      <c r="C57" s="49">
        <f>AVERAGE('22.08 Kaliro-Iganga'!C57,'23.08 Kaliro-Iganga'!C57,'25.08 Kaliro-Iganga'!C57,'27.08 Kaliro-Iganga'!C57,'24.08 Kaliro-Iganga-24h'!C57,'26.08 Kaliro-Iganga-24h'!C57,'28.08 Kaliro-Iganga'!C57)</f>
        <v>3.5714285714285716</v>
      </c>
      <c r="D57" s="49">
        <f>AVERAGE('22.08 Kaliro-Iganga'!D57,'23.08 Kaliro-Iganga'!D57,'25.08 Kaliro-Iganga'!D57,'27.08 Kaliro-Iganga'!D57,'24.08 Kaliro-Iganga-24h'!D57,'26.08 Kaliro-Iganga-24h'!D57,'28.08 Kaliro-Iganga'!D57)</f>
        <v>1.4285714285714286</v>
      </c>
      <c r="E57" s="49">
        <f>AVERAGE('22.08 Kaliro-Iganga'!E57,'23.08 Kaliro-Iganga'!E57,'25.08 Kaliro-Iganga'!E57,'27.08 Kaliro-Iganga'!E57,'24.08 Kaliro-Iganga-24h'!E57,'26.08 Kaliro-Iganga-24h'!E57,'28.08 Kaliro-Iganga'!E57)</f>
        <v>1.1428571428571428</v>
      </c>
      <c r="F57" s="49">
        <f>AVERAGE('22.08 Kaliro-Iganga'!F57,'23.08 Kaliro-Iganga'!F57,'25.08 Kaliro-Iganga'!F57,'27.08 Kaliro-Iganga'!F57,'24.08 Kaliro-Iganga-24h'!F57,'26.08 Kaliro-Iganga-24h'!F57,'28.08 Kaliro-Iganga'!F57)</f>
        <v>3.5714285714285716</v>
      </c>
      <c r="G57" s="49">
        <f>AVERAGE('22.08 Kaliro-Iganga'!G57,'23.08 Kaliro-Iganga'!G57,'25.08 Kaliro-Iganga'!G57,'27.08 Kaliro-Iganga'!G57,'24.08 Kaliro-Iganga-24h'!G57,'26.08 Kaliro-Iganga-24h'!G57,'28.08 Kaliro-Iganga'!G57)</f>
        <v>0</v>
      </c>
      <c r="H57" s="49">
        <f>AVERAGE('22.08 Kaliro-Iganga'!H57,'23.08 Kaliro-Iganga'!H57,'25.08 Kaliro-Iganga'!H57,'27.08 Kaliro-Iganga'!H57,'24.08 Kaliro-Iganga-24h'!H57,'26.08 Kaliro-Iganga-24h'!H57,'28.08 Kaliro-Iganga'!H57)</f>
        <v>0</v>
      </c>
      <c r="I57" s="49">
        <f>AVERAGE('22.08 Kaliro-Iganga'!I57,'23.08 Kaliro-Iganga'!I57,'25.08 Kaliro-Iganga'!I57,'27.08 Kaliro-Iganga'!I57,'24.08 Kaliro-Iganga-24h'!I57,'26.08 Kaliro-Iganga-24h'!I57,'28.08 Kaliro-Iganga'!I57)</f>
        <v>1.2857142857142858</v>
      </c>
      <c r="J57" s="49">
        <f>AVERAGE('22.08 Kaliro-Iganga'!J57,'23.08 Kaliro-Iganga'!J57,'25.08 Kaliro-Iganga'!J57,'27.08 Kaliro-Iganga'!J57,'24.08 Kaliro-Iganga-24h'!J57,'26.08 Kaliro-Iganga-24h'!J57,'28.08 Kaliro-Iganga'!J57)</f>
        <v>0.2857142857142857</v>
      </c>
      <c r="K57" s="49">
        <f>AVERAGE('22.08 Kaliro-Iganga'!K57,'23.08 Kaliro-Iganga'!K57,'25.08 Kaliro-Iganga'!K57,'27.08 Kaliro-Iganga'!K57,'24.08 Kaliro-Iganga-24h'!K57,'26.08 Kaliro-Iganga-24h'!K57,'28.08 Kaliro-Iganga'!K57)</f>
        <v>0.14285714285714285</v>
      </c>
      <c r="L57" s="49">
        <f>AVERAGE('22.08 Kaliro-Iganga'!L57,'23.08 Kaliro-Iganga'!L57,'25.08 Kaliro-Iganga'!L57,'27.08 Kaliro-Iganga'!L57,'24.08 Kaliro-Iganga-24h'!L57,'26.08 Kaliro-Iganga-24h'!L57,'28.08 Kaliro-Iganga'!L57)</f>
        <v>0</v>
      </c>
      <c r="M57" s="49">
        <f>AVERAGE('22.08 Kaliro-Iganga'!M57,'23.08 Kaliro-Iganga'!M57,'25.08 Kaliro-Iganga'!M57,'27.08 Kaliro-Iganga'!M57,'24.08 Kaliro-Iganga-24h'!M57,'26.08 Kaliro-Iganga-24h'!M57,'28.08 Kaliro-Iganga'!M57)</f>
        <v>65.857142857142861</v>
      </c>
      <c r="N57" s="49">
        <f>AVERAGE('22.08 Kaliro-Iganga'!N57,'23.08 Kaliro-Iganga'!N57,'25.08 Kaliro-Iganga'!N57,'27.08 Kaliro-Iganga'!N57,'24.08 Kaliro-Iganga-24h'!N57,'26.08 Kaliro-Iganga-24h'!N57,'28.08 Kaliro-Iganga'!N57)</f>
        <v>0</v>
      </c>
      <c r="O57" s="15">
        <f t="shared" si="0"/>
        <v>11.428571428571429</v>
      </c>
      <c r="P57" s="15">
        <f t="shared" si="1"/>
        <v>77.285714285714292</v>
      </c>
      <c r="R57" s="8"/>
      <c r="T57"/>
    </row>
    <row r="58" spans="2:20" ht="23.1" customHeight="1" x14ac:dyDescent="0.25">
      <c r="B58" s="23" t="s">
        <v>99</v>
      </c>
      <c r="C58" s="49">
        <f>AVERAGE('24.08 Kaliro-Iganga-24h'!C58,'26.08 Kaliro-Iganga-24h'!C58)</f>
        <v>3</v>
      </c>
      <c r="D58" s="49">
        <f>AVERAGE('24.08 Kaliro-Iganga-24h'!D58,'26.08 Kaliro-Iganga-24h'!D58)</f>
        <v>1.5</v>
      </c>
      <c r="E58" s="49">
        <f>AVERAGE('24.08 Kaliro-Iganga-24h'!E58,'26.08 Kaliro-Iganga-24h'!E58)</f>
        <v>0</v>
      </c>
      <c r="F58" s="49">
        <f>AVERAGE('24.08 Kaliro-Iganga-24h'!F58,'26.08 Kaliro-Iganga-24h'!F58)</f>
        <v>8.5</v>
      </c>
      <c r="G58" s="49">
        <f>AVERAGE('24.08 Kaliro-Iganga-24h'!G58,'26.08 Kaliro-Iganga-24h'!G58)</f>
        <v>0</v>
      </c>
      <c r="H58" s="49">
        <f>AVERAGE('24.08 Kaliro-Iganga-24h'!H58,'26.08 Kaliro-Iganga-24h'!H58)</f>
        <v>0</v>
      </c>
      <c r="I58" s="49">
        <f>AVERAGE('24.08 Kaliro-Iganga-24h'!I58,'26.08 Kaliro-Iganga-24h'!I58)</f>
        <v>3</v>
      </c>
      <c r="J58" s="49">
        <f>AVERAGE('24.08 Kaliro-Iganga-24h'!J58,'26.08 Kaliro-Iganga-24h'!J58)</f>
        <v>1.5</v>
      </c>
      <c r="K58" s="49">
        <f>AVERAGE('24.08 Kaliro-Iganga-24h'!K58,'26.08 Kaliro-Iganga-24h'!K58)</f>
        <v>0</v>
      </c>
      <c r="L58" s="49">
        <f>AVERAGE('24.08 Kaliro-Iganga-24h'!L58,'26.08 Kaliro-Iganga-24h'!L58)</f>
        <v>0</v>
      </c>
      <c r="M58" s="49">
        <f>AVERAGE('24.08 Kaliro-Iganga-24h'!M58,'26.08 Kaliro-Iganga-24h'!M58)</f>
        <v>67</v>
      </c>
      <c r="N58" s="49">
        <f>AVERAGE('24.08 Kaliro-Iganga-24h'!N58,'26.08 Kaliro-Iganga-24h'!N58)</f>
        <v>0</v>
      </c>
      <c r="O58" s="15">
        <f t="shared" si="0"/>
        <v>17.5</v>
      </c>
      <c r="P58" s="15">
        <f t="shared" si="1"/>
        <v>84.5</v>
      </c>
      <c r="R58" s="8"/>
      <c r="T58"/>
    </row>
    <row r="59" spans="2:20" ht="23.1" customHeight="1" x14ac:dyDescent="0.25">
      <c r="B59" s="23" t="s">
        <v>100</v>
      </c>
      <c r="C59" s="49">
        <f>AVERAGE('24.08 Kaliro-Iganga-24h'!C59,'26.08 Kaliro-Iganga-24h'!C59)</f>
        <v>3</v>
      </c>
      <c r="D59" s="49">
        <f>AVERAGE('24.08 Kaliro-Iganga-24h'!D59,'26.08 Kaliro-Iganga-24h'!D59)</f>
        <v>1</v>
      </c>
      <c r="E59" s="49">
        <f>AVERAGE('24.08 Kaliro-Iganga-24h'!E59,'26.08 Kaliro-Iganga-24h'!E59)</f>
        <v>1.5</v>
      </c>
      <c r="F59" s="49">
        <f>AVERAGE('24.08 Kaliro-Iganga-24h'!F59,'26.08 Kaliro-Iganga-24h'!F59)</f>
        <v>4.5</v>
      </c>
      <c r="G59" s="49">
        <f>AVERAGE('24.08 Kaliro-Iganga-24h'!G59,'26.08 Kaliro-Iganga-24h'!G59)</f>
        <v>0</v>
      </c>
      <c r="H59" s="49">
        <f>AVERAGE('24.08 Kaliro-Iganga-24h'!H59,'26.08 Kaliro-Iganga-24h'!H59)</f>
        <v>0</v>
      </c>
      <c r="I59" s="49">
        <f>AVERAGE('24.08 Kaliro-Iganga-24h'!I59,'26.08 Kaliro-Iganga-24h'!I59)</f>
        <v>0.5</v>
      </c>
      <c r="J59" s="49">
        <f>AVERAGE('24.08 Kaliro-Iganga-24h'!J59,'26.08 Kaliro-Iganga-24h'!J59)</f>
        <v>1.5</v>
      </c>
      <c r="K59" s="49">
        <f>AVERAGE('24.08 Kaliro-Iganga-24h'!K59,'26.08 Kaliro-Iganga-24h'!K59)</f>
        <v>0.5</v>
      </c>
      <c r="L59" s="49">
        <f>AVERAGE('24.08 Kaliro-Iganga-24h'!L59,'26.08 Kaliro-Iganga-24h'!L59)</f>
        <v>0</v>
      </c>
      <c r="M59" s="49">
        <f>AVERAGE('24.08 Kaliro-Iganga-24h'!M59,'26.08 Kaliro-Iganga-24h'!M59)</f>
        <v>74.5</v>
      </c>
      <c r="N59" s="49">
        <f>AVERAGE('24.08 Kaliro-Iganga-24h'!N59,'26.08 Kaliro-Iganga-24h'!N59)</f>
        <v>0</v>
      </c>
      <c r="O59" s="15">
        <f t="shared" si="0"/>
        <v>12.5</v>
      </c>
      <c r="P59" s="15">
        <f t="shared" si="1"/>
        <v>87</v>
      </c>
      <c r="R59" s="8"/>
      <c r="T59"/>
    </row>
    <row r="60" spans="2:20" ht="23.1" customHeight="1" x14ac:dyDescent="0.25">
      <c r="B60" s="23" t="s">
        <v>101</v>
      </c>
      <c r="C60" s="49">
        <f>AVERAGE('24.08 Kaliro-Iganga-24h'!C60,'26.08 Kaliro-Iganga-24h'!C60)</f>
        <v>3</v>
      </c>
      <c r="D60" s="49">
        <f>AVERAGE('24.08 Kaliro-Iganga-24h'!D60,'26.08 Kaliro-Iganga-24h'!D60)</f>
        <v>1</v>
      </c>
      <c r="E60" s="49">
        <f>AVERAGE('24.08 Kaliro-Iganga-24h'!E60,'26.08 Kaliro-Iganga-24h'!E60)</f>
        <v>1.5</v>
      </c>
      <c r="F60" s="49">
        <f>AVERAGE('24.08 Kaliro-Iganga-24h'!F60,'26.08 Kaliro-Iganga-24h'!F60)</f>
        <v>3</v>
      </c>
      <c r="G60" s="49">
        <f>AVERAGE('24.08 Kaliro-Iganga-24h'!G60,'26.08 Kaliro-Iganga-24h'!G60)</f>
        <v>0</v>
      </c>
      <c r="H60" s="49">
        <f>AVERAGE('24.08 Kaliro-Iganga-24h'!H60,'26.08 Kaliro-Iganga-24h'!H60)</f>
        <v>0</v>
      </c>
      <c r="I60" s="49">
        <f>AVERAGE('24.08 Kaliro-Iganga-24h'!I60,'26.08 Kaliro-Iganga-24h'!I60)</f>
        <v>1.5</v>
      </c>
      <c r="J60" s="49">
        <f>AVERAGE('24.08 Kaliro-Iganga-24h'!J60,'26.08 Kaliro-Iganga-24h'!J60)</f>
        <v>0.5</v>
      </c>
      <c r="K60" s="49">
        <f>AVERAGE('24.08 Kaliro-Iganga-24h'!K60,'26.08 Kaliro-Iganga-24h'!K60)</f>
        <v>0</v>
      </c>
      <c r="L60" s="49">
        <f>AVERAGE('24.08 Kaliro-Iganga-24h'!L60,'26.08 Kaliro-Iganga-24h'!L60)</f>
        <v>0</v>
      </c>
      <c r="M60" s="49">
        <f>AVERAGE('24.08 Kaliro-Iganga-24h'!M60,'26.08 Kaliro-Iganga-24h'!M60)</f>
        <v>67.5</v>
      </c>
      <c r="N60" s="49">
        <f>AVERAGE('24.08 Kaliro-Iganga-24h'!N60,'26.08 Kaliro-Iganga-24h'!N60)</f>
        <v>0</v>
      </c>
      <c r="O60" s="15">
        <f t="shared" si="0"/>
        <v>10.5</v>
      </c>
      <c r="P60" s="15">
        <f t="shared" si="1"/>
        <v>78</v>
      </c>
      <c r="R60" s="8"/>
      <c r="T60"/>
    </row>
    <row r="61" spans="2:20" ht="23.1" customHeight="1" x14ac:dyDescent="0.25">
      <c r="B61" s="23" t="s">
        <v>102</v>
      </c>
      <c r="C61" s="49">
        <f>AVERAGE('24.08 Kaliro-Iganga-24h'!C61,'26.08 Kaliro-Iganga-24h'!C61)</f>
        <v>2</v>
      </c>
      <c r="D61" s="49">
        <f>AVERAGE('24.08 Kaliro-Iganga-24h'!D61,'26.08 Kaliro-Iganga-24h'!D61)</f>
        <v>0</v>
      </c>
      <c r="E61" s="49">
        <f>AVERAGE('24.08 Kaliro-Iganga-24h'!E61,'26.08 Kaliro-Iganga-24h'!E61)</f>
        <v>0.5</v>
      </c>
      <c r="F61" s="49">
        <f>AVERAGE('24.08 Kaliro-Iganga-24h'!F61,'26.08 Kaliro-Iganga-24h'!F61)</f>
        <v>4</v>
      </c>
      <c r="G61" s="49">
        <f>AVERAGE('24.08 Kaliro-Iganga-24h'!G61,'26.08 Kaliro-Iganga-24h'!G61)</f>
        <v>0</v>
      </c>
      <c r="H61" s="49">
        <f>AVERAGE('24.08 Kaliro-Iganga-24h'!H61,'26.08 Kaliro-Iganga-24h'!H61)</f>
        <v>0</v>
      </c>
      <c r="I61" s="49">
        <f>AVERAGE('24.08 Kaliro-Iganga-24h'!I61,'26.08 Kaliro-Iganga-24h'!I61)</f>
        <v>3.5</v>
      </c>
      <c r="J61" s="49">
        <f>AVERAGE('24.08 Kaliro-Iganga-24h'!J61,'26.08 Kaliro-Iganga-24h'!J61)</f>
        <v>1</v>
      </c>
      <c r="K61" s="49">
        <f>AVERAGE('24.08 Kaliro-Iganga-24h'!K61,'26.08 Kaliro-Iganga-24h'!K61)</f>
        <v>0</v>
      </c>
      <c r="L61" s="49">
        <f>AVERAGE('24.08 Kaliro-Iganga-24h'!L61,'26.08 Kaliro-Iganga-24h'!L61)</f>
        <v>0</v>
      </c>
      <c r="M61" s="49">
        <f>AVERAGE('24.08 Kaliro-Iganga-24h'!M61,'26.08 Kaliro-Iganga-24h'!M61)</f>
        <v>72.5</v>
      </c>
      <c r="N61" s="49">
        <f>AVERAGE('24.08 Kaliro-Iganga-24h'!N61,'26.08 Kaliro-Iganga-24h'!N61)</f>
        <v>0</v>
      </c>
      <c r="O61" s="15">
        <f t="shared" si="0"/>
        <v>11</v>
      </c>
      <c r="P61" s="15">
        <f t="shared" si="1"/>
        <v>83.5</v>
      </c>
      <c r="R61" s="8"/>
      <c r="T61"/>
    </row>
    <row r="62" spans="2:20" ht="23.1" customHeight="1" x14ac:dyDescent="0.25">
      <c r="B62" s="23" t="s">
        <v>107</v>
      </c>
      <c r="C62" s="49">
        <f>AVERAGE('24.08 Kaliro-Iganga-24h'!C62,'26.08 Kaliro-Iganga-24h'!C62)</f>
        <v>3.5</v>
      </c>
      <c r="D62" s="49">
        <f>AVERAGE('24.08 Kaliro-Iganga-24h'!D62,'26.08 Kaliro-Iganga-24h'!D62)</f>
        <v>0</v>
      </c>
      <c r="E62" s="49">
        <f>AVERAGE('24.08 Kaliro-Iganga-24h'!E62,'26.08 Kaliro-Iganga-24h'!E62)</f>
        <v>3</v>
      </c>
      <c r="F62" s="49">
        <f>AVERAGE('24.08 Kaliro-Iganga-24h'!F62,'26.08 Kaliro-Iganga-24h'!F62)</f>
        <v>3.5</v>
      </c>
      <c r="G62" s="49">
        <f>AVERAGE('24.08 Kaliro-Iganga-24h'!G62,'26.08 Kaliro-Iganga-24h'!G62)</f>
        <v>0</v>
      </c>
      <c r="H62" s="49">
        <f>AVERAGE('24.08 Kaliro-Iganga-24h'!H62,'26.08 Kaliro-Iganga-24h'!H62)</f>
        <v>0</v>
      </c>
      <c r="I62" s="49">
        <f>AVERAGE('24.08 Kaliro-Iganga-24h'!I62,'26.08 Kaliro-Iganga-24h'!I62)</f>
        <v>1</v>
      </c>
      <c r="J62" s="49">
        <f>AVERAGE('24.08 Kaliro-Iganga-24h'!J62,'26.08 Kaliro-Iganga-24h'!J62)</f>
        <v>0</v>
      </c>
      <c r="K62" s="49">
        <f>AVERAGE('24.08 Kaliro-Iganga-24h'!K62,'26.08 Kaliro-Iganga-24h'!K62)</f>
        <v>0</v>
      </c>
      <c r="L62" s="49">
        <f>AVERAGE('24.08 Kaliro-Iganga-24h'!L62,'26.08 Kaliro-Iganga-24h'!L62)</f>
        <v>0</v>
      </c>
      <c r="M62" s="49">
        <f>AVERAGE('24.08 Kaliro-Iganga-24h'!M62,'26.08 Kaliro-Iganga-24h'!M62)</f>
        <v>62.5</v>
      </c>
      <c r="N62" s="49">
        <f>AVERAGE('24.08 Kaliro-Iganga-24h'!N62,'26.08 Kaliro-Iganga-24h'!N62)</f>
        <v>0</v>
      </c>
      <c r="O62" s="15">
        <f t="shared" si="0"/>
        <v>11</v>
      </c>
      <c r="P62" s="15">
        <f t="shared" si="1"/>
        <v>73.5</v>
      </c>
      <c r="R62" s="8"/>
      <c r="T62"/>
    </row>
    <row r="63" spans="2:20" ht="23.1" customHeight="1" x14ac:dyDescent="0.25">
      <c r="B63" s="23" t="s">
        <v>108</v>
      </c>
      <c r="C63" s="49">
        <f>AVERAGE('24.08 Kaliro-Iganga-24h'!C63,'26.08 Kaliro-Iganga-24h'!C63)</f>
        <v>3</v>
      </c>
      <c r="D63" s="49">
        <f>AVERAGE('24.08 Kaliro-Iganga-24h'!D63,'26.08 Kaliro-Iganga-24h'!D63)</f>
        <v>2</v>
      </c>
      <c r="E63" s="49">
        <f>AVERAGE('24.08 Kaliro-Iganga-24h'!E63,'26.08 Kaliro-Iganga-24h'!E63)</f>
        <v>1</v>
      </c>
      <c r="F63" s="49">
        <f>AVERAGE('24.08 Kaliro-Iganga-24h'!F63,'26.08 Kaliro-Iganga-24h'!F63)</f>
        <v>2.5</v>
      </c>
      <c r="G63" s="49">
        <f>AVERAGE('24.08 Kaliro-Iganga-24h'!G63,'26.08 Kaliro-Iganga-24h'!G63)</f>
        <v>0</v>
      </c>
      <c r="H63" s="49">
        <f>AVERAGE('24.08 Kaliro-Iganga-24h'!H63,'26.08 Kaliro-Iganga-24h'!H63)</f>
        <v>0</v>
      </c>
      <c r="I63" s="49">
        <f>AVERAGE('24.08 Kaliro-Iganga-24h'!I63,'26.08 Kaliro-Iganga-24h'!I63)</f>
        <v>1.5</v>
      </c>
      <c r="J63" s="49">
        <f>AVERAGE('24.08 Kaliro-Iganga-24h'!J63,'26.08 Kaliro-Iganga-24h'!J63)</f>
        <v>0</v>
      </c>
      <c r="K63" s="49">
        <f>AVERAGE('24.08 Kaliro-Iganga-24h'!K63,'26.08 Kaliro-Iganga-24h'!K63)</f>
        <v>0</v>
      </c>
      <c r="L63" s="49">
        <f>AVERAGE('24.08 Kaliro-Iganga-24h'!L63,'26.08 Kaliro-Iganga-24h'!L63)</f>
        <v>0</v>
      </c>
      <c r="M63" s="49">
        <f>AVERAGE('24.08 Kaliro-Iganga-24h'!M63,'26.08 Kaliro-Iganga-24h'!M63)</f>
        <v>55.5</v>
      </c>
      <c r="N63" s="49">
        <f>AVERAGE('24.08 Kaliro-Iganga-24h'!N63,'26.08 Kaliro-Iganga-24h'!N63)</f>
        <v>0</v>
      </c>
      <c r="O63" s="15">
        <f t="shared" si="0"/>
        <v>10</v>
      </c>
      <c r="P63" s="15">
        <f t="shared" si="1"/>
        <v>65.5</v>
      </c>
      <c r="R63" s="8"/>
      <c r="T63"/>
    </row>
    <row r="64" spans="2:20" ht="23.1" customHeight="1" x14ac:dyDescent="0.25">
      <c r="B64" s="23" t="s">
        <v>109</v>
      </c>
      <c r="C64" s="49">
        <f>AVERAGE('24.08 Kaliro-Iganga-24h'!C64,'26.08 Kaliro-Iganga-24h'!C64)</f>
        <v>4.5</v>
      </c>
      <c r="D64" s="49">
        <f>AVERAGE('24.08 Kaliro-Iganga-24h'!D64,'26.08 Kaliro-Iganga-24h'!D64)</f>
        <v>2.5</v>
      </c>
      <c r="E64" s="49">
        <f>AVERAGE('24.08 Kaliro-Iganga-24h'!E64,'26.08 Kaliro-Iganga-24h'!E64)</f>
        <v>1.5</v>
      </c>
      <c r="F64" s="49">
        <f>AVERAGE('24.08 Kaliro-Iganga-24h'!F64,'26.08 Kaliro-Iganga-24h'!F64)</f>
        <v>2.5</v>
      </c>
      <c r="G64" s="49">
        <f>AVERAGE('24.08 Kaliro-Iganga-24h'!G64,'26.08 Kaliro-Iganga-24h'!G64)</f>
        <v>0</v>
      </c>
      <c r="H64" s="49">
        <f>AVERAGE('24.08 Kaliro-Iganga-24h'!H64,'26.08 Kaliro-Iganga-24h'!H64)</f>
        <v>0</v>
      </c>
      <c r="I64" s="49">
        <f>AVERAGE('24.08 Kaliro-Iganga-24h'!I64,'26.08 Kaliro-Iganga-24h'!I64)</f>
        <v>0</v>
      </c>
      <c r="J64" s="49">
        <f>AVERAGE('24.08 Kaliro-Iganga-24h'!J64,'26.08 Kaliro-Iganga-24h'!J64)</f>
        <v>1.5</v>
      </c>
      <c r="K64" s="49">
        <f>AVERAGE('24.08 Kaliro-Iganga-24h'!K64,'26.08 Kaliro-Iganga-24h'!K64)</f>
        <v>0</v>
      </c>
      <c r="L64" s="49">
        <f>AVERAGE('24.08 Kaliro-Iganga-24h'!L64,'26.08 Kaliro-Iganga-24h'!L64)</f>
        <v>0</v>
      </c>
      <c r="M64" s="49">
        <f>AVERAGE('24.08 Kaliro-Iganga-24h'!M64,'26.08 Kaliro-Iganga-24h'!M64)</f>
        <v>54.5</v>
      </c>
      <c r="N64" s="49">
        <f>AVERAGE('24.08 Kaliro-Iganga-24h'!N64,'26.08 Kaliro-Iganga-24h'!N64)</f>
        <v>0</v>
      </c>
      <c r="O64" s="15">
        <f t="shared" si="0"/>
        <v>12.5</v>
      </c>
      <c r="P64" s="15">
        <f t="shared" si="1"/>
        <v>67</v>
      </c>
      <c r="R64" s="8"/>
      <c r="T64"/>
    </row>
    <row r="65" spans="2:20" ht="23.1" customHeight="1" x14ac:dyDescent="0.25">
      <c r="B65" s="23" t="s">
        <v>158</v>
      </c>
      <c r="C65" s="49">
        <f>AVERAGE('24.08 Kaliro-Iganga-24h'!C65,'26.08 Kaliro-Iganga-24h'!C65)</f>
        <v>1.5</v>
      </c>
      <c r="D65" s="49">
        <f>AVERAGE('24.08 Kaliro-Iganga-24h'!D65,'26.08 Kaliro-Iganga-24h'!D65)</f>
        <v>0</v>
      </c>
      <c r="E65" s="49">
        <f>AVERAGE('24.08 Kaliro-Iganga-24h'!E65,'26.08 Kaliro-Iganga-24h'!E65)</f>
        <v>1.5</v>
      </c>
      <c r="F65" s="49">
        <f>AVERAGE('24.08 Kaliro-Iganga-24h'!F65,'26.08 Kaliro-Iganga-24h'!F65)</f>
        <v>2</v>
      </c>
      <c r="G65" s="49">
        <f>AVERAGE('24.08 Kaliro-Iganga-24h'!G65,'26.08 Kaliro-Iganga-24h'!G65)</f>
        <v>0</v>
      </c>
      <c r="H65" s="49">
        <f>AVERAGE('24.08 Kaliro-Iganga-24h'!H65,'26.08 Kaliro-Iganga-24h'!H65)</f>
        <v>0</v>
      </c>
      <c r="I65" s="49">
        <f>AVERAGE('24.08 Kaliro-Iganga-24h'!I65,'26.08 Kaliro-Iganga-24h'!I65)</f>
        <v>1</v>
      </c>
      <c r="J65" s="49">
        <f>AVERAGE('24.08 Kaliro-Iganga-24h'!J65,'26.08 Kaliro-Iganga-24h'!J65)</f>
        <v>2.5</v>
      </c>
      <c r="K65" s="49">
        <f>AVERAGE('24.08 Kaliro-Iganga-24h'!K65,'26.08 Kaliro-Iganga-24h'!K65)</f>
        <v>0</v>
      </c>
      <c r="L65" s="49">
        <f>AVERAGE('24.08 Kaliro-Iganga-24h'!L65,'26.08 Kaliro-Iganga-24h'!L65)</f>
        <v>0</v>
      </c>
      <c r="M65" s="49">
        <f>AVERAGE('24.08 Kaliro-Iganga-24h'!M65,'26.08 Kaliro-Iganga-24h'!M65)</f>
        <v>53</v>
      </c>
      <c r="N65" s="49">
        <f>AVERAGE('24.08 Kaliro-Iganga-24h'!N65,'26.08 Kaliro-Iganga-24h'!N65)</f>
        <v>0</v>
      </c>
      <c r="O65" s="15">
        <f t="shared" si="0"/>
        <v>8.5</v>
      </c>
      <c r="P65" s="15">
        <f t="shared" si="1"/>
        <v>61.5</v>
      </c>
      <c r="R65" s="8"/>
      <c r="T65"/>
    </row>
    <row r="66" spans="2:20" ht="23.1" customHeight="1" x14ac:dyDescent="0.25">
      <c r="B66" s="23" t="s">
        <v>103</v>
      </c>
      <c r="C66" s="49">
        <f>AVERAGE('24.08 Kaliro-Iganga-24h'!C66,'26.08 Kaliro-Iganga-24h'!C66)</f>
        <v>2</v>
      </c>
      <c r="D66" s="49">
        <f>AVERAGE('24.08 Kaliro-Iganga-24h'!D66,'26.08 Kaliro-Iganga-24h'!D66)</f>
        <v>1</v>
      </c>
      <c r="E66" s="49">
        <f>AVERAGE('24.08 Kaliro-Iganga-24h'!E66,'26.08 Kaliro-Iganga-24h'!E66)</f>
        <v>0.5</v>
      </c>
      <c r="F66" s="49">
        <f>AVERAGE('24.08 Kaliro-Iganga-24h'!F66,'26.08 Kaliro-Iganga-24h'!F66)</f>
        <v>3</v>
      </c>
      <c r="G66" s="49">
        <f>AVERAGE('24.08 Kaliro-Iganga-24h'!G66,'26.08 Kaliro-Iganga-24h'!G66)</f>
        <v>0</v>
      </c>
      <c r="H66" s="49">
        <f>AVERAGE('24.08 Kaliro-Iganga-24h'!H66,'26.08 Kaliro-Iganga-24h'!H66)</f>
        <v>0</v>
      </c>
      <c r="I66" s="49">
        <f>AVERAGE('24.08 Kaliro-Iganga-24h'!I66,'26.08 Kaliro-Iganga-24h'!I66)</f>
        <v>1.5</v>
      </c>
      <c r="J66" s="49">
        <f>AVERAGE('24.08 Kaliro-Iganga-24h'!J66,'26.08 Kaliro-Iganga-24h'!J66)</f>
        <v>1</v>
      </c>
      <c r="K66" s="49">
        <f>AVERAGE('24.08 Kaliro-Iganga-24h'!K66,'26.08 Kaliro-Iganga-24h'!K66)</f>
        <v>0.5</v>
      </c>
      <c r="L66" s="49">
        <f>AVERAGE('24.08 Kaliro-Iganga-24h'!L66,'26.08 Kaliro-Iganga-24h'!L66)</f>
        <v>0</v>
      </c>
      <c r="M66" s="49">
        <f>AVERAGE('24.08 Kaliro-Iganga-24h'!M66,'26.08 Kaliro-Iganga-24h'!M66)</f>
        <v>50.5</v>
      </c>
      <c r="N66" s="49">
        <f>AVERAGE('24.08 Kaliro-Iganga-24h'!N66,'26.08 Kaliro-Iganga-24h'!N66)</f>
        <v>0</v>
      </c>
      <c r="O66" s="15">
        <f t="shared" si="0"/>
        <v>9.5</v>
      </c>
      <c r="P66" s="15">
        <f t="shared" si="1"/>
        <v>60</v>
      </c>
      <c r="R66" s="8"/>
      <c r="T66"/>
    </row>
    <row r="67" spans="2:20" ht="23.1" customHeight="1" x14ac:dyDescent="0.25">
      <c r="B67" s="23" t="s">
        <v>104</v>
      </c>
      <c r="C67" s="49">
        <f>AVERAGE('24.08 Kaliro-Iganga-24h'!C67,'26.08 Kaliro-Iganga-24h'!C67)</f>
        <v>2</v>
      </c>
      <c r="D67" s="49">
        <f>AVERAGE('24.08 Kaliro-Iganga-24h'!D67,'26.08 Kaliro-Iganga-24h'!D67)</f>
        <v>1</v>
      </c>
      <c r="E67" s="49">
        <f>AVERAGE('24.08 Kaliro-Iganga-24h'!E67,'26.08 Kaliro-Iganga-24h'!E67)</f>
        <v>1.5</v>
      </c>
      <c r="F67" s="49">
        <f>AVERAGE('24.08 Kaliro-Iganga-24h'!F67,'26.08 Kaliro-Iganga-24h'!F67)</f>
        <v>1.5</v>
      </c>
      <c r="G67" s="49">
        <f>AVERAGE('24.08 Kaliro-Iganga-24h'!G67,'26.08 Kaliro-Iganga-24h'!G67)</f>
        <v>0</v>
      </c>
      <c r="H67" s="49">
        <f>AVERAGE('24.08 Kaliro-Iganga-24h'!H67,'26.08 Kaliro-Iganga-24h'!H67)</f>
        <v>0</v>
      </c>
      <c r="I67" s="49">
        <f>AVERAGE('24.08 Kaliro-Iganga-24h'!I67,'26.08 Kaliro-Iganga-24h'!I67)</f>
        <v>1</v>
      </c>
      <c r="J67" s="49">
        <f>AVERAGE('24.08 Kaliro-Iganga-24h'!J67,'26.08 Kaliro-Iganga-24h'!J67)</f>
        <v>0</v>
      </c>
      <c r="K67" s="49">
        <f>AVERAGE('24.08 Kaliro-Iganga-24h'!K67,'26.08 Kaliro-Iganga-24h'!K67)</f>
        <v>0</v>
      </c>
      <c r="L67" s="49">
        <f>AVERAGE('24.08 Kaliro-Iganga-24h'!L67,'26.08 Kaliro-Iganga-24h'!L67)</f>
        <v>0</v>
      </c>
      <c r="M67" s="49">
        <f>AVERAGE('24.08 Kaliro-Iganga-24h'!M67,'26.08 Kaliro-Iganga-24h'!M67)</f>
        <v>47</v>
      </c>
      <c r="N67" s="49">
        <f>AVERAGE('24.08 Kaliro-Iganga-24h'!N67,'26.08 Kaliro-Iganga-24h'!N67)</f>
        <v>0</v>
      </c>
      <c r="O67" s="15">
        <f t="shared" si="0"/>
        <v>7</v>
      </c>
      <c r="P67" s="15">
        <f t="shared" si="1"/>
        <v>54</v>
      </c>
      <c r="R67" s="8"/>
      <c r="T67"/>
    </row>
    <row r="68" spans="2:20" ht="23.1" customHeight="1" x14ac:dyDescent="0.25">
      <c r="B68" s="23" t="s">
        <v>105</v>
      </c>
      <c r="C68" s="49">
        <f>AVERAGE('24.08 Kaliro-Iganga-24h'!C68,'26.08 Kaliro-Iganga-24h'!C68)</f>
        <v>1.5</v>
      </c>
      <c r="D68" s="49">
        <f>AVERAGE('24.08 Kaliro-Iganga-24h'!D68,'26.08 Kaliro-Iganga-24h'!D68)</f>
        <v>0.5</v>
      </c>
      <c r="E68" s="49">
        <f>AVERAGE('24.08 Kaliro-Iganga-24h'!E68,'26.08 Kaliro-Iganga-24h'!E68)</f>
        <v>0.5</v>
      </c>
      <c r="F68" s="49">
        <f>AVERAGE('24.08 Kaliro-Iganga-24h'!F68,'26.08 Kaliro-Iganga-24h'!F68)</f>
        <v>1</v>
      </c>
      <c r="G68" s="49">
        <f>AVERAGE('24.08 Kaliro-Iganga-24h'!G68,'26.08 Kaliro-Iganga-24h'!G68)</f>
        <v>0</v>
      </c>
      <c r="H68" s="49">
        <f>AVERAGE('24.08 Kaliro-Iganga-24h'!H68,'26.08 Kaliro-Iganga-24h'!H68)</f>
        <v>0</v>
      </c>
      <c r="I68" s="49">
        <f>AVERAGE('24.08 Kaliro-Iganga-24h'!I68,'26.08 Kaliro-Iganga-24h'!I68)</f>
        <v>0</v>
      </c>
      <c r="J68" s="49">
        <f>AVERAGE('24.08 Kaliro-Iganga-24h'!J68,'26.08 Kaliro-Iganga-24h'!J68)</f>
        <v>0.5</v>
      </c>
      <c r="K68" s="49">
        <f>AVERAGE('24.08 Kaliro-Iganga-24h'!K68,'26.08 Kaliro-Iganga-24h'!K68)</f>
        <v>0</v>
      </c>
      <c r="L68" s="49">
        <f>AVERAGE('24.08 Kaliro-Iganga-24h'!L68,'26.08 Kaliro-Iganga-24h'!L68)</f>
        <v>0.5</v>
      </c>
      <c r="M68" s="49">
        <f>AVERAGE('24.08 Kaliro-Iganga-24h'!M68,'26.08 Kaliro-Iganga-24h'!M68)</f>
        <v>43</v>
      </c>
      <c r="N68" s="49">
        <f>AVERAGE('24.08 Kaliro-Iganga-24h'!N68,'26.08 Kaliro-Iganga-24h'!N68)</f>
        <v>0</v>
      </c>
      <c r="O68" s="15">
        <f t="shared" si="0"/>
        <v>4.5</v>
      </c>
      <c r="P68" s="15">
        <f t="shared" si="1"/>
        <v>47.5</v>
      </c>
      <c r="R68" s="8"/>
      <c r="T68"/>
    </row>
    <row r="69" spans="2:20" ht="23.1" customHeight="1" x14ac:dyDescent="0.25">
      <c r="B69" s="23" t="s">
        <v>106</v>
      </c>
      <c r="C69" s="49">
        <f>AVERAGE('24.08 Kaliro-Iganga-24h'!C69,'26.08 Kaliro-Iganga-24h'!C69)</f>
        <v>1</v>
      </c>
      <c r="D69" s="49">
        <f>AVERAGE('24.08 Kaliro-Iganga-24h'!D69,'26.08 Kaliro-Iganga-24h'!D69)</f>
        <v>0</v>
      </c>
      <c r="E69" s="49">
        <f>AVERAGE('24.08 Kaliro-Iganga-24h'!E69,'26.08 Kaliro-Iganga-24h'!E69)</f>
        <v>0.5</v>
      </c>
      <c r="F69" s="49">
        <f>AVERAGE('24.08 Kaliro-Iganga-24h'!F69,'26.08 Kaliro-Iganga-24h'!F69)</f>
        <v>2</v>
      </c>
      <c r="G69" s="49">
        <f>AVERAGE('24.08 Kaliro-Iganga-24h'!G69,'26.08 Kaliro-Iganga-24h'!G69)</f>
        <v>0</v>
      </c>
      <c r="H69" s="49">
        <f>AVERAGE('24.08 Kaliro-Iganga-24h'!H69,'26.08 Kaliro-Iganga-24h'!H69)</f>
        <v>0</v>
      </c>
      <c r="I69" s="49">
        <f>AVERAGE('24.08 Kaliro-Iganga-24h'!I69,'26.08 Kaliro-Iganga-24h'!I69)</f>
        <v>1.5</v>
      </c>
      <c r="J69" s="49">
        <f>AVERAGE('24.08 Kaliro-Iganga-24h'!J69,'26.08 Kaliro-Iganga-24h'!J69)</f>
        <v>1.5</v>
      </c>
      <c r="K69" s="49">
        <f>AVERAGE('24.08 Kaliro-Iganga-24h'!K69,'26.08 Kaliro-Iganga-24h'!K69)</f>
        <v>0</v>
      </c>
      <c r="L69" s="49">
        <f>AVERAGE('24.08 Kaliro-Iganga-24h'!L69,'26.08 Kaliro-Iganga-24h'!L69)</f>
        <v>0</v>
      </c>
      <c r="M69" s="49">
        <f>AVERAGE('24.08 Kaliro-Iganga-24h'!M69,'26.08 Kaliro-Iganga-24h'!M69)</f>
        <v>43</v>
      </c>
      <c r="N69" s="49">
        <f>AVERAGE('24.08 Kaliro-Iganga-24h'!N69,'26.08 Kaliro-Iganga-24h'!N69)</f>
        <v>0.5</v>
      </c>
      <c r="O69" s="15">
        <f t="shared" si="0"/>
        <v>7</v>
      </c>
      <c r="P69" s="15">
        <f t="shared" si="1"/>
        <v>50</v>
      </c>
      <c r="R69" s="8"/>
      <c r="T69"/>
    </row>
    <row r="70" spans="2:20" ht="23.1" customHeight="1" x14ac:dyDescent="0.25">
      <c r="B70" s="23" t="s">
        <v>110</v>
      </c>
      <c r="C70" s="49">
        <f>AVERAGE('24.08 Kaliro-Iganga-24h'!C70,'26.08 Kaliro-Iganga-24h'!C70)</f>
        <v>1.5</v>
      </c>
      <c r="D70" s="49">
        <f>AVERAGE('24.08 Kaliro-Iganga-24h'!D70,'26.08 Kaliro-Iganga-24h'!D70)</f>
        <v>1</v>
      </c>
      <c r="E70" s="49">
        <f>AVERAGE('24.08 Kaliro-Iganga-24h'!E70,'26.08 Kaliro-Iganga-24h'!E70)</f>
        <v>1.5</v>
      </c>
      <c r="F70" s="49">
        <f>AVERAGE('24.08 Kaliro-Iganga-24h'!F70,'26.08 Kaliro-Iganga-24h'!F70)</f>
        <v>1</v>
      </c>
      <c r="G70" s="49">
        <f>AVERAGE('24.08 Kaliro-Iganga-24h'!G70,'26.08 Kaliro-Iganga-24h'!G70)</f>
        <v>0</v>
      </c>
      <c r="H70" s="49">
        <f>AVERAGE('24.08 Kaliro-Iganga-24h'!H70,'26.08 Kaliro-Iganga-24h'!H70)</f>
        <v>0</v>
      </c>
      <c r="I70" s="49">
        <f>AVERAGE('24.08 Kaliro-Iganga-24h'!I70,'26.08 Kaliro-Iganga-24h'!I70)</f>
        <v>0.5</v>
      </c>
      <c r="J70" s="49">
        <f>AVERAGE('24.08 Kaliro-Iganga-24h'!J70,'26.08 Kaliro-Iganga-24h'!J70)</f>
        <v>1</v>
      </c>
      <c r="K70" s="49">
        <f>AVERAGE('24.08 Kaliro-Iganga-24h'!K70,'26.08 Kaliro-Iganga-24h'!K70)</f>
        <v>0</v>
      </c>
      <c r="L70" s="49">
        <f>AVERAGE('24.08 Kaliro-Iganga-24h'!L70,'26.08 Kaliro-Iganga-24h'!L70)</f>
        <v>0</v>
      </c>
      <c r="M70" s="49">
        <f>AVERAGE('24.08 Kaliro-Iganga-24h'!M70,'26.08 Kaliro-Iganga-24h'!M70)</f>
        <v>38</v>
      </c>
      <c r="N70" s="49">
        <f>AVERAGE('24.08 Kaliro-Iganga-24h'!N70,'26.08 Kaliro-Iganga-24h'!N70)</f>
        <v>0</v>
      </c>
      <c r="O70" s="15">
        <f t="shared" si="0"/>
        <v>6.5</v>
      </c>
      <c r="P70" s="15">
        <f t="shared" si="1"/>
        <v>44.5</v>
      </c>
      <c r="R70" s="8"/>
      <c r="T70"/>
    </row>
    <row r="71" spans="2:20" ht="23.1" customHeight="1" x14ac:dyDescent="0.25">
      <c r="B71" s="23" t="s">
        <v>111</v>
      </c>
      <c r="C71" s="49">
        <f>AVERAGE('24.08 Kaliro-Iganga-24h'!C71,'26.08 Kaliro-Iganga-24h'!C71)</f>
        <v>0.5</v>
      </c>
      <c r="D71" s="49">
        <f>AVERAGE('24.08 Kaliro-Iganga-24h'!D71,'26.08 Kaliro-Iganga-24h'!D71)</f>
        <v>0</v>
      </c>
      <c r="E71" s="49">
        <f>AVERAGE('24.08 Kaliro-Iganga-24h'!E71,'26.08 Kaliro-Iganga-24h'!E71)</f>
        <v>0</v>
      </c>
      <c r="F71" s="49">
        <f>AVERAGE('24.08 Kaliro-Iganga-24h'!F71,'26.08 Kaliro-Iganga-24h'!F71)</f>
        <v>0.5</v>
      </c>
      <c r="G71" s="49">
        <f>AVERAGE('24.08 Kaliro-Iganga-24h'!G71,'26.08 Kaliro-Iganga-24h'!G71)</f>
        <v>0.5</v>
      </c>
      <c r="H71" s="49">
        <f>AVERAGE('24.08 Kaliro-Iganga-24h'!H71,'26.08 Kaliro-Iganga-24h'!H71)</f>
        <v>0</v>
      </c>
      <c r="I71" s="49">
        <f>AVERAGE('24.08 Kaliro-Iganga-24h'!I71,'26.08 Kaliro-Iganga-24h'!I71)</f>
        <v>1</v>
      </c>
      <c r="J71" s="49">
        <f>AVERAGE('24.08 Kaliro-Iganga-24h'!J71,'26.08 Kaliro-Iganga-24h'!J71)</f>
        <v>0.5</v>
      </c>
      <c r="K71" s="49">
        <f>AVERAGE('24.08 Kaliro-Iganga-24h'!K71,'26.08 Kaliro-Iganga-24h'!K71)</f>
        <v>1</v>
      </c>
      <c r="L71" s="49">
        <f>AVERAGE('24.08 Kaliro-Iganga-24h'!L71,'26.08 Kaliro-Iganga-24h'!L71)</f>
        <v>0</v>
      </c>
      <c r="M71" s="49">
        <f>AVERAGE('24.08 Kaliro-Iganga-24h'!M71,'26.08 Kaliro-Iganga-24h'!M71)</f>
        <v>32.5</v>
      </c>
      <c r="N71" s="49">
        <f>AVERAGE('24.08 Kaliro-Iganga-24h'!N71,'26.08 Kaliro-Iganga-24h'!N71)</f>
        <v>0</v>
      </c>
      <c r="O71" s="15">
        <f t="shared" si="0"/>
        <v>4</v>
      </c>
      <c r="P71" s="15">
        <f t="shared" si="1"/>
        <v>36.5</v>
      </c>
      <c r="R71" s="8"/>
      <c r="T71"/>
    </row>
    <row r="72" spans="2:20" ht="23.1" customHeight="1" x14ac:dyDescent="0.25">
      <c r="B72" s="23" t="s">
        <v>112</v>
      </c>
      <c r="C72" s="49">
        <f>AVERAGE('24.08 Kaliro-Iganga-24h'!C72,'26.08 Kaliro-Iganga-24h'!C72)</f>
        <v>2</v>
      </c>
      <c r="D72" s="49">
        <f>AVERAGE('24.08 Kaliro-Iganga-24h'!D72,'26.08 Kaliro-Iganga-24h'!D72)</f>
        <v>2</v>
      </c>
      <c r="E72" s="49">
        <f>AVERAGE('24.08 Kaliro-Iganga-24h'!E72,'26.08 Kaliro-Iganga-24h'!E72)</f>
        <v>0</v>
      </c>
      <c r="F72" s="49">
        <f>AVERAGE('24.08 Kaliro-Iganga-24h'!F72,'26.08 Kaliro-Iganga-24h'!F72)</f>
        <v>1.5</v>
      </c>
      <c r="G72" s="49">
        <f>AVERAGE('24.08 Kaliro-Iganga-24h'!G72,'26.08 Kaliro-Iganga-24h'!G72)</f>
        <v>0</v>
      </c>
      <c r="H72" s="49">
        <f>AVERAGE('24.08 Kaliro-Iganga-24h'!H72,'26.08 Kaliro-Iganga-24h'!H72)</f>
        <v>0</v>
      </c>
      <c r="I72" s="49">
        <f>AVERAGE('24.08 Kaliro-Iganga-24h'!I72,'26.08 Kaliro-Iganga-24h'!I72)</f>
        <v>1</v>
      </c>
      <c r="J72" s="49">
        <f>AVERAGE('24.08 Kaliro-Iganga-24h'!J72,'26.08 Kaliro-Iganga-24h'!J72)</f>
        <v>0.5</v>
      </c>
      <c r="K72" s="49">
        <f>AVERAGE('24.08 Kaliro-Iganga-24h'!K72,'26.08 Kaliro-Iganga-24h'!K72)</f>
        <v>0</v>
      </c>
      <c r="L72" s="49">
        <f>AVERAGE('24.08 Kaliro-Iganga-24h'!L72,'26.08 Kaliro-Iganga-24h'!L72)</f>
        <v>0</v>
      </c>
      <c r="M72" s="49">
        <f>AVERAGE('24.08 Kaliro-Iganga-24h'!M72,'26.08 Kaliro-Iganga-24h'!M72)</f>
        <v>31.5</v>
      </c>
      <c r="N72" s="49">
        <f>AVERAGE('24.08 Kaliro-Iganga-24h'!N72,'26.08 Kaliro-Iganga-24h'!N72)</f>
        <v>0</v>
      </c>
      <c r="O72" s="15">
        <f t="shared" si="0"/>
        <v>7</v>
      </c>
      <c r="P72" s="15">
        <f t="shared" si="1"/>
        <v>38.5</v>
      </c>
      <c r="R72" s="8"/>
      <c r="T72"/>
    </row>
    <row r="73" spans="2:20" ht="23.1" customHeight="1" x14ac:dyDescent="0.25">
      <c r="B73" s="23" t="s">
        <v>113</v>
      </c>
      <c r="C73" s="49">
        <f>AVERAGE('24.08 Kaliro-Iganga-24h'!C73,'26.08 Kaliro-Iganga-24h'!C73)</f>
        <v>1</v>
      </c>
      <c r="D73" s="49">
        <f>AVERAGE('24.08 Kaliro-Iganga-24h'!D73,'26.08 Kaliro-Iganga-24h'!D73)</f>
        <v>0.5</v>
      </c>
      <c r="E73" s="49">
        <f>AVERAGE('24.08 Kaliro-Iganga-24h'!E73,'26.08 Kaliro-Iganga-24h'!E73)</f>
        <v>1</v>
      </c>
      <c r="F73" s="49">
        <f>AVERAGE('24.08 Kaliro-Iganga-24h'!F73,'26.08 Kaliro-Iganga-24h'!F73)</f>
        <v>1.5</v>
      </c>
      <c r="G73" s="49">
        <f>AVERAGE('24.08 Kaliro-Iganga-24h'!G73,'26.08 Kaliro-Iganga-24h'!G73)</f>
        <v>0</v>
      </c>
      <c r="H73" s="49">
        <f>AVERAGE('24.08 Kaliro-Iganga-24h'!H73,'26.08 Kaliro-Iganga-24h'!H73)</f>
        <v>0</v>
      </c>
      <c r="I73" s="49">
        <f>AVERAGE('24.08 Kaliro-Iganga-24h'!I73,'26.08 Kaliro-Iganga-24h'!I73)</f>
        <v>0</v>
      </c>
      <c r="J73" s="49">
        <f>AVERAGE('24.08 Kaliro-Iganga-24h'!J73,'26.08 Kaliro-Iganga-24h'!J73)</f>
        <v>1.5</v>
      </c>
      <c r="K73" s="49">
        <f>AVERAGE('24.08 Kaliro-Iganga-24h'!K73,'26.08 Kaliro-Iganga-24h'!K73)</f>
        <v>0</v>
      </c>
      <c r="L73" s="49">
        <f>AVERAGE('24.08 Kaliro-Iganga-24h'!L73,'26.08 Kaliro-Iganga-24h'!L73)</f>
        <v>0</v>
      </c>
      <c r="M73" s="49">
        <f>AVERAGE('24.08 Kaliro-Iganga-24h'!M73,'26.08 Kaliro-Iganga-24h'!M73)</f>
        <v>30.5</v>
      </c>
      <c r="N73" s="49">
        <f>AVERAGE('24.08 Kaliro-Iganga-24h'!N73,'26.08 Kaliro-Iganga-24h'!N73)</f>
        <v>0</v>
      </c>
      <c r="O73" s="15">
        <f t="shared" si="0"/>
        <v>5.5</v>
      </c>
      <c r="P73" s="15">
        <f t="shared" si="1"/>
        <v>36</v>
      </c>
      <c r="R73" s="8"/>
      <c r="T73"/>
    </row>
    <row r="74" spans="2:20" ht="23.1" customHeight="1" x14ac:dyDescent="0.25">
      <c r="B74" s="23" t="s">
        <v>114</v>
      </c>
      <c r="C74" s="49">
        <f>AVERAGE('24.08 Kaliro-Iganga-24h'!C74,'26.08 Kaliro-Iganga-24h'!C74)</f>
        <v>1</v>
      </c>
      <c r="D74" s="49">
        <f>AVERAGE('24.08 Kaliro-Iganga-24h'!D74,'26.08 Kaliro-Iganga-24h'!D74)</f>
        <v>0.5</v>
      </c>
      <c r="E74" s="49">
        <f>AVERAGE('24.08 Kaliro-Iganga-24h'!E74,'26.08 Kaliro-Iganga-24h'!E74)</f>
        <v>0</v>
      </c>
      <c r="F74" s="49">
        <f>AVERAGE('24.08 Kaliro-Iganga-24h'!F74,'26.08 Kaliro-Iganga-24h'!F74)</f>
        <v>0.5</v>
      </c>
      <c r="G74" s="49">
        <f>AVERAGE('24.08 Kaliro-Iganga-24h'!G74,'26.08 Kaliro-Iganga-24h'!G74)</f>
        <v>0</v>
      </c>
      <c r="H74" s="49">
        <f>AVERAGE('24.08 Kaliro-Iganga-24h'!H74,'26.08 Kaliro-Iganga-24h'!H74)</f>
        <v>0</v>
      </c>
      <c r="I74" s="49">
        <f>AVERAGE('24.08 Kaliro-Iganga-24h'!I74,'26.08 Kaliro-Iganga-24h'!I74)</f>
        <v>1</v>
      </c>
      <c r="J74" s="49">
        <f>AVERAGE('24.08 Kaliro-Iganga-24h'!J74,'26.08 Kaliro-Iganga-24h'!J74)</f>
        <v>0</v>
      </c>
      <c r="K74" s="49">
        <f>AVERAGE('24.08 Kaliro-Iganga-24h'!K74,'26.08 Kaliro-Iganga-24h'!K74)</f>
        <v>0</v>
      </c>
      <c r="L74" s="49">
        <f>AVERAGE('24.08 Kaliro-Iganga-24h'!L74,'26.08 Kaliro-Iganga-24h'!L74)</f>
        <v>0</v>
      </c>
      <c r="M74" s="49">
        <f>AVERAGE('24.08 Kaliro-Iganga-24h'!M74,'26.08 Kaliro-Iganga-24h'!M74)</f>
        <v>46.5</v>
      </c>
      <c r="N74" s="49">
        <f>AVERAGE('24.08 Kaliro-Iganga-24h'!N74,'26.08 Kaliro-Iganga-24h'!N74)</f>
        <v>0</v>
      </c>
      <c r="O74" s="15">
        <f t="shared" ref="O74:O105" si="35">SUM(C74:L74,N74)</f>
        <v>3</v>
      </c>
      <c r="P74" s="15">
        <f t="shared" ref="P74:P105" si="36">SUM(C74:N74)</f>
        <v>49.5</v>
      </c>
      <c r="R74" s="8"/>
      <c r="T74"/>
    </row>
    <row r="75" spans="2:20" ht="23.1" customHeight="1" x14ac:dyDescent="0.25">
      <c r="B75" s="23" t="s">
        <v>115</v>
      </c>
      <c r="C75" s="49">
        <f>AVERAGE('24.08 Kaliro-Iganga-24h'!C75,'26.08 Kaliro-Iganga-24h'!C75)</f>
        <v>0</v>
      </c>
      <c r="D75" s="49">
        <f>AVERAGE('24.08 Kaliro-Iganga-24h'!D75,'26.08 Kaliro-Iganga-24h'!D75)</f>
        <v>0.5</v>
      </c>
      <c r="E75" s="49">
        <f>AVERAGE('24.08 Kaliro-Iganga-24h'!E75,'26.08 Kaliro-Iganga-24h'!E75)</f>
        <v>1</v>
      </c>
      <c r="F75" s="49">
        <f>AVERAGE('24.08 Kaliro-Iganga-24h'!F75,'26.08 Kaliro-Iganga-24h'!F75)</f>
        <v>0.5</v>
      </c>
      <c r="G75" s="49">
        <f>AVERAGE('24.08 Kaliro-Iganga-24h'!G75,'26.08 Kaliro-Iganga-24h'!G75)</f>
        <v>0</v>
      </c>
      <c r="H75" s="49">
        <f>AVERAGE('24.08 Kaliro-Iganga-24h'!H75,'26.08 Kaliro-Iganga-24h'!H75)</f>
        <v>0</v>
      </c>
      <c r="I75" s="49">
        <f>AVERAGE('24.08 Kaliro-Iganga-24h'!I75,'26.08 Kaliro-Iganga-24h'!I75)</f>
        <v>0</v>
      </c>
      <c r="J75" s="49">
        <f>AVERAGE('24.08 Kaliro-Iganga-24h'!J75,'26.08 Kaliro-Iganga-24h'!J75)</f>
        <v>1.5</v>
      </c>
      <c r="K75" s="49">
        <f>AVERAGE('24.08 Kaliro-Iganga-24h'!K75,'26.08 Kaliro-Iganga-24h'!K75)</f>
        <v>0</v>
      </c>
      <c r="L75" s="49">
        <f>AVERAGE('24.08 Kaliro-Iganga-24h'!L75,'26.08 Kaliro-Iganga-24h'!L75)</f>
        <v>0</v>
      </c>
      <c r="M75" s="49">
        <f>AVERAGE('24.08 Kaliro-Iganga-24h'!M75,'26.08 Kaliro-Iganga-24h'!M75)</f>
        <v>26</v>
      </c>
      <c r="N75" s="49">
        <f>AVERAGE('24.08 Kaliro-Iganga-24h'!N75,'26.08 Kaliro-Iganga-24h'!N75)</f>
        <v>0</v>
      </c>
      <c r="O75" s="15">
        <f t="shared" si="35"/>
        <v>3.5</v>
      </c>
      <c r="P75" s="15">
        <f t="shared" si="36"/>
        <v>29.5</v>
      </c>
      <c r="R75" s="8"/>
      <c r="T75"/>
    </row>
    <row r="76" spans="2:20" ht="23.1" customHeight="1" x14ac:dyDescent="0.25">
      <c r="B76" s="23" t="s">
        <v>116</v>
      </c>
      <c r="C76" s="49">
        <f>AVERAGE('24.08 Kaliro-Iganga-24h'!C76,'26.08 Kaliro-Iganga-24h'!C76)</f>
        <v>0</v>
      </c>
      <c r="D76" s="49">
        <f>AVERAGE('24.08 Kaliro-Iganga-24h'!D76,'26.08 Kaliro-Iganga-24h'!D76)</f>
        <v>0</v>
      </c>
      <c r="E76" s="49">
        <f>AVERAGE('24.08 Kaliro-Iganga-24h'!E76,'26.08 Kaliro-Iganga-24h'!E76)</f>
        <v>0</v>
      </c>
      <c r="F76" s="49">
        <f>AVERAGE('24.08 Kaliro-Iganga-24h'!F76,'26.08 Kaliro-Iganga-24h'!F76)</f>
        <v>0</v>
      </c>
      <c r="G76" s="49">
        <f>AVERAGE('24.08 Kaliro-Iganga-24h'!G76,'26.08 Kaliro-Iganga-24h'!G76)</f>
        <v>0</v>
      </c>
      <c r="H76" s="49">
        <f>AVERAGE('24.08 Kaliro-Iganga-24h'!H76,'26.08 Kaliro-Iganga-24h'!H76)</f>
        <v>0</v>
      </c>
      <c r="I76" s="49">
        <f>AVERAGE('24.08 Kaliro-Iganga-24h'!I76,'26.08 Kaliro-Iganga-24h'!I76)</f>
        <v>2</v>
      </c>
      <c r="J76" s="49">
        <f>AVERAGE('24.08 Kaliro-Iganga-24h'!J76,'26.08 Kaliro-Iganga-24h'!J76)</f>
        <v>0</v>
      </c>
      <c r="K76" s="49">
        <f>AVERAGE('24.08 Kaliro-Iganga-24h'!K76,'26.08 Kaliro-Iganga-24h'!K76)</f>
        <v>1</v>
      </c>
      <c r="L76" s="49">
        <f>AVERAGE('24.08 Kaliro-Iganga-24h'!L76,'26.08 Kaliro-Iganga-24h'!L76)</f>
        <v>0.5</v>
      </c>
      <c r="M76" s="49">
        <f>AVERAGE('24.08 Kaliro-Iganga-24h'!M76,'26.08 Kaliro-Iganga-24h'!M76)</f>
        <v>26.5</v>
      </c>
      <c r="N76" s="49">
        <f>AVERAGE('24.08 Kaliro-Iganga-24h'!N76,'26.08 Kaliro-Iganga-24h'!N76)</f>
        <v>0</v>
      </c>
      <c r="O76" s="15">
        <f t="shared" si="35"/>
        <v>3.5</v>
      </c>
      <c r="P76" s="15">
        <f t="shared" si="36"/>
        <v>30</v>
      </c>
      <c r="R76" s="8"/>
      <c r="T76"/>
    </row>
    <row r="77" spans="2:20" ht="23.1" customHeight="1" x14ac:dyDescent="0.25">
      <c r="B77" s="23" t="s">
        <v>117</v>
      </c>
      <c r="C77" s="49">
        <f>AVERAGE('24.08 Kaliro-Iganga-24h'!C77,'26.08 Kaliro-Iganga-24h'!C77)</f>
        <v>1</v>
      </c>
      <c r="D77" s="49">
        <f>AVERAGE('24.08 Kaliro-Iganga-24h'!D77,'26.08 Kaliro-Iganga-24h'!D77)</f>
        <v>0</v>
      </c>
      <c r="E77" s="49">
        <f>AVERAGE('24.08 Kaliro-Iganga-24h'!E77,'26.08 Kaliro-Iganga-24h'!E77)</f>
        <v>1.5</v>
      </c>
      <c r="F77" s="49">
        <f>AVERAGE('24.08 Kaliro-Iganga-24h'!F77,'26.08 Kaliro-Iganga-24h'!F77)</f>
        <v>0</v>
      </c>
      <c r="G77" s="49">
        <f>AVERAGE('24.08 Kaliro-Iganga-24h'!G77,'26.08 Kaliro-Iganga-24h'!G77)</f>
        <v>0</v>
      </c>
      <c r="H77" s="49">
        <f>AVERAGE('24.08 Kaliro-Iganga-24h'!H77,'26.08 Kaliro-Iganga-24h'!H77)</f>
        <v>0</v>
      </c>
      <c r="I77" s="49">
        <f>AVERAGE('24.08 Kaliro-Iganga-24h'!I77,'26.08 Kaliro-Iganga-24h'!I77)</f>
        <v>0.5</v>
      </c>
      <c r="J77" s="49">
        <f>AVERAGE('24.08 Kaliro-Iganga-24h'!J77,'26.08 Kaliro-Iganga-24h'!J77)</f>
        <v>0.5</v>
      </c>
      <c r="K77" s="49">
        <f>AVERAGE('24.08 Kaliro-Iganga-24h'!K77,'26.08 Kaliro-Iganga-24h'!K77)</f>
        <v>0</v>
      </c>
      <c r="L77" s="49">
        <f>AVERAGE('24.08 Kaliro-Iganga-24h'!L77,'26.08 Kaliro-Iganga-24h'!L77)</f>
        <v>0</v>
      </c>
      <c r="M77" s="49">
        <f>AVERAGE('24.08 Kaliro-Iganga-24h'!M77,'26.08 Kaliro-Iganga-24h'!M77)</f>
        <v>26</v>
      </c>
      <c r="N77" s="49">
        <f>AVERAGE('24.08 Kaliro-Iganga-24h'!N77,'26.08 Kaliro-Iganga-24h'!N77)</f>
        <v>0</v>
      </c>
      <c r="O77" s="15">
        <f t="shared" si="35"/>
        <v>3.5</v>
      </c>
      <c r="P77" s="15">
        <f t="shared" si="36"/>
        <v>29.5</v>
      </c>
      <c r="R77" s="8"/>
      <c r="T77"/>
    </row>
    <row r="78" spans="2:20" ht="23.1" customHeight="1" x14ac:dyDescent="0.25">
      <c r="B78" s="24" t="s">
        <v>118</v>
      </c>
      <c r="C78" s="49">
        <f>AVERAGE('24.08 Kaliro-Iganga-24h'!C78,'26.08 Kaliro-Iganga-24h'!C78)</f>
        <v>0.5</v>
      </c>
      <c r="D78" s="49">
        <f>AVERAGE('24.08 Kaliro-Iganga-24h'!D78,'26.08 Kaliro-Iganga-24h'!D78)</f>
        <v>0</v>
      </c>
      <c r="E78" s="49">
        <f>AVERAGE('24.08 Kaliro-Iganga-24h'!E78,'26.08 Kaliro-Iganga-24h'!E78)</f>
        <v>0</v>
      </c>
      <c r="F78" s="49">
        <f>AVERAGE('24.08 Kaliro-Iganga-24h'!F78,'26.08 Kaliro-Iganga-24h'!F78)</f>
        <v>0</v>
      </c>
      <c r="G78" s="49">
        <f>AVERAGE('24.08 Kaliro-Iganga-24h'!G78,'26.08 Kaliro-Iganga-24h'!G78)</f>
        <v>0</v>
      </c>
      <c r="H78" s="49">
        <f>AVERAGE('24.08 Kaliro-Iganga-24h'!H78,'26.08 Kaliro-Iganga-24h'!H78)</f>
        <v>0</v>
      </c>
      <c r="I78" s="49">
        <f>AVERAGE('24.08 Kaliro-Iganga-24h'!I78,'26.08 Kaliro-Iganga-24h'!I78)</f>
        <v>0</v>
      </c>
      <c r="J78" s="49">
        <f>AVERAGE('24.08 Kaliro-Iganga-24h'!J78,'26.08 Kaliro-Iganga-24h'!J78)</f>
        <v>0.5</v>
      </c>
      <c r="K78" s="49">
        <f>AVERAGE('24.08 Kaliro-Iganga-24h'!K78,'26.08 Kaliro-Iganga-24h'!K78)</f>
        <v>0</v>
      </c>
      <c r="L78" s="49">
        <f>AVERAGE('24.08 Kaliro-Iganga-24h'!L78,'26.08 Kaliro-Iganga-24h'!L78)</f>
        <v>0</v>
      </c>
      <c r="M78" s="49">
        <f>AVERAGE('24.08 Kaliro-Iganga-24h'!M78,'26.08 Kaliro-Iganga-24h'!M78)</f>
        <v>19</v>
      </c>
      <c r="N78" s="49">
        <f>AVERAGE('24.08 Kaliro-Iganga-24h'!N78,'26.08 Kaliro-Iganga-24h'!N78)</f>
        <v>0</v>
      </c>
      <c r="O78" s="15">
        <f t="shared" si="35"/>
        <v>1</v>
      </c>
      <c r="P78" s="15">
        <f t="shared" si="36"/>
        <v>20</v>
      </c>
      <c r="R78" s="8"/>
      <c r="T78"/>
    </row>
    <row r="79" spans="2:20" ht="23.1" customHeight="1" x14ac:dyDescent="0.25">
      <c r="B79" s="23" t="s">
        <v>119</v>
      </c>
      <c r="C79" s="49">
        <f>AVERAGE('24.08 Kaliro-Iganga-24h'!C79,'26.08 Kaliro-Iganga-24h'!C79)</f>
        <v>0</v>
      </c>
      <c r="D79" s="49">
        <f>AVERAGE('24.08 Kaliro-Iganga-24h'!D79,'26.08 Kaliro-Iganga-24h'!D79)</f>
        <v>0.5</v>
      </c>
      <c r="E79" s="49">
        <f>AVERAGE('24.08 Kaliro-Iganga-24h'!E79,'26.08 Kaliro-Iganga-24h'!E79)</f>
        <v>0</v>
      </c>
      <c r="F79" s="49">
        <f>AVERAGE('24.08 Kaliro-Iganga-24h'!F79,'26.08 Kaliro-Iganga-24h'!F79)</f>
        <v>0.5</v>
      </c>
      <c r="G79" s="49">
        <f>AVERAGE('24.08 Kaliro-Iganga-24h'!G79,'26.08 Kaliro-Iganga-24h'!G79)</f>
        <v>0</v>
      </c>
      <c r="H79" s="49">
        <f>AVERAGE('24.08 Kaliro-Iganga-24h'!H79,'26.08 Kaliro-Iganga-24h'!H79)</f>
        <v>0</v>
      </c>
      <c r="I79" s="49">
        <f>AVERAGE('24.08 Kaliro-Iganga-24h'!I79,'26.08 Kaliro-Iganga-24h'!I79)</f>
        <v>0</v>
      </c>
      <c r="J79" s="49">
        <f>AVERAGE('24.08 Kaliro-Iganga-24h'!J79,'26.08 Kaliro-Iganga-24h'!J79)</f>
        <v>0</v>
      </c>
      <c r="K79" s="49">
        <f>AVERAGE('24.08 Kaliro-Iganga-24h'!K79,'26.08 Kaliro-Iganga-24h'!K79)</f>
        <v>0</v>
      </c>
      <c r="L79" s="49">
        <f>AVERAGE('24.08 Kaliro-Iganga-24h'!L79,'26.08 Kaliro-Iganga-24h'!L79)</f>
        <v>0</v>
      </c>
      <c r="M79" s="49">
        <f>AVERAGE('24.08 Kaliro-Iganga-24h'!M79,'26.08 Kaliro-Iganga-24h'!M79)</f>
        <v>18</v>
      </c>
      <c r="N79" s="49">
        <f>AVERAGE('24.08 Kaliro-Iganga-24h'!N79,'26.08 Kaliro-Iganga-24h'!N79)</f>
        <v>0</v>
      </c>
      <c r="O79" s="15">
        <f t="shared" si="35"/>
        <v>1</v>
      </c>
      <c r="P79" s="15">
        <f t="shared" si="36"/>
        <v>19</v>
      </c>
      <c r="R79" s="8"/>
      <c r="T79"/>
    </row>
    <row r="80" spans="2:20" ht="23.1" customHeight="1" x14ac:dyDescent="0.25">
      <c r="B80" s="25" t="s">
        <v>120</v>
      </c>
      <c r="C80" s="49">
        <f>AVERAGE('24.08 Kaliro-Iganga-24h'!C80,'26.08 Kaliro-Iganga-24h'!C80)</f>
        <v>0.5</v>
      </c>
      <c r="D80" s="49">
        <f>AVERAGE('24.08 Kaliro-Iganga-24h'!D80,'26.08 Kaliro-Iganga-24h'!D80)</f>
        <v>0</v>
      </c>
      <c r="E80" s="49">
        <f>AVERAGE('24.08 Kaliro-Iganga-24h'!E80,'26.08 Kaliro-Iganga-24h'!E80)</f>
        <v>0.5</v>
      </c>
      <c r="F80" s="49">
        <f>AVERAGE('24.08 Kaliro-Iganga-24h'!F80,'26.08 Kaliro-Iganga-24h'!F80)</f>
        <v>0</v>
      </c>
      <c r="G80" s="49">
        <f>AVERAGE('24.08 Kaliro-Iganga-24h'!G80,'26.08 Kaliro-Iganga-24h'!G80)</f>
        <v>0</v>
      </c>
      <c r="H80" s="49">
        <f>AVERAGE('24.08 Kaliro-Iganga-24h'!H80,'26.08 Kaliro-Iganga-24h'!H80)</f>
        <v>0</v>
      </c>
      <c r="I80" s="49">
        <f>AVERAGE('24.08 Kaliro-Iganga-24h'!I80,'26.08 Kaliro-Iganga-24h'!I80)</f>
        <v>0.5</v>
      </c>
      <c r="J80" s="49">
        <f>AVERAGE('24.08 Kaliro-Iganga-24h'!J80,'26.08 Kaliro-Iganga-24h'!J80)</f>
        <v>0</v>
      </c>
      <c r="K80" s="49">
        <f>AVERAGE('24.08 Kaliro-Iganga-24h'!K80,'26.08 Kaliro-Iganga-24h'!K80)</f>
        <v>0</v>
      </c>
      <c r="L80" s="49">
        <f>AVERAGE('24.08 Kaliro-Iganga-24h'!L80,'26.08 Kaliro-Iganga-24h'!L80)</f>
        <v>0</v>
      </c>
      <c r="M80" s="49">
        <f>AVERAGE('24.08 Kaliro-Iganga-24h'!M80,'26.08 Kaliro-Iganga-24h'!M80)</f>
        <v>14.5</v>
      </c>
      <c r="N80" s="49">
        <f>AVERAGE('24.08 Kaliro-Iganga-24h'!N80,'26.08 Kaliro-Iganga-24h'!N80)</f>
        <v>0</v>
      </c>
      <c r="O80" s="15">
        <f t="shared" si="35"/>
        <v>1.5</v>
      </c>
      <c r="P80" s="15">
        <f t="shared" si="36"/>
        <v>16</v>
      </c>
      <c r="R80" s="8"/>
      <c r="T80"/>
    </row>
    <row r="81" spans="2:20" ht="23.1" customHeight="1" x14ac:dyDescent="0.25">
      <c r="B81" s="23" t="s">
        <v>121</v>
      </c>
      <c r="C81" s="49">
        <f>AVERAGE('24.08 Kaliro-Iganga-24h'!C81,'26.08 Kaliro-Iganga-24h'!C81)</f>
        <v>1</v>
      </c>
      <c r="D81" s="49">
        <f>AVERAGE('24.08 Kaliro-Iganga-24h'!D81,'26.08 Kaliro-Iganga-24h'!D81)</f>
        <v>0.5</v>
      </c>
      <c r="E81" s="49">
        <f>AVERAGE('24.08 Kaliro-Iganga-24h'!E81,'26.08 Kaliro-Iganga-24h'!E81)</f>
        <v>1</v>
      </c>
      <c r="F81" s="49">
        <f>AVERAGE('24.08 Kaliro-Iganga-24h'!F81,'26.08 Kaliro-Iganga-24h'!F81)</f>
        <v>0</v>
      </c>
      <c r="G81" s="49">
        <f>AVERAGE('24.08 Kaliro-Iganga-24h'!G81,'26.08 Kaliro-Iganga-24h'!G81)</f>
        <v>0</v>
      </c>
      <c r="H81" s="49">
        <f>AVERAGE('24.08 Kaliro-Iganga-24h'!H81,'26.08 Kaliro-Iganga-24h'!H81)</f>
        <v>0</v>
      </c>
      <c r="I81" s="49">
        <f>AVERAGE('24.08 Kaliro-Iganga-24h'!I81,'26.08 Kaliro-Iganga-24h'!I81)</f>
        <v>0.5</v>
      </c>
      <c r="J81" s="49">
        <f>AVERAGE('24.08 Kaliro-Iganga-24h'!J81,'26.08 Kaliro-Iganga-24h'!J81)</f>
        <v>1.5</v>
      </c>
      <c r="K81" s="49">
        <f>AVERAGE('24.08 Kaliro-Iganga-24h'!K81,'26.08 Kaliro-Iganga-24h'!K81)</f>
        <v>1</v>
      </c>
      <c r="L81" s="49">
        <f>AVERAGE('24.08 Kaliro-Iganga-24h'!L81,'26.08 Kaliro-Iganga-24h'!L81)</f>
        <v>0</v>
      </c>
      <c r="M81" s="49">
        <f>AVERAGE('24.08 Kaliro-Iganga-24h'!M81,'26.08 Kaliro-Iganga-24h'!M81)</f>
        <v>10</v>
      </c>
      <c r="N81" s="49">
        <f>AVERAGE('24.08 Kaliro-Iganga-24h'!N81,'26.08 Kaliro-Iganga-24h'!N81)</f>
        <v>0</v>
      </c>
      <c r="O81" s="15">
        <f t="shared" si="35"/>
        <v>5.5</v>
      </c>
      <c r="P81" s="15">
        <f t="shared" si="36"/>
        <v>15.5</v>
      </c>
      <c r="R81" s="8"/>
      <c r="T81"/>
    </row>
    <row r="82" spans="2:20" ht="23.1" customHeight="1" x14ac:dyDescent="0.25">
      <c r="B82" s="24" t="s">
        <v>122</v>
      </c>
      <c r="C82" s="49">
        <f>AVERAGE('24.08 Kaliro-Iganga-24h'!C82,'26.08 Kaliro-Iganga-24h'!C82)</f>
        <v>0.5</v>
      </c>
      <c r="D82" s="49">
        <f>AVERAGE('24.08 Kaliro-Iganga-24h'!D82,'26.08 Kaliro-Iganga-24h'!D82)</f>
        <v>0</v>
      </c>
      <c r="E82" s="49">
        <f>AVERAGE('24.08 Kaliro-Iganga-24h'!E82,'26.08 Kaliro-Iganga-24h'!E82)</f>
        <v>0</v>
      </c>
      <c r="F82" s="49">
        <f>AVERAGE('24.08 Kaliro-Iganga-24h'!F82,'26.08 Kaliro-Iganga-24h'!F82)</f>
        <v>0</v>
      </c>
      <c r="G82" s="49">
        <f>AVERAGE('24.08 Kaliro-Iganga-24h'!G82,'26.08 Kaliro-Iganga-24h'!G82)</f>
        <v>0</v>
      </c>
      <c r="H82" s="49">
        <f>AVERAGE('24.08 Kaliro-Iganga-24h'!H82,'26.08 Kaliro-Iganga-24h'!H82)</f>
        <v>0</v>
      </c>
      <c r="I82" s="49">
        <f>AVERAGE('24.08 Kaliro-Iganga-24h'!I82,'26.08 Kaliro-Iganga-24h'!I82)</f>
        <v>1</v>
      </c>
      <c r="J82" s="49">
        <f>AVERAGE('24.08 Kaliro-Iganga-24h'!J82,'26.08 Kaliro-Iganga-24h'!J82)</f>
        <v>0</v>
      </c>
      <c r="K82" s="49">
        <f>AVERAGE('24.08 Kaliro-Iganga-24h'!K82,'26.08 Kaliro-Iganga-24h'!K82)</f>
        <v>0</v>
      </c>
      <c r="L82" s="49">
        <f>AVERAGE('24.08 Kaliro-Iganga-24h'!L82,'26.08 Kaliro-Iganga-24h'!L82)</f>
        <v>0</v>
      </c>
      <c r="M82" s="49">
        <f>AVERAGE('24.08 Kaliro-Iganga-24h'!M82,'26.08 Kaliro-Iganga-24h'!M82)</f>
        <v>6.5</v>
      </c>
      <c r="N82" s="49">
        <f>AVERAGE('24.08 Kaliro-Iganga-24h'!N82,'26.08 Kaliro-Iganga-24h'!N82)</f>
        <v>0</v>
      </c>
      <c r="O82" s="15">
        <f t="shared" si="35"/>
        <v>1.5</v>
      </c>
      <c r="P82" s="15">
        <f t="shared" si="36"/>
        <v>8</v>
      </c>
      <c r="R82" s="8"/>
      <c r="T82"/>
    </row>
    <row r="83" spans="2:20" ht="23.1" customHeight="1" x14ac:dyDescent="0.25">
      <c r="B83" s="23" t="s">
        <v>123</v>
      </c>
      <c r="C83" s="49">
        <f>AVERAGE('24.08 Kaliro-Iganga-24h'!C83,'26.08 Kaliro-Iganga-24h'!C83)</f>
        <v>0</v>
      </c>
      <c r="D83" s="49">
        <f>AVERAGE('24.08 Kaliro-Iganga-24h'!D83,'26.08 Kaliro-Iganga-24h'!D83)</f>
        <v>1</v>
      </c>
      <c r="E83" s="49">
        <f>AVERAGE('24.08 Kaliro-Iganga-24h'!E83,'26.08 Kaliro-Iganga-24h'!E83)</f>
        <v>0.5</v>
      </c>
      <c r="F83" s="49">
        <f>AVERAGE('24.08 Kaliro-Iganga-24h'!F83,'26.08 Kaliro-Iganga-24h'!F83)</f>
        <v>0</v>
      </c>
      <c r="G83" s="49">
        <f>AVERAGE('24.08 Kaliro-Iganga-24h'!G83,'26.08 Kaliro-Iganga-24h'!G83)</f>
        <v>0</v>
      </c>
      <c r="H83" s="49">
        <f>AVERAGE('24.08 Kaliro-Iganga-24h'!H83,'26.08 Kaliro-Iganga-24h'!H83)</f>
        <v>0</v>
      </c>
      <c r="I83" s="49">
        <f>AVERAGE('24.08 Kaliro-Iganga-24h'!I83,'26.08 Kaliro-Iganga-24h'!I83)</f>
        <v>0</v>
      </c>
      <c r="J83" s="49">
        <f>AVERAGE('24.08 Kaliro-Iganga-24h'!J83,'26.08 Kaliro-Iganga-24h'!J83)</f>
        <v>1.5</v>
      </c>
      <c r="K83" s="49">
        <f>AVERAGE('24.08 Kaliro-Iganga-24h'!K83,'26.08 Kaliro-Iganga-24h'!K83)</f>
        <v>0</v>
      </c>
      <c r="L83" s="49">
        <f>AVERAGE('24.08 Kaliro-Iganga-24h'!L83,'26.08 Kaliro-Iganga-24h'!L83)</f>
        <v>0</v>
      </c>
      <c r="M83" s="49">
        <f>AVERAGE('24.08 Kaliro-Iganga-24h'!M83,'26.08 Kaliro-Iganga-24h'!M83)</f>
        <v>1.5</v>
      </c>
      <c r="N83" s="49">
        <f>AVERAGE('24.08 Kaliro-Iganga-24h'!N83,'26.08 Kaliro-Iganga-24h'!N83)</f>
        <v>0</v>
      </c>
      <c r="O83" s="15">
        <f t="shared" si="35"/>
        <v>3</v>
      </c>
      <c r="P83" s="15">
        <f t="shared" si="36"/>
        <v>4.5</v>
      </c>
      <c r="R83" s="8"/>
      <c r="T83"/>
    </row>
    <row r="84" spans="2:20" ht="23.1" customHeight="1" x14ac:dyDescent="0.25">
      <c r="B84" s="25" t="s">
        <v>124</v>
      </c>
      <c r="C84" s="49">
        <f>AVERAGE('24.08 Kaliro-Iganga-24h'!C84,'26.08 Kaliro-Iganga-24h'!C84)</f>
        <v>0</v>
      </c>
      <c r="D84" s="49">
        <f>AVERAGE('24.08 Kaliro-Iganga-24h'!D84,'26.08 Kaliro-Iganga-24h'!D84)</f>
        <v>0</v>
      </c>
      <c r="E84" s="49">
        <f>AVERAGE('24.08 Kaliro-Iganga-24h'!E84,'26.08 Kaliro-Iganga-24h'!E84)</f>
        <v>0</v>
      </c>
      <c r="F84" s="49">
        <f>AVERAGE('24.08 Kaliro-Iganga-24h'!F84,'26.08 Kaliro-Iganga-24h'!F84)</f>
        <v>0</v>
      </c>
      <c r="G84" s="49">
        <f>AVERAGE('24.08 Kaliro-Iganga-24h'!G84,'26.08 Kaliro-Iganga-24h'!G84)</f>
        <v>0</v>
      </c>
      <c r="H84" s="49">
        <f>AVERAGE('24.08 Kaliro-Iganga-24h'!H84,'26.08 Kaliro-Iganga-24h'!H84)</f>
        <v>0</v>
      </c>
      <c r="I84" s="49">
        <f>AVERAGE('24.08 Kaliro-Iganga-24h'!I84,'26.08 Kaliro-Iganga-24h'!I84)</f>
        <v>0</v>
      </c>
      <c r="J84" s="49">
        <f>AVERAGE('24.08 Kaliro-Iganga-24h'!J84,'26.08 Kaliro-Iganga-24h'!J84)</f>
        <v>0</v>
      </c>
      <c r="K84" s="49">
        <f>AVERAGE('24.08 Kaliro-Iganga-24h'!K84,'26.08 Kaliro-Iganga-24h'!K84)</f>
        <v>0</v>
      </c>
      <c r="L84" s="49">
        <f>AVERAGE('24.08 Kaliro-Iganga-24h'!L84,'26.08 Kaliro-Iganga-24h'!L84)</f>
        <v>0</v>
      </c>
      <c r="M84" s="49">
        <f>AVERAGE('24.08 Kaliro-Iganga-24h'!M84,'26.08 Kaliro-Iganga-24h'!M84)</f>
        <v>1.5</v>
      </c>
      <c r="N84" s="49">
        <f>AVERAGE('24.08 Kaliro-Iganga-24h'!N84,'26.08 Kaliro-Iganga-24h'!N84)</f>
        <v>0</v>
      </c>
      <c r="O84" s="15">
        <f t="shared" si="35"/>
        <v>0</v>
      </c>
      <c r="P84" s="15">
        <f t="shared" si="36"/>
        <v>1.5</v>
      </c>
      <c r="R84" s="8"/>
      <c r="T84"/>
    </row>
    <row r="85" spans="2:20" ht="23.1" customHeight="1" x14ac:dyDescent="0.25">
      <c r="B85" s="23" t="s">
        <v>125</v>
      </c>
      <c r="C85" s="49">
        <f>AVERAGE('24.08 Kaliro-Iganga-24h'!C85,'26.08 Kaliro-Iganga-24h'!C85)</f>
        <v>0</v>
      </c>
      <c r="D85" s="49">
        <f>AVERAGE('24.08 Kaliro-Iganga-24h'!D85,'26.08 Kaliro-Iganga-24h'!D85)</f>
        <v>0</v>
      </c>
      <c r="E85" s="49">
        <f>AVERAGE('24.08 Kaliro-Iganga-24h'!E85,'26.08 Kaliro-Iganga-24h'!E85)</f>
        <v>0</v>
      </c>
      <c r="F85" s="49">
        <f>AVERAGE('24.08 Kaliro-Iganga-24h'!F85,'26.08 Kaliro-Iganga-24h'!F85)</f>
        <v>0</v>
      </c>
      <c r="G85" s="49">
        <f>AVERAGE('24.08 Kaliro-Iganga-24h'!G85,'26.08 Kaliro-Iganga-24h'!G85)</f>
        <v>0</v>
      </c>
      <c r="H85" s="49">
        <f>AVERAGE('24.08 Kaliro-Iganga-24h'!H85,'26.08 Kaliro-Iganga-24h'!H85)</f>
        <v>0</v>
      </c>
      <c r="I85" s="49">
        <f>AVERAGE('24.08 Kaliro-Iganga-24h'!I85,'26.08 Kaliro-Iganga-24h'!I85)</f>
        <v>1</v>
      </c>
      <c r="J85" s="49">
        <f>AVERAGE('24.08 Kaliro-Iganga-24h'!J85,'26.08 Kaliro-Iganga-24h'!J85)</f>
        <v>0</v>
      </c>
      <c r="K85" s="49">
        <f>AVERAGE('24.08 Kaliro-Iganga-24h'!K85,'26.08 Kaliro-Iganga-24h'!K85)</f>
        <v>0.5</v>
      </c>
      <c r="L85" s="49">
        <f>AVERAGE('24.08 Kaliro-Iganga-24h'!L85,'26.08 Kaliro-Iganga-24h'!L85)</f>
        <v>0</v>
      </c>
      <c r="M85" s="49">
        <f>AVERAGE('24.08 Kaliro-Iganga-24h'!M85,'26.08 Kaliro-Iganga-24h'!M85)</f>
        <v>0</v>
      </c>
      <c r="N85" s="49">
        <f>AVERAGE('24.08 Kaliro-Iganga-24h'!N85,'26.08 Kaliro-Iganga-24h'!N85)</f>
        <v>0</v>
      </c>
      <c r="O85" s="15">
        <f t="shared" si="35"/>
        <v>1.5</v>
      </c>
      <c r="P85" s="15">
        <f t="shared" si="36"/>
        <v>1.5</v>
      </c>
      <c r="R85" s="8"/>
      <c r="T85"/>
    </row>
    <row r="86" spans="2:20" ht="23.1" customHeight="1" x14ac:dyDescent="0.25">
      <c r="B86" s="24" t="s">
        <v>126</v>
      </c>
      <c r="C86" s="49">
        <f>AVERAGE('24.08 Kaliro-Iganga-24h'!C86,'26.08 Kaliro-Iganga-24h'!C86)</f>
        <v>0.5</v>
      </c>
      <c r="D86" s="49">
        <f>AVERAGE('24.08 Kaliro-Iganga-24h'!D86,'26.08 Kaliro-Iganga-24h'!D86)</f>
        <v>0.5</v>
      </c>
      <c r="E86" s="49">
        <f>AVERAGE('24.08 Kaliro-Iganga-24h'!E86,'26.08 Kaliro-Iganga-24h'!E86)</f>
        <v>0</v>
      </c>
      <c r="F86" s="49">
        <f>AVERAGE('24.08 Kaliro-Iganga-24h'!F86,'26.08 Kaliro-Iganga-24h'!F86)</f>
        <v>0</v>
      </c>
      <c r="G86" s="49">
        <f>AVERAGE('24.08 Kaliro-Iganga-24h'!G86,'26.08 Kaliro-Iganga-24h'!G86)</f>
        <v>0</v>
      </c>
      <c r="H86" s="49">
        <f>AVERAGE('24.08 Kaliro-Iganga-24h'!H86,'26.08 Kaliro-Iganga-24h'!H86)</f>
        <v>0</v>
      </c>
      <c r="I86" s="49">
        <f>AVERAGE('24.08 Kaliro-Iganga-24h'!I86,'26.08 Kaliro-Iganga-24h'!I86)</f>
        <v>0</v>
      </c>
      <c r="J86" s="49">
        <f>AVERAGE('24.08 Kaliro-Iganga-24h'!J86,'26.08 Kaliro-Iganga-24h'!J86)</f>
        <v>0</v>
      </c>
      <c r="K86" s="49">
        <f>AVERAGE('24.08 Kaliro-Iganga-24h'!K86,'26.08 Kaliro-Iganga-24h'!K86)</f>
        <v>0.5</v>
      </c>
      <c r="L86" s="49">
        <f>AVERAGE('24.08 Kaliro-Iganga-24h'!L86,'26.08 Kaliro-Iganga-24h'!L86)</f>
        <v>5</v>
      </c>
      <c r="M86" s="49">
        <f>AVERAGE('24.08 Kaliro-Iganga-24h'!M86,'26.08 Kaliro-Iganga-24h'!M86)</f>
        <v>0</v>
      </c>
      <c r="N86" s="49">
        <f>AVERAGE('24.08 Kaliro-Iganga-24h'!N86,'26.08 Kaliro-Iganga-24h'!N86)</f>
        <v>0</v>
      </c>
      <c r="O86" s="15">
        <f t="shared" si="35"/>
        <v>6.5</v>
      </c>
      <c r="P86" s="15">
        <f t="shared" si="36"/>
        <v>6.5</v>
      </c>
      <c r="R86" s="8"/>
      <c r="T86"/>
    </row>
    <row r="87" spans="2:20" ht="23.1" customHeight="1" x14ac:dyDescent="0.25">
      <c r="B87" s="23" t="s">
        <v>127</v>
      </c>
      <c r="C87" s="49">
        <f>AVERAGE('24.08 Kaliro-Iganga-24h'!C87,'26.08 Kaliro-Iganga-24h'!C87)</f>
        <v>0</v>
      </c>
      <c r="D87" s="49">
        <f>AVERAGE('24.08 Kaliro-Iganga-24h'!D87,'26.08 Kaliro-Iganga-24h'!D87)</f>
        <v>0</v>
      </c>
      <c r="E87" s="49">
        <f>AVERAGE('24.08 Kaliro-Iganga-24h'!E87,'26.08 Kaliro-Iganga-24h'!E87)</f>
        <v>0.5</v>
      </c>
      <c r="F87" s="49">
        <f>AVERAGE('24.08 Kaliro-Iganga-24h'!F87,'26.08 Kaliro-Iganga-24h'!F87)</f>
        <v>0</v>
      </c>
      <c r="G87" s="49">
        <f>AVERAGE('24.08 Kaliro-Iganga-24h'!G87,'26.08 Kaliro-Iganga-24h'!G87)</f>
        <v>0</v>
      </c>
      <c r="H87" s="49">
        <f>AVERAGE('24.08 Kaliro-Iganga-24h'!H87,'26.08 Kaliro-Iganga-24h'!H87)</f>
        <v>0</v>
      </c>
      <c r="I87" s="49">
        <f>AVERAGE('24.08 Kaliro-Iganga-24h'!I87,'26.08 Kaliro-Iganga-24h'!I87)</f>
        <v>0</v>
      </c>
      <c r="J87" s="49">
        <f>AVERAGE('24.08 Kaliro-Iganga-24h'!J87,'26.08 Kaliro-Iganga-24h'!J87)</f>
        <v>0</v>
      </c>
      <c r="K87" s="49">
        <f>AVERAGE('24.08 Kaliro-Iganga-24h'!K87,'26.08 Kaliro-Iganga-24h'!K87)</f>
        <v>0</v>
      </c>
      <c r="L87" s="49">
        <f>AVERAGE('24.08 Kaliro-Iganga-24h'!L87,'26.08 Kaliro-Iganga-24h'!L87)</f>
        <v>0</v>
      </c>
      <c r="M87" s="49">
        <f>AVERAGE('24.08 Kaliro-Iganga-24h'!M87,'26.08 Kaliro-Iganga-24h'!M87)</f>
        <v>0</v>
      </c>
      <c r="N87" s="49">
        <f>AVERAGE('24.08 Kaliro-Iganga-24h'!N87,'26.08 Kaliro-Iganga-24h'!N87)</f>
        <v>0</v>
      </c>
      <c r="O87" s="15">
        <f t="shared" si="35"/>
        <v>0.5</v>
      </c>
      <c r="P87" s="15">
        <f t="shared" si="36"/>
        <v>0.5</v>
      </c>
      <c r="R87" s="8"/>
      <c r="T87"/>
    </row>
    <row r="88" spans="2:20" ht="23.1" customHeight="1" x14ac:dyDescent="0.25">
      <c r="B88" s="25" t="s">
        <v>128</v>
      </c>
      <c r="C88" s="49">
        <f>AVERAGE('24.08 Kaliro-Iganga-24h'!C88,'26.08 Kaliro-Iganga-24h'!C88)</f>
        <v>0.5</v>
      </c>
      <c r="D88" s="49">
        <f>AVERAGE('24.08 Kaliro-Iganga-24h'!D88,'26.08 Kaliro-Iganga-24h'!D88)</f>
        <v>0</v>
      </c>
      <c r="E88" s="49">
        <f>AVERAGE('24.08 Kaliro-Iganga-24h'!E88,'26.08 Kaliro-Iganga-24h'!E88)</f>
        <v>0</v>
      </c>
      <c r="F88" s="49">
        <f>AVERAGE('24.08 Kaliro-Iganga-24h'!F88,'26.08 Kaliro-Iganga-24h'!F88)</f>
        <v>0.5</v>
      </c>
      <c r="G88" s="49">
        <f>AVERAGE('24.08 Kaliro-Iganga-24h'!G88,'26.08 Kaliro-Iganga-24h'!G88)</f>
        <v>0</v>
      </c>
      <c r="H88" s="49">
        <f>AVERAGE('24.08 Kaliro-Iganga-24h'!H88,'26.08 Kaliro-Iganga-24h'!H88)</f>
        <v>0</v>
      </c>
      <c r="I88" s="49">
        <f>AVERAGE('24.08 Kaliro-Iganga-24h'!I88,'26.08 Kaliro-Iganga-24h'!I88)</f>
        <v>1</v>
      </c>
      <c r="J88" s="49">
        <f>AVERAGE('24.08 Kaliro-Iganga-24h'!J88,'26.08 Kaliro-Iganga-24h'!J88)</f>
        <v>0</v>
      </c>
      <c r="K88" s="49">
        <f>AVERAGE('24.08 Kaliro-Iganga-24h'!K88,'26.08 Kaliro-Iganga-24h'!K88)</f>
        <v>0</v>
      </c>
      <c r="L88" s="49">
        <f>AVERAGE('24.08 Kaliro-Iganga-24h'!L88,'26.08 Kaliro-Iganga-24h'!L88)</f>
        <v>0</v>
      </c>
      <c r="M88" s="49">
        <f>AVERAGE('24.08 Kaliro-Iganga-24h'!M88,'26.08 Kaliro-Iganga-24h'!M88)</f>
        <v>0</v>
      </c>
      <c r="N88" s="49">
        <f>AVERAGE('24.08 Kaliro-Iganga-24h'!N88,'26.08 Kaliro-Iganga-24h'!N88)</f>
        <v>0</v>
      </c>
      <c r="O88" s="15">
        <f t="shared" si="35"/>
        <v>2</v>
      </c>
      <c r="P88" s="15">
        <f t="shared" si="36"/>
        <v>2</v>
      </c>
      <c r="R88" s="8"/>
      <c r="T88"/>
    </row>
    <row r="89" spans="2:20" ht="23.1" customHeight="1" x14ac:dyDescent="0.25">
      <c r="B89" s="23" t="s">
        <v>129</v>
      </c>
      <c r="C89" s="49">
        <f>AVERAGE('24.08 Kaliro-Iganga-24h'!C89,'26.08 Kaliro-Iganga-24h'!C89)</f>
        <v>0.5</v>
      </c>
      <c r="D89" s="49">
        <f>AVERAGE('24.08 Kaliro-Iganga-24h'!D89,'26.08 Kaliro-Iganga-24h'!D89)</f>
        <v>0</v>
      </c>
      <c r="E89" s="49">
        <f>AVERAGE('24.08 Kaliro-Iganga-24h'!E89,'26.08 Kaliro-Iganga-24h'!E89)</f>
        <v>1</v>
      </c>
      <c r="F89" s="49">
        <f>AVERAGE('24.08 Kaliro-Iganga-24h'!F89,'26.08 Kaliro-Iganga-24h'!F89)</f>
        <v>0</v>
      </c>
      <c r="G89" s="49">
        <f>AVERAGE('24.08 Kaliro-Iganga-24h'!G89,'26.08 Kaliro-Iganga-24h'!G89)</f>
        <v>0</v>
      </c>
      <c r="H89" s="49">
        <f>AVERAGE('24.08 Kaliro-Iganga-24h'!H89,'26.08 Kaliro-Iganga-24h'!H89)</f>
        <v>0</v>
      </c>
      <c r="I89" s="49">
        <f>AVERAGE('24.08 Kaliro-Iganga-24h'!I89,'26.08 Kaliro-Iganga-24h'!I89)</f>
        <v>0.5</v>
      </c>
      <c r="J89" s="49">
        <f>AVERAGE('24.08 Kaliro-Iganga-24h'!J89,'26.08 Kaliro-Iganga-24h'!J89)</f>
        <v>0</v>
      </c>
      <c r="K89" s="49">
        <f>AVERAGE('24.08 Kaliro-Iganga-24h'!K89,'26.08 Kaliro-Iganga-24h'!K89)</f>
        <v>0</v>
      </c>
      <c r="L89" s="49">
        <f>AVERAGE('24.08 Kaliro-Iganga-24h'!L89,'26.08 Kaliro-Iganga-24h'!L89)</f>
        <v>0.5</v>
      </c>
      <c r="M89" s="49">
        <f>AVERAGE('24.08 Kaliro-Iganga-24h'!M89,'26.08 Kaliro-Iganga-24h'!M89)</f>
        <v>0</v>
      </c>
      <c r="N89" s="49">
        <f>AVERAGE('24.08 Kaliro-Iganga-24h'!N89,'26.08 Kaliro-Iganga-24h'!N89)</f>
        <v>0</v>
      </c>
      <c r="O89" s="15">
        <f t="shared" si="35"/>
        <v>2.5</v>
      </c>
      <c r="P89" s="15">
        <f t="shared" si="36"/>
        <v>2.5</v>
      </c>
      <c r="R89" s="8"/>
      <c r="T89"/>
    </row>
    <row r="90" spans="2:20" ht="23.1" customHeight="1" x14ac:dyDescent="0.25">
      <c r="B90" s="24" t="s">
        <v>130</v>
      </c>
      <c r="C90" s="49">
        <f>AVERAGE('24.08 Kaliro-Iganga-24h'!C90,'26.08 Kaliro-Iganga-24h'!C90)</f>
        <v>0</v>
      </c>
      <c r="D90" s="49">
        <f>AVERAGE('24.08 Kaliro-Iganga-24h'!D90,'26.08 Kaliro-Iganga-24h'!D90)</f>
        <v>1.5</v>
      </c>
      <c r="E90" s="49">
        <f>AVERAGE('24.08 Kaliro-Iganga-24h'!E90,'26.08 Kaliro-Iganga-24h'!E90)</f>
        <v>0</v>
      </c>
      <c r="F90" s="49">
        <f>AVERAGE('24.08 Kaliro-Iganga-24h'!F90,'26.08 Kaliro-Iganga-24h'!F90)</f>
        <v>0</v>
      </c>
      <c r="G90" s="49">
        <f>AVERAGE('24.08 Kaliro-Iganga-24h'!G90,'26.08 Kaliro-Iganga-24h'!G90)</f>
        <v>0</v>
      </c>
      <c r="H90" s="49">
        <f>AVERAGE('24.08 Kaliro-Iganga-24h'!H90,'26.08 Kaliro-Iganga-24h'!H90)</f>
        <v>0</v>
      </c>
      <c r="I90" s="49">
        <f>AVERAGE('24.08 Kaliro-Iganga-24h'!I90,'26.08 Kaliro-Iganga-24h'!I90)</f>
        <v>0</v>
      </c>
      <c r="J90" s="49">
        <f>AVERAGE('24.08 Kaliro-Iganga-24h'!J90,'26.08 Kaliro-Iganga-24h'!J90)</f>
        <v>1</v>
      </c>
      <c r="K90" s="49">
        <f>AVERAGE('24.08 Kaliro-Iganga-24h'!K90,'26.08 Kaliro-Iganga-24h'!K90)</f>
        <v>0</v>
      </c>
      <c r="L90" s="49">
        <f>AVERAGE('24.08 Kaliro-Iganga-24h'!L90,'26.08 Kaliro-Iganga-24h'!L90)</f>
        <v>0</v>
      </c>
      <c r="M90" s="49">
        <f>AVERAGE('24.08 Kaliro-Iganga-24h'!M90,'26.08 Kaliro-Iganga-24h'!M90)</f>
        <v>1.5</v>
      </c>
      <c r="N90" s="49">
        <f>AVERAGE('24.08 Kaliro-Iganga-24h'!N90,'26.08 Kaliro-Iganga-24h'!N90)</f>
        <v>0</v>
      </c>
      <c r="O90" s="15">
        <f t="shared" si="35"/>
        <v>2.5</v>
      </c>
      <c r="P90" s="15">
        <f t="shared" si="36"/>
        <v>4</v>
      </c>
      <c r="R90" s="8"/>
      <c r="T90"/>
    </row>
    <row r="91" spans="2:20" ht="23.1" customHeight="1" x14ac:dyDescent="0.25">
      <c r="B91" s="23" t="s">
        <v>131</v>
      </c>
      <c r="C91" s="49">
        <f>AVERAGE('24.08 Kaliro-Iganga-24h'!C91,'26.08 Kaliro-Iganga-24h'!C91)</f>
        <v>0</v>
      </c>
      <c r="D91" s="49">
        <f>AVERAGE('24.08 Kaliro-Iganga-24h'!D91,'26.08 Kaliro-Iganga-24h'!D91)</f>
        <v>0</v>
      </c>
      <c r="E91" s="49">
        <f>AVERAGE('24.08 Kaliro-Iganga-24h'!E91,'26.08 Kaliro-Iganga-24h'!E91)</f>
        <v>0</v>
      </c>
      <c r="F91" s="49">
        <f>AVERAGE('24.08 Kaliro-Iganga-24h'!F91,'26.08 Kaliro-Iganga-24h'!F91)</f>
        <v>0</v>
      </c>
      <c r="G91" s="49">
        <f>AVERAGE('24.08 Kaliro-Iganga-24h'!G91,'26.08 Kaliro-Iganga-24h'!G91)</f>
        <v>0</v>
      </c>
      <c r="H91" s="49">
        <f>AVERAGE('24.08 Kaliro-Iganga-24h'!H91,'26.08 Kaliro-Iganga-24h'!H91)</f>
        <v>0</v>
      </c>
      <c r="I91" s="49">
        <f>AVERAGE('24.08 Kaliro-Iganga-24h'!I91,'26.08 Kaliro-Iganga-24h'!I91)</f>
        <v>1.5</v>
      </c>
      <c r="J91" s="49">
        <f>AVERAGE('24.08 Kaliro-Iganga-24h'!J91,'26.08 Kaliro-Iganga-24h'!J91)</f>
        <v>1</v>
      </c>
      <c r="K91" s="49">
        <f>AVERAGE('24.08 Kaliro-Iganga-24h'!K91,'26.08 Kaliro-Iganga-24h'!K91)</f>
        <v>0</v>
      </c>
      <c r="L91" s="49">
        <f>AVERAGE('24.08 Kaliro-Iganga-24h'!L91,'26.08 Kaliro-Iganga-24h'!L91)</f>
        <v>0</v>
      </c>
      <c r="M91" s="49">
        <f>AVERAGE('24.08 Kaliro-Iganga-24h'!M91,'26.08 Kaliro-Iganga-24h'!M91)</f>
        <v>0.5</v>
      </c>
      <c r="N91" s="49">
        <f>AVERAGE('24.08 Kaliro-Iganga-24h'!N91,'26.08 Kaliro-Iganga-24h'!N91)</f>
        <v>0</v>
      </c>
      <c r="O91" s="15">
        <f t="shared" si="35"/>
        <v>2.5</v>
      </c>
      <c r="P91" s="15">
        <f t="shared" si="36"/>
        <v>3</v>
      </c>
      <c r="R91" s="8"/>
      <c r="T91"/>
    </row>
    <row r="92" spans="2:20" ht="23.1" customHeight="1" x14ac:dyDescent="0.25">
      <c r="B92" s="25" t="s">
        <v>132</v>
      </c>
      <c r="C92" s="49">
        <f>AVERAGE('24.08 Kaliro-Iganga-24h'!C92,'26.08 Kaliro-Iganga-24h'!C92)</f>
        <v>0.5</v>
      </c>
      <c r="D92" s="49">
        <f>AVERAGE('24.08 Kaliro-Iganga-24h'!D92,'26.08 Kaliro-Iganga-24h'!D92)</f>
        <v>0</v>
      </c>
      <c r="E92" s="49">
        <f>AVERAGE('24.08 Kaliro-Iganga-24h'!E92,'26.08 Kaliro-Iganga-24h'!E92)</f>
        <v>2</v>
      </c>
      <c r="F92" s="49">
        <f>AVERAGE('24.08 Kaliro-Iganga-24h'!F92,'26.08 Kaliro-Iganga-24h'!F92)</f>
        <v>0</v>
      </c>
      <c r="G92" s="49">
        <f>AVERAGE('24.08 Kaliro-Iganga-24h'!G92,'26.08 Kaliro-Iganga-24h'!G92)</f>
        <v>0</v>
      </c>
      <c r="H92" s="49">
        <f>AVERAGE('24.08 Kaliro-Iganga-24h'!H92,'26.08 Kaliro-Iganga-24h'!H92)</f>
        <v>0</v>
      </c>
      <c r="I92" s="49">
        <f>AVERAGE('24.08 Kaliro-Iganga-24h'!I92,'26.08 Kaliro-Iganga-24h'!I92)</f>
        <v>0</v>
      </c>
      <c r="J92" s="49">
        <f>AVERAGE('24.08 Kaliro-Iganga-24h'!J92,'26.08 Kaliro-Iganga-24h'!J92)</f>
        <v>0.5</v>
      </c>
      <c r="K92" s="49">
        <f>AVERAGE('24.08 Kaliro-Iganga-24h'!K92,'26.08 Kaliro-Iganga-24h'!K92)</f>
        <v>0</v>
      </c>
      <c r="L92" s="49">
        <f>AVERAGE('24.08 Kaliro-Iganga-24h'!L92,'26.08 Kaliro-Iganga-24h'!L92)</f>
        <v>0</v>
      </c>
      <c r="M92" s="49">
        <f>AVERAGE('24.08 Kaliro-Iganga-24h'!M92,'26.08 Kaliro-Iganga-24h'!M92)</f>
        <v>0</v>
      </c>
      <c r="N92" s="49">
        <f>AVERAGE('24.08 Kaliro-Iganga-24h'!N92,'26.08 Kaliro-Iganga-24h'!N92)</f>
        <v>0</v>
      </c>
      <c r="O92" s="15">
        <f t="shared" si="35"/>
        <v>3</v>
      </c>
      <c r="P92" s="15">
        <f t="shared" si="36"/>
        <v>3</v>
      </c>
      <c r="R92" s="8"/>
      <c r="T92"/>
    </row>
    <row r="93" spans="2:20" ht="23.1" customHeight="1" x14ac:dyDescent="0.25">
      <c r="B93" s="23" t="s">
        <v>133</v>
      </c>
      <c r="C93" s="49">
        <f>AVERAGE('24.08 Kaliro-Iganga-24h'!C93,'26.08 Kaliro-Iganga-24h'!C93)</f>
        <v>1</v>
      </c>
      <c r="D93" s="49">
        <f>AVERAGE('24.08 Kaliro-Iganga-24h'!D93,'26.08 Kaliro-Iganga-24h'!D93)</f>
        <v>1.5</v>
      </c>
      <c r="E93" s="49">
        <f>AVERAGE('24.08 Kaliro-Iganga-24h'!E93,'26.08 Kaliro-Iganga-24h'!E93)</f>
        <v>0</v>
      </c>
      <c r="F93" s="49">
        <f>AVERAGE('24.08 Kaliro-Iganga-24h'!F93,'26.08 Kaliro-Iganga-24h'!F93)</f>
        <v>2</v>
      </c>
      <c r="G93" s="49">
        <f>AVERAGE('24.08 Kaliro-Iganga-24h'!G93,'26.08 Kaliro-Iganga-24h'!G93)</f>
        <v>0</v>
      </c>
      <c r="H93" s="49">
        <f>AVERAGE('24.08 Kaliro-Iganga-24h'!H93,'26.08 Kaliro-Iganga-24h'!H93)</f>
        <v>0</v>
      </c>
      <c r="I93" s="49">
        <f>AVERAGE('24.08 Kaliro-Iganga-24h'!I93,'26.08 Kaliro-Iganga-24h'!I93)</f>
        <v>0.5</v>
      </c>
      <c r="J93" s="49">
        <f>AVERAGE('24.08 Kaliro-Iganga-24h'!J93,'26.08 Kaliro-Iganga-24h'!J93)</f>
        <v>0</v>
      </c>
      <c r="K93" s="49">
        <f>AVERAGE('24.08 Kaliro-Iganga-24h'!K93,'26.08 Kaliro-Iganga-24h'!K93)</f>
        <v>0</v>
      </c>
      <c r="L93" s="49">
        <f>AVERAGE('24.08 Kaliro-Iganga-24h'!L93,'26.08 Kaliro-Iganga-24h'!L93)</f>
        <v>0</v>
      </c>
      <c r="M93" s="49">
        <f>AVERAGE('24.08 Kaliro-Iganga-24h'!M93,'26.08 Kaliro-Iganga-24h'!M93)</f>
        <v>1</v>
      </c>
      <c r="N93" s="49">
        <f>AVERAGE('24.08 Kaliro-Iganga-24h'!N93,'26.08 Kaliro-Iganga-24h'!N93)</f>
        <v>0</v>
      </c>
      <c r="O93" s="15">
        <f t="shared" si="35"/>
        <v>5</v>
      </c>
      <c r="P93" s="15">
        <f t="shared" si="36"/>
        <v>6</v>
      </c>
      <c r="R93" s="8"/>
      <c r="T93"/>
    </row>
    <row r="94" spans="2:20" ht="23.1" customHeight="1" x14ac:dyDescent="0.25">
      <c r="B94" s="24" t="s">
        <v>134</v>
      </c>
      <c r="C94" s="49">
        <f>AVERAGE('24.08 Kaliro-Iganga-24h'!C94,'26.08 Kaliro-Iganga-24h'!C94)</f>
        <v>0</v>
      </c>
      <c r="D94" s="49">
        <f>AVERAGE('24.08 Kaliro-Iganga-24h'!D94,'26.08 Kaliro-Iganga-24h'!D94)</f>
        <v>0.5</v>
      </c>
      <c r="E94" s="49">
        <f>AVERAGE('24.08 Kaliro-Iganga-24h'!E94,'26.08 Kaliro-Iganga-24h'!E94)</f>
        <v>1</v>
      </c>
      <c r="F94" s="49">
        <f>AVERAGE('24.08 Kaliro-Iganga-24h'!F94,'26.08 Kaliro-Iganga-24h'!F94)</f>
        <v>0.5</v>
      </c>
      <c r="G94" s="49">
        <f>AVERAGE('24.08 Kaliro-Iganga-24h'!G94,'26.08 Kaliro-Iganga-24h'!G94)</f>
        <v>0</v>
      </c>
      <c r="H94" s="49">
        <f>AVERAGE('24.08 Kaliro-Iganga-24h'!H94,'26.08 Kaliro-Iganga-24h'!H94)</f>
        <v>0</v>
      </c>
      <c r="I94" s="49">
        <f>AVERAGE('24.08 Kaliro-Iganga-24h'!I94,'26.08 Kaliro-Iganga-24h'!I94)</f>
        <v>0.5</v>
      </c>
      <c r="J94" s="49">
        <f>AVERAGE('24.08 Kaliro-Iganga-24h'!J94,'26.08 Kaliro-Iganga-24h'!J94)</f>
        <v>0</v>
      </c>
      <c r="K94" s="49">
        <f>AVERAGE('24.08 Kaliro-Iganga-24h'!K94,'26.08 Kaliro-Iganga-24h'!K94)</f>
        <v>0</v>
      </c>
      <c r="L94" s="49">
        <f>AVERAGE('24.08 Kaliro-Iganga-24h'!L94,'26.08 Kaliro-Iganga-24h'!L94)</f>
        <v>0</v>
      </c>
      <c r="M94" s="49">
        <f>AVERAGE('24.08 Kaliro-Iganga-24h'!M94,'26.08 Kaliro-Iganga-24h'!M94)</f>
        <v>0.5</v>
      </c>
      <c r="N94" s="49">
        <f>AVERAGE('24.08 Kaliro-Iganga-24h'!N94,'26.08 Kaliro-Iganga-24h'!N94)</f>
        <v>0</v>
      </c>
      <c r="O94" s="15">
        <f t="shared" si="35"/>
        <v>2.5</v>
      </c>
      <c r="P94" s="15">
        <f t="shared" si="36"/>
        <v>3</v>
      </c>
      <c r="R94" s="8"/>
      <c r="T94"/>
    </row>
    <row r="95" spans="2:20" ht="23.1" customHeight="1" x14ac:dyDescent="0.25">
      <c r="B95" s="23" t="s">
        <v>135</v>
      </c>
      <c r="C95" s="49">
        <f>AVERAGE('24.08 Kaliro-Iganga-24h'!C95,'26.08 Kaliro-Iganga-24h'!C95)</f>
        <v>0</v>
      </c>
      <c r="D95" s="49">
        <f>AVERAGE('24.08 Kaliro-Iganga-24h'!D95,'26.08 Kaliro-Iganga-24h'!D95)</f>
        <v>0</v>
      </c>
      <c r="E95" s="49">
        <f>AVERAGE('24.08 Kaliro-Iganga-24h'!E95,'26.08 Kaliro-Iganga-24h'!E95)</f>
        <v>1.5</v>
      </c>
      <c r="F95" s="49">
        <f>AVERAGE('24.08 Kaliro-Iganga-24h'!F95,'26.08 Kaliro-Iganga-24h'!F95)</f>
        <v>0</v>
      </c>
      <c r="G95" s="49">
        <f>AVERAGE('24.08 Kaliro-Iganga-24h'!G95,'26.08 Kaliro-Iganga-24h'!G95)</f>
        <v>0</v>
      </c>
      <c r="H95" s="49">
        <f>AVERAGE('24.08 Kaliro-Iganga-24h'!H95,'26.08 Kaliro-Iganga-24h'!H95)</f>
        <v>0</v>
      </c>
      <c r="I95" s="49">
        <f>AVERAGE('24.08 Kaliro-Iganga-24h'!I95,'26.08 Kaliro-Iganga-24h'!I95)</f>
        <v>1</v>
      </c>
      <c r="J95" s="49">
        <f>AVERAGE('24.08 Kaliro-Iganga-24h'!J95,'26.08 Kaliro-Iganga-24h'!J95)</f>
        <v>0.5</v>
      </c>
      <c r="K95" s="49">
        <f>AVERAGE('24.08 Kaliro-Iganga-24h'!K95,'26.08 Kaliro-Iganga-24h'!K95)</f>
        <v>0.5</v>
      </c>
      <c r="L95" s="49">
        <f>AVERAGE('24.08 Kaliro-Iganga-24h'!L95,'26.08 Kaliro-Iganga-24h'!L95)</f>
        <v>0</v>
      </c>
      <c r="M95" s="49">
        <f>AVERAGE('24.08 Kaliro-Iganga-24h'!M95,'26.08 Kaliro-Iganga-24h'!M95)</f>
        <v>0</v>
      </c>
      <c r="N95" s="49">
        <f>AVERAGE('24.08 Kaliro-Iganga-24h'!N95,'26.08 Kaliro-Iganga-24h'!N95)</f>
        <v>0</v>
      </c>
      <c r="O95" s="15">
        <f t="shared" si="35"/>
        <v>3.5</v>
      </c>
      <c r="P95" s="15">
        <f t="shared" si="36"/>
        <v>3.5</v>
      </c>
      <c r="R95" s="8"/>
      <c r="T95"/>
    </row>
    <row r="96" spans="2:20" ht="23.1" customHeight="1" x14ac:dyDescent="0.25">
      <c r="B96" s="25" t="s">
        <v>136</v>
      </c>
      <c r="C96" s="49">
        <f>AVERAGE('24.08 Kaliro-Iganga-24h'!C96,'26.08 Kaliro-Iganga-24h'!C96)</f>
        <v>0</v>
      </c>
      <c r="D96" s="49">
        <f>AVERAGE('24.08 Kaliro-Iganga-24h'!D96,'26.08 Kaliro-Iganga-24h'!D96)</f>
        <v>0.5</v>
      </c>
      <c r="E96" s="49">
        <f>AVERAGE('24.08 Kaliro-Iganga-24h'!E96,'26.08 Kaliro-Iganga-24h'!E96)</f>
        <v>1</v>
      </c>
      <c r="F96" s="49">
        <f>AVERAGE('24.08 Kaliro-Iganga-24h'!F96,'26.08 Kaliro-Iganga-24h'!F96)</f>
        <v>2</v>
      </c>
      <c r="G96" s="49">
        <f>AVERAGE('24.08 Kaliro-Iganga-24h'!G96,'26.08 Kaliro-Iganga-24h'!G96)</f>
        <v>0</v>
      </c>
      <c r="H96" s="49">
        <f>AVERAGE('24.08 Kaliro-Iganga-24h'!H96,'26.08 Kaliro-Iganga-24h'!H96)</f>
        <v>0</v>
      </c>
      <c r="I96" s="49">
        <f>AVERAGE('24.08 Kaliro-Iganga-24h'!I96,'26.08 Kaliro-Iganga-24h'!I96)</f>
        <v>0.5</v>
      </c>
      <c r="J96" s="49">
        <f>AVERAGE('24.08 Kaliro-Iganga-24h'!J96,'26.08 Kaliro-Iganga-24h'!J96)</f>
        <v>1</v>
      </c>
      <c r="K96" s="49">
        <f>AVERAGE('24.08 Kaliro-Iganga-24h'!K96,'26.08 Kaliro-Iganga-24h'!K96)</f>
        <v>0</v>
      </c>
      <c r="L96" s="49">
        <f>AVERAGE('24.08 Kaliro-Iganga-24h'!L96,'26.08 Kaliro-Iganga-24h'!L96)</f>
        <v>0</v>
      </c>
      <c r="M96" s="49">
        <f>AVERAGE('24.08 Kaliro-Iganga-24h'!M96,'26.08 Kaliro-Iganga-24h'!M96)</f>
        <v>0.5</v>
      </c>
      <c r="N96" s="49">
        <f>AVERAGE('24.08 Kaliro-Iganga-24h'!N96,'26.08 Kaliro-Iganga-24h'!N96)</f>
        <v>0</v>
      </c>
      <c r="O96" s="15">
        <f t="shared" si="35"/>
        <v>5</v>
      </c>
      <c r="P96" s="15">
        <f t="shared" si="36"/>
        <v>5.5</v>
      </c>
      <c r="R96" s="8"/>
      <c r="T96"/>
    </row>
    <row r="97" spans="2:20" ht="23.1" customHeight="1" x14ac:dyDescent="0.25">
      <c r="B97" s="23" t="s">
        <v>137</v>
      </c>
      <c r="C97" s="49">
        <f>AVERAGE('24.08 Kaliro-Iganga-24h'!C97,'26.08 Kaliro-Iganga-24h'!C97)</f>
        <v>1.5</v>
      </c>
      <c r="D97" s="49">
        <f>AVERAGE('24.08 Kaliro-Iganga-24h'!D97,'26.08 Kaliro-Iganga-24h'!D97)</f>
        <v>0</v>
      </c>
      <c r="E97" s="49">
        <f>AVERAGE('24.08 Kaliro-Iganga-24h'!E97,'26.08 Kaliro-Iganga-24h'!E97)</f>
        <v>0.5</v>
      </c>
      <c r="F97" s="49">
        <f>AVERAGE('24.08 Kaliro-Iganga-24h'!F97,'26.08 Kaliro-Iganga-24h'!F97)</f>
        <v>0.5</v>
      </c>
      <c r="G97" s="49">
        <f>AVERAGE('24.08 Kaliro-Iganga-24h'!G97,'26.08 Kaliro-Iganga-24h'!G97)</f>
        <v>0</v>
      </c>
      <c r="H97" s="49">
        <f>AVERAGE('24.08 Kaliro-Iganga-24h'!H97,'26.08 Kaliro-Iganga-24h'!H97)</f>
        <v>0</v>
      </c>
      <c r="I97" s="49">
        <f>AVERAGE('24.08 Kaliro-Iganga-24h'!I97,'26.08 Kaliro-Iganga-24h'!I97)</f>
        <v>0</v>
      </c>
      <c r="J97" s="49">
        <f>AVERAGE('24.08 Kaliro-Iganga-24h'!J97,'26.08 Kaliro-Iganga-24h'!J97)</f>
        <v>0</v>
      </c>
      <c r="K97" s="49">
        <f>AVERAGE('24.08 Kaliro-Iganga-24h'!K97,'26.08 Kaliro-Iganga-24h'!K97)</f>
        <v>0</v>
      </c>
      <c r="L97" s="49">
        <f>AVERAGE('24.08 Kaliro-Iganga-24h'!L97,'26.08 Kaliro-Iganga-24h'!L97)</f>
        <v>0.5</v>
      </c>
      <c r="M97" s="49">
        <f>AVERAGE('24.08 Kaliro-Iganga-24h'!M97,'26.08 Kaliro-Iganga-24h'!M97)</f>
        <v>1</v>
      </c>
      <c r="N97" s="49">
        <f>AVERAGE('24.08 Kaliro-Iganga-24h'!N97,'26.08 Kaliro-Iganga-24h'!N97)</f>
        <v>0</v>
      </c>
      <c r="O97" s="15">
        <f t="shared" si="35"/>
        <v>3</v>
      </c>
      <c r="P97" s="15">
        <f t="shared" si="36"/>
        <v>4</v>
      </c>
      <c r="R97" s="8"/>
      <c r="T97"/>
    </row>
    <row r="98" spans="2:20" ht="23.1" customHeight="1" x14ac:dyDescent="0.25">
      <c r="B98" s="24" t="s">
        <v>138</v>
      </c>
      <c r="C98" s="49">
        <f>AVERAGE('24.08 Kaliro-Iganga-24h'!C98,'26.08 Kaliro-Iganga-24h'!C98)</f>
        <v>1</v>
      </c>
      <c r="D98" s="49">
        <f>AVERAGE('24.08 Kaliro-Iganga-24h'!D98,'26.08 Kaliro-Iganga-24h'!D98)</f>
        <v>0</v>
      </c>
      <c r="E98" s="49">
        <f>AVERAGE('24.08 Kaliro-Iganga-24h'!E98,'26.08 Kaliro-Iganga-24h'!E98)</f>
        <v>0.5</v>
      </c>
      <c r="F98" s="49">
        <f>AVERAGE('24.08 Kaliro-Iganga-24h'!F98,'26.08 Kaliro-Iganga-24h'!F98)</f>
        <v>1</v>
      </c>
      <c r="G98" s="49">
        <f>AVERAGE('24.08 Kaliro-Iganga-24h'!G98,'26.08 Kaliro-Iganga-24h'!G98)</f>
        <v>0</v>
      </c>
      <c r="H98" s="49">
        <f>AVERAGE('24.08 Kaliro-Iganga-24h'!H98,'26.08 Kaliro-Iganga-24h'!H98)</f>
        <v>0</v>
      </c>
      <c r="I98" s="49">
        <f>AVERAGE('24.08 Kaliro-Iganga-24h'!I98,'26.08 Kaliro-Iganga-24h'!I98)</f>
        <v>2</v>
      </c>
      <c r="J98" s="49">
        <f>AVERAGE('24.08 Kaliro-Iganga-24h'!J98,'26.08 Kaliro-Iganga-24h'!J98)</f>
        <v>0.5</v>
      </c>
      <c r="K98" s="49">
        <f>AVERAGE('24.08 Kaliro-Iganga-24h'!K98,'26.08 Kaliro-Iganga-24h'!K98)</f>
        <v>0</v>
      </c>
      <c r="L98" s="49">
        <f>AVERAGE('24.08 Kaliro-Iganga-24h'!L98,'26.08 Kaliro-Iganga-24h'!L98)</f>
        <v>0</v>
      </c>
      <c r="M98" s="49">
        <f>AVERAGE('24.08 Kaliro-Iganga-24h'!M98,'26.08 Kaliro-Iganga-24h'!M98)</f>
        <v>1.5</v>
      </c>
      <c r="N98" s="49">
        <f>AVERAGE('24.08 Kaliro-Iganga-24h'!N98,'26.08 Kaliro-Iganga-24h'!N98)</f>
        <v>0</v>
      </c>
      <c r="O98" s="15">
        <f t="shared" si="35"/>
        <v>5</v>
      </c>
      <c r="P98" s="15">
        <f t="shared" si="36"/>
        <v>6.5</v>
      </c>
      <c r="R98" s="8"/>
      <c r="T98"/>
    </row>
    <row r="99" spans="2:20" ht="23.1" customHeight="1" x14ac:dyDescent="0.25">
      <c r="B99" s="23" t="s">
        <v>139</v>
      </c>
      <c r="C99" s="49">
        <f>AVERAGE('24.08 Kaliro-Iganga-24h'!C99,'26.08 Kaliro-Iganga-24h'!C99)</f>
        <v>0.5</v>
      </c>
      <c r="D99" s="49">
        <f>AVERAGE('24.08 Kaliro-Iganga-24h'!D99,'26.08 Kaliro-Iganga-24h'!D99)</f>
        <v>0</v>
      </c>
      <c r="E99" s="49">
        <f>AVERAGE('24.08 Kaliro-Iganga-24h'!E99,'26.08 Kaliro-Iganga-24h'!E99)</f>
        <v>0</v>
      </c>
      <c r="F99" s="49">
        <f>AVERAGE('24.08 Kaliro-Iganga-24h'!F99,'26.08 Kaliro-Iganga-24h'!F99)</f>
        <v>1</v>
      </c>
      <c r="G99" s="49">
        <f>AVERAGE('24.08 Kaliro-Iganga-24h'!G99,'26.08 Kaliro-Iganga-24h'!G99)</f>
        <v>0</v>
      </c>
      <c r="H99" s="49">
        <f>AVERAGE('24.08 Kaliro-Iganga-24h'!H99,'26.08 Kaliro-Iganga-24h'!H99)</f>
        <v>0</v>
      </c>
      <c r="I99" s="49">
        <f>AVERAGE('24.08 Kaliro-Iganga-24h'!I99,'26.08 Kaliro-Iganga-24h'!I99)</f>
        <v>1.5</v>
      </c>
      <c r="J99" s="49">
        <f>AVERAGE('24.08 Kaliro-Iganga-24h'!J99,'26.08 Kaliro-Iganga-24h'!J99)</f>
        <v>0</v>
      </c>
      <c r="K99" s="49">
        <f>AVERAGE('24.08 Kaliro-Iganga-24h'!K99,'26.08 Kaliro-Iganga-24h'!K99)</f>
        <v>0</v>
      </c>
      <c r="L99" s="49">
        <f>AVERAGE('24.08 Kaliro-Iganga-24h'!L99,'26.08 Kaliro-Iganga-24h'!L99)</f>
        <v>0</v>
      </c>
      <c r="M99" s="49">
        <f>AVERAGE('24.08 Kaliro-Iganga-24h'!M99,'26.08 Kaliro-Iganga-24h'!M99)</f>
        <v>0</v>
      </c>
      <c r="N99" s="49">
        <f>AVERAGE('24.08 Kaliro-Iganga-24h'!N99,'26.08 Kaliro-Iganga-24h'!N99)</f>
        <v>0</v>
      </c>
      <c r="O99" s="15">
        <f t="shared" si="35"/>
        <v>3</v>
      </c>
      <c r="P99" s="15">
        <f t="shared" si="36"/>
        <v>3</v>
      </c>
      <c r="R99" s="8"/>
      <c r="T99"/>
    </row>
    <row r="100" spans="2:20" ht="23.1" customHeight="1" x14ac:dyDescent="0.25">
      <c r="B100" s="25" t="s">
        <v>140</v>
      </c>
      <c r="C100" s="49">
        <f>AVERAGE('24.08 Kaliro-Iganga-24h'!C100,'26.08 Kaliro-Iganga-24h'!C100)</f>
        <v>0</v>
      </c>
      <c r="D100" s="49">
        <f>AVERAGE('24.08 Kaliro-Iganga-24h'!D100,'26.08 Kaliro-Iganga-24h'!D100)</f>
        <v>1.5</v>
      </c>
      <c r="E100" s="49">
        <f>AVERAGE('24.08 Kaliro-Iganga-24h'!E100,'26.08 Kaliro-Iganga-24h'!E100)</f>
        <v>0.5</v>
      </c>
      <c r="F100" s="49">
        <f>AVERAGE('24.08 Kaliro-Iganga-24h'!F100,'26.08 Kaliro-Iganga-24h'!F100)</f>
        <v>1.5</v>
      </c>
      <c r="G100" s="49">
        <f>AVERAGE('24.08 Kaliro-Iganga-24h'!G100,'26.08 Kaliro-Iganga-24h'!G100)</f>
        <v>0.5</v>
      </c>
      <c r="H100" s="49">
        <f>AVERAGE('24.08 Kaliro-Iganga-24h'!H100,'26.08 Kaliro-Iganga-24h'!H100)</f>
        <v>0</v>
      </c>
      <c r="I100" s="49">
        <f>AVERAGE('24.08 Kaliro-Iganga-24h'!I100,'26.08 Kaliro-Iganga-24h'!I100)</f>
        <v>0</v>
      </c>
      <c r="J100" s="49">
        <f>AVERAGE('24.08 Kaliro-Iganga-24h'!J100,'26.08 Kaliro-Iganga-24h'!J100)</f>
        <v>2</v>
      </c>
      <c r="K100" s="49">
        <f>AVERAGE('24.08 Kaliro-Iganga-24h'!K100,'26.08 Kaliro-Iganga-24h'!K100)</f>
        <v>1</v>
      </c>
      <c r="L100" s="49">
        <f>AVERAGE('24.08 Kaliro-Iganga-24h'!L100,'26.08 Kaliro-Iganga-24h'!L100)</f>
        <v>0</v>
      </c>
      <c r="M100" s="49">
        <f>AVERAGE('24.08 Kaliro-Iganga-24h'!M100,'26.08 Kaliro-Iganga-24h'!M100)</f>
        <v>1.5</v>
      </c>
      <c r="N100" s="49">
        <f>AVERAGE('24.08 Kaliro-Iganga-24h'!N100,'26.08 Kaliro-Iganga-24h'!N100)</f>
        <v>0</v>
      </c>
      <c r="O100" s="15">
        <f t="shared" si="35"/>
        <v>7</v>
      </c>
      <c r="P100" s="15">
        <f t="shared" si="36"/>
        <v>8.5</v>
      </c>
      <c r="R100" s="8"/>
      <c r="T100"/>
    </row>
    <row r="101" spans="2:20" ht="23.1" customHeight="1" x14ac:dyDescent="0.25">
      <c r="B101" s="23" t="s">
        <v>141</v>
      </c>
      <c r="C101" s="49">
        <f>AVERAGE('24.08 Kaliro-Iganga-24h'!C101,'26.08 Kaliro-Iganga-24h'!C101)</f>
        <v>1</v>
      </c>
      <c r="D101" s="49">
        <f>AVERAGE('24.08 Kaliro-Iganga-24h'!D101,'26.08 Kaliro-Iganga-24h'!D101)</f>
        <v>0.5</v>
      </c>
      <c r="E101" s="49">
        <f>AVERAGE('24.08 Kaliro-Iganga-24h'!E101,'26.08 Kaliro-Iganga-24h'!E101)</f>
        <v>1.5</v>
      </c>
      <c r="F101" s="49">
        <f>AVERAGE('24.08 Kaliro-Iganga-24h'!F101,'26.08 Kaliro-Iganga-24h'!F101)</f>
        <v>1.5</v>
      </c>
      <c r="G101" s="49">
        <f>AVERAGE('24.08 Kaliro-Iganga-24h'!G101,'26.08 Kaliro-Iganga-24h'!G101)</f>
        <v>0</v>
      </c>
      <c r="H101" s="49">
        <f>AVERAGE('24.08 Kaliro-Iganga-24h'!H101,'26.08 Kaliro-Iganga-24h'!H101)</f>
        <v>0</v>
      </c>
      <c r="I101" s="49">
        <f>AVERAGE('24.08 Kaliro-Iganga-24h'!I101,'26.08 Kaliro-Iganga-24h'!I101)</f>
        <v>0</v>
      </c>
      <c r="J101" s="49">
        <f>AVERAGE('24.08 Kaliro-Iganga-24h'!J101,'26.08 Kaliro-Iganga-24h'!J101)</f>
        <v>0.5</v>
      </c>
      <c r="K101" s="49">
        <f>AVERAGE('24.08 Kaliro-Iganga-24h'!K101,'26.08 Kaliro-Iganga-24h'!K101)</f>
        <v>0</v>
      </c>
      <c r="L101" s="49">
        <f>AVERAGE('24.08 Kaliro-Iganga-24h'!L101,'26.08 Kaliro-Iganga-24h'!L101)</f>
        <v>0</v>
      </c>
      <c r="M101" s="49">
        <f>AVERAGE('24.08 Kaliro-Iganga-24h'!M101,'26.08 Kaliro-Iganga-24h'!M101)</f>
        <v>3.5</v>
      </c>
      <c r="N101" s="49">
        <f>AVERAGE('24.08 Kaliro-Iganga-24h'!N101,'26.08 Kaliro-Iganga-24h'!N101)</f>
        <v>0</v>
      </c>
      <c r="O101" s="15">
        <f t="shared" si="35"/>
        <v>5</v>
      </c>
      <c r="P101" s="15">
        <f t="shared" si="36"/>
        <v>8.5</v>
      </c>
      <c r="R101" s="8"/>
      <c r="T101"/>
    </row>
    <row r="102" spans="2:20" ht="23.1" customHeight="1" x14ac:dyDescent="0.25">
      <c r="B102" s="24" t="s">
        <v>142</v>
      </c>
      <c r="C102" s="49">
        <f>AVERAGE('24.08 Kaliro-Iganga-24h'!C102,'26.08 Kaliro-Iganga-24h'!C102)</f>
        <v>2.5</v>
      </c>
      <c r="D102" s="49">
        <f>AVERAGE('24.08 Kaliro-Iganga-24h'!D102,'26.08 Kaliro-Iganga-24h'!D102)</f>
        <v>1.5</v>
      </c>
      <c r="E102" s="49">
        <f>AVERAGE('24.08 Kaliro-Iganga-24h'!E102,'26.08 Kaliro-Iganga-24h'!E102)</f>
        <v>0.5</v>
      </c>
      <c r="F102" s="49">
        <f>AVERAGE('24.08 Kaliro-Iganga-24h'!F102,'26.08 Kaliro-Iganga-24h'!F102)</f>
        <v>4</v>
      </c>
      <c r="G102" s="49">
        <f>AVERAGE('24.08 Kaliro-Iganga-24h'!G102,'26.08 Kaliro-Iganga-24h'!G102)</f>
        <v>0</v>
      </c>
      <c r="H102" s="49">
        <f>AVERAGE('24.08 Kaliro-Iganga-24h'!H102,'26.08 Kaliro-Iganga-24h'!H102)</f>
        <v>0</v>
      </c>
      <c r="I102" s="49">
        <f>AVERAGE('24.08 Kaliro-Iganga-24h'!I102,'26.08 Kaliro-Iganga-24h'!I102)</f>
        <v>1</v>
      </c>
      <c r="J102" s="49">
        <f>AVERAGE('24.08 Kaliro-Iganga-24h'!J102,'26.08 Kaliro-Iganga-24h'!J102)</f>
        <v>1.5</v>
      </c>
      <c r="K102" s="49">
        <f>AVERAGE('24.08 Kaliro-Iganga-24h'!K102,'26.08 Kaliro-Iganga-24h'!K102)</f>
        <v>0</v>
      </c>
      <c r="L102" s="49">
        <f>AVERAGE('24.08 Kaliro-Iganga-24h'!L102,'26.08 Kaliro-Iganga-24h'!L102)</f>
        <v>0</v>
      </c>
      <c r="M102" s="49">
        <f>AVERAGE('24.08 Kaliro-Iganga-24h'!M102,'26.08 Kaliro-Iganga-24h'!M102)</f>
        <v>10</v>
      </c>
      <c r="N102" s="49">
        <f>AVERAGE('24.08 Kaliro-Iganga-24h'!N102,'26.08 Kaliro-Iganga-24h'!N102)</f>
        <v>0</v>
      </c>
      <c r="O102" s="15">
        <f t="shared" si="35"/>
        <v>11</v>
      </c>
      <c r="P102" s="15">
        <f t="shared" si="36"/>
        <v>21</v>
      </c>
      <c r="R102" s="8"/>
      <c r="T102"/>
    </row>
    <row r="103" spans="2:20" ht="23.1" customHeight="1" x14ac:dyDescent="0.25">
      <c r="B103" s="23" t="s">
        <v>143</v>
      </c>
      <c r="C103" s="49">
        <f>AVERAGE('24.08 Kaliro-Iganga-24h'!C103,'26.08 Kaliro-Iganga-24h'!C103)</f>
        <v>0</v>
      </c>
      <c r="D103" s="49">
        <f>AVERAGE('24.08 Kaliro-Iganga-24h'!D103,'26.08 Kaliro-Iganga-24h'!D103)</f>
        <v>0.5</v>
      </c>
      <c r="E103" s="49">
        <f>AVERAGE('24.08 Kaliro-Iganga-24h'!E103,'26.08 Kaliro-Iganga-24h'!E103)</f>
        <v>0.5</v>
      </c>
      <c r="F103" s="49">
        <f>AVERAGE('24.08 Kaliro-Iganga-24h'!F103,'26.08 Kaliro-Iganga-24h'!F103)</f>
        <v>2</v>
      </c>
      <c r="G103" s="49">
        <f>AVERAGE('24.08 Kaliro-Iganga-24h'!G103,'26.08 Kaliro-Iganga-24h'!G103)</f>
        <v>0</v>
      </c>
      <c r="H103" s="49">
        <f>AVERAGE('24.08 Kaliro-Iganga-24h'!H103,'26.08 Kaliro-Iganga-24h'!H103)</f>
        <v>0</v>
      </c>
      <c r="I103" s="49">
        <f>AVERAGE('24.08 Kaliro-Iganga-24h'!I103,'26.08 Kaliro-Iganga-24h'!I103)</f>
        <v>2</v>
      </c>
      <c r="J103" s="49">
        <f>AVERAGE('24.08 Kaliro-Iganga-24h'!J103,'26.08 Kaliro-Iganga-24h'!J103)</f>
        <v>0</v>
      </c>
      <c r="K103" s="49">
        <f>AVERAGE('24.08 Kaliro-Iganga-24h'!K103,'26.08 Kaliro-Iganga-24h'!K103)</f>
        <v>0</v>
      </c>
      <c r="L103" s="49">
        <f>AVERAGE('24.08 Kaliro-Iganga-24h'!L103,'26.08 Kaliro-Iganga-24h'!L103)</f>
        <v>0</v>
      </c>
      <c r="M103" s="49">
        <f>AVERAGE('24.08 Kaliro-Iganga-24h'!M103,'26.08 Kaliro-Iganga-24h'!M103)</f>
        <v>9</v>
      </c>
      <c r="N103" s="49">
        <f>AVERAGE('24.08 Kaliro-Iganga-24h'!N103,'26.08 Kaliro-Iganga-24h'!N103)</f>
        <v>0</v>
      </c>
      <c r="O103" s="15">
        <f t="shared" si="35"/>
        <v>5</v>
      </c>
      <c r="P103" s="15">
        <f t="shared" si="36"/>
        <v>14</v>
      </c>
      <c r="R103" s="8"/>
      <c r="T103"/>
    </row>
    <row r="104" spans="2:20" ht="23.1" customHeight="1" x14ac:dyDescent="0.25">
      <c r="B104" s="25" t="s">
        <v>144</v>
      </c>
      <c r="C104" s="49">
        <f>AVERAGE('24.08 Kaliro-Iganga-24h'!C104,'26.08 Kaliro-Iganga-24h'!C104)</f>
        <v>1.5</v>
      </c>
      <c r="D104" s="49">
        <f>AVERAGE('24.08 Kaliro-Iganga-24h'!D104,'26.08 Kaliro-Iganga-24h'!D104)</f>
        <v>1</v>
      </c>
      <c r="E104" s="49">
        <f>AVERAGE('24.08 Kaliro-Iganga-24h'!E104,'26.08 Kaliro-Iganga-24h'!E104)</f>
        <v>2</v>
      </c>
      <c r="F104" s="49">
        <f>AVERAGE('24.08 Kaliro-Iganga-24h'!F104,'26.08 Kaliro-Iganga-24h'!F104)</f>
        <v>3.5</v>
      </c>
      <c r="G104" s="49">
        <f>AVERAGE('24.08 Kaliro-Iganga-24h'!G104,'26.08 Kaliro-Iganga-24h'!G104)</f>
        <v>0</v>
      </c>
      <c r="H104" s="49">
        <f>AVERAGE('24.08 Kaliro-Iganga-24h'!H104,'26.08 Kaliro-Iganga-24h'!H104)</f>
        <v>0</v>
      </c>
      <c r="I104" s="49">
        <f>AVERAGE('24.08 Kaliro-Iganga-24h'!I104,'26.08 Kaliro-Iganga-24h'!I104)</f>
        <v>0</v>
      </c>
      <c r="J104" s="49">
        <f>AVERAGE('24.08 Kaliro-Iganga-24h'!J104,'26.08 Kaliro-Iganga-24h'!J104)</f>
        <v>0.5</v>
      </c>
      <c r="K104" s="49">
        <f>AVERAGE('24.08 Kaliro-Iganga-24h'!K104,'26.08 Kaliro-Iganga-24h'!K104)</f>
        <v>0.5</v>
      </c>
      <c r="L104" s="49">
        <f>AVERAGE('24.08 Kaliro-Iganga-24h'!L104,'26.08 Kaliro-Iganga-24h'!L104)</f>
        <v>0</v>
      </c>
      <c r="M104" s="49">
        <f>AVERAGE('24.08 Kaliro-Iganga-24h'!M104,'26.08 Kaliro-Iganga-24h'!M104)</f>
        <v>11.5</v>
      </c>
      <c r="N104" s="49">
        <f>AVERAGE('24.08 Kaliro-Iganga-24h'!N104,'26.08 Kaliro-Iganga-24h'!N104)</f>
        <v>0</v>
      </c>
      <c r="O104" s="15">
        <f t="shared" si="35"/>
        <v>9</v>
      </c>
      <c r="P104" s="15">
        <f t="shared" si="36"/>
        <v>20.5</v>
      </c>
      <c r="R104" s="8"/>
      <c r="T104"/>
    </row>
    <row r="105" spans="2:20" ht="23.1" customHeight="1" x14ac:dyDescent="0.25">
      <c r="B105" s="23" t="s">
        <v>145</v>
      </c>
      <c r="C105" s="49">
        <f>AVERAGE('24.08 Kaliro-Iganga-24h'!C105,'26.08 Kaliro-Iganga-24h'!C105)</f>
        <v>1</v>
      </c>
      <c r="D105" s="49">
        <f>AVERAGE('24.08 Kaliro-Iganga-24h'!D105,'26.08 Kaliro-Iganga-24h'!D105)</f>
        <v>1.5</v>
      </c>
      <c r="E105" s="49">
        <f>AVERAGE('24.08 Kaliro-Iganga-24h'!E105,'26.08 Kaliro-Iganga-24h'!E105)</f>
        <v>1</v>
      </c>
      <c r="F105" s="49">
        <f>AVERAGE('24.08 Kaliro-Iganga-24h'!F105,'26.08 Kaliro-Iganga-24h'!F105)</f>
        <v>6.5</v>
      </c>
      <c r="G105" s="49">
        <f>AVERAGE('24.08 Kaliro-Iganga-24h'!G105,'26.08 Kaliro-Iganga-24h'!G105)</f>
        <v>0</v>
      </c>
      <c r="H105" s="49">
        <f>AVERAGE('24.08 Kaliro-Iganga-24h'!H105,'26.08 Kaliro-Iganga-24h'!H105)</f>
        <v>0</v>
      </c>
      <c r="I105" s="49">
        <f>AVERAGE('24.08 Kaliro-Iganga-24h'!I105,'26.08 Kaliro-Iganga-24h'!I105)</f>
        <v>1.5</v>
      </c>
      <c r="J105" s="49">
        <f>AVERAGE('24.08 Kaliro-Iganga-24h'!J105,'26.08 Kaliro-Iganga-24h'!J105)</f>
        <v>0</v>
      </c>
      <c r="K105" s="49">
        <f>AVERAGE('24.08 Kaliro-Iganga-24h'!K105,'26.08 Kaliro-Iganga-24h'!K105)</f>
        <v>0</v>
      </c>
      <c r="L105" s="49">
        <f>AVERAGE('24.08 Kaliro-Iganga-24h'!L105,'26.08 Kaliro-Iganga-24h'!L105)</f>
        <v>0</v>
      </c>
      <c r="M105" s="49">
        <f>AVERAGE('24.08 Kaliro-Iganga-24h'!M105,'26.08 Kaliro-Iganga-24h'!M105)</f>
        <v>23.5</v>
      </c>
      <c r="N105" s="49">
        <f>AVERAGE('24.08 Kaliro-Iganga-24h'!N105,'26.08 Kaliro-Iganga-24h'!N105)</f>
        <v>0</v>
      </c>
      <c r="O105" s="15">
        <f t="shared" si="35"/>
        <v>11.5</v>
      </c>
      <c r="P105" s="15">
        <f t="shared" si="36"/>
        <v>35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220.21428571428572</v>
      </c>
      <c r="D106" s="16">
        <f t="shared" ref="D106:P106" si="37">SUM(D10:D105)</f>
        <v>81.571428571428569</v>
      </c>
      <c r="E106" s="16">
        <f t="shared" si="37"/>
        <v>94.214285714285722</v>
      </c>
      <c r="F106" s="16">
        <f t="shared" si="37"/>
        <v>240.92857142857139</v>
      </c>
      <c r="G106" s="16">
        <f t="shared" si="37"/>
        <v>5.7142857142857144</v>
      </c>
      <c r="H106" s="16">
        <f t="shared" si="37"/>
        <v>0.8571428571428571</v>
      </c>
      <c r="I106" s="16">
        <f t="shared" si="37"/>
        <v>100.35714285714286</v>
      </c>
      <c r="J106" s="16">
        <f t="shared" si="37"/>
        <v>65.214285714285722</v>
      </c>
      <c r="K106" s="16">
        <f t="shared" si="37"/>
        <v>15.000000000000004</v>
      </c>
      <c r="L106" s="16">
        <f t="shared" si="37"/>
        <v>7.8571428571428568</v>
      </c>
      <c r="M106" s="16">
        <f t="shared" si="37"/>
        <v>4579.0714285714284</v>
      </c>
      <c r="N106" s="16">
        <f t="shared" si="37"/>
        <v>1.6428571428571426</v>
      </c>
      <c r="O106" s="16">
        <f t="shared" si="37"/>
        <v>833.57142857142856</v>
      </c>
      <c r="P106" s="16">
        <f t="shared" si="37"/>
        <v>5412.6428571428569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4.0685168322842025E-2</v>
      </c>
      <c r="D107" s="43">
        <f t="shared" si="38"/>
        <v>1.5070535914591499E-2</v>
      </c>
      <c r="E107" s="43">
        <f t="shared" si="38"/>
        <v>1.7406337015189309E-2</v>
      </c>
      <c r="F107" s="43">
        <f t="shared" si="38"/>
        <v>4.4512187075233904E-2</v>
      </c>
      <c r="G107" s="43">
        <f t="shared" si="38"/>
        <v>1.0557293110046585E-3</v>
      </c>
      <c r="H107" s="43">
        <f t="shared" si="38"/>
        <v>1.5835939665069876E-4</v>
      </c>
      <c r="I107" s="43">
        <f t="shared" si="38"/>
        <v>1.8541246024519314E-2</v>
      </c>
      <c r="J107" s="43">
        <f t="shared" si="38"/>
        <v>1.2048510761840665E-2</v>
      </c>
      <c r="K107" s="43">
        <f t="shared" si="38"/>
        <v>2.771289441387229E-3</v>
      </c>
      <c r="L107" s="43">
        <f t="shared" si="38"/>
        <v>1.4516278026314054E-3</v>
      </c>
      <c r="M107" s="43">
        <f t="shared" si="38"/>
        <v>0.84599548675719549</v>
      </c>
      <c r="N107" s="43">
        <f t="shared" si="38"/>
        <v>3.0352217691383924E-4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0.26418166238217655</v>
      </c>
      <c r="D108" s="44">
        <f t="shared" ref="D108:N108" si="39">D106/$O$106</f>
        <v>9.785775492716367E-2</v>
      </c>
      <c r="E108" s="44">
        <f t="shared" si="39"/>
        <v>0.11302485004284492</v>
      </c>
      <c r="F108" s="44">
        <f t="shared" si="39"/>
        <v>0.28903170522707794</v>
      </c>
      <c r="G108" s="44">
        <f t="shared" si="39"/>
        <v>6.8551842330762643E-3</v>
      </c>
      <c r="H108" s="44">
        <f t="shared" si="39"/>
        <v>1.0282776349614395E-3</v>
      </c>
      <c r="I108" s="44">
        <f t="shared" si="39"/>
        <v>0.12039417309340189</v>
      </c>
      <c r="J108" s="44">
        <f t="shared" si="39"/>
        <v>7.8234790059982878E-2</v>
      </c>
      <c r="K108" s="44">
        <f t="shared" si="39"/>
        <v>1.7994858611825197E-2</v>
      </c>
      <c r="L108" s="44">
        <f t="shared" si="39"/>
        <v>9.4258783204798618E-3</v>
      </c>
      <c r="M108" s="44"/>
      <c r="N108" s="44">
        <f t="shared" si="39"/>
        <v>1.9708654670094255E-3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B1:AE1"/>
    <mergeCell ref="B2:AE2"/>
    <mergeCell ref="C3:G3"/>
    <mergeCell ref="G5:H5"/>
    <mergeCell ref="G6:H6"/>
    <mergeCell ref="R8:AF8"/>
    <mergeCell ref="D6:E6"/>
    <mergeCell ref="K5:L5"/>
    <mergeCell ref="K6:L6"/>
    <mergeCell ref="D5:E5"/>
  </mergeCells>
  <pageMargins left="0" right="0" top="0" bottom="0" header="0.15748031496063" footer="0.118110236220472"/>
  <pageSetup paperSize="9" scale="21" orientation="landscape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249977111117893"/>
  </sheetPr>
  <dimension ref="B1:AF174"/>
  <sheetViews>
    <sheetView view="pageBreakPreview" zoomScale="60" workbookViewId="0">
      <selection activeCell="J15" sqref="J15"/>
    </sheetView>
  </sheetViews>
  <sheetFormatPr defaultColWidth="15" defaultRowHeight="20.100000000000001" customHeight="1" x14ac:dyDescent="0.25"/>
  <cols>
    <col min="1" max="1" width="4.85546875" customWidth="1"/>
    <col min="2" max="2" width="17.85546875" customWidth="1"/>
    <col min="3" max="3" width="11" customWidth="1"/>
    <col min="4" max="4" width="14.42578125" customWidth="1"/>
    <col min="5" max="5" width="13.5703125" customWidth="1"/>
    <col min="6" max="6" width="12.5703125" customWidth="1"/>
    <col min="7" max="7" width="11" customWidth="1"/>
    <col min="8" max="8" width="13.5703125" customWidth="1"/>
    <col min="9" max="9" width="11" customWidth="1"/>
    <col min="10" max="10" width="13" customWidth="1"/>
    <col min="11" max="14" width="11" customWidth="1"/>
    <col min="15" max="15" width="12.28515625" customWidth="1"/>
    <col min="16" max="16" width="11" customWidth="1"/>
    <col min="17" max="17" width="2.28515625" customWidth="1"/>
    <col min="18" max="18" width="14.42578125" style="7" customWidth="1"/>
    <col min="19" max="20" width="10.7109375" style="8" customWidth="1"/>
    <col min="21" max="33" width="10.7109375" customWidth="1"/>
  </cols>
  <sheetData>
    <row r="1" spans="2:32" ht="23.25" customHeight="1" x14ac:dyDescent="0.3">
      <c r="B1" s="55" t="s">
        <v>23</v>
      </c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5"/>
      <c r="V1" s="55"/>
      <c r="W1" s="55"/>
      <c r="X1" s="55"/>
      <c r="Y1" s="55"/>
      <c r="Z1" s="55"/>
      <c r="AA1" s="55"/>
      <c r="AB1" s="55"/>
      <c r="AC1" s="55"/>
      <c r="AD1" s="55"/>
      <c r="AE1" s="55"/>
    </row>
    <row r="2" spans="2:32" ht="20.100000000000001" customHeight="1" x14ac:dyDescent="0.25">
      <c r="B2" s="56" t="s">
        <v>95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</row>
    <row r="3" spans="2:32" ht="20.100000000000001" customHeight="1" x14ac:dyDescent="0.25">
      <c r="B3" s="22" t="s">
        <v>96</v>
      </c>
      <c r="C3" s="60" t="str">
        <f>'28.08 Kaliro-Iganga'!C3:G3</f>
        <v>MCC - C3b- STN94 - IGANGA-KALIRO ROAD</v>
      </c>
      <c r="D3" s="60"/>
      <c r="E3" s="60"/>
      <c r="F3" s="60"/>
      <c r="G3" s="60"/>
      <c r="H3" s="22"/>
      <c r="I3" s="22"/>
      <c r="J3" s="22"/>
      <c r="K3" s="22"/>
      <c r="L3" s="22"/>
      <c r="M3" s="22"/>
      <c r="N3" s="22"/>
      <c r="O3" s="22"/>
      <c r="P3" s="22"/>
    </row>
    <row r="4" spans="2:32" ht="20.100000000000001" customHeight="1" x14ac:dyDescent="0.25">
      <c r="B4" s="22"/>
      <c r="C4" s="22"/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</row>
    <row r="5" spans="2:32" ht="20.100000000000001" customHeight="1" x14ac:dyDescent="0.25">
      <c r="C5" s="4" t="s">
        <v>3</v>
      </c>
      <c r="D5" s="63" t="s">
        <v>162</v>
      </c>
      <c r="E5" s="64"/>
      <c r="F5" s="41" t="s">
        <v>1</v>
      </c>
      <c r="G5" s="61" t="str">
        <f>'Avg Week Kaliro-Iganga'!G5:H5</f>
        <v>Kigulu</v>
      </c>
      <c r="H5" s="62"/>
      <c r="I5" s="14"/>
      <c r="J5" s="2" t="s">
        <v>5</v>
      </c>
      <c r="K5" s="61" t="str">
        <f>'Avg Week Kaliro-Iganga'!K5:L5</f>
        <v>Racheal</v>
      </c>
      <c r="L5" s="62"/>
      <c r="M5" s="10"/>
      <c r="N5" s="10"/>
      <c r="O5" s="3"/>
      <c r="P5" s="3"/>
    </row>
    <row r="6" spans="2:32" ht="23.25" customHeight="1" x14ac:dyDescent="0.25">
      <c r="C6" s="2" t="s">
        <v>4</v>
      </c>
      <c r="D6" s="65" t="s">
        <v>161</v>
      </c>
      <c r="E6" s="66"/>
      <c r="F6" s="2" t="s">
        <v>2</v>
      </c>
      <c r="G6" s="65" t="s">
        <v>161</v>
      </c>
      <c r="H6" s="66"/>
      <c r="J6" s="2" t="s">
        <v>21</v>
      </c>
      <c r="K6" s="61" t="str">
        <f>'Avg Week Kaliro-Iganga'!K6:L6</f>
        <v>Ivan</v>
      </c>
      <c r="L6" s="62"/>
      <c r="M6" s="10"/>
      <c r="N6" s="10"/>
      <c r="O6" s="3"/>
      <c r="P6" s="3"/>
    </row>
    <row r="7" spans="2:32" ht="20.100000000000001" customHeight="1" x14ac:dyDescent="0.25">
      <c r="B7" s="2"/>
      <c r="D7" s="3"/>
      <c r="E7" s="3"/>
      <c r="F7" s="3"/>
      <c r="G7" s="3"/>
      <c r="I7" s="2"/>
      <c r="L7" s="3"/>
      <c r="M7" s="3"/>
      <c r="N7" s="3"/>
    </row>
    <row r="8" spans="2:32" ht="50.25" customHeight="1" x14ac:dyDescent="0.25">
      <c r="B8" s="11" t="s">
        <v>0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R8" s="54" t="s">
        <v>88</v>
      </c>
      <c r="S8" s="54"/>
      <c r="T8" s="54"/>
      <c r="U8" s="54"/>
      <c r="V8" s="54"/>
      <c r="W8" s="54"/>
      <c r="X8" s="54"/>
      <c r="Y8" s="54"/>
      <c r="Z8" s="54"/>
      <c r="AA8" s="54"/>
      <c r="AB8" s="54"/>
      <c r="AC8" s="54"/>
      <c r="AD8" s="54"/>
      <c r="AE8" s="54"/>
      <c r="AF8" s="54"/>
    </row>
    <row r="9" spans="2:32" ht="51.75" customHeight="1" x14ac:dyDescent="0.25">
      <c r="B9" s="12"/>
      <c r="C9" s="13" t="s">
        <v>24</v>
      </c>
      <c r="D9" s="13" t="s">
        <v>25</v>
      </c>
      <c r="E9" s="13" t="s">
        <v>26</v>
      </c>
      <c r="F9" s="13" t="s">
        <v>27</v>
      </c>
      <c r="G9" s="13" t="s">
        <v>28</v>
      </c>
      <c r="H9" s="13" t="s">
        <v>29</v>
      </c>
      <c r="I9" s="13" t="s">
        <v>30</v>
      </c>
      <c r="J9" s="13" t="s">
        <v>31</v>
      </c>
      <c r="K9" s="13" t="s">
        <v>32</v>
      </c>
      <c r="L9" s="13" t="s">
        <v>33</v>
      </c>
      <c r="M9" s="13" t="s">
        <v>98</v>
      </c>
      <c r="N9" s="13" t="s">
        <v>97</v>
      </c>
      <c r="O9" s="11" t="s">
        <v>36</v>
      </c>
      <c r="P9" s="11" t="s">
        <v>22</v>
      </c>
      <c r="R9" s="9" t="s">
        <v>19</v>
      </c>
      <c r="S9" s="27" t="s">
        <v>24</v>
      </c>
      <c r="T9" s="27" t="s">
        <v>25</v>
      </c>
      <c r="U9" s="27" t="s">
        <v>26</v>
      </c>
      <c r="V9" s="27" t="s">
        <v>27</v>
      </c>
      <c r="W9" s="27" t="s">
        <v>28</v>
      </c>
      <c r="X9" s="27" t="s">
        <v>29</v>
      </c>
      <c r="Y9" s="27" t="s">
        <v>30</v>
      </c>
      <c r="Z9" s="27" t="s">
        <v>31</v>
      </c>
      <c r="AA9" s="27" t="s">
        <v>32</v>
      </c>
      <c r="AB9" s="27" t="s">
        <v>33</v>
      </c>
      <c r="AC9" s="27" t="s">
        <v>34</v>
      </c>
      <c r="AD9" s="27" t="s">
        <v>35</v>
      </c>
      <c r="AE9" s="30" t="s">
        <v>89</v>
      </c>
      <c r="AF9" s="30" t="s">
        <v>22</v>
      </c>
    </row>
    <row r="10" spans="2:32" ht="23.1" customHeight="1" x14ac:dyDescent="0.25">
      <c r="B10" s="23" t="s">
        <v>37</v>
      </c>
      <c r="C10" s="49">
        <f>'Avg WeeK Iganga-Kaliro'!C10+'Avg Week Kaliro-Iganga'!C10</f>
        <v>7.1428571428571423</v>
      </c>
      <c r="D10" s="49">
        <f>'Avg WeeK Iganga-Kaliro'!D10+'Avg Week Kaliro-Iganga'!D10</f>
        <v>4.2857142857142856</v>
      </c>
      <c r="E10" s="49">
        <f>'Avg WeeK Iganga-Kaliro'!E10+'Avg Week Kaliro-Iganga'!E10</f>
        <v>3.4285714285714288</v>
      </c>
      <c r="F10" s="49">
        <f>'Avg WeeK Iganga-Kaliro'!F10+'Avg Week Kaliro-Iganga'!F10</f>
        <v>10.428571428571429</v>
      </c>
      <c r="G10" s="49">
        <f>'Avg WeeK Iganga-Kaliro'!G10+'Avg Week Kaliro-Iganga'!G10</f>
        <v>1.7142857142857142</v>
      </c>
      <c r="H10" s="49">
        <f>'Avg WeeK Iganga-Kaliro'!H10+'Avg Week Kaliro-Iganga'!H10</f>
        <v>0.5714285714285714</v>
      </c>
      <c r="I10" s="49">
        <f>'Avg WeeK Iganga-Kaliro'!I10+'Avg Week Kaliro-Iganga'!I10</f>
        <v>3.2857142857142856</v>
      </c>
      <c r="J10" s="49">
        <f>'Avg WeeK Iganga-Kaliro'!J10+'Avg Week Kaliro-Iganga'!J10</f>
        <v>1</v>
      </c>
      <c r="K10" s="49">
        <f>'Avg WeeK Iganga-Kaliro'!K10+'Avg Week Kaliro-Iganga'!K10</f>
        <v>0.2857142857142857</v>
      </c>
      <c r="L10" s="49">
        <f>'Avg WeeK Iganga-Kaliro'!L10+'Avg Week Kaliro-Iganga'!L10</f>
        <v>0</v>
      </c>
      <c r="M10" s="49">
        <f>'Avg WeeK Iganga-Kaliro'!M10+'Avg Week Kaliro-Iganga'!M10</f>
        <v>103.71428571428572</v>
      </c>
      <c r="N10" s="49">
        <f>'Avg WeeK Iganga-Kaliro'!N10+'Avg Week Kaliro-Iganga'!N10</f>
        <v>0</v>
      </c>
      <c r="O10" s="15">
        <f t="shared" ref="O10:O73" si="0">SUM(C10:L10,N10)</f>
        <v>32.142857142857146</v>
      </c>
      <c r="P10" s="15">
        <f t="shared" ref="P10:P73" si="1">SUM(C10:N10)</f>
        <v>135.85714285714286</v>
      </c>
      <c r="R10" s="1" t="s">
        <v>6</v>
      </c>
      <c r="S10" s="17">
        <f t="shared" ref="S10:AF10" si="2">SUM(C10:C13)</f>
        <v>23.142857142857142</v>
      </c>
      <c r="T10" s="17">
        <f t="shared" si="2"/>
        <v>12.571428571428573</v>
      </c>
      <c r="U10" s="17">
        <f t="shared" si="2"/>
        <v>15</v>
      </c>
      <c r="V10" s="17">
        <f t="shared" si="2"/>
        <v>32</v>
      </c>
      <c r="W10" s="17">
        <f t="shared" si="2"/>
        <v>2.9999999999999996</v>
      </c>
      <c r="X10" s="17">
        <f t="shared" si="2"/>
        <v>1.7142857142857144</v>
      </c>
      <c r="Y10" s="17">
        <f t="shared" si="2"/>
        <v>12</v>
      </c>
      <c r="Z10" s="17">
        <f t="shared" si="2"/>
        <v>5.7142857142857144</v>
      </c>
      <c r="AA10" s="17">
        <f t="shared" si="2"/>
        <v>1.1428571428571428</v>
      </c>
      <c r="AB10" s="17">
        <f t="shared" si="2"/>
        <v>0</v>
      </c>
      <c r="AC10" s="17">
        <f t="shared" si="2"/>
        <v>485.57142857142861</v>
      </c>
      <c r="AD10" s="17">
        <f t="shared" si="2"/>
        <v>0.42857142857142855</v>
      </c>
      <c r="AE10" s="31">
        <f t="shared" si="2"/>
        <v>106.71428571428572</v>
      </c>
      <c r="AF10" s="31">
        <f t="shared" si="2"/>
        <v>592.28571428571422</v>
      </c>
    </row>
    <row r="11" spans="2:32" s="6" customFormat="1" ht="23.1" customHeight="1" x14ac:dyDescent="0.25">
      <c r="B11" s="23" t="s">
        <v>38</v>
      </c>
      <c r="C11" s="49">
        <f>'Avg WeeK Iganga-Kaliro'!C11+'Avg Week Kaliro-Iganga'!C11</f>
        <v>5.8571428571428577</v>
      </c>
      <c r="D11" s="49">
        <f>'Avg WeeK Iganga-Kaliro'!D11+'Avg Week Kaliro-Iganga'!D11</f>
        <v>2.4285714285714288</v>
      </c>
      <c r="E11" s="49">
        <f>'Avg WeeK Iganga-Kaliro'!E11+'Avg Week Kaliro-Iganga'!E11</f>
        <v>4.7142857142857144</v>
      </c>
      <c r="F11" s="49">
        <f>'Avg WeeK Iganga-Kaliro'!F11+'Avg Week Kaliro-Iganga'!F11</f>
        <v>9.2857142857142865</v>
      </c>
      <c r="G11" s="49">
        <f>'Avg WeeK Iganga-Kaliro'!G11+'Avg Week Kaliro-Iganga'!G11</f>
        <v>0.7142857142857143</v>
      </c>
      <c r="H11" s="49">
        <f>'Avg WeeK Iganga-Kaliro'!H11+'Avg Week Kaliro-Iganga'!H11</f>
        <v>0.2857142857142857</v>
      </c>
      <c r="I11" s="49">
        <f>'Avg WeeK Iganga-Kaliro'!I11+'Avg Week Kaliro-Iganga'!I11</f>
        <v>2</v>
      </c>
      <c r="J11" s="49">
        <f>'Avg WeeK Iganga-Kaliro'!J11+'Avg Week Kaliro-Iganga'!J11</f>
        <v>1.7142857142857142</v>
      </c>
      <c r="K11" s="49">
        <f>'Avg WeeK Iganga-Kaliro'!K11+'Avg Week Kaliro-Iganga'!K11</f>
        <v>0.2857142857142857</v>
      </c>
      <c r="L11" s="49">
        <f>'Avg WeeK Iganga-Kaliro'!L11+'Avg Week Kaliro-Iganga'!L11</f>
        <v>0</v>
      </c>
      <c r="M11" s="49">
        <f>'Avg WeeK Iganga-Kaliro'!M11+'Avg Week Kaliro-Iganga'!M11</f>
        <v>128.57142857142858</v>
      </c>
      <c r="N11" s="49">
        <f>'Avg WeeK Iganga-Kaliro'!N11+'Avg Week Kaliro-Iganga'!N11</f>
        <v>0.2857142857142857</v>
      </c>
      <c r="O11" s="15">
        <f t="shared" si="0"/>
        <v>27.571428571428569</v>
      </c>
      <c r="P11" s="15">
        <f t="shared" si="1"/>
        <v>156.14285714285714</v>
      </c>
      <c r="R11" s="1" t="s">
        <v>7</v>
      </c>
      <c r="S11" s="17">
        <f t="shared" ref="S11:AF11" si="3">SUM(C14:C17)</f>
        <v>23</v>
      </c>
      <c r="T11" s="17">
        <f t="shared" si="3"/>
        <v>12.714285714285715</v>
      </c>
      <c r="U11" s="17">
        <f t="shared" si="3"/>
        <v>8.4285714285714288</v>
      </c>
      <c r="V11" s="17">
        <f t="shared" si="3"/>
        <v>22</v>
      </c>
      <c r="W11" s="17">
        <f t="shared" si="3"/>
        <v>0.85714285714285698</v>
      </c>
      <c r="X11" s="17">
        <f t="shared" si="3"/>
        <v>0.14285714285714285</v>
      </c>
      <c r="Y11" s="17">
        <f t="shared" si="3"/>
        <v>8</v>
      </c>
      <c r="Z11" s="17">
        <f t="shared" si="3"/>
        <v>5.4285714285714288</v>
      </c>
      <c r="AA11" s="17">
        <f t="shared" si="3"/>
        <v>1.4285714285714284</v>
      </c>
      <c r="AB11" s="17">
        <f t="shared" si="3"/>
        <v>0</v>
      </c>
      <c r="AC11" s="17">
        <f t="shared" si="3"/>
        <v>533.14285714285711</v>
      </c>
      <c r="AD11" s="17">
        <f t="shared" si="3"/>
        <v>0.2857142857142857</v>
      </c>
      <c r="AE11" s="31">
        <f t="shared" si="3"/>
        <v>82.285714285714278</v>
      </c>
      <c r="AF11" s="31">
        <f t="shared" si="3"/>
        <v>615.42857142857144</v>
      </c>
    </row>
    <row r="12" spans="2:32" ht="23.1" customHeight="1" x14ac:dyDescent="0.25">
      <c r="B12" s="23" t="s">
        <v>39</v>
      </c>
      <c r="C12" s="49">
        <f>'Avg WeeK Iganga-Kaliro'!C12+'Avg Week Kaliro-Iganga'!C12</f>
        <v>5.1428571428571432</v>
      </c>
      <c r="D12" s="49">
        <f>'Avg WeeK Iganga-Kaliro'!D12+'Avg Week Kaliro-Iganga'!D12</f>
        <v>3.1428571428571432</v>
      </c>
      <c r="E12" s="49">
        <f>'Avg WeeK Iganga-Kaliro'!E12+'Avg Week Kaliro-Iganga'!E12</f>
        <v>3.7142857142857144</v>
      </c>
      <c r="F12" s="49">
        <f>'Avg WeeK Iganga-Kaliro'!F12+'Avg Week Kaliro-Iganga'!F12</f>
        <v>6.7142857142857135</v>
      </c>
      <c r="G12" s="49">
        <f>'Avg WeeK Iganga-Kaliro'!G12+'Avg Week Kaliro-Iganga'!G12</f>
        <v>0.14285714285714285</v>
      </c>
      <c r="H12" s="49">
        <f>'Avg WeeK Iganga-Kaliro'!H12+'Avg Week Kaliro-Iganga'!H12</f>
        <v>0</v>
      </c>
      <c r="I12" s="49">
        <f>'Avg WeeK Iganga-Kaliro'!I12+'Avg Week Kaliro-Iganga'!I12</f>
        <v>3.1428571428571432</v>
      </c>
      <c r="J12" s="49">
        <f>'Avg WeeK Iganga-Kaliro'!J12+'Avg Week Kaliro-Iganga'!J12</f>
        <v>2</v>
      </c>
      <c r="K12" s="49">
        <f>'Avg WeeK Iganga-Kaliro'!K12+'Avg Week Kaliro-Iganga'!K12</f>
        <v>0.5714285714285714</v>
      </c>
      <c r="L12" s="49">
        <f>'Avg WeeK Iganga-Kaliro'!L12+'Avg Week Kaliro-Iganga'!L12</f>
        <v>0</v>
      </c>
      <c r="M12" s="49">
        <f>'Avg WeeK Iganga-Kaliro'!M12+'Avg Week Kaliro-Iganga'!M12</f>
        <v>131</v>
      </c>
      <c r="N12" s="49">
        <f>'Avg WeeK Iganga-Kaliro'!N12+'Avg Week Kaliro-Iganga'!N12</f>
        <v>0.14285714285714285</v>
      </c>
      <c r="O12" s="15">
        <f t="shared" si="0"/>
        <v>24.714285714285715</v>
      </c>
      <c r="P12" s="15">
        <f t="shared" si="1"/>
        <v>155.71428571428572</v>
      </c>
      <c r="R12" s="1" t="s">
        <v>8</v>
      </c>
      <c r="S12" s="17">
        <f t="shared" ref="S12:AF12" si="4">SUM(C18:C21)</f>
        <v>28.142857142857146</v>
      </c>
      <c r="T12" s="17">
        <f t="shared" si="4"/>
        <v>11.285714285714285</v>
      </c>
      <c r="U12" s="17">
        <f t="shared" si="4"/>
        <v>10.285714285714285</v>
      </c>
      <c r="V12" s="17">
        <f t="shared" si="4"/>
        <v>25.857142857142858</v>
      </c>
      <c r="W12" s="17">
        <f t="shared" si="4"/>
        <v>2.7142857142857144</v>
      </c>
      <c r="X12" s="17">
        <f t="shared" si="4"/>
        <v>1</v>
      </c>
      <c r="Y12" s="17">
        <f t="shared" si="4"/>
        <v>10.714285714285714</v>
      </c>
      <c r="Z12" s="17">
        <f t="shared" si="4"/>
        <v>8.5714285714285712</v>
      </c>
      <c r="AA12" s="17">
        <f t="shared" si="4"/>
        <v>1.2857142857142856</v>
      </c>
      <c r="AB12" s="17">
        <f t="shared" si="4"/>
        <v>0</v>
      </c>
      <c r="AC12" s="17">
        <f t="shared" si="4"/>
        <v>590.42857142857144</v>
      </c>
      <c r="AD12" s="17">
        <f t="shared" si="4"/>
        <v>0.2857142857142857</v>
      </c>
      <c r="AE12" s="31">
        <f t="shared" si="4"/>
        <v>100.14285714285715</v>
      </c>
      <c r="AF12" s="31">
        <f t="shared" si="4"/>
        <v>690.57142857142856</v>
      </c>
    </row>
    <row r="13" spans="2:32" ht="23.1" customHeight="1" x14ac:dyDescent="0.25">
      <c r="B13" s="23" t="s">
        <v>40</v>
      </c>
      <c r="C13" s="49">
        <f>'Avg WeeK Iganga-Kaliro'!C13+'Avg Week Kaliro-Iganga'!C13</f>
        <v>5</v>
      </c>
      <c r="D13" s="49">
        <f>'Avg WeeK Iganga-Kaliro'!D13+'Avg Week Kaliro-Iganga'!D13</f>
        <v>2.7142857142857144</v>
      </c>
      <c r="E13" s="49">
        <f>'Avg WeeK Iganga-Kaliro'!E13+'Avg Week Kaliro-Iganga'!E13</f>
        <v>3.1428571428571428</v>
      </c>
      <c r="F13" s="49">
        <f>'Avg WeeK Iganga-Kaliro'!F13+'Avg Week Kaliro-Iganga'!F13</f>
        <v>5.5714285714285712</v>
      </c>
      <c r="G13" s="49">
        <f>'Avg WeeK Iganga-Kaliro'!G13+'Avg Week Kaliro-Iganga'!G13</f>
        <v>0.42857142857142855</v>
      </c>
      <c r="H13" s="49">
        <f>'Avg WeeK Iganga-Kaliro'!H13+'Avg Week Kaliro-Iganga'!H13</f>
        <v>0.85714285714285721</v>
      </c>
      <c r="I13" s="49">
        <f>'Avg WeeK Iganga-Kaliro'!I13+'Avg Week Kaliro-Iganga'!I13</f>
        <v>3.5714285714285712</v>
      </c>
      <c r="J13" s="49">
        <f>'Avg WeeK Iganga-Kaliro'!J13+'Avg Week Kaliro-Iganga'!J13</f>
        <v>1</v>
      </c>
      <c r="K13" s="49">
        <f>'Avg WeeK Iganga-Kaliro'!K13+'Avg Week Kaliro-Iganga'!K13</f>
        <v>0</v>
      </c>
      <c r="L13" s="49">
        <f>'Avg WeeK Iganga-Kaliro'!L13+'Avg Week Kaliro-Iganga'!L13</f>
        <v>0</v>
      </c>
      <c r="M13" s="49">
        <f>'Avg WeeK Iganga-Kaliro'!M13+'Avg Week Kaliro-Iganga'!M13</f>
        <v>122.28571428571428</v>
      </c>
      <c r="N13" s="49">
        <f>'Avg WeeK Iganga-Kaliro'!N13+'Avg Week Kaliro-Iganga'!N13</f>
        <v>0</v>
      </c>
      <c r="O13" s="15">
        <f t="shared" si="0"/>
        <v>22.285714285714285</v>
      </c>
      <c r="P13" s="15">
        <f t="shared" si="1"/>
        <v>144.57142857142856</v>
      </c>
      <c r="R13" s="1" t="s">
        <v>9</v>
      </c>
      <c r="S13" s="17">
        <f t="shared" ref="S13:AF13" si="5">SUM(C22:C25)</f>
        <v>32</v>
      </c>
      <c r="T13" s="17">
        <f t="shared" si="5"/>
        <v>14.142857142857142</v>
      </c>
      <c r="U13" s="17">
        <f t="shared" si="5"/>
        <v>11</v>
      </c>
      <c r="V13" s="17">
        <f t="shared" si="5"/>
        <v>26.571428571428573</v>
      </c>
      <c r="W13" s="17">
        <f t="shared" si="5"/>
        <v>0.71428571428571419</v>
      </c>
      <c r="X13" s="17">
        <f t="shared" si="5"/>
        <v>0.2857142857142857</v>
      </c>
      <c r="Y13" s="17">
        <f t="shared" si="5"/>
        <v>13.142857142857144</v>
      </c>
      <c r="Z13" s="17">
        <f t="shared" si="5"/>
        <v>9.2857142857142847</v>
      </c>
      <c r="AA13" s="17">
        <f t="shared" si="5"/>
        <v>1.1428571428571428</v>
      </c>
      <c r="AB13" s="17">
        <f t="shared" si="5"/>
        <v>0.14285714285714285</v>
      </c>
      <c r="AC13" s="17">
        <f t="shared" si="5"/>
        <v>620.42857142857133</v>
      </c>
      <c r="AD13" s="17">
        <f t="shared" si="5"/>
        <v>0.5714285714285714</v>
      </c>
      <c r="AE13" s="31">
        <f t="shared" si="5"/>
        <v>109</v>
      </c>
      <c r="AF13" s="31">
        <f t="shared" si="5"/>
        <v>729.42857142857133</v>
      </c>
    </row>
    <row r="14" spans="2:32" ht="23.1" customHeight="1" x14ac:dyDescent="0.25">
      <c r="B14" s="23" t="s">
        <v>41</v>
      </c>
      <c r="C14" s="49">
        <f>'Avg WeeK Iganga-Kaliro'!C14+'Avg Week Kaliro-Iganga'!C14</f>
        <v>6.7142857142857144</v>
      </c>
      <c r="D14" s="49">
        <f>'Avg WeeK Iganga-Kaliro'!D14+'Avg Week Kaliro-Iganga'!D14</f>
        <v>4</v>
      </c>
      <c r="E14" s="49">
        <f>'Avg WeeK Iganga-Kaliro'!E14+'Avg Week Kaliro-Iganga'!E14</f>
        <v>2.1428571428571428</v>
      </c>
      <c r="F14" s="49">
        <f>'Avg WeeK Iganga-Kaliro'!F14+'Avg Week Kaliro-Iganga'!F14</f>
        <v>5.7142857142857144</v>
      </c>
      <c r="G14" s="49">
        <f>'Avg WeeK Iganga-Kaliro'!G14+'Avg Week Kaliro-Iganga'!G14</f>
        <v>0.42857142857142855</v>
      </c>
      <c r="H14" s="49">
        <f>'Avg WeeK Iganga-Kaliro'!H14+'Avg Week Kaliro-Iganga'!H14</f>
        <v>0</v>
      </c>
      <c r="I14" s="49">
        <f>'Avg WeeK Iganga-Kaliro'!I14+'Avg Week Kaliro-Iganga'!I14</f>
        <v>2.4285714285714288</v>
      </c>
      <c r="J14" s="49">
        <f>'Avg WeeK Iganga-Kaliro'!J14+'Avg Week Kaliro-Iganga'!J14</f>
        <v>1.2857142857142856</v>
      </c>
      <c r="K14" s="49">
        <f>'Avg WeeK Iganga-Kaliro'!K14+'Avg Week Kaliro-Iganga'!K14</f>
        <v>0.71428571428571419</v>
      </c>
      <c r="L14" s="49">
        <f>'Avg WeeK Iganga-Kaliro'!L14+'Avg Week Kaliro-Iganga'!L14</f>
        <v>0</v>
      </c>
      <c r="M14" s="49">
        <f>'Avg WeeK Iganga-Kaliro'!M14+'Avg Week Kaliro-Iganga'!M14</f>
        <v>113.85714285714286</v>
      </c>
      <c r="N14" s="49">
        <f>'Avg WeeK Iganga-Kaliro'!N14+'Avg Week Kaliro-Iganga'!N14</f>
        <v>0</v>
      </c>
      <c r="O14" s="15">
        <f t="shared" si="0"/>
        <v>23.428571428571431</v>
      </c>
      <c r="P14" s="15">
        <f t="shared" si="1"/>
        <v>137.28571428571428</v>
      </c>
      <c r="R14" s="1" t="s">
        <v>10</v>
      </c>
      <c r="S14" s="17">
        <f t="shared" ref="S14:AF14" si="6">SUM(C26:C29)</f>
        <v>33.857142857142861</v>
      </c>
      <c r="T14" s="17">
        <f t="shared" si="6"/>
        <v>12.428571428571427</v>
      </c>
      <c r="U14" s="17">
        <f t="shared" si="6"/>
        <v>11.428571428571427</v>
      </c>
      <c r="V14" s="17">
        <f t="shared" si="6"/>
        <v>23.571428571428573</v>
      </c>
      <c r="W14" s="17">
        <f t="shared" si="6"/>
        <v>0.5714285714285714</v>
      </c>
      <c r="X14" s="17">
        <f t="shared" si="6"/>
        <v>0.14285714285714285</v>
      </c>
      <c r="Y14" s="17">
        <f t="shared" si="6"/>
        <v>11.571428571428573</v>
      </c>
      <c r="Z14" s="17">
        <f t="shared" si="6"/>
        <v>9.4285714285714288</v>
      </c>
      <c r="AA14" s="17">
        <f t="shared" si="6"/>
        <v>1.1428571428571428</v>
      </c>
      <c r="AB14" s="17">
        <f t="shared" si="6"/>
        <v>0.2857142857142857</v>
      </c>
      <c r="AC14" s="17">
        <f t="shared" si="6"/>
        <v>638.57142857142856</v>
      </c>
      <c r="AD14" s="17">
        <f t="shared" si="6"/>
        <v>0.2857142857142857</v>
      </c>
      <c r="AE14" s="31">
        <f t="shared" si="6"/>
        <v>104.71428571428571</v>
      </c>
      <c r="AF14" s="31">
        <f t="shared" si="6"/>
        <v>743.28571428571422</v>
      </c>
    </row>
    <row r="15" spans="2:32" ht="23.1" customHeight="1" x14ac:dyDescent="0.25">
      <c r="B15" s="23" t="s">
        <v>42</v>
      </c>
      <c r="C15" s="49">
        <f>'Avg WeeK Iganga-Kaliro'!C15+'Avg Week Kaliro-Iganga'!C15</f>
        <v>6</v>
      </c>
      <c r="D15" s="49">
        <f>'Avg WeeK Iganga-Kaliro'!D15+'Avg Week Kaliro-Iganga'!D15</f>
        <v>3.5714285714285716</v>
      </c>
      <c r="E15" s="49">
        <f>'Avg WeeK Iganga-Kaliro'!E15+'Avg Week Kaliro-Iganga'!E15</f>
        <v>2.8571428571428572</v>
      </c>
      <c r="F15" s="49">
        <f>'Avg WeeK Iganga-Kaliro'!F15+'Avg Week Kaliro-Iganga'!F15</f>
        <v>4.8571428571428577</v>
      </c>
      <c r="G15" s="49">
        <f>'Avg WeeK Iganga-Kaliro'!G15+'Avg Week Kaliro-Iganga'!G15</f>
        <v>0.2857142857142857</v>
      </c>
      <c r="H15" s="49">
        <f>'Avg WeeK Iganga-Kaliro'!H15+'Avg Week Kaliro-Iganga'!H15</f>
        <v>0</v>
      </c>
      <c r="I15" s="49">
        <f>'Avg WeeK Iganga-Kaliro'!I15+'Avg Week Kaliro-Iganga'!I15</f>
        <v>1.7142857142857144</v>
      </c>
      <c r="J15" s="49">
        <f>'Avg WeeK Iganga-Kaliro'!J15+'Avg Week Kaliro-Iganga'!J15</f>
        <v>1.1428571428571428</v>
      </c>
      <c r="K15" s="49">
        <f>'Avg WeeK Iganga-Kaliro'!K15+'Avg Week Kaliro-Iganga'!K15</f>
        <v>0.2857142857142857</v>
      </c>
      <c r="L15" s="49">
        <f>'Avg WeeK Iganga-Kaliro'!L15+'Avg Week Kaliro-Iganga'!L15</f>
        <v>0</v>
      </c>
      <c r="M15" s="49">
        <f>'Avg WeeK Iganga-Kaliro'!M15+'Avg Week Kaliro-Iganga'!M15</f>
        <v>116.14285714285714</v>
      </c>
      <c r="N15" s="49">
        <f>'Avg WeeK Iganga-Kaliro'!N15+'Avg Week Kaliro-Iganga'!N15</f>
        <v>0</v>
      </c>
      <c r="O15" s="15">
        <f t="shared" si="0"/>
        <v>20.714285714285712</v>
      </c>
      <c r="P15" s="15">
        <f t="shared" si="1"/>
        <v>136.85714285714286</v>
      </c>
      <c r="R15" s="1" t="s">
        <v>11</v>
      </c>
      <c r="S15" s="17">
        <f t="shared" ref="S15:AF15" si="7">SUM(C30:C33)</f>
        <v>25.571428571428573</v>
      </c>
      <c r="T15" s="17">
        <f t="shared" si="7"/>
        <v>13.142857142857142</v>
      </c>
      <c r="U15" s="17">
        <f t="shared" si="7"/>
        <v>9</v>
      </c>
      <c r="V15" s="17">
        <f t="shared" si="7"/>
        <v>24.714285714285715</v>
      </c>
      <c r="W15" s="17">
        <f t="shared" si="7"/>
        <v>1</v>
      </c>
      <c r="X15" s="17">
        <f t="shared" si="7"/>
        <v>0.2857142857142857</v>
      </c>
      <c r="Y15" s="17">
        <f t="shared" si="7"/>
        <v>12</v>
      </c>
      <c r="Z15" s="17">
        <f t="shared" si="7"/>
        <v>8.5714285714285712</v>
      </c>
      <c r="AA15" s="17">
        <f t="shared" si="7"/>
        <v>1.4285714285714284</v>
      </c>
      <c r="AB15" s="17">
        <f t="shared" si="7"/>
        <v>0.2857142857142857</v>
      </c>
      <c r="AC15" s="17">
        <f t="shared" si="7"/>
        <v>607.71428571428578</v>
      </c>
      <c r="AD15" s="17">
        <f t="shared" si="7"/>
        <v>0.2857142857142857</v>
      </c>
      <c r="AE15" s="31">
        <f t="shared" si="7"/>
        <v>96.285714285714292</v>
      </c>
      <c r="AF15" s="31">
        <f t="shared" si="7"/>
        <v>704</v>
      </c>
    </row>
    <row r="16" spans="2:32" ht="23.1" customHeight="1" x14ac:dyDescent="0.25">
      <c r="B16" s="23" t="s">
        <v>43</v>
      </c>
      <c r="C16" s="49">
        <f>'Avg WeeK Iganga-Kaliro'!C16+'Avg Week Kaliro-Iganga'!C16</f>
        <v>4.5714285714285712</v>
      </c>
      <c r="D16" s="49">
        <f>'Avg WeeK Iganga-Kaliro'!D16+'Avg Week Kaliro-Iganga'!D16</f>
        <v>2.2857142857142856</v>
      </c>
      <c r="E16" s="49">
        <f>'Avg WeeK Iganga-Kaliro'!E16+'Avg Week Kaliro-Iganga'!E16</f>
        <v>1</v>
      </c>
      <c r="F16" s="49">
        <f>'Avg WeeK Iganga-Kaliro'!F16+'Avg Week Kaliro-Iganga'!F16</f>
        <v>5.2857142857142856</v>
      </c>
      <c r="G16" s="49">
        <f>'Avg WeeK Iganga-Kaliro'!G16+'Avg Week Kaliro-Iganga'!G16</f>
        <v>0.14285714285714285</v>
      </c>
      <c r="H16" s="49">
        <f>'Avg WeeK Iganga-Kaliro'!H16+'Avg Week Kaliro-Iganga'!H16</f>
        <v>0.14285714285714285</v>
      </c>
      <c r="I16" s="49">
        <f>'Avg WeeK Iganga-Kaliro'!I16+'Avg Week Kaliro-Iganga'!I16</f>
        <v>2</v>
      </c>
      <c r="J16" s="49">
        <f>'Avg WeeK Iganga-Kaliro'!J16+'Avg Week Kaliro-Iganga'!J16</f>
        <v>1.2857142857142856</v>
      </c>
      <c r="K16" s="49">
        <f>'Avg WeeK Iganga-Kaliro'!K16+'Avg Week Kaliro-Iganga'!K16</f>
        <v>0.14285714285714285</v>
      </c>
      <c r="L16" s="49">
        <f>'Avg WeeK Iganga-Kaliro'!L16+'Avg Week Kaliro-Iganga'!L16</f>
        <v>0</v>
      </c>
      <c r="M16" s="49">
        <f>'Avg WeeK Iganga-Kaliro'!M16+'Avg Week Kaliro-Iganga'!M16</f>
        <v>147.42857142857144</v>
      </c>
      <c r="N16" s="49">
        <f>'Avg WeeK Iganga-Kaliro'!N16+'Avg Week Kaliro-Iganga'!N16</f>
        <v>0.14285714285714285</v>
      </c>
      <c r="O16" s="15">
        <f t="shared" si="0"/>
        <v>16.999999999999996</v>
      </c>
      <c r="P16" s="15">
        <f t="shared" si="1"/>
        <v>164.42857142857144</v>
      </c>
      <c r="R16" s="1" t="s">
        <v>12</v>
      </c>
      <c r="S16" s="17">
        <f t="shared" ref="S16:AF16" si="8">SUM(C34:C37)</f>
        <v>27.571428571428569</v>
      </c>
      <c r="T16" s="17">
        <f t="shared" si="8"/>
        <v>14.428571428571427</v>
      </c>
      <c r="U16" s="17">
        <f t="shared" si="8"/>
        <v>12.285714285714286</v>
      </c>
      <c r="V16" s="17">
        <f t="shared" si="8"/>
        <v>27.285714285714288</v>
      </c>
      <c r="W16" s="17">
        <f t="shared" si="8"/>
        <v>1.857142857142857</v>
      </c>
      <c r="X16" s="17">
        <f t="shared" si="8"/>
        <v>0.71428571428571419</v>
      </c>
      <c r="Y16" s="17">
        <f t="shared" si="8"/>
        <v>10.857142857142858</v>
      </c>
      <c r="Z16" s="17">
        <f t="shared" si="8"/>
        <v>9.428571428571427</v>
      </c>
      <c r="AA16" s="17">
        <f t="shared" si="8"/>
        <v>1.1428571428571428</v>
      </c>
      <c r="AB16" s="17">
        <f t="shared" si="8"/>
        <v>0.42857142857142855</v>
      </c>
      <c r="AC16" s="17">
        <f t="shared" si="8"/>
        <v>568.71428571428578</v>
      </c>
      <c r="AD16" s="17">
        <f t="shared" si="8"/>
        <v>0</v>
      </c>
      <c r="AE16" s="31">
        <f t="shared" si="8"/>
        <v>105.99999999999999</v>
      </c>
      <c r="AF16" s="31">
        <f t="shared" si="8"/>
        <v>674.71428571428578</v>
      </c>
    </row>
    <row r="17" spans="2:32" ht="23.1" customHeight="1" x14ac:dyDescent="0.25">
      <c r="B17" s="23" t="s">
        <v>44</v>
      </c>
      <c r="C17" s="49">
        <f>'Avg WeeK Iganga-Kaliro'!C17+'Avg Week Kaliro-Iganga'!C17</f>
        <v>5.7142857142857144</v>
      </c>
      <c r="D17" s="49">
        <f>'Avg WeeK Iganga-Kaliro'!D17+'Avg Week Kaliro-Iganga'!D17</f>
        <v>2.8571428571428568</v>
      </c>
      <c r="E17" s="49">
        <f>'Avg WeeK Iganga-Kaliro'!E17+'Avg Week Kaliro-Iganga'!E17</f>
        <v>2.4285714285714288</v>
      </c>
      <c r="F17" s="49">
        <f>'Avg WeeK Iganga-Kaliro'!F17+'Avg Week Kaliro-Iganga'!F17</f>
        <v>6.1428571428571423</v>
      </c>
      <c r="G17" s="49">
        <f>'Avg WeeK Iganga-Kaliro'!G17+'Avg Week Kaliro-Iganga'!G17</f>
        <v>0</v>
      </c>
      <c r="H17" s="49">
        <f>'Avg WeeK Iganga-Kaliro'!H17+'Avg Week Kaliro-Iganga'!H17</f>
        <v>0</v>
      </c>
      <c r="I17" s="49">
        <f>'Avg WeeK Iganga-Kaliro'!I17+'Avg Week Kaliro-Iganga'!I17</f>
        <v>1.8571428571428572</v>
      </c>
      <c r="J17" s="49">
        <f>'Avg WeeK Iganga-Kaliro'!J17+'Avg Week Kaliro-Iganga'!J17</f>
        <v>1.7142857142857144</v>
      </c>
      <c r="K17" s="49">
        <f>'Avg WeeK Iganga-Kaliro'!K17+'Avg Week Kaliro-Iganga'!K17</f>
        <v>0.2857142857142857</v>
      </c>
      <c r="L17" s="49">
        <f>'Avg WeeK Iganga-Kaliro'!L17+'Avg Week Kaliro-Iganga'!L17</f>
        <v>0</v>
      </c>
      <c r="M17" s="49">
        <f>'Avg WeeK Iganga-Kaliro'!M17+'Avg Week Kaliro-Iganga'!M17</f>
        <v>155.71428571428572</v>
      </c>
      <c r="N17" s="49">
        <f>'Avg WeeK Iganga-Kaliro'!N17+'Avg Week Kaliro-Iganga'!N17</f>
        <v>0.14285714285714285</v>
      </c>
      <c r="O17" s="15">
        <f t="shared" si="0"/>
        <v>21.142857142857142</v>
      </c>
      <c r="P17" s="15">
        <f t="shared" si="1"/>
        <v>176.85714285714286</v>
      </c>
      <c r="R17" s="1" t="s">
        <v>13</v>
      </c>
      <c r="S17" s="17">
        <f t="shared" ref="S17:AF17" si="9">SUM(C38:C41)</f>
        <v>31.571428571428569</v>
      </c>
      <c r="T17" s="17">
        <f t="shared" si="9"/>
        <v>16.571428571428573</v>
      </c>
      <c r="U17" s="17">
        <f t="shared" si="9"/>
        <v>11</v>
      </c>
      <c r="V17" s="17">
        <f t="shared" si="9"/>
        <v>33.285714285714285</v>
      </c>
      <c r="W17" s="17">
        <f t="shared" si="9"/>
        <v>0.5714285714285714</v>
      </c>
      <c r="X17" s="17">
        <f t="shared" si="9"/>
        <v>0.8571428571428571</v>
      </c>
      <c r="Y17" s="17">
        <f t="shared" si="9"/>
        <v>10.285714285714285</v>
      </c>
      <c r="Z17" s="17">
        <f t="shared" si="9"/>
        <v>11.428571428571427</v>
      </c>
      <c r="AA17" s="17">
        <f t="shared" si="9"/>
        <v>0.5714285714285714</v>
      </c>
      <c r="AB17" s="17">
        <f t="shared" si="9"/>
        <v>1.1428571428571428</v>
      </c>
      <c r="AC17" s="17">
        <f t="shared" si="9"/>
        <v>556.42857142857144</v>
      </c>
      <c r="AD17" s="17">
        <f t="shared" si="9"/>
        <v>0.14285714285714285</v>
      </c>
      <c r="AE17" s="31">
        <f t="shared" si="9"/>
        <v>117.42857142857142</v>
      </c>
      <c r="AF17" s="31">
        <f t="shared" si="9"/>
        <v>673.85714285714289</v>
      </c>
    </row>
    <row r="18" spans="2:32" ht="23.1" customHeight="1" x14ac:dyDescent="0.25">
      <c r="B18" s="23" t="s">
        <v>45</v>
      </c>
      <c r="C18" s="49">
        <f>'Avg WeeK Iganga-Kaliro'!C18+'Avg Week Kaliro-Iganga'!C18</f>
        <v>6.8571428571428577</v>
      </c>
      <c r="D18" s="49">
        <f>'Avg WeeK Iganga-Kaliro'!D18+'Avg Week Kaliro-Iganga'!D18</f>
        <v>2.8571428571428572</v>
      </c>
      <c r="E18" s="49">
        <f>'Avg WeeK Iganga-Kaliro'!E18+'Avg Week Kaliro-Iganga'!E18</f>
        <v>2.4285714285714288</v>
      </c>
      <c r="F18" s="49">
        <f>'Avg WeeK Iganga-Kaliro'!F18+'Avg Week Kaliro-Iganga'!F18</f>
        <v>6.8571428571428577</v>
      </c>
      <c r="G18" s="49">
        <f>'Avg WeeK Iganga-Kaliro'!G18+'Avg Week Kaliro-Iganga'!G18</f>
        <v>0.42857142857142855</v>
      </c>
      <c r="H18" s="49">
        <f>'Avg WeeK Iganga-Kaliro'!H18+'Avg Week Kaliro-Iganga'!H18</f>
        <v>0</v>
      </c>
      <c r="I18" s="49">
        <f>'Avg WeeK Iganga-Kaliro'!I18+'Avg Week Kaliro-Iganga'!I18</f>
        <v>2.5714285714285712</v>
      </c>
      <c r="J18" s="49">
        <f>'Avg WeeK Iganga-Kaliro'!J18+'Avg Week Kaliro-Iganga'!J18</f>
        <v>1.1428571428571428</v>
      </c>
      <c r="K18" s="49">
        <f>'Avg WeeK Iganga-Kaliro'!K18+'Avg Week Kaliro-Iganga'!K18</f>
        <v>0.42857142857142855</v>
      </c>
      <c r="L18" s="49">
        <f>'Avg WeeK Iganga-Kaliro'!L18+'Avg Week Kaliro-Iganga'!L18</f>
        <v>0</v>
      </c>
      <c r="M18" s="49">
        <f>'Avg WeeK Iganga-Kaliro'!M18+'Avg Week Kaliro-Iganga'!M18</f>
        <v>156.14285714285714</v>
      </c>
      <c r="N18" s="49">
        <f>'Avg WeeK Iganga-Kaliro'!N18+'Avg Week Kaliro-Iganga'!N18</f>
        <v>0</v>
      </c>
      <c r="O18" s="15">
        <f t="shared" si="0"/>
        <v>23.571428571428569</v>
      </c>
      <c r="P18" s="15">
        <f t="shared" si="1"/>
        <v>179.71428571428572</v>
      </c>
      <c r="R18" s="1" t="s">
        <v>14</v>
      </c>
      <c r="S18" s="17">
        <f t="shared" ref="S18:AF18" si="10">SUM(C42:C45)</f>
        <v>31.714285714285715</v>
      </c>
      <c r="T18" s="17">
        <f t="shared" si="10"/>
        <v>17</v>
      </c>
      <c r="U18" s="17">
        <f t="shared" si="10"/>
        <v>16.571428571428569</v>
      </c>
      <c r="V18" s="17">
        <f t="shared" si="10"/>
        <v>35.428571428571431</v>
      </c>
      <c r="W18" s="17">
        <f t="shared" si="10"/>
        <v>1.2857142857142856</v>
      </c>
      <c r="X18" s="17">
        <f t="shared" si="10"/>
        <v>0.2857142857142857</v>
      </c>
      <c r="Y18" s="17">
        <f t="shared" si="10"/>
        <v>14.142857142857142</v>
      </c>
      <c r="Z18" s="17">
        <f t="shared" si="10"/>
        <v>9.5714285714285712</v>
      </c>
      <c r="AA18" s="17">
        <f t="shared" si="10"/>
        <v>1.2857142857142856</v>
      </c>
      <c r="AB18" s="17">
        <f t="shared" si="10"/>
        <v>0.14285714285714285</v>
      </c>
      <c r="AC18" s="17">
        <f t="shared" si="10"/>
        <v>587.42857142857133</v>
      </c>
      <c r="AD18" s="17">
        <f t="shared" si="10"/>
        <v>0</v>
      </c>
      <c r="AE18" s="31">
        <f t="shared" si="10"/>
        <v>127.42857142857144</v>
      </c>
      <c r="AF18" s="31">
        <f t="shared" si="10"/>
        <v>714.85714285714289</v>
      </c>
    </row>
    <row r="19" spans="2:32" ht="23.1" customHeight="1" x14ac:dyDescent="0.25">
      <c r="B19" s="23" t="s">
        <v>46</v>
      </c>
      <c r="C19" s="49">
        <f>'Avg WeeK Iganga-Kaliro'!C19+'Avg Week Kaliro-Iganga'!C19</f>
        <v>7</v>
      </c>
      <c r="D19" s="49">
        <f>'Avg WeeK Iganga-Kaliro'!D19+'Avg Week Kaliro-Iganga'!D19</f>
        <v>3.7142857142857144</v>
      </c>
      <c r="E19" s="49">
        <f>'Avg WeeK Iganga-Kaliro'!E19+'Avg Week Kaliro-Iganga'!E19</f>
        <v>3.1428571428571428</v>
      </c>
      <c r="F19" s="49">
        <f>'Avg WeeK Iganga-Kaliro'!F19+'Avg Week Kaliro-Iganga'!F19</f>
        <v>8.1428571428571423</v>
      </c>
      <c r="G19" s="49">
        <f>'Avg WeeK Iganga-Kaliro'!G19+'Avg Week Kaliro-Iganga'!G19</f>
        <v>0.5714285714285714</v>
      </c>
      <c r="H19" s="49">
        <f>'Avg WeeK Iganga-Kaliro'!H19+'Avg Week Kaliro-Iganga'!H19</f>
        <v>1</v>
      </c>
      <c r="I19" s="49">
        <f>'Avg WeeK Iganga-Kaliro'!I19+'Avg Week Kaliro-Iganga'!I19</f>
        <v>3.1428571428571428</v>
      </c>
      <c r="J19" s="49">
        <f>'Avg WeeK Iganga-Kaliro'!J19+'Avg Week Kaliro-Iganga'!J19</f>
        <v>2.5714285714285712</v>
      </c>
      <c r="K19" s="49">
        <f>'Avg WeeK Iganga-Kaliro'!K19+'Avg Week Kaliro-Iganga'!K19</f>
        <v>0.5714285714285714</v>
      </c>
      <c r="L19" s="49">
        <f>'Avg WeeK Iganga-Kaliro'!L19+'Avg Week Kaliro-Iganga'!L19</f>
        <v>0</v>
      </c>
      <c r="M19" s="49">
        <f>'Avg WeeK Iganga-Kaliro'!M19+'Avg Week Kaliro-Iganga'!M19</f>
        <v>150.42857142857144</v>
      </c>
      <c r="N19" s="49">
        <f>'Avg WeeK Iganga-Kaliro'!N19+'Avg Week Kaliro-Iganga'!N19</f>
        <v>0.14285714285714285</v>
      </c>
      <c r="O19" s="15">
        <f t="shared" si="0"/>
        <v>30</v>
      </c>
      <c r="P19" s="15">
        <f t="shared" si="1"/>
        <v>180.42857142857144</v>
      </c>
      <c r="R19" s="1" t="s">
        <v>15</v>
      </c>
      <c r="S19" s="17">
        <f t="shared" ref="S19:AF19" si="11">SUM(C46:C49)</f>
        <v>27.571428571428569</v>
      </c>
      <c r="T19" s="17">
        <f t="shared" si="11"/>
        <v>18</v>
      </c>
      <c r="U19" s="17">
        <f t="shared" si="11"/>
        <v>14.714285714285714</v>
      </c>
      <c r="V19" s="17">
        <f t="shared" si="11"/>
        <v>35.142857142857139</v>
      </c>
      <c r="W19" s="17">
        <f t="shared" si="11"/>
        <v>0.71428571428571419</v>
      </c>
      <c r="X19" s="17">
        <f t="shared" si="11"/>
        <v>0.14285714285714285</v>
      </c>
      <c r="Y19" s="17">
        <f t="shared" si="11"/>
        <v>11.714285714285714</v>
      </c>
      <c r="Z19" s="17">
        <f t="shared" si="11"/>
        <v>6.1428571428571432</v>
      </c>
      <c r="AA19" s="17">
        <f t="shared" si="11"/>
        <v>1.1428571428571428</v>
      </c>
      <c r="AB19" s="17">
        <f t="shared" si="11"/>
        <v>0.42857142857142855</v>
      </c>
      <c r="AC19" s="17">
        <f t="shared" si="11"/>
        <v>563.57142857142856</v>
      </c>
      <c r="AD19" s="17">
        <f t="shared" si="11"/>
        <v>0.5714285714285714</v>
      </c>
      <c r="AE19" s="31">
        <f t="shared" si="11"/>
        <v>116.28571428571428</v>
      </c>
      <c r="AF19" s="31">
        <f t="shared" si="11"/>
        <v>679.85714285714289</v>
      </c>
    </row>
    <row r="20" spans="2:32" ht="23.1" customHeight="1" x14ac:dyDescent="0.25">
      <c r="B20" s="23" t="s">
        <v>47</v>
      </c>
      <c r="C20" s="49">
        <f>'Avg WeeK Iganga-Kaliro'!C20+'Avg Week Kaliro-Iganga'!C20</f>
        <v>8</v>
      </c>
      <c r="D20" s="49">
        <f>'Avg WeeK Iganga-Kaliro'!D20+'Avg Week Kaliro-Iganga'!D20</f>
        <v>2.4285714285714284</v>
      </c>
      <c r="E20" s="49">
        <f>'Avg WeeK Iganga-Kaliro'!E20+'Avg Week Kaliro-Iganga'!E20</f>
        <v>2</v>
      </c>
      <c r="F20" s="49">
        <f>'Avg WeeK Iganga-Kaliro'!F20+'Avg Week Kaliro-Iganga'!F20</f>
        <v>7</v>
      </c>
      <c r="G20" s="49">
        <f>'Avg WeeK Iganga-Kaliro'!G20+'Avg Week Kaliro-Iganga'!G20</f>
        <v>0.71428571428571419</v>
      </c>
      <c r="H20" s="49">
        <f>'Avg WeeK Iganga-Kaliro'!H20+'Avg Week Kaliro-Iganga'!H20</f>
        <v>0</v>
      </c>
      <c r="I20" s="49">
        <f>'Avg WeeK Iganga-Kaliro'!I20+'Avg Week Kaliro-Iganga'!I20</f>
        <v>1.8571428571428572</v>
      </c>
      <c r="J20" s="49">
        <f>'Avg WeeK Iganga-Kaliro'!J20+'Avg Week Kaliro-Iganga'!J20</f>
        <v>3.1428571428571428</v>
      </c>
      <c r="K20" s="49">
        <f>'Avg WeeK Iganga-Kaliro'!K20+'Avg Week Kaliro-Iganga'!K20</f>
        <v>0.14285714285714285</v>
      </c>
      <c r="L20" s="49">
        <f>'Avg WeeK Iganga-Kaliro'!L20+'Avg Week Kaliro-Iganga'!L20</f>
        <v>0</v>
      </c>
      <c r="M20" s="49">
        <f>'Avg WeeK Iganga-Kaliro'!M20+'Avg Week Kaliro-Iganga'!M20</f>
        <v>147.71428571428572</v>
      </c>
      <c r="N20" s="49">
        <f>'Avg WeeK Iganga-Kaliro'!N20+'Avg Week Kaliro-Iganga'!N20</f>
        <v>0</v>
      </c>
      <c r="O20" s="15">
        <f t="shared" si="0"/>
        <v>25.285714285714288</v>
      </c>
      <c r="P20" s="15">
        <f t="shared" si="1"/>
        <v>173</v>
      </c>
      <c r="R20" s="1" t="s">
        <v>16</v>
      </c>
      <c r="S20" s="17">
        <f t="shared" ref="S20:AF20" si="12">SUM(C50:C53)</f>
        <v>26.714285714285715</v>
      </c>
      <c r="T20" s="17">
        <f t="shared" si="12"/>
        <v>18.714285714285712</v>
      </c>
      <c r="U20" s="17">
        <f t="shared" si="12"/>
        <v>16.285714285714285</v>
      </c>
      <c r="V20" s="17">
        <f t="shared" si="12"/>
        <v>40.142857142857139</v>
      </c>
      <c r="W20" s="17">
        <f t="shared" si="12"/>
        <v>1</v>
      </c>
      <c r="X20" s="17">
        <f t="shared" si="12"/>
        <v>0.14285714285714285</v>
      </c>
      <c r="Y20" s="17">
        <f t="shared" si="12"/>
        <v>10.857142857142858</v>
      </c>
      <c r="Z20" s="17">
        <f t="shared" si="12"/>
        <v>7.7142857142857135</v>
      </c>
      <c r="AA20" s="17">
        <f t="shared" si="12"/>
        <v>1.8571428571428572</v>
      </c>
      <c r="AB20" s="17">
        <f t="shared" si="12"/>
        <v>0</v>
      </c>
      <c r="AC20" s="17">
        <f t="shared" si="12"/>
        <v>545.57142857142856</v>
      </c>
      <c r="AD20" s="17">
        <f t="shared" si="12"/>
        <v>0.42857142857142855</v>
      </c>
      <c r="AE20" s="31">
        <f t="shared" si="12"/>
        <v>123.85714285714283</v>
      </c>
      <c r="AF20" s="31">
        <f t="shared" si="12"/>
        <v>669.42857142857144</v>
      </c>
    </row>
    <row r="21" spans="2:32" ht="23.1" customHeight="1" x14ac:dyDescent="0.25">
      <c r="B21" s="23" t="s">
        <v>48</v>
      </c>
      <c r="C21" s="49">
        <f>'Avg WeeK Iganga-Kaliro'!C21+'Avg Week Kaliro-Iganga'!C21</f>
        <v>6.2857142857142865</v>
      </c>
      <c r="D21" s="49">
        <f>'Avg WeeK Iganga-Kaliro'!D21+'Avg Week Kaliro-Iganga'!D21</f>
        <v>2.2857142857142856</v>
      </c>
      <c r="E21" s="49">
        <f>'Avg WeeK Iganga-Kaliro'!E21+'Avg Week Kaliro-Iganga'!E21</f>
        <v>2.7142857142857144</v>
      </c>
      <c r="F21" s="49">
        <f>'Avg WeeK Iganga-Kaliro'!F21+'Avg Week Kaliro-Iganga'!F21</f>
        <v>3.8571428571428572</v>
      </c>
      <c r="G21" s="49">
        <f>'Avg WeeK Iganga-Kaliro'!G21+'Avg Week Kaliro-Iganga'!G21</f>
        <v>1</v>
      </c>
      <c r="H21" s="49">
        <f>'Avg WeeK Iganga-Kaliro'!H21+'Avg Week Kaliro-Iganga'!H21</f>
        <v>0</v>
      </c>
      <c r="I21" s="49">
        <f>'Avg WeeK Iganga-Kaliro'!I21+'Avg Week Kaliro-Iganga'!I21</f>
        <v>3.1428571428571428</v>
      </c>
      <c r="J21" s="49">
        <f>'Avg WeeK Iganga-Kaliro'!J21+'Avg Week Kaliro-Iganga'!J21</f>
        <v>1.7142857142857142</v>
      </c>
      <c r="K21" s="49">
        <f>'Avg WeeK Iganga-Kaliro'!K21+'Avg Week Kaliro-Iganga'!K21</f>
        <v>0.14285714285714285</v>
      </c>
      <c r="L21" s="49">
        <f>'Avg WeeK Iganga-Kaliro'!L21+'Avg Week Kaliro-Iganga'!L21</f>
        <v>0</v>
      </c>
      <c r="M21" s="49">
        <f>'Avg WeeK Iganga-Kaliro'!M21+'Avg Week Kaliro-Iganga'!M21</f>
        <v>136.14285714285714</v>
      </c>
      <c r="N21" s="49">
        <f>'Avg WeeK Iganga-Kaliro'!N21+'Avg Week Kaliro-Iganga'!N21</f>
        <v>0.14285714285714285</v>
      </c>
      <c r="O21" s="15">
        <f t="shared" si="0"/>
        <v>21.285714285714288</v>
      </c>
      <c r="P21" s="15">
        <f t="shared" si="1"/>
        <v>157.42857142857142</v>
      </c>
      <c r="R21" s="36" t="s">
        <v>20</v>
      </c>
      <c r="S21" s="34">
        <f t="shared" ref="S21:AF21" si="13">SUM(C54:C57)</f>
        <v>30.571428571428573</v>
      </c>
      <c r="T21" s="17">
        <f t="shared" si="13"/>
        <v>15.857142857142856</v>
      </c>
      <c r="U21" s="17">
        <f t="shared" si="13"/>
        <v>13.714285714285712</v>
      </c>
      <c r="V21" s="17">
        <f t="shared" si="13"/>
        <v>42.428571428571431</v>
      </c>
      <c r="W21" s="17">
        <f t="shared" si="13"/>
        <v>0.42857142857142855</v>
      </c>
      <c r="X21" s="17">
        <f t="shared" si="13"/>
        <v>0.14285714285714285</v>
      </c>
      <c r="Y21" s="17">
        <f t="shared" si="13"/>
        <v>12.142857142857144</v>
      </c>
      <c r="Z21" s="17">
        <f t="shared" si="13"/>
        <v>7.2857142857142847</v>
      </c>
      <c r="AA21" s="17">
        <f t="shared" si="13"/>
        <v>0.5714285714285714</v>
      </c>
      <c r="AB21" s="17">
        <f t="shared" si="13"/>
        <v>0</v>
      </c>
      <c r="AC21" s="17">
        <f t="shared" si="13"/>
        <v>508.71428571428572</v>
      </c>
      <c r="AD21" s="17">
        <f t="shared" si="13"/>
        <v>0.42857142857142855</v>
      </c>
      <c r="AE21" s="31">
        <f t="shared" si="13"/>
        <v>123.57142857142858</v>
      </c>
      <c r="AF21" s="31">
        <f t="shared" si="13"/>
        <v>632.28571428571422</v>
      </c>
    </row>
    <row r="22" spans="2:32" ht="23.1" customHeight="1" x14ac:dyDescent="0.25">
      <c r="B22" s="23" t="s">
        <v>49</v>
      </c>
      <c r="C22" s="49">
        <f>'Avg WeeK Iganga-Kaliro'!C22+'Avg Week Kaliro-Iganga'!C22</f>
        <v>9.7142857142857153</v>
      </c>
      <c r="D22" s="49">
        <f>'Avg WeeK Iganga-Kaliro'!D22+'Avg Week Kaliro-Iganga'!D22</f>
        <v>4.8571428571428568</v>
      </c>
      <c r="E22" s="49">
        <f>'Avg WeeK Iganga-Kaliro'!E22+'Avg Week Kaliro-Iganga'!E22</f>
        <v>3.7142857142857144</v>
      </c>
      <c r="F22" s="49">
        <f>'Avg WeeK Iganga-Kaliro'!F22+'Avg Week Kaliro-Iganga'!F22</f>
        <v>8.5714285714285712</v>
      </c>
      <c r="G22" s="49">
        <f>'Avg WeeK Iganga-Kaliro'!G22+'Avg Week Kaliro-Iganga'!G22</f>
        <v>0.2857142857142857</v>
      </c>
      <c r="H22" s="49">
        <f>'Avg WeeK Iganga-Kaliro'!H22+'Avg Week Kaliro-Iganga'!H22</f>
        <v>0.14285714285714285</v>
      </c>
      <c r="I22" s="49">
        <f>'Avg WeeK Iganga-Kaliro'!I22+'Avg Week Kaliro-Iganga'!I22</f>
        <v>3.8571428571428572</v>
      </c>
      <c r="J22" s="49">
        <f>'Avg WeeK Iganga-Kaliro'!J22+'Avg Week Kaliro-Iganga'!J22</f>
        <v>2.1428571428571428</v>
      </c>
      <c r="K22" s="49">
        <f>'Avg WeeK Iganga-Kaliro'!K22+'Avg Week Kaliro-Iganga'!K22</f>
        <v>0.7142857142857143</v>
      </c>
      <c r="L22" s="49">
        <f>'Avg WeeK Iganga-Kaliro'!L22+'Avg Week Kaliro-Iganga'!L22</f>
        <v>0</v>
      </c>
      <c r="M22" s="49">
        <f>'Avg WeeK Iganga-Kaliro'!M22+'Avg Week Kaliro-Iganga'!M22</f>
        <v>144.71428571428572</v>
      </c>
      <c r="N22" s="49">
        <f>'Avg WeeK Iganga-Kaliro'!N22+'Avg Week Kaliro-Iganga'!N22</f>
        <v>0.2857142857142857</v>
      </c>
      <c r="O22" s="15">
        <f t="shared" si="0"/>
        <v>34.285714285714292</v>
      </c>
      <c r="P22" s="15">
        <f t="shared" si="1"/>
        <v>179</v>
      </c>
      <c r="R22" s="1" t="s">
        <v>146</v>
      </c>
      <c r="S22" s="34">
        <f>SUM(C58:C61)</f>
        <v>24</v>
      </c>
      <c r="T22" s="34">
        <f t="shared" ref="T22:AF22" si="14">SUM(D58:D61)</f>
        <v>10.5</v>
      </c>
      <c r="U22" s="34">
        <f t="shared" si="14"/>
        <v>6.5</v>
      </c>
      <c r="V22" s="34">
        <f t="shared" si="14"/>
        <v>26.5</v>
      </c>
      <c r="W22" s="34">
        <f t="shared" si="14"/>
        <v>0</v>
      </c>
      <c r="X22" s="34">
        <f t="shared" si="14"/>
        <v>0</v>
      </c>
      <c r="Y22" s="34">
        <f t="shared" si="14"/>
        <v>10.5</v>
      </c>
      <c r="Z22" s="34">
        <f t="shared" si="14"/>
        <v>5.5</v>
      </c>
      <c r="AA22" s="34">
        <f t="shared" si="14"/>
        <v>0.5</v>
      </c>
      <c r="AB22" s="34">
        <f t="shared" si="14"/>
        <v>0</v>
      </c>
      <c r="AC22" s="34">
        <f t="shared" si="14"/>
        <v>521.5</v>
      </c>
      <c r="AD22" s="34">
        <f t="shared" si="14"/>
        <v>0</v>
      </c>
      <c r="AE22" s="31">
        <f t="shared" si="14"/>
        <v>84</v>
      </c>
      <c r="AF22" s="31">
        <f t="shared" si="14"/>
        <v>605.5</v>
      </c>
    </row>
    <row r="23" spans="2:32" ht="23.1" customHeight="1" x14ac:dyDescent="0.25">
      <c r="B23" s="23" t="s">
        <v>50</v>
      </c>
      <c r="C23" s="49">
        <f>'Avg WeeK Iganga-Kaliro'!C23+'Avg Week Kaliro-Iganga'!C23</f>
        <v>8</v>
      </c>
      <c r="D23" s="49">
        <f>'Avg WeeK Iganga-Kaliro'!D23+'Avg Week Kaliro-Iganga'!D23</f>
        <v>3.7142857142857144</v>
      </c>
      <c r="E23" s="49">
        <f>'Avg WeeK Iganga-Kaliro'!E23+'Avg Week Kaliro-Iganga'!E23</f>
        <v>2.4285714285714288</v>
      </c>
      <c r="F23" s="49">
        <f>'Avg WeeK Iganga-Kaliro'!F23+'Avg Week Kaliro-Iganga'!F23</f>
        <v>6</v>
      </c>
      <c r="G23" s="49">
        <f>'Avg WeeK Iganga-Kaliro'!G23+'Avg Week Kaliro-Iganga'!G23</f>
        <v>0.14285714285714285</v>
      </c>
      <c r="H23" s="49">
        <f>'Avg WeeK Iganga-Kaliro'!H23+'Avg Week Kaliro-Iganga'!H23</f>
        <v>0</v>
      </c>
      <c r="I23" s="49">
        <f>'Avg WeeK Iganga-Kaliro'!I23+'Avg Week Kaliro-Iganga'!I23</f>
        <v>3.4285714285714288</v>
      </c>
      <c r="J23" s="49">
        <f>'Avg WeeK Iganga-Kaliro'!J23+'Avg Week Kaliro-Iganga'!J23</f>
        <v>2.5714285714285712</v>
      </c>
      <c r="K23" s="49">
        <f>'Avg WeeK Iganga-Kaliro'!K23+'Avg Week Kaliro-Iganga'!K23</f>
        <v>0.14285714285714285</v>
      </c>
      <c r="L23" s="49">
        <f>'Avg WeeK Iganga-Kaliro'!L23+'Avg Week Kaliro-Iganga'!L23</f>
        <v>0.14285714285714285</v>
      </c>
      <c r="M23" s="49">
        <f>'Avg WeeK Iganga-Kaliro'!M23+'Avg Week Kaliro-Iganga'!M23</f>
        <v>159.85714285714283</v>
      </c>
      <c r="N23" s="49">
        <f>'Avg WeeK Iganga-Kaliro'!N23+'Avg Week Kaliro-Iganga'!N23</f>
        <v>0.14285714285714285</v>
      </c>
      <c r="O23" s="15">
        <f t="shared" si="0"/>
        <v>26.714285714285712</v>
      </c>
      <c r="P23" s="15">
        <f t="shared" si="1"/>
        <v>186.57142857142853</v>
      </c>
      <c r="R23" s="1" t="s">
        <v>147</v>
      </c>
      <c r="S23" s="34">
        <f>SUM(C62:C65)</f>
        <v>24</v>
      </c>
      <c r="T23" s="34">
        <f t="shared" ref="T23:AF23" si="15">SUM(D62:D65)</f>
        <v>8</v>
      </c>
      <c r="U23" s="34">
        <f t="shared" si="15"/>
        <v>10.5</v>
      </c>
      <c r="V23" s="34">
        <f t="shared" si="15"/>
        <v>16.5</v>
      </c>
      <c r="W23" s="34">
        <f t="shared" si="15"/>
        <v>0</v>
      </c>
      <c r="X23" s="34">
        <f t="shared" si="15"/>
        <v>0</v>
      </c>
      <c r="Y23" s="34">
        <f t="shared" si="15"/>
        <v>5.5</v>
      </c>
      <c r="Z23" s="34">
        <f t="shared" si="15"/>
        <v>4</v>
      </c>
      <c r="AA23" s="34">
        <f t="shared" si="15"/>
        <v>0.5</v>
      </c>
      <c r="AB23" s="34">
        <f t="shared" si="15"/>
        <v>0</v>
      </c>
      <c r="AC23" s="34">
        <f t="shared" si="15"/>
        <v>466.5</v>
      </c>
      <c r="AD23" s="34">
        <f t="shared" si="15"/>
        <v>0</v>
      </c>
      <c r="AE23" s="31">
        <f t="shared" si="15"/>
        <v>69</v>
      </c>
      <c r="AF23" s="31">
        <f t="shared" si="15"/>
        <v>535.5</v>
      </c>
    </row>
    <row r="24" spans="2:32" ht="23.1" customHeight="1" x14ac:dyDescent="0.25">
      <c r="B24" s="23" t="s">
        <v>51</v>
      </c>
      <c r="C24" s="49">
        <f>'Avg WeeK Iganga-Kaliro'!C24+'Avg Week Kaliro-Iganga'!C24</f>
        <v>8.4285714285714288</v>
      </c>
      <c r="D24" s="49">
        <f>'Avg WeeK Iganga-Kaliro'!D24+'Avg Week Kaliro-Iganga'!D24</f>
        <v>2.714285714285714</v>
      </c>
      <c r="E24" s="49">
        <f>'Avg WeeK Iganga-Kaliro'!E24+'Avg Week Kaliro-Iganga'!E24</f>
        <v>3</v>
      </c>
      <c r="F24" s="49">
        <f>'Avg WeeK Iganga-Kaliro'!F24+'Avg Week Kaliro-Iganga'!F24</f>
        <v>6.1428571428571432</v>
      </c>
      <c r="G24" s="49">
        <f>'Avg WeeK Iganga-Kaliro'!G24+'Avg Week Kaliro-Iganga'!G24</f>
        <v>0.14285714285714285</v>
      </c>
      <c r="H24" s="49">
        <f>'Avg WeeK Iganga-Kaliro'!H24+'Avg Week Kaliro-Iganga'!H24</f>
        <v>0</v>
      </c>
      <c r="I24" s="49">
        <f>'Avg WeeK Iganga-Kaliro'!I24+'Avg Week Kaliro-Iganga'!I24</f>
        <v>3</v>
      </c>
      <c r="J24" s="49">
        <f>'Avg WeeK Iganga-Kaliro'!J24+'Avg Week Kaliro-Iganga'!J24</f>
        <v>2.2857142857142856</v>
      </c>
      <c r="K24" s="49">
        <f>'Avg WeeK Iganga-Kaliro'!K24+'Avg Week Kaliro-Iganga'!K24</f>
        <v>0.14285714285714285</v>
      </c>
      <c r="L24" s="49">
        <f>'Avg WeeK Iganga-Kaliro'!L24+'Avg Week Kaliro-Iganga'!L24</f>
        <v>0</v>
      </c>
      <c r="M24" s="49">
        <f>'Avg WeeK Iganga-Kaliro'!M24+'Avg Week Kaliro-Iganga'!M24</f>
        <v>165.14285714285714</v>
      </c>
      <c r="N24" s="49">
        <f>'Avg WeeK Iganga-Kaliro'!N24+'Avg Week Kaliro-Iganga'!N24</f>
        <v>0.14285714285714285</v>
      </c>
      <c r="O24" s="15">
        <f t="shared" si="0"/>
        <v>25.999999999999996</v>
      </c>
      <c r="P24" s="15">
        <f t="shared" si="1"/>
        <v>191.14285714285714</v>
      </c>
      <c r="R24" s="1" t="s">
        <v>148</v>
      </c>
      <c r="S24" s="34">
        <f>SUM(C66:C69)</f>
        <v>16</v>
      </c>
      <c r="T24" s="34">
        <f t="shared" ref="T24:AF24" si="16">SUM(D66:D69)</f>
        <v>7</v>
      </c>
      <c r="U24" s="34">
        <f t="shared" si="16"/>
        <v>7.5</v>
      </c>
      <c r="V24" s="34">
        <f t="shared" si="16"/>
        <v>14.5</v>
      </c>
      <c r="W24" s="34">
        <f t="shared" si="16"/>
        <v>0</v>
      </c>
      <c r="X24" s="34">
        <f t="shared" si="16"/>
        <v>0</v>
      </c>
      <c r="Y24" s="34">
        <f t="shared" si="16"/>
        <v>4.5</v>
      </c>
      <c r="Z24" s="34">
        <f t="shared" si="16"/>
        <v>4</v>
      </c>
      <c r="AA24" s="34">
        <f t="shared" si="16"/>
        <v>0.5</v>
      </c>
      <c r="AB24" s="34">
        <f t="shared" si="16"/>
        <v>0.5</v>
      </c>
      <c r="AC24" s="34">
        <f t="shared" si="16"/>
        <v>373</v>
      </c>
      <c r="AD24" s="34">
        <f t="shared" si="16"/>
        <v>0.5</v>
      </c>
      <c r="AE24" s="31">
        <f t="shared" si="16"/>
        <v>55</v>
      </c>
      <c r="AF24" s="31">
        <f t="shared" si="16"/>
        <v>428</v>
      </c>
    </row>
    <row r="25" spans="2:32" ht="23.1" customHeight="1" x14ac:dyDescent="0.25">
      <c r="B25" s="23" t="s">
        <v>52</v>
      </c>
      <c r="C25" s="49">
        <f>'Avg WeeK Iganga-Kaliro'!C25+'Avg Week Kaliro-Iganga'!C25</f>
        <v>5.8571428571428577</v>
      </c>
      <c r="D25" s="49">
        <f>'Avg WeeK Iganga-Kaliro'!D25+'Avg Week Kaliro-Iganga'!D25</f>
        <v>2.8571428571428568</v>
      </c>
      <c r="E25" s="49">
        <f>'Avg WeeK Iganga-Kaliro'!E25+'Avg Week Kaliro-Iganga'!E25</f>
        <v>1.8571428571428572</v>
      </c>
      <c r="F25" s="49">
        <f>'Avg WeeK Iganga-Kaliro'!F25+'Avg Week Kaliro-Iganga'!F25</f>
        <v>5.8571428571428577</v>
      </c>
      <c r="G25" s="49">
        <f>'Avg WeeK Iganga-Kaliro'!G25+'Avg Week Kaliro-Iganga'!G25</f>
        <v>0.14285714285714285</v>
      </c>
      <c r="H25" s="49">
        <f>'Avg WeeK Iganga-Kaliro'!H25+'Avg Week Kaliro-Iganga'!H25</f>
        <v>0.14285714285714285</v>
      </c>
      <c r="I25" s="49">
        <f>'Avg WeeK Iganga-Kaliro'!I25+'Avg Week Kaliro-Iganga'!I25</f>
        <v>2.8571428571428572</v>
      </c>
      <c r="J25" s="49">
        <f>'Avg WeeK Iganga-Kaliro'!J25+'Avg Week Kaliro-Iganga'!J25</f>
        <v>2.2857142857142856</v>
      </c>
      <c r="K25" s="49">
        <f>'Avg WeeK Iganga-Kaliro'!K25+'Avg Week Kaliro-Iganga'!K25</f>
        <v>0.14285714285714285</v>
      </c>
      <c r="L25" s="49">
        <f>'Avg WeeK Iganga-Kaliro'!L25+'Avg Week Kaliro-Iganga'!L25</f>
        <v>0</v>
      </c>
      <c r="M25" s="49">
        <f>'Avg WeeK Iganga-Kaliro'!M25+'Avg Week Kaliro-Iganga'!M25</f>
        <v>150.71428571428572</v>
      </c>
      <c r="N25" s="49">
        <f>'Avg WeeK Iganga-Kaliro'!N25+'Avg Week Kaliro-Iganga'!N25</f>
        <v>0</v>
      </c>
      <c r="O25" s="15">
        <f t="shared" si="0"/>
        <v>22</v>
      </c>
      <c r="P25" s="15">
        <f t="shared" si="1"/>
        <v>172.71428571428572</v>
      </c>
      <c r="R25" s="1" t="s">
        <v>149</v>
      </c>
      <c r="S25" s="34">
        <f>SUM(C70:C73)</f>
        <v>13</v>
      </c>
      <c r="T25" s="34">
        <f t="shared" ref="T25:AF25" si="17">SUM(D70:D73)</f>
        <v>9.5</v>
      </c>
      <c r="U25" s="34">
        <f t="shared" si="17"/>
        <v>5</v>
      </c>
      <c r="V25" s="34">
        <f t="shared" si="17"/>
        <v>12</v>
      </c>
      <c r="W25" s="34">
        <f t="shared" si="17"/>
        <v>0.5</v>
      </c>
      <c r="X25" s="34">
        <f t="shared" si="17"/>
        <v>0</v>
      </c>
      <c r="Y25" s="34">
        <f t="shared" si="17"/>
        <v>3</v>
      </c>
      <c r="Z25" s="34">
        <f t="shared" si="17"/>
        <v>4.5</v>
      </c>
      <c r="AA25" s="34">
        <f t="shared" si="17"/>
        <v>1</v>
      </c>
      <c r="AB25" s="34">
        <f t="shared" si="17"/>
        <v>0</v>
      </c>
      <c r="AC25" s="34">
        <f t="shared" si="17"/>
        <v>311.5</v>
      </c>
      <c r="AD25" s="34">
        <f t="shared" si="17"/>
        <v>0</v>
      </c>
      <c r="AE25" s="31">
        <f t="shared" si="17"/>
        <v>48.5</v>
      </c>
      <c r="AF25" s="31">
        <f t="shared" si="17"/>
        <v>360</v>
      </c>
    </row>
    <row r="26" spans="2:32" ht="23.1" customHeight="1" x14ac:dyDescent="0.25">
      <c r="B26" s="23" t="s">
        <v>53</v>
      </c>
      <c r="C26" s="49">
        <f>'Avg WeeK Iganga-Kaliro'!C26+'Avg Week Kaliro-Iganga'!C26</f>
        <v>9.4285714285714288</v>
      </c>
      <c r="D26" s="49">
        <f>'Avg WeeK Iganga-Kaliro'!D26+'Avg Week Kaliro-Iganga'!D26</f>
        <v>2.5714285714285712</v>
      </c>
      <c r="E26" s="49">
        <f>'Avg WeeK Iganga-Kaliro'!E26+'Avg Week Kaliro-Iganga'!E26</f>
        <v>2.7142857142857144</v>
      </c>
      <c r="F26" s="49">
        <f>'Avg WeeK Iganga-Kaliro'!F26+'Avg Week Kaliro-Iganga'!F26</f>
        <v>5.8571428571428577</v>
      </c>
      <c r="G26" s="49">
        <f>'Avg WeeK Iganga-Kaliro'!G26+'Avg Week Kaliro-Iganga'!G26</f>
        <v>0.14285714285714285</v>
      </c>
      <c r="H26" s="49">
        <f>'Avg WeeK Iganga-Kaliro'!H26+'Avg Week Kaliro-Iganga'!H26</f>
        <v>0</v>
      </c>
      <c r="I26" s="49">
        <f>'Avg WeeK Iganga-Kaliro'!I26+'Avg Week Kaliro-Iganga'!I26</f>
        <v>2.1428571428571428</v>
      </c>
      <c r="J26" s="49">
        <f>'Avg WeeK Iganga-Kaliro'!J26+'Avg Week Kaliro-Iganga'!J26</f>
        <v>1.8571428571428572</v>
      </c>
      <c r="K26" s="49">
        <f>'Avg WeeK Iganga-Kaliro'!K26+'Avg Week Kaliro-Iganga'!K26</f>
        <v>0.2857142857142857</v>
      </c>
      <c r="L26" s="49">
        <f>'Avg WeeK Iganga-Kaliro'!L26+'Avg Week Kaliro-Iganga'!L26</f>
        <v>0.14285714285714285</v>
      </c>
      <c r="M26" s="49">
        <f>'Avg WeeK Iganga-Kaliro'!M26+'Avg Week Kaliro-Iganga'!M26</f>
        <v>169.57142857142856</v>
      </c>
      <c r="N26" s="49">
        <f>'Avg WeeK Iganga-Kaliro'!N26+'Avg Week Kaliro-Iganga'!N26</f>
        <v>0</v>
      </c>
      <c r="O26" s="15">
        <f t="shared" si="0"/>
        <v>25.142857142857142</v>
      </c>
      <c r="P26" s="15">
        <f t="shared" si="1"/>
        <v>194.71428571428569</v>
      </c>
      <c r="R26" s="1" t="s">
        <v>150</v>
      </c>
      <c r="S26" s="34">
        <f>SUM(C74:C77)</f>
        <v>11.5</v>
      </c>
      <c r="T26" s="34">
        <f t="shared" ref="T26:AF26" si="18">SUM(D74:D77)</f>
        <v>5.5</v>
      </c>
      <c r="U26" s="34">
        <f t="shared" si="18"/>
        <v>5.5</v>
      </c>
      <c r="V26" s="34">
        <f t="shared" si="18"/>
        <v>5.5</v>
      </c>
      <c r="W26" s="34">
        <f t="shared" si="18"/>
        <v>0</v>
      </c>
      <c r="X26" s="34">
        <f t="shared" si="18"/>
        <v>0</v>
      </c>
      <c r="Y26" s="34">
        <f t="shared" si="18"/>
        <v>5.5</v>
      </c>
      <c r="Z26" s="34">
        <f t="shared" si="18"/>
        <v>3</v>
      </c>
      <c r="AA26" s="34">
        <f t="shared" si="18"/>
        <v>1</v>
      </c>
      <c r="AB26" s="34">
        <f t="shared" si="18"/>
        <v>0.5</v>
      </c>
      <c r="AC26" s="34">
        <f t="shared" si="18"/>
        <v>251.5</v>
      </c>
      <c r="AD26" s="34">
        <f t="shared" si="18"/>
        <v>0</v>
      </c>
      <c r="AE26" s="31">
        <f t="shared" si="18"/>
        <v>38</v>
      </c>
      <c r="AF26" s="31">
        <f t="shared" si="18"/>
        <v>289.5</v>
      </c>
    </row>
    <row r="27" spans="2:32" ht="23.1" customHeight="1" x14ac:dyDescent="0.25">
      <c r="B27" s="23" t="s">
        <v>54</v>
      </c>
      <c r="C27" s="49">
        <f>'Avg WeeK Iganga-Kaliro'!C27+'Avg Week Kaliro-Iganga'!C27</f>
        <v>7.5714285714285712</v>
      </c>
      <c r="D27" s="49">
        <f>'Avg WeeK Iganga-Kaliro'!D27+'Avg Week Kaliro-Iganga'!D27</f>
        <v>3.7142857142857144</v>
      </c>
      <c r="E27" s="49">
        <f>'Avg WeeK Iganga-Kaliro'!E27+'Avg Week Kaliro-Iganga'!E27</f>
        <v>2.5714285714285712</v>
      </c>
      <c r="F27" s="49">
        <f>'Avg WeeK Iganga-Kaliro'!F27+'Avg Week Kaliro-Iganga'!F27</f>
        <v>6.1428571428571423</v>
      </c>
      <c r="G27" s="49">
        <f>'Avg WeeK Iganga-Kaliro'!G27+'Avg Week Kaliro-Iganga'!G27</f>
        <v>0.14285714285714285</v>
      </c>
      <c r="H27" s="49">
        <f>'Avg WeeK Iganga-Kaliro'!H27+'Avg Week Kaliro-Iganga'!H27</f>
        <v>0</v>
      </c>
      <c r="I27" s="49">
        <f>'Avg WeeK Iganga-Kaliro'!I27+'Avg Week Kaliro-Iganga'!I27</f>
        <v>3.1428571428571432</v>
      </c>
      <c r="J27" s="49">
        <f>'Avg WeeK Iganga-Kaliro'!J27+'Avg Week Kaliro-Iganga'!J27</f>
        <v>1.7142857142857144</v>
      </c>
      <c r="K27" s="49">
        <f>'Avg WeeK Iganga-Kaliro'!K27+'Avg Week Kaliro-Iganga'!K27</f>
        <v>0.14285714285714285</v>
      </c>
      <c r="L27" s="49">
        <f>'Avg WeeK Iganga-Kaliro'!L27+'Avg Week Kaliro-Iganga'!L27</f>
        <v>0</v>
      </c>
      <c r="M27" s="49">
        <f>'Avg WeeK Iganga-Kaliro'!M27+'Avg Week Kaliro-Iganga'!M27</f>
        <v>160</v>
      </c>
      <c r="N27" s="49">
        <f>'Avg WeeK Iganga-Kaliro'!N27+'Avg Week Kaliro-Iganga'!N27</f>
        <v>0.2857142857142857</v>
      </c>
      <c r="O27" s="15">
        <f t="shared" si="0"/>
        <v>25.428571428571427</v>
      </c>
      <c r="P27" s="15">
        <f t="shared" si="1"/>
        <v>185.42857142857142</v>
      </c>
      <c r="R27" s="1" t="s">
        <v>151</v>
      </c>
      <c r="S27" s="34">
        <f>SUM(C78:C81)</f>
        <v>7.5</v>
      </c>
      <c r="T27" s="34">
        <f t="shared" ref="T27:AF27" si="19">SUM(D78:D81)</f>
        <v>6</v>
      </c>
      <c r="U27" s="34">
        <f t="shared" si="19"/>
        <v>4</v>
      </c>
      <c r="V27" s="34">
        <f t="shared" si="19"/>
        <v>1.5</v>
      </c>
      <c r="W27" s="34">
        <f t="shared" si="19"/>
        <v>0</v>
      </c>
      <c r="X27" s="34">
        <f t="shared" si="19"/>
        <v>0</v>
      </c>
      <c r="Y27" s="34">
        <f t="shared" si="19"/>
        <v>2.5</v>
      </c>
      <c r="Z27" s="34">
        <f t="shared" si="19"/>
        <v>2.5</v>
      </c>
      <c r="AA27" s="34">
        <f t="shared" si="19"/>
        <v>1</v>
      </c>
      <c r="AB27" s="34">
        <f t="shared" si="19"/>
        <v>0</v>
      </c>
      <c r="AC27" s="34">
        <f t="shared" si="19"/>
        <v>164</v>
      </c>
      <c r="AD27" s="34">
        <f t="shared" si="19"/>
        <v>0</v>
      </c>
      <c r="AE27" s="31">
        <f t="shared" si="19"/>
        <v>25</v>
      </c>
      <c r="AF27" s="31">
        <f t="shared" si="19"/>
        <v>189</v>
      </c>
    </row>
    <row r="28" spans="2:32" ht="23.1" customHeight="1" x14ac:dyDescent="0.25">
      <c r="B28" s="23" t="s">
        <v>55</v>
      </c>
      <c r="C28" s="49">
        <f>'Avg WeeK Iganga-Kaliro'!C28+'Avg Week Kaliro-Iganga'!C28</f>
        <v>8.8571428571428577</v>
      </c>
      <c r="D28" s="49">
        <f>'Avg WeeK Iganga-Kaliro'!D28+'Avg Week Kaliro-Iganga'!D28</f>
        <v>2.8571428571428572</v>
      </c>
      <c r="E28" s="49">
        <f>'Avg WeeK Iganga-Kaliro'!E28+'Avg Week Kaliro-Iganga'!E28</f>
        <v>3.8571428571428568</v>
      </c>
      <c r="F28" s="49">
        <f>'Avg WeeK Iganga-Kaliro'!F28+'Avg Week Kaliro-Iganga'!F28</f>
        <v>5.7142857142857135</v>
      </c>
      <c r="G28" s="49">
        <f>'Avg WeeK Iganga-Kaliro'!G28+'Avg Week Kaliro-Iganga'!G28</f>
        <v>0.14285714285714285</v>
      </c>
      <c r="H28" s="49">
        <f>'Avg WeeK Iganga-Kaliro'!H28+'Avg Week Kaliro-Iganga'!H28</f>
        <v>0.14285714285714285</v>
      </c>
      <c r="I28" s="49">
        <f>'Avg WeeK Iganga-Kaliro'!I28+'Avg Week Kaliro-Iganga'!I28</f>
        <v>3.2857142857142856</v>
      </c>
      <c r="J28" s="49">
        <f>'Avg WeeK Iganga-Kaliro'!J28+'Avg Week Kaliro-Iganga'!J28</f>
        <v>3.2857142857142856</v>
      </c>
      <c r="K28" s="49">
        <f>'Avg WeeK Iganga-Kaliro'!K28+'Avg Week Kaliro-Iganga'!K28</f>
        <v>0.2857142857142857</v>
      </c>
      <c r="L28" s="49">
        <f>'Avg WeeK Iganga-Kaliro'!L28+'Avg Week Kaliro-Iganga'!L28</f>
        <v>0.14285714285714285</v>
      </c>
      <c r="M28" s="49">
        <f>'Avg WeeK Iganga-Kaliro'!M28+'Avg Week Kaliro-Iganga'!M28</f>
        <v>152.71428571428572</v>
      </c>
      <c r="N28" s="49">
        <f>'Avg WeeK Iganga-Kaliro'!N28+'Avg Week Kaliro-Iganga'!N28</f>
        <v>0</v>
      </c>
      <c r="O28" s="15">
        <f t="shared" si="0"/>
        <v>28.571428571428566</v>
      </c>
      <c r="P28" s="15">
        <f t="shared" si="1"/>
        <v>181.28571428571428</v>
      </c>
      <c r="R28" s="1" t="s">
        <v>152</v>
      </c>
      <c r="S28" s="34">
        <f>SUM(C82:C85)</f>
        <v>4.5</v>
      </c>
      <c r="T28" s="34">
        <f t="shared" ref="T28:AF28" si="20">SUM(D82:D85)</f>
        <v>6</v>
      </c>
      <c r="U28" s="34">
        <f t="shared" si="20"/>
        <v>2</v>
      </c>
      <c r="V28" s="34">
        <f t="shared" si="20"/>
        <v>1</v>
      </c>
      <c r="W28" s="34">
        <f t="shared" si="20"/>
        <v>0</v>
      </c>
      <c r="X28" s="34">
        <f t="shared" si="20"/>
        <v>0</v>
      </c>
      <c r="Y28" s="34">
        <f t="shared" si="20"/>
        <v>2.5</v>
      </c>
      <c r="Z28" s="34">
        <f t="shared" si="20"/>
        <v>2</v>
      </c>
      <c r="AA28" s="34">
        <f t="shared" si="20"/>
        <v>0.5</v>
      </c>
      <c r="AB28" s="34">
        <f t="shared" si="20"/>
        <v>0</v>
      </c>
      <c r="AC28" s="34">
        <f t="shared" si="20"/>
        <v>65</v>
      </c>
      <c r="AD28" s="34">
        <f t="shared" si="20"/>
        <v>0</v>
      </c>
      <c r="AE28" s="31">
        <f t="shared" si="20"/>
        <v>18.5</v>
      </c>
      <c r="AF28" s="31">
        <f t="shared" si="20"/>
        <v>83.5</v>
      </c>
    </row>
    <row r="29" spans="2:32" ht="23.1" customHeight="1" x14ac:dyDescent="0.25">
      <c r="B29" s="23" t="s">
        <v>56</v>
      </c>
      <c r="C29" s="49">
        <f>'Avg WeeK Iganga-Kaliro'!C29+'Avg Week Kaliro-Iganga'!C29</f>
        <v>8</v>
      </c>
      <c r="D29" s="49">
        <f>'Avg WeeK Iganga-Kaliro'!D29+'Avg Week Kaliro-Iganga'!D29</f>
        <v>3.2857142857142856</v>
      </c>
      <c r="E29" s="49">
        <f>'Avg WeeK Iganga-Kaliro'!E29+'Avg Week Kaliro-Iganga'!E29</f>
        <v>2.2857142857142856</v>
      </c>
      <c r="F29" s="49">
        <f>'Avg WeeK Iganga-Kaliro'!F29+'Avg Week Kaliro-Iganga'!F29</f>
        <v>5.8571428571428577</v>
      </c>
      <c r="G29" s="49">
        <f>'Avg WeeK Iganga-Kaliro'!G29+'Avg Week Kaliro-Iganga'!G29</f>
        <v>0.14285714285714285</v>
      </c>
      <c r="H29" s="49">
        <f>'Avg WeeK Iganga-Kaliro'!H29+'Avg Week Kaliro-Iganga'!H29</f>
        <v>0</v>
      </c>
      <c r="I29" s="49">
        <f>'Avg WeeK Iganga-Kaliro'!I29+'Avg Week Kaliro-Iganga'!I29</f>
        <v>3</v>
      </c>
      <c r="J29" s="49">
        <f>'Avg WeeK Iganga-Kaliro'!J29+'Avg Week Kaliro-Iganga'!J29</f>
        <v>2.5714285714285712</v>
      </c>
      <c r="K29" s="49">
        <f>'Avg WeeK Iganga-Kaliro'!K29+'Avg Week Kaliro-Iganga'!K29</f>
        <v>0.42857142857142855</v>
      </c>
      <c r="L29" s="49">
        <f>'Avg WeeK Iganga-Kaliro'!L29+'Avg Week Kaliro-Iganga'!L29</f>
        <v>0</v>
      </c>
      <c r="M29" s="49">
        <f>'Avg WeeK Iganga-Kaliro'!M29+'Avg Week Kaliro-Iganga'!M29</f>
        <v>156.28571428571428</v>
      </c>
      <c r="N29" s="49">
        <f>'Avg WeeK Iganga-Kaliro'!N29+'Avg Week Kaliro-Iganga'!N29</f>
        <v>0</v>
      </c>
      <c r="O29" s="15">
        <f t="shared" si="0"/>
        <v>25.571428571428566</v>
      </c>
      <c r="P29" s="15">
        <f t="shared" si="1"/>
        <v>181.85714285714283</v>
      </c>
      <c r="R29" s="1" t="s">
        <v>153</v>
      </c>
      <c r="S29" s="34">
        <f>SUM(C86:C89)</f>
        <v>5.5</v>
      </c>
      <c r="T29" s="34">
        <f t="shared" ref="T29:AF29" si="21">SUM(D86:D89)</f>
        <v>2</v>
      </c>
      <c r="U29" s="34">
        <f t="shared" si="21"/>
        <v>3</v>
      </c>
      <c r="V29" s="34">
        <f t="shared" si="21"/>
        <v>1.5</v>
      </c>
      <c r="W29" s="34">
        <f t="shared" si="21"/>
        <v>0</v>
      </c>
      <c r="X29" s="34">
        <f t="shared" si="21"/>
        <v>0</v>
      </c>
      <c r="Y29" s="34">
        <f t="shared" si="21"/>
        <v>2.5</v>
      </c>
      <c r="Z29" s="34">
        <f t="shared" si="21"/>
        <v>0</v>
      </c>
      <c r="AA29" s="34">
        <f t="shared" si="21"/>
        <v>0.5</v>
      </c>
      <c r="AB29" s="34">
        <f t="shared" si="21"/>
        <v>5.5</v>
      </c>
      <c r="AC29" s="34">
        <f t="shared" si="21"/>
        <v>33.5</v>
      </c>
      <c r="AD29" s="34">
        <f t="shared" si="21"/>
        <v>0</v>
      </c>
      <c r="AE29" s="31">
        <f t="shared" si="21"/>
        <v>20.5</v>
      </c>
      <c r="AF29" s="31">
        <f t="shared" si="21"/>
        <v>54</v>
      </c>
    </row>
    <row r="30" spans="2:32" ht="23.1" customHeight="1" x14ac:dyDescent="0.25">
      <c r="B30" s="23" t="s">
        <v>57</v>
      </c>
      <c r="C30" s="49">
        <f>'Avg WeeK Iganga-Kaliro'!C30+'Avg Week Kaliro-Iganga'!C30</f>
        <v>8.5714285714285712</v>
      </c>
      <c r="D30" s="49">
        <f>'Avg WeeK Iganga-Kaliro'!D30+'Avg Week Kaliro-Iganga'!D30</f>
        <v>3.8571428571428572</v>
      </c>
      <c r="E30" s="49">
        <f>'Avg WeeK Iganga-Kaliro'!E30+'Avg Week Kaliro-Iganga'!E30</f>
        <v>1.7142857142857142</v>
      </c>
      <c r="F30" s="49">
        <f>'Avg WeeK Iganga-Kaliro'!F30+'Avg Week Kaliro-Iganga'!F30</f>
        <v>7.5714285714285712</v>
      </c>
      <c r="G30" s="49">
        <f>'Avg WeeK Iganga-Kaliro'!G30+'Avg Week Kaliro-Iganga'!G30</f>
        <v>0.2857142857142857</v>
      </c>
      <c r="H30" s="49">
        <f>'Avg WeeK Iganga-Kaliro'!H30+'Avg Week Kaliro-Iganga'!H30</f>
        <v>0</v>
      </c>
      <c r="I30" s="49">
        <f>'Avg WeeK Iganga-Kaliro'!I30+'Avg Week Kaliro-Iganga'!I30</f>
        <v>2.4285714285714288</v>
      </c>
      <c r="J30" s="49">
        <f>'Avg WeeK Iganga-Kaliro'!J30+'Avg Week Kaliro-Iganga'!J30</f>
        <v>2</v>
      </c>
      <c r="K30" s="49">
        <f>'Avg WeeK Iganga-Kaliro'!K30+'Avg Week Kaliro-Iganga'!K30</f>
        <v>0.5714285714285714</v>
      </c>
      <c r="L30" s="49">
        <f>'Avg WeeK Iganga-Kaliro'!L30+'Avg Week Kaliro-Iganga'!L30</f>
        <v>0</v>
      </c>
      <c r="M30" s="49">
        <f>'Avg WeeK Iganga-Kaliro'!M30+'Avg Week Kaliro-Iganga'!M30</f>
        <v>156.85714285714286</v>
      </c>
      <c r="N30" s="49">
        <f>'Avg WeeK Iganga-Kaliro'!N30+'Avg Week Kaliro-Iganga'!N30</f>
        <v>0.14285714285714285</v>
      </c>
      <c r="O30" s="15">
        <f t="shared" si="0"/>
        <v>27.142857142857146</v>
      </c>
      <c r="P30" s="15">
        <f t="shared" si="1"/>
        <v>184</v>
      </c>
      <c r="R30" s="1" t="s">
        <v>154</v>
      </c>
      <c r="S30" s="34">
        <f>SUM(C90:C93)</f>
        <v>2.5</v>
      </c>
      <c r="T30" s="34">
        <f t="shared" ref="T30:AF30" si="22">SUM(D90:D93)</f>
        <v>4.5</v>
      </c>
      <c r="U30" s="34">
        <f t="shared" si="22"/>
        <v>2</v>
      </c>
      <c r="V30" s="34">
        <f t="shared" si="22"/>
        <v>2</v>
      </c>
      <c r="W30" s="34">
        <f t="shared" si="22"/>
        <v>0</v>
      </c>
      <c r="X30" s="34">
        <f t="shared" si="22"/>
        <v>0</v>
      </c>
      <c r="Y30" s="34">
        <f t="shared" si="22"/>
        <v>3</v>
      </c>
      <c r="Z30" s="34">
        <f t="shared" si="22"/>
        <v>3.5</v>
      </c>
      <c r="AA30" s="34">
        <f t="shared" si="22"/>
        <v>0</v>
      </c>
      <c r="AB30" s="34">
        <f t="shared" si="22"/>
        <v>0</v>
      </c>
      <c r="AC30" s="34">
        <f t="shared" si="22"/>
        <v>17.5</v>
      </c>
      <c r="AD30" s="34">
        <f t="shared" si="22"/>
        <v>0</v>
      </c>
      <c r="AE30" s="31">
        <f t="shared" si="22"/>
        <v>17.5</v>
      </c>
      <c r="AF30" s="31">
        <f t="shared" si="22"/>
        <v>35</v>
      </c>
    </row>
    <row r="31" spans="2:32" ht="23.1" customHeight="1" x14ac:dyDescent="0.25">
      <c r="B31" s="24" t="s">
        <v>58</v>
      </c>
      <c r="C31" s="49">
        <f>'Avg WeeK Iganga-Kaliro'!C31+'Avg Week Kaliro-Iganga'!C31</f>
        <v>5.4285714285714288</v>
      </c>
      <c r="D31" s="49">
        <f>'Avg WeeK Iganga-Kaliro'!D31+'Avg Week Kaliro-Iganga'!D31</f>
        <v>3</v>
      </c>
      <c r="E31" s="49">
        <f>'Avg WeeK Iganga-Kaliro'!E31+'Avg Week Kaliro-Iganga'!E31</f>
        <v>2.5714285714285712</v>
      </c>
      <c r="F31" s="49">
        <f>'Avg WeeK Iganga-Kaliro'!F31+'Avg Week Kaliro-Iganga'!F31</f>
        <v>5</v>
      </c>
      <c r="G31" s="49">
        <f>'Avg WeeK Iganga-Kaliro'!G31+'Avg Week Kaliro-Iganga'!G31</f>
        <v>0.14285714285714285</v>
      </c>
      <c r="H31" s="49">
        <f>'Avg WeeK Iganga-Kaliro'!H31+'Avg Week Kaliro-Iganga'!H31</f>
        <v>0.14285714285714285</v>
      </c>
      <c r="I31" s="49">
        <f>'Avg WeeK Iganga-Kaliro'!I31+'Avg Week Kaliro-Iganga'!I31</f>
        <v>4.4285714285714288</v>
      </c>
      <c r="J31" s="49">
        <f>'Avg WeeK Iganga-Kaliro'!J31+'Avg Week Kaliro-Iganga'!J31</f>
        <v>2.5714285714285712</v>
      </c>
      <c r="K31" s="49">
        <f>'Avg WeeK Iganga-Kaliro'!K31+'Avg Week Kaliro-Iganga'!K31</f>
        <v>0.14285714285714285</v>
      </c>
      <c r="L31" s="49">
        <f>'Avg WeeK Iganga-Kaliro'!L31+'Avg Week Kaliro-Iganga'!L31</f>
        <v>0.14285714285714285</v>
      </c>
      <c r="M31" s="49">
        <f>'Avg WeeK Iganga-Kaliro'!M31+'Avg Week Kaliro-Iganga'!M31</f>
        <v>153.57142857142856</v>
      </c>
      <c r="N31" s="49">
        <f>'Avg WeeK Iganga-Kaliro'!N31+'Avg Week Kaliro-Iganga'!N31</f>
        <v>0</v>
      </c>
      <c r="O31" s="15">
        <f t="shared" si="0"/>
        <v>23.571428571428569</v>
      </c>
      <c r="P31" s="15">
        <f t="shared" si="1"/>
        <v>177.14285714285711</v>
      </c>
      <c r="R31" s="1" t="s">
        <v>155</v>
      </c>
      <c r="S31" s="34">
        <f>SUM(C94:C97)</f>
        <v>3.5</v>
      </c>
      <c r="T31" s="34">
        <f t="shared" ref="T31:AF31" si="23">SUM(D94:D97)</f>
        <v>1.5</v>
      </c>
      <c r="U31" s="34">
        <f t="shared" si="23"/>
        <v>4</v>
      </c>
      <c r="V31" s="34">
        <f t="shared" si="23"/>
        <v>4</v>
      </c>
      <c r="W31" s="34">
        <f t="shared" si="23"/>
        <v>0</v>
      </c>
      <c r="X31" s="34">
        <f t="shared" si="23"/>
        <v>1</v>
      </c>
      <c r="Y31" s="34">
        <f t="shared" si="23"/>
        <v>2</v>
      </c>
      <c r="Z31" s="34">
        <f t="shared" si="23"/>
        <v>2.5</v>
      </c>
      <c r="AA31" s="34">
        <f t="shared" si="23"/>
        <v>0.5</v>
      </c>
      <c r="AB31" s="34">
        <f t="shared" si="23"/>
        <v>0.5</v>
      </c>
      <c r="AC31" s="34">
        <f t="shared" si="23"/>
        <v>3.5</v>
      </c>
      <c r="AD31" s="34">
        <f t="shared" si="23"/>
        <v>0</v>
      </c>
      <c r="AE31" s="31">
        <f t="shared" si="23"/>
        <v>19.5</v>
      </c>
      <c r="AF31" s="31">
        <f t="shared" si="23"/>
        <v>23</v>
      </c>
    </row>
    <row r="32" spans="2:32" ht="23.1" customHeight="1" x14ac:dyDescent="0.25">
      <c r="B32" s="24" t="s">
        <v>59</v>
      </c>
      <c r="C32" s="49">
        <f>'Avg WeeK Iganga-Kaliro'!C32+'Avg Week Kaliro-Iganga'!C32</f>
        <v>6.4285714285714288</v>
      </c>
      <c r="D32" s="49">
        <f>'Avg WeeK Iganga-Kaliro'!D32+'Avg Week Kaliro-Iganga'!D32</f>
        <v>3.2857142857142856</v>
      </c>
      <c r="E32" s="49">
        <f>'Avg WeeK Iganga-Kaliro'!E32+'Avg Week Kaliro-Iganga'!E32</f>
        <v>2.7142857142857144</v>
      </c>
      <c r="F32" s="49">
        <f>'Avg WeeK Iganga-Kaliro'!F32+'Avg Week Kaliro-Iganga'!F32</f>
        <v>7.2857142857142865</v>
      </c>
      <c r="G32" s="49">
        <f>'Avg WeeK Iganga-Kaliro'!G32+'Avg Week Kaliro-Iganga'!G32</f>
        <v>0.42857142857142855</v>
      </c>
      <c r="H32" s="49">
        <f>'Avg WeeK Iganga-Kaliro'!H32+'Avg Week Kaliro-Iganga'!H32</f>
        <v>0</v>
      </c>
      <c r="I32" s="49">
        <f>'Avg WeeK Iganga-Kaliro'!I32+'Avg Week Kaliro-Iganga'!I32</f>
        <v>2.8571428571428568</v>
      </c>
      <c r="J32" s="49">
        <f>'Avg WeeK Iganga-Kaliro'!J32+'Avg Week Kaliro-Iganga'!J32</f>
        <v>2</v>
      </c>
      <c r="K32" s="49">
        <f>'Avg WeeK Iganga-Kaliro'!K32+'Avg Week Kaliro-Iganga'!K32</f>
        <v>0.14285714285714285</v>
      </c>
      <c r="L32" s="49">
        <f>'Avg WeeK Iganga-Kaliro'!L32+'Avg Week Kaliro-Iganga'!L32</f>
        <v>0</v>
      </c>
      <c r="M32" s="49">
        <f>'Avg WeeK Iganga-Kaliro'!M32+'Avg Week Kaliro-Iganga'!M32</f>
        <v>145.28571428571428</v>
      </c>
      <c r="N32" s="49">
        <f>'Avg WeeK Iganga-Kaliro'!N32+'Avg Week Kaliro-Iganga'!N32</f>
        <v>0</v>
      </c>
      <c r="O32" s="15">
        <f t="shared" si="0"/>
        <v>25.142857142857142</v>
      </c>
      <c r="P32" s="15">
        <f t="shared" si="1"/>
        <v>170.42857142857142</v>
      </c>
      <c r="R32" s="1" t="s">
        <v>156</v>
      </c>
      <c r="S32" s="34">
        <f>SUM(C98:C101)</f>
        <v>4.5</v>
      </c>
      <c r="T32" s="34">
        <f t="shared" ref="T32:AF32" si="24">SUM(D98:D101)</f>
        <v>4.5</v>
      </c>
      <c r="U32" s="34">
        <f t="shared" si="24"/>
        <v>4.5</v>
      </c>
      <c r="V32" s="34">
        <f t="shared" si="24"/>
        <v>7</v>
      </c>
      <c r="W32" s="34">
        <f t="shared" si="24"/>
        <v>0.5</v>
      </c>
      <c r="X32" s="34">
        <f t="shared" si="24"/>
        <v>0</v>
      </c>
      <c r="Y32" s="34">
        <f t="shared" si="24"/>
        <v>5</v>
      </c>
      <c r="Z32" s="34">
        <f t="shared" si="24"/>
        <v>3.5</v>
      </c>
      <c r="AA32" s="34">
        <f t="shared" si="24"/>
        <v>1</v>
      </c>
      <c r="AB32" s="34">
        <f t="shared" si="24"/>
        <v>0</v>
      </c>
      <c r="AC32" s="34">
        <f t="shared" si="24"/>
        <v>21</v>
      </c>
      <c r="AD32" s="34">
        <f t="shared" si="24"/>
        <v>0</v>
      </c>
      <c r="AE32" s="31">
        <f t="shared" si="24"/>
        <v>30.5</v>
      </c>
      <c r="AF32" s="31">
        <f t="shared" si="24"/>
        <v>51.5</v>
      </c>
    </row>
    <row r="33" spans="2:32" ht="23.1" customHeight="1" x14ac:dyDescent="0.25">
      <c r="B33" s="23" t="s">
        <v>60</v>
      </c>
      <c r="C33" s="49">
        <f>'Avg WeeK Iganga-Kaliro'!C33+'Avg Week Kaliro-Iganga'!C33</f>
        <v>5.1428571428571423</v>
      </c>
      <c r="D33" s="49">
        <f>'Avg WeeK Iganga-Kaliro'!D33+'Avg Week Kaliro-Iganga'!D33</f>
        <v>3</v>
      </c>
      <c r="E33" s="49">
        <f>'Avg WeeK Iganga-Kaliro'!E33+'Avg Week Kaliro-Iganga'!E33</f>
        <v>2</v>
      </c>
      <c r="F33" s="49">
        <f>'Avg WeeK Iganga-Kaliro'!F33+'Avg Week Kaliro-Iganga'!F33</f>
        <v>4.8571428571428577</v>
      </c>
      <c r="G33" s="49">
        <f>'Avg WeeK Iganga-Kaliro'!G33+'Avg Week Kaliro-Iganga'!G33</f>
        <v>0.14285714285714285</v>
      </c>
      <c r="H33" s="49">
        <f>'Avg WeeK Iganga-Kaliro'!H33+'Avg Week Kaliro-Iganga'!H33</f>
        <v>0.14285714285714285</v>
      </c>
      <c r="I33" s="49">
        <f>'Avg WeeK Iganga-Kaliro'!I33+'Avg Week Kaliro-Iganga'!I33</f>
        <v>2.2857142857142856</v>
      </c>
      <c r="J33" s="49">
        <f>'Avg WeeK Iganga-Kaliro'!J33+'Avg Week Kaliro-Iganga'!J33</f>
        <v>2</v>
      </c>
      <c r="K33" s="49">
        <f>'Avg WeeK Iganga-Kaliro'!K33+'Avg Week Kaliro-Iganga'!K33</f>
        <v>0.5714285714285714</v>
      </c>
      <c r="L33" s="49">
        <f>'Avg WeeK Iganga-Kaliro'!L33+'Avg Week Kaliro-Iganga'!L33</f>
        <v>0.14285714285714285</v>
      </c>
      <c r="M33" s="49">
        <f>'Avg WeeK Iganga-Kaliro'!M33+'Avg Week Kaliro-Iganga'!M33</f>
        <v>152</v>
      </c>
      <c r="N33" s="49">
        <f>'Avg WeeK Iganga-Kaliro'!N33+'Avg Week Kaliro-Iganga'!N33</f>
        <v>0.14285714285714285</v>
      </c>
      <c r="O33" s="15">
        <f t="shared" si="0"/>
        <v>20.428571428571427</v>
      </c>
      <c r="P33" s="15">
        <f t="shared" si="1"/>
        <v>172.42857142857142</v>
      </c>
      <c r="R33" s="1" t="s">
        <v>157</v>
      </c>
      <c r="S33" s="34">
        <f>SUM(C102:C105)</f>
        <v>11</v>
      </c>
      <c r="T33" s="34">
        <f t="shared" ref="T33:AF33" si="25">SUM(D102:D105)</f>
        <v>8.5</v>
      </c>
      <c r="U33" s="34">
        <f t="shared" si="25"/>
        <v>5.5</v>
      </c>
      <c r="V33" s="34">
        <f t="shared" si="25"/>
        <v>23</v>
      </c>
      <c r="W33" s="34">
        <f t="shared" si="25"/>
        <v>0</v>
      </c>
      <c r="X33" s="34">
        <f t="shared" si="25"/>
        <v>0</v>
      </c>
      <c r="Y33" s="34">
        <f t="shared" si="25"/>
        <v>6.5</v>
      </c>
      <c r="Z33" s="34">
        <f t="shared" si="25"/>
        <v>3.5</v>
      </c>
      <c r="AA33" s="34">
        <f t="shared" si="25"/>
        <v>0.5</v>
      </c>
      <c r="AB33" s="34">
        <f t="shared" si="25"/>
        <v>0</v>
      </c>
      <c r="AC33" s="34">
        <f t="shared" si="25"/>
        <v>135.5</v>
      </c>
      <c r="AD33" s="34">
        <f t="shared" si="25"/>
        <v>0</v>
      </c>
      <c r="AE33" s="31">
        <f t="shared" si="25"/>
        <v>58.5</v>
      </c>
      <c r="AF33" s="31">
        <f t="shared" si="25"/>
        <v>194</v>
      </c>
    </row>
    <row r="34" spans="2:32" ht="23.1" customHeight="1" x14ac:dyDescent="0.25">
      <c r="B34" s="24" t="s">
        <v>61</v>
      </c>
      <c r="C34" s="49">
        <f>'Avg WeeK Iganga-Kaliro'!C34+'Avg Week Kaliro-Iganga'!C34</f>
        <v>7.1428571428571423</v>
      </c>
      <c r="D34" s="49">
        <f>'Avg WeeK Iganga-Kaliro'!D34+'Avg Week Kaliro-Iganga'!D34</f>
        <v>4.7142857142857144</v>
      </c>
      <c r="E34" s="49">
        <f>'Avg WeeK Iganga-Kaliro'!E34+'Avg Week Kaliro-Iganga'!E34</f>
        <v>4.2857142857142856</v>
      </c>
      <c r="F34" s="49">
        <f>'Avg WeeK Iganga-Kaliro'!F34+'Avg Week Kaliro-Iganga'!F34</f>
        <v>8.8571428571428577</v>
      </c>
      <c r="G34" s="49">
        <f>'Avg WeeK Iganga-Kaliro'!G34+'Avg Week Kaliro-Iganga'!G34</f>
        <v>0.14285714285714285</v>
      </c>
      <c r="H34" s="49">
        <f>'Avg WeeK Iganga-Kaliro'!H34+'Avg Week Kaliro-Iganga'!H34</f>
        <v>0</v>
      </c>
      <c r="I34" s="49">
        <f>'Avg WeeK Iganga-Kaliro'!I34+'Avg Week Kaliro-Iganga'!I34</f>
        <v>2.7142857142857144</v>
      </c>
      <c r="J34" s="49">
        <f>'Avg WeeK Iganga-Kaliro'!J34+'Avg Week Kaliro-Iganga'!J34</f>
        <v>2.5714285714285712</v>
      </c>
      <c r="K34" s="49">
        <f>'Avg WeeK Iganga-Kaliro'!K34+'Avg Week Kaliro-Iganga'!K34</f>
        <v>0.42857142857142855</v>
      </c>
      <c r="L34" s="49">
        <f>'Avg WeeK Iganga-Kaliro'!L34+'Avg Week Kaliro-Iganga'!L34</f>
        <v>0</v>
      </c>
      <c r="M34" s="49">
        <f>'Avg WeeK Iganga-Kaliro'!M34+'Avg Week Kaliro-Iganga'!M34</f>
        <v>140.85714285714286</v>
      </c>
      <c r="N34" s="49">
        <f>'Avg WeeK Iganga-Kaliro'!N34+'Avg Week Kaliro-Iganga'!N34</f>
        <v>0</v>
      </c>
      <c r="O34" s="15">
        <f t="shared" si="0"/>
        <v>30.857142857142858</v>
      </c>
      <c r="P34" s="15">
        <f t="shared" si="1"/>
        <v>171.71428571428572</v>
      </c>
      <c r="R34" s="38" t="s">
        <v>90</v>
      </c>
      <c r="S34" s="39">
        <f t="shared" ref="S34:AF34" si="26">MAX(S10:S12)</f>
        <v>28.142857142857146</v>
      </c>
      <c r="T34" s="39">
        <f t="shared" si="26"/>
        <v>12.714285714285715</v>
      </c>
      <c r="U34" s="39">
        <f t="shared" si="26"/>
        <v>15</v>
      </c>
      <c r="V34" s="39">
        <f t="shared" si="26"/>
        <v>32</v>
      </c>
      <c r="W34" s="39">
        <f t="shared" si="26"/>
        <v>2.9999999999999996</v>
      </c>
      <c r="X34" s="39">
        <f t="shared" si="26"/>
        <v>1.7142857142857144</v>
      </c>
      <c r="Y34" s="39">
        <f t="shared" si="26"/>
        <v>12</v>
      </c>
      <c r="Z34" s="39">
        <f t="shared" si="26"/>
        <v>8.5714285714285712</v>
      </c>
      <c r="AA34" s="39">
        <f t="shared" si="26"/>
        <v>1.4285714285714284</v>
      </c>
      <c r="AB34" s="39">
        <f t="shared" si="26"/>
        <v>0</v>
      </c>
      <c r="AC34" s="39">
        <f t="shared" si="26"/>
        <v>590.42857142857144</v>
      </c>
      <c r="AD34" s="39">
        <f t="shared" si="26"/>
        <v>0.42857142857142855</v>
      </c>
      <c r="AE34" s="40">
        <f t="shared" si="26"/>
        <v>106.71428571428572</v>
      </c>
      <c r="AF34" s="40">
        <f t="shared" si="26"/>
        <v>690.57142857142856</v>
      </c>
    </row>
    <row r="35" spans="2:32" ht="23.1" customHeight="1" x14ac:dyDescent="0.25">
      <c r="B35" s="24" t="s">
        <v>62</v>
      </c>
      <c r="C35" s="49">
        <f>'Avg WeeK Iganga-Kaliro'!C35+'Avg Week Kaliro-Iganga'!C35</f>
        <v>7</v>
      </c>
      <c r="D35" s="49">
        <f>'Avg WeeK Iganga-Kaliro'!D35+'Avg Week Kaliro-Iganga'!D35</f>
        <v>3.4285714285714284</v>
      </c>
      <c r="E35" s="49">
        <f>'Avg WeeK Iganga-Kaliro'!E35+'Avg Week Kaliro-Iganga'!E35</f>
        <v>2.1428571428571428</v>
      </c>
      <c r="F35" s="49">
        <f>'Avg WeeK Iganga-Kaliro'!F35+'Avg Week Kaliro-Iganga'!F35</f>
        <v>6.7142857142857144</v>
      </c>
      <c r="G35" s="49">
        <f>'Avg WeeK Iganga-Kaliro'!G35+'Avg Week Kaliro-Iganga'!G35</f>
        <v>0.71428571428571419</v>
      </c>
      <c r="H35" s="49">
        <f>'Avg WeeK Iganga-Kaliro'!H35+'Avg Week Kaliro-Iganga'!H35</f>
        <v>0.2857142857142857</v>
      </c>
      <c r="I35" s="49">
        <f>'Avg WeeK Iganga-Kaliro'!I35+'Avg Week Kaliro-Iganga'!I35</f>
        <v>3.1428571428571428</v>
      </c>
      <c r="J35" s="49">
        <f>'Avg WeeK Iganga-Kaliro'!J35+'Avg Week Kaliro-Iganga'!J35</f>
        <v>2.1428571428571428</v>
      </c>
      <c r="K35" s="49">
        <f>'Avg WeeK Iganga-Kaliro'!K35+'Avg Week Kaliro-Iganga'!K35</f>
        <v>0.2857142857142857</v>
      </c>
      <c r="L35" s="49">
        <f>'Avg WeeK Iganga-Kaliro'!L35+'Avg Week Kaliro-Iganga'!L35</f>
        <v>0</v>
      </c>
      <c r="M35" s="49">
        <f>'Avg WeeK Iganga-Kaliro'!M35+'Avg Week Kaliro-Iganga'!M35</f>
        <v>140.28571428571428</v>
      </c>
      <c r="N35" s="49">
        <f>'Avg WeeK Iganga-Kaliro'!N35+'Avg Week Kaliro-Iganga'!N35</f>
        <v>0</v>
      </c>
      <c r="O35" s="15">
        <f t="shared" si="0"/>
        <v>25.857142857142854</v>
      </c>
      <c r="P35" s="15">
        <f t="shared" si="1"/>
        <v>166.14285714285714</v>
      </c>
      <c r="R35" s="38" t="s">
        <v>91</v>
      </c>
      <c r="S35" s="39">
        <f t="shared" ref="S35:AF35" si="27">MAX(S13:S18)</f>
        <v>33.857142857142861</v>
      </c>
      <c r="T35" s="39">
        <f t="shared" si="27"/>
        <v>17</v>
      </c>
      <c r="U35" s="39">
        <f t="shared" si="27"/>
        <v>16.571428571428569</v>
      </c>
      <c r="V35" s="39">
        <f t="shared" si="27"/>
        <v>35.428571428571431</v>
      </c>
      <c r="W35" s="39">
        <f t="shared" si="27"/>
        <v>1.857142857142857</v>
      </c>
      <c r="X35" s="39">
        <f t="shared" si="27"/>
        <v>0.8571428571428571</v>
      </c>
      <c r="Y35" s="39">
        <f t="shared" si="27"/>
        <v>14.142857142857142</v>
      </c>
      <c r="Z35" s="39">
        <f t="shared" si="27"/>
        <v>11.428571428571427</v>
      </c>
      <c r="AA35" s="39">
        <f t="shared" si="27"/>
        <v>1.4285714285714284</v>
      </c>
      <c r="AB35" s="39">
        <f t="shared" si="27"/>
        <v>1.1428571428571428</v>
      </c>
      <c r="AC35" s="39">
        <f t="shared" si="27"/>
        <v>638.57142857142856</v>
      </c>
      <c r="AD35" s="39">
        <f t="shared" si="27"/>
        <v>0.5714285714285714</v>
      </c>
      <c r="AE35" s="40">
        <f t="shared" si="27"/>
        <v>127.42857142857144</v>
      </c>
      <c r="AF35" s="40">
        <f t="shared" si="27"/>
        <v>743.28571428571422</v>
      </c>
    </row>
    <row r="36" spans="2:32" ht="23.1" customHeight="1" x14ac:dyDescent="0.25">
      <c r="B36" s="24" t="s">
        <v>63</v>
      </c>
      <c r="C36" s="49">
        <f>'Avg WeeK Iganga-Kaliro'!C36+'Avg Week Kaliro-Iganga'!C36</f>
        <v>6.8571428571428577</v>
      </c>
      <c r="D36" s="49">
        <f>'Avg WeeK Iganga-Kaliro'!D36+'Avg Week Kaliro-Iganga'!D36</f>
        <v>3.5714285714285712</v>
      </c>
      <c r="E36" s="49">
        <f>'Avg WeeK Iganga-Kaliro'!E36+'Avg Week Kaliro-Iganga'!E36</f>
        <v>2.8571428571428572</v>
      </c>
      <c r="F36" s="49">
        <f>'Avg WeeK Iganga-Kaliro'!F36+'Avg Week Kaliro-Iganga'!F36</f>
        <v>5.5714285714285712</v>
      </c>
      <c r="G36" s="49">
        <f>'Avg WeeK Iganga-Kaliro'!G36+'Avg Week Kaliro-Iganga'!G36</f>
        <v>0.5714285714285714</v>
      </c>
      <c r="H36" s="49">
        <f>'Avg WeeK Iganga-Kaliro'!H36+'Avg Week Kaliro-Iganga'!H36</f>
        <v>0.14285714285714285</v>
      </c>
      <c r="I36" s="49">
        <f>'Avg WeeK Iganga-Kaliro'!I36+'Avg Week Kaliro-Iganga'!I36</f>
        <v>2.2857142857142856</v>
      </c>
      <c r="J36" s="49">
        <f>'Avg WeeK Iganga-Kaliro'!J36+'Avg Week Kaliro-Iganga'!J36</f>
        <v>2.1428571428571428</v>
      </c>
      <c r="K36" s="49">
        <f>'Avg WeeK Iganga-Kaliro'!K36+'Avg Week Kaliro-Iganga'!K36</f>
        <v>0.2857142857142857</v>
      </c>
      <c r="L36" s="49">
        <f>'Avg WeeK Iganga-Kaliro'!L36+'Avg Week Kaliro-Iganga'!L36</f>
        <v>0.42857142857142855</v>
      </c>
      <c r="M36" s="49">
        <f>'Avg WeeK Iganga-Kaliro'!M36+'Avg Week Kaliro-Iganga'!M36</f>
        <v>140.14285714285717</v>
      </c>
      <c r="N36" s="49">
        <f>'Avg WeeK Iganga-Kaliro'!N36+'Avg Week Kaliro-Iganga'!N36</f>
        <v>0</v>
      </c>
      <c r="O36" s="15">
        <f t="shared" si="0"/>
        <v>24.714285714285712</v>
      </c>
      <c r="P36" s="15">
        <f t="shared" si="1"/>
        <v>164.85714285714289</v>
      </c>
      <c r="R36" s="38" t="s">
        <v>92</v>
      </c>
      <c r="S36" s="39">
        <f t="shared" ref="S36:AF36" si="28">MAX(S19:S21)</f>
        <v>30.571428571428573</v>
      </c>
      <c r="T36" s="39">
        <f t="shared" si="28"/>
        <v>18.714285714285712</v>
      </c>
      <c r="U36" s="39">
        <f t="shared" si="28"/>
        <v>16.285714285714285</v>
      </c>
      <c r="V36" s="39">
        <f t="shared" si="28"/>
        <v>42.428571428571431</v>
      </c>
      <c r="W36" s="39">
        <f t="shared" si="28"/>
        <v>1</v>
      </c>
      <c r="X36" s="39">
        <f t="shared" si="28"/>
        <v>0.14285714285714285</v>
      </c>
      <c r="Y36" s="39">
        <f t="shared" si="28"/>
        <v>12.142857142857144</v>
      </c>
      <c r="Z36" s="39">
        <f t="shared" si="28"/>
        <v>7.7142857142857135</v>
      </c>
      <c r="AA36" s="39">
        <f t="shared" si="28"/>
        <v>1.8571428571428572</v>
      </c>
      <c r="AB36" s="39">
        <f t="shared" si="28"/>
        <v>0.42857142857142855</v>
      </c>
      <c r="AC36" s="39">
        <f t="shared" si="28"/>
        <v>563.57142857142856</v>
      </c>
      <c r="AD36" s="39">
        <f t="shared" si="28"/>
        <v>0.5714285714285714</v>
      </c>
      <c r="AE36" s="40">
        <f t="shared" si="28"/>
        <v>123.85714285714283</v>
      </c>
      <c r="AF36" s="40">
        <f t="shared" si="28"/>
        <v>679.85714285714289</v>
      </c>
    </row>
    <row r="37" spans="2:32" ht="23.1" customHeight="1" x14ac:dyDescent="0.25">
      <c r="B37" s="23" t="s">
        <v>64</v>
      </c>
      <c r="C37" s="49">
        <f>'Avg WeeK Iganga-Kaliro'!C37+'Avg Week Kaliro-Iganga'!C37</f>
        <v>6.5714285714285712</v>
      </c>
      <c r="D37" s="49">
        <f>'Avg WeeK Iganga-Kaliro'!D37+'Avg Week Kaliro-Iganga'!D37</f>
        <v>2.7142857142857144</v>
      </c>
      <c r="E37" s="49">
        <f>'Avg WeeK Iganga-Kaliro'!E37+'Avg Week Kaliro-Iganga'!E37</f>
        <v>3</v>
      </c>
      <c r="F37" s="49">
        <f>'Avg WeeK Iganga-Kaliro'!F37+'Avg Week Kaliro-Iganga'!F37</f>
        <v>6.1428571428571432</v>
      </c>
      <c r="G37" s="49">
        <f>'Avg WeeK Iganga-Kaliro'!G37+'Avg Week Kaliro-Iganga'!G37</f>
        <v>0.42857142857142855</v>
      </c>
      <c r="H37" s="49">
        <f>'Avg WeeK Iganga-Kaliro'!H37+'Avg Week Kaliro-Iganga'!H37</f>
        <v>0.2857142857142857</v>
      </c>
      <c r="I37" s="49">
        <f>'Avg WeeK Iganga-Kaliro'!I37+'Avg Week Kaliro-Iganga'!I37</f>
        <v>2.7142857142857144</v>
      </c>
      <c r="J37" s="49">
        <f>'Avg WeeK Iganga-Kaliro'!J37+'Avg Week Kaliro-Iganga'!J37</f>
        <v>2.5714285714285716</v>
      </c>
      <c r="K37" s="49">
        <f>'Avg WeeK Iganga-Kaliro'!K37+'Avg Week Kaliro-Iganga'!K37</f>
        <v>0.14285714285714285</v>
      </c>
      <c r="L37" s="49">
        <f>'Avg WeeK Iganga-Kaliro'!L37+'Avg Week Kaliro-Iganga'!L37</f>
        <v>0</v>
      </c>
      <c r="M37" s="49">
        <f>'Avg WeeK Iganga-Kaliro'!M37+'Avg Week Kaliro-Iganga'!M37</f>
        <v>147.42857142857144</v>
      </c>
      <c r="N37" s="49">
        <f>'Avg WeeK Iganga-Kaliro'!N37+'Avg Week Kaliro-Iganga'!N37</f>
        <v>0</v>
      </c>
      <c r="O37" s="15">
        <f t="shared" si="0"/>
        <v>24.571428571428569</v>
      </c>
      <c r="P37" s="15">
        <f t="shared" si="1"/>
        <v>172</v>
      </c>
      <c r="R37" s="37" t="s">
        <v>85</v>
      </c>
      <c r="S37" s="35">
        <f t="shared" ref="S37:AF37" si="29">SUM(S10:S12)</f>
        <v>74.285714285714278</v>
      </c>
      <c r="T37" s="16">
        <f t="shared" si="29"/>
        <v>36.571428571428569</v>
      </c>
      <c r="U37" s="16">
        <f t="shared" si="29"/>
        <v>33.714285714285715</v>
      </c>
      <c r="V37" s="16">
        <f t="shared" si="29"/>
        <v>79.857142857142861</v>
      </c>
      <c r="W37" s="16">
        <f t="shared" si="29"/>
        <v>6.5714285714285712</v>
      </c>
      <c r="X37" s="16">
        <f t="shared" si="29"/>
        <v>2.8571428571428572</v>
      </c>
      <c r="Y37" s="16">
        <f t="shared" si="29"/>
        <v>30.714285714285715</v>
      </c>
      <c r="Z37" s="16">
        <f t="shared" si="29"/>
        <v>19.714285714285715</v>
      </c>
      <c r="AA37" s="16">
        <f t="shared" si="29"/>
        <v>3.8571428571428568</v>
      </c>
      <c r="AB37" s="16">
        <f t="shared" si="29"/>
        <v>0</v>
      </c>
      <c r="AC37" s="16">
        <f t="shared" si="29"/>
        <v>1609.1428571428573</v>
      </c>
      <c r="AD37" s="16">
        <f t="shared" si="29"/>
        <v>0.99999999999999989</v>
      </c>
      <c r="AE37" s="32">
        <f t="shared" si="29"/>
        <v>289.14285714285717</v>
      </c>
      <c r="AF37" s="32">
        <f t="shared" si="29"/>
        <v>1898.2857142857142</v>
      </c>
    </row>
    <row r="38" spans="2:32" ht="23.1" customHeight="1" x14ac:dyDescent="0.25">
      <c r="B38" s="24" t="s">
        <v>65</v>
      </c>
      <c r="C38" s="49">
        <f>'Avg WeeK Iganga-Kaliro'!C38+'Avg Week Kaliro-Iganga'!C38</f>
        <v>7.8571428571428577</v>
      </c>
      <c r="D38" s="49">
        <f>'Avg WeeK Iganga-Kaliro'!D38+'Avg Week Kaliro-Iganga'!D38</f>
        <v>4.4285714285714288</v>
      </c>
      <c r="E38" s="49">
        <f>'Avg WeeK Iganga-Kaliro'!E38+'Avg Week Kaliro-Iganga'!E38</f>
        <v>3.5714285714285712</v>
      </c>
      <c r="F38" s="49">
        <f>'Avg WeeK Iganga-Kaliro'!F38+'Avg Week Kaliro-Iganga'!F38</f>
        <v>11.285714285714285</v>
      </c>
      <c r="G38" s="49">
        <f>'Avg WeeK Iganga-Kaliro'!G38+'Avg Week Kaliro-Iganga'!G38</f>
        <v>0.2857142857142857</v>
      </c>
      <c r="H38" s="49">
        <f>'Avg WeeK Iganga-Kaliro'!H38+'Avg Week Kaliro-Iganga'!H38</f>
        <v>0.5714285714285714</v>
      </c>
      <c r="I38" s="49">
        <f>'Avg WeeK Iganga-Kaliro'!I38+'Avg Week Kaliro-Iganga'!I38</f>
        <v>2.4285714285714288</v>
      </c>
      <c r="J38" s="49">
        <f>'Avg WeeK Iganga-Kaliro'!J38+'Avg Week Kaliro-Iganga'!J38</f>
        <v>3.7142857142857144</v>
      </c>
      <c r="K38" s="49">
        <f>'Avg WeeK Iganga-Kaliro'!K38+'Avg Week Kaliro-Iganga'!K38</f>
        <v>0.14285714285714285</v>
      </c>
      <c r="L38" s="49">
        <f>'Avg WeeK Iganga-Kaliro'!L38+'Avg Week Kaliro-Iganga'!L38</f>
        <v>0.7142857142857143</v>
      </c>
      <c r="M38" s="49">
        <f>'Avg WeeK Iganga-Kaliro'!M38+'Avg Week Kaliro-Iganga'!M38</f>
        <v>140</v>
      </c>
      <c r="N38" s="49">
        <f>'Avg WeeK Iganga-Kaliro'!N38+'Avg Week Kaliro-Iganga'!N38</f>
        <v>0</v>
      </c>
      <c r="O38" s="15">
        <f t="shared" si="0"/>
        <v>35.000000000000007</v>
      </c>
      <c r="P38" s="15">
        <f t="shared" si="1"/>
        <v>175</v>
      </c>
      <c r="R38" s="28" t="s">
        <v>86</v>
      </c>
      <c r="S38" s="16">
        <f t="shared" ref="S38:AF38" si="30">SUM(S13:S18)</f>
        <v>182.28571428571428</v>
      </c>
      <c r="T38" s="16">
        <f t="shared" si="30"/>
        <v>87.714285714285708</v>
      </c>
      <c r="U38" s="16">
        <f t="shared" si="30"/>
        <v>71.285714285714278</v>
      </c>
      <c r="V38" s="16">
        <f t="shared" si="30"/>
        <v>170.85714285714289</v>
      </c>
      <c r="W38" s="16">
        <f t="shared" si="30"/>
        <v>5.9999999999999991</v>
      </c>
      <c r="X38" s="16">
        <f t="shared" si="30"/>
        <v>2.5714285714285712</v>
      </c>
      <c r="Y38" s="16">
        <f t="shared" si="30"/>
        <v>72</v>
      </c>
      <c r="Z38" s="16">
        <f t="shared" si="30"/>
        <v>57.714285714285708</v>
      </c>
      <c r="AA38" s="16">
        <f t="shared" si="30"/>
        <v>6.7142857142857135</v>
      </c>
      <c r="AB38" s="16">
        <f t="shared" si="30"/>
        <v>2.4285714285714284</v>
      </c>
      <c r="AC38" s="16">
        <f t="shared" si="30"/>
        <v>3579.2857142857147</v>
      </c>
      <c r="AD38" s="16">
        <f t="shared" si="30"/>
        <v>1.2857142857142856</v>
      </c>
      <c r="AE38" s="32">
        <f t="shared" si="30"/>
        <v>660.85714285714289</v>
      </c>
      <c r="AF38" s="32">
        <f t="shared" si="30"/>
        <v>4240.1428571428569</v>
      </c>
    </row>
    <row r="39" spans="2:32" ht="23.1" customHeight="1" x14ac:dyDescent="0.25">
      <c r="B39" s="24" t="s">
        <v>66</v>
      </c>
      <c r="C39" s="49">
        <f>'Avg WeeK Iganga-Kaliro'!C39+'Avg Week Kaliro-Iganga'!C39</f>
        <v>7.2857142857142865</v>
      </c>
      <c r="D39" s="49">
        <f>'Avg WeeK Iganga-Kaliro'!D39+'Avg Week Kaliro-Iganga'!D39</f>
        <v>3.285714285714286</v>
      </c>
      <c r="E39" s="49">
        <f>'Avg WeeK Iganga-Kaliro'!E39+'Avg Week Kaliro-Iganga'!E39</f>
        <v>2.714285714285714</v>
      </c>
      <c r="F39" s="49">
        <f>'Avg WeeK Iganga-Kaliro'!F39+'Avg Week Kaliro-Iganga'!F39</f>
        <v>8.7142857142857153</v>
      </c>
      <c r="G39" s="49">
        <f>'Avg WeeK Iganga-Kaliro'!G39+'Avg Week Kaliro-Iganga'!G39</f>
        <v>0.14285714285714285</v>
      </c>
      <c r="H39" s="49">
        <f>'Avg WeeK Iganga-Kaliro'!H39+'Avg Week Kaliro-Iganga'!H39</f>
        <v>0</v>
      </c>
      <c r="I39" s="49">
        <f>'Avg WeeK Iganga-Kaliro'!I39+'Avg Week Kaliro-Iganga'!I39</f>
        <v>3.2857142857142856</v>
      </c>
      <c r="J39" s="49">
        <f>'Avg WeeK Iganga-Kaliro'!J39+'Avg Week Kaliro-Iganga'!J39</f>
        <v>1.8571428571428572</v>
      </c>
      <c r="K39" s="49">
        <f>'Avg WeeK Iganga-Kaliro'!K39+'Avg Week Kaliro-Iganga'!K39</f>
        <v>0</v>
      </c>
      <c r="L39" s="49">
        <f>'Avg WeeK Iganga-Kaliro'!L39+'Avg Week Kaliro-Iganga'!L39</f>
        <v>0</v>
      </c>
      <c r="M39" s="49">
        <f>'Avg WeeK Iganga-Kaliro'!M39+'Avg Week Kaliro-Iganga'!M39</f>
        <v>140.14285714285714</v>
      </c>
      <c r="N39" s="49">
        <f>'Avg WeeK Iganga-Kaliro'!N39+'Avg Week Kaliro-Iganga'!N39</f>
        <v>0</v>
      </c>
      <c r="O39" s="15">
        <f t="shared" si="0"/>
        <v>27.285714285714285</v>
      </c>
      <c r="P39" s="15">
        <f t="shared" si="1"/>
        <v>167.42857142857142</v>
      </c>
      <c r="R39" s="29" t="s">
        <v>87</v>
      </c>
      <c r="S39" s="16">
        <f t="shared" ref="S39:AF39" si="31">SUM(S19:S21)</f>
        <v>84.857142857142861</v>
      </c>
      <c r="T39" s="16">
        <f t="shared" si="31"/>
        <v>52.571428571428562</v>
      </c>
      <c r="U39" s="16">
        <f t="shared" si="31"/>
        <v>44.714285714285708</v>
      </c>
      <c r="V39" s="16">
        <f t="shared" si="31"/>
        <v>117.71428571428571</v>
      </c>
      <c r="W39" s="16">
        <f t="shared" si="31"/>
        <v>2.1428571428571428</v>
      </c>
      <c r="X39" s="16">
        <f t="shared" si="31"/>
        <v>0.42857142857142855</v>
      </c>
      <c r="Y39" s="16">
        <f t="shared" si="31"/>
        <v>34.714285714285715</v>
      </c>
      <c r="Z39" s="16">
        <f t="shared" si="31"/>
        <v>21.142857142857142</v>
      </c>
      <c r="AA39" s="16">
        <f t="shared" si="31"/>
        <v>3.5714285714285712</v>
      </c>
      <c r="AB39" s="16">
        <f t="shared" si="31"/>
        <v>0.42857142857142855</v>
      </c>
      <c r="AC39" s="16">
        <f t="shared" si="31"/>
        <v>1617.8571428571429</v>
      </c>
      <c r="AD39" s="16">
        <f t="shared" si="31"/>
        <v>1.4285714285714286</v>
      </c>
      <c r="AE39" s="32">
        <f t="shared" si="31"/>
        <v>363.71428571428567</v>
      </c>
      <c r="AF39" s="32">
        <f t="shared" si="31"/>
        <v>1981.5714285714284</v>
      </c>
    </row>
    <row r="40" spans="2:32" ht="23.1" customHeight="1" x14ac:dyDescent="0.25">
      <c r="B40" s="24" t="s">
        <v>67</v>
      </c>
      <c r="C40" s="49">
        <f>'Avg WeeK Iganga-Kaliro'!C40+'Avg Week Kaliro-Iganga'!C40</f>
        <v>8.8571428571428577</v>
      </c>
      <c r="D40" s="49">
        <f>'Avg WeeK Iganga-Kaliro'!D40+'Avg Week Kaliro-Iganga'!D40</f>
        <v>4</v>
      </c>
      <c r="E40" s="49">
        <f>'Avg WeeK Iganga-Kaliro'!E40+'Avg Week Kaliro-Iganga'!E40</f>
        <v>1.4285714285714284</v>
      </c>
      <c r="F40" s="49">
        <f>'Avg WeeK Iganga-Kaliro'!F40+'Avg Week Kaliro-Iganga'!F40</f>
        <v>6.8571428571428577</v>
      </c>
      <c r="G40" s="49">
        <f>'Avg WeeK Iganga-Kaliro'!G40+'Avg Week Kaliro-Iganga'!G40</f>
        <v>0.14285714285714285</v>
      </c>
      <c r="H40" s="49">
        <f>'Avg WeeK Iganga-Kaliro'!H40+'Avg Week Kaliro-Iganga'!H40</f>
        <v>0</v>
      </c>
      <c r="I40" s="49">
        <f>'Avg WeeK Iganga-Kaliro'!I40+'Avg Week Kaliro-Iganga'!I40</f>
        <v>2.2857142857142856</v>
      </c>
      <c r="J40" s="49">
        <f>'Avg WeeK Iganga-Kaliro'!J40+'Avg Week Kaliro-Iganga'!J40</f>
        <v>4.1428571428571423</v>
      </c>
      <c r="K40" s="49">
        <f>'Avg WeeK Iganga-Kaliro'!K40+'Avg Week Kaliro-Iganga'!K40</f>
        <v>0.42857142857142855</v>
      </c>
      <c r="L40" s="49">
        <f>'Avg WeeK Iganga-Kaliro'!L40+'Avg Week Kaliro-Iganga'!L40</f>
        <v>0.42857142857142855</v>
      </c>
      <c r="M40" s="49">
        <f>'Avg WeeK Iganga-Kaliro'!M40+'Avg Week Kaliro-Iganga'!M40</f>
        <v>138.71428571428572</v>
      </c>
      <c r="N40" s="49">
        <f>'Avg WeeK Iganga-Kaliro'!N40+'Avg Week Kaliro-Iganga'!N40</f>
        <v>0.14285714285714285</v>
      </c>
      <c r="O40" s="15">
        <f t="shared" si="0"/>
        <v>28.714285714285712</v>
      </c>
      <c r="P40" s="15">
        <f t="shared" si="1"/>
        <v>167.42857142857142</v>
      </c>
      <c r="R40" s="5" t="s">
        <v>17</v>
      </c>
      <c r="S40" s="16">
        <f t="shared" ref="S40:AF40" si="32">SUM(S10:S21)</f>
        <v>341.42857142857139</v>
      </c>
      <c r="T40" s="16">
        <f t="shared" si="32"/>
        <v>176.85714285714286</v>
      </c>
      <c r="U40" s="16">
        <f t="shared" si="32"/>
        <v>149.71428571428572</v>
      </c>
      <c r="V40" s="16">
        <f t="shared" si="32"/>
        <v>368.42857142857144</v>
      </c>
      <c r="W40" s="16">
        <f t="shared" si="32"/>
        <v>14.714285714285715</v>
      </c>
      <c r="X40" s="16">
        <f t="shared" si="32"/>
        <v>5.8571428571428577</v>
      </c>
      <c r="Y40" s="16">
        <f t="shared" si="32"/>
        <v>137.42857142857144</v>
      </c>
      <c r="Z40" s="16">
        <f t="shared" si="32"/>
        <v>98.571428571428555</v>
      </c>
      <c r="AA40" s="16">
        <f t="shared" si="32"/>
        <v>14.142857142857141</v>
      </c>
      <c r="AB40" s="16">
        <f t="shared" si="32"/>
        <v>2.8571428571428568</v>
      </c>
      <c r="AC40" s="16">
        <f t="shared" si="32"/>
        <v>6806.2857142857138</v>
      </c>
      <c r="AD40" s="16">
        <f t="shared" si="32"/>
        <v>3.7142857142857135</v>
      </c>
      <c r="AE40" s="32">
        <f t="shared" si="32"/>
        <v>1313.714285714286</v>
      </c>
      <c r="AF40" s="32">
        <f t="shared" si="32"/>
        <v>8120</v>
      </c>
    </row>
    <row r="41" spans="2:32" ht="23.1" customHeight="1" x14ac:dyDescent="0.25">
      <c r="B41" s="23" t="s">
        <v>68</v>
      </c>
      <c r="C41" s="49">
        <f>'Avg WeeK Iganga-Kaliro'!C41+'Avg Week Kaliro-Iganga'!C41</f>
        <v>7.5714285714285712</v>
      </c>
      <c r="D41" s="49">
        <f>'Avg WeeK Iganga-Kaliro'!D41+'Avg Week Kaliro-Iganga'!D41</f>
        <v>4.8571428571428568</v>
      </c>
      <c r="E41" s="49">
        <f>'Avg WeeK Iganga-Kaliro'!E41+'Avg Week Kaliro-Iganga'!E41</f>
        <v>3.2857142857142856</v>
      </c>
      <c r="F41" s="49">
        <f>'Avg WeeK Iganga-Kaliro'!F41+'Avg Week Kaliro-Iganga'!F41</f>
        <v>6.4285714285714288</v>
      </c>
      <c r="G41" s="49">
        <f>'Avg WeeK Iganga-Kaliro'!G41+'Avg Week Kaliro-Iganga'!G41</f>
        <v>0</v>
      </c>
      <c r="H41" s="49">
        <f>'Avg WeeK Iganga-Kaliro'!H41+'Avg Week Kaliro-Iganga'!H41</f>
        <v>0.2857142857142857</v>
      </c>
      <c r="I41" s="49">
        <f>'Avg WeeK Iganga-Kaliro'!I41+'Avg Week Kaliro-Iganga'!I41</f>
        <v>2.2857142857142856</v>
      </c>
      <c r="J41" s="49">
        <f>'Avg WeeK Iganga-Kaliro'!J41+'Avg Week Kaliro-Iganga'!J41</f>
        <v>1.7142857142857142</v>
      </c>
      <c r="K41" s="49">
        <f>'Avg WeeK Iganga-Kaliro'!K41+'Avg Week Kaliro-Iganga'!K41</f>
        <v>0</v>
      </c>
      <c r="L41" s="49">
        <f>'Avg WeeK Iganga-Kaliro'!L41+'Avg Week Kaliro-Iganga'!L41</f>
        <v>0</v>
      </c>
      <c r="M41" s="49">
        <f>'Avg WeeK Iganga-Kaliro'!M41+'Avg Week Kaliro-Iganga'!M41</f>
        <v>137.57142857142858</v>
      </c>
      <c r="N41" s="49">
        <f>'Avg WeeK Iganga-Kaliro'!N41+'Avg Week Kaliro-Iganga'!N41</f>
        <v>0</v>
      </c>
      <c r="O41" s="15">
        <f t="shared" si="0"/>
        <v>26.428571428571423</v>
      </c>
      <c r="P41" s="15">
        <f t="shared" si="1"/>
        <v>164</v>
      </c>
      <c r="R41" s="5" t="s">
        <v>177</v>
      </c>
      <c r="S41" s="16">
        <f>SUM(S10:S33)</f>
        <v>468.92857142857139</v>
      </c>
      <c r="T41" s="16">
        <f t="shared" ref="T41:AD41" si="33">SUM(T10:T33)</f>
        <v>250.35714285714286</v>
      </c>
      <c r="U41" s="16">
        <f t="shared" si="33"/>
        <v>209.71428571428572</v>
      </c>
      <c r="V41" s="16">
        <f t="shared" si="33"/>
        <v>483.42857142857144</v>
      </c>
      <c r="W41" s="16">
        <f t="shared" si="33"/>
        <v>15.714285714285715</v>
      </c>
      <c r="X41" s="16">
        <f t="shared" si="33"/>
        <v>6.8571428571428577</v>
      </c>
      <c r="Y41" s="16">
        <f t="shared" si="33"/>
        <v>190.42857142857144</v>
      </c>
      <c r="Z41" s="16">
        <f t="shared" si="33"/>
        <v>137.07142857142856</v>
      </c>
      <c r="AA41" s="16">
        <f t="shared" si="33"/>
        <v>21.642857142857139</v>
      </c>
      <c r="AB41" s="16">
        <f t="shared" si="33"/>
        <v>9.8571428571428577</v>
      </c>
      <c r="AC41" s="16">
        <f t="shared" si="33"/>
        <v>9170.2857142857138</v>
      </c>
      <c r="AD41" s="16">
        <f t="shared" si="33"/>
        <v>4.2142857142857135</v>
      </c>
      <c r="AE41" s="32">
        <f>SUM(AE10:AE33)</f>
        <v>1798.214285714286</v>
      </c>
      <c r="AF41" s="32">
        <f>SUM(AF10:AF33)</f>
        <v>10968.5</v>
      </c>
    </row>
    <row r="42" spans="2:32" ht="23.1" customHeight="1" x14ac:dyDescent="0.25">
      <c r="B42" s="24" t="s">
        <v>69</v>
      </c>
      <c r="C42" s="49">
        <f>'Avg WeeK Iganga-Kaliro'!C42+'Avg Week Kaliro-Iganga'!C42</f>
        <v>8.8571428571428577</v>
      </c>
      <c r="D42" s="49">
        <f>'Avg WeeK Iganga-Kaliro'!D42+'Avg Week Kaliro-Iganga'!D42</f>
        <v>4.2857142857142856</v>
      </c>
      <c r="E42" s="49">
        <f>'Avg WeeK Iganga-Kaliro'!E42+'Avg Week Kaliro-Iganga'!E42</f>
        <v>3.2857142857142856</v>
      </c>
      <c r="F42" s="49">
        <f>'Avg WeeK Iganga-Kaliro'!F42+'Avg Week Kaliro-Iganga'!F42</f>
        <v>12.142857142857142</v>
      </c>
      <c r="G42" s="49">
        <f>'Avg WeeK Iganga-Kaliro'!G42+'Avg Week Kaliro-Iganga'!G42</f>
        <v>0.14285714285714285</v>
      </c>
      <c r="H42" s="49">
        <f>'Avg WeeK Iganga-Kaliro'!H42+'Avg Week Kaliro-Iganga'!H42</f>
        <v>0</v>
      </c>
      <c r="I42" s="49">
        <f>'Avg WeeK Iganga-Kaliro'!I42+'Avg Week Kaliro-Iganga'!I42</f>
        <v>5.8571428571428568</v>
      </c>
      <c r="J42" s="49">
        <f>'Avg WeeK Iganga-Kaliro'!J42+'Avg Week Kaliro-Iganga'!J42</f>
        <v>3.2857142857142856</v>
      </c>
      <c r="K42" s="49">
        <f>'Avg WeeK Iganga-Kaliro'!K42+'Avg Week Kaliro-Iganga'!K42</f>
        <v>0.14285714285714285</v>
      </c>
      <c r="L42" s="49">
        <f>'Avg WeeK Iganga-Kaliro'!L42+'Avg Week Kaliro-Iganga'!L42</f>
        <v>0.14285714285714285</v>
      </c>
      <c r="M42" s="49">
        <f>'Avg WeeK Iganga-Kaliro'!M42+'Avg Week Kaliro-Iganga'!M42</f>
        <v>143.28571428571428</v>
      </c>
      <c r="N42" s="49">
        <f>'Avg WeeK Iganga-Kaliro'!N42+'Avg Week Kaliro-Iganga'!N42</f>
        <v>0</v>
      </c>
      <c r="O42" s="15">
        <f t="shared" si="0"/>
        <v>38.142857142857146</v>
      </c>
      <c r="P42" s="15">
        <f t="shared" si="1"/>
        <v>181.42857142857142</v>
      </c>
      <c r="R42" s="5" t="s">
        <v>160</v>
      </c>
      <c r="S42" s="48">
        <f>S41/S40</f>
        <v>1.3734309623430963</v>
      </c>
      <c r="T42" s="48">
        <f t="shared" ref="T42:AF42" si="34">T41/T40</f>
        <v>1.415589660743134</v>
      </c>
      <c r="U42" s="48">
        <f t="shared" si="34"/>
        <v>1.4007633587786259</v>
      </c>
      <c r="V42" s="48">
        <f t="shared" si="34"/>
        <v>1.3121364870104693</v>
      </c>
      <c r="W42" s="48">
        <f t="shared" si="34"/>
        <v>1.0679611650485437</v>
      </c>
      <c r="X42" s="48">
        <f t="shared" si="34"/>
        <v>1.1707317073170731</v>
      </c>
      <c r="Y42" s="48">
        <f t="shared" si="34"/>
        <v>1.3856548856548856</v>
      </c>
      <c r="Z42" s="48">
        <f t="shared" si="34"/>
        <v>1.3905797101449275</v>
      </c>
      <c r="AA42" s="48">
        <f t="shared" si="34"/>
        <v>1.5303030303030303</v>
      </c>
      <c r="AB42" s="48">
        <f t="shared" si="34"/>
        <v>3.4500000000000006</v>
      </c>
      <c r="AC42" s="48">
        <f t="shared" si="34"/>
        <v>1.347326001175384</v>
      </c>
      <c r="AD42" s="48">
        <f t="shared" si="34"/>
        <v>1.1346153846153846</v>
      </c>
      <c r="AE42" s="51">
        <f t="shared" si="34"/>
        <v>1.3688016528925619</v>
      </c>
      <c r="AF42" s="51">
        <f t="shared" si="34"/>
        <v>1.3508004926108375</v>
      </c>
    </row>
    <row r="43" spans="2:32" ht="23.1" customHeight="1" x14ac:dyDescent="0.25">
      <c r="B43" s="23" t="s">
        <v>70</v>
      </c>
      <c r="C43" s="49">
        <f>'Avg WeeK Iganga-Kaliro'!C43+'Avg Week Kaliro-Iganga'!C43</f>
        <v>8.8571428571428577</v>
      </c>
      <c r="D43" s="49">
        <f>'Avg WeeK Iganga-Kaliro'!D43+'Avg Week Kaliro-Iganga'!D43</f>
        <v>6</v>
      </c>
      <c r="E43" s="49">
        <f>'Avg WeeK Iganga-Kaliro'!E43+'Avg Week Kaliro-Iganga'!E43</f>
        <v>4.8571428571428577</v>
      </c>
      <c r="F43" s="49">
        <f>'Avg WeeK Iganga-Kaliro'!F43+'Avg Week Kaliro-Iganga'!F43</f>
        <v>9.5714285714285712</v>
      </c>
      <c r="G43" s="49">
        <f>'Avg WeeK Iganga-Kaliro'!G43+'Avg Week Kaliro-Iganga'!G43</f>
        <v>0.2857142857142857</v>
      </c>
      <c r="H43" s="49">
        <f>'Avg WeeK Iganga-Kaliro'!H43+'Avg Week Kaliro-Iganga'!H43</f>
        <v>0</v>
      </c>
      <c r="I43" s="49">
        <f>'Avg WeeK Iganga-Kaliro'!I43+'Avg Week Kaliro-Iganga'!I43</f>
        <v>3</v>
      </c>
      <c r="J43" s="49">
        <f>'Avg WeeK Iganga-Kaliro'!J43+'Avg Week Kaliro-Iganga'!J43</f>
        <v>3</v>
      </c>
      <c r="K43" s="49">
        <f>'Avg WeeK Iganga-Kaliro'!K43+'Avg Week Kaliro-Iganga'!K43</f>
        <v>0</v>
      </c>
      <c r="L43" s="49">
        <f>'Avg WeeK Iganga-Kaliro'!L43+'Avg Week Kaliro-Iganga'!L43</f>
        <v>0</v>
      </c>
      <c r="M43" s="49">
        <f>'Avg WeeK Iganga-Kaliro'!M43+'Avg Week Kaliro-Iganga'!M43</f>
        <v>152</v>
      </c>
      <c r="N43" s="49">
        <f>'Avg WeeK Iganga-Kaliro'!N43+'Avg Week Kaliro-Iganga'!N43</f>
        <v>0</v>
      </c>
      <c r="O43" s="15">
        <f t="shared" si="0"/>
        <v>35.571428571428569</v>
      </c>
      <c r="P43" s="15">
        <f t="shared" si="1"/>
        <v>187.57142857142856</v>
      </c>
    </row>
    <row r="44" spans="2:32" ht="23.1" customHeight="1" x14ac:dyDescent="0.25">
      <c r="B44" s="25" t="s">
        <v>71</v>
      </c>
      <c r="C44" s="49">
        <f>'Avg WeeK Iganga-Kaliro'!C44+'Avg Week Kaliro-Iganga'!C44</f>
        <v>6.1428571428571423</v>
      </c>
      <c r="D44" s="49">
        <f>'Avg WeeK Iganga-Kaliro'!D44+'Avg Week Kaliro-Iganga'!D44</f>
        <v>2.7142857142857144</v>
      </c>
      <c r="E44" s="49">
        <f>'Avg WeeK Iganga-Kaliro'!E44+'Avg Week Kaliro-Iganga'!E44</f>
        <v>4.1428571428571432</v>
      </c>
      <c r="F44" s="49">
        <f>'Avg WeeK Iganga-Kaliro'!F44+'Avg Week Kaliro-Iganga'!F44</f>
        <v>5.8571428571428577</v>
      </c>
      <c r="G44" s="49">
        <f>'Avg WeeK Iganga-Kaliro'!G44+'Avg Week Kaliro-Iganga'!G44</f>
        <v>0.14285714285714285</v>
      </c>
      <c r="H44" s="49">
        <f>'Avg WeeK Iganga-Kaliro'!H44+'Avg Week Kaliro-Iganga'!H44</f>
        <v>0.2857142857142857</v>
      </c>
      <c r="I44" s="49">
        <f>'Avg WeeK Iganga-Kaliro'!I44+'Avg Week Kaliro-Iganga'!I44</f>
        <v>2.5714285714285712</v>
      </c>
      <c r="J44" s="49">
        <f>'Avg WeeK Iganga-Kaliro'!J44+'Avg Week Kaliro-Iganga'!J44</f>
        <v>2.1428571428571428</v>
      </c>
      <c r="K44" s="49">
        <f>'Avg WeeK Iganga-Kaliro'!K44+'Avg Week Kaliro-Iganga'!K44</f>
        <v>0.5714285714285714</v>
      </c>
      <c r="L44" s="49">
        <f>'Avg WeeK Iganga-Kaliro'!L44+'Avg Week Kaliro-Iganga'!L44</f>
        <v>0</v>
      </c>
      <c r="M44" s="49">
        <f>'Avg WeeK Iganga-Kaliro'!M44+'Avg Week Kaliro-Iganga'!M44</f>
        <v>150.85714285714286</v>
      </c>
      <c r="N44" s="49">
        <f>'Avg WeeK Iganga-Kaliro'!N44+'Avg Week Kaliro-Iganga'!N44</f>
        <v>0</v>
      </c>
      <c r="O44" s="15">
        <f t="shared" si="0"/>
        <v>24.571428571428569</v>
      </c>
      <c r="P44" s="15">
        <f t="shared" si="1"/>
        <v>175.42857142857144</v>
      </c>
    </row>
    <row r="45" spans="2:32" ht="23.1" customHeight="1" x14ac:dyDescent="0.25">
      <c r="B45" s="23" t="s">
        <v>72</v>
      </c>
      <c r="C45" s="49">
        <f>'Avg WeeK Iganga-Kaliro'!C45+'Avg Week Kaliro-Iganga'!C45</f>
        <v>7.8571428571428577</v>
      </c>
      <c r="D45" s="49">
        <f>'Avg WeeK Iganga-Kaliro'!D45+'Avg Week Kaliro-Iganga'!D45</f>
        <v>4</v>
      </c>
      <c r="E45" s="49">
        <f>'Avg WeeK Iganga-Kaliro'!E45+'Avg Week Kaliro-Iganga'!E45</f>
        <v>4.2857142857142856</v>
      </c>
      <c r="F45" s="49">
        <f>'Avg WeeK Iganga-Kaliro'!F45+'Avg Week Kaliro-Iganga'!F45</f>
        <v>7.8571428571428577</v>
      </c>
      <c r="G45" s="49">
        <f>'Avg WeeK Iganga-Kaliro'!G45+'Avg Week Kaliro-Iganga'!G45</f>
        <v>0.71428571428571419</v>
      </c>
      <c r="H45" s="49">
        <f>'Avg WeeK Iganga-Kaliro'!H45+'Avg Week Kaliro-Iganga'!H45</f>
        <v>0</v>
      </c>
      <c r="I45" s="49">
        <f>'Avg WeeK Iganga-Kaliro'!I45+'Avg Week Kaliro-Iganga'!I45</f>
        <v>2.7142857142857144</v>
      </c>
      <c r="J45" s="49">
        <f>'Avg WeeK Iganga-Kaliro'!J45+'Avg Week Kaliro-Iganga'!J45</f>
        <v>1.1428571428571428</v>
      </c>
      <c r="K45" s="49">
        <f>'Avg WeeK Iganga-Kaliro'!K45+'Avg Week Kaliro-Iganga'!K45</f>
        <v>0.5714285714285714</v>
      </c>
      <c r="L45" s="49">
        <f>'Avg WeeK Iganga-Kaliro'!L45+'Avg Week Kaliro-Iganga'!L45</f>
        <v>0</v>
      </c>
      <c r="M45" s="49">
        <f>'Avg WeeK Iganga-Kaliro'!M45+'Avg Week Kaliro-Iganga'!M45</f>
        <v>141.28571428571428</v>
      </c>
      <c r="N45" s="49">
        <f>'Avg WeeK Iganga-Kaliro'!N45+'Avg Week Kaliro-Iganga'!N45</f>
        <v>0</v>
      </c>
      <c r="O45" s="15">
        <f t="shared" si="0"/>
        <v>29.142857142857146</v>
      </c>
      <c r="P45" s="15">
        <f t="shared" si="1"/>
        <v>170.42857142857142</v>
      </c>
    </row>
    <row r="46" spans="2:32" ht="23.1" customHeight="1" x14ac:dyDescent="0.25">
      <c r="B46" s="24" t="s">
        <v>73</v>
      </c>
      <c r="C46" s="49">
        <f>'Avg WeeK Iganga-Kaliro'!C46+'Avg Week Kaliro-Iganga'!C46</f>
        <v>8.4285714285714288</v>
      </c>
      <c r="D46" s="49">
        <f>'Avg WeeK Iganga-Kaliro'!D46+'Avg Week Kaliro-Iganga'!D46</f>
        <v>4.2857142857142856</v>
      </c>
      <c r="E46" s="49">
        <f>'Avg WeeK Iganga-Kaliro'!E46+'Avg Week Kaliro-Iganga'!E46</f>
        <v>3.5714285714285712</v>
      </c>
      <c r="F46" s="49">
        <f>'Avg WeeK Iganga-Kaliro'!F46+'Avg Week Kaliro-Iganga'!F46</f>
        <v>8.8571428571428577</v>
      </c>
      <c r="G46" s="49">
        <f>'Avg WeeK Iganga-Kaliro'!G46+'Avg Week Kaliro-Iganga'!G46</f>
        <v>0.14285714285714285</v>
      </c>
      <c r="H46" s="49">
        <f>'Avg WeeK Iganga-Kaliro'!H46+'Avg Week Kaliro-Iganga'!H46</f>
        <v>0</v>
      </c>
      <c r="I46" s="49">
        <f>'Avg WeeK Iganga-Kaliro'!I46+'Avg Week Kaliro-Iganga'!I46</f>
        <v>2.7142857142857144</v>
      </c>
      <c r="J46" s="49">
        <f>'Avg WeeK Iganga-Kaliro'!J46+'Avg Week Kaliro-Iganga'!J46</f>
        <v>2</v>
      </c>
      <c r="K46" s="49">
        <f>'Avg WeeK Iganga-Kaliro'!K46+'Avg Week Kaliro-Iganga'!K46</f>
        <v>0.14285714285714285</v>
      </c>
      <c r="L46" s="49">
        <f>'Avg WeeK Iganga-Kaliro'!L46+'Avg Week Kaliro-Iganga'!L46</f>
        <v>0</v>
      </c>
      <c r="M46" s="49">
        <f>'Avg WeeK Iganga-Kaliro'!M46+'Avg Week Kaliro-Iganga'!M46</f>
        <v>139.42857142857144</v>
      </c>
      <c r="N46" s="49">
        <f>'Avg WeeK Iganga-Kaliro'!N46+'Avg Week Kaliro-Iganga'!N46</f>
        <v>0</v>
      </c>
      <c r="O46" s="15">
        <f t="shared" si="0"/>
        <v>30.142857142857142</v>
      </c>
      <c r="P46" s="15">
        <f t="shared" si="1"/>
        <v>169.57142857142858</v>
      </c>
      <c r="R46" s="8"/>
      <c r="T46"/>
    </row>
    <row r="47" spans="2:32" ht="23.1" customHeight="1" x14ac:dyDescent="0.25">
      <c r="B47" s="24" t="s">
        <v>74</v>
      </c>
      <c r="C47" s="49">
        <f>'Avg WeeK Iganga-Kaliro'!C47+'Avg Week Kaliro-Iganga'!C47</f>
        <v>5.7142857142857144</v>
      </c>
      <c r="D47" s="49">
        <f>'Avg WeeK Iganga-Kaliro'!D47+'Avg Week Kaliro-Iganga'!D47</f>
        <v>5.2857142857142856</v>
      </c>
      <c r="E47" s="49">
        <f>'Avg WeeK Iganga-Kaliro'!E47+'Avg Week Kaliro-Iganga'!E47</f>
        <v>2.5714285714285712</v>
      </c>
      <c r="F47" s="49">
        <f>'Avg WeeK Iganga-Kaliro'!F47+'Avg Week Kaliro-Iganga'!F47</f>
        <v>9.4285714285714288</v>
      </c>
      <c r="G47" s="49">
        <f>'Avg WeeK Iganga-Kaliro'!G47+'Avg Week Kaliro-Iganga'!G47</f>
        <v>0.14285714285714285</v>
      </c>
      <c r="H47" s="49">
        <f>'Avg WeeK Iganga-Kaliro'!H47+'Avg Week Kaliro-Iganga'!H47</f>
        <v>0</v>
      </c>
      <c r="I47" s="49">
        <f>'Avg WeeK Iganga-Kaliro'!I47+'Avg Week Kaliro-Iganga'!I47</f>
        <v>4</v>
      </c>
      <c r="J47" s="49">
        <f>'Avg WeeK Iganga-Kaliro'!J47+'Avg Week Kaliro-Iganga'!J47</f>
        <v>1.7142857142857142</v>
      </c>
      <c r="K47" s="49">
        <f>'Avg WeeK Iganga-Kaliro'!K47+'Avg Week Kaliro-Iganga'!K47</f>
        <v>0.42857142857142855</v>
      </c>
      <c r="L47" s="49">
        <f>'Avg WeeK Iganga-Kaliro'!L47+'Avg Week Kaliro-Iganga'!L47</f>
        <v>0</v>
      </c>
      <c r="M47" s="49">
        <f>'Avg WeeK Iganga-Kaliro'!M47+'Avg Week Kaliro-Iganga'!M47</f>
        <v>139.28571428571428</v>
      </c>
      <c r="N47" s="49">
        <f>'Avg WeeK Iganga-Kaliro'!N47+'Avg Week Kaliro-Iganga'!N47</f>
        <v>0.42857142857142855</v>
      </c>
      <c r="O47" s="15">
        <f t="shared" si="0"/>
        <v>29.714285714285712</v>
      </c>
      <c r="P47" s="15">
        <f t="shared" si="1"/>
        <v>168.99999999999997</v>
      </c>
      <c r="R47" s="8"/>
      <c r="T47"/>
    </row>
    <row r="48" spans="2:32" ht="23.1" customHeight="1" x14ac:dyDescent="0.25">
      <c r="B48" s="24" t="s">
        <v>75</v>
      </c>
      <c r="C48" s="49">
        <f>'Avg WeeK Iganga-Kaliro'!C48+'Avg Week Kaliro-Iganga'!C48</f>
        <v>6.7142857142857135</v>
      </c>
      <c r="D48" s="49">
        <f>'Avg WeeK Iganga-Kaliro'!D48+'Avg Week Kaliro-Iganga'!D48</f>
        <v>3.7142857142857144</v>
      </c>
      <c r="E48" s="49">
        <f>'Avg WeeK Iganga-Kaliro'!E48+'Avg Week Kaliro-Iganga'!E48</f>
        <v>4</v>
      </c>
      <c r="F48" s="49">
        <f>'Avg WeeK Iganga-Kaliro'!F48+'Avg Week Kaliro-Iganga'!F48</f>
        <v>9</v>
      </c>
      <c r="G48" s="49">
        <f>'Avg WeeK Iganga-Kaliro'!G48+'Avg Week Kaliro-Iganga'!G48</f>
        <v>0</v>
      </c>
      <c r="H48" s="49">
        <f>'Avg WeeK Iganga-Kaliro'!H48+'Avg Week Kaliro-Iganga'!H48</f>
        <v>0</v>
      </c>
      <c r="I48" s="49">
        <f>'Avg WeeK Iganga-Kaliro'!I48+'Avg Week Kaliro-Iganga'!I48</f>
        <v>2.8571428571428568</v>
      </c>
      <c r="J48" s="49">
        <f>'Avg WeeK Iganga-Kaliro'!J48+'Avg Week Kaliro-Iganga'!J48</f>
        <v>1.1428571428571428</v>
      </c>
      <c r="K48" s="49">
        <f>'Avg WeeK Iganga-Kaliro'!K48+'Avg Week Kaliro-Iganga'!K48</f>
        <v>0.5714285714285714</v>
      </c>
      <c r="L48" s="49">
        <f>'Avg WeeK Iganga-Kaliro'!L48+'Avg Week Kaliro-Iganga'!L48</f>
        <v>0.2857142857142857</v>
      </c>
      <c r="M48" s="49">
        <f>'Avg WeeK Iganga-Kaliro'!M48+'Avg Week Kaliro-Iganga'!M48</f>
        <v>141</v>
      </c>
      <c r="N48" s="49">
        <f>'Avg WeeK Iganga-Kaliro'!N48+'Avg Week Kaliro-Iganga'!N48</f>
        <v>0</v>
      </c>
      <c r="O48" s="15">
        <f t="shared" si="0"/>
        <v>28.285714285714285</v>
      </c>
      <c r="P48" s="15">
        <f t="shared" si="1"/>
        <v>169.28571428571428</v>
      </c>
      <c r="R48" s="8"/>
      <c r="T48"/>
    </row>
    <row r="49" spans="2:20" ht="23.1" customHeight="1" x14ac:dyDescent="0.25">
      <c r="B49" s="23" t="s">
        <v>76</v>
      </c>
      <c r="C49" s="49">
        <f>'Avg WeeK Iganga-Kaliro'!C49+'Avg Week Kaliro-Iganga'!C49</f>
        <v>6.7142857142857144</v>
      </c>
      <c r="D49" s="49">
        <f>'Avg WeeK Iganga-Kaliro'!D49+'Avg Week Kaliro-Iganga'!D49</f>
        <v>4.7142857142857144</v>
      </c>
      <c r="E49" s="49">
        <f>'Avg WeeK Iganga-Kaliro'!E49+'Avg Week Kaliro-Iganga'!E49</f>
        <v>4.5714285714285712</v>
      </c>
      <c r="F49" s="49">
        <f>'Avg WeeK Iganga-Kaliro'!F49+'Avg Week Kaliro-Iganga'!F49</f>
        <v>7.8571428571428568</v>
      </c>
      <c r="G49" s="49">
        <f>'Avg WeeK Iganga-Kaliro'!G49+'Avg Week Kaliro-Iganga'!G49</f>
        <v>0.42857142857142855</v>
      </c>
      <c r="H49" s="49">
        <f>'Avg WeeK Iganga-Kaliro'!H49+'Avg Week Kaliro-Iganga'!H49</f>
        <v>0.14285714285714285</v>
      </c>
      <c r="I49" s="49">
        <f>'Avg WeeK Iganga-Kaliro'!I49+'Avg Week Kaliro-Iganga'!I49</f>
        <v>2.1428571428571428</v>
      </c>
      <c r="J49" s="49">
        <f>'Avg WeeK Iganga-Kaliro'!J49+'Avg Week Kaliro-Iganga'!J49</f>
        <v>1.2857142857142856</v>
      </c>
      <c r="K49" s="49">
        <f>'Avg WeeK Iganga-Kaliro'!K49+'Avg Week Kaliro-Iganga'!K49</f>
        <v>0</v>
      </c>
      <c r="L49" s="49">
        <f>'Avg WeeK Iganga-Kaliro'!L49+'Avg Week Kaliro-Iganga'!L49</f>
        <v>0.14285714285714285</v>
      </c>
      <c r="M49" s="49">
        <f>'Avg WeeK Iganga-Kaliro'!M49+'Avg Week Kaliro-Iganga'!M49</f>
        <v>143.85714285714286</v>
      </c>
      <c r="N49" s="49">
        <f>'Avg WeeK Iganga-Kaliro'!N49+'Avg Week Kaliro-Iganga'!N49</f>
        <v>0.14285714285714285</v>
      </c>
      <c r="O49" s="15">
        <f t="shared" si="0"/>
        <v>28.142857142857139</v>
      </c>
      <c r="P49" s="15">
        <f t="shared" si="1"/>
        <v>172</v>
      </c>
      <c r="R49" s="8"/>
      <c r="T49"/>
    </row>
    <row r="50" spans="2:20" ht="23.1" customHeight="1" x14ac:dyDescent="0.25">
      <c r="B50" s="24" t="s">
        <v>77</v>
      </c>
      <c r="C50" s="49">
        <f>'Avg WeeK Iganga-Kaliro'!C50+'Avg Week Kaliro-Iganga'!C50</f>
        <v>7.2857142857142865</v>
      </c>
      <c r="D50" s="49">
        <f>'Avg WeeK Iganga-Kaliro'!D50+'Avg Week Kaliro-Iganga'!D50</f>
        <v>6.1428571428571423</v>
      </c>
      <c r="E50" s="49">
        <f>'Avg WeeK Iganga-Kaliro'!E50+'Avg Week Kaliro-Iganga'!E50</f>
        <v>4.1428571428571423</v>
      </c>
      <c r="F50" s="49">
        <f>'Avg WeeK Iganga-Kaliro'!F50+'Avg Week Kaliro-Iganga'!F50</f>
        <v>10.571428571428571</v>
      </c>
      <c r="G50" s="49">
        <f>'Avg WeeK Iganga-Kaliro'!G50+'Avg Week Kaliro-Iganga'!G50</f>
        <v>0.14285714285714285</v>
      </c>
      <c r="H50" s="49">
        <f>'Avg WeeK Iganga-Kaliro'!H50+'Avg Week Kaliro-Iganga'!H50</f>
        <v>0</v>
      </c>
      <c r="I50" s="49">
        <f>'Avg WeeK Iganga-Kaliro'!I50+'Avg Week Kaliro-Iganga'!I50</f>
        <v>4.1428571428571423</v>
      </c>
      <c r="J50" s="49">
        <f>'Avg WeeK Iganga-Kaliro'!J50+'Avg Week Kaliro-Iganga'!J50</f>
        <v>1.7142857142857144</v>
      </c>
      <c r="K50" s="49">
        <f>'Avg WeeK Iganga-Kaliro'!K50+'Avg Week Kaliro-Iganga'!K50</f>
        <v>0.8571428571428571</v>
      </c>
      <c r="L50" s="49">
        <f>'Avg WeeK Iganga-Kaliro'!L50+'Avg Week Kaliro-Iganga'!L50</f>
        <v>0</v>
      </c>
      <c r="M50" s="49">
        <f>'Avg WeeK Iganga-Kaliro'!M50+'Avg Week Kaliro-Iganga'!M50</f>
        <v>137.57142857142858</v>
      </c>
      <c r="N50" s="49">
        <f>'Avg WeeK Iganga-Kaliro'!N50+'Avg Week Kaliro-Iganga'!N50</f>
        <v>0</v>
      </c>
      <c r="O50" s="15">
        <f t="shared" si="0"/>
        <v>34.999999999999993</v>
      </c>
      <c r="P50" s="15">
        <f t="shared" si="1"/>
        <v>172.57142857142858</v>
      </c>
      <c r="R50" s="8"/>
      <c r="T50"/>
    </row>
    <row r="51" spans="2:20" ht="23.1" customHeight="1" x14ac:dyDescent="0.25">
      <c r="B51" s="24" t="s">
        <v>78</v>
      </c>
      <c r="C51" s="49">
        <f>'Avg WeeK Iganga-Kaliro'!C51+'Avg Week Kaliro-Iganga'!C51</f>
        <v>6.7142857142857135</v>
      </c>
      <c r="D51" s="49">
        <f>'Avg WeeK Iganga-Kaliro'!D51+'Avg Week Kaliro-Iganga'!D51</f>
        <v>4.2857142857142856</v>
      </c>
      <c r="E51" s="49">
        <f>'Avg WeeK Iganga-Kaliro'!E51+'Avg Week Kaliro-Iganga'!E51</f>
        <v>4.1428571428571432</v>
      </c>
      <c r="F51" s="49">
        <f>'Avg WeeK Iganga-Kaliro'!F51+'Avg Week Kaliro-Iganga'!F51</f>
        <v>9.2857142857142847</v>
      </c>
      <c r="G51" s="49">
        <f>'Avg WeeK Iganga-Kaliro'!G51+'Avg Week Kaliro-Iganga'!G51</f>
        <v>0.14285714285714285</v>
      </c>
      <c r="H51" s="49">
        <f>'Avg WeeK Iganga-Kaliro'!H51+'Avg Week Kaliro-Iganga'!H51</f>
        <v>0.14285714285714285</v>
      </c>
      <c r="I51" s="49">
        <f>'Avg WeeK Iganga-Kaliro'!I51+'Avg Week Kaliro-Iganga'!I51</f>
        <v>2.4285714285714284</v>
      </c>
      <c r="J51" s="49">
        <f>'Avg WeeK Iganga-Kaliro'!J51+'Avg Week Kaliro-Iganga'!J51</f>
        <v>2.1428571428571428</v>
      </c>
      <c r="K51" s="49">
        <f>'Avg WeeK Iganga-Kaliro'!K51+'Avg Week Kaliro-Iganga'!K51</f>
        <v>0.14285714285714285</v>
      </c>
      <c r="L51" s="49">
        <f>'Avg WeeK Iganga-Kaliro'!L51+'Avg Week Kaliro-Iganga'!L51</f>
        <v>0</v>
      </c>
      <c r="M51" s="49">
        <f>'Avg WeeK Iganga-Kaliro'!M51+'Avg Week Kaliro-Iganga'!M51</f>
        <v>142</v>
      </c>
      <c r="N51" s="49">
        <f>'Avg WeeK Iganga-Kaliro'!N51+'Avg Week Kaliro-Iganga'!N51</f>
        <v>0.14285714285714285</v>
      </c>
      <c r="O51" s="15">
        <f t="shared" si="0"/>
        <v>29.571428571428566</v>
      </c>
      <c r="P51" s="15">
        <f t="shared" si="1"/>
        <v>171.57142857142856</v>
      </c>
      <c r="R51" s="8"/>
      <c r="T51"/>
    </row>
    <row r="52" spans="2:20" ht="23.1" customHeight="1" x14ac:dyDescent="0.25">
      <c r="B52" s="24" t="s">
        <v>79</v>
      </c>
      <c r="C52" s="49">
        <f>'Avg WeeK Iganga-Kaliro'!C52+'Avg Week Kaliro-Iganga'!C52</f>
        <v>5.7142857142857135</v>
      </c>
      <c r="D52" s="49">
        <f>'Avg WeeK Iganga-Kaliro'!D52+'Avg Week Kaliro-Iganga'!D52</f>
        <v>4</v>
      </c>
      <c r="E52" s="49">
        <f>'Avg WeeK Iganga-Kaliro'!E52+'Avg Week Kaliro-Iganga'!E52</f>
        <v>2.8571428571428572</v>
      </c>
      <c r="F52" s="49">
        <f>'Avg WeeK Iganga-Kaliro'!F52+'Avg Week Kaliro-Iganga'!F52</f>
        <v>13</v>
      </c>
      <c r="G52" s="49">
        <f>'Avg WeeK Iganga-Kaliro'!G52+'Avg Week Kaliro-Iganga'!G52</f>
        <v>0.2857142857142857</v>
      </c>
      <c r="H52" s="49">
        <f>'Avg WeeK Iganga-Kaliro'!H52+'Avg Week Kaliro-Iganga'!H52</f>
        <v>0</v>
      </c>
      <c r="I52" s="49">
        <f>'Avg WeeK Iganga-Kaliro'!I52+'Avg Week Kaliro-Iganga'!I52</f>
        <v>2</v>
      </c>
      <c r="J52" s="49">
        <f>'Avg WeeK Iganga-Kaliro'!J52+'Avg Week Kaliro-Iganga'!J52</f>
        <v>1.7142857142857144</v>
      </c>
      <c r="K52" s="49">
        <f>'Avg WeeK Iganga-Kaliro'!K52+'Avg Week Kaliro-Iganga'!K52</f>
        <v>0.42857142857142855</v>
      </c>
      <c r="L52" s="49">
        <f>'Avg WeeK Iganga-Kaliro'!L52+'Avg Week Kaliro-Iganga'!L52</f>
        <v>0</v>
      </c>
      <c r="M52" s="49">
        <f>'Avg WeeK Iganga-Kaliro'!M52+'Avg Week Kaliro-Iganga'!M52</f>
        <v>131.28571428571428</v>
      </c>
      <c r="N52" s="49">
        <f>'Avg WeeK Iganga-Kaliro'!N52+'Avg Week Kaliro-Iganga'!N52</f>
        <v>0.14285714285714285</v>
      </c>
      <c r="O52" s="15">
        <f t="shared" si="0"/>
        <v>30.142857142857139</v>
      </c>
      <c r="P52" s="15">
        <f t="shared" si="1"/>
        <v>161.42857142857142</v>
      </c>
      <c r="R52" s="8"/>
      <c r="T52"/>
    </row>
    <row r="53" spans="2:20" ht="23.1" customHeight="1" x14ac:dyDescent="0.25">
      <c r="B53" s="23" t="s">
        <v>80</v>
      </c>
      <c r="C53" s="49">
        <f>'Avg WeeK Iganga-Kaliro'!C53+'Avg Week Kaliro-Iganga'!C53</f>
        <v>7</v>
      </c>
      <c r="D53" s="49">
        <f>'Avg WeeK Iganga-Kaliro'!D53+'Avg Week Kaliro-Iganga'!D53</f>
        <v>4.2857142857142856</v>
      </c>
      <c r="E53" s="49">
        <f>'Avg WeeK Iganga-Kaliro'!E53+'Avg Week Kaliro-Iganga'!E53</f>
        <v>5.1428571428571423</v>
      </c>
      <c r="F53" s="49">
        <f>'Avg WeeK Iganga-Kaliro'!F53+'Avg Week Kaliro-Iganga'!F53</f>
        <v>7.2857142857142865</v>
      </c>
      <c r="G53" s="49">
        <f>'Avg WeeK Iganga-Kaliro'!G53+'Avg Week Kaliro-Iganga'!G53</f>
        <v>0.42857142857142855</v>
      </c>
      <c r="H53" s="49">
        <f>'Avg WeeK Iganga-Kaliro'!H53+'Avg Week Kaliro-Iganga'!H53</f>
        <v>0</v>
      </c>
      <c r="I53" s="49">
        <f>'Avg WeeK Iganga-Kaliro'!I53+'Avg Week Kaliro-Iganga'!I53</f>
        <v>2.2857142857142856</v>
      </c>
      <c r="J53" s="49">
        <f>'Avg WeeK Iganga-Kaliro'!J53+'Avg Week Kaliro-Iganga'!J53</f>
        <v>2.1428571428571428</v>
      </c>
      <c r="K53" s="49">
        <f>'Avg WeeK Iganga-Kaliro'!K53+'Avg Week Kaliro-Iganga'!K53</f>
        <v>0.42857142857142855</v>
      </c>
      <c r="L53" s="49">
        <f>'Avg WeeK Iganga-Kaliro'!L53+'Avg Week Kaliro-Iganga'!L53</f>
        <v>0</v>
      </c>
      <c r="M53" s="49">
        <f>'Avg WeeK Iganga-Kaliro'!M53+'Avg Week Kaliro-Iganga'!M53</f>
        <v>134.71428571428572</v>
      </c>
      <c r="N53" s="49">
        <f>'Avg WeeK Iganga-Kaliro'!N53+'Avg Week Kaliro-Iganga'!N53</f>
        <v>0.14285714285714285</v>
      </c>
      <c r="O53" s="15">
        <f t="shared" si="0"/>
        <v>29.142857142857139</v>
      </c>
      <c r="P53" s="15">
        <f t="shared" si="1"/>
        <v>163.85714285714286</v>
      </c>
      <c r="R53" s="8"/>
      <c r="T53"/>
    </row>
    <row r="54" spans="2:20" ht="23.1" customHeight="1" x14ac:dyDescent="0.25">
      <c r="B54" s="23" t="s">
        <v>81</v>
      </c>
      <c r="C54" s="49">
        <f>'Avg WeeK Iganga-Kaliro'!C54+'Avg Week Kaliro-Iganga'!C54</f>
        <v>8</v>
      </c>
      <c r="D54" s="49">
        <f>'Avg WeeK Iganga-Kaliro'!D54+'Avg Week Kaliro-Iganga'!D54</f>
        <v>5</v>
      </c>
      <c r="E54" s="49">
        <f>'Avg WeeK Iganga-Kaliro'!E54+'Avg Week Kaliro-Iganga'!E54</f>
        <v>3.5714285714285712</v>
      </c>
      <c r="F54" s="49">
        <f>'Avg WeeK Iganga-Kaliro'!F54+'Avg Week Kaliro-Iganga'!F54</f>
        <v>17.428571428571431</v>
      </c>
      <c r="G54" s="49">
        <f>'Avg WeeK Iganga-Kaliro'!G54+'Avg Week Kaliro-Iganga'!G54</f>
        <v>0</v>
      </c>
      <c r="H54" s="49">
        <f>'Avg WeeK Iganga-Kaliro'!H54+'Avg Week Kaliro-Iganga'!H54</f>
        <v>0.14285714285714285</v>
      </c>
      <c r="I54" s="49">
        <f>'Avg WeeK Iganga-Kaliro'!I54+'Avg Week Kaliro-Iganga'!I54</f>
        <v>3.4285714285714288</v>
      </c>
      <c r="J54" s="49">
        <f>'Avg WeeK Iganga-Kaliro'!J54+'Avg Week Kaliro-Iganga'!J54</f>
        <v>1.4285714285714284</v>
      </c>
      <c r="K54" s="49">
        <f>'Avg WeeK Iganga-Kaliro'!K54+'Avg Week Kaliro-Iganga'!K54</f>
        <v>0</v>
      </c>
      <c r="L54" s="49">
        <f>'Avg WeeK Iganga-Kaliro'!L54+'Avg Week Kaliro-Iganga'!L54</f>
        <v>0</v>
      </c>
      <c r="M54" s="49">
        <f>'Avg WeeK Iganga-Kaliro'!M54+'Avg Week Kaliro-Iganga'!M54</f>
        <v>126</v>
      </c>
      <c r="N54" s="49">
        <f>'Avg WeeK Iganga-Kaliro'!N54+'Avg Week Kaliro-Iganga'!N54</f>
        <v>0.14285714285714285</v>
      </c>
      <c r="O54" s="15">
        <f t="shared" si="0"/>
        <v>39.142857142857153</v>
      </c>
      <c r="P54" s="15">
        <f t="shared" si="1"/>
        <v>165.14285714285714</v>
      </c>
      <c r="R54" s="8"/>
      <c r="T54"/>
    </row>
    <row r="55" spans="2:20" ht="23.1" customHeight="1" x14ac:dyDescent="0.25">
      <c r="B55" s="23" t="s">
        <v>82</v>
      </c>
      <c r="C55" s="49">
        <f>'Avg WeeK Iganga-Kaliro'!C55+'Avg Week Kaliro-Iganga'!C55</f>
        <v>8.7142857142857153</v>
      </c>
      <c r="D55" s="49">
        <f>'Avg WeeK Iganga-Kaliro'!D55+'Avg Week Kaliro-Iganga'!D55</f>
        <v>2.8571428571428568</v>
      </c>
      <c r="E55" s="49">
        <f>'Avg WeeK Iganga-Kaliro'!E55+'Avg Week Kaliro-Iganga'!E55</f>
        <v>3.1428571428571428</v>
      </c>
      <c r="F55" s="49">
        <f>'Avg WeeK Iganga-Kaliro'!F55+'Avg Week Kaliro-Iganga'!F55</f>
        <v>9</v>
      </c>
      <c r="G55" s="49">
        <f>'Avg WeeK Iganga-Kaliro'!G55+'Avg Week Kaliro-Iganga'!G55</f>
        <v>0.2857142857142857</v>
      </c>
      <c r="H55" s="49">
        <f>'Avg WeeK Iganga-Kaliro'!H55+'Avg Week Kaliro-Iganga'!H55</f>
        <v>0</v>
      </c>
      <c r="I55" s="49">
        <f>'Avg WeeK Iganga-Kaliro'!I55+'Avg Week Kaliro-Iganga'!I55</f>
        <v>3.4285714285714284</v>
      </c>
      <c r="J55" s="49">
        <f>'Avg WeeK Iganga-Kaliro'!J55+'Avg Week Kaliro-Iganga'!J55</f>
        <v>2.5714285714285712</v>
      </c>
      <c r="K55" s="49">
        <f>'Avg WeeK Iganga-Kaliro'!K55+'Avg Week Kaliro-Iganga'!K55</f>
        <v>0.42857142857142855</v>
      </c>
      <c r="L55" s="49">
        <f>'Avg WeeK Iganga-Kaliro'!L55+'Avg Week Kaliro-Iganga'!L55</f>
        <v>0</v>
      </c>
      <c r="M55" s="49">
        <f>'Avg WeeK Iganga-Kaliro'!M55+'Avg Week Kaliro-Iganga'!M55</f>
        <v>125.57142857142857</v>
      </c>
      <c r="N55" s="49">
        <f>'Avg WeeK Iganga-Kaliro'!N55+'Avg Week Kaliro-Iganga'!N55</f>
        <v>0</v>
      </c>
      <c r="O55" s="15">
        <f t="shared" si="0"/>
        <v>30.428571428571427</v>
      </c>
      <c r="P55" s="15">
        <f t="shared" si="1"/>
        <v>156</v>
      </c>
      <c r="R55" s="8"/>
      <c r="T55"/>
    </row>
    <row r="56" spans="2:20" ht="23.1" customHeight="1" x14ac:dyDescent="0.25">
      <c r="B56" s="23" t="s">
        <v>83</v>
      </c>
      <c r="C56" s="49">
        <f>'Avg WeeK Iganga-Kaliro'!C56+'Avg Week Kaliro-Iganga'!C56</f>
        <v>7</v>
      </c>
      <c r="D56" s="49">
        <f>'Avg WeeK Iganga-Kaliro'!D56+'Avg Week Kaliro-Iganga'!D56</f>
        <v>3.5714285714285712</v>
      </c>
      <c r="E56" s="49">
        <f>'Avg WeeK Iganga-Kaliro'!E56+'Avg Week Kaliro-Iganga'!E56</f>
        <v>4.1428571428571423</v>
      </c>
      <c r="F56" s="49">
        <f>'Avg WeeK Iganga-Kaliro'!F56+'Avg Week Kaliro-Iganga'!F56</f>
        <v>8.1428571428571423</v>
      </c>
      <c r="G56" s="49">
        <f>'Avg WeeK Iganga-Kaliro'!G56+'Avg Week Kaliro-Iganga'!G56</f>
        <v>0.14285714285714285</v>
      </c>
      <c r="H56" s="49">
        <f>'Avg WeeK Iganga-Kaliro'!H56+'Avg Week Kaliro-Iganga'!H56</f>
        <v>0</v>
      </c>
      <c r="I56" s="49">
        <f>'Avg WeeK Iganga-Kaliro'!I56+'Avg Week Kaliro-Iganga'!I56</f>
        <v>2.8571428571428572</v>
      </c>
      <c r="J56" s="49">
        <f>'Avg WeeK Iganga-Kaliro'!J56+'Avg Week Kaliro-Iganga'!J56</f>
        <v>1.8571428571428572</v>
      </c>
      <c r="K56" s="49">
        <f>'Avg WeeK Iganga-Kaliro'!K56+'Avg Week Kaliro-Iganga'!K56</f>
        <v>0</v>
      </c>
      <c r="L56" s="49">
        <f>'Avg WeeK Iganga-Kaliro'!L56+'Avg Week Kaliro-Iganga'!L56</f>
        <v>0</v>
      </c>
      <c r="M56" s="49">
        <f>'Avg WeeK Iganga-Kaliro'!M56+'Avg Week Kaliro-Iganga'!M56</f>
        <v>129.85714285714286</v>
      </c>
      <c r="N56" s="49">
        <f>'Avg WeeK Iganga-Kaliro'!N56+'Avg Week Kaliro-Iganga'!N56</f>
        <v>0.2857142857142857</v>
      </c>
      <c r="O56" s="15">
        <f t="shared" si="0"/>
        <v>27.999999999999996</v>
      </c>
      <c r="P56" s="15">
        <f t="shared" si="1"/>
        <v>157.85714285714286</v>
      </c>
      <c r="R56" s="8"/>
      <c r="T56"/>
    </row>
    <row r="57" spans="2:20" ht="23.1" customHeight="1" x14ac:dyDescent="0.25">
      <c r="B57" s="23" t="s">
        <v>84</v>
      </c>
      <c r="C57" s="49">
        <f>'Avg WeeK Iganga-Kaliro'!C57+'Avg Week Kaliro-Iganga'!C57</f>
        <v>6.8571428571428577</v>
      </c>
      <c r="D57" s="49">
        <f>'Avg WeeK Iganga-Kaliro'!D57+'Avg Week Kaliro-Iganga'!D57</f>
        <v>4.4285714285714288</v>
      </c>
      <c r="E57" s="49">
        <f>'Avg WeeK Iganga-Kaliro'!E57+'Avg Week Kaliro-Iganga'!E57</f>
        <v>2.8571428571428568</v>
      </c>
      <c r="F57" s="49">
        <f>'Avg WeeK Iganga-Kaliro'!F57+'Avg Week Kaliro-Iganga'!F57</f>
        <v>7.8571428571428577</v>
      </c>
      <c r="G57" s="49">
        <f>'Avg WeeK Iganga-Kaliro'!G57+'Avg Week Kaliro-Iganga'!G57</f>
        <v>0</v>
      </c>
      <c r="H57" s="49">
        <f>'Avg WeeK Iganga-Kaliro'!H57+'Avg Week Kaliro-Iganga'!H57</f>
        <v>0</v>
      </c>
      <c r="I57" s="49">
        <f>'Avg WeeK Iganga-Kaliro'!I57+'Avg Week Kaliro-Iganga'!I57</f>
        <v>2.4285714285714288</v>
      </c>
      <c r="J57" s="49">
        <f>'Avg WeeK Iganga-Kaliro'!J57+'Avg Week Kaliro-Iganga'!J57</f>
        <v>1.4285714285714284</v>
      </c>
      <c r="K57" s="49">
        <f>'Avg WeeK Iganga-Kaliro'!K57+'Avg Week Kaliro-Iganga'!K57</f>
        <v>0.14285714285714285</v>
      </c>
      <c r="L57" s="49">
        <f>'Avg WeeK Iganga-Kaliro'!L57+'Avg Week Kaliro-Iganga'!L57</f>
        <v>0</v>
      </c>
      <c r="M57" s="49">
        <f>'Avg WeeK Iganga-Kaliro'!M57+'Avg Week Kaliro-Iganga'!M57</f>
        <v>127.28571428571429</v>
      </c>
      <c r="N57" s="49">
        <f>'Avg WeeK Iganga-Kaliro'!N57+'Avg Week Kaliro-Iganga'!N57</f>
        <v>0</v>
      </c>
      <c r="O57" s="15">
        <f t="shared" si="0"/>
        <v>26</v>
      </c>
      <c r="P57" s="15">
        <f t="shared" si="1"/>
        <v>153.28571428571428</v>
      </c>
      <c r="R57" s="8"/>
      <c r="T57"/>
    </row>
    <row r="58" spans="2:20" ht="23.1" customHeight="1" x14ac:dyDescent="0.25">
      <c r="B58" s="23" t="s">
        <v>99</v>
      </c>
      <c r="C58" s="49">
        <f>'Avg WeeK Iganga-Kaliro'!C58+'Avg Week Kaliro-Iganga'!C58</f>
        <v>6.5</v>
      </c>
      <c r="D58" s="49">
        <f>'Avg WeeK Iganga-Kaliro'!D58+'Avg Week Kaliro-Iganga'!D58</f>
        <v>3</v>
      </c>
      <c r="E58" s="49">
        <f>'Avg WeeK Iganga-Kaliro'!E58+'Avg Week Kaliro-Iganga'!E58</f>
        <v>0.5</v>
      </c>
      <c r="F58" s="49">
        <f>'Avg WeeK Iganga-Kaliro'!F58+'Avg Week Kaliro-Iganga'!F58</f>
        <v>10.5</v>
      </c>
      <c r="G58" s="49">
        <f>'Avg WeeK Iganga-Kaliro'!G58+'Avg Week Kaliro-Iganga'!G58</f>
        <v>0</v>
      </c>
      <c r="H58" s="49">
        <f>'Avg WeeK Iganga-Kaliro'!H58+'Avg Week Kaliro-Iganga'!H58</f>
        <v>0</v>
      </c>
      <c r="I58" s="49">
        <f>'Avg WeeK Iganga-Kaliro'!I58+'Avg Week Kaliro-Iganga'!I58</f>
        <v>4</v>
      </c>
      <c r="J58" s="49">
        <f>'Avg WeeK Iganga-Kaliro'!J58+'Avg Week Kaliro-Iganga'!J58</f>
        <v>2</v>
      </c>
      <c r="K58" s="49">
        <f>'Avg WeeK Iganga-Kaliro'!K58+'Avg Week Kaliro-Iganga'!K58</f>
        <v>0</v>
      </c>
      <c r="L58" s="49">
        <f>'Avg WeeK Iganga-Kaliro'!L58+'Avg Week Kaliro-Iganga'!L58</f>
        <v>0</v>
      </c>
      <c r="M58" s="49">
        <f>'Avg WeeK Iganga-Kaliro'!M58+'Avg Week Kaliro-Iganga'!M58</f>
        <v>124.5</v>
      </c>
      <c r="N58" s="49">
        <f>'Avg WeeK Iganga-Kaliro'!N58+'Avg Week Kaliro-Iganga'!N58</f>
        <v>0</v>
      </c>
      <c r="O58" s="15">
        <f t="shared" si="0"/>
        <v>26.5</v>
      </c>
      <c r="P58" s="15">
        <f t="shared" si="1"/>
        <v>151</v>
      </c>
      <c r="R58" s="8"/>
      <c r="T58"/>
    </row>
    <row r="59" spans="2:20" ht="23.1" customHeight="1" x14ac:dyDescent="0.25">
      <c r="B59" s="23" t="s">
        <v>100</v>
      </c>
      <c r="C59" s="49">
        <f>'Avg WeeK Iganga-Kaliro'!C59+'Avg Week Kaliro-Iganga'!C59</f>
        <v>8</v>
      </c>
      <c r="D59" s="49">
        <f>'Avg WeeK Iganga-Kaliro'!D59+'Avg Week Kaliro-Iganga'!D59</f>
        <v>3.5</v>
      </c>
      <c r="E59" s="49">
        <f>'Avg WeeK Iganga-Kaliro'!E59+'Avg Week Kaliro-Iganga'!E59</f>
        <v>2</v>
      </c>
      <c r="F59" s="49">
        <f>'Avg WeeK Iganga-Kaliro'!F59+'Avg Week Kaliro-Iganga'!F59</f>
        <v>6.5</v>
      </c>
      <c r="G59" s="49">
        <f>'Avg WeeK Iganga-Kaliro'!G59+'Avg Week Kaliro-Iganga'!G59</f>
        <v>0</v>
      </c>
      <c r="H59" s="49">
        <f>'Avg WeeK Iganga-Kaliro'!H59+'Avg Week Kaliro-Iganga'!H59</f>
        <v>0</v>
      </c>
      <c r="I59" s="49">
        <f>'Avg WeeK Iganga-Kaliro'!I59+'Avg Week Kaliro-Iganga'!I59</f>
        <v>1</v>
      </c>
      <c r="J59" s="49">
        <f>'Avg WeeK Iganga-Kaliro'!J59+'Avg Week Kaliro-Iganga'!J59</f>
        <v>1.5</v>
      </c>
      <c r="K59" s="49">
        <f>'Avg WeeK Iganga-Kaliro'!K59+'Avg Week Kaliro-Iganga'!K59</f>
        <v>0.5</v>
      </c>
      <c r="L59" s="49">
        <f>'Avg WeeK Iganga-Kaliro'!L59+'Avg Week Kaliro-Iganga'!L59</f>
        <v>0</v>
      </c>
      <c r="M59" s="49">
        <f>'Avg WeeK Iganga-Kaliro'!M59+'Avg Week Kaliro-Iganga'!M59</f>
        <v>127</v>
      </c>
      <c r="N59" s="49">
        <f>'Avg WeeK Iganga-Kaliro'!N59+'Avg Week Kaliro-Iganga'!N59</f>
        <v>0</v>
      </c>
      <c r="O59" s="15">
        <f t="shared" si="0"/>
        <v>23</v>
      </c>
      <c r="P59" s="15">
        <f t="shared" si="1"/>
        <v>150</v>
      </c>
      <c r="R59" s="8"/>
      <c r="T59"/>
    </row>
    <row r="60" spans="2:20" ht="23.1" customHeight="1" x14ac:dyDescent="0.25">
      <c r="B60" s="23" t="s">
        <v>101</v>
      </c>
      <c r="C60" s="49">
        <f>'Avg WeeK Iganga-Kaliro'!C60+'Avg Week Kaliro-Iganga'!C60</f>
        <v>6</v>
      </c>
      <c r="D60" s="49">
        <f>'Avg WeeK Iganga-Kaliro'!D60+'Avg Week Kaliro-Iganga'!D60</f>
        <v>2</v>
      </c>
      <c r="E60" s="49">
        <f>'Avg WeeK Iganga-Kaliro'!E60+'Avg Week Kaliro-Iganga'!E60</f>
        <v>3</v>
      </c>
      <c r="F60" s="49">
        <f>'Avg WeeK Iganga-Kaliro'!F60+'Avg Week Kaliro-Iganga'!F60</f>
        <v>5.5</v>
      </c>
      <c r="G60" s="49">
        <f>'Avg WeeK Iganga-Kaliro'!G60+'Avg Week Kaliro-Iganga'!G60</f>
        <v>0</v>
      </c>
      <c r="H60" s="49">
        <f>'Avg WeeK Iganga-Kaliro'!H60+'Avg Week Kaliro-Iganga'!H60</f>
        <v>0</v>
      </c>
      <c r="I60" s="49">
        <f>'Avg WeeK Iganga-Kaliro'!I60+'Avg Week Kaliro-Iganga'!I60</f>
        <v>2</v>
      </c>
      <c r="J60" s="49">
        <f>'Avg WeeK Iganga-Kaliro'!J60+'Avg Week Kaliro-Iganga'!J60</f>
        <v>1</v>
      </c>
      <c r="K60" s="49">
        <f>'Avg WeeK Iganga-Kaliro'!K60+'Avg Week Kaliro-Iganga'!K60</f>
        <v>0</v>
      </c>
      <c r="L60" s="49">
        <f>'Avg WeeK Iganga-Kaliro'!L60+'Avg Week Kaliro-Iganga'!L60</f>
        <v>0</v>
      </c>
      <c r="M60" s="49">
        <f>'Avg WeeK Iganga-Kaliro'!M60+'Avg Week Kaliro-Iganga'!M60</f>
        <v>130</v>
      </c>
      <c r="N60" s="49">
        <f>'Avg WeeK Iganga-Kaliro'!N60+'Avg Week Kaliro-Iganga'!N60</f>
        <v>0</v>
      </c>
      <c r="O60" s="15">
        <f t="shared" si="0"/>
        <v>19.5</v>
      </c>
      <c r="P60" s="15">
        <f t="shared" si="1"/>
        <v>149.5</v>
      </c>
      <c r="R60" s="8"/>
      <c r="T60"/>
    </row>
    <row r="61" spans="2:20" ht="23.1" customHeight="1" x14ac:dyDescent="0.25">
      <c r="B61" s="23" t="s">
        <v>102</v>
      </c>
      <c r="C61" s="49">
        <f>'Avg WeeK Iganga-Kaliro'!C61+'Avg Week Kaliro-Iganga'!C61</f>
        <v>3.5</v>
      </c>
      <c r="D61" s="49">
        <f>'Avg WeeK Iganga-Kaliro'!D61+'Avg Week Kaliro-Iganga'!D61</f>
        <v>2</v>
      </c>
      <c r="E61" s="49">
        <f>'Avg WeeK Iganga-Kaliro'!E61+'Avg Week Kaliro-Iganga'!E61</f>
        <v>1</v>
      </c>
      <c r="F61" s="49">
        <f>'Avg WeeK Iganga-Kaliro'!F61+'Avg Week Kaliro-Iganga'!F61</f>
        <v>4</v>
      </c>
      <c r="G61" s="49">
        <f>'Avg WeeK Iganga-Kaliro'!G61+'Avg Week Kaliro-Iganga'!G61</f>
        <v>0</v>
      </c>
      <c r="H61" s="49">
        <f>'Avg WeeK Iganga-Kaliro'!H61+'Avg Week Kaliro-Iganga'!H61</f>
        <v>0</v>
      </c>
      <c r="I61" s="49">
        <f>'Avg WeeK Iganga-Kaliro'!I61+'Avg Week Kaliro-Iganga'!I61</f>
        <v>3.5</v>
      </c>
      <c r="J61" s="49">
        <f>'Avg WeeK Iganga-Kaliro'!J61+'Avg Week Kaliro-Iganga'!J61</f>
        <v>1</v>
      </c>
      <c r="K61" s="49">
        <f>'Avg WeeK Iganga-Kaliro'!K61+'Avg Week Kaliro-Iganga'!K61</f>
        <v>0</v>
      </c>
      <c r="L61" s="49">
        <f>'Avg WeeK Iganga-Kaliro'!L61+'Avg Week Kaliro-Iganga'!L61</f>
        <v>0</v>
      </c>
      <c r="M61" s="49">
        <f>'Avg WeeK Iganga-Kaliro'!M61+'Avg Week Kaliro-Iganga'!M61</f>
        <v>140</v>
      </c>
      <c r="N61" s="49">
        <f>'Avg WeeK Iganga-Kaliro'!N61+'Avg Week Kaliro-Iganga'!N61</f>
        <v>0</v>
      </c>
      <c r="O61" s="15">
        <f t="shared" si="0"/>
        <v>15</v>
      </c>
      <c r="P61" s="15">
        <f t="shared" si="1"/>
        <v>155</v>
      </c>
      <c r="R61" s="8"/>
      <c r="T61"/>
    </row>
    <row r="62" spans="2:20" ht="23.1" customHeight="1" x14ac:dyDescent="0.25">
      <c r="B62" s="23" t="s">
        <v>107</v>
      </c>
      <c r="C62" s="49">
        <f>'Avg WeeK Iganga-Kaliro'!C62+'Avg Week Kaliro-Iganga'!C62</f>
        <v>7</v>
      </c>
      <c r="D62" s="49">
        <f>'Avg WeeK Iganga-Kaliro'!D62+'Avg Week Kaliro-Iganga'!D62</f>
        <v>1</v>
      </c>
      <c r="E62" s="49">
        <f>'Avg WeeK Iganga-Kaliro'!E62+'Avg Week Kaliro-Iganga'!E62</f>
        <v>3.5</v>
      </c>
      <c r="F62" s="49">
        <f>'Avg WeeK Iganga-Kaliro'!F62+'Avg Week Kaliro-Iganga'!F62</f>
        <v>5.5</v>
      </c>
      <c r="G62" s="49">
        <f>'Avg WeeK Iganga-Kaliro'!G62+'Avg Week Kaliro-Iganga'!G62</f>
        <v>0</v>
      </c>
      <c r="H62" s="49">
        <f>'Avg WeeK Iganga-Kaliro'!H62+'Avg Week Kaliro-Iganga'!H62</f>
        <v>0</v>
      </c>
      <c r="I62" s="49">
        <f>'Avg WeeK Iganga-Kaliro'!I62+'Avg Week Kaliro-Iganga'!I62</f>
        <v>1</v>
      </c>
      <c r="J62" s="49">
        <f>'Avg WeeK Iganga-Kaliro'!J62+'Avg Week Kaliro-Iganga'!J62</f>
        <v>0</v>
      </c>
      <c r="K62" s="49">
        <f>'Avg WeeK Iganga-Kaliro'!K62+'Avg Week Kaliro-Iganga'!K62</f>
        <v>0</v>
      </c>
      <c r="L62" s="49">
        <f>'Avg WeeK Iganga-Kaliro'!L62+'Avg Week Kaliro-Iganga'!L62</f>
        <v>0</v>
      </c>
      <c r="M62" s="49">
        <f>'Avg WeeK Iganga-Kaliro'!M62+'Avg Week Kaliro-Iganga'!M62</f>
        <v>135</v>
      </c>
      <c r="N62" s="49">
        <f>'Avg WeeK Iganga-Kaliro'!N62+'Avg Week Kaliro-Iganga'!N62</f>
        <v>0</v>
      </c>
      <c r="O62" s="15">
        <f t="shared" si="0"/>
        <v>18</v>
      </c>
      <c r="P62" s="15">
        <f t="shared" si="1"/>
        <v>153</v>
      </c>
      <c r="R62" s="8"/>
      <c r="T62"/>
    </row>
    <row r="63" spans="2:20" ht="23.1" customHeight="1" x14ac:dyDescent="0.25">
      <c r="B63" s="23" t="s">
        <v>108</v>
      </c>
      <c r="C63" s="49">
        <f>'Avg WeeK Iganga-Kaliro'!C63+'Avg Week Kaliro-Iganga'!C63</f>
        <v>8</v>
      </c>
      <c r="D63" s="49">
        <f>'Avg WeeK Iganga-Kaliro'!D63+'Avg Week Kaliro-Iganga'!D63</f>
        <v>2.5</v>
      </c>
      <c r="E63" s="49">
        <f>'Avg WeeK Iganga-Kaliro'!E63+'Avg Week Kaliro-Iganga'!E63</f>
        <v>2</v>
      </c>
      <c r="F63" s="49">
        <f>'Avg WeeK Iganga-Kaliro'!F63+'Avg Week Kaliro-Iganga'!F63</f>
        <v>3</v>
      </c>
      <c r="G63" s="49">
        <f>'Avg WeeK Iganga-Kaliro'!G63+'Avg Week Kaliro-Iganga'!G63</f>
        <v>0</v>
      </c>
      <c r="H63" s="49">
        <f>'Avg WeeK Iganga-Kaliro'!H63+'Avg Week Kaliro-Iganga'!H63</f>
        <v>0</v>
      </c>
      <c r="I63" s="49">
        <f>'Avg WeeK Iganga-Kaliro'!I63+'Avg Week Kaliro-Iganga'!I63</f>
        <v>2.5</v>
      </c>
      <c r="J63" s="49">
        <f>'Avg WeeK Iganga-Kaliro'!J63+'Avg Week Kaliro-Iganga'!J63</f>
        <v>0</v>
      </c>
      <c r="K63" s="49">
        <f>'Avg WeeK Iganga-Kaliro'!K63+'Avg Week Kaliro-Iganga'!K63</f>
        <v>0</v>
      </c>
      <c r="L63" s="49">
        <f>'Avg WeeK Iganga-Kaliro'!L63+'Avg Week Kaliro-Iganga'!L63</f>
        <v>0</v>
      </c>
      <c r="M63" s="49">
        <f>'Avg WeeK Iganga-Kaliro'!M63+'Avg Week Kaliro-Iganga'!M63</f>
        <v>135.5</v>
      </c>
      <c r="N63" s="49">
        <f>'Avg WeeK Iganga-Kaliro'!N63+'Avg Week Kaliro-Iganga'!N63</f>
        <v>0</v>
      </c>
      <c r="O63" s="15">
        <f t="shared" si="0"/>
        <v>18</v>
      </c>
      <c r="P63" s="15">
        <f t="shared" si="1"/>
        <v>153.5</v>
      </c>
      <c r="R63" s="8"/>
      <c r="T63"/>
    </row>
    <row r="64" spans="2:20" ht="23.1" customHeight="1" x14ac:dyDescent="0.25">
      <c r="B64" s="23" t="s">
        <v>109</v>
      </c>
      <c r="C64" s="49">
        <f>'Avg WeeK Iganga-Kaliro'!C64+'Avg Week Kaliro-Iganga'!C64</f>
        <v>5.5</v>
      </c>
      <c r="D64" s="49">
        <f>'Avg WeeK Iganga-Kaliro'!D64+'Avg Week Kaliro-Iganga'!D64</f>
        <v>4</v>
      </c>
      <c r="E64" s="49">
        <f>'Avg WeeK Iganga-Kaliro'!E64+'Avg Week Kaliro-Iganga'!E64</f>
        <v>2.5</v>
      </c>
      <c r="F64" s="49">
        <f>'Avg WeeK Iganga-Kaliro'!F64+'Avg Week Kaliro-Iganga'!F64</f>
        <v>4.5</v>
      </c>
      <c r="G64" s="49">
        <f>'Avg WeeK Iganga-Kaliro'!G64+'Avg Week Kaliro-Iganga'!G64</f>
        <v>0</v>
      </c>
      <c r="H64" s="49">
        <f>'Avg WeeK Iganga-Kaliro'!H64+'Avg Week Kaliro-Iganga'!H64</f>
        <v>0</v>
      </c>
      <c r="I64" s="49">
        <f>'Avg WeeK Iganga-Kaliro'!I64+'Avg Week Kaliro-Iganga'!I64</f>
        <v>0.5</v>
      </c>
      <c r="J64" s="49">
        <f>'Avg WeeK Iganga-Kaliro'!J64+'Avg Week Kaliro-Iganga'!J64</f>
        <v>1.5</v>
      </c>
      <c r="K64" s="49">
        <f>'Avg WeeK Iganga-Kaliro'!K64+'Avg Week Kaliro-Iganga'!K64</f>
        <v>0.5</v>
      </c>
      <c r="L64" s="49">
        <f>'Avg WeeK Iganga-Kaliro'!L64+'Avg Week Kaliro-Iganga'!L64</f>
        <v>0</v>
      </c>
      <c r="M64" s="49">
        <f>'Avg WeeK Iganga-Kaliro'!M64+'Avg Week Kaliro-Iganga'!M64</f>
        <v>115.5</v>
      </c>
      <c r="N64" s="49">
        <f>'Avg WeeK Iganga-Kaliro'!N64+'Avg Week Kaliro-Iganga'!N64</f>
        <v>0</v>
      </c>
      <c r="O64" s="15">
        <f t="shared" si="0"/>
        <v>19</v>
      </c>
      <c r="P64" s="15">
        <f t="shared" si="1"/>
        <v>134.5</v>
      </c>
      <c r="R64" s="8"/>
      <c r="T64"/>
    </row>
    <row r="65" spans="2:20" ht="23.1" customHeight="1" x14ac:dyDescent="0.25">
      <c r="B65" s="23" t="s">
        <v>158</v>
      </c>
      <c r="C65" s="49">
        <f>'Avg WeeK Iganga-Kaliro'!C65+'Avg Week Kaliro-Iganga'!C65</f>
        <v>3.5</v>
      </c>
      <c r="D65" s="49">
        <f>'Avg WeeK Iganga-Kaliro'!D65+'Avg Week Kaliro-Iganga'!D65</f>
        <v>0.5</v>
      </c>
      <c r="E65" s="49">
        <f>'Avg WeeK Iganga-Kaliro'!E65+'Avg Week Kaliro-Iganga'!E65</f>
        <v>2.5</v>
      </c>
      <c r="F65" s="49">
        <f>'Avg WeeK Iganga-Kaliro'!F65+'Avg Week Kaliro-Iganga'!F65</f>
        <v>3.5</v>
      </c>
      <c r="G65" s="49">
        <f>'Avg WeeK Iganga-Kaliro'!G65+'Avg Week Kaliro-Iganga'!G65</f>
        <v>0</v>
      </c>
      <c r="H65" s="49">
        <f>'Avg WeeK Iganga-Kaliro'!H65+'Avg Week Kaliro-Iganga'!H65</f>
        <v>0</v>
      </c>
      <c r="I65" s="49">
        <f>'Avg WeeK Iganga-Kaliro'!I65+'Avg Week Kaliro-Iganga'!I65</f>
        <v>1.5</v>
      </c>
      <c r="J65" s="49">
        <f>'Avg WeeK Iganga-Kaliro'!J65+'Avg Week Kaliro-Iganga'!J65</f>
        <v>2.5</v>
      </c>
      <c r="K65" s="49">
        <f>'Avg WeeK Iganga-Kaliro'!K65+'Avg Week Kaliro-Iganga'!K65</f>
        <v>0</v>
      </c>
      <c r="L65" s="49">
        <f>'Avg WeeK Iganga-Kaliro'!L65+'Avg Week Kaliro-Iganga'!L65</f>
        <v>0</v>
      </c>
      <c r="M65" s="49">
        <f>'Avg WeeK Iganga-Kaliro'!M65+'Avg Week Kaliro-Iganga'!M65</f>
        <v>80.5</v>
      </c>
      <c r="N65" s="49">
        <f>'Avg WeeK Iganga-Kaliro'!N65+'Avg Week Kaliro-Iganga'!N65</f>
        <v>0</v>
      </c>
      <c r="O65" s="15">
        <f t="shared" si="0"/>
        <v>14</v>
      </c>
      <c r="P65" s="15">
        <f t="shared" si="1"/>
        <v>94.5</v>
      </c>
      <c r="R65" s="8"/>
      <c r="T65"/>
    </row>
    <row r="66" spans="2:20" ht="23.1" customHeight="1" x14ac:dyDescent="0.25">
      <c r="B66" s="23" t="s">
        <v>103</v>
      </c>
      <c r="C66" s="49">
        <f>'Avg WeeK Iganga-Kaliro'!C66+'Avg Week Kaliro-Iganga'!C66</f>
        <v>5</v>
      </c>
      <c r="D66" s="49">
        <f>'Avg WeeK Iganga-Kaliro'!D66+'Avg Week Kaliro-Iganga'!D66</f>
        <v>1.5</v>
      </c>
      <c r="E66" s="49">
        <f>'Avg WeeK Iganga-Kaliro'!E66+'Avg Week Kaliro-Iganga'!E66</f>
        <v>2</v>
      </c>
      <c r="F66" s="49">
        <f>'Avg WeeK Iganga-Kaliro'!F66+'Avg Week Kaliro-Iganga'!F66</f>
        <v>5.5</v>
      </c>
      <c r="G66" s="49">
        <f>'Avg WeeK Iganga-Kaliro'!G66+'Avg Week Kaliro-Iganga'!G66</f>
        <v>0</v>
      </c>
      <c r="H66" s="49">
        <f>'Avg WeeK Iganga-Kaliro'!H66+'Avg Week Kaliro-Iganga'!H66</f>
        <v>0</v>
      </c>
      <c r="I66" s="49">
        <f>'Avg WeeK Iganga-Kaliro'!I66+'Avg Week Kaliro-Iganga'!I66</f>
        <v>1.5</v>
      </c>
      <c r="J66" s="49">
        <f>'Avg WeeK Iganga-Kaliro'!J66+'Avg Week Kaliro-Iganga'!J66</f>
        <v>1</v>
      </c>
      <c r="K66" s="49">
        <f>'Avg WeeK Iganga-Kaliro'!K66+'Avg Week Kaliro-Iganga'!K66</f>
        <v>0.5</v>
      </c>
      <c r="L66" s="49">
        <f>'Avg WeeK Iganga-Kaliro'!L66+'Avg Week Kaliro-Iganga'!L66</f>
        <v>0</v>
      </c>
      <c r="M66" s="49">
        <f>'Avg WeeK Iganga-Kaliro'!M66+'Avg Week Kaliro-Iganga'!M66</f>
        <v>103</v>
      </c>
      <c r="N66" s="49">
        <f>'Avg WeeK Iganga-Kaliro'!N66+'Avg Week Kaliro-Iganga'!N66</f>
        <v>0</v>
      </c>
      <c r="O66" s="15">
        <f t="shared" si="0"/>
        <v>17</v>
      </c>
      <c r="P66" s="15">
        <f t="shared" si="1"/>
        <v>120</v>
      </c>
      <c r="R66" s="8"/>
      <c r="T66"/>
    </row>
    <row r="67" spans="2:20" ht="23.1" customHeight="1" x14ac:dyDescent="0.25">
      <c r="B67" s="23" t="s">
        <v>104</v>
      </c>
      <c r="C67" s="49">
        <f>'Avg WeeK Iganga-Kaliro'!C67+'Avg Week Kaliro-Iganga'!C67</f>
        <v>4.5</v>
      </c>
      <c r="D67" s="49">
        <f>'Avg WeeK Iganga-Kaliro'!D67+'Avg Week Kaliro-Iganga'!D67</f>
        <v>1.5</v>
      </c>
      <c r="E67" s="49">
        <f>'Avg WeeK Iganga-Kaliro'!E67+'Avg Week Kaliro-Iganga'!E67</f>
        <v>1.5</v>
      </c>
      <c r="F67" s="49">
        <f>'Avg WeeK Iganga-Kaliro'!F67+'Avg Week Kaliro-Iganga'!F67</f>
        <v>3.5</v>
      </c>
      <c r="G67" s="49">
        <f>'Avg WeeK Iganga-Kaliro'!G67+'Avg Week Kaliro-Iganga'!G67</f>
        <v>0</v>
      </c>
      <c r="H67" s="49">
        <f>'Avg WeeK Iganga-Kaliro'!H67+'Avg Week Kaliro-Iganga'!H67</f>
        <v>0</v>
      </c>
      <c r="I67" s="49">
        <f>'Avg WeeK Iganga-Kaliro'!I67+'Avg Week Kaliro-Iganga'!I67</f>
        <v>1</v>
      </c>
      <c r="J67" s="49">
        <f>'Avg WeeK Iganga-Kaliro'!J67+'Avg Week Kaliro-Iganga'!J67</f>
        <v>0.5</v>
      </c>
      <c r="K67" s="49">
        <f>'Avg WeeK Iganga-Kaliro'!K67+'Avg Week Kaliro-Iganga'!K67</f>
        <v>0</v>
      </c>
      <c r="L67" s="49">
        <f>'Avg WeeK Iganga-Kaliro'!L67+'Avg Week Kaliro-Iganga'!L67</f>
        <v>0</v>
      </c>
      <c r="M67" s="49">
        <f>'Avg WeeK Iganga-Kaliro'!M67+'Avg Week Kaliro-Iganga'!M67</f>
        <v>97</v>
      </c>
      <c r="N67" s="49">
        <f>'Avg WeeK Iganga-Kaliro'!N67+'Avg Week Kaliro-Iganga'!N67</f>
        <v>0</v>
      </c>
      <c r="O67" s="15">
        <f t="shared" si="0"/>
        <v>12.5</v>
      </c>
      <c r="P67" s="15">
        <f t="shared" si="1"/>
        <v>109.5</v>
      </c>
      <c r="R67" s="8"/>
      <c r="T67"/>
    </row>
    <row r="68" spans="2:20" ht="23.1" customHeight="1" x14ac:dyDescent="0.25">
      <c r="B68" s="23" t="s">
        <v>105</v>
      </c>
      <c r="C68" s="49">
        <f>'Avg WeeK Iganga-Kaliro'!C68+'Avg Week Kaliro-Iganga'!C68</f>
        <v>4</v>
      </c>
      <c r="D68" s="49">
        <f>'Avg WeeK Iganga-Kaliro'!D68+'Avg Week Kaliro-Iganga'!D68</f>
        <v>3</v>
      </c>
      <c r="E68" s="49">
        <f>'Avg WeeK Iganga-Kaliro'!E68+'Avg Week Kaliro-Iganga'!E68</f>
        <v>1.5</v>
      </c>
      <c r="F68" s="49">
        <f>'Avg WeeK Iganga-Kaliro'!F68+'Avg Week Kaliro-Iganga'!F68</f>
        <v>2</v>
      </c>
      <c r="G68" s="49">
        <f>'Avg WeeK Iganga-Kaliro'!G68+'Avg Week Kaliro-Iganga'!G68</f>
        <v>0</v>
      </c>
      <c r="H68" s="49">
        <f>'Avg WeeK Iganga-Kaliro'!H68+'Avg Week Kaliro-Iganga'!H68</f>
        <v>0</v>
      </c>
      <c r="I68" s="49">
        <f>'Avg WeeK Iganga-Kaliro'!I68+'Avg Week Kaliro-Iganga'!I68</f>
        <v>0.5</v>
      </c>
      <c r="J68" s="49">
        <f>'Avg WeeK Iganga-Kaliro'!J68+'Avg Week Kaliro-Iganga'!J68</f>
        <v>0.5</v>
      </c>
      <c r="K68" s="49">
        <f>'Avg WeeK Iganga-Kaliro'!K68+'Avg Week Kaliro-Iganga'!K68</f>
        <v>0</v>
      </c>
      <c r="L68" s="49">
        <f>'Avg WeeK Iganga-Kaliro'!L68+'Avg Week Kaliro-Iganga'!L68</f>
        <v>0.5</v>
      </c>
      <c r="M68" s="49">
        <f>'Avg WeeK Iganga-Kaliro'!M68+'Avg Week Kaliro-Iganga'!M68</f>
        <v>92</v>
      </c>
      <c r="N68" s="49">
        <f>'Avg WeeK Iganga-Kaliro'!N68+'Avg Week Kaliro-Iganga'!N68</f>
        <v>0</v>
      </c>
      <c r="O68" s="15">
        <f t="shared" si="0"/>
        <v>12</v>
      </c>
      <c r="P68" s="15">
        <f t="shared" si="1"/>
        <v>104</v>
      </c>
      <c r="R68" s="8"/>
      <c r="T68"/>
    </row>
    <row r="69" spans="2:20" ht="23.1" customHeight="1" x14ac:dyDescent="0.25">
      <c r="B69" s="23" t="s">
        <v>106</v>
      </c>
      <c r="C69" s="49">
        <f>'Avg WeeK Iganga-Kaliro'!C69+'Avg Week Kaliro-Iganga'!C69</f>
        <v>2.5</v>
      </c>
      <c r="D69" s="49">
        <f>'Avg WeeK Iganga-Kaliro'!D69+'Avg Week Kaliro-Iganga'!D69</f>
        <v>1</v>
      </c>
      <c r="E69" s="49">
        <f>'Avg WeeK Iganga-Kaliro'!E69+'Avg Week Kaliro-Iganga'!E69</f>
        <v>2.5</v>
      </c>
      <c r="F69" s="49">
        <f>'Avg WeeK Iganga-Kaliro'!F69+'Avg Week Kaliro-Iganga'!F69</f>
        <v>3.5</v>
      </c>
      <c r="G69" s="49">
        <f>'Avg WeeK Iganga-Kaliro'!G69+'Avg Week Kaliro-Iganga'!G69</f>
        <v>0</v>
      </c>
      <c r="H69" s="49">
        <f>'Avg WeeK Iganga-Kaliro'!H69+'Avg Week Kaliro-Iganga'!H69</f>
        <v>0</v>
      </c>
      <c r="I69" s="49">
        <f>'Avg WeeK Iganga-Kaliro'!I69+'Avg Week Kaliro-Iganga'!I69</f>
        <v>1.5</v>
      </c>
      <c r="J69" s="49">
        <f>'Avg WeeK Iganga-Kaliro'!J69+'Avg Week Kaliro-Iganga'!J69</f>
        <v>2</v>
      </c>
      <c r="K69" s="49">
        <f>'Avg WeeK Iganga-Kaliro'!K69+'Avg Week Kaliro-Iganga'!K69</f>
        <v>0</v>
      </c>
      <c r="L69" s="49">
        <f>'Avg WeeK Iganga-Kaliro'!L69+'Avg Week Kaliro-Iganga'!L69</f>
        <v>0</v>
      </c>
      <c r="M69" s="49">
        <f>'Avg WeeK Iganga-Kaliro'!M69+'Avg Week Kaliro-Iganga'!M69</f>
        <v>81</v>
      </c>
      <c r="N69" s="49">
        <f>'Avg WeeK Iganga-Kaliro'!N69+'Avg Week Kaliro-Iganga'!N69</f>
        <v>0.5</v>
      </c>
      <c r="O69" s="15">
        <f t="shared" si="0"/>
        <v>13.5</v>
      </c>
      <c r="P69" s="15">
        <f t="shared" si="1"/>
        <v>94.5</v>
      </c>
      <c r="R69" s="8"/>
      <c r="T69"/>
    </row>
    <row r="70" spans="2:20" ht="23.1" customHeight="1" x14ac:dyDescent="0.25">
      <c r="B70" s="23" t="s">
        <v>110</v>
      </c>
      <c r="C70" s="49">
        <f>'Avg WeeK Iganga-Kaliro'!C70+'Avg Week Kaliro-Iganga'!C70</f>
        <v>3.5</v>
      </c>
      <c r="D70" s="49">
        <f>'Avg WeeK Iganga-Kaliro'!D70+'Avg Week Kaliro-Iganga'!D70</f>
        <v>2.5</v>
      </c>
      <c r="E70" s="49">
        <f>'Avg WeeK Iganga-Kaliro'!E70+'Avg Week Kaliro-Iganga'!E70</f>
        <v>2</v>
      </c>
      <c r="F70" s="49">
        <f>'Avg WeeK Iganga-Kaliro'!F70+'Avg Week Kaliro-Iganga'!F70</f>
        <v>1</v>
      </c>
      <c r="G70" s="49">
        <f>'Avg WeeK Iganga-Kaliro'!G70+'Avg Week Kaliro-Iganga'!G70</f>
        <v>0</v>
      </c>
      <c r="H70" s="49">
        <f>'Avg WeeK Iganga-Kaliro'!H70+'Avg Week Kaliro-Iganga'!H70</f>
        <v>0</v>
      </c>
      <c r="I70" s="49">
        <f>'Avg WeeK Iganga-Kaliro'!I70+'Avg Week Kaliro-Iganga'!I70</f>
        <v>0.5</v>
      </c>
      <c r="J70" s="49">
        <f>'Avg WeeK Iganga-Kaliro'!J70+'Avg Week Kaliro-Iganga'!J70</f>
        <v>1</v>
      </c>
      <c r="K70" s="49">
        <f>'Avg WeeK Iganga-Kaliro'!K70+'Avg Week Kaliro-Iganga'!K70</f>
        <v>0</v>
      </c>
      <c r="L70" s="49">
        <f>'Avg WeeK Iganga-Kaliro'!L70+'Avg Week Kaliro-Iganga'!L70</f>
        <v>0</v>
      </c>
      <c r="M70" s="49">
        <f>'Avg WeeK Iganga-Kaliro'!M70+'Avg Week Kaliro-Iganga'!M70</f>
        <v>83</v>
      </c>
      <c r="N70" s="49">
        <f>'Avg WeeK Iganga-Kaliro'!N70+'Avg Week Kaliro-Iganga'!N70</f>
        <v>0</v>
      </c>
      <c r="O70" s="15">
        <f t="shared" si="0"/>
        <v>10.5</v>
      </c>
      <c r="P70" s="15">
        <f t="shared" si="1"/>
        <v>93.5</v>
      </c>
      <c r="R70" s="8"/>
      <c r="T70"/>
    </row>
    <row r="71" spans="2:20" ht="23.1" customHeight="1" x14ac:dyDescent="0.25">
      <c r="B71" s="23" t="s">
        <v>111</v>
      </c>
      <c r="C71" s="49">
        <f>'Avg WeeK Iganga-Kaliro'!C71+'Avg Week Kaliro-Iganga'!C71</f>
        <v>3.5</v>
      </c>
      <c r="D71" s="49">
        <f>'Avg WeeK Iganga-Kaliro'!D71+'Avg Week Kaliro-Iganga'!D71</f>
        <v>1.5</v>
      </c>
      <c r="E71" s="49">
        <f>'Avg WeeK Iganga-Kaliro'!E71+'Avg Week Kaliro-Iganga'!E71</f>
        <v>1</v>
      </c>
      <c r="F71" s="49">
        <f>'Avg WeeK Iganga-Kaliro'!F71+'Avg Week Kaliro-Iganga'!F71</f>
        <v>4</v>
      </c>
      <c r="G71" s="49">
        <f>'Avg WeeK Iganga-Kaliro'!G71+'Avg Week Kaliro-Iganga'!G71</f>
        <v>0.5</v>
      </c>
      <c r="H71" s="49">
        <f>'Avg WeeK Iganga-Kaliro'!H71+'Avg Week Kaliro-Iganga'!H71</f>
        <v>0</v>
      </c>
      <c r="I71" s="49">
        <f>'Avg WeeK Iganga-Kaliro'!I71+'Avg Week Kaliro-Iganga'!I71</f>
        <v>1</v>
      </c>
      <c r="J71" s="49">
        <f>'Avg WeeK Iganga-Kaliro'!J71+'Avg Week Kaliro-Iganga'!J71</f>
        <v>1</v>
      </c>
      <c r="K71" s="49">
        <f>'Avg WeeK Iganga-Kaliro'!K71+'Avg Week Kaliro-Iganga'!K71</f>
        <v>1</v>
      </c>
      <c r="L71" s="49">
        <f>'Avg WeeK Iganga-Kaliro'!L71+'Avg Week Kaliro-Iganga'!L71</f>
        <v>0</v>
      </c>
      <c r="M71" s="49">
        <f>'Avg WeeK Iganga-Kaliro'!M71+'Avg Week Kaliro-Iganga'!M71</f>
        <v>80</v>
      </c>
      <c r="N71" s="49">
        <f>'Avg WeeK Iganga-Kaliro'!N71+'Avg Week Kaliro-Iganga'!N71</f>
        <v>0</v>
      </c>
      <c r="O71" s="15">
        <f t="shared" si="0"/>
        <v>13.5</v>
      </c>
      <c r="P71" s="15">
        <f t="shared" si="1"/>
        <v>93.5</v>
      </c>
      <c r="R71" s="8"/>
      <c r="T71"/>
    </row>
    <row r="72" spans="2:20" ht="23.1" customHeight="1" x14ac:dyDescent="0.25">
      <c r="B72" s="23" t="s">
        <v>112</v>
      </c>
      <c r="C72" s="49">
        <f>'Avg WeeK Iganga-Kaliro'!C72+'Avg Week Kaliro-Iganga'!C72</f>
        <v>3.5</v>
      </c>
      <c r="D72" s="49">
        <f>'Avg WeeK Iganga-Kaliro'!D72+'Avg Week Kaliro-Iganga'!D72</f>
        <v>3</v>
      </c>
      <c r="E72" s="49">
        <f>'Avg WeeK Iganga-Kaliro'!E72+'Avg Week Kaliro-Iganga'!E72</f>
        <v>0.5</v>
      </c>
      <c r="F72" s="49">
        <f>'Avg WeeK Iganga-Kaliro'!F72+'Avg Week Kaliro-Iganga'!F72</f>
        <v>3</v>
      </c>
      <c r="G72" s="49">
        <f>'Avg WeeK Iganga-Kaliro'!G72+'Avg Week Kaliro-Iganga'!G72</f>
        <v>0</v>
      </c>
      <c r="H72" s="49">
        <f>'Avg WeeK Iganga-Kaliro'!H72+'Avg Week Kaliro-Iganga'!H72</f>
        <v>0</v>
      </c>
      <c r="I72" s="49">
        <f>'Avg WeeK Iganga-Kaliro'!I72+'Avg Week Kaliro-Iganga'!I72</f>
        <v>1.5</v>
      </c>
      <c r="J72" s="49">
        <f>'Avg WeeK Iganga-Kaliro'!J72+'Avg Week Kaliro-Iganga'!J72</f>
        <v>0.5</v>
      </c>
      <c r="K72" s="49">
        <f>'Avg WeeK Iganga-Kaliro'!K72+'Avg Week Kaliro-Iganga'!K72</f>
        <v>0</v>
      </c>
      <c r="L72" s="49">
        <f>'Avg WeeK Iganga-Kaliro'!L72+'Avg Week Kaliro-Iganga'!L72</f>
        <v>0</v>
      </c>
      <c r="M72" s="49">
        <f>'Avg WeeK Iganga-Kaliro'!M72+'Avg Week Kaliro-Iganga'!M72</f>
        <v>76.5</v>
      </c>
      <c r="N72" s="49">
        <f>'Avg WeeK Iganga-Kaliro'!N72+'Avg Week Kaliro-Iganga'!N72</f>
        <v>0</v>
      </c>
      <c r="O72" s="15">
        <f t="shared" si="0"/>
        <v>12</v>
      </c>
      <c r="P72" s="15">
        <f t="shared" si="1"/>
        <v>88.5</v>
      </c>
      <c r="R72" s="8"/>
      <c r="T72"/>
    </row>
    <row r="73" spans="2:20" ht="23.1" customHeight="1" x14ac:dyDescent="0.25">
      <c r="B73" s="23" t="s">
        <v>113</v>
      </c>
      <c r="C73" s="49">
        <f>'Avg WeeK Iganga-Kaliro'!C73+'Avg Week Kaliro-Iganga'!C73</f>
        <v>2.5</v>
      </c>
      <c r="D73" s="49">
        <f>'Avg WeeK Iganga-Kaliro'!D73+'Avg Week Kaliro-Iganga'!D73</f>
        <v>2.5</v>
      </c>
      <c r="E73" s="49">
        <f>'Avg WeeK Iganga-Kaliro'!E73+'Avg Week Kaliro-Iganga'!E73</f>
        <v>1.5</v>
      </c>
      <c r="F73" s="49">
        <f>'Avg WeeK Iganga-Kaliro'!F73+'Avg Week Kaliro-Iganga'!F73</f>
        <v>4</v>
      </c>
      <c r="G73" s="49">
        <f>'Avg WeeK Iganga-Kaliro'!G73+'Avg Week Kaliro-Iganga'!G73</f>
        <v>0</v>
      </c>
      <c r="H73" s="49">
        <f>'Avg WeeK Iganga-Kaliro'!H73+'Avg Week Kaliro-Iganga'!H73</f>
        <v>0</v>
      </c>
      <c r="I73" s="49">
        <f>'Avg WeeK Iganga-Kaliro'!I73+'Avg Week Kaliro-Iganga'!I73</f>
        <v>0</v>
      </c>
      <c r="J73" s="49">
        <f>'Avg WeeK Iganga-Kaliro'!J73+'Avg Week Kaliro-Iganga'!J73</f>
        <v>2</v>
      </c>
      <c r="K73" s="49">
        <f>'Avg WeeK Iganga-Kaliro'!K73+'Avg Week Kaliro-Iganga'!K73</f>
        <v>0</v>
      </c>
      <c r="L73" s="49">
        <f>'Avg WeeK Iganga-Kaliro'!L73+'Avg Week Kaliro-Iganga'!L73</f>
        <v>0</v>
      </c>
      <c r="M73" s="49">
        <f>'Avg WeeK Iganga-Kaliro'!M73+'Avg Week Kaliro-Iganga'!M73</f>
        <v>72</v>
      </c>
      <c r="N73" s="49">
        <f>'Avg WeeK Iganga-Kaliro'!N73+'Avg Week Kaliro-Iganga'!N73</f>
        <v>0</v>
      </c>
      <c r="O73" s="15">
        <f t="shared" si="0"/>
        <v>12.5</v>
      </c>
      <c r="P73" s="15">
        <f t="shared" si="1"/>
        <v>84.5</v>
      </c>
      <c r="R73" s="8"/>
      <c r="T73"/>
    </row>
    <row r="74" spans="2:20" ht="23.1" customHeight="1" x14ac:dyDescent="0.25">
      <c r="B74" s="23" t="s">
        <v>114</v>
      </c>
      <c r="C74" s="49">
        <f>'Avg WeeK Iganga-Kaliro'!C74+'Avg Week Kaliro-Iganga'!C74</f>
        <v>3.5</v>
      </c>
      <c r="D74" s="49">
        <f>'Avg WeeK Iganga-Kaliro'!D74+'Avg Week Kaliro-Iganga'!D74</f>
        <v>1.5</v>
      </c>
      <c r="E74" s="49">
        <f>'Avg WeeK Iganga-Kaliro'!E74+'Avg Week Kaliro-Iganga'!E74</f>
        <v>0.5</v>
      </c>
      <c r="F74" s="49">
        <f>'Avg WeeK Iganga-Kaliro'!F74+'Avg Week Kaliro-Iganga'!F74</f>
        <v>0.5</v>
      </c>
      <c r="G74" s="49">
        <f>'Avg WeeK Iganga-Kaliro'!G74+'Avg Week Kaliro-Iganga'!G74</f>
        <v>0</v>
      </c>
      <c r="H74" s="49">
        <f>'Avg WeeK Iganga-Kaliro'!H74+'Avg Week Kaliro-Iganga'!H74</f>
        <v>0</v>
      </c>
      <c r="I74" s="49">
        <f>'Avg WeeK Iganga-Kaliro'!I74+'Avg Week Kaliro-Iganga'!I74</f>
        <v>2</v>
      </c>
      <c r="J74" s="49">
        <f>'Avg WeeK Iganga-Kaliro'!J74+'Avg Week Kaliro-Iganga'!J74</f>
        <v>0</v>
      </c>
      <c r="K74" s="49">
        <f>'Avg WeeK Iganga-Kaliro'!K74+'Avg Week Kaliro-Iganga'!K74</f>
        <v>0</v>
      </c>
      <c r="L74" s="49">
        <f>'Avg WeeK Iganga-Kaliro'!L74+'Avg Week Kaliro-Iganga'!L74</f>
        <v>0</v>
      </c>
      <c r="M74" s="49">
        <f>'Avg WeeK Iganga-Kaliro'!M74+'Avg Week Kaliro-Iganga'!M74</f>
        <v>79</v>
      </c>
      <c r="N74" s="49">
        <f>'Avg WeeK Iganga-Kaliro'!N74+'Avg Week Kaliro-Iganga'!N74</f>
        <v>0</v>
      </c>
      <c r="O74" s="15">
        <f t="shared" ref="O74:O105" si="35">SUM(C74:L74,N74)</f>
        <v>8</v>
      </c>
      <c r="P74" s="15">
        <f t="shared" ref="P74:P105" si="36">SUM(C74:N74)</f>
        <v>87</v>
      </c>
      <c r="R74" s="8"/>
      <c r="T74"/>
    </row>
    <row r="75" spans="2:20" ht="23.1" customHeight="1" x14ac:dyDescent="0.25">
      <c r="B75" s="23" t="s">
        <v>115</v>
      </c>
      <c r="C75" s="49">
        <f>'Avg WeeK Iganga-Kaliro'!C75+'Avg Week Kaliro-Iganga'!C75</f>
        <v>1.5</v>
      </c>
      <c r="D75" s="49">
        <f>'Avg WeeK Iganga-Kaliro'!D75+'Avg Week Kaliro-Iganga'!D75</f>
        <v>1.5</v>
      </c>
      <c r="E75" s="49">
        <f>'Avg WeeK Iganga-Kaliro'!E75+'Avg Week Kaliro-Iganga'!E75</f>
        <v>2</v>
      </c>
      <c r="F75" s="49">
        <f>'Avg WeeK Iganga-Kaliro'!F75+'Avg Week Kaliro-Iganga'!F75</f>
        <v>2</v>
      </c>
      <c r="G75" s="49">
        <f>'Avg WeeK Iganga-Kaliro'!G75+'Avg Week Kaliro-Iganga'!G75</f>
        <v>0</v>
      </c>
      <c r="H75" s="49">
        <f>'Avg WeeK Iganga-Kaliro'!H75+'Avg Week Kaliro-Iganga'!H75</f>
        <v>0</v>
      </c>
      <c r="I75" s="49">
        <f>'Avg WeeK Iganga-Kaliro'!I75+'Avg Week Kaliro-Iganga'!I75</f>
        <v>0.5</v>
      </c>
      <c r="J75" s="49">
        <f>'Avg WeeK Iganga-Kaliro'!J75+'Avg Week Kaliro-Iganga'!J75</f>
        <v>2</v>
      </c>
      <c r="K75" s="49">
        <f>'Avg WeeK Iganga-Kaliro'!K75+'Avg Week Kaliro-Iganga'!K75</f>
        <v>0</v>
      </c>
      <c r="L75" s="49">
        <f>'Avg WeeK Iganga-Kaliro'!L75+'Avg Week Kaliro-Iganga'!L75</f>
        <v>0</v>
      </c>
      <c r="M75" s="49">
        <f>'Avg WeeK Iganga-Kaliro'!M75+'Avg Week Kaliro-Iganga'!M75</f>
        <v>62</v>
      </c>
      <c r="N75" s="49">
        <f>'Avg WeeK Iganga-Kaliro'!N75+'Avg Week Kaliro-Iganga'!N75</f>
        <v>0</v>
      </c>
      <c r="O75" s="15">
        <f t="shared" si="35"/>
        <v>9.5</v>
      </c>
      <c r="P75" s="15">
        <f t="shared" si="36"/>
        <v>71.5</v>
      </c>
      <c r="R75" s="8"/>
      <c r="T75"/>
    </row>
    <row r="76" spans="2:20" ht="23.1" customHeight="1" x14ac:dyDescent="0.25">
      <c r="B76" s="23" t="s">
        <v>116</v>
      </c>
      <c r="C76" s="49">
        <f>'Avg WeeK Iganga-Kaliro'!C76+'Avg Week Kaliro-Iganga'!C76</f>
        <v>3.5</v>
      </c>
      <c r="D76" s="49">
        <f>'Avg WeeK Iganga-Kaliro'!D76+'Avg Week Kaliro-Iganga'!D76</f>
        <v>1</v>
      </c>
      <c r="E76" s="49">
        <f>'Avg WeeK Iganga-Kaliro'!E76+'Avg Week Kaliro-Iganga'!E76</f>
        <v>1</v>
      </c>
      <c r="F76" s="49">
        <f>'Avg WeeK Iganga-Kaliro'!F76+'Avg Week Kaliro-Iganga'!F76</f>
        <v>2</v>
      </c>
      <c r="G76" s="49">
        <f>'Avg WeeK Iganga-Kaliro'!G76+'Avg Week Kaliro-Iganga'!G76</f>
        <v>0</v>
      </c>
      <c r="H76" s="49">
        <f>'Avg WeeK Iganga-Kaliro'!H76+'Avg Week Kaliro-Iganga'!H76</f>
        <v>0</v>
      </c>
      <c r="I76" s="49">
        <f>'Avg WeeK Iganga-Kaliro'!I76+'Avg Week Kaliro-Iganga'!I76</f>
        <v>2.5</v>
      </c>
      <c r="J76" s="49">
        <f>'Avg WeeK Iganga-Kaliro'!J76+'Avg Week Kaliro-Iganga'!J76</f>
        <v>0.5</v>
      </c>
      <c r="K76" s="49">
        <f>'Avg WeeK Iganga-Kaliro'!K76+'Avg Week Kaliro-Iganga'!K76</f>
        <v>1</v>
      </c>
      <c r="L76" s="49">
        <f>'Avg WeeK Iganga-Kaliro'!L76+'Avg Week Kaliro-Iganga'!L76</f>
        <v>0.5</v>
      </c>
      <c r="M76" s="49">
        <f>'Avg WeeK Iganga-Kaliro'!M76+'Avg Week Kaliro-Iganga'!M76</f>
        <v>54.5</v>
      </c>
      <c r="N76" s="49">
        <f>'Avg WeeK Iganga-Kaliro'!N76+'Avg Week Kaliro-Iganga'!N76</f>
        <v>0</v>
      </c>
      <c r="O76" s="15">
        <f t="shared" si="35"/>
        <v>12</v>
      </c>
      <c r="P76" s="15">
        <f t="shared" si="36"/>
        <v>66.5</v>
      </c>
      <c r="R76" s="8"/>
      <c r="T76"/>
    </row>
    <row r="77" spans="2:20" ht="23.1" customHeight="1" x14ac:dyDescent="0.25">
      <c r="B77" s="23" t="s">
        <v>117</v>
      </c>
      <c r="C77" s="49">
        <f>'Avg WeeK Iganga-Kaliro'!C77+'Avg Week Kaliro-Iganga'!C77</f>
        <v>3</v>
      </c>
      <c r="D77" s="49">
        <f>'Avg WeeK Iganga-Kaliro'!D77+'Avg Week Kaliro-Iganga'!D77</f>
        <v>1.5</v>
      </c>
      <c r="E77" s="49">
        <f>'Avg WeeK Iganga-Kaliro'!E77+'Avg Week Kaliro-Iganga'!E77</f>
        <v>2</v>
      </c>
      <c r="F77" s="49">
        <f>'Avg WeeK Iganga-Kaliro'!F77+'Avg Week Kaliro-Iganga'!F77</f>
        <v>1</v>
      </c>
      <c r="G77" s="49">
        <f>'Avg WeeK Iganga-Kaliro'!G77+'Avg Week Kaliro-Iganga'!G77</f>
        <v>0</v>
      </c>
      <c r="H77" s="49">
        <f>'Avg WeeK Iganga-Kaliro'!H77+'Avg Week Kaliro-Iganga'!H77</f>
        <v>0</v>
      </c>
      <c r="I77" s="49">
        <f>'Avg WeeK Iganga-Kaliro'!I77+'Avg Week Kaliro-Iganga'!I77</f>
        <v>0.5</v>
      </c>
      <c r="J77" s="49">
        <f>'Avg WeeK Iganga-Kaliro'!J77+'Avg Week Kaliro-Iganga'!J77</f>
        <v>0.5</v>
      </c>
      <c r="K77" s="49">
        <f>'Avg WeeK Iganga-Kaliro'!K77+'Avg Week Kaliro-Iganga'!K77</f>
        <v>0</v>
      </c>
      <c r="L77" s="49">
        <f>'Avg WeeK Iganga-Kaliro'!L77+'Avg Week Kaliro-Iganga'!L77</f>
        <v>0</v>
      </c>
      <c r="M77" s="49">
        <f>'Avg WeeK Iganga-Kaliro'!M77+'Avg Week Kaliro-Iganga'!M77</f>
        <v>56</v>
      </c>
      <c r="N77" s="49">
        <f>'Avg WeeK Iganga-Kaliro'!N77+'Avg Week Kaliro-Iganga'!N77</f>
        <v>0</v>
      </c>
      <c r="O77" s="15">
        <f t="shared" si="35"/>
        <v>8.5</v>
      </c>
      <c r="P77" s="15">
        <f t="shared" si="36"/>
        <v>64.5</v>
      </c>
      <c r="R77" s="8"/>
      <c r="T77"/>
    </row>
    <row r="78" spans="2:20" ht="23.1" customHeight="1" x14ac:dyDescent="0.25">
      <c r="B78" s="24" t="s">
        <v>118</v>
      </c>
      <c r="C78" s="49">
        <f>'Avg WeeK Iganga-Kaliro'!C78+'Avg Week Kaliro-Iganga'!C78</f>
        <v>3</v>
      </c>
      <c r="D78" s="49">
        <f>'Avg WeeK Iganga-Kaliro'!D78+'Avg Week Kaliro-Iganga'!D78</f>
        <v>1</v>
      </c>
      <c r="E78" s="49">
        <f>'Avg WeeK Iganga-Kaliro'!E78+'Avg Week Kaliro-Iganga'!E78</f>
        <v>0</v>
      </c>
      <c r="F78" s="49">
        <f>'Avg WeeK Iganga-Kaliro'!F78+'Avg Week Kaliro-Iganga'!F78</f>
        <v>0.5</v>
      </c>
      <c r="G78" s="49">
        <f>'Avg WeeK Iganga-Kaliro'!G78+'Avg Week Kaliro-Iganga'!G78</f>
        <v>0</v>
      </c>
      <c r="H78" s="49">
        <f>'Avg WeeK Iganga-Kaliro'!H78+'Avg Week Kaliro-Iganga'!H78</f>
        <v>0</v>
      </c>
      <c r="I78" s="49">
        <f>'Avg WeeK Iganga-Kaliro'!I78+'Avg Week Kaliro-Iganga'!I78</f>
        <v>0.5</v>
      </c>
      <c r="J78" s="49">
        <f>'Avg WeeK Iganga-Kaliro'!J78+'Avg Week Kaliro-Iganga'!J78</f>
        <v>0.5</v>
      </c>
      <c r="K78" s="49">
        <f>'Avg WeeK Iganga-Kaliro'!K78+'Avg Week Kaliro-Iganga'!K78</f>
        <v>0</v>
      </c>
      <c r="L78" s="49">
        <f>'Avg WeeK Iganga-Kaliro'!L78+'Avg Week Kaliro-Iganga'!L78</f>
        <v>0</v>
      </c>
      <c r="M78" s="49">
        <f>'Avg WeeK Iganga-Kaliro'!M78+'Avg Week Kaliro-Iganga'!M78</f>
        <v>46.5</v>
      </c>
      <c r="N78" s="49">
        <f>'Avg WeeK Iganga-Kaliro'!N78+'Avg Week Kaliro-Iganga'!N78</f>
        <v>0</v>
      </c>
      <c r="O78" s="15">
        <f t="shared" si="35"/>
        <v>5.5</v>
      </c>
      <c r="P78" s="15">
        <f t="shared" si="36"/>
        <v>52</v>
      </c>
      <c r="R78" s="8"/>
      <c r="T78"/>
    </row>
    <row r="79" spans="2:20" ht="23.1" customHeight="1" x14ac:dyDescent="0.25">
      <c r="B79" s="23" t="s">
        <v>119</v>
      </c>
      <c r="C79" s="49">
        <f>'Avg WeeK Iganga-Kaliro'!C79+'Avg Week Kaliro-Iganga'!C79</f>
        <v>1.5</v>
      </c>
      <c r="D79" s="49">
        <f>'Avg WeeK Iganga-Kaliro'!D79+'Avg Week Kaliro-Iganga'!D79</f>
        <v>2</v>
      </c>
      <c r="E79" s="49">
        <f>'Avg WeeK Iganga-Kaliro'!E79+'Avg Week Kaliro-Iganga'!E79</f>
        <v>1</v>
      </c>
      <c r="F79" s="49">
        <f>'Avg WeeK Iganga-Kaliro'!F79+'Avg Week Kaliro-Iganga'!F79</f>
        <v>0.5</v>
      </c>
      <c r="G79" s="49">
        <f>'Avg WeeK Iganga-Kaliro'!G79+'Avg Week Kaliro-Iganga'!G79</f>
        <v>0</v>
      </c>
      <c r="H79" s="49">
        <f>'Avg WeeK Iganga-Kaliro'!H79+'Avg Week Kaliro-Iganga'!H79</f>
        <v>0</v>
      </c>
      <c r="I79" s="49">
        <f>'Avg WeeK Iganga-Kaliro'!I79+'Avg Week Kaliro-Iganga'!I79</f>
        <v>0</v>
      </c>
      <c r="J79" s="49">
        <f>'Avg WeeK Iganga-Kaliro'!J79+'Avg Week Kaliro-Iganga'!J79</f>
        <v>0.5</v>
      </c>
      <c r="K79" s="49">
        <f>'Avg WeeK Iganga-Kaliro'!K79+'Avg Week Kaliro-Iganga'!K79</f>
        <v>0</v>
      </c>
      <c r="L79" s="49">
        <f>'Avg WeeK Iganga-Kaliro'!L79+'Avg Week Kaliro-Iganga'!L79</f>
        <v>0</v>
      </c>
      <c r="M79" s="49">
        <f>'Avg WeeK Iganga-Kaliro'!M79+'Avg Week Kaliro-Iganga'!M79</f>
        <v>42</v>
      </c>
      <c r="N79" s="49">
        <f>'Avg WeeK Iganga-Kaliro'!N79+'Avg Week Kaliro-Iganga'!N79</f>
        <v>0</v>
      </c>
      <c r="O79" s="15">
        <f t="shared" si="35"/>
        <v>5.5</v>
      </c>
      <c r="P79" s="15">
        <f t="shared" si="36"/>
        <v>47.5</v>
      </c>
      <c r="R79" s="8"/>
      <c r="T79"/>
    </row>
    <row r="80" spans="2:20" ht="23.1" customHeight="1" x14ac:dyDescent="0.25">
      <c r="B80" s="25" t="s">
        <v>120</v>
      </c>
      <c r="C80" s="49">
        <f>'Avg WeeK Iganga-Kaliro'!C80+'Avg Week Kaliro-Iganga'!C80</f>
        <v>1.5</v>
      </c>
      <c r="D80" s="49">
        <f>'Avg WeeK Iganga-Kaliro'!D80+'Avg Week Kaliro-Iganga'!D80</f>
        <v>1</v>
      </c>
      <c r="E80" s="49">
        <f>'Avg WeeK Iganga-Kaliro'!E80+'Avg Week Kaliro-Iganga'!E80</f>
        <v>1.5</v>
      </c>
      <c r="F80" s="49">
        <f>'Avg WeeK Iganga-Kaliro'!F80+'Avg Week Kaliro-Iganga'!F80</f>
        <v>0.5</v>
      </c>
      <c r="G80" s="49">
        <f>'Avg WeeK Iganga-Kaliro'!G80+'Avg Week Kaliro-Iganga'!G80</f>
        <v>0</v>
      </c>
      <c r="H80" s="49">
        <f>'Avg WeeK Iganga-Kaliro'!H80+'Avg Week Kaliro-Iganga'!H80</f>
        <v>0</v>
      </c>
      <c r="I80" s="49">
        <f>'Avg WeeK Iganga-Kaliro'!I80+'Avg Week Kaliro-Iganga'!I80</f>
        <v>1</v>
      </c>
      <c r="J80" s="49">
        <f>'Avg WeeK Iganga-Kaliro'!J80+'Avg Week Kaliro-Iganga'!J80</f>
        <v>0</v>
      </c>
      <c r="K80" s="49">
        <f>'Avg WeeK Iganga-Kaliro'!K80+'Avg Week Kaliro-Iganga'!K80</f>
        <v>0</v>
      </c>
      <c r="L80" s="49">
        <f>'Avg WeeK Iganga-Kaliro'!L80+'Avg Week Kaliro-Iganga'!L80</f>
        <v>0</v>
      </c>
      <c r="M80" s="49">
        <f>'Avg WeeK Iganga-Kaliro'!M80+'Avg Week Kaliro-Iganga'!M80</f>
        <v>40.5</v>
      </c>
      <c r="N80" s="49">
        <f>'Avg WeeK Iganga-Kaliro'!N80+'Avg Week Kaliro-Iganga'!N80</f>
        <v>0</v>
      </c>
      <c r="O80" s="15">
        <f t="shared" si="35"/>
        <v>5.5</v>
      </c>
      <c r="P80" s="15">
        <f t="shared" si="36"/>
        <v>46</v>
      </c>
      <c r="R80" s="8"/>
      <c r="T80"/>
    </row>
    <row r="81" spans="2:20" ht="23.1" customHeight="1" x14ac:dyDescent="0.25">
      <c r="B81" s="23" t="s">
        <v>121</v>
      </c>
      <c r="C81" s="49">
        <f>'Avg WeeK Iganga-Kaliro'!C81+'Avg Week Kaliro-Iganga'!C81</f>
        <v>1.5</v>
      </c>
      <c r="D81" s="49">
        <f>'Avg WeeK Iganga-Kaliro'!D81+'Avg Week Kaliro-Iganga'!D81</f>
        <v>2</v>
      </c>
      <c r="E81" s="49">
        <f>'Avg WeeK Iganga-Kaliro'!E81+'Avg Week Kaliro-Iganga'!E81</f>
        <v>1.5</v>
      </c>
      <c r="F81" s="49">
        <f>'Avg WeeK Iganga-Kaliro'!F81+'Avg Week Kaliro-Iganga'!F81</f>
        <v>0</v>
      </c>
      <c r="G81" s="49">
        <f>'Avg WeeK Iganga-Kaliro'!G81+'Avg Week Kaliro-Iganga'!G81</f>
        <v>0</v>
      </c>
      <c r="H81" s="49">
        <f>'Avg WeeK Iganga-Kaliro'!H81+'Avg Week Kaliro-Iganga'!H81</f>
        <v>0</v>
      </c>
      <c r="I81" s="49">
        <f>'Avg WeeK Iganga-Kaliro'!I81+'Avg Week Kaliro-Iganga'!I81</f>
        <v>1</v>
      </c>
      <c r="J81" s="49">
        <f>'Avg WeeK Iganga-Kaliro'!J81+'Avg Week Kaliro-Iganga'!J81</f>
        <v>1.5</v>
      </c>
      <c r="K81" s="49">
        <f>'Avg WeeK Iganga-Kaliro'!K81+'Avg Week Kaliro-Iganga'!K81</f>
        <v>1</v>
      </c>
      <c r="L81" s="49">
        <f>'Avg WeeK Iganga-Kaliro'!L81+'Avg Week Kaliro-Iganga'!L81</f>
        <v>0</v>
      </c>
      <c r="M81" s="49">
        <f>'Avg WeeK Iganga-Kaliro'!M81+'Avg Week Kaliro-Iganga'!M81</f>
        <v>35</v>
      </c>
      <c r="N81" s="49">
        <f>'Avg WeeK Iganga-Kaliro'!N81+'Avg Week Kaliro-Iganga'!N81</f>
        <v>0</v>
      </c>
      <c r="O81" s="15">
        <f t="shared" si="35"/>
        <v>8.5</v>
      </c>
      <c r="P81" s="15">
        <f t="shared" si="36"/>
        <v>43.5</v>
      </c>
      <c r="R81" s="8"/>
      <c r="T81"/>
    </row>
    <row r="82" spans="2:20" ht="23.1" customHeight="1" x14ac:dyDescent="0.25">
      <c r="B82" s="24" t="s">
        <v>122</v>
      </c>
      <c r="C82" s="49">
        <f>'Avg WeeK Iganga-Kaliro'!C82+'Avg Week Kaliro-Iganga'!C82</f>
        <v>1.5</v>
      </c>
      <c r="D82" s="49">
        <f>'Avg WeeK Iganga-Kaliro'!D82+'Avg Week Kaliro-Iganga'!D82</f>
        <v>2</v>
      </c>
      <c r="E82" s="49">
        <f>'Avg WeeK Iganga-Kaliro'!E82+'Avg Week Kaliro-Iganga'!E82</f>
        <v>0</v>
      </c>
      <c r="F82" s="49">
        <f>'Avg WeeK Iganga-Kaliro'!F82+'Avg Week Kaliro-Iganga'!F82</f>
        <v>1</v>
      </c>
      <c r="G82" s="49">
        <f>'Avg WeeK Iganga-Kaliro'!G82+'Avg Week Kaliro-Iganga'!G82</f>
        <v>0</v>
      </c>
      <c r="H82" s="49">
        <f>'Avg WeeK Iganga-Kaliro'!H82+'Avg Week Kaliro-Iganga'!H82</f>
        <v>0</v>
      </c>
      <c r="I82" s="49">
        <f>'Avg WeeK Iganga-Kaliro'!I82+'Avg Week Kaliro-Iganga'!I82</f>
        <v>1</v>
      </c>
      <c r="J82" s="49">
        <f>'Avg WeeK Iganga-Kaliro'!J82+'Avg Week Kaliro-Iganga'!J82</f>
        <v>0</v>
      </c>
      <c r="K82" s="49">
        <f>'Avg WeeK Iganga-Kaliro'!K82+'Avg Week Kaliro-Iganga'!K82</f>
        <v>0</v>
      </c>
      <c r="L82" s="49">
        <f>'Avg WeeK Iganga-Kaliro'!L82+'Avg Week Kaliro-Iganga'!L82</f>
        <v>0</v>
      </c>
      <c r="M82" s="49">
        <f>'Avg WeeK Iganga-Kaliro'!M82+'Avg Week Kaliro-Iganga'!M82</f>
        <v>19</v>
      </c>
      <c r="N82" s="49">
        <f>'Avg WeeK Iganga-Kaliro'!N82+'Avg Week Kaliro-Iganga'!N82</f>
        <v>0</v>
      </c>
      <c r="O82" s="15">
        <f t="shared" si="35"/>
        <v>5.5</v>
      </c>
      <c r="P82" s="15">
        <f t="shared" si="36"/>
        <v>24.5</v>
      </c>
      <c r="R82" s="8"/>
      <c r="T82"/>
    </row>
    <row r="83" spans="2:20" ht="23.1" customHeight="1" x14ac:dyDescent="0.25">
      <c r="B83" s="23" t="s">
        <v>123</v>
      </c>
      <c r="C83" s="49">
        <f>'Avg WeeK Iganga-Kaliro'!C83+'Avg Week Kaliro-Iganga'!C83</f>
        <v>1.5</v>
      </c>
      <c r="D83" s="49">
        <f>'Avg WeeK Iganga-Kaliro'!D83+'Avg Week Kaliro-Iganga'!D83</f>
        <v>2</v>
      </c>
      <c r="E83" s="49">
        <f>'Avg WeeK Iganga-Kaliro'!E83+'Avg Week Kaliro-Iganga'!E83</f>
        <v>1</v>
      </c>
      <c r="F83" s="49">
        <f>'Avg WeeK Iganga-Kaliro'!F83+'Avg Week Kaliro-Iganga'!F83</f>
        <v>0</v>
      </c>
      <c r="G83" s="49">
        <f>'Avg WeeK Iganga-Kaliro'!G83+'Avg Week Kaliro-Iganga'!G83</f>
        <v>0</v>
      </c>
      <c r="H83" s="49">
        <f>'Avg WeeK Iganga-Kaliro'!H83+'Avg Week Kaliro-Iganga'!H83</f>
        <v>0</v>
      </c>
      <c r="I83" s="49">
        <f>'Avg WeeK Iganga-Kaliro'!I83+'Avg Week Kaliro-Iganga'!I83</f>
        <v>0</v>
      </c>
      <c r="J83" s="49">
        <f>'Avg WeeK Iganga-Kaliro'!J83+'Avg Week Kaliro-Iganga'!J83</f>
        <v>1.5</v>
      </c>
      <c r="K83" s="49">
        <f>'Avg WeeK Iganga-Kaliro'!K83+'Avg Week Kaliro-Iganga'!K83</f>
        <v>0</v>
      </c>
      <c r="L83" s="49">
        <f>'Avg WeeK Iganga-Kaliro'!L83+'Avg Week Kaliro-Iganga'!L83</f>
        <v>0</v>
      </c>
      <c r="M83" s="49">
        <f>'Avg WeeK Iganga-Kaliro'!M83+'Avg Week Kaliro-Iganga'!M83</f>
        <v>14</v>
      </c>
      <c r="N83" s="49">
        <f>'Avg WeeK Iganga-Kaliro'!N83+'Avg Week Kaliro-Iganga'!N83</f>
        <v>0</v>
      </c>
      <c r="O83" s="15">
        <f t="shared" si="35"/>
        <v>6</v>
      </c>
      <c r="P83" s="15">
        <f t="shared" si="36"/>
        <v>20</v>
      </c>
      <c r="R83" s="8"/>
      <c r="T83"/>
    </row>
    <row r="84" spans="2:20" ht="23.1" customHeight="1" x14ac:dyDescent="0.25">
      <c r="B84" s="25" t="s">
        <v>124</v>
      </c>
      <c r="C84" s="49">
        <f>'Avg WeeK Iganga-Kaliro'!C84+'Avg Week Kaliro-Iganga'!C84</f>
        <v>0.5</v>
      </c>
      <c r="D84" s="49">
        <f>'Avg WeeK Iganga-Kaliro'!D84+'Avg Week Kaliro-Iganga'!D84</f>
        <v>1</v>
      </c>
      <c r="E84" s="49">
        <f>'Avg WeeK Iganga-Kaliro'!E84+'Avg Week Kaliro-Iganga'!E84</f>
        <v>1</v>
      </c>
      <c r="F84" s="49">
        <f>'Avg WeeK Iganga-Kaliro'!F84+'Avg Week Kaliro-Iganga'!F84</f>
        <v>0</v>
      </c>
      <c r="G84" s="49">
        <f>'Avg WeeK Iganga-Kaliro'!G84+'Avg Week Kaliro-Iganga'!G84</f>
        <v>0</v>
      </c>
      <c r="H84" s="49">
        <f>'Avg WeeK Iganga-Kaliro'!H84+'Avg Week Kaliro-Iganga'!H84</f>
        <v>0</v>
      </c>
      <c r="I84" s="49">
        <f>'Avg WeeK Iganga-Kaliro'!I84+'Avg Week Kaliro-Iganga'!I84</f>
        <v>0.5</v>
      </c>
      <c r="J84" s="49">
        <f>'Avg WeeK Iganga-Kaliro'!J84+'Avg Week Kaliro-Iganga'!J84</f>
        <v>0</v>
      </c>
      <c r="K84" s="49">
        <f>'Avg WeeK Iganga-Kaliro'!K84+'Avg Week Kaliro-Iganga'!K84</f>
        <v>0</v>
      </c>
      <c r="L84" s="49">
        <f>'Avg WeeK Iganga-Kaliro'!L84+'Avg Week Kaliro-Iganga'!L84</f>
        <v>0</v>
      </c>
      <c r="M84" s="49">
        <f>'Avg WeeK Iganga-Kaliro'!M84+'Avg Week Kaliro-Iganga'!M84</f>
        <v>18</v>
      </c>
      <c r="N84" s="49">
        <f>'Avg WeeK Iganga-Kaliro'!N84+'Avg Week Kaliro-Iganga'!N84</f>
        <v>0</v>
      </c>
      <c r="O84" s="15">
        <f t="shared" si="35"/>
        <v>3</v>
      </c>
      <c r="P84" s="15">
        <f t="shared" si="36"/>
        <v>21</v>
      </c>
      <c r="R84" s="8"/>
      <c r="T84"/>
    </row>
    <row r="85" spans="2:20" ht="23.1" customHeight="1" x14ac:dyDescent="0.25">
      <c r="B85" s="23" t="s">
        <v>125</v>
      </c>
      <c r="C85" s="49">
        <f>'Avg WeeK Iganga-Kaliro'!C85+'Avg Week Kaliro-Iganga'!C85</f>
        <v>1</v>
      </c>
      <c r="D85" s="49">
        <f>'Avg WeeK Iganga-Kaliro'!D85+'Avg Week Kaliro-Iganga'!D85</f>
        <v>1</v>
      </c>
      <c r="E85" s="49">
        <f>'Avg WeeK Iganga-Kaliro'!E85+'Avg Week Kaliro-Iganga'!E85</f>
        <v>0</v>
      </c>
      <c r="F85" s="49">
        <f>'Avg WeeK Iganga-Kaliro'!F85+'Avg Week Kaliro-Iganga'!F85</f>
        <v>0</v>
      </c>
      <c r="G85" s="49">
        <f>'Avg WeeK Iganga-Kaliro'!G85+'Avg Week Kaliro-Iganga'!G85</f>
        <v>0</v>
      </c>
      <c r="H85" s="49">
        <f>'Avg WeeK Iganga-Kaliro'!H85+'Avg Week Kaliro-Iganga'!H85</f>
        <v>0</v>
      </c>
      <c r="I85" s="49">
        <f>'Avg WeeK Iganga-Kaliro'!I85+'Avg Week Kaliro-Iganga'!I85</f>
        <v>1</v>
      </c>
      <c r="J85" s="49">
        <f>'Avg WeeK Iganga-Kaliro'!J85+'Avg Week Kaliro-Iganga'!J85</f>
        <v>0.5</v>
      </c>
      <c r="K85" s="49">
        <f>'Avg WeeK Iganga-Kaliro'!K85+'Avg Week Kaliro-Iganga'!K85</f>
        <v>0.5</v>
      </c>
      <c r="L85" s="49">
        <f>'Avg WeeK Iganga-Kaliro'!L85+'Avg Week Kaliro-Iganga'!L85</f>
        <v>0</v>
      </c>
      <c r="M85" s="49">
        <f>'Avg WeeK Iganga-Kaliro'!M85+'Avg Week Kaliro-Iganga'!M85</f>
        <v>14</v>
      </c>
      <c r="N85" s="49">
        <f>'Avg WeeK Iganga-Kaliro'!N85+'Avg Week Kaliro-Iganga'!N85</f>
        <v>0</v>
      </c>
      <c r="O85" s="15">
        <f t="shared" si="35"/>
        <v>4</v>
      </c>
      <c r="P85" s="15">
        <f t="shared" si="36"/>
        <v>18</v>
      </c>
      <c r="R85" s="8"/>
      <c r="T85"/>
    </row>
    <row r="86" spans="2:20" ht="23.1" customHeight="1" x14ac:dyDescent="0.25">
      <c r="B86" s="24" t="s">
        <v>126</v>
      </c>
      <c r="C86" s="49">
        <f>'Avg WeeK Iganga-Kaliro'!C86+'Avg Week Kaliro-Iganga'!C86</f>
        <v>2.5</v>
      </c>
      <c r="D86" s="49">
        <f>'Avg WeeK Iganga-Kaliro'!D86+'Avg Week Kaliro-Iganga'!D86</f>
        <v>0.5</v>
      </c>
      <c r="E86" s="49">
        <f>'Avg WeeK Iganga-Kaliro'!E86+'Avg Week Kaliro-Iganga'!E86</f>
        <v>0.5</v>
      </c>
      <c r="F86" s="49">
        <f>'Avg WeeK Iganga-Kaliro'!F86+'Avg Week Kaliro-Iganga'!F86</f>
        <v>0.5</v>
      </c>
      <c r="G86" s="49">
        <f>'Avg WeeK Iganga-Kaliro'!G86+'Avg Week Kaliro-Iganga'!G86</f>
        <v>0</v>
      </c>
      <c r="H86" s="49">
        <f>'Avg WeeK Iganga-Kaliro'!H86+'Avg Week Kaliro-Iganga'!H86</f>
        <v>0</v>
      </c>
      <c r="I86" s="49">
        <f>'Avg WeeK Iganga-Kaliro'!I86+'Avg Week Kaliro-Iganga'!I86</f>
        <v>0</v>
      </c>
      <c r="J86" s="49">
        <f>'Avg WeeK Iganga-Kaliro'!J86+'Avg Week Kaliro-Iganga'!J86</f>
        <v>0</v>
      </c>
      <c r="K86" s="49">
        <f>'Avg WeeK Iganga-Kaliro'!K86+'Avg Week Kaliro-Iganga'!K86</f>
        <v>0.5</v>
      </c>
      <c r="L86" s="49">
        <f>'Avg WeeK Iganga-Kaliro'!L86+'Avg Week Kaliro-Iganga'!L86</f>
        <v>5</v>
      </c>
      <c r="M86" s="49">
        <f>'Avg WeeK Iganga-Kaliro'!M86+'Avg Week Kaliro-Iganga'!M86</f>
        <v>10.5</v>
      </c>
      <c r="N86" s="49">
        <f>'Avg WeeK Iganga-Kaliro'!N86+'Avg Week Kaliro-Iganga'!N86</f>
        <v>0</v>
      </c>
      <c r="O86" s="15">
        <f t="shared" si="35"/>
        <v>9.5</v>
      </c>
      <c r="P86" s="15">
        <f t="shared" si="36"/>
        <v>20</v>
      </c>
      <c r="R86" s="8"/>
      <c r="T86"/>
    </row>
    <row r="87" spans="2:20" ht="23.1" customHeight="1" x14ac:dyDescent="0.25">
      <c r="B87" s="23" t="s">
        <v>127</v>
      </c>
      <c r="C87" s="49">
        <f>'Avg WeeK Iganga-Kaliro'!C87+'Avg Week Kaliro-Iganga'!C87</f>
        <v>0.5</v>
      </c>
      <c r="D87" s="49">
        <f>'Avg WeeK Iganga-Kaliro'!D87+'Avg Week Kaliro-Iganga'!D87</f>
        <v>1</v>
      </c>
      <c r="E87" s="49">
        <f>'Avg WeeK Iganga-Kaliro'!E87+'Avg Week Kaliro-Iganga'!E87</f>
        <v>1</v>
      </c>
      <c r="F87" s="49">
        <f>'Avg WeeK Iganga-Kaliro'!F87+'Avg Week Kaliro-Iganga'!F87</f>
        <v>0</v>
      </c>
      <c r="G87" s="49">
        <f>'Avg WeeK Iganga-Kaliro'!G87+'Avg Week Kaliro-Iganga'!G87</f>
        <v>0</v>
      </c>
      <c r="H87" s="49">
        <f>'Avg WeeK Iganga-Kaliro'!H87+'Avg Week Kaliro-Iganga'!H87</f>
        <v>0</v>
      </c>
      <c r="I87" s="49">
        <f>'Avg WeeK Iganga-Kaliro'!I87+'Avg Week Kaliro-Iganga'!I87</f>
        <v>0.5</v>
      </c>
      <c r="J87" s="49">
        <f>'Avg WeeK Iganga-Kaliro'!J87+'Avg Week Kaliro-Iganga'!J87</f>
        <v>0</v>
      </c>
      <c r="K87" s="49">
        <f>'Avg WeeK Iganga-Kaliro'!K87+'Avg Week Kaliro-Iganga'!K87</f>
        <v>0</v>
      </c>
      <c r="L87" s="49">
        <f>'Avg WeeK Iganga-Kaliro'!L87+'Avg Week Kaliro-Iganga'!L87</f>
        <v>0</v>
      </c>
      <c r="M87" s="49">
        <f>'Avg WeeK Iganga-Kaliro'!M87+'Avg Week Kaliro-Iganga'!M87</f>
        <v>11</v>
      </c>
      <c r="N87" s="49">
        <f>'Avg WeeK Iganga-Kaliro'!N87+'Avg Week Kaliro-Iganga'!N87</f>
        <v>0</v>
      </c>
      <c r="O87" s="15">
        <f t="shared" si="35"/>
        <v>3</v>
      </c>
      <c r="P87" s="15">
        <f t="shared" si="36"/>
        <v>14</v>
      </c>
      <c r="R87" s="8"/>
      <c r="T87"/>
    </row>
    <row r="88" spans="2:20" ht="23.1" customHeight="1" x14ac:dyDescent="0.25">
      <c r="B88" s="25" t="s">
        <v>128</v>
      </c>
      <c r="C88" s="49">
        <f>'Avg WeeK Iganga-Kaliro'!C88+'Avg Week Kaliro-Iganga'!C88</f>
        <v>1.5</v>
      </c>
      <c r="D88" s="49">
        <f>'Avg WeeK Iganga-Kaliro'!D88+'Avg Week Kaliro-Iganga'!D88</f>
        <v>0</v>
      </c>
      <c r="E88" s="49">
        <f>'Avg WeeK Iganga-Kaliro'!E88+'Avg Week Kaliro-Iganga'!E88</f>
        <v>0.5</v>
      </c>
      <c r="F88" s="49">
        <f>'Avg WeeK Iganga-Kaliro'!F88+'Avg Week Kaliro-Iganga'!F88</f>
        <v>1</v>
      </c>
      <c r="G88" s="49">
        <f>'Avg WeeK Iganga-Kaliro'!G88+'Avg Week Kaliro-Iganga'!G88</f>
        <v>0</v>
      </c>
      <c r="H88" s="49">
        <f>'Avg WeeK Iganga-Kaliro'!H88+'Avg Week Kaliro-Iganga'!H88</f>
        <v>0</v>
      </c>
      <c r="I88" s="49">
        <f>'Avg WeeK Iganga-Kaliro'!I88+'Avg Week Kaliro-Iganga'!I88</f>
        <v>1</v>
      </c>
      <c r="J88" s="49">
        <f>'Avg WeeK Iganga-Kaliro'!J88+'Avg Week Kaliro-Iganga'!J88</f>
        <v>0</v>
      </c>
      <c r="K88" s="49">
        <f>'Avg WeeK Iganga-Kaliro'!K88+'Avg Week Kaliro-Iganga'!K88</f>
        <v>0</v>
      </c>
      <c r="L88" s="49">
        <f>'Avg WeeK Iganga-Kaliro'!L88+'Avg Week Kaliro-Iganga'!L88</f>
        <v>0</v>
      </c>
      <c r="M88" s="49">
        <f>'Avg WeeK Iganga-Kaliro'!M88+'Avg Week Kaliro-Iganga'!M88</f>
        <v>6</v>
      </c>
      <c r="N88" s="49">
        <f>'Avg WeeK Iganga-Kaliro'!N88+'Avg Week Kaliro-Iganga'!N88</f>
        <v>0</v>
      </c>
      <c r="O88" s="15">
        <f t="shared" si="35"/>
        <v>4</v>
      </c>
      <c r="P88" s="15">
        <f t="shared" si="36"/>
        <v>10</v>
      </c>
      <c r="R88" s="8"/>
      <c r="T88"/>
    </row>
    <row r="89" spans="2:20" ht="23.1" customHeight="1" x14ac:dyDescent="0.25">
      <c r="B89" s="23" t="s">
        <v>129</v>
      </c>
      <c r="C89" s="49">
        <f>'Avg WeeK Iganga-Kaliro'!C89+'Avg Week Kaliro-Iganga'!C89</f>
        <v>1</v>
      </c>
      <c r="D89" s="49">
        <f>'Avg WeeK Iganga-Kaliro'!D89+'Avg Week Kaliro-Iganga'!D89</f>
        <v>0.5</v>
      </c>
      <c r="E89" s="49">
        <f>'Avg WeeK Iganga-Kaliro'!E89+'Avg Week Kaliro-Iganga'!E89</f>
        <v>1</v>
      </c>
      <c r="F89" s="49">
        <f>'Avg WeeK Iganga-Kaliro'!F89+'Avg Week Kaliro-Iganga'!F89</f>
        <v>0</v>
      </c>
      <c r="G89" s="49">
        <f>'Avg WeeK Iganga-Kaliro'!G89+'Avg Week Kaliro-Iganga'!G89</f>
        <v>0</v>
      </c>
      <c r="H89" s="49">
        <f>'Avg WeeK Iganga-Kaliro'!H89+'Avg Week Kaliro-Iganga'!H89</f>
        <v>0</v>
      </c>
      <c r="I89" s="49">
        <f>'Avg WeeK Iganga-Kaliro'!I89+'Avg Week Kaliro-Iganga'!I89</f>
        <v>1</v>
      </c>
      <c r="J89" s="49">
        <f>'Avg WeeK Iganga-Kaliro'!J89+'Avg Week Kaliro-Iganga'!J89</f>
        <v>0</v>
      </c>
      <c r="K89" s="49">
        <f>'Avg WeeK Iganga-Kaliro'!K89+'Avg Week Kaliro-Iganga'!K89</f>
        <v>0</v>
      </c>
      <c r="L89" s="49">
        <f>'Avg WeeK Iganga-Kaliro'!L89+'Avg Week Kaliro-Iganga'!L89</f>
        <v>0.5</v>
      </c>
      <c r="M89" s="49">
        <f>'Avg WeeK Iganga-Kaliro'!M89+'Avg Week Kaliro-Iganga'!M89</f>
        <v>6</v>
      </c>
      <c r="N89" s="49">
        <f>'Avg WeeK Iganga-Kaliro'!N89+'Avg Week Kaliro-Iganga'!N89</f>
        <v>0</v>
      </c>
      <c r="O89" s="15">
        <f t="shared" si="35"/>
        <v>4</v>
      </c>
      <c r="P89" s="15">
        <f t="shared" si="36"/>
        <v>10</v>
      </c>
      <c r="R89" s="8"/>
      <c r="T89"/>
    </row>
    <row r="90" spans="2:20" ht="23.1" customHeight="1" x14ac:dyDescent="0.25">
      <c r="B90" s="24" t="s">
        <v>130</v>
      </c>
      <c r="C90" s="49">
        <f>'Avg WeeK Iganga-Kaliro'!C90+'Avg Week Kaliro-Iganga'!C90</f>
        <v>0.5</v>
      </c>
      <c r="D90" s="49">
        <f>'Avg WeeK Iganga-Kaliro'!D90+'Avg Week Kaliro-Iganga'!D90</f>
        <v>2</v>
      </c>
      <c r="E90" s="49">
        <f>'Avg WeeK Iganga-Kaliro'!E90+'Avg Week Kaliro-Iganga'!E90</f>
        <v>0</v>
      </c>
      <c r="F90" s="49">
        <f>'Avg WeeK Iganga-Kaliro'!F90+'Avg Week Kaliro-Iganga'!F90</f>
        <v>0</v>
      </c>
      <c r="G90" s="49">
        <f>'Avg WeeK Iganga-Kaliro'!G90+'Avg Week Kaliro-Iganga'!G90</f>
        <v>0</v>
      </c>
      <c r="H90" s="49">
        <f>'Avg WeeK Iganga-Kaliro'!H90+'Avg Week Kaliro-Iganga'!H90</f>
        <v>0</v>
      </c>
      <c r="I90" s="49">
        <f>'Avg WeeK Iganga-Kaliro'!I90+'Avg Week Kaliro-Iganga'!I90</f>
        <v>0</v>
      </c>
      <c r="J90" s="49">
        <f>'Avg WeeK Iganga-Kaliro'!J90+'Avg Week Kaliro-Iganga'!J90</f>
        <v>1.5</v>
      </c>
      <c r="K90" s="49">
        <f>'Avg WeeK Iganga-Kaliro'!K90+'Avg Week Kaliro-Iganga'!K90</f>
        <v>0</v>
      </c>
      <c r="L90" s="49">
        <f>'Avg WeeK Iganga-Kaliro'!L90+'Avg Week Kaliro-Iganga'!L90</f>
        <v>0</v>
      </c>
      <c r="M90" s="49">
        <f>'Avg WeeK Iganga-Kaliro'!M90+'Avg Week Kaliro-Iganga'!M90</f>
        <v>6</v>
      </c>
      <c r="N90" s="49">
        <f>'Avg WeeK Iganga-Kaliro'!N90+'Avg Week Kaliro-Iganga'!N90</f>
        <v>0</v>
      </c>
      <c r="O90" s="15">
        <f t="shared" si="35"/>
        <v>4</v>
      </c>
      <c r="P90" s="15">
        <f t="shared" si="36"/>
        <v>10</v>
      </c>
      <c r="R90" s="8"/>
      <c r="T90"/>
    </row>
    <row r="91" spans="2:20" ht="23.1" customHeight="1" x14ac:dyDescent="0.25">
      <c r="B91" s="23" t="s">
        <v>131</v>
      </c>
      <c r="C91" s="49">
        <f>'Avg WeeK Iganga-Kaliro'!C91+'Avg Week Kaliro-Iganga'!C91</f>
        <v>0.5</v>
      </c>
      <c r="D91" s="49">
        <f>'Avg WeeK Iganga-Kaliro'!D91+'Avg Week Kaliro-Iganga'!D91</f>
        <v>0.5</v>
      </c>
      <c r="E91" s="49">
        <f>'Avg WeeK Iganga-Kaliro'!E91+'Avg Week Kaliro-Iganga'!E91</f>
        <v>0</v>
      </c>
      <c r="F91" s="49">
        <f>'Avg WeeK Iganga-Kaliro'!F91+'Avg Week Kaliro-Iganga'!F91</f>
        <v>0</v>
      </c>
      <c r="G91" s="49">
        <f>'Avg WeeK Iganga-Kaliro'!G91+'Avg Week Kaliro-Iganga'!G91</f>
        <v>0</v>
      </c>
      <c r="H91" s="49">
        <f>'Avg WeeK Iganga-Kaliro'!H91+'Avg Week Kaliro-Iganga'!H91</f>
        <v>0</v>
      </c>
      <c r="I91" s="49">
        <f>'Avg WeeK Iganga-Kaliro'!I91+'Avg Week Kaliro-Iganga'!I91</f>
        <v>2</v>
      </c>
      <c r="J91" s="49">
        <f>'Avg WeeK Iganga-Kaliro'!J91+'Avg Week Kaliro-Iganga'!J91</f>
        <v>1</v>
      </c>
      <c r="K91" s="49">
        <f>'Avg WeeK Iganga-Kaliro'!K91+'Avg Week Kaliro-Iganga'!K91</f>
        <v>0</v>
      </c>
      <c r="L91" s="49">
        <f>'Avg WeeK Iganga-Kaliro'!L91+'Avg Week Kaliro-Iganga'!L91</f>
        <v>0</v>
      </c>
      <c r="M91" s="49">
        <f>'Avg WeeK Iganga-Kaliro'!M91+'Avg Week Kaliro-Iganga'!M91</f>
        <v>6</v>
      </c>
      <c r="N91" s="49">
        <f>'Avg WeeK Iganga-Kaliro'!N91+'Avg Week Kaliro-Iganga'!N91</f>
        <v>0</v>
      </c>
      <c r="O91" s="15">
        <f t="shared" si="35"/>
        <v>4</v>
      </c>
      <c r="P91" s="15">
        <f t="shared" si="36"/>
        <v>10</v>
      </c>
      <c r="R91" s="8"/>
      <c r="T91"/>
    </row>
    <row r="92" spans="2:20" ht="23.1" customHeight="1" x14ac:dyDescent="0.25">
      <c r="B92" s="25" t="s">
        <v>132</v>
      </c>
      <c r="C92" s="49">
        <f>'Avg WeeK Iganga-Kaliro'!C92+'Avg Week Kaliro-Iganga'!C92</f>
        <v>0.5</v>
      </c>
      <c r="D92" s="49">
        <f>'Avg WeeK Iganga-Kaliro'!D92+'Avg Week Kaliro-Iganga'!D92</f>
        <v>0</v>
      </c>
      <c r="E92" s="49">
        <f>'Avg WeeK Iganga-Kaliro'!E92+'Avg Week Kaliro-Iganga'!E92</f>
        <v>2</v>
      </c>
      <c r="F92" s="49">
        <f>'Avg WeeK Iganga-Kaliro'!F92+'Avg Week Kaliro-Iganga'!F92</f>
        <v>0</v>
      </c>
      <c r="G92" s="49">
        <f>'Avg WeeK Iganga-Kaliro'!G92+'Avg Week Kaliro-Iganga'!G92</f>
        <v>0</v>
      </c>
      <c r="H92" s="49">
        <f>'Avg WeeK Iganga-Kaliro'!H92+'Avg Week Kaliro-Iganga'!H92</f>
        <v>0</v>
      </c>
      <c r="I92" s="49">
        <f>'Avg WeeK Iganga-Kaliro'!I92+'Avg Week Kaliro-Iganga'!I92</f>
        <v>0</v>
      </c>
      <c r="J92" s="49">
        <f>'Avg WeeK Iganga-Kaliro'!J92+'Avg Week Kaliro-Iganga'!J92</f>
        <v>1</v>
      </c>
      <c r="K92" s="49">
        <f>'Avg WeeK Iganga-Kaliro'!K92+'Avg Week Kaliro-Iganga'!K92</f>
        <v>0</v>
      </c>
      <c r="L92" s="49">
        <f>'Avg WeeK Iganga-Kaliro'!L92+'Avg Week Kaliro-Iganga'!L92</f>
        <v>0</v>
      </c>
      <c r="M92" s="49">
        <f>'Avg WeeK Iganga-Kaliro'!M92+'Avg Week Kaliro-Iganga'!M92</f>
        <v>3</v>
      </c>
      <c r="N92" s="49">
        <f>'Avg WeeK Iganga-Kaliro'!N92+'Avg Week Kaliro-Iganga'!N92</f>
        <v>0</v>
      </c>
      <c r="O92" s="15">
        <f t="shared" si="35"/>
        <v>3.5</v>
      </c>
      <c r="P92" s="15">
        <f t="shared" si="36"/>
        <v>6.5</v>
      </c>
      <c r="R92" s="8"/>
      <c r="T92"/>
    </row>
    <row r="93" spans="2:20" ht="23.1" customHeight="1" x14ac:dyDescent="0.25">
      <c r="B93" s="23" t="s">
        <v>133</v>
      </c>
      <c r="C93" s="49">
        <f>'Avg WeeK Iganga-Kaliro'!C93+'Avg Week Kaliro-Iganga'!C93</f>
        <v>1</v>
      </c>
      <c r="D93" s="49">
        <f>'Avg WeeK Iganga-Kaliro'!D93+'Avg Week Kaliro-Iganga'!D93</f>
        <v>2</v>
      </c>
      <c r="E93" s="49">
        <f>'Avg WeeK Iganga-Kaliro'!E93+'Avg Week Kaliro-Iganga'!E93</f>
        <v>0</v>
      </c>
      <c r="F93" s="49">
        <f>'Avg WeeK Iganga-Kaliro'!F93+'Avg Week Kaliro-Iganga'!F93</f>
        <v>2</v>
      </c>
      <c r="G93" s="49">
        <f>'Avg WeeK Iganga-Kaliro'!G93+'Avg Week Kaliro-Iganga'!G93</f>
        <v>0</v>
      </c>
      <c r="H93" s="49">
        <f>'Avg WeeK Iganga-Kaliro'!H93+'Avg Week Kaliro-Iganga'!H93</f>
        <v>0</v>
      </c>
      <c r="I93" s="49">
        <f>'Avg WeeK Iganga-Kaliro'!I93+'Avg Week Kaliro-Iganga'!I93</f>
        <v>1</v>
      </c>
      <c r="J93" s="49">
        <f>'Avg WeeK Iganga-Kaliro'!J93+'Avg Week Kaliro-Iganga'!J93</f>
        <v>0</v>
      </c>
      <c r="K93" s="49">
        <f>'Avg WeeK Iganga-Kaliro'!K93+'Avg Week Kaliro-Iganga'!K93</f>
        <v>0</v>
      </c>
      <c r="L93" s="49">
        <f>'Avg WeeK Iganga-Kaliro'!L93+'Avg Week Kaliro-Iganga'!L93</f>
        <v>0</v>
      </c>
      <c r="M93" s="49">
        <f>'Avg WeeK Iganga-Kaliro'!M93+'Avg Week Kaliro-Iganga'!M93</f>
        <v>2.5</v>
      </c>
      <c r="N93" s="49">
        <f>'Avg WeeK Iganga-Kaliro'!N93+'Avg Week Kaliro-Iganga'!N93</f>
        <v>0</v>
      </c>
      <c r="O93" s="15">
        <f t="shared" si="35"/>
        <v>6</v>
      </c>
      <c r="P93" s="15">
        <f t="shared" si="36"/>
        <v>8.5</v>
      </c>
      <c r="R93" s="8"/>
      <c r="T93"/>
    </row>
    <row r="94" spans="2:20" ht="23.1" customHeight="1" x14ac:dyDescent="0.25">
      <c r="B94" s="24" t="s">
        <v>134</v>
      </c>
      <c r="C94" s="49">
        <f>'Avg WeeK Iganga-Kaliro'!C94+'Avg Week Kaliro-Iganga'!C94</f>
        <v>0.5</v>
      </c>
      <c r="D94" s="49">
        <f>'Avg WeeK Iganga-Kaliro'!D94+'Avg Week Kaliro-Iganga'!D94</f>
        <v>0.5</v>
      </c>
      <c r="E94" s="49">
        <f>'Avg WeeK Iganga-Kaliro'!E94+'Avg Week Kaliro-Iganga'!E94</f>
        <v>1</v>
      </c>
      <c r="F94" s="49">
        <f>'Avg WeeK Iganga-Kaliro'!F94+'Avg Week Kaliro-Iganga'!F94</f>
        <v>0.5</v>
      </c>
      <c r="G94" s="49">
        <f>'Avg WeeK Iganga-Kaliro'!G94+'Avg Week Kaliro-Iganga'!G94</f>
        <v>0</v>
      </c>
      <c r="H94" s="49">
        <f>'Avg WeeK Iganga-Kaliro'!H94+'Avg Week Kaliro-Iganga'!H94</f>
        <v>0</v>
      </c>
      <c r="I94" s="49">
        <f>'Avg WeeK Iganga-Kaliro'!I94+'Avg Week Kaliro-Iganga'!I94</f>
        <v>0.5</v>
      </c>
      <c r="J94" s="49">
        <f>'Avg WeeK Iganga-Kaliro'!J94+'Avg Week Kaliro-Iganga'!J94</f>
        <v>1</v>
      </c>
      <c r="K94" s="49">
        <f>'Avg WeeK Iganga-Kaliro'!K94+'Avg Week Kaliro-Iganga'!K94</f>
        <v>0</v>
      </c>
      <c r="L94" s="49">
        <f>'Avg WeeK Iganga-Kaliro'!L94+'Avg Week Kaliro-Iganga'!L94</f>
        <v>0</v>
      </c>
      <c r="M94" s="49">
        <f>'Avg WeeK Iganga-Kaliro'!M94+'Avg Week Kaliro-Iganga'!M94</f>
        <v>1</v>
      </c>
      <c r="N94" s="49">
        <f>'Avg WeeK Iganga-Kaliro'!N94+'Avg Week Kaliro-Iganga'!N94</f>
        <v>0</v>
      </c>
      <c r="O94" s="15">
        <f t="shared" si="35"/>
        <v>4</v>
      </c>
      <c r="P94" s="15">
        <f t="shared" si="36"/>
        <v>5</v>
      </c>
      <c r="R94" s="8"/>
      <c r="T94"/>
    </row>
    <row r="95" spans="2:20" ht="23.1" customHeight="1" x14ac:dyDescent="0.25">
      <c r="B95" s="23" t="s">
        <v>135</v>
      </c>
      <c r="C95" s="49">
        <f>'Avg WeeK Iganga-Kaliro'!C95+'Avg Week Kaliro-Iganga'!C95</f>
        <v>0</v>
      </c>
      <c r="D95" s="49">
        <f>'Avg WeeK Iganga-Kaliro'!D95+'Avg Week Kaliro-Iganga'!D95</f>
        <v>0</v>
      </c>
      <c r="E95" s="49">
        <f>'Avg WeeK Iganga-Kaliro'!E95+'Avg Week Kaliro-Iganga'!E95</f>
        <v>1.5</v>
      </c>
      <c r="F95" s="49">
        <f>'Avg WeeK Iganga-Kaliro'!F95+'Avg Week Kaliro-Iganga'!F95</f>
        <v>0.5</v>
      </c>
      <c r="G95" s="49">
        <f>'Avg WeeK Iganga-Kaliro'!G95+'Avg Week Kaliro-Iganga'!G95</f>
        <v>0</v>
      </c>
      <c r="H95" s="49">
        <f>'Avg WeeK Iganga-Kaliro'!H95+'Avg Week Kaliro-Iganga'!H95</f>
        <v>0.5</v>
      </c>
      <c r="I95" s="49">
        <f>'Avg WeeK Iganga-Kaliro'!I95+'Avg Week Kaliro-Iganga'!I95</f>
        <v>1</v>
      </c>
      <c r="J95" s="49">
        <f>'Avg WeeK Iganga-Kaliro'!J95+'Avg Week Kaliro-Iganga'!J95</f>
        <v>0.5</v>
      </c>
      <c r="K95" s="49">
        <f>'Avg WeeK Iganga-Kaliro'!K95+'Avg Week Kaliro-Iganga'!K95</f>
        <v>0.5</v>
      </c>
      <c r="L95" s="49">
        <f>'Avg WeeK Iganga-Kaliro'!L95+'Avg Week Kaliro-Iganga'!L95</f>
        <v>0</v>
      </c>
      <c r="M95" s="49">
        <f>'Avg WeeK Iganga-Kaliro'!M95+'Avg Week Kaliro-Iganga'!M95</f>
        <v>0</v>
      </c>
      <c r="N95" s="49">
        <f>'Avg WeeK Iganga-Kaliro'!N95+'Avg Week Kaliro-Iganga'!N95</f>
        <v>0</v>
      </c>
      <c r="O95" s="15">
        <f t="shared" si="35"/>
        <v>4.5</v>
      </c>
      <c r="P95" s="15">
        <f t="shared" si="36"/>
        <v>4.5</v>
      </c>
      <c r="R95" s="8"/>
      <c r="T95"/>
    </row>
    <row r="96" spans="2:20" ht="23.1" customHeight="1" x14ac:dyDescent="0.25">
      <c r="B96" s="25" t="s">
        <v>136</v>
      </c>
      <c r="C96" s="49">
        <f>'Avg WeeK Iganga-Kaliro'!C96+'Avg Week Kaliro-Iganga'!C96</f>
        <v>0.5</v>
      </c>
      <c r="D96" s="49">
        <f>'Avg WeeK Iganga-Kaliro'!D96+'Avg Week Kaliro-Iganga'!D96</f>
        <v>0.5</v>
      </c>
      <c r="E96" s="49">
        <f>'Avg WeeK Iganga-Kaliro'!E96+'Avg Week Kaliro-Iganga'!E96</f>
        <v>1</v>
      </c>
      <c r="F96" s="49">
        <f>'Avg WeeK Iganga-Kaliro'!F96+'Avg Week Kaliro-Iganga'!F96</f>
        <v>2.5</v>
      </c>
      <c r="G96" s="49">
        <f>'Avg WeeK Iganga-Kaliro'!G96+'Avg Week Kaliro-Iganga'!G96</f>
        <v>0</v>
      </c>
      <c r="H96" s="49">
        <f>'Avg WeeK Iganga-Kaliro'!H96+'Avg Week Kaliro-Iganga'!H96</f>
        <v>0</v>
      </c>
      <c r="I96" s="49">
        <f>'Avg WeeK Iganga-Kaliro'!I96+'Avg Week Kaliro-Iganga'!I96</f>
        <v>0.5</v>
      </c>
      <c r="J96" s="49">
        <f>'Avg WeeK Iganga-Kaliro'!J96+'Avg Week Kaliro-Iganga'!J96</f>
        <v>1</v>
      </c>
      <c r="K96" s="49">
        <f>'Avg WeeK Iganga-Kaliro'!K96+'Avg Week Kaliro-Iganga'!K96</f>
        <v>0</v>
      </c>
      <c r="L96" s="49">
        <f>'Avg WeeK Iganga-Kaliro'!L96+'Avg Week Kaliro-Iganga'!L96</f>
        <v>0</v>
      </c>
      <c r="M96" s="49">
        <f>'Avg WeeK Iganga-Kaliro'!M96+'Avg Week Kaliro-Iganga'!M96</f>
        <v>1</v>
      </c>
      <c r="N96" s="49">
        <f>'Avg WeeK Iganga-Kaliro'!N96+'Avg Week Kaliro-Iganga'!N96</f>
        <v>0</v>
      </c>
      <c r="O96" s="15">
        <f t="shared" si="35"/>
        <v>6</v>
      </c>
      <c r="P96" s="15">
        <f t="shared" si="36"/>
        <v>7</v>
      </c>
      <c r="R96" s="8"/>
      <c r="T96"/>
    </row>
    <row r="97" spans="2:20" ht="23.1" customHeight="1" x14ac:dyDescent="0.25">
      <c r="B97" s="23" t="s">
        <v>137</v>
      </c>
      <c r="C97" s="49">
        <f>'Avg WeeK Iganga-Kaliro'!C97+'Avg Week Kaliro-Iganga'!C97</f>
        <v>2.5</v>
      </c>
      <c r="D97" s="49">
        <f>'Avg WeeK Iganga-Kaliro'!D97+'Avg Week Kaliro-Iganga'!D97</f>
        <v>0.5</v>
      </c>
      <c r="E97" s="49">
        <f>'Avg WeeK Iganga-Kaliro'!E97+'Avg Week Kaliro-Iganga'!E97</f>
        <v>0.5</v>
      </c>
      <c r="F97" s="49">
        <f>'Avg WeeK Iganga-Kaliro'!F97+'Avg Week Kaliro-Iganga'!F97</f>
        <v>0.5</v>
      </c>
      <c r="G97" s="49">
        <f>'Avg WeeK Iganga-Kaliro'!G97+'Avg Week Kaliro-Iganga'!G97</f>
        <v>0</v>
      </c>
      <c r="H97" s="49">
        <f>'Avg WeeK Iganga-Kaliro'!H97+'Avg Week Kaliro-Iganga'!H97</f>
        <v>0.5</v>
      </c>
      <c r="I97" s="49">
        <f>'Avg WeeK Iganga-Kaliro'!I97+'Avg Week Kaliro-Iganga'!I97</f>
        <v>0</v>
      </c>
      <c r="J97" s="49">
        <f>'Avg WeeK Iganga-Kaliro'!J97+'Avg Week Kaliro-Iganga'!J97</f>
        <v>0</v>
      </c>
      <c r="K97" s="49">
        <f>'Avg WeeK Iganga-Kaliro'!K97+'Avg Week Kaliro-Iganga'!K97</f>
        <v>0</v>
      </c>
      <c r="L97" s="49">
        <f>'Avg WeeK Iganga-Kaliro'!L97+'Avg Week Kaliro-Iganga'!L97</f>
        <v>0.5</v>
      </c>
      <c r="M97" s="49">
        <f>'Avg WeeK Iganga-Kaliro'!M97+'Avg Week Kaliro-Iganga'!M97</f>
        <v>1.5</v>
      </c>
      <c r="N97" s="49">
        <f>'Avg WeeK Iganga-Kaliro'!N97+'Avg Week Kaliro-Iganga'!N97</f>
        <v>0</v>
      </c>
      <c r="O97" s="15">
        <f t="shared" si="35"/>
        <v>5</v>
      </c>
      <c r="P97" s="15">
        <f t="shared" si="36"/>
        <v>6.5</v>
      </c>
      <c r="R97" s="8"/>
      <c r="T97"/>
    </row>
    <row r="98" spans="2:20" ht="23.1" customHeight="1" x14ac:dyDescent="0.25">
      <c r="B98" s="24" t="s">
        <v>138</v>
      </c>
      <c r="C98" s="49">
        <f>'Avg WeeK Iganga-Kaliro'!C98+'Avg Week Kaliro-Iganga'!C98</f>
        <v>1</v>
      </c>
      <c r="D98" s="49">
        <f>'Avg WeeK Iganga-Kaliro'!D98+'Avg Week Kaliro-Iganga'!D98</f>
        <v>0.5</v>
      </c>
      <c r="E98" s="49">
        <f>'Avg WeeK Iganga-Kaliro'!E98+'Avg Week Kaliro-Iganga'!E98</f>
        <v>2.5</v>
      </c>
      <c r="F98" s="49">
        <f>'Avg WeeK Iganga-Kaliro'!F98+'Avg Week Kaliro-Iganga'!F98</f>
        <v>2</v>
      </c>
      <c r="G98" s="49">
        <f>'Avg WeeK Iganga-Kaliro'!G98+'Avg Week Kaliro-Iganga'!G98</f>
        <v>0</v>
      </c>
      <c r="H98" s="49">
        <f>'Avg WeeK Iganga-Kaliro'!H98+'Avg Week Kaliro-Iganga'!H98</f>
        <v>0</v>
      </c>
      <c r="I98" s="49">
        <f>'Avg WeeK Iganga-Kaliro'!I98+'Avg Week Kaliro-Iganga'!I98</f>
        <v>2</v>
      </c>
      <c r="J98" s="49">
        <f>'Avg WeeK Iganga-Kaliro'!J98+'Avg Week Kaliro-Iganga'!J98</f>
        <v>0.5</v>
      </c>
      <c r="K98" s="49">
        <f>'Avg WeeK Iganga-Kaliro'!K98+'Avg Week Kaliro-Iganga'!K98</f>
        <v>0</v>
      </c>
      <c r="L98" s="49">
        <f>'Avg WeeK Iganga-Kaliro'!L98+'Avg Week Kaliro-Iganga'!L98</f>
        <v>0</v>
      </c>
      <c r="M98" s="49">
        <f>'Avg WeeK Iganga-Kaliro'!M98+'Avg Week Kaliro-Iganga'!M98</f>
        <v>5</v>
      </c>
      <c r="N98" s="49">
        <f>'Avg WeeK Iganga-Kaliro'!N98+'Avg Week Kaliro-Iganga'!N98</f>
        <v>0</v>
      </c>
      <c r="O98" s="15">
        <f t="shared" si="35"/>
        <v>8.5</v>
      </c>
      <c r="P98" s="15">
        <f t="shared" si="36"/>
        <v>13.5</v>
      </c>
      <c r="R98" s="8"/>
      <c r="T98"/>
    </row>
    <row r="99" spans="2:20" ht="23.1" customHeight="1" x14ac:dyDescent="0.25">
      <c r="B99" s="23" t="s">
        <v>139</v>
      </c>
      <c r="C99" s="49">
        <f>'Avg WeeK Iganga-Kaliro'!C99+'Avg Week Kaliro-Iganga'!C99</f>
        <v>1</v>
      </c>
      <c r="D99" s="49">
        <f>'Avg WeeK Iganga-Kaliro'!D99+'Avg Week Kaliro-Iganga'!D99</f>
        <v>0.5</v>
      </c>
      <c r="E99" s="49">
        <f>'Avg WeeK Iganga-Kaliro'!E99+'Avg Week Kaliro-Iganga'!E99</f>
        <v>0</v>
      </c>
      <c r="F99" s="49">
        <f>'Avg WeeK Iganga-Kaliro'!F99+'Avg Week Kaliro-Iganga'!F99</f>
        <v>1</v>
      </c>
      <c r="G99" s="49">
        <f>'Avg WeeK Iganga-Kaliro'!G99+'Avg Week Kaliro-Iganga'!G99</f>
        <v>0</v>
      </c>
      <c r="H99" s="49">
        <f>'Avg WeeK Iganga-Kaliro'!H99+'Avg Week Kaliro-Iganga'!H99</f>
        <v>0</v>
      </c>
      <c r="I99" s="49">
        <f>'Avg WeeK Iganga-Kaliro'!I99+'Avg Week Kaliro-Iganga'!I99</f>
        <v>3</v>
      </c>
      <c r="J99" s="49">
        <f>'Avg WeeK Iganga-Kaliro'!J99+'Avg Week Kaliro-Iganga'!J99</f>
        <v>0</v>
      </c>
      <c r="K99" s="49">
        <f>'Avg WeeK Iganga-Kaliro'!K99+'Avg Week Kaliro-Iganga'!K99</f>
        <v>0</v>
      </c>
      <c r="L99" s="49">
        <f>'Avg WeeK Iganga-Kaliro'!L99+'Avg Week Kaliro-Iganga'!L99</f>
        <v>0</v>
      </c>
      <c r="M99" s="49">
        <f>'Avg WeeK Iganga-Kaliro'!M99+'Avg Week Kaliro-Iganga'!M99</f>
        <v>5</v>
      </c>
      <c r="N99" s="49">
        <f>'Avg WeeK Iganga-Kaliro'!N99+'Avg Week Kaliro-Iganga'!N99</f>
        <v>0</v>
      </c>
      <c r="O99" s="15">
        <f t="shared" si="35"/>
        <v>5.5</v>
      </c>
      <c r="P99" s="15">
        <f t="shared" si="36"/>
        <v>10.5</v>
      </c>
      <c r="R99" s="8"/>
      <c r="T99"/>
    </row>
    <row r="100" spans="2:20" ht="23.1" customHeight="1" x14ac:dyDescent="0.25">
      <c r="B100" s="25" t="s">
        <v>140</v>
      </c>
      <c r="C100" s="49">
        <f>'Avg WeeK Iganga-Kaliro'!C100+'Avg Week Kaliro-Iganga'!C100</f>
        <v>0</v>
      </c>
      <c r="D100" s="49">
        <f>'Avg WeeK Iganga-Kaliro'!D100+'Avg Week Kaliro-Iganga'!D100</f>
        <v>1.5</v>
      </c>
      <c r="E100" s="49">
        <f>'Avg WeeK Iganga-Kaliro'!E100+'Avg Week Kaliro-Iganga'!E100</f>
        <v>0.5</v>
      </c>
      <c r="F100" s="49">
        <f>'Avg WeeK Iganga-Kaliro'!F100+'Avg Week Kaliro-Iganga'!F100</f>
        <v>2.5</v>
      </c>
      <c r="G100" s="49">
        <f>'Avg WeeK Iganga-Kaliro'!G100+'Avg Week Kaliro-Iganga'!G100</f>
        <v>0.5</v>
      </c>
      <c r="H100" s="49">
        <f>'Avg WeeK Iganga-Kaliro'!H100+'Avg Week Kaliro-Iganga'!H100</f>
        <v>0</v>
      </c>
      <c r="I100" s="49">
        <f>'Avg WeeK Iganga-Kaliro'!I100+'Avg Week Kaliro-Iganga'!I100</f>
        <v>0</v>
      </c>
      <c r="J100" s="49">
        <f>'Avg WeeK Iganga-Kaliro'!J100+'Avg Week Kaliro-Iganga'!J100</f>
        <v>2.5</v>
      </c>
      <c r="K100" s="49">
        <f>'Avg WeeK Iganga-Kaliro'!K100+'Avg Week Kaliro-Iganga'!K100</f>
        <v>1</v>
      </c>
      <c r="L100" s="49">
        <f>'Avg WeeK Iganga-Kaliro'!L100+'Avg Week Kaliro-Iganga'!L100</f>
        <v>0</v>
      </c>
      <c r="M100" s="49">
        <f>'Avg WeeK Iganga-Kaliro'!M100+'Avg Week Kaliro-Iganga'!M100</f>
        <v>2.5</v>
      </c>
      <c r="N100" s="49">
        <f>'Avg WeeK Iganga-Kaliro'!N100+'Avg Week Kaliro-Iganga'!N100</f>
        <v>0</v>
      </c>
      <c r="O100" s="15">
        <f t="shared" si="35"/>
        <v>8.5</v>
      </c>
      <c r="P100" s="15">
        <f t="shared" si="36"/>
        <v>11</v>
      </c>
      <c r="R100" s="8"/>
      <c r="T100"/>
    </row>
    <row r="101" spans="2:20" ht="23.1" customHeight="1" x14ac:dyDescent="0.25">
      <c r="B101" s="23" t="s">
        <v>141</v>
      </c>
      <c r="C101" s="49">
        <f>'Avg WeeK Iganga-Kaliro'!C101+'Avg Week Kaliro-Iganga'!C101</f>
        <v>2.5</v>
      </c>
      <c r="D101" s="49">
        <f>'Avg WeeK Iganga-Kaliro'!D101+'Avg Week Kaliro-Iganga'!D101</f>
        <v>2</v>
      </c>
      <c r="E101" s="49">
        <f>'Avg WeeK Iganga-Kaliro'!E101+'Avg Week Kaliro-Iganga'!E101</f>
        <v>1.5</v>
      </c>
      <c r="F101" s="49">
        <f>'Avg WeeK Iganga-Kaliro'!F101+'Avg Week Kaliro-Iganga'!F101</f>
        <v>1.5</v>
      </c>
      <c r="G101" s="49">
        <f>'Avg WeeK Iganga-Kaliro'!G101+'Avg Week Kaliro-Iganga'!G101</f>
        <v>0</v>
      </c>
      <c r="H101" s="49">
        <f>'Avg WeeK Iganga-Kaliro'!H101+'Avg Week Kaliro-Iganga'!H101</f>
        <v>0</v>
      </c>
      <c r="I101" s="49">
        <f>'Avg WeeK Iganga-Kaliro'!I101+'Avg Week Kaliro-Iganga'!I101</f>
        <v>0</v>
      </c>
      <c r="J101" s="49">
        <f>'Avg WeeK Iganga-Kaliro'!J101+'Avg Week Kaliro-Iganga'!J101</f>
        <v>0.5</v>
      </c>
      <c r="K101" s="49">
        <f>'Avg WeeK Iganga-Kaliro'!K101+'Avg Week Kaliro-Iganga'!K101</f>
        <v>0</v>
      </c>
      <c r="L101" s="49">
        <f>'Avg WeeK Iganga-Kaliro'!L101+'Avg Week Kaliro-Iganga'!L101</f>
        <v>0</v>
      </c>
      <c r="M101" s="49">
        <f>'Avg WeeK Iganga-Kaliro'!M101+'Avg Week Kaliro-Iganga'!M101</f>
        <v>8.5</v>
      </c>
      <c r="N101" s="49">
        <f>'Avg WeeK Iganga-Kaliro'!N101+'Avg Week Kaliro-Iganga'!N101</f>
        <v>0</v>
      </c>
      <c r="O101" s="15">
        <f t="shared" si="35"/>
        <v>8</v>
      </c>
      <c r="P101" s="15">
        <f t="shared" si="36"/>
        <v>16.5</v>
      </c>
      <c r="R101" s="8"/>
      <c r="T101"/>
    </row>
    <row r="102" spans="2:20" ht="23.1" customHeight="1" x14ac:dyDescent="0.25">
      <c r="B102" s="24" t="s">
        <v>142</v>
      </c>
      <c r="C102" s="49">
        <f>'Avg WeeK Iganga-Kaliro'!C102+'Avg Week Kaliro-Iganga'!C102</f>
        <v>4.5</v>
      </c>
      <c r="D102" s="49">
        <f>'Avg WeeK Iganga-Kaliro'!D102+'Avg Week Kaliro-Iganga'!D102</f>
        <v>3</v>
      </c>
      <c r="E102" s="49">
        <f>'Avg WeeK Iganga-Kaliro'!E102+'Avg Week Kaliro-Iganga'!E102</f>
        <v>1.5</v>
      </c>
      <c r="F102" s="49">
        <f>'Avg WeeK Iganga-Kaliro'!F102+'Avg Week Kaliro-Iganga'!F102</f>
        <v>6</v>
      </c>
      <c r="G102" s="49">
        <f>'Avg WeeK Iganga-Kaliro'!G102+'Avg Week Kaliro-Iganga'!G102</f>
        <v>0</v>
      </c>
      <c r="H102" s="49">
        <f>'Avg WeeK Iganga-Kaliro'!H102+'Avg Week Kaliro-Iganga'!H102</f>
        <v>0</v>
      </c>
      <c r="I102" s="49">
        <f>'Avg WeeK Iganga-Kaliro'!I102+'Avg Week Kaliro-Iganga'!I102</f>
        <v>2.5</v>
      </c>
      <c r="J102" s="49">
        <f>'Avg WeeK Iganga-Kaliro'!J102+'Avg Week Kaliro-Iganga'!J102</f>
        <v>1.5</v>
      </c>
      <c r="K102" s="49">
        <f>'Avg WeeK Iganga-Kaliro'!K102+'Avg Week Kaliro-Iganga'!K102</f>
        <v>0</v>
      </c>
      <c r="L102" s="49">
        <f>'Avg WeeK Iganga-Kaliro'!L102+'Avg Week Kaliro-Iganga'!L102</f>
        <v>0</v>
      </c>
      <c r="M102" s="49">
        <f>'Avg WeeK Iganga-Kaliro'!M102+'Avg Week Kaliro-Iganga'!M102</f>
        <v>32.5</v>
      </c>
      <c r="N102" s="49">
        <f>'Avg WeeK Iganga-Kaliro'!N102+'Avg Week Kaliro-Iganga'!N102</f>
        <v>0</v>
      </c>
      <c r="O102" s="15">
        <f t="shared" si="35"/>
        <v>19</v>
      </c>
      <c r="P102" s="15">
        <f t="shared" si="36"/>
        <v>51.5</v>
      </c>
      <c r="R102" s="8"/>
      <c r="T102"/>
    </row>
    <row r="103" spans="2:20" ht="23.1" customHeight="1" x14ac:dyDescent="0.25">
      <c r="B103" s="23" t="s">
        <v>143</v>
      </c>
      <c r="C103" s="49">
        <f>'Avg WeeK Iganga-Kaliro'!C103+'Avg Week Kaliro-Iganga'!C103</f>
        <v>2</v>
      </c>
      <c r="D103" s="49">
        <f>'Avg WeeK Iganga-Kaliro'!D103+'Avg Week Kaliro-Iganga'!D103</f>
        <v>1</v>
      </c>
      <c r="E103" s="49">
        <f>'Avg WeeK Iganga-Kaliro'!E103+'Avg Week Kaliro-Iganga'!E103</f>
        <v>0.5</v>
      </c>
      <c r="F103" s="49">
        <f>'Avg WeeK Iganga-Kaliro'!F103+'Avg Week Kaliro-Iganga'!F103</f>
        <v>2</v>
      </c>
      <c r="G103" s="49">
        <f>'Avg WeeK Iganga-Kaliro'!G103+'Avg Week Kaliro-Iganga'!G103</f>
        <v>0</v>
      </c>
      <c r="H103" s="49">
        <f>'Avg WeeK Iganga-Kaliro'!H103+'Avg Week Kaliro-Iganga'!H103</f>
        <v>0</v>
      </c>
      <c r="I103" s="49">
        <f>'Avg WeeK Iganga-Kaliro'!I103+'Avg Week Kaliro-Iganga'!I103</f>
        <v>2.5</v>
      </c>
      <c r="J103" s="49">
        <f>'Avg WeeK Iganga-Kaliro'!J103+'Avg Week Kaliro-Iganga'!J103</f>
        <v>1.5</v>
      </c>
      <c r="K103" s="49">
        <f>'Avg WeeK Iganga-Kaliro'!K103+'Avg Week Kaliro-Iganga'!K103</f>
        <v>0</v>
      </c>
      <c r="L103" s="49">
        <f>'Avg WeeK Iganga-Kaliro'!L103+'Avg Week Kaliro-Iganga'!L103</f>
        <v>0</v>
      </c>
      <c r="M103" s="49">
        <f>'Avg WeeK Iganga-Kaliro'!M103+'Avg Week Kaliro-Iganga'!M103</f>
        <v>25.5</v>
      </c>
      <c r="N103" s="49">
        <f>'Avg WeeK Iganga-Kaliro'!N103+'Avg Week Kaliro-Iganga'!N103</f>
        <v>0</v>
      </c>
      <c r="O103" s="15">
        <f t="shared" si="35"/>
        <v>9.5</v>
      </c>
      <c r="P103" s="15">
        <f t="shared" si="36"/>
        <v>35</v>
      </c>
      <c r="R103" s="8"/>
      <c r="T103"/>
    </row>
    <row r="104" spans="2:20" ht="23.1" customHeight="1" x14ac:dyDescent="0.25">
      <c r="B104" s="25" t="s">
        <v>144</v>
      </c>
      <c r="C104" s="49">
        <f>'Avg WeeK Iganga-Kaliro'!C104+'Avg Week Kaliro-Iganga'!C104</f>
        <v>2</v>
      </c>
      <c r="D104" s="49">
        <f>'Avg WeeK Iganga-Kaliro'!D104+'Avg Week Kaliro-Iganga'!D104</f>
        <v>1.5</v>
      </c>
      <c r="E104" s="49">
        <f>'Avg WeeK Iganga-Kaliro'!E104+'Avg Week Kaliro-Iganga'!E104</f>
        <v>2.5</v>
      </c>
      <c r="F104" s="49">
        <f>'Avg WeeK Iganga-Kaliro'!F104+'Avg Week Kaliro-Iganga'!F104</f>
        <v>4.5</v>
      </c>
      <c r="G104" s="49">
        <f>'Avg WeeK Iganga-Kaliro'!G104+'Avg Week Kaliro-Iganga'!G104</f>
        <v>0</v>
      </c>
      <c r="H104" s="49">
        <f>'Avg WeeK Iganga-Kaliro'!H104+'Avg Week Kaliro-Iganga'!H104</f>
        <v>0</v>
      </c>
      <c r="I104" s="49">
        <f>'Avg WeeK Iganga-Kaliro'!I104+'Avg Week Kaliro-Iganga'!I104</f>
        <v>0</v>
      </c>
      <c r="J104" s="49">
        <f>'Avg WeeK Iganga-Kaliro'!J104+'Avg Week Kaliro-Iganga'!J104</f>
        <v>0.5</v>
      </c>
      <c r="K104" s="49">
        <f>'Avg WeeK Iganga-Kaliro'!K104+'Avg Week Kaliro-Iganga'!K104</f>
        <v>0.5</v>
      </c>
      <c r="L104" s="49">
        <f>'Avg WeeK Iganga-Kaliro'!L104+'Avg Week Kaliro-Iganga'!L104</f>
        <v>0</v>
      </c>
      <c r="M104" s="49">
        <f>'Avg WeeK Iganga-Kaliro'!M104+'Avg Week Kaliro-Iganga'!M104</f>
        <v>39</v>
      </c>
      <c r="N104" s="49">
        <f>'Avg WeeK Iganga-Kaliro'!N104+'Avg Week Kaliro-Iganga'!N104</f>
        <v>0</v>
      </c>
      <c r="O104" s="15">
        <f t="shared" si="35"/>
        <v>11.5</v>
      </c>
      <c r="P104" s="15">
        <f t="shared" si="36"/>
        <v>50.5</v>
      </c>
      <c r="R104" s="8"/>
      <c r="T104"/>
    </row>
    <row r="105" spans="2:20" ht="23.1" customHeight="1" x14ac:dyDescent="0.25">
      <c r="B105" s="23" t="s">
        <v>145</v>
      </c>
      <c r="C105" s="49">
        <f>'Avg WeeK Iganga-Kaliro'!C105+'Avg Week Kaliro-Iganga'!C105</f>
        <v>2.5</v>
      </c>
      <c r="D105" s="49">
        <f>'Avg WeeK Iganga-Kaliro'!D105+'Avg Week Kaliro-Iganga'!D105</f>
        <v>3</v>
      </c>
      <c r="E105" s="49">
        <f>'Avg WeeK Iganga-Kaliro'!E105+'Avg Week Kaliro-Iganga'!E105</f>
        <v>1</v>
      </c>
      <c r="F105" s="49">
        <f>'Avg WeeK Iganga-Kaliro'!F105+'Avg Week Kaliro-Iganga'!F105</f>
        <v>10.5</v>
      </c>
      <c r="G105" s="49">
        <f>'Avg WeeK Iganga-Kaliro'!G105+'Avg Week Kaliro-Iganga'!G105</f>
        <v>0</v>
      </c>
      <c r="H105" s="49">
        <f>'Avg WeeK Iganga-Kaliro'!H105+'Avg Week Kaliro-Iganga'!H105</f>
        <v>0</v>
      </c>
      <c r="I105" s="49">
        <f>'Avg WeeK Iganga-Kaliro'!I105+'Avg Week Kaliro-Iganga'!I105</f>
        <v>1.5</v>
      </c>
      <c r="J105" s="49">
        <f>'Avg WeeK Iganga-Kaliro'!J105+'Avg Week Kaliro-Iganga'!J105</f>
        <v>0</v>
      </c>
      <c r="K105" s="49">
        <f>'Avg WeeK Iganga-Kaliro'!K105+'Avg Week Kaliro-Iganga'!K105</f>
        <v>0</v>
      </c>
      <c r="L105" s="49">
        <f>'Avg WeeK Iganga-Kaliro'!L105+'Avg Week Kaliro-Iganga'!L105</f>
        <v>0</v>
      </c>
      <c r="M105" s="49">
        <f>'Avg WeeK Iganga-Kaliro'!M105+'Avg Week Kaliro-Iganga'!M105</f>
        <v>38.5</v>
      </c>
      <c r="N105" s="49">
        <f>'Avg WeeK Iganga-Kaliro'!N105+'Avg Week Kaliro-Iganga'!N105</f>
        <v>0</v>
      </c>
      <c r="O105" s="15">
        <f t="shared" si="35"/>
        <v>18.5</v>
      </c>
      <c r="P105" s="15">
        <f t="shared" si="36"/>
        <v>57</v>
      </c>
      <c r="R105" s="8"/>
      <c r="T105"/>
    </row>
    <row r="106" spans="2:20" ht="23.1" customHeight="1" x14ac:dyDescent="0.25">
      <c r="B106" s="26" t="s">
        <v>18</v>
      </c>
      <c r="C106" s="16">
        <f>SUM(C10:C105)</f>
        <v>468.92857142857144</v>
      </c>
      <c r="D106" s="16">
        <f t="shared" ref="D106:P106" si="37">SUM(D10:D105)</f>
        <v>250.35714285714286</v>
      </c>
      <c r="E106" s="16">
        <f t="shared" si="37"/>
        <v>209.71428571428572</v>
      </c>
      <c r="F106" s="16">
        <f t="shared" si="37"/>
        <v>483.42857142857144</v>
      </c>
      <c r="G106" s="16">
        <f t="shared" si="37"/>
        <v>15.714285714285712</v>
      </c>
      <c r="H106" s="16">
        <f t="shared" si="37"/>
        <v>6.8571428571428577</v>
      </c>
      <c r="I106" s="16">
        <f t="shared" si="37"/>
        <v>190.42857142857142</v>
      </c>
      <c r="J106" s="16">
        <f t="shared" si="37"/>
        <v>137.07142857142856</v>
      </c>
      <c r="K106" s="16">
        <f t="shared" si="37"/>
        <v>21.642857142857146</v>
      </c>
      <c r="L106" s="16">
        <f t="shared" si="37"/>
        <v>9.8571428571428577</v>
      </c>
      <c r="M106" s="16">
        <f t="shared" si="37"/>
        <v>9170.2857142857156</v>
      </c>
      <c r="N106" s="16">
        <f t="shared" si="37"/>
        <v>4.2142857142857135</v>
      </c>
      <c r="O106" s="16">
        <f t="shared" si="37"/>
        <v>1798.2142857142853</v>
      </c>
      <c r="P106" s="16">
        <f t="shared" si="37"/>
        <v>10968.5</v>
      </c>
      <c r="R106" s="8"/>
      <c r="T106"/>
    </row>
    <row r="107" spans="2:20" ht="23.1" customHeight="1" x14ac:dyDescent="0.25">
      <c r="B107" s="26" t="s">
        <v>93</v>
      </c>
      <c r="C107" s="43">
        <f t="shared" ref="C107:N107" si="38">C106/$P$106</f>
        <v>4.2752297162654093E-2</v>
      </c>
      <c r="D107" s="43">
        <f t="shared" si="38"/>
        <v>2.2825103054851883E-2</v>
      </c>
      <c r="E107" s="43">
        <f t="shared" si="38"/>
        <v>1.9119686895590619E-2</v>
      </c>
      <c r="F107" s="43">
        <f t="shared" si="38"/>
        <v>4.407426461490372E-2</v>
      </c>
      <c r="G107" s="43">
        <f t="shared" si="38"/>
        <v>1.4326740861818582E-3</v>
      </c>
      <c r="H107" s="43">
        <f t="shared" si="38"/>
        <v>6.2516687397026554E-4</v>
      </c>
      <c r="I107" s="43">
        <f t="shared" si="38"/>
        <v>1.7361405062549247E-2</v>
      </c>
      <c r="J107" s="43">
        <f t="shared" si="38"/>
        <v>1.2496825324468119E-2</v>
      </c>
      <c r="K107" s="43">
        <f t="shared" si="38"/>
        <v>1.9731829459686506E-3</v>
      </c>
      <c r="L107" s="43">
        <f t="shared" si="38"/>
        <v>8.9867738133225675E-4</v>
      </c>
      <c r="M107" s="43">
        <f t="shared" si="38"/>
        <v>0.83605649945623517</v>
      </c>
      <c r="N107" s="43">
        <f t="shared" si="38"/>
        <v>3.8421714129422563E-4</v>
      </c>
      <c r="R107" s="8"/>
      <c r="T107"/>
    </row>
    <row r="108" spans="2:20" ht="23.1" customHeight="1" x14ac:dyDescent="0.25">
      <c r="B108" s="42" t="s">
        <v>94</v>
      </c>
      <c r="C108" s="44">
        <f>C106/$O$106</f>
        <v>0.26077457795431985</v>
      </c>
      <c r="D108" s="44">
        <f t="shared" ref="D108:N108" si="39">D106/$O$106</f>
        <v>0.13922542204568028</v>
      </c>
      <c r="E108" s="44">
        <f t="shared" si="39"/>
        <v>0.11662363455809338</v>
      </c>
      <c r="F108" s="44">
        <f t="shared" si="39"/>
        <v>0.26883813306852045</v>
      </c>
      <c r="G108" s="44">
        <f t="shared" si="39"/>
        <v>8.7388282025819275E-3</v>
      </c>
      <c r="H108" s="44">
        <f t="shared" si="39"/>
        <v>3.8133068520357508E-3</v>
      </c>
      <c r="I108" s="44">
        <f t="shared" si="39"/>
        <v>0.10589870903674281</v>
      </c>
      <c r="J108" s="44">
        <f t="shared" si="39"/>
        <v>7.6226415094339625E-2</v>
      </c>
      <c r="K108" s="44">
        <f t="shared" si="39"/>
        <v>1.2035749751737839E-2</v>
      </c>
      <c r="L108" s="44">
        <f t="shared" si="39"/>
        <v>5.4816285998013914E-3</v>
      </c>
      <c r="M108" s="44"/>
      <c r="N108" s="44">
        <f t="shared" si="39"/>
        <v>2.3435948361469712E-3</v>
      </c>
      <c r="Q108" s="7"/>
      <c r="R108" s="8"/>
      <c r="T108"/>
    </row>
    <row r="109" spans="2:20" ht="20.100000000000001" customHeight="1" x14ac:dyDescent="0.25">
      <c r="B109" s="3"/>
      <c r="C109" s="18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Q109" s="7"/>
      <c r="R109" s="8"/>
      <c r="T109"/>
    </row>
    <row r="110" spans="2:20" ht="20.100000000000001" customHeight="1" x14ac:dyDescent="0.25">
      <c r="B110" s="3"/>
      <c r="C110" s="18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Q110" s="7"/>
      <c r="R110" s="8"/>
      <c r="T110"/>
    </row>
    <row r="111" spans="2:20" ht="20.100000000000001" customHeight="1" x14ac:dyDescent="0.25">
      <c r="B111" s="3"/>
      <c r="C111" s="18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Q111" s="7"/>
    </row>
    <row r="112" spans="2:20" ht="20.100000000000001" customHeight="1" x14ac:dyDescent="0.25">
      <c r="B112" s="3"/>
      <c r="C112" s="18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Q112" s="7"/>
    </row>
    <row r="113" spans="2:20" s="7" customFormat="1" ht="20.100000000000001" customHeight="1" x14ac:dyDescent="0.25"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/>
      <c r="P113"/>
      <c r="S113" s="8"/>
      <c r="T113" s="8"/>
    </row>
    <row r="114" spans="2:20" s="7" customFormat="1" ht="20.100000000000001" customHeight="1" x14ac:dyDescent="0.25"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/>
      <c r="P114"/>
      <c r="S114" s="8"/>
      <c r="T114" s="8"/>
    </row>
    <row r="115" spans="2:20" s="7" customFormat="1" ht="20.100000000000001" customHeight="1" x14ac:dyDescent="0.25"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/>
      <c r="P115"/>
      <c r="S115" s="8"/>
      <c r="T115" s="8"/>
    </row>
    <row r="116" spans="2:20" s="7" customFormat="1" ht="20.100000000000001" customHeight="1" x14ac:dyDescent="0.25"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/>
      <c r="P116"/>
      <c r="S116" s="8"/>
      <c r="T116" s="8"/>
    </row>
    <row r="117" spans="2:20" s="7" customFormat="1" ht="20.100000000000001" customHeight="1" x14ac:dyDescent="0.25"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/>
      <c r="P117"/>
      <c r="S117" s="8"/>
      <c r="T117" s="8"/>
    </row>
    <row r="118" spans="2:20" s="7" customFormat="1" ht="20.100000000000001" customHeight="1" x14ac:dyDescent="0.25"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/>
      <c r="P118"/>
      <c r="S118" s="8"/>
      <c r="T118" s="8"/>
    </row>
    <row r="119" spans="2:20" s="7" customFormat="1" ht="20.100000000000001" customHeight="1" x14ac:dyDescent="0.25"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/>
      <c r="P119"/>
      <c r="S119" s="8"/>
      <c r="T119" s="8"/>
    </row>
    <row r="120" spans="2:20" s="7" customFormat="1" ht="20.100000000000001" customHeight="1" x14ac:dyDescent="0.25"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/>
      <c r="P120"/>
      <c r="S120" s="8"/>
      <c r="T120" s="8"/>
    </row>
    <row r="121" spans="2:20" s="7" customFormat="1" ht="20.100000000000001" customHeight="1" x14ac:dyDescent="0.25"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/>
      <c r="P121"/>
      <c r="S121" s="8"/>
      <c r="T121" s="8"/>
    </row>
    <row r="122" spans="2:20" s="7" customFormat="1" ht="20.100000000000001" customHeight="1" x14ac:dyDescent="0.25"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/>
      <c r="P122"/>
      <c r="S122" s="8"/>
      <c r="T122" s="8"/>
    </row>
    <row r="123" spans="2:20" s="7" customFormat="1" ht="20.100000000000001" customHeight="1" x14ac:dyDescent="0.25"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/>
      <c r="P123"/>
      <c r="S123" s="8"/>
      <c r="T123" s="8"/>
    </row>
    <row r="124" spans="2:20" s="7" customFormat="1" ht="20.100000000000001" customHeight="1" x14ac:dyDescent="0.25"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/>
      <c r="P124"/>
      <c r="S124" s="8"/>
      <c r="T124" s="8"/>
    </row>
    <row r="125" spans="2:20" s="7" customFormat="1" ht="20.100000000000001" customHeight="1" x14ac:dyDescent="0.25"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/>
      <c r="P125"/>
      <c r="Q125"/>
      <c r="S125" s="8"/>
      <c r="T125" s="8"/>
    </row>
    <row r="126" spans="2:20" s="7" customFormat="1" ht="20.100000000000001" customHeight="1" x14ac:dyDescent="0.25"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/>
      <c r="P126"/>
      <c r="Q126"/>
      <c r="S126" s="8"/>
      <c r="T126" s="8"/>
    </row>
    <row r="127" spans="2:20" s="7" customFormat="1" ht="20.100000000000001" customHeight="1" x14ac:dyDescent="0.25"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/>
      <c r="P127"/>
      <c r="Q127"/>
      <c r="S127" s="8"/>
      <c r="T127" s="8"/>
    </row>
    <row r="128" spans="2:20" s="7" customFormat="1" ht="20.100000000000001" customHeight="1" x14ac:dyDescent="0.25"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/>
      <c r="P128"/>
      <c r="Q128"/>
      <c r="S128" s="8"/>
      <c r="T128" s="8"/>
    </row>
    <row r="129" spans="2:14" ht="20.100000000000001" customHeight="1" x14ac:dyDescent="0.25"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</row>
    <row r="130" spans="2:14" ht="20.100000000000001" customHeight="1" x14ac:dyDescent="0.25"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</row>
    <row r="131" spans="2:14" ht="20.100000000000001" customHeight="1" x14ac:dyDescent="0.25"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</row>
    <row r="132" spans="2:14" ht="20.100000000000001" customHeight="1" x14ac:dyDescent="0.25"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</row>
    <row r="133" spans="2:14" ht="20.100000000000001" customHeight="1" x14ac:dyDescent="0.25"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</row>
    <row r="134" spans="2:14" ht="20.100000000000001" customHeight="1" x14ac:dyDescent="0.25"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</row>
    <row r="135" spans="2:14" ht="20.100000000000001" customHeight="1" x14ac:dyDescent="0.25"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</row>
    <row r="136" spans="2:14" ht="20.100000000000001" customHeight="1" x14ac:dyDescent="0.25"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</row>
    <row r="137" spans="2:14" ht="20.100000000000001" customHeight="1" x14ac:dyDescent="0.25"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</row>
    <row r="138" spans="2:14" ht="20.100000000000001" customHeight="1" x14ac:dyDescent="0.25"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</row>
    <row r="139" spans="2:14" ht="20.100000000000001" customHeight="1" x14ac:dyDescent="0.25"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</row>
    <row r="140" spans="2:14" ht="20.100000000000001" customHeight="1" x14ac:dyDescent="0.25"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</row>
    <row r="141" spans="2:14" ht="20.100000000000001" customHeight="1" x14ac:dyDescent="0.25"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</row>
    <row r="142" spans="2:14" ht="20.100000000000001" customHeight="1" x14ac:dyDescent="0.25"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</row>
    <row r="143" spans="2:14" ht="20.100000000000001" customHeight="1" x14ac:dyDescent="0.25"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</row>
    <row r="144" spans="2:14" ht="20.100000000000001" customHeight="1" x14ac:dyDescent="0.25"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</row>
    <row r="145" spans="2:14" ht="20.100000000000001" customHeight="1" x14ac:dyDescent="0.25"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</row>
    <row r="146" spans="2:14" ht="20.100000000000001" customHeight="1" x14ac:dyDescent="0.25"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</row>
    <row r="147" spans="2:14" ht="20.100000000000001" customHeight="1" x14ac:dyDescent="0.25"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</row>
    <row r="148" spans="2:14" ht="20.100000000000001" customHeight="1" x14ac:dyDescent="0.25"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</row>
    <row r="149" spans="2:14" ht="20.100000000000001" customHeight="1" x14ac:dyDescent="0.25"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</row>
    <row r="150" spans="2:14" ht="20.100000000000001" customHeight="1" x14ac:dyDescent="0.25"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</row>
    <row r="151" spans="2:14" ht="20.100000000000001" customHeight="1" x14ac:dyDescent="0.25"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</row>
    <row r="152" spans="2:14" ht="22.5" customHeight="1" x14ac:dyDescent="0.25"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</row>
    <row r="153" spans="2:14" ht="20.100000000000001" customHeight="1" x14ac:dyDescent="0.25"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</row>
    <row r="154" spans="2:14" ht="20.100000000000001" customHeight="1" x14ac:dyDescent="0.25"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</row>
    <row r="155" spans="2:14" ht="20.100000000000001" customHeight="1" x14ac:dyDescent="0.25"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</row>
    <row r="156" spans="2:14" ht="20.100000000000001" customHeight="1" x14ac:dyDescent="0.25"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</row>
    <row r="157" spans="2:14" ht="20.100000000000001" customHeight="1" x14ac:dyDescent="0.25"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</row>
    <row r="158" spans="2:14" ht="20.100000000000001" customHeight="1" x14ac:dyDescent="0.25"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</row>
    <row r="159" spans="2:14" ht="20.100000000000001" customHeight="1" x14ac:dyDescent="0.25"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</row>
    <row r="160" spans="2:14" ht="20.100000000000001" customHeight="1" x14ac:dyDescent="0.25"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</row>
    <row r="161" spans="2:14" ht="20.100000000000001" customHeight="1" x14ac:dyDescent="0.25"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</row>
    <row r="162" spans="2:14" ht="20.100000000000001" customHeight="1" x14ac:dyDescent="0.25"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</row>
    <row r="163" spans="2:14" ht="20.100000000000001" customHeight="1" x14ac:dyDescent="0.25"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</row>
    <row r="164" spans="2:14" ht="20.100000000000001" customHeight="1" x14ac:dyDescent="0.25"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</row>
    <row r="165" spans="2:14" ht="20.100000000000001" customHeight="1" x14ac:dyDescent="0.25"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</row>
    <row r="166" spans="2:14" ht="20.100000000000001" customHeight="1" x14ac:dyDescent="0.25"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</row>
    <row r="167" spans="2:14" ht="20.100000000000001" customHeight="1" x14ac:dyDescent="0.25"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</row>
    <row r="168" spans="2:14" ht="20.100000000000001" customHeight="1" x14ac:dyDescent="0.25"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</row>
    <row r="169" spans="2:14" ht="20.100000000000001" customHeight="1" x14ac:dyDescent="0.25"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</row>
    <row r="170" spans="2:14" ht="20.100000000000001" customHeight="1" x14ac:dyDescent="0.25"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</row>
    <row r="171" spans="2:14" ht="20.100000000000001" customHeight="1" x14ac:dyDescent="0.25"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</row>
    <row r="172" spans="2:14" ht="20.100000000000001" customHeight="1" x14ac:dyDescent="0.25"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</row>
    <row r="173" spans="2:14" ht="20.100000000000001" customHeight="1" x14ac:dyDescent="0.25"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</row>
    <row r="174" spans="2:14" ht="20.100000000000001" customHeight="1" x14ac:dyDescent="0.25"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</row>
  </sheetData>
  <mergeCells count="10">
    <mergeCell ref="R8:AF8"/>
    <mergeCell ref="D6:E6"/>
    <mergeCell ref="K5:L5"/>
    <mergeCell ref="K6:L6"/>
    <mergeCell ref="D5:E5"/>
    <mergeCell ref="B1:AE1"/>
    <mergeCell ref="B2:AE2"/>
    <mergeCell ref="C3:G3"/>
    <mergeCell ref="G5:H5"/>
    <mergeCell ref="G6:H6"/>
  </mergeCells>
  <pageMargins left="0" right="0" top="0" bottom="0" header="0.15748031496063" footer="0.118110236220472"/>
  <pageSetup paperSize="9" scale="21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34</vt:i4>
      </vt:variant>
    </vt:vector>
  </HeadingPairs>
  <TitlesOfParts>
    <vt:vector size="51" baseType="lpstr">
      <vt:lpstr>22.08 Iganga-Kaliro</vt:lpstr>
      <vt:lpstr>22.08 Kaliro-Iganga</vt:lpstr>
      <vt:lpstr>23.08 Iganga-Kaliro</vt:lpstr>
      <vt:lpstr>23.08 Kaliro-Iganga</vt:lpstr>
      <vt:lpstr>24.08 Iganga-Kaliro-24h</vt:lpstr>
      <vt:lpstr>24.08 Kaliro-Iganga-24h</vt:lpstr>
      <vt:lpstr>25.08 Iganga-Kaliro</vt:lpstr>
      <vt:lpstr>25.08 Kaliro-Iganga</vt:lpstr>
      <vt:lpstr>26.08 Iganga-Kaliro-24h</vt:lpstr>
      <vt:lpstr>26.08 Kaliro-Iganga-24h</vt:lpstr>
      <vt:lpstr>27.08 Iganga-Kaliro</vt:lpstr>
      <vt:lpstr>27.08 Kaliro-Iganga</vt:lpstr>
      <vt:lpstr>28.08 Iganga-Kaliro</vt:lpstr>
      <vt:lpstr>28.08 Kaliro-Iganga</vt:lpstr>
      <vt:lpstr>Avg WeeK Iganga-Kaliro</vt:lpstr>
      <vt:lpstr>Avg Week Kaliro-Iganga</vt:lpstr>
      <vt:lpstr>Avg Week Iganga-Kaliro-2Dir</vt:lpstr>
      <vt:lpstr>'22.08 Iganga-Kaliro'!Print_Area</vt:lpstr>
      <vt:lpstr>'22.08 Kaliro-Iganga'!Print_Area</vt:lpstr>
      <vt:lpstr>'23.08 Iganga-Kaliro'!Print_Area</vt:lpstr>
      <vt:lpstr>'23.08 Kaliro-Iganga'!Print_Area</vt:lpstr>
      <vt:lpstr>'24.08 Iganga-Kaliro-24h'!Print_Area</vt:lpstr>
      <vt:lpstr>'24.08 Kaliro-Iganga-24h'!Print_Area</vt:lpstr>
      <vt:lpstr>'25.08 Iganga-Kaliro'!Print_Area</vt:lpstr>
      <vt:lpstr>'25.08 Kaliro-Iganga'!Print_Area</vt:lpstr>
      <vt:lpstr>'26.08 Iganga-Kaliro-24h'!Print_Area</vt:lpstr>
      <vt:lpstr>'26.08 Kaliro-Iganga-24h'!Print_Area</vt:lpstr>
      <vt:lpstr>'27.08 Iganga-Kaliro'!Print_Area</vt:lpstr>
      <vt:lpstr>'27.08 Kaliro-Iganga'!Print_Area</vt:lpstr>
      <vt:lpstr>'28.08 Iganga-Kaliro'!Print_Area</vt:lpstr>
      <vt:lpstr>'28.08 Kaliro-Iganga'!Print_Area</vt:lpstr>
      <vt:lpstr>'Avg WeeK Iganga-Kaliro'!Print_Area</vt:lpstr>
      <vt:lpstr>'Avg Week Iganga-Kaliro-2Dir'!Print_Area</vt:lpstr>
      <vt:lpstr>'Avg Week Kaliro-Iganga'!Print_Area</vt:lpstr>
      <vt:lpstr>'22.08 Iganga-Kaliro'!Print_Titles</vt:lpstr>
      <vt:lpstr>'22.08 Kaliro-Iganga'!Print_Titles</vt:lpstr>
      <vt:lpstr>'23.08 Iganga-Kaliro'!Print_Titles</vt:lpstr>
      <vt:lpstr>'23.08 Kaliro-Iganga'!Print_Titles</vt:lpstr>
      <vt:lpstr>'24.08 Iganga-Kaliro-24h'!Print_Titles</vt:lpstr>
      <vt:lpstr>'24.08 Kaliro-Iganga-24h'!Print_Titles</vt:lpstr>
      <vt:lpstr>'25.08 Iganga-Kaliro'!Print_Titles</vt:lpstr>
      <vt:lpstr>'25.08 Kaliro-Iganga'!Print_Titles</vt:lpstr>
      <vt:lpstr>'26.08 Iganga-Kaliro-24h'!Print_Titles</vt:lpstr>
      <vt:lpstr>'26.08 Kaliro-Iganga-24h'!Print_Titles</vt:lpstr>
      <vt:lpstr>'27.08 Iganga-Kaliro'!Print_Titles</vt:lpstr>
      <vt:lpstr>'27.08 Kaliro-Iganga'!Print_Titles</vt:lpstr>
      <vt:lpstr>'28.08 Iganga-Kaliro'!Print_Titles</vt:lpstr>
      <vt:lpstr>'28.08 Kaliro-Iganga'!Print_Titles</vt:lpstr>
      <vt:lpstr>'Avg WeeK Iganga-Kaliro'!Print_Titles</vt:lpstr>
      <vt:lpstr>'Avg Week Iganga-Kaliro-2Dir'!Print_Titles</vt:lpstr>
      <vt:lpstr>'Avg Week Kaliro-Iganga'!Print_Titles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steward consultancy</dc:creator>
  <cp:lastModifiedBy>st</cp:lastModifiedBy>
  <cp:lastPrinted>2019-07-25T18:18:41Z</cp:lastPrinted>
  <dcterms:created xsi:type="dcterms:W3CDTF">2010-07-06T07:39:49Z</dcterms:created>
  <dcterms:modified xsi:type="dcterms:W3CDTF">2019-11-29T06:55:04Z</dcterms:modified>
</cp:coreProperties>
</file>