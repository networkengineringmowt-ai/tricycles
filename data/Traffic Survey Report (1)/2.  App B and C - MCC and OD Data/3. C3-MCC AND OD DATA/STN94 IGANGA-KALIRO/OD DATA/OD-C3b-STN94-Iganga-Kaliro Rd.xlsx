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3-RW\STN94 IGANGA-KALIRO\OD DATA\"/>
    </mc:Choice>
  </mc:AlternateContent>
  <xr:revisionPtr revIDLastSave="0" documentId="13_ncr:1_{E7C6561D-5F42-4735-8C94-072FE0F01AD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" sheetId="41" r:id="rId3"/>
    <sheet name="24.08 Iganga-Kaliro" sheetId="3" r:id="rId4"/>
    <sheet name="RSI FORM" sheetId="4" state="hidden" r:id="rId5"/>
    <sheet name="24.08 Kaliro-Iganga" sheetId="37" r:id="rId6"/>
    <sheet name="26.08 Iganga-Kaliro" sheetId="38" r:id="rId7"/>
    <sheet name="26.08 Kaliro-Iganga" sheetId="39" r:id="rId8"/>
    <sheet name="Key" sheetId="5" r:id="rId9"/>
  </sheets>
  <externalReferences>
    <externalReference r:id="rId10"/>
  </externalReferences>
  <definedNames>
    <definedName name="_xlnm._FilterDatabase" localSheetId="3" hidden="1">'24.08 Iganga-Kaliro'!$B$9:$AB$63</definedName>
    <definedName name="_xlnm._FilterDatabase" localSheetId="5" hidden="1">'24.08 Kaliro-Iganga'!$B$9:$AB$55</definedName>
    <definedName name="_xlnm._FilterDatabase" localSheetId="6" hidden="1">'26.08 Iganga-Kaliro'!$B$9:$AB$105</definedName>
    <definedName name="_xlnm._FilterDatabase" localSheetId="7" hidden="1">'26.08 Kaliro-Iganga'!$B$9:$AB$68</definedName>
    <definedName name="_xlnm._FilterDatabase" localSheetId="1" hidden="1">'ALL DATA'!$B$9:$AB$63</definedName>
    <definedName name="_xlnm._FilterDatabase" localSheetId="2" hidden="1">Zones!$A$1:$N$1938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'24.08 Kaliro-Iganga'!$D$9:$D$55</definedName>
    <definedName name="Veh_Type" localSheetId="7">'26.08 Kaliro-Iganga'!$D$9:$D$68</definedName>
    <definedName name="Veh_Type" localSheetId="1">'ALL DATA'!$D$9:$D$63</definedName>
    <definedName name="Veh_Type" localSheetId="2">'[1]25.07 BUSEGA-NATEETE'!$D:$D</definedName>
    <definedName name="Veh_Type">'24.08 Iganga-Kaliro'!$D$9:$D$63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Y59" i="42"/>
  <c r="X59" i="42"/>
  <c r="W59" i="42"/>
  <c r="V59" i="42"/>
  <c r="U59" i="42"/>
  <c r="T59" i="42"/>
  <c r="S59" i="42"/>
  <c r="S48" i="42" s="1"/>
  <c r="R59" i="42"/>
  <c r="S49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Y55" i="42" l="1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R48" i="42"/>
  <c r="V48" i="42"/>
  <c r="R49" i="42"/>
  <c r="V49" i="42"/>
  <c r="R50" i="42"/>
  <c r="V50" i="42"/>
  <c r="R51" i="42"/>
  <c r="V51" i="42"/>
  <c r="R52" i="42"/>
  <c r="V52" i="42"/>
  <c r="R53" i="42"/>
  <c r="V53" i="42"/>
  <c r="R54" i="42"/>
  <c r="V54" i="42"/>
  <c r="R55" i="42"/>
  <c r="V55" i="42"/>
  <c r="W48" i="42"/>
  <c r="W49" i="42"/>
  <c r="S50" i="42"/>
  <c r="W50" i="42"/>
  <c r="S51" i="42"/>
  <c r="W51" i="42"/>
  <c r="S52" i="42"/>
  <c r="W52" i="42"/>
  <c r="S53" i="42"/>
  <c r="W53" i="42"/>
  <c r="S54" i="42"/>
  <c r="W54" i="42"/>
  <c r="S55" i="42"/>
  <c r="W55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70" i="42"/>
  <c r="C63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D87" i="42" s="1"/>
  <c r="E87" i="42" s="1"/>
  <c r="C86" i="42"/>
  <c r="C85" i="42"/>
  <c r="D85" i="42" s="1"/>
  <c r="E85" i="42" s="1"/>
  <c r="C84" i="42"/>
  <c r="C83" i="42"/>
  <c r="D83" i="42" s="1"/>
  <c r="E83" i="42" s="1"/>
  <c r="C82" i="42"/>
  <c r="C81" i="42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O12" i="42"/>
  <c r="O11" i="42"/>
  <c r="O10" i="42"/>
  <c r="O9" i="42"/>
  <c r="O8" i="42"/>
  <c r="O7" i="42"/>
  <c r="O6" i="42"/>
  <c r="O5" i="42"/>
  <c r="P5" i="42" s="1"/>
  <c r="O29" i="42" l="1"/>
  <c r="Q5" i="42"/>
  <c r="C17" i="42"/>
  <c r="P28" i="42"/>
  <c r="P7" i="42"/>
  <c r="Q7" i="42" s="1"/>
  <c r="P9" i="42"/>
  <c r="Q9" i="42" s="1"/>
  <c r="P11" i="42"/>
  <c r="Q11" i="42" s="1"/>
  <c r="P13" i="42"/>
  <c r="Q13" i="42" s="1"/>
  <c r="P15" i="42"/>
  <c r="Q15" i="42" s="1"/>
  <c r="D81" i="42"/>
  <c r="E81" i="42" s="1"/>
  <c r="D10" i="42"/>
  <c r="D8" i="42"/>
  <c r="D6" i="42"/>
  <c r="C29" i="42"/>
  <c r="D16" i="42"/>
  <c r="D14" i="42"/>
  <c r="D12" i="42"/>
  <c r="D7" i="42"/>
  <c r="D9" i="42"/>
  <c r="D11" i="42"/>
  <c r="D13" i="42"/>
  <c r="D15" i="42"/>
  <c r="P24" i="42"/>
  <c r="P25" i="42"/>
  <c r="P26" i="42"/>
  <c r="P27" i="42"/>
  <c r="P12" i="42"/>
  <c r="Q12" i="42" s="1"/>
  <c r="P14" i="42"/>
  <c r="Q14" i="42" s="1"/>
  <c r="D82" i="42"/>
  <c r="E82" i="42" s="1"/>
  <c r="D84" i="42"/>
  <c r="E84" i="42" s="1"/>
  <c r="D86" i="42"/>
  <c r="E86" i="42" s="1"/>
  <c r="D88" i="42"/>
  <c r="E88" i="42" s="1"/>
  <c r="P6" i="42"/>
  <c r="Q6" i="42" s="1"/>
  <c r="P8" i="42"/>
  <c r="Q8" i="42" s="1"/>
  <c r="P10" i="42"/>
  <c r="Q10" i="42" s="1"/>
  <c r="D5" i="42"/>
  <c r="P23" i="42"/>
  <c r="C44" i="42" l="1"/>
  <c r="C43" i="42" l="1"/>
  <c r="D43" i="42" s="1"/>
  <c r="D42" i="42"/>
  <c r="D155" i="41" l="1"/>
  <c r="AA242" i="40"/>
  <c r="D916" i="41" l="1"/>
  <c r="D415" i="41"/>
  <c r="D420" i="41"/>
  <c r="D589" i="41"/>
  <c r="D423" i="41"/>
  <c r="D1520" i="41"/>
  <c r="D416" i="41"/>
  <c r="D424" i="41"/>
  <c r="D421" i="41"/>
  <c r="D403" i="41"/>
  <c r="AA232" i="40"/>
  <c r="AB232" i="40"/>
  <c r="AA233" i="40"/>
  <c r="AB233" i="40"/>
  <c r="AA234" i="40"/>
  <c r="AB234" i="40"/>
  <c r="AA235" i="40"/>
  <c r="AB235" i="40"/>
  <c r="AA236" i="40"/>
  <c r="AB236" i="40"/>
  <c r="AA237" i="40"/>
  <c r="AB237" i="40"/>
  <c r="AA238" i="40"/>
  <c r="AB238" i="40"/>
  <c r="AA239" i="40"/>
  <c r="AB239" i="40"/>
  <c r="AA240" i="40"/>
  <c r="AB240" i="40"/>
  <c r="AA241" i="40"/>
  <c r="AB241" i="40"/>
  <c r="AB242" i="40"/>
  <c r="AA243" i="40"/>
  <c r="AB243" i="40"/>
  <c r="AA244" i="40"/>
  <c r="AB244" i="40"/>
  <c r="AA245" i="40"/>
  <c r="AB245" i="40"/>
  <c r="AA246" i="40"/>
  <c r="AB246" i="40"/>
  <c r="AA247" i="40"/>
  <c r="AB247" i="40"/>
  <c r="AA248" i="40"/>
  <c r="AB248" i="40"/>
  <c r="AA249" i="40"/>
  <c r="AB249" i="40"/>
  <c r="AA250" i="40"/>
  <c r="AB250" i="40"/>
  <c r="AA251" i="40"/>
  <c r="AB251" i="40"/>
  <c r="AA252" i="40"/>
  <c r="AB252" i="40"/>
  <c r="AA253" i="40"/>
  <c r="AB253" i="40"/>
  <c r="AA254" i="40"/>
  <c r="AB254" i="40"/>
  <c r="AA255" i="40"/>
  <c r="AB255" i="40"/>
  <c r="AA256" i="40"/>
  <c r="AB256" i="40"/>
  <c r="AA257" i="40"/>
  <c r="AB257" i="40"/>
  <c r="AA258" i="40"/>
  <c r="AB258" i="40"/>
  <c r="AA259" i="40"/>
  <c r="AB259" i="40"/>
  <c r="AA260" i="40"/>
  <c r="AB260" i="40"/>
  <c r="AA261" i="40"/>
  <c r="AB261" i="40"/>
  <c r="AA262" i="40"/>
  <c r="AB262" i="40"/>
  <c r="AA263" i="40"/>
  <c r="AB263" i="40"/>
  <c r="AA264" i="40"/>
  <c r="AB264" i="40"/>
  <c r="AA265" i="40"/>
  <c r="AB265" i="40"/>
  <c r="AA266" i="40"/>
  <c r="AB266" i="40"/>
  <c r="AA267" i="40"/>
  <c r="AB267" i="40"/>
  <c r="AA268" i="40"/>
  <c r="AB268" i="40"/>
  <c r="AA269" i="40"/>
  <c r="AB269" i="40"/>
  <c r="AA270" i="40"/>
  <c r="AB270" i="40"/>
  <c r="AA271" i="40"/>
  <c r="AB271" i="40"/>
  <c r="AA272" i="40"/>
  <c r="AB272" i="40"/>
  <c r="AA273" i="40"/>
  <c r="AB273" i="40"/>
  <c r="AA274" i="40"/>
  <c r="AB274" i="40"/>
  <c r="AA275" i="40"/>
  <c r="AB275" i="40"/>
  <c r="AA276" i="40"/>
  <c r="AB276" i="40"/>
  <c r="AA277" i="40"/>
  <c r="AB277" i="40"/>
  <c r="AA278" i="40"/>
  <c r="AB278" i="40"/>
  <c r="AA279" i="40"/>
  <c r="AB279" i="40"/>
  <c r="AA280" i="40"/>
  <c r="AB280" i="40"/>
  <c r="AA281" i="40"/>
  <c r="AB281" i="40"/>
  <c r="AA282" i="40"/>
  <c r="AB282" i="40"/>
  <c r="AA283" i="40"/>
  <c r="AB283" i="40"/>
  <c r="AA284" i="40"/>
  <c r="AB284" i="40"/>
  <c r="AA285" i="40"/>
  <c r="AB285" i="40"/>
  <c r="AA286" i="40"/>
  <c r="AB286" i="40"/>
  <c r="AA287" i="40"/>
  <c r="AB287" i="40"/>
  <c r="AA288" i="40"/>
  <c r="AB288" i="40"/>
  <c r="AA289" i="40"/>
  <c r="AB289" i="40"/>
  <c r="AA290" i="40"/>
  <c r="AB290" i="40"/>
  <c r="AA231" i="40"/>
  <c r="AB231" i="40"/>
  <c r="AA112" i="40"/>
  <c r="AB112" i="40"/>
  <c r="AA113" i="40"/>
  <c r="AB113" i="40"/>
  <c r="AA114" i="40"/>
  <c r="AB114" i="40"/>
  <c r="AA115" i="40"/>
  <c r="AB115" i="40"/>
  <c r="AA116" i="40"/>
  <c r="AB116" i="40"/>
  <c r="AA117" i="40"/>
  <c r="AB117" i="40"/>
  <c r="AA118" i="40"/>
  <c r="AB118" i="40"/>
  <c r="AA119" i="40"/>
  <c r="AB119" i="40"/>
  <c r="AA120" i="40"/>
  <c r="AB120" i="40"/>
  <c r="AA121" i="40"/>
  <c r="AB121" i="40"/>
  <c r="AA122" i="40"/>
  <c r="AB122" i="40"/>
  <c r="AA123" i="40"/>
  <c r="AB123" i="40"/>
  <c r="AA124" i="40"/>
  <c r="AB124" i="40"/>
  <c r="AA125" i="40"/>
  <c r="AB125" i="40"/>
  <c r="AA126" i="40"/>
  <c r="AB126" i="40"/>
  <c r="AA127" i="40"/>
  <c r="AB127" i="40"/>
  <c r="AA128" i="40"/>
  <c r="AB128" i="40"/>
  <c r="AA129" i="40"/>
  <c r="AB129" i="40"/>
  <c r="AA130" i="40"/>
  <c r="AB130" i="40"/>
  <c r="AA131" i="40"/>
  <c r="AB131" i="40"/>
  <c r="AA132" i="40"/>
  <c r="AB132" i="40"/>
  <c r="AA133" i="40"/>
  <c r="AB133" i="40"/>
  <c r="AA134" i="40"/>
  <c r="AB134" i="40"/>
  <c r="AA135" i="40"/>
  <c r="AB135" i="40"/>
  <c r="AA136" i="40"/>
  <c r="AB136" i="40"/>
  <c r="AA137" i="40"/>
  <c r="AB137" i="40"/>
  <c r="AA138" i="40"/>
  <c r="AB138" i="40"/>
  <c r="AA139" i="40"/>
  <c r="AB139" i="40"/>
  <c r="AA140" i="40"/>
  <c r="AB140" i="40"/>
  <c r="AA141" i="40"/>
  <c r="AB141" i="40"/>
  <c r="AA142" i="40"/>
  <c r="AB142" i="40"/>
  <c r="AA143" i="40"/>
  <c r="AB143" i="40"/>
  <c r="AA144" i="40"/>
  <c r="AB144" i="40"/>
  <c r="AA145" i="40"/>
  <c r="AB145" i="40"/>
  <c r="AA146" i="40"/>
  <c r="AB146" i="40"/>
  <c r="AA147" i="40"/>
  <c r="AB147" i="40"/>
  <c r="AA148" i="40"/>
  <c r="AB148" i="40"/>
  <c r="AA149" i="40"/>
  <c r="AB149" i="40"/>
  <c r="AA150" i="40"/>
  <c r="AB150" i="40"/>
  <c r="AA151" i="40"/>
  <c r="AB151" i="40"/>
  <c r="AA152" i="40"/>
  <c r="AB152" i="40"/>
  <c r="AA153" i="40"/>
  <c r="AB153" i="40"/>
  <c r="AA154" i="40"/>
  <c r="AB154" i="40"/>
  <c r="AA155" i="40"/>
  <c r="AB155" i="40"/>
  <c r="AA156" i="40"/>
  <c r="AB156" i="40"/>
  <c r="AA157" i="40"/>
  <c r="AB157" i="40"/>
  <c r="AA158" i="40"/>
  <c r="AB158" i="40"/>
  <c r="AA159" i="40"/>
  <c r="AB159" i="40"/>
  <c r="AA160" i="40"/>
  <c r="AB160" i="40"/>
  <c r="AA161" i="40"/>
  <c r="AB161" i="40"/>
  <c r="AA162" i="40"/>
  <c r="AB162" i="40"/>
  <c r="AA163" i="40"/>
  <c r="AB163" i="40"/>
  <c r="AA164" i="40"/>
  <c r="AB164" i="40"/>
  <c r="AA165" i="40"/>
  <c r="AB165" i="40"/>
  <c r="AA166" i="40"/>
  <c r="AB166" i="40"/>
  <c r="AA167" i="40"/>
  <c r="AB167" i="40"/>
  <c r="AA168" i="40"/>
  <c r="AB168" i="40"/>
  <c r="AA169" i="40"/>
  <c r="AB169" i="40"/>
  <c r="AA170" i="40"/>
  <c r="AB170" i="40"/>
  <c r="AA171" i="40"/>
  <c r="AB171" i="40"/>
  <c r="AA172" i="40"/>
  <c r="AB172" i="40"/>
  <c r="AA173" i="40"/>
  <c r="AB173" i="40"/>
  <c r="AA174" i="40"/>
  <c r="AB174" i="40"/>
  <c r="AA175" i="40"/>
  <c r="AB175" i="40"/>
  <c r="AA176" i="40"/>
  <c r="AB176" i="40"/>
  <c r="AA177" i="40"/>
  <c r="AB177" i="40"/>
  <c r="AA178" i="40"/>
  <c r="AB178" i="40"/>
  <c r="AA179" i="40"/>
  <c r="AB179" i="40"/>
  <c r="AA180" i="40"/>
  <c r="AB180" i="40"/>
  <c r="AA181" i="40"/>
  <c r="AB181" i="40"/>
  <c r="AA182" i="40"/>
  <c r="AB182" i="40"/>
  <c r="AA183" i="40"/>
  <c r="AB183" i="40"/>
  <c r="AA184" i="40"/>
  <c r="AB184" i="40"/>
  <c r="AA185" i="40"/>
  <c r="AB185" i="40"/>
  <c r="AA186" i="40"/>
  <c r="AB186" i="40"/>
  <c r="AA187" i="40"/>
  <c r="AB187" i="40"/>
  <c r="AA188" i="40"/>
  <c r="AB188" i="40"/>
  <c r="AA189" i="40"/>
  <c r="AB189" i="40"/>
  <c r="AA190" i="40"/>
  <c r="AB190" i="40"/>
  <c r="AA191" i="40"/>
  <c r="AB191" i="40"/>
  <c r="AA192" i="40"/>
  <c r="AB192" i="40"/>
  <c r="AA193" i="40"/>
  <c r="AB193" i="40"/>
  <c r="AA194" i="40"/>
  <c r="AB194" i="40"/>
  <c r="AA195" i="40"/>
  <c r="AB195" i="40"/>
  <c r="AA196" i="40"/>
  <c r="AB196" i="40"/>
  <c r="AA197" i="40"/>
  <c r="AB197" i="40"/>
  <c r="AA198" i="40"/>
  <c r="AB198" i="40"/>
  <c r="AA199" i="40"/>
  <c r="AB199" i="40"/>
  <c r="AA200" i="40"/>
  <c r="AB200" i="40"/>
  <c r="AA201" i="40"/>
  <c r="AB201" i="40"/>
  <c r="AA202" i="40"/>
  <c r="AB202" i="40"/>
  <c r="AA203" i="40"/>
  <c r="AB203" i="40"/>
  <c r="AA204" i="40"/>
  <c r="AB204" i="40"/>
  <c r="AA205" i="40"/>
  <c r="AB205" i="40"/>
  <c r="AA206" i="40"/>
  <c r="AB206" i="40"/>
  <c r="AA207" i="40"/>
  <c r="AB207" i="40"/>
  <c r="AA208" i="40"/>
  <c r="AB208" i="40"/>
  <c r="AA209" i="40"/>
  <c r="AB209" i="40"/>
  <c r="AA210" i="40"/>
  <c r="AB210" i="40"/>
  <c r="AA211" i="40"/>
  <c r="AB211" i="40"/>
  <c r="AA212" i="40"/>
  <c r="AB212" i="40"/>
  <c r="AA213" i="40"/>
  <c r="AB213" i="40"/>
  <c r="AA214" i="40"/>
  <c r="AB214" i="40"/>
  <c r="AA215" i="40"/>
  <c r="AB215" i="40"/>
  <c r="AA216" i="40"/>
  <c r="AB216" i="40"/>
  <c r="AA217" i="40"/>
  <c r="AB217" i="40"/>
  <c r="AA218" i="40"/>
  <c r="AB218" i="40"/>
  <c r="AA219" i="40"/>
  <c r="AB219" i="40"/>
  <c r="AA220" i="40"/>
  <c r="AB220" i="40"/>
  <c r="AA221" i="40"/>
  <c r="AB221" i="40"/>
  <c r="AA222" i="40"/>
  <c r="AB222" i="40"/>
  <c r="AA223" i="40"/>
  <c r="AB223" i="40"/>
  <c r="AA224" i="40"/>
  <c r="AB224" i="40"/>
  <c r="AA225" i="40"/>
  <c r="AB225" i="40"/>
  <c r="AA226" i="40"/>
  <c r="AB226" i="40"/>
  <c r="AA227" i="40"/>
  <c r="AB227" i="40"/>
  <c r="AA228" i="40"/>
  <c r="AB228" i="40"/>
  <c r="AA229" i="40"/>
  <c r="AB229" i="40"/>
  <c r="AA230" i="40"/>
  <c r="AB230" i="40"/>
  <c r="AA111" i="40"/>
  <c r="AB111" i="40"/>
  <c r="AA65" i="40"/>
  <c r="AB65" i="40"/>
  <c r="AA66" i="40"/>
  <c r="AB66" i="40"/>
  <c r="AA67" i="40"/>
  <c r="AB67" i="40"/>
  <c r="AA68" i="40"/>
  <c r="AB68" i="40"/>
  <c r="AA69" i="40"/>
  <c r="AB69" i="40"/>
  <c r="AA70" i="40"/>
  <c r="AB70" i="40"/>
  <c r="AA71" i="40"/>
  <c r="AB71" i="40"/>
  <c r="AA72" i="40"/>
  <c r="AB72" i="40"/>
  <c r="AA73" i="40"/>
  <c r="AB73" i="40"/>
  <c r="AA74" i="40"/>
  <c r="AB74" i="40"/>
  <c r="AA75" i="40"/>
  <c r="AB75" i="40"/>
  <c r="AA76" i="40"/>
  <c r="AB76" i="40"/>
  <c r="AA77" i="40"/>
  <c r="AB77" i="40"/>
  <c r="AA78" i="40"/>
  <c r="AB78" i="40"/>
  <c r="AA79" i="40"/>
  <c r="AB79" i="40"/>
  <c r="AA80" i="40"/>
  <c r="AB80" i="40"/>
  <c r="AA81" i="40"/>
  <c r="AB81" i="40"/>
  <c r="AA82" i="40"/>
  <c r="AB82" i="40"/>
  <c r="AA83" i="40"/>
  <c r="AB83" i="40"/>
  <c r="AA84" i="40"/>
  <c r="AB84" i="40"/>
  <c r="AA85" i="40"/>
  <c r="AB85" i="40"/>
  <c r="AA86" i="40"/>
  <c r="AB86" i="40"/>
  <c r="AA87" i="40"/>
  <c r="AB87" i="40"/>
  <c r="AA88" i="40"/>
  <c r="AB88" i="40"/>
  <c r="AA89" i="40"/>
  <c r="AB89" i="40"/>
  <c r="AA90" i="40"/>
  <c r="AB90" i="40"/>
  <c r="AA91" i="40"/>
  <c r="AB91" i="40"/>
  <c r="AA92" i="40"/>
  <c r="AB92" i="40"/>
  <c r="AA93" i="40"/>
  <c r="AB93" i="40"/>
  <c r="AA94" i="40"/>
  <c r="AB94" i="40"/>
  <c r="AA95" i="40"/>
  <c r="AB95" i="40"/>
  <c r="AA96" i="40"/>
  <c r="AB96" i="40"/>
  <c r="AA97" i="40"/>
  <c r="AB97" i="40"/>
  <c r="AA98" i="40"/>
  <c r="AB98" i="40"/>
  <c r="AA99" i="40"/>
  <c r="AB99" i="40"/>
  <c r="AA100" i="40"/>
  <c r="AB100" i="40"/>
  <c r="AA101" i="40"/>
  <c r="AB101" i="40"/>
  <c r="AA102" i="40"/>
  <c r="AB102" i="40"/>
  <c r="AA103" i="40"/>
  <c r="AB103" i="40"/>
  <c r="AA104" i="40"/>
  <c r="AB104" i="40"/>
  <c r="AA105" i="40"/>
  <c r="AB105" i="40"/>
  <c r="AA106" i="40"/>
  <c r="AB106" i="40"/>
  <c r="AA107" i="40"/>
  <c r="AB107" i="40"/>
  <c r="AA108" i="40"/>
  <c r="AB108" i="40"/>
  <c r="AA109" i="40"/>
  <c r="AB109" i="40"/>
  <c r="AA110" i="40"/>
  <c r="AB110" i="40"/>
  <c r="AA64" i="40"/>
  <c r="AB64" i="40"/>
  <c r="AA10" i="40"/>
  <c r="AB10" i="40"/>
  <c r="AA11" i="40"/>
  <c r="AB11" i="40"/>
  <c r="AA12" i="40"/>
  <c r="AB12" i="40"/>
  <c r="AA13" i="40"/>
  <c r="AB13" i="40"/>
  <c r="AA14" i="40"/>
  <c r="AB14" i="40"/>
  <c r="AA15" i="40"/>
  <c r="AB15" i="40"/>
  <c r="AA16" i="40"/>
  <c r="AB16" i="40"/>
  <c r="AA17" i="40"/>
  <c r="AB17" i="40"/>
  <c r="AA18" i="40"/>
  <c r="AB18" i="40"/>
  <c r="AA19" i="40"/>
  <c r="AB19" i="40"/>
  <c r="AA20" i="40"/>
  <c r="AB20" i="40"/>
  <c r="AA21" i="40"/>
  <c r="AB21" i="40"/>
  <c r="AA22" i="40"/>
  <c r="AB22" i="40"/>
  <c r="AA23" i="40"/>
  <c r="AB23" i="40"/>
  <c r="AA24" i="40"/>
  <c r="AB24" i="40"/>
  <c r="AA25" i="40"/>
  <c r="AB25" i="40"/>
  <c r="AA26" i="40"/>
  <c r="AB26" i="40"/>
  <c r="AA27" i="40"/>
  <c r="AB27" i="40"/>
  <c r="AA28" i="40"/>
  <c r="AB28" i="40"/>
  <c r="AA29" i="40"/>
  <c r="AB29" i="40"/>
  <c r="AA30" i="40"/>
  <c r="AB30" i="40"/>
  <c r="AA31" i="40"/>
  <c r="AB31" i="40"/>
  <c r="AA32" i="40"/>
  <c r="AB32" i="40"/>
  <c r="AA33" i="40"/>
  <c r="AB33" i="40"/>
  <c r="AA34" i="40"/>
  <c r="AB34" i="40"/>
  <c r="AA35" i="40"/>
  <c r="AB35" i="40"/>
  <c r="AA36" i="40"/>
  <c r="AB36" i="40"/>
  <c r="AA37" i="40"/>
  <c r="AB37" i="40"/>
  <c r="AA38" i="40"/>
  <c r="AB38" i="40"/>
  <c r="AA39" i="40"/>
  <c r="AB39" i="40"/>
  <c r="AA40" i="40"/>
  <c r="AB40" i="40"/>
  <c r="AA41" i="40"/>
  <c r="AB41" i="40"/>
  <c r="AA42" i="40"/>
  <c r="AB42" i="40"/>
  <c r="AA43" i="40"/>
  <c r="AB43" i="40"/>
  <c r="AA44" i="40"/>
  <c r="AB44" i="40"/>
  <c r="AA45" i="40"/>
  <c r="AB45" i="40"/>
  <c r="AA46" i="40"/>
  <c r="AB46" i="40"/>
  <c r="AA47" i="40"/>
  <c r="AB47" i="40"/>
  <c r="AA48" i="40"/>
  <c r="AB48" i="40"/>
  <c r="AA49" i="40"/>
  <c r="AB49" i="40"/>
  <c r="AA50" i="40"/>
  <c r="AB50" i="40"/>
  <c r="AA51" i="40"/>
  <c r="AB51" i="40"/>
  <c r="AA52" i="40"/>
  <c r="AB52" i="40"/>
  <c r="AA53" i="40"/>
  <c r="AB53" i="40"/>
  <c r="AA54" i="40"/>
  <c r="AB54" i="40"/>
  <c r="AA55" i="40"/>
  <c r="AB55" i="40"/>
  <c r="AA56" i="40"/>
  <c r="AB56" i="40"/>
  <c r="AA57" i="40"/>
  <c r="AB57" i="40"/>
  <c r="AA58" i="40"/>
  <c r="AB58" i="40"/>
  <c r="AA59" i="40"/>
  <c r="AB59" i="40"/>
  <c r="AA60" i="40"/>
  <c r="AB60" i="40"/>
  <c r="AA61" i="40"/>
  <c r="AB61" i="40"/>
  <c r="AA62" i="40"/>
  <c r="AB62" i="40"/>
  <c r="AA63" i="40"/>
  <c r="AB63" i="40"/>
  <c r="AB9" i="40"/>
  <c r="AA9" i="40"/>
  <c r="D1938" i="41"/>
  <c r="D1937" i="41"/>
  <c r="D1936" i="41"/>
  <c r="D1935" i="41"/>
  <c r="D1934" i="41"/>
  <c r="D1933" i="41"/>
  <c r="D1932" i="41"/>
  <c r="D1931" i="41"/>
  <c r="D1930" i="41"/>
  <c r="D1929" i="41"/>
  <c r="D1928" i="41"/>
  <c r="D1927" i="41"/>
  <c r="D1926" i="41"/>
  <c r="D1925" i="41"/>
  <c r="D1924" i="41"/>
  <c r="D1923" i="41"/>
  <c r="D1922" i="41"/>
  <c r="D1921" i="41"/>
  <c r="D1920" i="41"/>
  <c r="D1919" i="41"/>
  <c r="D1918" i="41"/>
  <c r="D1917" i="41"/>
  <c r="D1916" i="41"/>
  <c r="D1915" i="41"/>
  <c r="D1914" i="41"/>
  <c r="D1912" i="41"/>
  <c r="D1910" i="41"/>
  <c r="D1908" i="41"/>
  <c r="D1905" i="41"/>
  <c r="D1903" i="41"/>
  <c r="D1902" i="41"/>
  <c r="D1900" i="41"/>
  <c r="D1899" i="41"/>
  <c r="D1898" i="41"/>
  <c r="D1897" i="41"/>
  <c r="D1896" i="41"/>
  <c r="D1895" i="41"/>
  <c r="D1894" i="41"/>
  <c r="D1893" i="41"/>
  <c r="D1892" i="41"/>
  <c r="D1891" i="41"/>
  <c r="D1890" i="41"/>
  <c r="D1889" i="41"/>
  <c r="D1888" i="41"/>
  <c r="D1886" i="41"/>
  <c r="D1882" i="41"/>
  <c r="D1866" i="41"/>
  <c r="D1860" i="41"/>
  <c r="D1859" i="41"/>
  <c r="D1854" i="41"/>
  <c r="D1853" i="41"/>
  <c r="D1850" i="41"/>
  <c r="D1849" i="41"/>
  <c r="D1848" i="41"/>
  <c r="D1845" i="41"/>
  <c r="D1844" i="41"/>
  <c r="D1843" i="41"/>
  <c r="D1842" i="41"/>
  <c r="D1841" i="41"/>
  <c r="D1838" i="41"/>
  <c r="D1833" i="41"/>
  <c r="D1832" i="41"/>
  <c r="D1830" i="41"/>
  <c r="D1828" i="41"/>
  <c r="D1827" i="41"/>
  <c r="D1824" i="41"/>
  <c r="D1817" i="41"/>
  <c r="D1816" i="41"/>
  <c r="D1815" i="41"/>
  <c r="D1814" i="41"/>
  <c r="D1813" i="41"/>
  <c r="D1812" i="41"/>
  <c r="D1811" i="41"/>
  <c r="D1810" i="41"/>
  <c r="D1809" i="41"/>
  <c r="D1807" i="41"/>
  <c r="D1805" i="41"/>
  <c r="D1802" i="41"/>
  <c r="D1801" i="41"/>
  <c r="D1800" i="41"/>
  <c r="D1799" i="41"/>
  <c r="D1798" i="41"/>
  <c r="D1797" i="41"/>
  <c r="D1796" i="41"/>
  <c r="D1795" i="41"/>
  <c r="D1794" i="41"/>
  <c r="D1793" i="41"/>
  <c r="D1792" i="41"/>
  <c r="D1791" i="41"/>
  <c r="D1790" i="41"/>
  <c r="D1789" i="41"/>
  <c r="D1788" i="41"/>
  <c r="D1787" i="41"/>
  <c r="D1786" i="41"/>
  <c r="D1785" i="41"/>
  <c r="D1784" i="41"/>
  <c r="D1783" i="41"/>
  <c r="D1782" i="41"/>
  <c r="D1781" i="41"/>
  <c r="D1779" i="41"/>
  <c r="D1778" i="41"/>
  <c r="D1777" i="41"/>
  <c r="D1776" i="41"/>
  <c r="D1775" i="41"/>
  <c r="D1774" i="41"/>
  <c r="D1773" i="41"/>
  <c r="D1772" i="41"/>
  <c r="D1771" i="41"/>
  <c r="D1770" i="41"/>
  <c r="D1769" i="41"/>
  <c r="D1768" i="41"/>
  <c r="D1767" i="41"/>
  <c r="D1766" i="41"/>
  <c r="D1765" i="41"/>
  <c r="D1764" i="41"/>
  <c r="D1763" i="41"/>
  <c r="D1762" i="41"/>
  <c r="D1761" i="41"/>
  <c r="D1760" i="41"/>
  <c r="D1759" i="41"/>
  <c r="D1758" i="41"/>
  <c r="D1757" i="41"/>
  <c r="D1756" i="41"/>
  <c r="D1755" i="41"/>
  <c r="D1753" i="41"/>
  <c r="D1752" i="41"/>
  <c r="D1751" i="41"/>
  <c r="D1750" i="41"/>
  <c r="D1749" i="41"/>
  <c r="D1748" i="41"/>
  <c r="D1747" i="41"/>
  <c r="D1746" i="41"/>
  <c r="D1745" i="41"/>
  <c r="D1744" i="41"/>
  <c r="D1743" i="41"/>
  <c r="D1742" i="41"/>
  <c r="D1741" i="41"/>
  <c r="D1740" i="41"/>
  <c r="D1739" i="41"/>
  <c r="D1738" i="41"/>
  <c r="D1737" i="41"/>
  <c r="D1736" i="41"/>
  <c r="D1735" i="41"/>
  <c r="D1734" i="41"/>
  <c r="D1733" i="41"/>
  <c r="D1732" i="41"/>
  <c r="D1731" i="41"/>
  <c r="D1730" i="41"/>
  <c r="D1729" i="41"/>
  <c r="D1728" i="41"/>
  <c r="D1727" i="41"/>
  <c r="D1726" i="41"/>
  <c r="D1725" i="41"/>
  <c r="D1724" i="41"/>
  <c r="D1723" i="41"/>
  <c r="D1722" i="41"/>
  <c r="D1721" i="41"/>
  <c r="D1720" i="41"/>
  <c r="D1719" i="41"/>
  <c r="D1718" i="41"/>
  <c r="D1717" i="41"/>
  <c r="D1716" i="41"/>
  <c r="D1715" i="41"/>
  <c r="D1714" i="41"/>
  <c r="D1713" i="41"/>
  <c r="D1712" i="41"/>
  <c r="D1711" i="41"/>
  <c r="D1710" i="41"/>
  <c r="D1709" i="41"/>
  <c r="D1708" i="41"/>
  <c r="D1707" i="41"/>
  <c r="D1706" i="41"/>
  <c r="D1705" i="41"/>
  <c r="D1704" i="41"/>
  <c r="D1703" i="41"/>
  <c r="D1702" i="41"/>
  <c r="D1701" i="41"/>
  <c r="D1700" i="41"/>
  <c r="D1699" i="41"/>
  <c r="D1698" i="41"/>
  <c r="D1697" i="41"/>
  <c r="D1696" i="41"/>
  <c r="D1695" i="41"/>
  <c r="D1694" i="41"/>
  <c r="D1693" i="41"/>
  <c r="D1692" i="41"/>
  <c r="D1691" i="41"/>
  <c r="D1690" i="41"/>
  <c r="D1689" i="41"/>
  <c r="D1688" i="41"/>
  <c r="D1687" i="41"/>
  <c r="D1686" i="41"/>
  <c r="D1685" i="41"/>
  <c r="D1684" i="41"/>
  <c r="D1683" i="41"/>
  <c r="D1682" i="41"/>
  <c r="D1681" i="41"/>
  <c r="D1680" i="41"/>
  <c r="D1679" i="41"/>
  <c r="D1678" i="41"/>
  <c r="D1677" i="41"/>
  <c r="D1676" i="41"/>
  <c r="D1675" i="41"/>
  <c r="D1674" i="41"/>
  <c r="D1673" i="41"/>
  <c r="D1672" i="41"/>
  <c r="D1671" i="41"/>
  <c r="D1670" i="41"/>
  <c r="D1669" i="41"/>
  <c r="D1668" i="41"/>
  <c r="D1667" i="41"/>
  <c r="D1666" i="41"/>
  <c r="D1665" i="41"/>
  <c r="D1664" i="41"/>
  <c r="D1663" i="41"/>
  <c r="D1662" i="41"/>
  <c r="D1661" i="41"/>
  <c r="D1660" i="41"/>
  <c r="D1659" i="41"/>
  <c r="D1658" i="41"/>
  <c r="D1657" i="41"/>
  <c r="D1656" i="41"/>
  <c r="D1655" i="41"/>
  <c r="D1654" i="41"/>
  <c r="D1653" i="41"/>
  <c r="D1652" i="41"/>
  <c r="D1651" i="41"/>
  <c r="D1650" i="41"/>
  <c r="D1649" i="41"/>
  <c r="D1648" i="41"/>
  <c r="D1647" i="41"/>
  <c r="D1646" i="41"/>
  <c r="D1645" i="41"/>
  <c r="D1644" i="41"/>
  <c r="D1643" i="41"/>
  <c r="D1642" i="41"/>
  <c r="D1641" i="41"/>
  <c r="D1640" i="41"/>
  <c r="D1639" i="41"/>
  <c r="D1638" i="41"/>
  <c r="D1637" i="41"/>
  <c r="D1636" i="41"/>
  <c r="D1635" i="41"/>
  <c r="D1634" i="41"/>
  <c r="D1633" i="41"/>
  <c r="D1632" i="41"/>
  <c r="D1631" i="41"/>
  <c r="D1630" i="41"/>
  <c r="D1629" i="41"/>
  <c r="D1628" i="41"/>
  <c r="D1627" i="41"/>
  <c r="D1626" i="41"/>
  <c r="D1625" i="41"/>
  <c r="D1624" i="41"/>
  <c r="D1623" i="41"/>
  <c r="D1622" i="41"/>
  <c r="D1621" i="41"/>
  <c r="D1620" i="41"/>
  <c r="D1619" i="41"/>
  <c r="D1618" i="41"/>
  <c r="D1617" i="41"/>
  <c r="D1616" i="41"/>
  <c r="D1615" i="41"/>
  <c r="D1614" i="41"/>
  <c r="D1613" i="41"/>
  <c r="D1612" i="41"/>
  <c r="D1611" i="41"/>
  <c r="D1610" i="41"/>
  <c r="D1609" i="41"/>
  <c r="D1608" i="41"/>
  <c r="D1607" i="41"/>
  <c r="D1606" i="41"/>
  <c r="D1605" i="41"/>
  <c r="D1604" i="41"/>
  <c r="D1603" i="41"/>
  <c r="D1602" i="41"/>
  <c r="D1601" i="41"/>
  <c r="D1600" i="41"/>
  <c r="D1599" i="41"/>
  <c r="D1598" i="41"/>
  <c r="D1597" i="41"/>
  <c r="D1596" i="41"/>
  <c r="D1595" i="41"/>
  <c r="D1594" i="41"/>
  <c r="D1593" i="41"/>
  <c r="D1592" i="41"/>
  <c r="D1591" i="41"/>
  <c r="D1590" i="41"/>
  <c r="D1589" i="41"/>
  <c r="D1588" i="41"/>
  <c r="D1587" i="41"/>
  <c r="D1586" i="41"/>
  <c r="D1585" i="41"/>
  <c r="D1584" i="41"/>
  <c r="D1583" i="41"/>
  <c r="D1582" i="41"/>
  <c r="D1581" i="41"/>
  <c r="D1580" i="41"/>
  <c r="D1579" i="41"/>
  <c r="D1578" i="41"/>
  <c r="D1577" i="41"/>
  <c r="D1576" i="41"/>
  <c r="D1575" i="41"/>
  <c r="D1574" i="41"/>
  <c r="D1573" i="41"/>
  <c r="D1572" i="41"/>
  <c r="D1571" i="41"/>
  <c r="D1570" i="41"/>
  <c r="D1569" i="41"/>
  <c r="D1568" i="41"/>
  <c r="D1567" i="41"/>
  <c r="D1566" i="41"/>
  <c r="D1565" i="41"/>
  <c r="D1564" i="41"/>
  <c r="D1563" i="41"/>
  <c r="D1562" i="41"/>
  <c r="D1561" i="41"/>
  <c r="D1560" i="41"/>
  <c r="D1559" i="41"/>
  <c r="D1558" i="41"/>
  <c r="D1557" i="41"/>
  <c r="D1556" i="41"/>
  <c r="D1555" i="41"/>
  <c r="D1554" i="41"/>
  <c r="D1553" i="41"/>
  <c r="D1552" i="41"/>
  <c r="D1551" i="41"/>
  <c r="D1550" i="41"/>
  <c r="D1549" i="41"/>
  <c r="D1548" i="41"/>
  <c r="D1546" i="41"/>
  <c r="D1545" i="41"/>
  <c r="D1544" i="41"/>
  <c r="D1543" i="41"/>
  <c r="D1542" i="41"/>
  <c r="D1541" i="41"/>
  <c r="D1540" i="41"/>
  <c r="D1539" i="41"/>
  <c r="D1538" i="41"/>
  <c r="D1537" i="41"/>
  <c r="D1536" i="41"/>
  <c r="D1535" i="41"/>
  <c r="D1534" i="41"/>
  <c r="D1533" i="41"/>
  <c r="D1532" i="41"/>
  <c r="D1531" i="41"/>
  <c r="D1530" i="41"/>
  <c r="D1529" i="41"/>
  <c r="D1528" i="41"/>
  <c r="D1527" i="41"/>
  <c r="D1526" i="41"/>
  <c r="D1525" i="41"/>
  <c r="D1524" i="41"/>
  <c r="D1523" i="41"/>
  <c r="D1522" i="41"/>
  <c r="D1521" i="41"/>
  <c r="D1519" i="41"/>
  <c r="D1518" i="41"/>
  <c r="D1517" i="41"/>
  <c r="D1516" i="41"/>
  <c r="D1515" i="41"/>
  <c r="D1514" i="41"/>
  <c r="D1513" i="41"/>
  <c r="D1511" i="41"/>
  <c r="D1510" i="41"/>
  <c r="D1509" i="41"/>
  <c r="D1508" i="41"/>
  <c r="D1507" i="41"/>
  <c r="D1506" i="41"/>
  <c r="D1505" i="41"/>
  <c r="D1504" i="41"/>
  <c r="D1503" i="41"/>
  <c r="D1502" i="41"/>
  <c r="D1501" i="41"/>
  <c r="D1500" i="41"/>
  <c r="D1499" i="41"/>
  <c r="D1498" i="41"/>
  <c r="D1497" i="41"/>
  <c r="D1496" i="41"/>
  <c r="D1495" i="41"/>
  <c r="D1494" i="41"/>
  <c r="D1493" i="41"/>
  <c r="D1492" i="41"/>
  <c r="D1491" i="41"/>
  <c r="D1490" i="41"/>
  <c r="D1489" i="41"/>
  <c r="D1488" i="41"/>
  <c r="D1487" i="41"/>
  <c r="D1486" i="41"/>
  <c r="D1485" i="41"/>
  <c r="D1484" i="41"/>
  <c r="D1483" i="41"/>
  <c r="D1482" i="41"/>
  <c r="D1481" i="41"/>
  <c r="D1480" i="41"/>
  <c r="D1479" i="41"/>
  <c r="D1478" i="41"/>
  <c r="D1477" i="41"/>
  <c r="D1476" i="41"/>
  <c r="D1475" i="41"/>
  <c r="D1474" i="41"/>
  <c r="D1473" i="41"/>
  <c r="D1472" i="41"/>
  <c r="D1471" i="41"/>
  <c r="D1470" i="41"/>
  <c r="D1468" i="41"/>
  <c r="D1467" i="41"/>
  <c r="D1463" i="41"/>
  <c r="D1462" i="41"/>
  <c r="D1461" i="41"/>
  <c r="D1460" i="41"/>
  <c r="D1459" i="41"/>
  <c r="D1458" i="41"/>
  <c r="D1457" i="41"/>
  <c r="D1456" i="41"/>
  <c r="D1455" i="41"/>
  <c r="D1454" i="41"/>
  <c r="D1453" i="41"/>
  <c r="D1448" i="41"/>
  <c r="D1447" i="41"/>
  <c r="D1446" i="41"/>
  <c r="D1445" i="41"/>
  <c r="D1444" i="41"/>
  <c r="D1443" i="41"/>
  <c r="D1441" i="41"/>
  <c r="D1440" i="41"/>
  <c r="D1439" i="41"/>
  <c r="D1438" i="41"/>
  <c r="D1435" i="41"/>
  <c r="D1434" i="41"/>
  <c r="D1433" i="41"/>
  <c r="D1432" i="41"/>
  <c r="D1431" i="41"/>
  <c r="D1430" i="41"/>
  <c r="D1429" i="41"/>
  <c r="D1428" i="41"/>
  <c r="D1426" i="41"/>
  <c r="D1425" i="41"/>
  <c r="D1421" i="41"/>
  <c r="D1420" i="41"/>
  <c r="D1419" i="41"/>
  <c r="D1418" i="41"/>
  <c r="D1417" i="41"/>
  <c r="D1416" i="41"/>
  <c r="D1415" i="41"/>
  <c r="D1414" i="41"/>
  <c r="D1413" i="41"/>
  <c r="D1412" i="41"/>
  <c r="D1411" i="41"/>
  <c r="D1410" i="41"/>
  <c r="D1409" i="41"/>
  <c r="D1408" i="41"/>
  <c r="D1407" i="41"/>
  <c r="D1406" i="41"/>
  <c r="D1405" i="41"/>
  <c r="D1404" i="41"/>
  <c r="D1403" i="41"/>
  <c r="D1402" i="41"/>
  <c r="D1401" i="41"/>
  <c r="D1400" i="41"/>
  <c r="D1399" i="41"/>
  <c r="D1398" i="41"/>
  <c r="D1397" i="41"/>
  <c r="D1396" i="41"/>
  <c r="D1395" i="41"/>
  <c r="D1394" i="41"/>
  <c r="D1391" i="41"/>
  <c r="D1388" i="41"/>
  <c r="D1387" i="41"/>
  <c r="D1386" i="41"/>
  <c r="D1385" i="41"/>
  <c r="D1384" i="41"/>
  <c r="D1383" i="41"/>
  <c r="D1382" i="41"/>
  <c r="D1381" i="41"/>
  <c r="D1380" i="41"/>
  <c r="D1379" i="41"/>
  <c r="D1377" i="41"/>
  <c r="D1376" i="41"/>
  <c r="D1375" i="41"/>
  <c r="D1374" i="41"/>
  <c r="D1373" i="41"/>
  <c r="D1372" i="41"/>
  <c r="D1371" i="41"/>
  <c r="D1370" i="41"/>
  <c r="D1369" i="41"/>
  <c r="D1368" i="41"/>
  <c r="D1367" i="41"/>
  <c r="D1366" i="41"/>
  <c r="D1365" i="41"/>
  <c r="D1364" i="41"/>
  <c r="D1363" i="41"/>
  <c r="D1362" i="41"/>
  <c r="D1361" i="41"/>
  <c r="D1360" i="41"/>
  <c r="D1359" i="41"/>
  <c r="D1358" i="41"/>
  <c r="D1357" i="41"/>
  <c r="D1356" i="41"/>
  <c r="D1355" i="41"/>
  <c r="D1354" i="41"/>
  <c r="D1351" i="41"/>
  <c r="D1350" i="41"/>
  <c r="D1349" i="41"/>
  <c r="D1348" i="41"/>
  <c r="D1347" i="41"/>
  <c r="D1346" i="41"/>
  <c r="D1345" i="41"/>
  <c r="D1344" i="41"/>
  <c r="D1343" i="41"/>
  <c r="D1342" i="41"/>
  <c r="D1341" i="41"/>
  <c r="D1340" i="41"/>
  <c r="D1339" i="41"/>
  <c r="D1338" i="41"/>
  <c r="D1337" i="41"/>
  <c r="D1336" i="41"/>
  <c r="D1335" i="41"/>
  <c r="D1334" i="41"/>
  <c r="D1333" i="41"/>
  <c r="D1332" i="41"/>
  <c r="D1331" i="41"/>
  <c r="D1330" i="41"/>
  <c r="D1329" i="41"/>
  <c r="D1328" i="41"/>
  <c r="D1327" i="41"/>
  <c r="D1326" i="41"/>
  <c r="D1325" i="41"/>
  <c r="D1324" i="41"/>
  <c r="D1323" i="41"/>
  <c r="D1322" i="41"/>
  <c r="D1321" i="41"/>
  <c r="D1320" i="41"/>
  <c r="D1319" i="41"/>
  <c r="D1317" i="41"/>
  <c r="D1316" i="41"/>
  <c r="D1313" i="41"/>
  <c r="D1312" i="41"/>
  <c r="D1311" i="41"/>
  <c r="D1310" i="41"/>
  <c r="D1309" i="41"/>
  <c r="D1308" i="41"/>
  <c r="D1307" i="41"/>
  <c r="D1306" i="41"/>
  <c r="D1305" i="41"/>
  <c r="D1304" i="41"/>
  <c r="D1303" i="41"/>
  <c r="D1302" i="41"/>
  <c r="D1301" i="41"/>
  <c r="D1300" i="41"/>
  <c r="D1299" i="41"/>
  <c r="D1298" i="41"/>
  <c r="D1297" i="41"/>
  <c r="D1295" i="41"/>
  <c r="D1291" i="41"/>
  <c r="D1290" i="41"/>
  <c r="D1289" i="41"/>
  <c r="D1288" i="41"/>
  <c r="D1287" i="41"/>
  <c r="D1286" i="41"/>
  <c r="D1285" i="41"/>
  <c r="D1284" i="41"/>
  <c r="D1283" i="41"/>
  <c r="D1282" i="41"/>
  <c r="D1281" i="41"/>
  <c r="D1280" i="41"/>
  <c r="D1279" i="41"/>
  <c r="D1278" i="41"/>
  <c r="D1277" i="41"/>
  <c r="D1276" i="41"/>
  <c r="D1275" i="41"/>
  <c r="D1274" i="41"/>
  <c r="D1273" i="41"/>
  <c r="D1272" i="41"/>
  <c r="D1271" i="41"/>
  <c r="D1270" i="41"/>
  <c r="D1269" i="41"/>
  <c r="D1268" i="41"/>
  <c r="D1267" i="41"/>
  <c r="D1266" i="41"/>
  <c r="D1265" i="41"/>
  <c r="D1264" i="41"/>
  <c r="D1263" i="41"/>
  <c r="D1262" i="41"/>
  <c r="D1261" i="41"/>
  <c r="D1260" i="41"/>
  <c r="D1259" i="41"/>
  <c r="D1257" i="41"/>
  <c r="D1256" i="41"/>
  <c r="D1255" i="41"/>
  <c r="D1254" i="41"/>
  <c r="D1253" i="41"/>
  <c r="D1252" i="41"/>
  <c r="D1251" i="41"/>
  <c r="D1250" i="41"/>
  <c r="D1249" i="41"/>
  <c r="D1248" i="41"/>
  <c r="D1246" i="41"/>
  <c r="D1245" i="41"/>
  <c r="D1244" i="41"/>
  <c r="D1243" i="41"/>
  <c r="D1242" i="41"/>
  <c r="D1241" i="41"/>
  <c r="D1240" i="41"/>
  <c r="D1239" i="41"/>
  <c r="D1238" i="41"/>
  <c r="D1237" i="41"/>
  <c r="D1236" i="41"/>
  <c r="D1235" i="41"/>
  <c r="D1234" i="41"/>
  <c r="D1233" i="41"/>
  <c r="D1232" i="41"/>
  <c r="D1231" i="41"/>
  <c r="D1230" i="41"/>
  <c r="D1229" i="41"/>
  <c r="D1228" i="41"/>
  <c r="D1227" i="41"/>
  <c r="D1226" i="41"/>
  <c r="D1225" i="41"/>
  <c r="D1224" i="41"/>
  <c r="D1223" i="41"/>
  <c r="D1222" i="41"/>
  <c r="D1221" i="41"/>
  <c r="D1220" i="41"/>
  <c r="D1219" i="41"/>
  <c r="D1218" i="41"/>
  <c r="D1216" i="41"/>
  <c r="D1215" i="41"/>
  <c r="D1214" i="41"/>
  <c r="D1213" i="41"/>
  <c r="D1212" i="41"/>
  <c r="D1211" i="41"/>
  <c r="D1210" i="41"/>
  <c r="D1209" i="41"/>
  <c r="D1208" i="41"/>
  <c r="D1207" i="41"/>
  <c r="D1206" i="41"/>
  <c r="D1205" i="41"/>
  <c r="D1204" i="41"/>
  <c r="D1203" i="41"/>
  <c r="D1202" i="41"/>
  <c r="D1201" i="41"/>
  <c r="D1200" i="41"/>
  <c r="D1199" i="41"/>
  <c r="D1198" i="41"/>
  <c r="D1197" i="41"/>
  <c r="D1196" i="41"/>
  <c r="D1195" i="41"/>
  <c r="D1194" i="41"/>
  <c r="D1193" i="41"/>
  <c r="D1192" i="41"/>
  <c r="D1191" i="41"/>
  <c r="D1190" i="41"/>
  <c r="D1189" i="41"/>
  <c r="D1187" i="41"/>
  <c r="D1186" i="41"/>
  <c r="D1185" i="41"/>
  <c r="D1184" i="41"/>
  <c r="D1183" i="41"/>
  <c r="D1182" i="41"/>
  <c r="D1181" i="41"/>
  <c r="D1180" i="41"/>
  <c r="D1179" i="41"/>
  <c r="D1178" i="41"/>
  <c r="D1177" i="41"/>
  <c r="D1176" i="41"/>
  <c r="D1175" i="41"/>
  <c r="D1174" i="41"/>
  <c r="D1173" i="41"/>
  <c r="D1172" i="41"/>
  <c r="D1171" i="41"/>
  <c r="D1170" i="41"/>
  <c r="D1169" i="41"/>
  <c r="D1168" i="41"/>
  <c r="D1167" i="41"/>
  <c r="D1166" i="41"/>
  <c r="D1165" i="41"/>
  <c r="D1164" i="41"/>
  <c r="D1162" i="41"/>
  <c r="D1161" i="41"/>
  <c r="D1160" i="41"/>
  <c r="D1159" i="41"/>
  <c r="D1157" i="41"/>
  <c r="D1156" i="41"/>
  <c r="D1155" i="41"/>
  <c r="D1154" i="41"/>
  <c r="D1153" i="41"/>
  <c r="D1152" i="41"/>
  <c r="D1151" i="41"/>
  <c r="D1150" i="41"/>
  <c r="D1149" i="41"/>
  <c r="D1148" i="41"/>
  <c r="D1147" i="41"/>
  <c r="D1146" i="41"/>
  <c r="D1145" i="41"/>
  <c r="D1144" i="41"/>
  <c r="D1143" i="41"/>
  <c r="D1142" i="41"/>
  <c r="D1141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8" i="41"/>
  <c r="D1127" i="41"/>
  <c r="D1126" i="41"/>
  <c r="D1125" i="41"/>
  <c r="D1124" i="41"/>
  <c r="D1123" i="41"/>
  <c r="D1122" i="41"/>
  <c r="D1121" i="41"/>
  <c r="D1120" i="41"/>
  <c r="D1119" i="41"/>
  <c r="D1118" i="41"/>
  <c r="D1117" i="41"/>
  <c r="D1116" i="41"/>
  <c r="D1115" i="41"/>
  <c r="D1114" i="41"/>
  <c r="D1113" i="41"/>
  <c r="D1112" i="41"/>
  <c r="D1111" i="41"/>
  <c r="D1110" i="41"/>
  <c r="D1109" i="41"/>
  <c r="D1108" i="41"/>
  <c r="D1107" i="41"/>
  <c r="D1106" i="41"/>
  <c r="D1105" i="41"/>
  <c r="D1104" i="41"/>
  <c r="D1103" i="41"/>
  <c r="D1102" i="41"/>
  <c r="D1101" i="41"/>
  <c r="D1100" i="41"/>
  <c r="D1099" i="41"/>
  <c r="D1098" i="41"/>
  <c r="D1097" i="41"/>
  <c r="D1096" i="41"/>
  <c r="D1095" i="41"/>
  <c r="D1094" i="41"/>
  <c r="D1093" i="41"/>
  <c r="D1092" i="41"/>
  <c r="D1091" i="41"/>
  <c r="D1090" i="41"/>
  <c r="D1089" i="41"/>
  <c r="D1088" i="41"/>
  <c r="D1087" i="41"/>
  <c r="D1086" i="41"/>
  <c r="D1085" i="41"/>
  <c r="D1084" i="41"/>
  <c r="D1083" i="41"/>
  <c r="D1082" i="41"/>
  <c r="D1081" i="41"/>
  <c r="D1080" i="41"/>
  <c r="D1079" i="41"/>
  <c r="D1078" i="41"/>
  <c r="D1077" i="41"/>
  <c r="D1076" i="41"/>
  <c r="D1075" i="41"/>
  <c r="D1074" i="41"/>
  <c r="D1073" i="41"/>
  <c r="D1072" i="41"/>
  <c r="D1071" i="41"/>
  <c r="D1070" i="41"/>
  <c r="D1069" i="41"/>
  <c r="D1068" i="41"/>
  <c r="D1067" i="41"/>
  <c r="D1066" i="41"/>
  <c r="D1065" i="41"/>
  <c r="D1064" i="41"/>
  <c r="D1063" i="41"/>
  <c r="D1062" i="41"/>
  <c r="D1061" i="41"/>
  <c r="D1060" i="41"/>
  <c r="D1059" i="41"/>
  <c r="D1058" i="41"/>
  <c r="D1057" i="41"/>
  <c r="D1056" i="41"/>
  <c r="D1055" i="41"/>
  <c r="D1054" i="41"/>
  <c r="D1053" i="41"/>
  <c r="D1052" i="41"/>
  <c r="D1051" i="41"/>
  <c r="D1050" i="41"/>
  <c r="D1049" i="41"/>
  <c r="D1048" i="41"/>
  <c r="D1047" i="41"/>
  <c r="D1046" i="41"/>
  <c r="D1045" i="41"/>
  <c r="D1044" i="41"/>
  <c r="D1043" i="41"/>
  <c r="D1042" i="41"/>
  <c r="D1041" i="41"/>
  <c r="D1040" i="41"/>
  <c r="D1039" i="41"/>
  <c r="D1038" i="41"/>
  <c r="D1037" i="41"/>
  <c r="D1036" i="41"/>
  <c r="D1035" i="41"/>
  <c r="D1034" i="41"/>
  <c r="D1033" i="41"/>
  <c r="D1032" i="41"/>
  <c r="D1031" i="41"/>
  <c r="D1030" i="41"/>
  <c r="D1029" i="41"/>
  <c r="D1028" i="41"/>
  <c r="D1027" i="41"/>
  <c r="D1026" i="41"/>
  <c r="D1025" i="41"/>
  <c r="D1024" i="41"/>
  <c r="D1023" i="41"/>
  <c r="D1021" i="41"/>
  <c r="D1020" i="41"/>
  <c r="D1019" i="41"/>
  <c r="D1018" i="41"/>
  <c r="D1017" i="41"/>
  <c r="D1016" i="41"/>
  <c r="D1015" i="41"/>
  <c r="D1014" i="41"/>
  <c r="D1013" i="41"/>
  <c r="D1012" i="41"/>
  <c r="D1011" i="41"/>
  <c r="D1010" i="41"/>
  <c r="D1009" i="41"/>
  <c r="D1008" i="41"/>
  <c r="D1007" i="41"/>
  <c r="D1006" i="41"/>
  <c r="D1005" i="41"/>
  <c r="D1004" i="41"/>
  <c r="D1003" i="41"/>
  <c r="D1002" i="41"/>
  <c r="D1001" i="41"/>
  <c r="D1000" i="41"/>
  <c r="D999" i="41"/>
  <c r="D998" i="41"/>
  <c r="D997" i="41"/>
  <c r="D996" i="41"/>
  <c r="D995" i="41"/>
  <c r="D994" i="41"/>
  <c r="D993" i="41"/>
  <c r="D992" i="41"/>
  <c r="D991" i="41"/>
  <c r="D990" i="41"/>
  <c r="D989" i="41"/>
  <c r="D988" i="41"/>
  <c r="D987" i="41"/>
  <c r="D986" i="41"/>
  <c r="D985" i="41"/>
  <c r="D984" i="41"/>
  <c r="D983" i="41"/>
  <c r="D982" i="41"/>
  <c r="D981" i="41"/>
  <c r="D980" i="41"/>
  <c r="D978" i="41"/>
  <c r="D977" i="41"/>
  <c r="D976" i="41"/>
  <c r="D975" i="41"/>
  <c r="D974" i="41"/>
  <c r="D973" i="41"/>
  <c r="D972" i="41"/>
  <c r="D971" i="41"/>
  <c r="D970" i="41"/>
  <c r="D969" i="41"/>
  <c r="D968" i="41"/>
  <c r="D967" i="41"/>
  <c r="D966" i="41"/>
  <c r="D965" i="41"/>
  <c r="D964" i="41"/>
  <c r="D963" i="41"/>
  <c r="D962" i="41"/>
  <c r="D961" i="41"/>
  <c r="D960" i="41"/>
  <c r="D959" i="41"/>
  <c r="D958" i="41"/>
  <c r="D957" i="41"/>
  <c r="D956" i="41"/>
  <c r="D955" i="41"/>
  <c r="D954" i="41"/>
  <c r="D953" i="41"/>
  <c r="D952" i="41"/>
  <c r="D951" i="41"/>
  <c r="D950" i="41"/>
  <c r="D949" i="41"/>
  <c r="D948" i="41"/>
  <c r="D947" i="41"/>
  <c r="D946" i="41"/>
  <c r="D945" i="41"/>
  <c r="D944" i="41"/>
  <c r="D943" i="41"/>
  <c r="D942" i="41"/>
  <c r="D941" i="41"/>
  <c r="D940" i="41"/>
  <c r="D939" i="41"/>
  <c r="D938" i="41"/>
  <c r="D937" i="41"/>
  <c r="D936" i="41"/>
  <c r="D935" i="41"/>
  <c r="D934" i="41"/>
  <c r="D933" i="41"/>
  <c r="D932" i="41"/>
  <c r="D931" i="41"/>
  <c r="D930" i="41"/>
  <c r="D929" i="41"/>
  <c r="D927" i="41"/>
  <c r="D926" i="41"/>
  <c r="D925" i="41"/>
  <c r="D924" i="41"/>
  <c r="D923" i="41"/>
  <c r="D922" i="41"/>
  <c r="D921" i="41"/>
  <c r="D920" i="41"/>
  <c r="D919" i="41"/>
  <c r="D918" i="41"/>
  <c r="D917" i="41"/>
  <c r="D915" i="41"/>
  <c r="D914" i="41"/>
  <c r="D913" i="41"/>
  <c r="D912" i="41"/>
  <c r="D911" i="41"/>
  <c r="D907" i="41"/>
  <c r="D906" i="41"/>
  <c r="D905" i="41"/>
  <c r="D904" i="41"/>
  <c r="D902" i="41"/>
  <c r="D901" i="41"/>
  <c r="D900" i="41"/>
  <c r="D899" i="41"/>
  <c r="D896" i="41"/>
  <c r="D893" i="41"/>
  <c r="E892" i="41"/>
  <c r="E891" i="41"/>
  <c r="E890" i="41"/>
  <c r="E889" i="41"/>
  <c r="E888" i="41"/>
  <c r="E887" i="41"/>
  <c r="E883" i="41"/>
  <c r="E881" i="41"/>
  <c r="E880" i="41"/>
  <c r="E877" i="41"/>
  <c r="E876" i="41"/>
  <c r="E867" i="41"/>
  <c r="E864" i="41"/>
  <c r="E861" i="41"/>
  <c r="E860" i="41"/>
  <c r="E859" i="41"/>
  <c r="E858" i="41"/>
  <c r="E857" i="41"/>
  <c r="E856" i="41"/>
  <c r="E854" i="41"/>
  <c r="E853" i="41"/>
  <c r="E852" i="41"/>
  <c r="E851" i="41"/>
  <c r="E849" i="41"/>
  <c r="E848" i="41"/>
  <c r="E847" i="41"/>
  <c r="E845" i="41"/>
  <c r="E844" i="41"/>
  <c r="E843" i="41"/>
  <c r="E841" i="41"/>
  <c r="E839" i="41"/>
  <c r="E836" i="41"/>
  <c r="E835" i="41"/>
  <c r="E832" i="41"/>
  <c r="E828" i="41"/>
  <c r="E827" i="41"/>
  <c r="E820" i="41"/>
  <c r="E819" i="41"/>
  <c r="E816" i="41"/>
  <c r="E815" i="41"/>
  <c r="E814" i="41"/>
  <c r="E813" i="41"/>
  <c r="E812" i="41"/>
  <c r="E811" i="41"/>
  <c r="E810" i="41"/>
  <c r="E809" i="41"/>
  <c r="E808" i="41"/>
  <c r="E807" i="41"/>
  <c r="E805" i="41"/>
  <c r="E804" i="41"/>
  <c r="E803" i="41"/>
  <c r="E802" i="41"/>
  <c r="E801" i="41"/>
  <c r="E800" i="41"/>
  <c r="E798" i="41"/>
  <c r="E792" i="41"/>
  <c r="E790" i="41"/>
  <c r="E789" i="41"/>
  <c r="E786" i="41"/>
  <c r="E783" i="41"/>
  <c r="E782" i="41"/>
  <c r="E781" i="41"/>
  <c r="E779" i="41"/>
  <c r="E778" i="41"/>
  <c r="E777" i="41"/>
  <c r="E776" i="41"/>
  <c r="E771" i="41"/>
  <c r="E769" i="41"/>
  <c r="E768" i="41"/>
  <c r="E764" i="41"/>
  <c r="E763" i="41"/>
  <c r="E762" i="41"/>
  <c r="E761" i="41"/>
  <c r="E759" i="41"/>
  <c r="E758" i="41"/>
  <c r="E755" i="41"/>
  <c r="E751" i="41"/>
  <c r="E750" i="41"/>
  <c r="E749" i="41"/>
  <c r="E748" i="41"/>
  <c r="E744" i="41"/>
  <c r="E742" i="41"/>
  <c r="E741" i="41"/>
  <c r="E737" i="41"/>
  <c r="E735" i="41"/>
  <c r="E734" i="41"/>
  <c r="E733" i="41"/>
  <c r="E732" i="41"/>
  <c r="E729" i="41"/>
  <c r="E728" i="41"/>
  <c r="E726" i="41"/>
  <c r="E725" i="41"/>
  <c r="E724" i="41"/>
  <c r="E723" i="41"/>
  <c r="E722" i="41"/>
  <c r="E721" i="41"/>
  <c r="E720" i="41"/>
  <c r="E706" i="41"/>
  <c r="E704" i="41"/>
  <c r="E691" i="41"/>
  <c r="E681" i="41"/>
  <c r="E678" i="41"/>
  <c r="E673" i="41"/>
  <c r="E621" i="41"/>
  <c r="E620" i="41"/>
  <c r="E619" i="41"/>
  <c r="E618" i="41"/>
  <c r="E617" i="41"/>
  <c r="E616" i="41"/>
  <c r="E613" i="41"/>
  <c r="E612" i="41"/>
  <c r="E611" i="41"/>
  <c r="E610" i="41"/>
  <c r="E608" i="41"/>
  <c r="E607" i="41"/>
  <c r="D606" i="41"/>
  <c r="D605" i="41"/>
  <c r="D604" i="41"/>
  <c r="D603" i="41"/>
  <c r="D602" i="41"/>
  <c r="D601" i="41"/>
  <c r="D600" i="41"/>
  <c r="D599" i="41"/>
  <c r="D598" i="41"/>
  <c r="D597" i="41"/>
  <c r="D596" i="41"/>
  <c r="D595" i="41"/>
  <c r="D594" i="41"/>
  <c r="D593" i="41"/>
  <c r="D591" i="41"/>
  <c r="D590" i="41"/>
  <c r="D588" i="41"/>
  <c r="D586" i="41"/>
  <c r="D585" i="41"/>
  <c r="D584" i="41"/>
  <c r="D583" i="41"/>
  <c r="D582" i="41"/>
  <c r="D581" i="41"/>
  <c r="D579" i="41"/>
  <c r="D578" i="41"/>
  <c r="D577" i="41"/>
  <c r="D576" i="41"/>
  <c r="D575" i="41"/>
  <c r="D574" i="41"/>
  <c r="D573" i="41"/>
  <c r="D572" i="41"/>
  <c r="D571" i="41"/>
  <c r="D570" i="41"/>
  <c r="D569" i="41"/>
  <c r="D568" i="41"/>
  <c r="D567" i="41"/>
  <c r="D566" i="41"/>
  <c r="D565" i="41"/>
  <c r="D564" i="41"/>
  <c r="D563" i="41"/>
  <c r="D562" i="41"/>
  <c r="D561" i="41"/>
  <c r="D560" i="41"/>
  <c r="D559" i="41"/>
  <c r="D558" i="41"/>
  <c r="D557" i="41"/>
  <c r="D556" i="41"/>
  <c r="D555" i="41"/>
  <c r="D554" i="41"/>
  <c r="D553" i="41"/>
  <c r="D551" i="41"/>
  <c r="D550" i="41"/>
  <c r="D549" i="41"/>
  <c r="D548" i="41"/>
  <c r="D547" i="41"/>
  <c r="D546" i="41"/>
  <c r="D545" i="41"/>
  <c r="D544" i="41"/>
  <c r="D543" i="41"/>
  <c r="D542" i="41"/>
  <c r="D541" i="41"/>
  <c r="D540" i="41"/>
  <c r="D539" i="41"/>
  <c r="D538" i="41"/>
  <c r="D537" i="41"/>
  <c r="D536" i="41"/>
  <c r="D535" i="41"/>
  <c r="D534" i="41"/>
  <c r="D533" i="41"/>
  <c r="D532" i="41"/>
  <c r="D531" i="41"/>
  <c r="D530" i="41"/>
  <c r="D529" i="41"/>
  <c r="D528" i="41"/>
  <c r="D527" i="41"/>
  <c r="D526" i="41"/>
  <c r="D525" i="41"/>
  <c r="D524" i="41"/>
  <c r="D523" i="41"/>
  <c r="D522" i="41"/>
  <c r="D521" i="41"/>
  <c r="D520" i="41"/>
  <c r="D519" i="41"/>
  <c r="D514" i="41"/>
  <c r="D513" i="41"/>
  <c r="D512" i="41"/>
  <c r="D511" i="41"/>
  <c r="D510" i="41"/>
  <c r="D509" i="41"/>
  <c r="D508" i="41"/>
  <c r="D507" i="41"/>
  <c r="D506" i="41"/>
  <c r="D505" i="41"/>
  <c r="D504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76" i="41"/>
  <c r="D473" i="41"/>
  <c r="D467" i="41"/>
  <c r="D466" i="41"/>
  <c r="D465" i="41"/>
  <c r="D464" i="41"/>
  <c r="D463" i="41"/>
  <c r="D459" i="41"/>
  <c r="D458" i="41"/>
  <c r="D456" i="41"/>
  <c r="D455" i="41"/>
  <c r="D454" i="41"/>
  <c r="D453" i="41"/>
  <c r="D450" i="41"/>
  <c r="D449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6" i="41"/>
  <c r="D435" i="41"/>
  <c r="D434" i="41"/>
  <c r="D433" i="41"/>
  <c r="D431" i="41"/>
  <c r="D430" i="41"/>
  <c r="D429" i="41"/>
  <c r="D428" i="41"/>
  <c r="D427" i="41"/>
  <c r="D425" i="41"/>
  <c r="D422" i="41"/>
  <c r="D419" i="41"/>
  <c r="D418" i="41"/>
  <c r="D417" i="41"/>
  <c r="D414" i="41"/>
  <c r="D412" i="41"/>
  <c r="D411" i="41"/>
  <c r="D409" i="41"/>
  <c r="D406" i="41"/>
  <c r="D405" i="41"/>
  <c r="D404" i="41"/>
  <c r="D402" i="41"/>
  <c r="D401" i="41"/>
  <c r="D400" i="41"/>
  <c r="D398" i="41"/>
  <c r="D397" i="41"/>
  <c r="D396" i="41"/>
  <c r="D395" i="41"/>
  <c r="D394" i="41"/>
  <c r="D393" i="41"/>
  <c r="D392" i="41"/>
  <c r="D391" i="41"/>
  <c r="D390" i="41"/>
  <c r="D389" i="41"/>
  <c r="D388" i="41"/>
  <c r="D387" i="41"/>
  <c r="D386" i="41"/>
  <c r="D385" i="41"/>
  <c r="D384" i="41"/>
  <c r="D383" i="41"/>
  <c r="D381" i="41"/>
  <c r="D380" i="41"/>
  <c r="D379" i="41"/>
  <c r="D378" i="41"/>
  <c r="D377" i="41"/>
  <c r="D376" i="41"/>
  <c r="D375" i="41"/>
  <c r="D374" i="41"/>
  <c r="D373" i="41"/>
  <c r="D372" i="41"/>
  <c r="D371" i="41"/>
  <c r="D370" i="41"/>
  <c r="D369" i="41"/>
  <c r="D368" i="41"/>
  <c r="D367" i="41"/>
  <c r="D364" i="41"/>
  <c r="D363" i="41"/>
  <c r="D362" i="41"/>
  <c r="D361" i="41"/>
  <c r="D359" i="41"/>
  <c r="D358" i="41"/>
  <c r="D357" i="41"/>
  <c r="D354" i="41"/>
  <c r="D353" i="41"/>
  <c r="D352" i="41"/>
  <c r="D351" i="41"/>
  <c r="D350" i="41"/>
  <c r="D349" i="41"/>
  <c r="D348" i="41"/>
  <c r="D347" i="41"/>
  <c r="D346" i="41"/>
  <c r="D345" i="41"/>
  <c r="D344" i="41"/>
  <c r="D343" i="41"/>
  <c r="D342" i="41"/>
  <c r="D341" i="41"/>
  <c r="D340" i="41"/>
  <c r="D339" i="41"/>
  <c r="D336" i="41"/>
  <c r="D335" i="41"/>
  <c r="D334" i="41"/>
  <c r="D332" i="41"/>
  <c r="D331" i="41"/>
  <c r="D330" i="41"/>
  <c r="D329" i="41"/>
  <c r="D328" i="41"/>
  <c r="D327" i="41"/>
  <c r="D326" i="41"/>
  <c r="D325" i="41"/>
  <c r="D324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08" i="41"/>
  <c r="D307" i="41"/>
  <c r="D306" i="41"/>
  <c r="D305" i="41"/>
  <c r="D304" i="41"/>
  <c r="D303" i="41"/>
  <c r="D302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7" i="41"/>
  <c r="D266" i="41"/>
  <c r="D265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1" i="41"/>
  <c r="D179" i="41"/>
  <c r="D178" i="41"/>
  <c r="D177" i="41"/>
  <c r="D176" i="41"/>
  <c r="D175" i="41"/>
  <c r="D174" i="41"/>
  <c r="D172" i="41"/>
  <c r="D171" i="41"/>
  <c r="D170" i="41"/>
  <c r="D169" i="41"/>
  <c r="D168" i="41"/>
  <c r="D167" i="41"/>
  <c r="D166" i="41"/>
  <c r="D165" i="41"/>
  <c r="D164" i="41"/>
  <c r="D163" i="41"/>
  <c r="D162" i="41"/>
  <c r="D161" i="41"/>
  <c r="D160" i="41"/>
  <c r="D159" i="41"/>
  <c r="D158" i="41"/>
  <c r="D157" i="41"/>
  <c r="D156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Q290" i="40" l="1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9" i="40" l="1"/>
  <c r="R10" i="40"/>
  <c r="R11" i="40"/>
  <c r="R12" i="40"/>
  <c r="R13" i="40"/>
  <c r="R14" i="40"/>
  <c r="R15" i="40"/>
  <c r="R16" i="40"/>
  <c r="R17" i="40"/>
  <c r="R18" i="40"/>
  <c r="R19" i="40"/>
  <c r="R20" i="40"/>
  <c r="R21" i="40"/>
  <c r="R22" i="40"/>
  <c r="R23" i="40"/>
  <c r="R24" i="40"/>
  <c r="R25" i="40"/>
  <c r="R26" i="40"/>
  <c r="R27" i="40"/>
  <c r="R28" i="40"/>
  <c r="R29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48" i="40"/>
  <c r="R49" i="40"/>
  <c r="R50" i="40"/>
  <c r="R51" i="40"/>
  <c r="R52" i="40"/>
  <c r="R53" i="40"/>
  <c r="R54" i="40"/>
  <c r="R55" i="40"/>
  <c r="R56" i="40"/>
  <c r="R57" i="40"/>
  <c r="R58" i="40"/>
  <c r="R59" i="40"/>
  <c r="R60" i="40"/>
  <c r="R61" i="40"/>
  <c r="R62" i="40"/>
  <c r="R63" i="40"/>
  <c r="R64" i="40"/>
  <c r="R65" i="40"/>
  <c r="R66" i="40"/>
  <c r="R67" i="40"/>
  <c r="R68" i="40"/>
  <c r="R69" i="40"/>
  <c r="R70" i="40"/>
  <c r="R71" i="40"/>
  <c r="R72" i="40"/>
  <c r="R73" i="40"/>
  <c r="R74" i="40"/>
  <c r="R75" i="40"/>
  <c r="R76" i="40"/>
  <c r="R77" i="40"/>
  <c r="R78" i="40"/>
  <c r="R79" i="40"/>
  <c r="R80" i="40"/>
  <c r="R81" i="40"/>
  <c r="R82" i="40"/>
  <c r="R83" i="40"/>
  <c r="R84" i="40"/>
  <c r="R85" i="40"/>
  <c r="R86" i="40"/>
  <c r="R87" i="40"/>
  <c r="R88" i="40"/>
  <c r="R89" i="40"/>
  <c r="R90" i="40"/>
  <c r="R91" i="40"/>
  <c r="R92" i="40"/>
  <c r="R93" i="40"/>
  <c r="R94" i="40"/>
  <c r="R95" i="40"/>
  <c r="R96" i="40"/>
  <c r="R97" i="40"/>
  <c r="R98" i="40"/>
  <c r="R99" i="40"/>
  <c r="R100" i="40"/>
  <c r="R101" i="40"/>
  <c r="R102" i="40"/>
  <c r="R103" i="40"/>
  <c r="R104" i="40"/>
  <c r="R105" i="40"/>
  <c r="R106" i="40"/>
  <c r="R107" i="40"/>
  <c r="R108" i="40"/>
  <c r="R109" i="40"/>
  <c r="R110" i="40"/>
  <c r="R111" i="40"/>
  <c r="R113" i="40"/>
  <c r="R114" i="40"/>
  <c r="R115" i="40"/>
  <c r="R117" i="40"/>
  <c r="R118" i="40"/>
  <c r="R119" i="40"/>
  <c r="R121" i="40"/>
  <c r="R122" i="40"/>
  <c r="R123" i="40"/>
  <c r="R125" i="40"/>
  <c r="R126" i="40"/>
  <c r="R127" i="40"/>
  <c r="R129" i="40"/>
  <c r="R130" i="40"/>
  <c r="R131" i="40"/>
  <c r="R133" i="40"/>
  <c r="R134" i="40"/>
  <c r="R135" i="40"/>
  <c r="R137" i="40"/>
  <c r="R138" i="40"/>
  <c r="R139" i="40"/>
  <c r="R141" i="40"/>
  <c r="R142" i="40"/>
  <c r="R143" i="40"/>
  <c r="R145" i="40"/>
  <c r="R146" i="40"/>
  <c r="R147" i="40"/>
  <c r="R149" i="40"/>
  <c r="R150" i="40"/>
  <c r="R151" i="40"/>
  <c r="R153" i="40"/>
  <c r="R154" i="40"/>
  <c r="R155" i="40"/>
  <c r="R157" i="40"/>
  <c r="R158" i="40"/>
  <c r="R159" i="40"/>
  <c r="R161" i="40"/>
  <c r="R162" i="40"/>
  <c r="R163" i="40"/>
  <c r="R165" i="40"/>
  <c r="R166" i="40"/>
  <c r="R167" i="40"/>
  <c r="R169" i="40"/>
  <c r="R170" i="40"/>
  <c r="R171" i="40"/>
  <c r="R173" i="40"/>
  <c r="R174" i="40"/>
  <c r="R175" i="40"/>
  <c r="R177" i="40"/>
  <c r="R178" i="40"/>
  <c r="R179" i="40"/>
  <c r="R181" i="40"/>
  <c r="R182" i="40"/>
  <c r="R183" i="40"/>
  <c r="R184" i="40"/>
  <c r="R185" i="40"/>
  <c r="R186" i="40"/>
  <c r="R187" i="40"/>
  <c r="R188" i="40"/>
  <c r="R189" i="40"/>
  <c r="R190" i="40"/>
  <c r="R191" i="40"/>
  <c r="R192" i="40"/>
  <c r="R193" i="40"/>
  <c r="R194" i="40"/>
  <c r="R195" i="40"/>
  <c r="R196" i="40"/>
  <c r="R197" i="40"/>
  <c r="R198" i="40"/>
  <c r="R199" i="40"/>
  <c r="R200" i="40"/>
  <c r="R201" i="40"/>
  <c r="R202" i="40"/>
  <c r="R203" i="40"/>
  <c r="R204" i="40"/>
  <c r="R205" i="40"/>
  <c r="R206" i="40"/>
  <c r="R207" i="40"/>
  <c r="R208" i="40"/>
  <c r="R209" i="40"/>
  <c r="R210" i="40"/>
  <c r="R211" i="40"/>
  <c r="R212" i="40"/>
  <c r="R213" i="40"/>
  <c r="R214" i="40"/>
  <c r="R215" i="40"/>
  <c r="R216" i="40"/>
  <c r="R217" i="40"/>
  <c r="R218" i="40"/>
  <c r="R219" i="40"/>
  <c r="R220" i="40"/>
  <c r="R221" i="40"/>
  <c r="R222" i="40"/>
  <c r="R223" i="40"/>
  <c r="R224" i="40"/>
  <c r="R225" i="40"/>
  <c r="R226" i="40"/>
  <c r="R227" i="40"/>
  <c r="R228" i="40"/>
  <c r="R229" i="40"/>
  <c r="R230" i="40"/>
  <c r="R231" i="40"/>
  <c r="R232" i="40"/>
  <c r="R233" i="40"/>
  <c r="R234" i="40"/>
  <c r="R235" i="40"/>
  <c r="R236" i="40"/>
  <c r="R237" i="40"/>
  <c r="R238" i="40"/>
  <c r="R239" i="40"/>
  <c r="R240" i="40"/>
  <c r="R241" i="40"/>
  <c r="R242" i="40"/>
  <c r="R243" i="40"/>
  <c r="R244" i="40"/>
  <c r="R245" i="40"/>
  <c r="R246" i="40"/>
  <c r="R247" i="40"/>
  <c r="R248" i="40"/>
  <c r="R249" i="40"/>
  <c r="R250" i="40"/>
  <c r="R251" i="40"/>
  <c r="R252" i="40"/>
  <c r="R253" i="40"/>
  <c r="R254" i="40"/>
  <c r="R255" i="40"/>
  <c r="R256" i="40"/>
  <c r="R257" i="40"/>
  <c r="R258" i="40"/>
  <c r="R259" i="40"/>
  <c r="R260" i="40"/>
  <c r="R261" i="40"/>
  <c r="R262" i="40"/>
  <c r="R263" i="40"/>
  <c r="R264" i="40"/>
  <c r="R265" i="40"/>
  <c r="R266" i="40"/>
  <c r="R267" i="40"/>
  <c r="R268" i="40"/>
  <c r="R269" i="40"/>
  <c r="R270" i="40"/>
  <c r="R271" i="40"/>
  <c r="R272" i="40"/>
  <c r="R273" i="40"/>
  <c r="R274" i="40"/>
  <c r="R275" i="40"/>
  <c r="R276" i="40"/>
  <c r="R277" i="40"/>
  <c r="R278" i="40"/>
  <c r="R279" i="40"/>
  <c r="R280" i="40"/>
  <c r="R281" i="40"/>
  <c r="R282" i="40"/>
  <c r="R283" i="40"/>
  <c r="R284" i="40"/>
  <c r="R285" i="40"/>
  <c r="R286" i="40"/>
  <c r="R287" i="40"/>
  <c r="R288" i="40"/>
  <c r="R289" i="40"/>
  <c r="R290" i="40"/>
  <c r="R112" i="40"/>
  <c r="R116" i="40"/>
  <c r="R120" i="40"/>
  <c r="R124" i="40"/>
  <c r="R128" i="40"/>
  <c r="R132" i="40"/>
  <c r="R136" i="40"/>
  <c r="R140" i="40"/>
  <c r="R144" i="40"/>
  <c r="R148" i="40"/>
  <c r="R152" i="40"/>
  <c r="R156" i="40"/>
  <c r="R160" i="40"/>
  <c r="R164" i="40"/>
  <c r="R168" i="40"/>
  <c r="R172" i="40"/>
  <c r="R176" i="40"/>
  <c r="R180" i="40"/>
  <c r="C27" i="42" l="1"/>
  <c r="D27" i="42" s="1"/>
  <c r="C26" i="42"/>
  <c r="D26" i="42" s="1"/>
  <c r="C25" i="42"/>
  <c r="D25" i="42" s="1"/>
  <c r="C24" i="42"/>
  <c r="Q58" i="3"/>
  <c r="Q38" i="3"/>
  <c r="D24" i="42" l="1"/>
  <c r="C28" i="42"/>
  <c r="D28" i="42" s="1"/>
  <c r="K38" i="3"/>
  <c r="K39" i="3"/>
  <c r="R39" i="3" s="1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R58" i="3" s="1"/>
  <c r="K59" i="3"/>
  <c r="Q59" i="3"/>
  <c r="K60" i="3"/>
  <c r="Q60" i="3"/>
  <c r="K61" i="3"/>
  <c r="Q61" i="3"/>
  <c r="K62" i="3"/>
  <c r="Q62" i="3"/>
  <c r="K63" i="3"/>
  <c r="Q63" i="3"/>
  <c r="K38" i="39"/>
  <c r="Q38" i="39"/>
  <c r="R38" i="39" s="1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38" i="38"/>
  <c r="Q38" i="38"/>
  <c r="K39" i="38"/>
  <c r="Q39" i="38"/>
  <c r="K40" i="38"/>
  <c r="Q40" i="38"/>
  <c r="R40" i="38" s="1"/>
  <c r="K41" i="38"/>
  <c r="Q41" i="38"/>
  <c r="K42" i="38"/>
  <c r="Q42" i="38"/>
  <c r="R42" i="38" s="1"/>
  <c r="K43" i="38"/>
  <c r="Q43" i="38"/>
  <c r="R43" i="38" s="1"/>
  <c r="K44" i="38"/>
  <c r="Q44" i="38"/>
  <c r="R44" i="38" s="1"/>
  <c r="K45" i="38"/>
  <c r="Q45" i="38"/>
  <c r="K46" i="38"/>
  <c r="Q46" i="38"/>
  <c r="R46" i="38" s="1"/>
  <c r="K47" i="38"/>
  <c r="Q47" i="38"/>
  <c r="K48" i="38"/>
  <c r="Q48" i="38"/>
  <c r="R48" i="38" s="1"/>
  <c r="K49" i="38"/>
  <c r="Q49" i="38"/>
  <c r="K50" i="38"/>
  <c r="Q50" i="38"/>
  <c r="R50" i="38" s="1"/>
  <c r="K51" i="38"/>
  <c r="Q51" i="38"/>
  <c r="K52" i="38"/>
  <c r="Q52" i="38"/>
  <c r="R52" i="38" s="1"/>
  <c r="K53" i="38"/>
  <c r="Q53" i="38"/>
  <c r="K54" i="38"/>
  <c r="Q54" i="38"/>
  <c r="R54" i="38" s="1"/>
  <c r="K55" i="38"/>
  <c r="Q55" i="38"/>
  <c r="K56" i="38"/>
  <c r="Q56" i="38"/>
  <c r="R56" i="38" s="1"/>
  <c r="K57" i="38"/>
  <c r="Q57" i="38"/>
  <c r="K58" i="38"/>
  <c r="Q58" i="38"/>
  <c r="R58" i="38" s="1"/>
  <c r="K59" i="38"/>
  <c r="Q59" i="38"/>
  <c r="K60" i="38"/>
  <c r="Q60" i="38"/>
  <c r="R60" i="38" s="1"/>
  <c r="K61" i="38"/>
  <c r="Q61" i="38"/>
  <c r="R61" i="38" s="1"/>
  <c r="K62" i="38"/>
  <c r="Q62" i="38"/>
  <c r="R62" i="38" s="1"/>
  <c r="K63" i="38"/>
  <c r="Q63" i="38"/>
  <c r="K64" i="38"/>
  <c r="Q64" i="38"/>
  <c r="R64" i="38" s="1"/>
  <c r="K65" i="38"/>
  <c r="Q65" i="38"/>
  <c r="R65" i="38" s="1"/>
  <c r="K66" i="38"/>
  <c r="Q66" i="38"/>
  <c r="R66" i="38" s="1"/>
  <c r="K67" i="38"/>
  <c r="Q67" i="38"/>
  <c r="R67" i="38" s="1"/>
  <c r="K68" i="38"/>
  <c r="Q68" i="38"/>
  <c r="R68" i="38" s="1"/>
  <c r="K69" i="38"/>
  <c r="Q69" i="38"/>
  <c r="R69" i="38" s="1"/>
  <c r="K70" i="38"/>
  <c r="Q70" i="38"/>
  <c r="R70" i="38" s="1"/>
  <c r="K71" i="38"/>
  <c r="Q71" i="38"/>
  <c r="K72" i="38"/>
  <c r="Q72" i="38"/>
  <c r="R72" i="38" s="1"/>
  <c r="K73" i="38"/>
  <c r="Q73" i="38"/>
  <c r="R73" i="38" s="1"/>
  <c r="K74" i="38"/>
  <c r="Q74" i="38"/>
  <c r="R74" i="38" s="1"/>
  <c r="K75" i="38"/>
  <c r="Q75" i="38"/>
  <c r="K76" i="38"/>
  <c r="Q76" i="38"/>
  <c r="R76" i="38" s="1"/>
  <c r="K77" i="38"/>
  <c r="Q77" i="38"/>
  <c r="K78" i="38"/>
  <c r="Q78" i="38"/>
  <c r="R78" i="38" s="1"/>
  <c r="K79" i="38"/>
  <c r="Q79" i="38"/>
  <c r="K80" i="38"/>
  <c r="Q80" i="38"/>
  <c r="R80" i="38" s="1"/>
  <c r="K81" i="38"/>
  <c r="Q81" i="38"/>
  <c r="R81" i="38" s="1"/>
  <c r="K82" i="38"/>
  <c r="Q82" i="38"/>
  <c r="R82" i="38" s="1"/>
  <c r="K83" i="38"/>
  <c r="Q83" i="38"/>
  <c r="K84" i="38"/>
  <c r="Q84" i="38"/>
  <c r="R84" i="38" s="1"/>
  <c r="K85" i="38"/>
  <c r="Q85" i="38"/>
  <c r="K86" i="38"/>
  <c r="Q86" i="38"/>
  <c r="R86" i="38" s="1"/>
  <c r="K87" i="38"/>
  <c r="Q87" i="38"/>
  <c r="K88" i="38"/>
  <c r="Q88" i="38"/>
  <c r="R88" i="38" s="1"/>
  <c r="K89" i="38"/>
  <c r="Q89" i="38"/>
  <c r="K90" i="38"/>
  <c r="Q90" i="38"/>
  <c r="R90" i="38" s="1"/>
  <c r="K91" i="38"/>
  <c r="Q91" i="38"/>
  <c r="K92" i="38"/>
  <c r="Q92" i="38"/>
  <c r="R92" i="38" s="1"/>
  <c r="K93" i="38"/>
  <c r="Q93" i="38"/>
  <c r="K94" i="38"/>
  <c r="Q94" i="38"/>
  <c r="R94" i="38" s="1"/>
  <c r="K95" i="38"/>
  <c r="Q95" i="38"/>
  <c r="K96" i="38"/>
  <c r="Q96" i="38"/>
  <c r="R96" i="38" s="1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R115" i="38" s="1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K38" i="37"/>
  <c r="R38" i="37" s="1"/>
  <c r="K39" i="37"/>
  <c r="R39" i="37" s="1"/>
  <c r="K40" i="37"/>
  <c r="K41" i="37"/>
  <c r="K42" i="37"/>
  <c r="R42" i="37" s="1"/>
  <c r="K43" i="37"/>
  <c r="R43" i="37" s="1"/>
  <c r="K44" i="37"/>
  <c r="K45" i="37"/>
  <c r="K46" i="37"/>
  <c r="K47" i="37"/>
  <c r="R47" i="37" s="1"/>
  <c r="K48" i="37"/>
  <c r="K49" i="37"/>
  <c r="K50" i="37"/>
  <c r="R50" i="37" s="1"/>
  <c r="K51" i="37"/>
  <c r="R51" i="37" s="1"/>
  <c r="K52" i="37"/>
  <c r="K53" i="37"/>
  <c r="K54" i="37"/>
  <c r="K55" i="37"/>
  <c r="R55" i="37" s="1"/>
  <c r="R125" i="38" l="1"/>
  <c r="R117" i="38"/>
  <c r="R99" i="38"/>
  <c r="R59" i="3"/>
  <c r="R50" i="3"/>
  <c r="R53" i="37"/>
  <c r="R49" i="37"/>
  <c r="R45" i="37"/>
  <c r="R52" i="37"/>
  <c r="R48" i="37"/>
  <c r="R44" i="37"/>
  <c r="R40" i="37"/>
  <c r="R102" i="38"/>
  <c r="R97" i="38"/>
  <c r="R128" i="38"/>
  <c r="R127" i="38"/>
  <c r="R124" i="38"/>
  <c r="R123" i="38"/>
  <c r="R121" i="38"/>
  <c r="R120" i="38"/>
  <c r="R119" i="38"/>
  <c r="R116" i="38"/>
  <c r="R113" i="38"/>
  <c r="R112" i="38"/>
  <c r="R111" i="38"/>
  <c r="R109" i="38"/>
  <c r="R108" i="38"/>
  <c r="R38" i="38"/>
  <c r="R126" i="38"/>
  <c r="R118" i="38"/>
  <c r="R110" i="38"/>
  <c r="R122" i="38"/>
  <c r="R114" i="38"/>
  <c r="R59" i="38"/>
  <c r="R107" i="38"/>
  <c r="R106" i="38"/>
  <c r="R105" i="38"/>
  <c r="R104" i="38"/>
  <c r="R103" i="38"/>
  <c r="R101" i="38"/>
  <c r="R100" i="38"/>
  <c r="R98" i="38"/>
  <c r="R95" i="38"/>
  <c r="R93" i="38"/>
  <c r="R91" i="38"/>
  <c r="R89" i="38"/>
  <c r="R87" i="38"/>
  <c r="R85" i="38"/>
  <c r="R83" i="38"/>
  <c r="R79" i="38"/>
  <c r="R77" i="38"/>
  <c r="R75" i="38"/>
  <c r="R71" i="38"/>
  <c r="R63" i="38"/>
  <c r="R57" i="38"/>
  <c r="R55" i="38"/>
  <c r="R53" i="38"/>
  <c r="R51" i="38"/>
  <c r="R49" i="38"/>
  <c r="R47" i="38"/>
  <c r="R45" i="38"/>
  <c r="R41" i="38"/>
  <c r="R39" i="38"/>
  <c r="R68" i="39"/>
  <c r="R67" i="39"/>
  <c r="R66" i="39"/>
  <c r="R65" i="39"/>
  <c r="R64" i="39"/>
  <c r="R63" i="39"/>
  <c r="R62" i="39"/>
  <c r="R61" i="39"/>
  <c r="R60" i="39"/>
  <c r="R59" i="39"/>
  <c r="R58" i="39"/>
  <c r="R57" i="39"/>
  <c r="R56" i="39"/>
  <c r="R55" i="39"/>
  <c r="R54" i="39"/>
  <c r="R53" i="39"/>
  <c r="R52" i="39"/>
  <c r="R51" i="39"/>
  <c r="R50" i="39"/>
  <c r="R49" i="39"/>
  <c r="R48" i="39"/>
  <c r="R47" i="39"/>
  <c r="R46" i="39"/>
  <c r="R45" i="39"/>
  <c r="R44" i="39"/>
  <c r="R43" i="39"/>
  <c r="R42" i="39"/>
  <c r="R41" i="39"/>
  <c r="R40" i="39"/>
  <c r="R39" i="39"/>
  <c r="R54" i="37"/>
  <c r="R46" i="37"/>
  <c r="R41" i="37"/>
  <c r="R63" i="3"/>
  <c r="R62" i="3"/>
  <c r="R61" i="3"/>
  <c r="R60" i="3"/>
  <c r="R57" i="3"/>
  <c r="R56" i="3"/>
  <c r="R55" i="3"/>
  <c r="R54" i="3"/>
  <c r="R53" i="3"/>
  <c r="R52" i="3"/>
  <c r="R51" i="3"/>
  <c r="R49" i="3"/>
  <c r="R48" i="3"/>
  <c r="R47" i="3"/>
  <c r="R46" i="3"/>
  <c r="R45" i="3"/>
  <c r="R44" i="3"/>
  <c r="R43" i="3"/>
  <c r="R42" i="3"/>
  <c r="R41" i="3"/>
  <c r="R40" i="3"/>
  <c r="R38" i="3"/>
  <c r="AB4" i="38"/>
  <c r="Z4" i="38"/>
  <c r="Z4" i="39" s="1"/>
  <c r="F4" i="38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AB4" i="39"/>
  <c r="F4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0" i="39" l="1"/>
  <c r="R34" i="39"/>
  <c r="R32" i="39"/>
  <c r="R28" i="39"/>
  <c r="R26" i="39"/>
  <c r="R24" i="39"/>
  <c r="R22" i="39"/>
  <c r="R20" i="39"/>
  <c r="R1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<sst xmlns="http://schemas.openxmlformats.org/spreadsheetml/2006/main" count="9895" uniqueCount="2570">
  <si>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</si>
  <si>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</si>
  <si>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</si>
  <si>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</si>
  <si>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</si>
  <si>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</si>
  <si>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</si>
  <si>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</si>
  <si>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</si>
  <si>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</si>
  <si>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</si>
  <si>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</si>
  <si>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</si>
  <si>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</si>
  <si>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</si>
  <si>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</si>
  <si>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</si>
  <si>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</si>
  <si>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</si>
  <si>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</si>
  <si>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</si>
  <si>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</si>
  <si>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</si>
  <si>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</si>
  <si>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</si>
  <si>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</si>
  <si>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</si>
  <si>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</si>
  <si>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</si>
  <si>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</si>
  <si>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</si>
  <si>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</si>
  <si>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</si>
  <si>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</si>
  <si>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</si>
  <si>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</si>
  <si>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</si>
  <si>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</si>
  <si>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Ishaka</t>
  </si>
  <si>
    <t>Bushenyi</t>
  </si>
  <si>
    <t>Masaka</t>
  </si>
  <si>
    <t>Rukungiri</t>
  </si>
  <si>
    <t>Sheema</t>
  </si>
  <si>
    <t>Rwanda</t>
  </si>
  <si>
    <t>Ibanda</t>
  </si>
  <si>
    <t>Kigali</t>
  </si>
  <si>
    <t>Congo</t>
  </si>
  <si>
    <t>Hima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</si>
  <si>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</si>
  <si>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</si>
  <si>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</si>
  <si>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</si>
  <si>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</si>
  <si>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</si>
  <si>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</si>
  <si>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</si>
  <si>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</si>
  <si>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</si>
  <si>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</si>
  <si>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</si>
  <si>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</si>
  <si>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</si>
  <si>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</si>
  <si>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</si>
  <si>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</si>
  <si>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</si>
  <si>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</si>
  <si>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</si>
  <si>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</si>
  <si>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</si>
  <si>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</si>
  <si>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</si>
  <si>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</si>
  <si>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</si>
  <si>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Felix C.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</si>
  <si>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</si>
  <si>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</si>
  <si>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</si>
  <si>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</si>
  <si>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</si>
  <si>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</si>
  <si>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</si>
  <si>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</si>
  <si>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</si>
  <si>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</si>
  <si>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</si>
  <si>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</si>
  <si>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</si>
  <si>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</si>
  <si>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</si>
  <si>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</si>
  <si>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</si>
  <si>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</si>
  <si>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</si>
  <si>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</si>
  <si>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</si>
  <si>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</si>
  <si>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</si>
  <si>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</si>
  <si>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</si>
  <si>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</si>
  <si>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</si>
  <si>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</si>
  <si>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</si>
  <si>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</si>
  <si>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</si>
  <si>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</si>
  <si>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</si>
  <si>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</si>
  <si>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</si>
  <si>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</si>
  <si>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</si>
  <si>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</si>
  <si>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</si>
  <si>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</si>
  <si>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</si>
  <si>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</si>
  <si>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</si>
  <si>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</si>
  <si>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</si>
  <si>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</si>
  <si>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</si>
  <si>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</si>
  <si>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</si>
  <si>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</si>
  <si>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</si>
  <si>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</si>
  <si>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</si>
  <si>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</si>
  <si>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</si>
  <si>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</si>
  <si>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</si>
  <si>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</si>
  <si>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</si>
  <si>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</si>
  <si>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</si>
  <si>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</si>
  <si>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</si>
  <si>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</si>
  <si>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</si>
  <si>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</si>
  <si>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</si>
  <si>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</si>
  <si>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</si>
  <si>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</si>
  <si>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</si>
  <si>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</si>
  <si>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</si>
  <si>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</si>
  <si>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</si>
  <si>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</si>
  <si>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</si>
  <si>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24.08.19</t>
  </si>
  <si>
    <t>Iganga-Kaliro Rd</t>
  </si>
  <si>
    <t>Iganga</t>
  </si>
  <si>
    <t>Kaliro</t>
  </si>
  <si>
    <t>Kirabo Edith</t>
  </si>
  <si>
    <t>Isaac Akure</t>
  </si>
  <si>
    <t>UBB 204G</t>
  </si>
  <si>
    <t>Wakiso</t>
  </si>
  <si>
    <t>Uga</t>
  </si>
  <si>
    <t>Kabira</t>
  </si>
  <si>
    <t>Y</t>
  </si>
  <si>
    <t>UAJ 283F</t>
  </si>
  <si>
    <t>Jinja</t>
  </si>
  <si>
    <t>UAN 195Q</t>
  </si>
  <si>
    <t>Mukono</t>
  </si>
  <si>
    <t>UBA 865V</t>
  </si>
  <si>
    <t>Kampala</t>
  </si>
  <si>
    <t>Nabigalo</t>
  </si>
  <si>
    <t>UAS 126A</t>
  </si>
  <si>
    <t>UAW 781F</t>
  </si>
  <si>
    <t>Bugerwe</t>
  </si>
  <si>
    <t>Namugala</t>
  </si>
  <si>
    <t>UAE 400F</t>
  </si>
  <si>
    <t>UAJ 126D</t>
  </si>
  <si>
    <t>Magamaga</t>
  </si>
  <si>
    <t>UAY 720N</t>
  </si>
  <si>
    <t>UAX 893Y</t>
  </si>
  <si>
    <t>Irinda</t>
  </si>
  <si>
    <t>UBA 982B</t>
  </si>
  <si>
    <t>UAK 473X</t>
  </si>
  <si>
    <t>UAL 681Z</t>
  </si>
  <si>
    <t>Kakira</t>
  </si>
  <si>
    <t>UAL 758V</t>
  </si>
  <si>
    <t>Busesa</t>
  </si>
  <si>
    <t>Bugweri</t>
  </si>
  <si>
    <t>Nabitovu</t>
  </si>
  <si>
    <t>UAZ 355H</t>
  </si>
  <si>
    <t>Kyanga</t>
  </si>
  <si>
    <t>UAK 002F</t>
  </si>
  <si>
    <t>UAV 252E</t>
  </si>
  <si>
    <t>Bunyiiro</t>
  </si>
  <si>
    <t>UAQ 598E</t>
  </si>
  <si>
    <t>Nawanika</t>
  </si>
  <si>
    <t>UAZ 329W</t>
  </si>
  <si>
    <t>UEN 384H</t>
  </si>
  <si>
    <t>Buwolmera</t>
  </si>
  <si>
    <t>UAL 373H</t>
  </si>
  <si>
    <t>UAZ 293J</t>
  </si>
  <si>
    <t>Kayunga</t>
  </si>
  <si>
    <t>Kilama</t>
  </si>
  <si>
    <t>UBA 419Q</t>
  </si>
  <si>
    <t>Mamumagala</t>
  </si>
  <si>
    <t>UBC 278D</t>
  </si>
  <si>
    <t>UAW 666X</t>
  </si>
  <si>
    <t>UBC 299T</t>
  </si>
  <si>
    <t>UAE 723H</t>
  </si>
  <si>
    <t>UAV 662X</t>
  </si>
  <si>
    <t>Bugiri</t>
  </si>
  <si>
    <t>UBD 600D</t>
  </si>
  <si>
    <t>UAY 781C</t>
  </si>
  <si>
    <t>UAJ 344A</t>
  </si>
  <si>
    <t>UBA 707P</t>
  </si>
  <si>
    <t>Mbalala</t>
  </si>
  <si>
    <t>UBD 162K</t>
  </si>
  <si>
    <t>Kigulo</t>
  </si>
  <si>
    <t>UDY 560V</t>
  </si>
  <si>
    <t>N</t>
  </si>
  <si>
    <t>UAN 532E</t>
  </si>
  <si>
    <t>Kigulu</t>
  </si>
  <si>
    <t>UAE 818W</t>
  </si>
  <si>
    <t>UEX 823K</t>
  </si>
  <si>
    <t>UBD 253B</t>
  </si>
  <si>
    <t>UAX 623S</t>
  </si>
  <si>
    <t>UAP 221T</t>
  </si>
  <si>
    <t>Nabingalo</t>
  </si>
  <si>
    <t>UAV 764L</t>
  </si>
  <si>
    <t>UBB 008J</t>
  </si>
  <si>
    <t>Kalama</t>
  </si>
  <si>
    <t>UAE 277H</t>
  </si>
  <si>
    <t>UDN 165K</t>
  </si>
  <si>
    <t>UAT 378T</t>
  </si>
  <si>
    <t>UBF 673H</t>
  </si>
  <si>
    <t>UBE 742S</t>
  </si>
  <si>
    <t>UBF 359K</t>
  </si>
  <si>
    <t>UAP 922X</t>
  </si>
  <si>
    <t>UBA 285Q</t>
  </si>
  <si>
    <t>UAV 746T</t>
  </si>
  <si>
    <t>Buboko</t>
  </si>
  <si>
    <t>UAL 248H</t>
  </si>
  <si>
    <t>UAP 538K</t>
  </si>
  <si>
    <t>UAW 216V</t>
  </si>
  <si>
    <t>Mayuge</t>
  </si>
  <si>
    <t>UAQ 332E</t>
  </si>
  <si>
    <t>Racheal</t>
  </si>
  <si>
    <t>UAY 695F</t>
  </si>
  <si>
    <t>Nakalama</t>
  </si>
  <si>
    <t>UWO 251C</t>
  </si>
  <si>
    <t>Buwolumera</t>
  </si>
  <si>
    <t>UAT 889B</t>
  </si>
  <si>
    <t>UAK 508K</t>
  </si>
  <si>
    <t>Kawete</t>
  </si>
  <si>
    <t>UAJ 114D</t>
  </si>
  <si>
    <t>UDG 017K</t>
  </si>
  <si>
    <t>UBE 157B</t>
  </si>
  <si>
    <t>UAU 413G</t>
  </si>
  <si>
    <t>Kirama</t>
  </si>
  <si>
    <t>UEW 992D</t>
  </si>
  <si>
    <t>Nasuti</t>
  </si>
  <si>
    <t>UAR 406K</t>
  </si>
  <si>
    <t>Buhuka</t>
  </si>
  <si>
    <t>UEX 117N</t>
  </si>
  <si>
    <t>Namungaala</t>
  </si>
  <si>
    <t>UAM 808V</t>
  </si>
  <si>
    <t>Gandumire</t>
  </si>
  <si>
    <t>UBE 131B</t>
  </si>
  <si>
    <t>UAW 103W</t>
  </si>
  <si>
    <t>UAP 080Y</t>
  </si>
  <si>
    <t>UAL 234P</t>
  </si>
  <si>
    <t>UAQ 118C</t>
  </si>
  <si>
    <t>UBD 179R</t>
  </si>
  <si>
    <t>UEF 225L</t>
  </si>
  <si>
    <t>UAA 029B</t>
  </si>
  <si>
    <t>UBD 655C</t>
  </si>
  <si>
    <t>UAF 220Q</t>
  </si>
  <si>
    <t>Buweremera</t>
  </si>
  <si>
    <t>UBF 963M</t>
  </si>
  <si>
    <t>UAK 727X</t>
  </si>
  <si>
    <t>UAL 676U</t>
  </si>
  <si>
    <t>Buwotomera</t>
  </si>
  <si>
    <t>UAJ 214P</t>
  </si>
  <si>
    <t>UAU 950H</t>
  </si>
  <si>
    <t>UAJ 178Z</t>
  </si>
  <si>
    <t>Pallisa</t>
  </si>
  <si>
    <t>UAV 280V</t>
  </si>
  <si>
    <t>Masuti</t>
  </si>
  <si>
    <t>UAF 866H</t>
  </si>
  <si>
    <t>UAQ 870S</t>
  </si>
  <si>
    <t>UAQ 275Z</t>
  </si>
  <si>
    <t>UAN 146J</t>
  </si>
  <si>
    <t>UAB 512B</t>
  </si>
  <si>
    <t>UAP 108T</t>
  </si>
  <si>
    <t>Nawaninji</t>
  </si>
  <si>
    <t>Ntinda</t>
  </si>
  <si>
    <t>UAY 884Q</t>
  </si>
  <si>
    <t>Gadumire</t>
  </si>
  <si>
    <t>UBD 931T</t>
  </si>
  <si>
    <t>UAT 175G</t>
  </si>
  <si>
    <t>UAH 128G</t>
  </si>
  <si>
    <t>Bunyiro</t>
  </si>
  <si>
    <t>UAW 920K</t>
  </si>
  <si>
    <t>Nambale</t>
  </si>
  <si>
    <t>UAH 239K</t>
  </si>
  <si>
    <t>Nawanda</t>
  </si>
  <si>
    <t>UAS 818A</t>
  </si>
  <si>
    <t>UAW 533W</t>
  </si>
  <si>
    <t>UAG 089H</t>
  </si>
  <si>
    <t>UAR 062T</t>
  </si>
  <si>
    <t>UAU 363D</t>
  </si>
  <si>
    <t>UBD 112Y</t>
  </si>
  <si>
    <t>26.08.19</t>
  </si>
  <si>
    <t>Rachel</t>
  </si>
  <si>
    <t>kaliro</t>
  </si>
  <si>
    <t>UAT 883C</t>
  </si>
  <si>
    <t>UAD 249J</t>
  </si>
  <si>
    <t>Mabitovu</t>
  </si>
  <si>
    <t>UAO 173K</t>
  </si>
  <si>
    <t>UAL 076W</t>
  </si>
  <si>
    <t>UAX 343K</t>
  </si>
  <si>
    <t>UAK 642R</t>
  </si>
  <si>
    <t>UAW 897L</t>
  </si>
  <si>
    <t>UAQ 617Q</t>
  </si>
  <si>
    <t>UAF 298L</t>
  </si>
  <si>
    <t>UAL 897Q</t>
  </si>
  <si>
    <t>UAY 257V</t>
  </si>
  <si>
    <t>UAT 253S</t>
  </si>
  <si>
    <t>Namungaalo</t>
  </si>
  <si>
    <t>UAJ 141D</t>
  </si>
  <si>
    <t>UBC 250X</t>
  </si>
  <si>
    <t>UBE 884P</t>
  </si>
  <si>
    <t>Nawandala</t>
  </si>
  <si>
    <t>UAH 839G</t>
  </si>
  <si>
    <t>UAS 778W</t>
  </si>
  <si>
    <t>UAQ 740E</t>
  </si>
  <si>
    <t>UAT 374M</t>
  </si>
  <si>
    <t>UAL 598L</t>
  </si>
  <si>
    <t>UAB 756T</t>
  </si>
  <si>
    <t>UAL 668H</t>
  </si>
  <si>
    <t>UAL 387C</t>
  </si>
  <si>
    <t>UAP 088A</t>
  </si>
  <si>
    <t>UAQ 899E</t>
  </si>
  <si>
    <t>UAN 509N</t>
  </si>
  <si>
    <t>UAS 128A</t>
  </si>
  <si>
    <t>UAU 141K</t>
  </si>
  <si>
    <t>UAY 642K</t>
  </si>
  <si>
    <t>UAP 868X</t>
  </si>
  <si>
    <t>UAB 426E</t>
  </si>
  <si>
    <t>UAX 770X</t>
  </si>
  <si>
    <t>UAQ 146C</t>
  </si>
  <si>
    <t>UAK 281A</t>
  </si>
  <si>
    <t>UAT 543K</t>
  </si>
  <si>
    <t>UAY 126G</t>
  </si>
  <si>
    <t>Busowa</t>
  </si>
  <si>
    <t>UAV 829S</t>
  </si>
  <si>
    <t>UAN 413G</t>
  </si>
  <si>
    <t>UAB 650E</t>
  </si>
  <si>
    <t>UAY 696F</t>
  </si>
  <si>
    <t>UAR 880R</t>
  </si>
  <si>
    <t>UAL 752E</t>
  </si>
  <si>
    <t>UAP 553W</t>
  </si>
  <si>
    <t>UAJ 676C</t>
  </si>
  <si>
    <t>UAA 729Y</t>
  </si>
  <si>
    <t>UAD 801Z</t>
  </si>
  <si>
    <t>UAW 188P</t>
  </si>
  <si>
    <t>UAB 250H</t>
  </si>
  <si>
    <t>UAT 728D</t>
  </si>
  <si>
    <t>UAV 928B</t>
  </si>
  <si>
    <t>UAT 004D</t>
  </si>
  <si>
    <t>UBB 009K</t>
  </si>
  <si>
    <t>UAP 924S</t>
  </si>
  <si>
    <t>UBB 027Q</t>
  </si>
  <si>
    <t>Nabingaalo</t>
  </si>
  <si>
    <t>UAL 772Y</t>
  </si>
  <si>
    <t>Edith Kirabo</t>
  </si>
  <si>
    <t>UAT 226L</t>
  </si>
  <si>
    <t>UAP 924V</t>
  </si>
  <si>
    <t>UAY 151K</t>
  </si>
  <si>
    <t>UAU 785L</t>
  </si>
  <si>
    <t>UAQ 296R</t>
  </si>
  <si>
    <t>Nabingala</t>
  </si>
  <si>
    <t>UAQ 270K</t>
  </si>
  <si>
    <t>UAS 728L</t>
  </si>
  <si>
    <t>UAX 257V</t>
  </si>
  <si>
    <t>UAT 723D</t>
  </si>
  <si>
    <t>UAB 520H</t>
  </si>
  <si>
    <t>UBB 773L</t>
  </si>
  <si>
    <t>Bugwere</t>
  </si>
  <si>
    <t>UAL 228H</t>
  </si>
  <si>
    <t>UBB 269J</t>
  </si>
  <si>
    <t>UAH 948B</t>
  </si>
  <si>
    <t>UAT 253N</t>
  </si>
  <si>
    <t>Namugalo</t>
  </si>
  <si>
    <t>UAV 958D</t>
  </si>
  <si>
    <t>UAL 237K</t>
  </si>
  <si>
    <t>UAL 140Q</t>
  </si>
  <si>
    <t>UAH 645F</t>
  </si>
  <si>
    <t>UAB 601V</t>
  </si>
  <si>
    <t>Irindi</t>
  </si>
  <si>
    <t>Buyende</t>
  </si>
  <si>
    <t>UAU 580J</t>
  </si>
  <si>
    <t>Nawaniik</t>
  </si>
  <si>
    <t>UAY 728V</t>
  </si>
  <si>
    <t>Buwalamera</t>
  </si>
  <si>
    <t>UAA 516F</t>
  </si>
  <si>
    <t>Mayugwe</t>
  </si>
  <si>
    <t>UAJ 261H</t>
  </si>
  <si>
    <t>Kalina</t>
  </si>
  <si>
    <t>UBB 428C</t>
  </si>
  <si>
    <t>UAS 592F</t>
  </si>
  <si>
    <t>UBB 758B</t>
  </si>
  <si>
    <t>Kilana</t>
  </si>
  <si>
    <t>UAF 477P</t>
  </si>
  <si>
    <t>Mamugalo</t>
  </si>
  <si>
    <t>UAH 922B</t>
  </si>
  <si>
    <t>Kalino</t>
  </si>
  <si>
    <t>UAH 215K</t>
  </si>
  <si>
    <t>UAV 715Q</t>
  </si>
  <si>
    <t>UAT 411U</t>
  </si>
  <si>
    <t>UAB 612Q</t>
  </si>
  <si>
    <t>UAY 227V</t>
  </si>
  <si>
    <t>UAV 085L</t>
  </si>
  <si>
    <t>Mbarara</t>
  </si>
  <si>
    <t>UAJ 029H</t>
  </si>
  <si>
    <t>UAF 953M</t>
  </si>
  <si>
    <t>UBA 520Q</t>
  </si>
  <si>
    <t>UAK 565Y</t>
  </si>
  <si>
    <t>UAB 205H</t>
  </si>
  <si>
    <t>UAX 106F</t>
  </si>
  <si>
    <t>UAP 345B</t>
  </si>
  <si>
    <t>UAF 608C</t>
  </si>
  <si>
    <t>UBF 318L</t>
  </si>
  <si>
    <t>Kibila</t>
  </si>
  <si>
    <t>UAB 657F</t>
  </si>
  <si>
    <t>UAX 267E</t>
  </si>
  <si>
    <t>UAT 061D</t>
  </si>
  <si>
    <t>UBC 652D</t>
  </si>
  <si>
    <t>UAS 265H</t>
  </si>
  <si>
    <t>UAY 615H</t>
  </si>
  <si>
    <t>UBC 902E</t>
  </si>
  <si>
    <t>UAZ 086H</t>
  </si>
  <si>
    <t>UBD 611E</t>
  </si>
  <si>
    <t>UAL 620E</t>
  </si>
  <si>
    <t>UAQ 122D</t>
  </si>
  <si>
    <t>UBB 200K</t>
  </si>
  <si>
    <t>UAS 287H</t>
  </si>
  <si>
    <t>UAH 299T</t>
  </si>
  <si>
    <t>UAG 781S</t>
  </si>
  <si>
    <t>UAP 902Z</t>
  </si>
  <si>
    <t>UAJ 823B</t>
  </si>
  <si>
    <t>UAA 729J</t>
  </si>
  <si>
    <t>UAD 801L</t>
  </si>
  <si>
    <t>UBE 889P</t>
  </si>
  <si>
    <t>UBD 683E</t>
  </si>
  <si>
    <t>UAM 922B</t>
  </si>
  <si>
    <t>UAV 562Y</t>
  </si>
  <si>
    <t>UBD 732Z</t>
  </si>
  <si>
    <t>UBF 608B</t>
  </si>
  <si>
    <t>UBB 669D</t>
  </si>
  <si>
    <t>Nawaniki</t>
  </si>
  <si>
    <t>UAV 729T</t>
  </si>
  <si>
    <t>UAS 269K</t>
  </si>
  <si>
    <t>UBD 261M</t>
  </si>
  <si>
    <t>UAJ 286E</t>
  </si>
  <si>
    <t>UBE 492H</t>
  </si>
  <si>
    <t>UBA 900E</t>
  </si>
  <si>
    <t>UBA 696J</t>
  </si>
  <si>
    <t>UBD 387B</t>
  </si>
  <si>
    <t>UAS 124A</t>
  </si>
  <si>
    <t>UAV 689L</t>
  </si>
  <si>
    <t>UAL 476G</t>
  </si>
  <si>
    <t>UBB 884K</t>
  </si>
  <si>
    <t>UBE 962D</t>
  </si>
  <si>
    <t>UBA 212D</t>
  </si>
  <si>
    <t>UAJ 216C</t>
  </si>
  <si>
    <t>UAN 321X</t>
  </si>
  <si>
    <t>UAG 125J</t>
  </si>
  <si>
    <t>UAQ 932L</t>
  </si>
  <si>
    <t>UAT 577D</t>
  </si>
  <si>
    <t>UAS 401K</t>
  </si>
  <si>
    <t>UAX 957M</t>
  </si>
  <si>
    <t>UBC 959D</t>
  </si>
  <si>
    <t>UAU 814Z</t>
  </si>
  <si>
    <t>Magomagogo</t>
  </si>
  <si>
    <t>UAU 283N</t>
  </si>
  <si>
    <t>UBC 982K</t>
  </si>
  <si>
    <t>UAG 123P</t>
  </si>
  <si>
    <t>UAM 984V</t>
  </si>
  <si>
    <t>UAU 362S</t>
  </si>
  <si>
    <t>UAX 723L</t>
  </si>
  <si>
    <t>UAX 509B</t>
  </si>
  <si>
    <t>UAA 119D</t>
  </si>
  <si>
    <t>UAM 285T</t>
  </si>
  <si>
    <t>UAL 827Z</t>
  </si>
  <si>
    <t>UAL 828L</t>
  </si>
  <si>
    <t>UAT 091Q</t>
  </si>
  <si>
    <t>UAB 356F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</si>
  <si>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</si>
  <si>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</si>
  <si>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</si>
  <si>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</si>
  <si>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</si>
  <si>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</si>
  <si>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</si>
  <si>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</si>
  <si>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</si>
  <si>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</si>
  <si>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</si>
  <si>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</si>
  <si>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</si>
  <si>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</si>
  <si>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</si>
  <si>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</si>
  <si>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</si>
  <si>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</si>
  <si>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</si>
  <si>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</si>
  <si>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</si>
  <si>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</si>
  <si>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</si>
  <si>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</si>
  <si>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</si>
  <si>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</si>
  <si>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</si>
  <si>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</si>
  <si>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</si>
  <si>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</si>
  <si>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</si>
  <si>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</si>
  <si>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</si>
  <si>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</si>
  <si>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</si>
  <si>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</si>
  <si>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</si>
  <si>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</si>
  <si>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</si>
  <si>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</si>
  <si>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</si>
  <si>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</si>
  <si>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</si>
  <si>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</si>
  <si>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</si>
  <si>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</si>
  <si>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</si>
  <si>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</si>
  <si>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</si>
  <si>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</si>
  <si>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</si>
  <si>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</si>
  <si>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</si>
  <si>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</si>
  <si>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</si>
  <si>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</si>
  <si>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</si>
  <si>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</si>
  <si>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</si>
  <si>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</si>
  <si>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</si>
  <si>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</si>
  <si>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</si>
  <si>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</si>
  <si>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</si>
  <si>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</si>
  <si>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</si>
  <si>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</si>
  <si>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</si>
  <si>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</si>
  <si>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</si>
  <si>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</si>
  <si>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</si>
  <si>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</si>
  <si>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</si>
  <si>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</si>
  <si>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</si>
  <si>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</si>
  <si>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</si>
  <si>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</si>
  <si>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</si>
  <si>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</si>
  <si>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</si>
  <si>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</si>
  <si>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</si>
  <si>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</si>
  <si>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</si>
  <si>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</si>
  <si>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</si>
  <si>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</si>
  <si>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</si>
  <si>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</si>
  <si>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</si>
  <si>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</si>
  <si>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</si>
  <si>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</si>
  <si>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</si>
  <si>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</si>
  <si>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</si>
  <si>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</si>
  <si>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</si>
  <si>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</si>
  <si>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</si>
  <si>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</si>
  <si>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</si>
  <si>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</si>
  <si>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</si>
  <si>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</si>
  <si>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</si>
  <si>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</si>
  <si>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</si>
  <si>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</si>
  <si>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</si>
  <si>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</si>
  <si>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</si>
  <si>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</si>
  <si>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</si>
  <si>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</si>
  <si>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</si>
  <si>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</si>
  <si>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</si>
  <si>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</si>
  <si>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</si>
  <si>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</si>
  <si>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</si>
  <si>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</si>
  <si>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</si>
  <si>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</si>
  <si>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</si>
  <si>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</si>
  <si>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</si>
  <si>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</si>
  <si>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</si>
  <si>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</si>
  <si>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</si>
  <si>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</si>
  <si>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</si>
  <si>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</si>
  <si>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</si>
  <si>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</si>
  <si>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</si>
  <si>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</si>
  <si>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</si>
  <si>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</si>
  <si>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</si>
  <si>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</si>
  <si>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</si>
  <si>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</si>
  <si>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</si>
  <si>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</si>
  <si>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</si>
  <si>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</si>
  <si>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</si>
  <si>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</si>
  <si>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</si>
  <si>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</si>
  <si>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</si>
  <si>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</si>
  <si>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</si>
  <si>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</si>
  <si>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</si>
  <si>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</si>
  <si>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</si>
  <si>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</si>
  <si>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</si>
  <si>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</si>
  <si>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</si>
  <si>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</si>
  <si>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</si>
  <si>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</si>
  <si>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</si>
  <si>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</si>
  <si>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</si>
  <si>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</si>
  <si>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</si>
  <si>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</si>
  <si>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</si>
  <si>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</si>
  <si>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</si>
  <si>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</si>
  <si>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</si>
  <si>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</si>
  <si>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</si>
  <si>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</si>
  <si>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</si>
  <si>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</si>
  <si>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</si>
  <si>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</si>
  <si>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</si>
  <si>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</si>
  <si>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</si>
  <si>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</si>
  <si>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</si>
  <si>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</si>
  <si>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THEMBO LUGAZI</t>
  </si>
  <si>
    <t>Najja</t>
  </si>
  <si>
    <t>Kiyindi</t>
  </si>
  <si>
    <t>Ngogwe</t>
  </si>
  <si>
    <t>Njeru Municipality</t>
  </si>
  <si>
    <t>Njeru</t>
  </si>
  <si>
    <t>Mbiko</t>
  </si>
  <si>
    <t>BUKAYA</t>
  </si>
  <si>
    <t>Nyenga</t>
  </si>
  <si>
    <t>Nakibizi</t>
  </si>
  <si>
    <t>Nakibizzi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</si>
  <si>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</si>
  <si>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</si>
  <si>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</si>
  <si>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</si>
  <si>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</si>
  <si>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</si>
  <si>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</si>
  <si>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</si>
  <si>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</si>
  <si>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</si>
  <si>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</si>
  <si>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BUKOMANSIMBI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</si>
  <si>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</si>
  <si>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</si>
  <si>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</si>
  <si>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</si>
  <si>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</si>
  <si>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</si>
  <si>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</si>
  <si>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</si>
  <si>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</si>
  <si>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</si>
  <si>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</si>
  <si>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</si>
  <si>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</si>
  <si>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</si>
  <si>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</si>
  <si>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</si>
  <si>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</si>
  <si>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</si>
  <si>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</si>
  <si>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</si>
  <si>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</si>
  <si>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</si>
  <si>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</si>
  <si>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</si>
  <si>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</si>
  <si>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</si>
  <si>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</si>
  <si>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</si>
  <si>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</si>
  <si>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</si>
  <si>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</si>
  <si>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</si>
  <si>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</si>
  <si>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</si>
  <si>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</si>
  <si>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</si>
  <si>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</si>
  <si>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</si>
  <si>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</si>
  <si>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</si>
  <si>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</si>
  <si>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</si>
  <si>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</si>
  <si>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</si>
  <si>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Bwamba</t>
  </si>
  <si>
    <t>Bubukwanga</t>
  </si>
  <si>
    <t>Bundibugyo</t>
  </si>
  <si>
    <t>Bukonzo</t>
  </si>
  <si>
    <t>Bughendera</t>
  </si>
  <si>
    <t>Bundibugyo Town Council</t>
  </si>
  <si>
    <t>Bundibugyo Town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</si>
  <si>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</si>
  <si>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</si>
  <si>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</si>
  <si>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</si>
  <si>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</si>
  <si>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</si>
  <si>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</si>
  <si>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</si>
  <si>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</si>
  <si>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</si>
  <si>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</si>
  <si>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</si>
  <si>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</si>
  <si>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</si>
  <si>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</si>
  <si>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</si>
  <si>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</si>
  <si>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</si>
  <si>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</si>
  <si>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</si>
  <si>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</si>
  <si>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</si>
  <si>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</si>
  <si>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</si>
  <si>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</si>
  <si>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</si>
  <si>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</si>
  <si>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</si>
  <si>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</si>
  <si>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</si>
  <si>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</si>
  <si>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</si>
  <si>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</si>
  <si>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</si>
  <si>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</si>
  <si>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</si>
  <si>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</si>
  <si>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</si>
  <si>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</si>
  <si>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</si>
  <si>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</si>
  <si>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</si>
  <si>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</si>
  <si>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</si>
  <si>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</si>
  <si>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</si>
  <si>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</si>
  <si>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</si>
  <si>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</si>
  <si>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</si>
  <si>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</si>
  <si>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</si>
  <si>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</si>
  <si>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</si>
  <si>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</si>
  <si>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</si>
  <si>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</si>
  <si>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</si>
  <si>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</si>
  <si>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</si>
  <si>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</si>
  <si>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</si>
  <si>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</si>
  <si>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</si>
  <si>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</si>
  <si>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</si>
  <si>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</si>
  <si>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</si>
  <si>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</si>
  <si>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</si>
  <si>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</si>
  <si>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Kyabadaaza</t>
  </si>
  <si>
    <t>KYABADAZA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</si>
  <si>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</si>
  <si>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</si>
  <si>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</si>
  <si>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</si>
  <si>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</si>
  <si>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</si>
  <si>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</si>
  <si>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</si>
  <si>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</si>
  <si>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</si>
  <si>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</si>
  <si>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</si>
  <si>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</si>
  <si>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</si>
  <si>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</si>
  <si>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</si>
  <si>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</si>
  <si>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</si>
  <si>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</si>
  <si>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</si>
  <si>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</si>
  <si>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</si>
  <si>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</si>
  <si>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</si>
  <si>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</si>
  <si>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Budiope</t>
  </si>
  <si>
    <t>BUGAYA</t>
  </si>
  <si>
    <t>Nakabira</t>
  </si>
  <si>
    <t>Bukungu</t>
  </si>
  <si>
    <t>MAIRO MBIRI</t>
  </si>
  <si>
    <t>NAMUKUNA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</si>
  <si>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</si>
  <si>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</si>
  <si>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</si>
  <si>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</si>
  <si>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</si>
  <si>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</si>
  <si>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</si>
  <si>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</si>
  <si>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</si>
  <si>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</si>
  <si>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</si>
  <si>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</si>
  <si>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</si>
  <si>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</si>
  <si>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</si>
  <si>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</si>
  <si>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</si>
  <si>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GOMBA</t>
  </si>
  <si>
    <t>GOMBA TOWN</t>
  </si>
  <si>
    <t>Kanoni Town Council</t>
  </si>
  <si>
    <t>Kyegonza</t>
  </si>
  <si>
    <t>Maddu</t>
  </si>
  <si>
    <t>Madu</t>
  </si>
  <si>
    <t>Mpenja</t>
  </si>
  <si>
    <t>Awach</t>
  </si>
  <si>
    <t>Gulu</t>
  </si>
  <si>
    <t>Aswa</t>
  </si>
  <si>
    <t>Bungatira</t>
  </si>
  <si>
    <t>Gulu Municipality</t>
  </si>
  <si>
    <t>GULU TOWN</t>
  </si>
  <si>
    <t>GULU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</si>
  <si>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</si>
  <si>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</si>
  <si>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</si>
  <si>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</si>
  <si>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</si>
  <si>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</si>
  <si>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</si>
  <si>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</si>
  <si>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</si>
  <si>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Hoima town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</si>
  <si>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</si>
  <si>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</si>
  <si>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</si>
  <si>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</si>
  <si>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</si>
  <si>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</si>
  <si>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</si>
  <si>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</si>
  <si>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Ibanda town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</si>
  <si>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</si>
  <si>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</si>
  <si>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</si>
  <si>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</si>
  <si>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</si>
  <si>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</si>
  <si>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</si>
  <si>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</si>
  <si>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</si>
  <si>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</si>
  <si>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</si>
  <si>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</si>
  <si>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Busembatia Town Council</t>
  </si>
  <si>
    <t>Buyanga-Iganga</t>
  </si>
  <si>
    <t>Buwoya</t>
  </si>
  <si>
    <t>Ibulanku</t>
  </si>
  <si>
    <t>Iganga Municipality</t>
  </si>
  <si>
    <t>Iganga town</t>
  </si>
  <si>
    <t>Igombe</t>
  </si>
  <si>
    <t>NAWAMPENDO</t>
  </si>
  <si>
    <t>Makuutu</t>
  </si>
  <si>
    <t>Nabitende</t>
  </si>
  <si>
    <t>Nakigo</t>
  </si>
  <si>
    <t>Namalemba</t>
  </si>
  <si>
    <t>Namungalwe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</si>
  <si>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</si>
  <si>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</si>
  <si>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</si>
  <si>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</si>
  <si>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</si>
  <si>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</si>
  <si>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</si>
  <si>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</si>
  <si>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</si>
  <si>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</si>
  <si>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</si>
  <si>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</si>
  <si>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</si>
  <si>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</si>
  <si>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</si>
  <si>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</si>
  <si>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</si>
  <si>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</si>
  <si>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</si>
  <si>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</si>
  <si>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</si>
  <si>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</si>
  <si>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</si>
  <si>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</si>
  <si>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Kyomya</t>
  </si>
  <si>
    <t>NAWANGOMA</t>
  </si>
  <si>
    <t>Lukolo</t>
  </si>
  <si>
    <t>Nsube</t>
  </si>
  <si>
    <t>Bugembe Town Council</t>
  </si>
  <si>
    <t>Butembe</t>
  </si>
  <si>
    <t>Bugembe</t>
  </si>
  <si>
    <t>Busedde</t>
  </si>
  <si>
    <t>BUSEDE</t>
  </si>
  <si>
    <t>Butagaya</t>
  </si>
  <si>
    <t>Buwenge</t>
  </si>
  <si>
    <t>BUWOLERO</t>
  </si>
  <si>
    <t>Mutai</t>
  </si>
  <si>
    <t>Buwenge Town Council</t>
  </si>
  <si>
    <t>Buyengo</t>
  </si>
  <si>
    <t>Jinja Municipality</t>
  </si>
  <si>
    <t>JINJA CENTRAL</t>
  </si>
  <si>
    <t>GADAFFI BARRACKS</t>
  </si>
  <si>
    <t>JINJA TOWN</t>
  </si>
  <si>
    <t>Nile</t>
  </si>
  <si>
    <t>Kakira Town Council</t>
  </si>
  <si>
    <t>WAIRAKA</t>
  </si>
  <si>
    <t>Mafubira</t>
  </si>
  <si>
    <t>Musima</t>
  </si>
  <si>
    <t>Namulesa</t>
  </si>
  <si>
    <t>WANYANGE</t>
  </si>
  <si>
    <t>Wakitaka</t>
  </si>
  <si>
    <t>Butiki</t>
  </si>
  <si>
    <t>Kiira College</t>
  </si>
  <si>
    <t>KIRA COLLEGE BUTIKI</t>
  </si>
  <si>
    <t>Nakabango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</si>
  <si>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</si>
  <si>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</si>
  <si>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</si>
  <si>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</si>
  <si>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</si>
  <si>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</si>
  <si>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</si>
  <si>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</si>
  <si>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</si>
  <si>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</si>
  <si>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</si>
  <si>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</si>
  <si>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</si>
  <si>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</si>
  <si>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</si>
  <si>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</si>
  <si>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</si>
  <si>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</si>
  <si>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</si>
  <si>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</si>
  <si>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</si>
  <si>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</si>
  <si>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</si>
  <si>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</si>
  <si>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</si>
  <si>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</si>
  <si>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</si>
  <si>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</si>
  <si>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</si>
  <si>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</si>
  <si>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</si>
  <si>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</si>
  <si>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</si>
  <si>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</si>
  <si>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</si>
  <si>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 PORTAL</t>
  </si>
  <si>
    <t>FORTPORTAL</t>
  </si>
  <si>
    <t>FORTPORTAL TOWN</t>
  </si>
  <si>
    <t>FORT PORTAL TOWN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</si>
  <si>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</si>
  <si>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</si>
  <si>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</si>
  <si>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</si>
  <si>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</si>
  <si>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</si>
  <si>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</si>
  <si>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</si>
  <si>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</si>
  <si>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</si>
  <si>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</si>
  <si>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</si>
  <si>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</si>
  <si>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</si>
  <si>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</si>
  <si>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</si>
  <si>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</si>
  <si>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</si>
  <si>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</si>
  <si>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</si>
  <si>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</si>
  <si>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</si>
  <si>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</si>
  <si>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</si>
  <si>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</si>
  <si>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</si>
  <si>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</si>
  <si>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</si>
  <si>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</si>
  <si>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Kagadi town</t>
  </si>
  <si>
    <t>Kagaddi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</si>
  <si>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</si>
  <si>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</si>
  <si>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</si>
  <si>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</si>
  <si>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</si>
  <si>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</si>
  <si>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</si>
  <si>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</si>
  <si>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</si>
  <si>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</si>
  <si>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</si>
  <si>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</si>
  <si>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</si>
  <si>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</si>
  <si>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</si>
  <si>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</si>
  <si>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</si>
  <si>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</si>
  <si>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</si>
  <si>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</si>
  <si>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</si>
  <si>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</si>
  <si>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</si>
  <si>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</si>
  <si>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</si>
  <si>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</si>
  <si>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</si>
  <si>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</si>
  <si>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</si>
  <si>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</si>
  <si>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</si>
  <si>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</si>
  <si>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KALANGALA TOWN</t>
  </si>
  <si>
    <t>Mazinga</t>
  </si>
  <si>
    <t>Mugoye</t>
  </si>
  <si>
    <t>Budomero</t>
  </si>
  <si>
    <t>Bukamba</t>
  </si>
  <si>
    <t>Bumanya</t>
  </si>
  <si>
    <t>Buyinda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</si>
  <si>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</si>
  <si>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</si>
  <si>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</si>
  <si>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</si>
  <si>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</si>
  <si>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</si>
  <si>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</si>
  <si>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</si>
  <si>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</si>
  <si>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</si>
  <si>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</si>
  <si>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</si>
  <si>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</si>
  <si>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Lukaya</t>
  </si>
  <si>
    <t>Lwabenge</t>
  </si>
  <si>
    <t>Banda</t>
  </si>
  <si>
    <t>KCCA</t>
  </si>
  <si>
    <t>Nakawa Division</t>
  </si>
  <si>
    <t>Bugolobi</t>
  </si>
  <si>
    <t>BOLORE-BUGOLOBI</t>
  </si>
  <si>
    <t>Bukasa</t>
  </si>
  <si>
    <t>Makindye Division</t>
  </si>
  <si>
    <t>Bukesa</t>
  </si>
  <si>
    <t>Central Division</t>
  </si>
  <si>
    <t>Busega</t>
  </si>
  <si>
    <t>Rubaga Division</t>
  </si>
  <si>
    <t xml:space="preserve">BUSEGA </t>
  </si>
  <si>
    <t>BUSEGA STAGE</t>
  </si>
  <si>
    <t>Butabika</t>
  </si>
  <si>
    <t>Buziga</t>
  </si>
  <si>
    <t>Kiruddu</t>
  </si>
  <si>
    <t>Bwaise</t>
  </si>
  <si>
    <t>Kawempe Division</t>
  </si>
  <si>
    <t>Civic Centre</t>
  </si>
  <si>
    <t>City Center</t>
  </si>
  <si>
    <t>Kampala junior</t>
  </si>
  <si>
    <t>SERENA HOTEL</t>
  </si>
  <si>
    <t>SERENA</t>
  </si>
  <si>
    <t>NEMA HOUSE</t>
  </si>
  <si>
    <t>Workers House</t>
  </si>
  <si>
    <t>Cham towers</t>
  </si>
  <si>
    <t>Luwum Street</t>
  </si>
  <si>
    <t>YAMAHA CENTER</t>
  </si>
  <si>
    <t>COPPER COMPLEX</t>
  </si>
  <si>
    <t>NSAMBYA ROAD PARK</t>
  </si>
  <si>
    <t>CITY CENTRE</t>
  </si>
  <si>
    <t>Namayiba</t>
  </si>
  <si>
    <t>Namayuba</t>
  </si>
  <si>
    <t>BEN KIWANUKA</t>
  </si>
  <si>
    <t>City</t>
  </si>
  <si>
    <t>Uganda House</t>
  </si>
  <si>
    <t>CITY SQUARE</t>
  </si>
  <si>
    <t>CLOCK TOWER</t>
  </si>
  <si>
    <t>Buganda rd</t>
  </si>
  <si>
    <t>Lugogo</t>
  </si>
  <si>
    <t>NAKIVUBO ROAD</t>
  </si>
  <si>
    <t>LUMUMBA AVENUE</t>
  </si>
  <si>
    <t>KING FAHAD</t>
  </si>
  <si>
    <t>ROMI'S WINE-BOMBO ROAD</t>
  </si>
  <si>
    <t>POST OFFICE</t>
  </si>
  <si>
    <t>Bombo Road</t>
  </si>
  <si>
    <t>BOMBO RD</t>
  </si>
  <si>
    <t>KAMPALA TOWN</t>
  </si>
  <si>
    <t>KAMPALA CITY</t>
  </si>
  <si>
    <t>SHOPRITE</t>
  </si>
  <si>
    <t>CHURCH TOWN</t>
  </si>
  <si>
    <t>NKRUMAH ROAD</t>
  </si>
  <si>
    <t>NKURUMAH RD</t>
  </si>
  <si>
    <t>NKRUMAH ROAD OFFICES</t>
  </si>
  <si>
    <t>Arua Park</t>
  </si>
  <si>
    <t>MEGA SUPERMARKET</t>
  </si>
  <si>
    <t>MEGA STANDARDS</t>
  </si>
  <si>
    <t>MEGA</t>
  </si>
  <si>
    <t>ACCESS RD</t>
  </si>
  <si>
    <t>Fairway</t>
  </si>
  <si>
    <t>MUTASA KAFEERO</t>
  </si>
  <si>
    <t>Mega standard</t>
  </si>
  <si>
    <t>MINIPRICE</t>
  </si>
  <si>
    <t>MINI PRICE</t>
  </si>
  <si>
    <t>MABIRIZI COMPLEX</t>
  </si>
  <si>
    <t>KAMPALA ROAD</t>
  </si>
  <si>
    <t>NASSER ROAD</t>
  </si>
  <si>
    <t>MAPEERA</t>
  </si>
  <si>
    <t>NASSER</t>
  </si>
  <si>
    <t>WILLIAM STREET</t>
  </si>
  <si>
    <t>AMBASSODOR HOUSE</t>
  </si>
  <si>
    <t>CPS</t>
  </si>
  <si>
    <t>KPC</t>
  </si>
  <si>
    <t>WATOOTO CHURCH</t>
  </si>
  <si>
    <t>usafi</t>
  </si>
  <si>
    <t>KIKUUBO</t>
  </si>
  <si>
    <t>Owino</t>
  </si>
  <si>
    <t>Ham building</t>
  </si>
  <si>
    <t>MUKWANO MALL</t>
  </si>
  <si>
    <t>Kiseka</t>
  </si>
  <si>
    <t>Mukwano</t>
  </si>
  <si>
    <t>KIYEMBE</t>
  </si>
  <si>
    <t>ENERGY CENTRE</t>
  </si>
  <si>
    <t>Nabukera plaza</t>
  </si>
  <si>
    <t>KISEKA MARKET</t>
  </si>
  <si>
    <t>ENTEBBE ROAD</t>
  </si>
  <si>
    <t>KAFUMBE MUKASA</t>
  </si>
  <si>
    <t>KAFUMBE</t>
  </si>
  <si>
    <t>KAFUMBE-MUKASA RD</t>
  </si>
  <si>
    <t>Parliamentary Avenue</t>
  </si>
  <si>
    <t>PARLIAMENT</t>
  </si>
  <si>
    <t>Capital Shoppers-Nakasero</t>
  </si>
  <si>
    <t>KAMPALA PARK</t>
  </si>
  <si>
    <t>NEW PARK</t>
  </si>
  <si>
    <t>TAXI PARK</t>
  </si>
  <si>
    <t>TAXIPARK</t>
  </si>
  <si>
    <t>Nakivubo</t>
  </si>
  <si>
    <t>SEROMA</t>
  </si>
  <si>
    <t>BUSPARK</t>
  </si>
  <si>
    <t>NEW T.PARK</t>
  </si>
  <si>
    <t>OLD T.PARK</t>
  </si>
  <si>
    <t>Old Park</t>
  </si>
  <si>
    <t>Old Taxi Park</t>
  </si>
  <si>
    <t>Telephone House</t>
  </si>
  <si>
    <t>New Taxi Park</t>
  </si>
  <si>
    <t>KamuKamu</t>
  </si>
  <si>
    <t>KAMPALA BUS PARK</t>
  </si>
  <si>
    <t>HAM SHOPPING MALL</t>
  </si>
  <si>
    <t>Mukwano Arcade</t>
  </si>
  <si>
    <t>NAKASERO MARKET</t>
  </si>
  <si>
    <t>PIONEER MALL</t>
  </si>
  <si>
    <t>CAFÉ JAVAS-KAMPALA ROAD</t>
  </si>
  <si>
    <t>SHELL-KAMPALA</t>
  </si>
  <si>
    <t>Equatorial Mall</t>
  </si>
  <si>
    <t>Nalubwama</t>
  </si>
  <si>
    <t>NALUBWAMA BUILDING</t>
  </si>
  <si>
    <t>Nabugabo</t>
  </si>
  <si>
    <t>Rwenzori</t>
  </si>
  <si>
    <t>Jinja Road</t>
  </si>
  <si>
    <t>Gaba</t>
  </si>
  <si>
    <t>Munyonyo</t>
  </si>
  <si>
    <t>Mulungu</t>
  </si>
  <si>
    <t>Busabala</t>
  </si>
  <si>
    <t>GGANGU</t>
  </si>
  <si>
    <t>BUSAABALA</t>
  </si>
  <si>
    <t>Ggaba</t>
  </si>
  <si>
    <t>Bunga</t>
  </si>
  <si>
    <t>SOYA-BUNGA</t>
  </si>
  <si>
    <t>SOYA</t>
  </si>
  <si>
    <t>KK Beach</t>
  </si>
  <si>
    <t>Industrial Area</t>
  </si>
  <si>
    <t>6th Street</t>
  </si>
  <si>
    <t>7th Street</t>
  </si>
  <si>
    <t>8th Street</t>
  </si>
  <si>
    <t>Namuwongo</t>
  </si>
  <si>
    <t>Meat packers</t>
  </si>
  <si>
    <t>Old Portbell-Industrial Area</t>
  </si>
  <si>
    <t>Portbell</t>
  </si>
  <si>
    <t>Itek</t>
  </si>
  <si>
    <t>Kabalagala</t>
  </si>
  <si>
    <t>UBA-KABALAGALA</t>
  </si>
  <si>
    <t>Muyenga</t>
  </si>
  <si>
    <t>ETHIOPIAN VILLAGE</t>
  </si>
  <si>
    <t>Bukasa-Muyenga</t>
  </si>
  <si>
    <t>Barnabus road</t>
  </si>
  <si>
    <t>Kabowa</t>
  </si>
  <si>
    <t>Wankulukuku</t>
  </si>
  <si>
    <t>Kagugube</t>
  </si>
  <si>
    <t>Kamwokya</t>
  </si>
  <si>
    <t>KAMOWOKYA</t>
  </si>
  <si>
    <t>ACCACIA MALL</t>
  </si>
  <si>
    <t>KISEMENTI</t>
  </si>
  <si>
    <t>Kansanga</t>
  </si>
  <si>
    <t>KASANGA</t>
  </si>
  <si>
    <t>Watoto Kansanga</t>
  </si>
  <si>
    <t>Kanyanya</t>
  </si>
  <si>
    <t>Kasubi</t>
  </si>
  <si>
    <t>Kawaala</t>
  </si>
  <si>
    <t>Katwe</t>
  </si>
  <si>
    <t>Kawempe</t>
  </si>
  <si>
    <t>Kazo Angola</t>
  </si>
  <si>
    <t>Kibuli</t>
  </si>
  <si>
    <t>Green Hill</t>
  </si>
  <si>
    <t>KIBULI POLICE</t>
  </si>
  <si>
    <t>MUTAJAZI-KIBULI</t>
  </si>
  <si>
    <t>Kibuye</t>
  </si>
  <si>
    <t>Kikaaya</t>
  </si>
  <si>
    <t>KIKAYA</t>
  </si>
  <si>
    <t xml:space="preserve">Kisenyi </t>
  </si>
  <si>
    <t>KISENYI LINK</t>
  </si>
  <si>
    <t>KISENY I</t>
  </si>
  <si>
    <t>KISENYI</t>
  </si>
  <si>
    <t>KISENYI BUS TERMINAL</t>
  </si>
  <si>
    <t>Kisugu</t>
  </si>
  <si>
    <t>Kiswa</t>
  </si>
  <si>
    <t>Kiwatule</t>
  </si>
  <si>
    <t>Kololo</t>
  </si>
  <si>
    <t>AGAKHAN</t>
  </si>
  <si>
    <t>Komamboga</t>
  </si>
  <si>
    <t>Kyambogo</t>
  </si>
  <si>
    <t>Kyanja</t>
  </si>
  <si>
    <t>KISASI</t>
  </si>
  <si>
    <t>Kisaasi</t>
  </si>
  <si>
    <t>Kyebando</t>
  </si>
  <si>
    <t>Kalerwe</t>
  </si>
  <si>
    <t>KALWERWE</t>
  </si>
  <si>
    <t>Lubaga</t>
  </si>
  <si>
    <t>Rubaga</t>
  </si>
  <si>
    <t>MIRACLE CENTRE</t>
  </si>
  <si>
    <t>Nalukolongo</t>
  </si>
  <si>
    <t>Kabuusu</t>
  </si>
  <si>
    <t>Kabusu</t>
  </si>
  <si>
    <t>RUBAGA ROAD</t>
  </si>
  <si>
    <t>KUBUSU-RUBAGA ROAD</t>
  </si>
  <si>
    <t>LUBAGA ROAD</t>
  </si>
  <si>
    <t>Namungona</t>
  </si>
  <si>
    <t>NAMUNGOONA</t>
  </si>
  <si>
    <t>Lugala</t>
  </si>
  <si>
    <t>Masanafu</t>
  </si>
  <si>
    <t>Lusaze</t>
  </si>
  <si>
    <t>Lukuli</t>
  </si>
  <si>
    <t>Lungujja</t>
  </si>
  <si>
    <t>LUNGUJA</t>
  </si>
  <si>
    <t>Wakaliga</t>
  </si>
  <si>
    <t>Luwafu</t>
  </si>
  <si>
    <t>Luzira</t>
  </si>
  <si>
    <t>Luzira Prisons</t>
  </si>
  <si>
    <t>Makerere</t>
  </si>
  <si>
    <t>Kikoni</t>
  </si>
  <si>
    <t>KUBIRI</t>
  </si>
  <si>
    <t>Kavule</t>
  </si>
  <si>
    <t>Biira</t>
  </si>
  <si>
    <t>Bira</t>
  </si>
  <si>
    <t>BBILA</t>
  </si>
  <si>
    <t>BILA</t>
  </si>
  <si>
    <t>Makerere University</t>
  </si>
  <si>
    <t>Makindye</t>
  </si>
  <si>
    <t>MUBARAKA</t>
  </si>
  <si>
    <t>COURT-MAKINDYE</t>
  </si>
  <si>
    <t>LUSAKA ROAD-MAKINDYE</t>
  </si>
  <si>
    <t>Makindye Barracks</t>
  </si>
  <si>
    <t>Good Shade</t>
  </si>
  <si>
    <t>GOODSHADE</t>
  </si>
  <si>
    <t>Mbuya</t>
  </si>
  <si>
    <t>Mengo</t>
  </si>
  <si>
    <t>NGALABI-MENGO</t>
  </si>
  <si>
    <t>Lubiri</t>
  </si>
  <si>
    <t>SIR APOLLO KAGGWA</t>
  </si>
  <si>
    <t>Mpererwe</t>
  </si>
  <si>
    <t>MPEREREWE</t>
  </si>
  <si>
    <t>MPERERE</t>
  </si>
  <si>
    <t>Mulago</t>
  </si>
  <si>
    <t>Mutundwe</t>
  </si>
  <si>
    <t>KITEBI-MUTUNDWE</t>
  </si>
  <si>
    <t>Kitebi</t>
  </si>
  <si>
    <t>Nyanama</t>
  </si>
  <si>
    <t>NVANAMA</t>
  </si>
  <si>
    <t>Mutungo</t>
  </si>
  <si>
    <t>Kitintale</t>
  </si>
  <si>
    <t>Nabisunsa</t>
  </si>
  <si>
    <t>Naguru</t>
  </si>
  <si>
    <t>Najjanankumbi</t>
  </si>
  <si>
    <t>Freedom City</t>
  </si>
  <si>
    <t>Zana</t>
  </si>
  <si>
    <t>ZZANA</t>
  </si>
  <si>
    <t>Nakasero</t>
  </si>
  <si>
    <t>Nakasero Road</t>
  </si>
  <si>
    <t>Nakawa</t>
  </si>
  <si>
    <t>Nakawa Institute</t>
  </si>
  <si>
    <t>Nakivubo Shauriyaako</t>
  </si>
  <si>
    <t>Namirembe</t>
  </si>
  <si>
    <t>NAMIREMBE ROAD</t>
  </si>
  <si>
    <t>Martin Road</t>
  </si>
  <si>
    <t>Bakuli</t>
  </si>
  <si>
    <t>Nankulabye</t>
  </si>
  <si>
    <t>Nakulabye</t>
  </si>
  <si>
    <t>Nateete</t>
  </si>
  <si>
    <t>Natete</t>
  </si>
  <si>
    <t>PETROCITY-NATEETE</t>
  </si>
  <si>
    <t>NATEETE TAXI PARK</t>
  </si>
  <si>
    <t>Ndeeba</t>
  </si>
  <si>
    <t>ICE FACTORY-NDEEBA</t>
  </si>
  <si>
    <t>Ndeba</t>
  </si>
  <si>
    <t>Nsambya</t>
  </si>
  <si>
    <t>NSAMBYA ROAD</t>
  </si>
  <si>
    <t>CAVENDISH UNIVERSITY-NSAMBYA</t>
  </si>
  <si>
    <t>Villa Park</t>
  </si>
  <si>
    <t>Kirombe</t>
  </si>
  <si>
    <t>AMERICAN EMBASSY</t>
  </si>
  <si>
    <t>Ggaba Road</t>
  </si>
  <si>
    <t>Nsambya West</t>
  </si>
  <si>
    <t>NSAMBYA HOSPITAL</t>
  </si>
  <si>
    <t>Nsambya Police Barracks</t>
  </si>
  <si>
    <t>Nsambya Railway</t>
  </si>
  <si>
    <t>RAILWAY PARKING</t>
  </si>
  <si>
    <t>RAILWAY</t>
  </si>
  <si>
    <t>Old Kampala</t>
  </si>
  <si>
    <t>GADAFFI MOSQUE</t>
  </si>
  <si>
    <t>Salaama</t>
  </si>
  <si>
    <t>WAKULEKANA</t>
  </si>
  <si>
    <t>SALAMA ROAD</t>
  </si>
  <si>
    <t>SALAAMA ROAD</t>
  </si>
  <si>
    <t>Kosovo</t>
  </si>
  <si>
    <t>Salama</t>
  </si>
  <si>
    <t>Upk</t>
  </si>
  <si>
    <t>Upper Estate</t>
  </si>
  <si>
    <t>Wabigalo</t>
  </si>
  <si>
    <t>Wandegeya</t>
  </si>
  <si>
    <t>Balawoli</t>
  </si>
  <si>
    <t>Kamuli</t>
  </si>
  <si>
    <t>Bugabula</t>
  </si>
  <si>
    <t>KASOLWE</t>
  </si>
  <si>
    <t>Kagumba</t>
  </si>
  <si>
    <t>Bugulumbya</t>
  </si>
  <si>
    <t>Buzaaya</t>
  </si>
  <si>
    <t>Buwande</t>
  </si>
  <si>
    <t>Kasambira</t>
  </si>
  <si>
    <t>Bulopa</t>
  </si>
  <si>
    <t>Butansi</t>
  </si>
  <si>
    <t>Kamuli Municipality</t>
  </si>
  <si>
    <t>KAMULI UNIVERSTY</t>
  </si>
  <si>
    <t>Kamuli town</t>
  </si>
  <si>
    <t>Kisozi</t>
  </si>
  <si>
    <t>Kitayunjwa</t>
  </si>
  <si>
    <t>Namaganda</t>
  </si>
  <si>
    <t>NAMAIRA</t>
  </si>
  <si>
    <t>BUSOTA</t>
  </si>
  <si>
    <t>BUTABAALA</t>
  </si>
  <si>
    <t>Mbulamuti</t>
  </si>
  <si>
    <t>Nabwigulu</t>
  </si>
  <si>
    <t>Nabirumba</t>
  </si>
  <si>
    <t>Namasagali</t>
  </si>
  <si>
    <t>Namwendwa</t>
  </si>
  <si>
    <t>Nawanyago</t>
  </si>
  <si>
    <t>Wankole</t>
  </si>
  <si>
    <t>Luzinga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</si>
  <si>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</si>
  <si>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</si>
  <si>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</si>
  <si>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</si>
  <si>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</si>
  <si>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</si>
  <si>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</si>
  <si>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</si>
  <si>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KAMWEMGE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</si>
  <si>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</si>
  <si>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</si>
  <si>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</si>
  <si>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</si>
  <si>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</si>
  <si>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</si>
  <si>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</si>
  <si>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</si>
  <si>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</si>
  <si>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</si>
  <si>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</si>
  <si>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</si>
  <si>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</si>
  <si>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</si>
  <si>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</si>
  <si>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</si>
  <si>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</si>
  <si>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</si>
  <si>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</si>
  <si>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</si>
  <si>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</si>
  <si>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</si>
  <si>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</si>
  <si>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</si>
  <si>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</si>
  <si>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</si>
  <si>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</si>
  <si>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</si>
  <si>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</si>
  <si>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</si>
  <si>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</si>
  <si>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</si>
  <si>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</si>
  <si>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</si>
  <si>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</si>
  <si>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</si>
  <si>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</si>
  <si>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</si>
  <si>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</si>
  <si>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</si>
  <si>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</si>
  <si>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</si>
  <si>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</si>
  <si>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</si>
  <si>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Bweera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</si>
  <si>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</si>
  <si>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</si>
  <si>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</si>
  <si>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</si>
  <si>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</si>
  <si>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</si>
  <si>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</si>
  <si>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</si>
  <si>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</si>
  <si>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</si>
  <si>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</si>
  <si>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</si>
  <si>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</si>
  <si>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</si>
  <si>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</si>
  <si>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</si>
  <si>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</si>
  <si>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</si>
  <si>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</si>
  <si>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</si>
  <si>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</si>
  <si>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</si>
  <si>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</si>
  <si>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</si>
  <si>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</si>
  <si>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</si>
  <si>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</si>
  <si>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</si>
  <si>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</si>
  <si>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</si>
  <si>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</si>
  <si>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</si>
  <si>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</si>
  <si>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</si>
  <si>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</si>
  <si>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</si>
  <si>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</si>
  <si>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</si>
  <si>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</si>
  <si>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</si>
  <si>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</si>
  <si>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</si>
  <si>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</si>
  <si>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</si>
  <si>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</si>
  <si>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</si>
  <si>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</si>
  <si>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</si>
  <si>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</si>
  <si>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</si>
  <si>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</si>
  <si>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</si>
  <si>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</si>
  <si>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</si>
  <si>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</si>
  <si>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</si>
  <si>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</si>
  <si>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</si>
  <si>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</si>
  <si>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</si>
  <si>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</si>
  <si>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</si>
  <si>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</si>
  <si>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</si>
  <si>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</si>
  <si>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</si>
  <si>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</si>
  <si>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</si>
  <si>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</si>
  <si>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</si>
  <si>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</si>
  <si>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</si>
  <si>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</si>
  <si>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</si>
  <si>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</si>
  <si>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</si>
  <si>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</si>
  <si>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</si>
  <si>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</si>
  <si>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</si>
  <si>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</si>
  <si>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</si>
  <si>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</si>
  <si>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</si>
  <si>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</si>
  <si>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</si>
  <si>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</si>
  <si>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</si>
  <si>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</si>
  <si>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</si>
  <si>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</si>
  <si>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</si>
  <si>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</si>
  <si>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</si>
  <si>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</si>
  <si>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Lake Mburo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</si>
  <si>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</si>
  <si>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</si>
  <si>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</si>
  <si>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</si>
  <si>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</si>
  <si>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</si>
  <si>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</si>
  <si>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</si>
  <si>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</si>
  <si>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</si>
  <si>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</si>
  <si>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</si>
  <si>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</si>
  <si>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</si>
  <si>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</si>
  <si>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</si>
  <si>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</si>
  <si>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</si>
  <si>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Kisoro town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</si>
  <si>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</si>
  <si>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</si>
  <si>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</si>
  <si>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</si>
  <si>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</si>
  <si>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</si>
  <si>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</si>
  <si>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</si>
  <si>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</si>
  <si>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</si>
  <si>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</si>
  <si>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</si>
  <si>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</si>
  <si>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</si>
  <si>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</si>
  <si>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</si>
  <si>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</si>
  <si>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</si>
  <si>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</si>
  <si>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</si>
  <si>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</si>
  <si>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</si>
  <si>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</si>
  <si>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</si>
  <si>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</si>
  <si>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</si>
  <si>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</si>
  <si>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</si>
  <si>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</si>
  <si>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</si>
  <si>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</si>
  <si>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</si>
  <si>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</si>
  <si>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</si>
  <si>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</si>
  <si>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</si>
  <si>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</si>
  <si>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</si>
  <si>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</si>
  <si>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</si>
  <si>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</si>
  <si>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</si>
  <si>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</si>
  <si>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</si>
  <si>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</si>
  <si>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</si>
  <si>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</si>
  <si>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</si>
  <si>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</si>
  <si>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</si>
  <si>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</si>
  <si>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</si>
  <si>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</si>
  <si>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</si>
  <si>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</si>
  <si>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</si>
  <si>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</si>
  <si>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</si>
  <si>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</si>
  <si>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</si>
  <si>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</si>
  <si>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</si>
  <si>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</si>
  <si>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</si>
  <si>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</si>
  <si>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</si>
  <si>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</si>
  <si>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</si>
  <si>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</si>
  <si>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</si>
  <si>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</si>
  <si>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</si>
  <si>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</si>
  <si>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</si>
  <si>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</si>
  <si>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</si>
  <si>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</si>
  <si>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</si>
  <si>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</si>
  <si>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</si>
  <si>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</si>
  <si>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Kakabala</t>
  </si>
  <si>
    <t>Kasule</t>
  </si>
  <si>
    <t>Kyaka Ii Refugee Camp</t>
  </si>
  <si>
    <t>Kyegegwa Town Council</t>
  </si>
  <si>
    <t>KYEGOGWE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</si>
  <si>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</si>
  <si>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</si>
  <si>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</si>
  <si>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</si>
  <si>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</si>
  <si>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</si>
  <si>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</si>
  <si>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</si>
  <si>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</si>
  <si>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</si>
  <si>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</si>
  <si>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</si>
  <si>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</si>
  <si>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</si>
  <si>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</si>
  <si>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</si>
  <si>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</si>
  <si>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</si>
  <si>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</si>
  <si>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Kyenjojo town</t>
  </si>
  <si>
    <t>Nyabuharwa</t>
  </si>
  <si>
    <t>Nyankwanzi</t>
  </si>
  <si>
    <t>Nyantungo</t>
  </si>
  <si>
    <t>Kyotera</t>
  </si>
  <si>
    <t>Kalisizo</t>
  </si>
  <si>
    <t>KALIISIZO</t>
  </si>
  <si>
    <t>Kalisizo Town Council</t>
  </si>
  <si>
    <t>Kasasa</t>
  </si>
  <si>
    <t>Kooki</t>
  </si>
  <si>
    <t>Kirumba</t>
  </si>
  <si>
    <t>Kyebe</t>
  </si>
  <si>
    <t>Kyotera Town Council</t>
  </si>
  <si>
    <t>Kyotera town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</si>
  <si>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</si>
  <si>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</si>
  <si>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</si>
  <si>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</si>
  <si>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</si>
  <si>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</si>
  <si>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</si>
  <si>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</si>
  <si>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</si>
  <si>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</si>
  <si>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</si>
  <si>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</si>
  <si>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</si>
  <si>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</si>
  <si>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</si>
  <si>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</si>
  <si>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</si>
  <si>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</si>
  <si>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</si>
  <si>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</si>
  <si>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</si>
  <si>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</si>
  <si>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KIROBA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</si>
  <si>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</si>
  <si>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</si>
  <si>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</si>
  <si>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</si>
  <si>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</si>
  <si>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</si>
  <si>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</si>
  <si>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</si>
  <si>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</si>
  <si>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</si>
  <si>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</si>
  <si>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</si>
  <si>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Butuntumula</t>
  </si>
  <si>
    <t>Kalagala</t>
  </si>
  <si>
    <t>Kamira</t>
  </si>
  <si>
    <t>Kikyusa</t>
  </si>
  <si>
    <t>Luweero</t>
  </si>
  <si>
    <t>Luwero Town Council</t>
  </si>
  <si>
    <t>Makulubita</t>
  </si>
  <si>
    <t>Nyimbwa</t>
  </si>
  <si>
    <t>Wobulenzi Town Council</t>
  </si>
  <si>
    <t>Wobulenzi</t>
  </si>
  <si>
    <t>Zirobwe</t>
  </si>
  <si>
    <t>Kisekka</t>
  </si>
  <si>
    <t>Lwengo</t>
  </si>
  <si>
    <t>Kkingo</t>
  </si>
  <si>
    <t>Nabyewanga</t>
  </si>
  <si>
    <t>Kyazanga</t>
  </si>
  <si>
    <t>Lwera</t>
  </si>
  <si>
    <t>Lweera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</si>
  <si>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</si>
  <si>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</si>
  <si>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</si>
  <si>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</si>
  <si>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</si>
  <si>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</si>
  <si>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</si>
  <si>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</si>
  <si>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</si>
  <si>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</si>
  <si>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LYANTONDE TOWN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</si>
  <si>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</si>
  <si>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</si>
  <si>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</si>
  <si>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</si>
  <si>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</si>
  <si>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</si>
  <si>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</si>
  <si>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</si>
  <si>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</si>
  <si>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</si>
  <si>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</si>
  <si>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</si>
  <si>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</si>
  <si>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</si>
  <si>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</si>
  <si>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</si>
  <si>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</si>
  <si>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</si>
  <si>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</si>
  <si>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</si>
  <si>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</si>
  <si>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</si>
  <si>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</si>
  <si>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</si>
  <si>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</si>
  <si>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</si>
  <si>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</si>
  <si>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</si>
  <si>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</si>
  <si>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</si>
  <si>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</si>
  <si>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</si>
  <si>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</si>
  <si>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</si>
  <si>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</si>
  <si>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masaka</t>
  </si>
  <si>
    <t>MASAKA TOWN</t>
  </si>
  <si>
    <t>MASAKA TAXI PARK</t>
  </si>
  <si>
    <t>MASAKA PARK</t>
  </si>
  <si>
    <t>Mukungwe</t>
  </si>
  <si>
    <t>Mpugwe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</si>
  <si>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</si>
  <si>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</si>
  <si>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</si>
  <si>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</si>
  <si>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</si>
  <si>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</si>
  <si>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</si>
  <si>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</si>
  <si>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</si>
  <si>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</si>
  <si>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</si>
  <si>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</si>
  <si>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</si>
  <si>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</si>
  <si>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</si>
  <si>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</si>
  <si>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</si>
  <si>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</si>
  <si>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</si>
  <si>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</si>
  <si>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MAGAMAGA</t>
  </si>
  <si>
    <t>MUGULUKA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</si>
  <si>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</si>
  <si>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</si>
  <si>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</si>
  <si>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</si>
  <si>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</si>
  <si>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</si>
  <si>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</si>
  <si>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</si>
  <si>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</si>
  <si>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</si>
  <si>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</si>
  <si>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</si>
  <si>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</si>
  <si>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</si>
  <si>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</si>
  <si>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</si>
  <si>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</si>
  <si>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</si>
  <si>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</si>
  <si>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</si>
  <si>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</si>
  <si>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</si>
  <si>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</si>
  <si>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</si>
  <si>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</si>
  <si>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</si>
  <si>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</si>
  <si>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</si>
  <si>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</si>
  <si>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</si>
  <si>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</si>
  <si>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</si>
  <si>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</si>
  <si>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</si>
  <si>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</si>
  <si>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</si>
  <si>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</si>
  <si>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</si>
  <si>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 BUS PARK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</si>
  <si>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</si>
  <si>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</si>
  <si>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</si>
  <si>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</si>
  <si>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</si>
  <si>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</si>
  <si>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</si>
  <si>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</si>
  <si>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</si>
  <si>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</si>
  <si>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</si>
  <si>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</si>
  <si>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</si>
  <si>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</si>
  <si>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</si>
  <si>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</si>
  <si>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</si>
  <si>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</si>
  <si>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</si>
  <si>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</si>
  <si>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Mityana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</si>
  <si>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</si>
  <si>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</si>
  <si>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</si>
  <si>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</si>
  <si>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</si>
  <si>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</si>
  <si>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</si>
  <si>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</si>
  <si>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</si>
  <si>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</si>
  <si>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>Zigoti</t>
  </si>
  <si>
    <t>Kiwawu</t>
  </si>
  <si>
    <t>TOWN CENTRE</t>
  </si>
  <si>
    <t>MITYANA TOWN</t>
  </si>
  <si>
    <t>Jezza</t>
  </si>
  <si>
    <t>JEZA</t>
  </si>
  <si>
    <t>JJEZA</t>
  </si>
  <si>
    <t>Namungo</t>
  </si>
  <si>
    <t>Ssekanyonyi</t>
  </si>
  <si>
    <t>Buwalula</t>
  </si>
  <si>
    <t>Kikonge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</si>
  <si>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</si>
  <si>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</si>
  <si>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</si>
  <si>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</si>
  <si>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</si>
  <si>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</si>
  <si>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</si>
  <si>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</si>
  <si>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</si>
  <si>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</si>
  <si>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</si>
  <si>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</si>
  <si>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</si>
  <si>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</si>
  <si>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</si>
  <si>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</si>
  <si>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</si>
  <si>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</si>
  <si>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</si>
  <si>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</si>
  <si>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</si>
  <si>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Kamengo</t>
  </si>
  <si>
    <t>Kiringente</t>
  </si>
  <si>
    <t>Nakirebe</t>
  </si>
  <si>
    <t>Nakilebe</t>
  </si>
  <si>
    <t>Kituntu</t>
  </si>
  <si>
    <t>Mpigi Town Council</t>
  </si>
  <si>
    <t>Mpigi town</t>
  </si>
  <si>
    <t>MPIGI MARKET</t>
  </si>
  <si>
    <t>MPIGI TAXI PARK</t>
  </si>
  <si>
    <t>MPIGI POLICE STATION</t>
  </si>
  <si>
    <t>Muduuma</t>
  </si>
  <si>
    <t>Nkozi</t>
  </si>
  <si>
    <t>Nabusanke</t>
  </si>
  <si>
    <t>Kayabwe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</si>
  <si>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</si>
  <si>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</si>
  <si>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</si>
  <si>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</si>
  <si>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</si>
  <si>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</si>
  <si>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</si>
  <si>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</si>
  <si>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</si>
  <si>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KASANDA</t>
  </si>
  <si>
    <t>KASANDA TOWN</t>
  </si>
  <si>
    <t>Kibalinga</t>
  </si>
  <si>
    <t>Kiganda</t>
  </si>
  <si>
    <t>Kigando</t>
  </si>
  <si>
    <t>Kitenga</t>
  </si>
  <si>
    <t>KALONGA-MUBENDE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</si>
  <si>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</si>
  <si>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</si>
  <si>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</si>
  <si>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</si>
  <si>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</si>
  <si>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</si>
  <si>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</si>
  <si>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Myanzi</t>
  </si>
  <si>
    <t>Kakungube</t>
  </si>
  <si>
    <t>Nabingoola</t>
  </si>
  <si>
    <t>Kasawo</t>
  </si>
  <si>
    <t>Nakifuma</t>
  </si>
  <si>
    <t>Kimenyedde</t>
  </si>
  <si>
    <t>Koome Island</t>
  </si>
  <si>
    <t>Kyampisi</t>
  </si>
  <si>
    <t>Kabembe</t>
  </si>
  <si>
    <t>Kalagi</t>
  </si>
  <si>
    <t>Mpatta</t>
  </si>
  <si>
    <t>Mpunge</t>
  </si>
  <si>
    <t>Mukono Municipality</t>
  </si>
  <si>
    <t>MUKONO TOWN</t>
  </si>
  <si>
    <t>Nabbaale</t>
  </si>
  <si>
    <t>Nagojje</t>
  </si>
  <si>
    <t>Namataba</t>
  </si>
  <si>
    <t>Nakisunga</t>
  </si>
  <si>
    <t>Nama</t>
  </si>
  <si>
    <t>Katosi</t>
  </si>
  <si>
    <t>Ntunda</t>
  </si>
  <si>
    <t>Seeta Namuganga</t>
  </si>
  <si>
    <t>Namanve</t>
  </si>
  <si>
    <t>Seeta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</si>
  <si>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</si>
  <si>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</si>
  <si>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</si>
  <si>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</si>
  <si>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</si>
  <si>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</si>
  <si>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</si>
  <si>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</si>
  <si>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</si>
  <si>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</si>
  <si>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</si>
  <si>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</si>
  <si>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</si>
  <si>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</si>
  <si>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Kapeka</t>
  </si>
  <si>
    <t>Kasangombe</t>
  </si>
  <si>
    <t>Kikamulo</t>
  </si>
  <si>
    <t>Magoma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</si>
  <si>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</si>
  <si>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</si>
  <si>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</si>
  <si>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</si>
  <si>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</si>
  <si>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</si>
  <si>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</si>
  <si>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</si>
  <si>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</si>
  <si>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</si>
  <si>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</si>
  <si>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</si>
  <si>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</si>
  <si>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</si>
  <si>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</si>
  <si>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</si>
  <si>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</si>
  <si>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</si>
  <si>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</si>
  <si>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</si>
  <si>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</si>
  <si>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</si>
  <si>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</si>
  <si>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</si>
  <si>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</si>
  <si>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</si>
  <si>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</si>
  <si>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</si>
  <si>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</si>
  <si>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</si>
  <si>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</si>
  <si>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BUMERU-NAMAYINGO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</si>
  <si>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</si>
  <si>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</si>
  <si>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</si>
  <si>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</si>
  <si>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</si>
  <si>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</si>
  <si>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</si>
  <si>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</si>
  <si>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</si>
  <si>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</si>
  <si>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</si>
  <si>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</si>
  <si>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</si>
  <si>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</si>
  <si>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</si>
  <si>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</si>
  <si>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</si>
  <si>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</si>
  <si>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</si>
  <si>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</si>
  <si>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</si>
  <si>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</si>
  <si>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</si>
  <si>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</si>
  <si>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</si>
  <si>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</si>
  <si>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</si>
  <si>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</si>
  <si>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</si>
  <si>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</si>
  <si>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</si>
  <si>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</si>
  <si>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</si>
  <si>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</si>
  <si>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</si>
  <si>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</si>
  <si>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</si>
  <si>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</si>
  <si>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</si>
  <si>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</si>
  <si>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</si>
  <si>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</si>
  <si>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</si>
  <si>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</si>
  <si>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</si>
  <si>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</si>
  <si>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</si>
  <si>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</si>
  <si>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</si>
  <si>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</si>
  <si>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</si>
  <si>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</si>
  <si>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</si>
  <si>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</si>
  <si>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</si>
  <si>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</si>
  <si>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</si>
  <si>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</si>
  <si>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</si>
  <si>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</si>
  <si>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</si>
  <si>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</si>
  <si>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</si>
  <si>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</si>
  <si>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</si>
  <si>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</si>
  <si>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</si>
  <si>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</si>
  <si>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</si>
  <si>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</si>
  <si>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</si>
  <si>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</si>
  <si>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</si>
  <si>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</si>
  <si>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</si>
  <si>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</si>
  <si>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</si>
  <si>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</si>
  <si>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</si>
  <si>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</si>
  <si>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</si>
  <si>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</si>
  <si>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</si>
  <si>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</si>
  <si>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</si>
  <si>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</si>
  <si>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</si>
  <si>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</si>
  <si>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</si>
  <si>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</si>
  <si>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</si>
  <si>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</si>
  <si>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</si>
  <si>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</si>
  <si>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</si>
  <si>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</si>
  <si>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</si>
  <si>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</si>
  <si>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</si>
  <si>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</si>
  <si>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</si>
  <si>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</si>
  <si>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</si>
  <si>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</si>
  <si>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</si>
  <si>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</si>
  <si>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</si>
  <si>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</si>
  <si>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</si>
  <si>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</si>
  <si>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</si>
  <si>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</si>
  <si>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</si>
  <si>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</si>
  <si>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</si>
  <si>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</si>
  <si>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</si>
  <si>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</si>
  <si>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</si>
  <si>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</si>
  <si>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</si>
  <si>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</si>
  <si>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</si>
  <si>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</si>
  <si>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</si>
  <si>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</si>
  <si>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</si>
  <si>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</si>
  <si>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</si>
  <si>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</si>
  <si>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</si>
  <si>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</si>
  <si>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</si>
  <si>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</si>
  <si>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</si>
  <si>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</si>
  <si>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</si>
  <si>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</si>
  <si>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</si>
  <si>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</si>
  <si>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</si>
  <si>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</si>
  <si>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</si>
  <si>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</si>
  <si>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</si>
  <si>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</si>
  <si>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</si>
  <si>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</si>
  <si>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</si>
  <si>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</si>
  <si>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</si>
  <si>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</si>
  <si>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</si>
  <si>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</si>
  <si>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</si>
  <si>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</si>
  <si>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</si>
  <si>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</si>
  <si>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</si>
  <si>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</si>
  <si>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</si>
  <si>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</si>
  <si>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</si>
  <si>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</si>
  <si>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</si>
  <si>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</si>
  <si>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</si>
  <si>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</si>
  <si>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</si>
  <si>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</si>
  <si>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</si>
  <si>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</si>
  <si>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</si>
  <si>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</si>
  <si>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</si>
  <si>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</si>
  <si>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</si>
  <si>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</si>
  <si>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</si>
  <si>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</si>
  <si>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</si>
  <si>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</si>
  <si>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</si>
  <si>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</si>
  <si>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</si>
  <si>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</si>
  <si>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</si>
  <si>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</si>
  <si>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</si>
  <si>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</si>
  <si>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</si>
  <si>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</si>
  <si>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</si>
  <si>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</si>
  <si>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</si>
  <si>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</si>
  <si>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</si>
  <si>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</si>
  <si>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</si>
  <si>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</si>
  <si>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</si>
  <si>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</si>
  <si>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</si>
  <si>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</si>
  <si>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</si>
  <si>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</si>
  <si>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</si>
  <si>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</si>
  <si>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</si>
  <si>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</si>
  <si>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</si>
  <si>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</si>
  <si>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</si>
  <si>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</si>
  <si>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</si>
  <si>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</si>
  <si>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</si>
  <si>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</si>
  <si>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</si>
  <si>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</si>
  <si>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</si>
  <si>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</si>
  <si>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</si>
  <si>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</si>
  <si>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</si>
  <si>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</si>
  <si>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</si>
  <si>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</si>
  <si>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</si>
  <si>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</si>
  <si>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</si>
  <si>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</si>
  <si>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</si>
  <si>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</si>
  <si>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</si>
  <si>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</si>
  <si>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</si>
  <si>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</si>
  <si>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</si>
  <si>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</si>
  <si>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</si>
  <si>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</si>
  <si>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</si>
  <si>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</si>
  <si>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</si>
  <si>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</si>
  <si>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</si>
  <si>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</si>
  <si>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</si>
  <si>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</si>
  <si>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</si>
  <si>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</si>
  <si>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</si>
  <si>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</si>
  <si>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</si>
  <si>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</si>
  <si>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town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</si>
  <si>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</si>
  <si>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</si>
  <si>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</si>
  <si>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</si>
  <si>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</si>
  <si>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</si>
  <si>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</si>
  <si>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</si>
  <si>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</si>
  <si>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</si>
  <si>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</si>
  <si>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</si>
  <si>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SEMBABULE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</si>
  <si>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</si>
  <si>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</si>
  <si>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</si>
  <si>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</si>
  <si>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</si>
  <si>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</si>
  <si>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</si>
  <si>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</si>
  <si>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Malaba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</si>
  <si>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</si>
  <si>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</si>
  <si>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</si>
  <si>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</si>
  <si>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</si>
  <si>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</si>
  <si>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</si>
  <si>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</si>
  <si>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</si>
  <si>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</si>
  <si>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</si>
  <si>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</si>
  <si>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</si>
  <si>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</si>
  <si>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CEMENT COMPANY</t>
  </si>
  <si>
    <t>Tororo Cement</t>
  </si>
  <si>
    <t>Bunamwaya</t>
  </si>
  <si>
    <t>Makindye Ssabagabo Municipality</t>
  </si>
  <si>
    <t>BUNNAMWAYA</t>
  </si>
  <si>
    <t>Bussi</t>
  </si>
  <si>
    <t>Busiro</t>
  </si>
  <si>
    <t>Sentema</t>
  </si>
  <si>
    <t>Busukuma</t>
  </si>
  <si>
    <t>Nansana Municipality</t>
  </si>
  <si>
    <t>Kira Municipality</t>
  </si>
  <si>
    <t>Namboole</t>
  </si>
  <si>
    <t>Kazinga</t>
  </si>
  <si>
    <t>Entebbe Airport</t>
  </si>
  <si>
    <t>Entebbe Municipality</t>
  </si>
  <si>
    <t>Airport</t>
  </si>
  <si>
    <t>Garuga</t>
  </si>
  <si>
    <t>NTEBE</t>
  </si>
  <si>
    <t>Kitala</t>
  </si>
  <si>
    <t>Kitoro</t>
  </si>
  <si>
    <t>Kitooro</t>
  </si>
  <si>
    <t>ABAYITA ABABIRI</t>
  </si>
  <si>
    <t>ENTEBBE TOWN</t>
  </si>
  <si>
    <t>Kawuku</t>
  </si>
  <si>
    <t>Kitende</t>
  </si>
  <si>
    <t>Bwebajja</t>
  </si>
  <si>
    <t>Gombe</t>
  </si>
  <si>
    <t>Katende</t>
  </si>
  <si>
    <t>Maya</t>
  </si>
  <si>
    <t>Nabbingo</t>
  </si>
  <si>
    <t>NABINGO</t>
  </si>
  <si>
    <t>Mugongo</t>
  </si>
  <si>
    <t>Kajjansi Town Council</t>
  </si>
  <si>
    <t>Kajjansi</t>
  </si>
  <si>
    <t>Seguku</t>
  </si>
  <si>
    <t>Kigo</t>
  </si>
  <si>
    <t>Lubowa</t>
  </si>
  <si>
    <t>Kakiri</t>
  </si>
  <si>
    <t>Mubango</t>
  </si>
  <si>
    <t>KIKUBAMPANGA</t>
  </si>
  <si>
    <t>Kakiri Town Council</t>
  </si>
  <si>
    <t>Kasangati Town Council</t>
  </si>
  <si>
    <t>Kyadondo</t>
  </si>
  <si>
    <t>Kasangati</t>
  </si>
  <si>
    <t>Matugga</t>
  </si>
  <si>
    <t>Lweeza</t>
  </si>
  <si>
    <t>NALYA</t>
  </si>
  <si>
    <t>NAALYA</t>
  </si>
  <si>
    <t>Kiteezi</t>
  </si>
  <si>
    <t>Kasanje</t>
  </si>
  <si>
    <t>Katabi Town Council</t>
  </si>
  <si>
    <t>Katabi</t>
  </si>
  <si>
    <t>Kisubi</t>
  </si>
  <si>
    <t>Kira</t>
  </si>
  <si>
    <t>Kiira</t>
  </si>
  <si>
    <t>KASOKOSOKO</t>
  </si>
  <si>
    <t>Najjera</t>
  </si>
  <si>
    <t>NAJEERA</t>
  </si>
  <si>
    <t>Kyaliwajjala</t>
  </si>
  <si>
    <t>Kireka</t>
  </si>
  <si>
    <t>Kyengera Town Council</t>
  </si>
  <si>
    <t>KYENGERA TOWN</t>
  </si>
  <si>
    <t>KYENGERA MARKET</t>
  </si>
  <si>
    <t>PETRO CITY-KYENGERA</t>
  </si>
  <si>
    <t>PETROCITY-KYENGERA</t>
  </si>
  <si>
    <t>SHELL-KYENGERA</t>
  </si>
  <si>
    <t>Kyengera</t>
  </si>
  <si>
    <t>MUGOMA-KYENGERA</t>
  </si>
  <si>
    <t>MASANDA-KYENGERA</t>
  </si>
  <si>
    <t>Nsangi</t>
  </si>
  <si>
    <t>NSANGI TOWN</t>
  </si>
  <si>
    <t>Kasenge</t>
  </si>
  <si>
    <t>KATEREKE</t>
  </si>
  <si>
    <t>NALUMUNYE</t>
  </si>
  <si>
    <t>Kabojja</t>
  </si>
  <si>
    <t>KINAWA</t>
  </si>
  <si>
    <t>Kinaawa</t>
  </si>
  <si>
    <t>Namagoma</t>
  </si>
  <si>
    <t>Kitemu</t>
  </si>
  <si>
    <t>Buddo</t>
  </si>
  <si>
    <t>Nabaziza</t>
  </si>
  <si>
    <t>Kumukaaga-Kyengera</t>
  </si>
  <si>
    <t>Masajja</t>
  </si>
  <si>
    <t>Namasuba</t>
  </si>
  <si>
    <t>Kikajjo</t>
  </si>
  <si>
    <t>NAMASUUBA</t>
  </si>
  <si>
    <t>Masuliita</t>
  </si>
  <si>
    <t>MASULITA</t>
  </si>
  <si>
    <t>Masulita Town Council</t>
  </si>
  <si>
    <t>Mende</t>
  </si>
  <si>
    <t>Nabweru</t>
  </si>
  <si>
    <t>Maganjo</t>
  </si>
  <si>
    <t>Kawanda</t>
  </si>
  <si>
    <t>Namayumba</t>
  </si>
  <si>
    <t>Kyasa</t>
  </si>
  <si>
    <t>Namayumba Town Council</t>
  </si>
  <si>
    <t>Namugongo</t>
  </si>
  <si>
    <t>Sonde</t>
  </si>
  <si>
    <t>Nansana</t>
  </si>
  <si>
    <t>Ganda</t>
  </si>
  <si>
    <t>NASANA</t>
  </si>
  <si>
    <t>Ndejje</t>
  </si>
  <si>
    <t>Temangalo</t>
  </si>
  <si>
    <t>Wakiso town</t>
  </si>
  <si>
    <t>KASENGEJJE</t>
  </si>
  <si>
    <t>Lukwanga</t>
  </si>
  <si>
    <t>Bulenga</t>
  </si>
  <si>
    <t>KUMWENDA-BULENGA</t>
  </si>
  <si>
    <t>Buloba</t>
  </si>
  <si>
    <t>Kalambi</t>
  </si>
  <si>
    <t>BUJJUKO</t>
  </si>
  <si>
    <t>BUJUKO</t>
  </si>
  <si>
    <t>Forest Park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</si>
  <si>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</si>
  <si>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</si>
  <si>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</si>
  <si>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</si>
  <si>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</si>
  <si>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</si>
  <si>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</si>
  <si>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</si>
  <si>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</si>
  <si>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</si>
  <si>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</si>
  <si>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</si>
  <si>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</si>
  <si>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</si>
  <si>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</si>
  <si>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</si>
  <si>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</si>
  <si>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</si>
  <si>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</si>
  <si>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</si>
  <si>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</si>
  <si>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</si>
  <si>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</si>
  <si>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</si>
  <si>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</si>
  <si>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</si>
  <si>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</si>
  <si>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</si>
  <si>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</si>
  <si>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</si>
  <si>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Kisumu</t>
  </si>
  <si>
    <t>NAIROBI</t>
  </si>
  <si>
    <t>Busia Town</t>
  </si>
  <si>
    <t>Mombasa</t>
  </si>
  <si>
    <t>Mutukula</t>
  </si>
  <si>
    <t>Burundi</t>
  </si>
  <si>
    <t>Katuna</t>
  </si>
  <si>
    <t>Cyanika</t>
  </si>
  <si>
    <t>Bunagana</t>
  </si>
  <si>
    <t>BUTEMBO</t>
  </si>
  <si>
    <t>Bukavu</t>
  </si>
  <si>
    <t>Mpondwe</t>
  </si>
  <si>
    <t>Goli</t>
  </si>
  <si>
    <t>Elegu</t>
  </si>
  <si>
    <t>South Sudan</t>
  </si>
  <si>
    <t>Nimule</t>
  </si>
  <si>
    <t>Mirama Hills</t>
  </si>
  <si>
    <t>Oraba</t>
  </si>
  <si>
    <t>Padea</t>
  </si>
  <si>
    <t>Bugerwi</t>
  </si>
  <si>
    <t>Buwolera</t>
  </si>
  <si>
    <t>Buwolomera</t>
  </si>
  <si>
    <t>Kyani</t>
  </si>
  <si>
    <t>Nawangaiza</t>
  </si>
  <si>
    <t>Nabigalata</t>
  </si>
  <si>
    <t>Kalamoyo</t>
  </si>
  <si>
    <t>Kyangamwoyo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</si>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</sst>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3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0" fillId="3" borderId="3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/>
    </xf>
    <xf numFmtId="0" fontId="14" fillId="0" borderId="0" xfId="5" applyFill="1" applyBorder="1">
      <alignment vertical="center"/>
    </xf>
    <xf numFmtId="0" fontId="13" fillId="0" borderId="0" xfId="4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12" fillId="0" borderId="0" xfId="4" applyFill="1" applyBorder="1" applyAlignment="1">
      <alignment wrapText="1"/>
    </xf>
    <xf numFmtId="0" fontId="12" fillId="0" borderId="0" xfId="4" applyFill="1" applyBorder="1" applyAlignment="1">
      <alignment horizontal="left" vertical="center" wrapText="1"/>
    </xf>
    <xf numFmtId="0" fontId="15" fillId="0" borderId="0" xfId="5" applyFont="1" applyFill="1" applyBorder="1">
      <alignment vertical="center"/>
    </xf>
    <xf numFmtId="0" fontId="13" fillId="6" borderId="0" xfId="4" applyFont="1" applyFill="1" applyBorder="1" applyAlignment="1">
      <alignment wrapText="1"/>
    </xf>
    <xf numFmtId="0" fontId="15" fillId="6" borderId="0" xfId="5" applyFont="1" applyFill="1" applyBorder="1">
      <alignment vertical="center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10" borderId="2" xfId="0" applyFill="1" applyBorder="1" applyAlignment="1">
      <alignment horizontal="left"/>
    </xf>
    <xf numFmtId="167" fontId="0" fillId="10" borderId="2" xfId="6" applyNumberFormat="1" applyFont="1" applyFill="1" applyBorder="1"/>
    <xf numFmtId="167" fontId="0" fillId="10" borderId="2" xfId="0" applyNumberFormat="1" applyFill="1" applyBorder="1"/>
    <xf numFmtId="168" fontId="0" fillId="10" borderId="2" xfId="2" applyNumberFormat="1" applyFont="1" applyFill="1" applyBorder="1"/>
    <xf numFmtId="0" fontId="1" fillId="9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9" borderId="2" xfId="0" applyFont="1" applyFill="1" applyBorder="1"/>
    <xf numFmtId="167" fontId="0" fillId="9" borderId="2" xfId="6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9" borderId="2" xfId="6" applyNumberFormat="1" applyFont="1" applyFill="1" applyBorder="1"/>
    <xf numFmtId="0" fontId="1" fillId="8" borderId="0" xfId="0" applyFont="1" applyFill="1"/>
    <xf numFmtId="0" fontId="5" fillId="10" borderId="2" xfId="0" applyFont="1" applyFill="1" applyBorder="1"/>
    <xf numFmtId="0" fontId="0" fillId="10" borderId="2" xfId="0" applyFill="1" applyBorder="1"/>
    <xf numFmtId="0" fontId="1" fillId="10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6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 2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983-4AA8-BF03-0D825F6AB28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983-4AA8-BF03-0D825F6AB28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983-4AA8-BF03-0D825F6AB28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983-4AA8-BF03-0D825F6AB28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983-4AA8-BF03-0D825F6AB28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983-4AA8-BF03-0D825F6AB28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983-4AA8-BF03-0D825F6AB28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983-4AA8-BF03-0D825F6AB28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983-4AA8-BF03-0D825F6AB28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983-4AA8-BF03-0D825F6AB28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983-4AA8-BF03-0D825F6AB28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983-4AA8-BF03-0D825F6AB288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83-4AA8-BF03-0D825F6AB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79</c:v>
                </c:pt>
                <c:pt idx="1">
                  <c:v>52</c:v>
                </c:pt>
                <c:pt idx="2">
                  <c:v>29</c:v>
                </c:pt>
                <c:pt idx="3">
                  <c:v>55</c:v>
                </c:pt>
                <c:pt idx="4">
                  <c:v>10</c:v>
                </c:pt>
                <c:pt idx="5">
                  <c:v>1</c:v>
                </c:pt>
                <c:pt idx="6">
                  <c:v>17</c:v>
                </c:pt>
                <c:pt idx="7">
                  <c:v>25</c:v>
                </c:pt>
                <c:pt idx="8">
                  <c:v>2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983-4AA8-BF03-0D825F6AB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98-466B-BE45-880212DCBB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98-466B-BE45-880212DCBBE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98-466B-BE45-880212DCBB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98-466B-BE45-880212DCBBE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98-466B-BE45-880212DCBBE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98-466B-BE45-880212DCBBE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98-466B-BE45-880212DCBBE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98-466B-BE45-880212DCBBE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98-466B-BE45-880212DCBB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57</c:v>
                </c:pt>
                <c:pt idx="1">
                  <c:v>4</c:v>
                </c:pt>
                <c:pt idx="2">
                  <c:v>63</c:v>
                </c:pt>
                <c:pt idx="3">
                  <c:v>78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98-466B-BE45-880212DCBB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0.74113475177304966</c:v>
                </c:pt>
                <c:pt idx="1">
                  <c:v>0.25886524822695034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F-4BD6-A0C8-A84AE59F4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5750</c:v>
                </c:pt>
                <c:pt idx="1">
                  <c:v>0</c:v>
                </c:pt>
                <c:pt idx="2">
                  <c:v>0</c:v>
                </c:pt>
                <c:pt idx="3">
                  <c:v>2000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5-471D-ABF0-7625355742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</c:v>
                </c:pt>
                <c:pt idx="1">
                  <c:v>13</c:v>
                </c:pt>
                <c:pt idx="2">
                  <c:v>12</c:v>
                </c:pt>
                <c:pt idx="3">
                  <c:v>21</c:v>
                </c:pt>
                <c:pt idx="4">
                  <c:v>52</c:v>
                </c:pt>
                <c:pt idx="5">
                  <c:v>66</c:v>
                </c:pt>
                <c:pt idx="6">
                  <c:v>4</c:v>
                </c:pt>
                <c:pt idx="7">
                  <c:v>19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A-4862-BBE0-2F736BFD3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16</c:v>
                </c:pt>
                <c:pt idx="1">
                  <c:v>93</c:v>
                </c:pt>
                <c:pt idx="2">
                  <c:v>6</c:v>
                </c:pt>
                <c:pt idx="3">
                  <c:v>78</c:v>
                </c:pt>
                <c:pt idx="4">
                  <c:v>16</c:v>
                </c:pt>
                <c:pt idx="5">
                  <c:v>41</c:v>
                </c:pt>
                <c:pt idx="6">
                  <c:v>8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4-4224-8E26-FAF51F21D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1A-4098-9661-9D3BC58F600B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1A-4098-9661-9D3BC58F600B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1A-4098-9661-9D3BC58F600B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1A-4098-9661-9D3BC58F60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1A-4098-9661-9D3BC58F600B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1A-4098-9661-9D3BC58F60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15</c:v>
                </c:pt>
                <c:pt idx="1">
                  <c:v>178</c:v>
                </c:pt>
                <c:pt idx="2">
                  <c:v>12</c:v>
                </c:pt>
                <c:pt idx="3">
                  <c:v>19</c:v>
                </c:pt>
                <c:pt idx="4">
                  <c:v>8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1A-4098-9661-9D3BC58F60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761999</xdr:colOff>
      <xdr:row>3</xdr:row>
      <xdr:rowOff>12700</xdr:rowOff>
    </xdr:from>
    <xdr:to>
      <xdr:col>11</xdr:col>
      <xdr:colOff>304799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24180</xdr:rowOff>
    </xdr:from>
    <xdr:to>
      <xdr:col>11</xdr:col>
      <xdr:colOff>13187</xdr:colOff>
      <xdr:row>35</xdr:row>
      <xdr:rowOff>42742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12945</xdr:rowOff>
    </xdr:from>
    <xdr:to>
      <xdr:col>11</xdr:col>
      <xdr:colOff>286725</xdr:colOff>
      <xdr:row>56</xdr:row>
      <xdr:rowOff>112103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12942</xdr:colOff>
      <xdr:row>57</xdr:row>
      <xdr:rowOff>203688</xdr:rowOff>
    </xdr:from>
    <xdr:to>
      <xdr:col>10</xdr:col>
      <xdr:colOff>515571</xdr:colOff>
      <xdr:row>74</xdr:row>
      <xdr:rowOff>131396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904873</xdr:colOff>
      <xdr:row>77</xdr:row>
      <xdr:rowOff>9525</xdr:rowOff>
    </xdr:from>
    <xdr:to>
      <xdr:col>12</xdr:col>
      <xdr:colOff>539750</xdr:colOff>
      <xdr:row>93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12699</xdr:rowOff>
    </xdr:from>
    <xdr:to>
      <xdr:col>24</xdr:col>
      <xdr:colOff>395653</xdr:colOff>
      <xdr:row>38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grrrrtr\OD-C1-STN10-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Sheet2"/>
      <sheetName val="Zones (2)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7" zoomScale="60" zoomScaleNormal="65" workbookViewId="0">
      <selection activeCell="N45" sqref="N45"/>
    </sheetView>
  </sheetViews>
  <sheetFormatPr defaultRowHeight="12.75"/>
  <cols>
    <col min="1" max="1" width="3.85546875" style="56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5"/>
      <c r="B2" s="1"/>
      <c r="C2" s="19"/>
    </row>
    <row r="3" spans="1:17" ht="15">
      <c r="B3" s="68" t="s">
        <v>2530</v>
      </c>
      <c r="N3" s="1" t="s">
        <v>2531</v>
      </c>
    </row>
    <row r="4" spans="1:17" ht="38.25">
      <c r="B4" s="69" t="s">
        <v>143</v>
      </c>
      <c r="C4" s="69" t="s">
        <v>2532</v>
      </c>
      <c r="D4" s="69" t="s">
        <v>2533</v>
      </c>
      <c r="N4" s="70" t="s">
        <v>2534</v>
      </c>
      <c r="O4" s="70" t="s">
        <v>2535</v>
      </c>
      <c r="P4" s="70" t="s">
        <v>2536</v>
      </c>
      <c r="Q4" s="71" t="s">
        <v>2537</v>
      </c>
    </row>
    <row r="5" spans="1:17" ht="15" customHeight="1">
      <c r="B5" s="72" t="s">
        <v>77</v>
      </c>
      <c r="C5" s="73">
        <f>COUNTIF('ALL DATA'!$D$9:$D$5000,"1")</f>
        <v>79</v>
      </c>
      <c r="D5" s="74">
        <f t="shared" ref="D5:D16" si="0">C5/$C$17</f>
        <v>0.28014184397163122</v>
      </c>
      <c r="N5" s="75" t="s">
        <v>2538</v>
      </c>
      <c r="O5" s="76">
        <f>COUNTIF(Jtime,"&lt;=0.25")</f>
        <v>16</v>
      </c>
      <c r="P5" s="77">
        <f>O5</f>
        <v>16</v>
      </c>
      <c r="Q5" s="78">
        <f>P5/$O$15</f>
        <v>5.7971014492753624E-2</v>
      </c>
    </row>
    <row r="6" spans="1:17" ht="15" customHeight="1">
      <c r="B6" s="72" t="s">
        <v>78</v>
      </c>
      <c r="C6" s="73">
        <f>COUNTIF('ALL DATA'!$D$9:$D$5000,"2")</f>
        <v>52</v>
      </c>
      <c r="D6" s="74">
        <f t="shared" si="0"/>
        <v>0.18439716312056736</v>
      </c>
      <c r="N6" s="75" t="s">
        <v>2539</v>
      </c>
      <c r="O6" s="76">
        <f>COUNTIF(Jtime,"&lt;=0.5")</f>
        <v>109</v>
      </c>
      <c r="P6" s="77">
        <f>O6-O5</f>
        <v>93</v>
      </c>
      <c r="Q6" s="78">
        <f t="shared" ref="Q6:Q15" si="1">P6/$O$15</f>
        <v>0.33695652173913043</v>
      </c>
    </row>
    <row r="7" spans="1:17" ht="15" customHeight="1">
      <c r="B7" s="72" t="s">
        <v>79</v>
      </c>
      <c r="C7" s="73">
        <f>COUNTIF('ALL DATA'!$D$9:$D$5000,"3")</f>
        <v>29</v>
      </c>
      <c r="D7" s="74">
        <f t="shared" si="0"/>
        <v>0.10283687943262411</v>
      </c>
      <c r="N7" s="75" t="s">
        <v>2540</v>
      </c>
      <c r="O7" s="76">
        <f>COUNTIF(Jtime,"&lt;=0.75")</f>
        <v>115</v>
      </c>
      <c r="P7" s="77">
        <f t="shared" ref="P7:P15" si="2">O7-O6</f>
        <v>6</v>
      </c>
      <c r="Q7" s="78">
        <f t="shared" si="1"/>
        <v>2.1739130434782608E-2</v>
      </c>
    </row>
    <row r="8" spans="1:17" ht="15" customHeight="1">
      <c r="B8" s="72" t="s">
        <v>80</v>
      </c>
      <c r="C8" s="73">
        <f>COUNTIF('ALL DATA'!$D$9:$D$5000,"4")</f>
        <v>55</v>
      </c>
      <c r="D8" s="74">
        <f t="shared" si="0"/>
        <v>0.19503546099290781</v>
      </c>
      <c r="N8" s="75" t="s">
        <v>2541</v>
      </c>
      <c r="O8" s="76">
        <f>COUNTIF(Jtime,"&lt;=1.0")</f>
        <v>193</v>
      </c>
      <c r="P8" s="77">
        <f t="shared" si="2"/>
        <v>78</v>
      </c>
      <c r="Q8" s="78">
        <f t="shared" si="1"/>
        <v>0.28260869565217389</v>
      </c>
    </row>
    <row r="9" spans="1:17" ht="15" customHeight="1">
      <c r="B9" s="72" t="s">
        <v>81</v>
      </c>
      <c r="C9" s="73">
        <f>COUNTIF('ALL DATA'!$D$9:$D$5000,"5")</f>
        <v>10</v>
      </c>
      <c r="D9" s="74">
        <f t="shared" si="0"/>
        <v>3.5460992907801421E-2</v>
      </c>
      <c r="N9" s="75" t="s">
        <v>2542</v>
      </c>
      <c r="O9" s="76">
        <f>COUNTIF(Jtime,"&lt;=1.5")</f>
        <v>209</v>
      </c>
      <c r="P9" s="77">
        <f t="shared" si="2"/>
        <v>16</v>
      </c>
      <c r="Q9" s="78">
        <f t="shared" si="1"/>
        <v>5.7971014492753624E-2</v>
      </c>
    </row>
    <row r="10" spans="1:17" ht="15" customHeight="1">
      <c r="B10" s="72" t="s">
        <v>82</v>
      </c>
      <c r="C10" s="73">
        <f>COUNTIF('ALL DATA'!$D$9:$D$5000,"6")</f>
        <v>1</v>
      </c>
      <c r="D10" s="74">
        <f t="shared" si="0"/>
        <v>3.5460992907801418E-3</v>
      </c>
      <c r="N10" s="75" t="s">
        <v>2543</v>
      </c>
      <c r="O10" s="76">
        <f>COUNTIF(Jtime,"&lt;=2")</f>
        <v>250</v>
      </c>
      <c r="P10" s="77">
        <f t="shared" si="2"/>
        <v>41</v>
      </c>
      <c r="Q10" s="78">
        <f t="shared" si="1"/>
        <v>0.14855072463768115</v>
      </c>
    </row>
    <row r="11" spans="1:17" ht="15" customHeight="1">
      <c r="B11" s="72" t="s">
        <v>83</v>
      </c>
      <c r="C11" s="73">
        <f>COUNTIF('ALL DATA'!$D$9:$D$5000,"7")</f>
        <v>17</v>
      </c>
      <c r="D11" s="74">
        <f t="shared" si="0"/>
        <v>6.0283687943262408E-2</v>
      </c>
      <c r="N11" s="75" t="s">
        <v>2544</v>
      </c>
      <c r="O11" s="76">
        <f>COUNTIF(Jtime,"&lt;=3")</f>
        <v>258</v>
      </c>
      <c r="P11" s="77">
        <f t="shared" si="2"/>
        <v>8</v>
      </c>
      <c r="Q11" s="78">
        <f t="shared" si="1"/>
        <v>2.8985507246376812E-2</v>
      </c>
    </row>
    <row r="12" spans="1:17" ht="15" customHeight="1">
      <c r="B12" s="72" t="s">
        <v>84</v>
      </c>
      <c r="C12" s="73">
        <f>COUNTIF('ALL DATA'!$D$9:$D$5000,"8")</f>
        <v>25</v>
      </c>
      <c r="D12" s="74">
        <f t="shared" si="0"/>
        <v>8.8652482269503549E-2</v>
      </c>
      <c r="N12" s="75" t="s">
        <v>2545</v>
      </c>
      <c r="O12" s="76">
        <f>COUNTIF(Jtime,"&lt;=5")</f>
        <v>276</v>
      </c>
      <c r="P12" s="77">
        <f t="shared" si="2"/>
        <v>18</v>
      </c>
      <c r="Q12" s="78">
        <f t="shared" si="1"/>
        <v>6.5217391304347824E-2</v>
      </c>
    </row>
    <row r="13" spans="1:17" ht="15" customHeight="1">
      <c r="B13" s="72" t="s">
        <v>85</v>
      </c>
      <c r="C13" s="73">
        <f>COUNTIF('ALL DATA'!$D$9:$D$5000,"9")</f>
        <v>2</v>
      </c>
      <c r="D13" s="74">
        <f t="shared" si="0"/>
        <v>7.0921985815602835E-3</v>
      </c>
      <c r="N13" s="75" t="s">
        <v>2546</v>
      </c>
      <c r="O13" s="76">
        <f>COUNTIF(Jtime,"&lt;=7.5")</f>
        <v>276</v>
      </c>
      <c r="P13" s="77">
        <f t="shared" si="2"/>
        <v>0</v>
      </c>
      <c r="Q13" s="78">
        <f t="shared" si="1"/>
        <v>0</v>
      </c>
    </row>
    <row r="14" spans="1:17" ht="15" customHeight="1">
      <c r="B14" s="72" t="s">
        <v>86</v>
      </c>
      <c r="C14" s="73">
        <f>COUNTIF('ALL DATA'!$D$9:$D$5000,"10")</f>
        <v>0</v>
      </c>
      <c r="D14" s="74">
        <f t="shared" si="0"/>
        <v>0</v>
      </c>
      <c r="N14" s="75" t="s">
        <v>2547</v>
      </c>
      <c r="O14" s="76">
        <f>COUNTIF(Jtime,"&lt;=10")</f>
        <v>276</v>
      </c>
      <c r="P14" s="77">
        <f t="shared" si="2"/>
        <v>0</v>
      </c>
      <c r="Q14" s="78">
        <f t="shared" si="1"/>
        <v>0</v>
      </c>
    </row>
    <row r="15" spans="1:17" ht="15" customHeight="1">
      <c r="B15" s="72" t="s">
        <v>88</v>
      </c>
      <c r="C15" s="73">
        <f>COUNTIF('ALL DATA'!$D$9:$D$5000,"11")</f>
        <v>12</v>
      </c>
      <c r="D15" s="74">
        <f t="shared" si="0"/>
        <v>4.2553191489361701E-2</v>
      </c>
      <c r="N15" s="75" t="s">
        <v>2548</v>
      </c>
      <c r="O15" s="76">
        <f>COUNTIF(Jtime,"&lt;=15")</f>
        <v>276</v>
      </c>
      <c r="P15" s="77">
        <f t="shared" si="2"/>
        <v>0</v>
      </c>
      <c r="Q15" s="78">
        <f t="shared" si="1"/>
        <v>0</v>
      </c>
    </row>
    <row r="16" spans="1:17">
      <c r="B16" s="72" t="s">
        <v>87</v>
      </c>
      <c r="C16" s="73">
        <f>COUNTIF('ALL DATA'!$D$9:$D$5000,"12")</f>
        <v>0</v>
      </c>
      <c r="D16" s="74">
        <f t="shared" si="0"/>
        <v>0</v>
      </c>
    </row>
    <row r="17" spans="2:16">
      <c r="B17" s="73"/>
      <c r="C17" s="79">
        <f>SUM(C5:C16)</f>
        <v>282</v>
      </c>
      <c r="D17" s="73"/>
    </row>
    <row r="21" spans="2:16">
      <c r="N21" s="1" t="s">
        <v>114</v>
      </c>
    </row>
    <row r="22" spans="2:16" ht="39">
      <c r="B22" s="68" t="s">
        <v>144</v>
      </c>
      <c r="N22" s="80" t="s">
        <v>114</v>
      </c>
      <c r="O22" s="80" t="s">
        <v>2536</v>
      </c>
      <c r="P22" s="81" t="s">
        <v>2537</v>
      </c>
    </row>
    <row r="23" spans="2:16" ht="15" customHeight="1">
      <c r="B23" s="82" t="s">
        <v>2549</v>
      </c>
      <c r="C23" s="82" t="s">
        <v>2550</v>
      </c>
      <c r="D23" s="82" t="s">
        <v>2551</v>
      </c>
      <c r="N23" s="83" t="s">
        <v>2552</v>
      </c>
      <c r="O23" s="84">
        <f>COUNTIF(Tripfreq,"=1")</f>
        <v>15</v>
      </c>
      <c r="P23" s="74">
        <f>O23/$O$29</f>
        <v>5.5762081784386616E-2</v>
      </c>
    </row>
    <row r="24" spans="2:16" ht="15" customHeight="1">
      <c r="B24" s="85" t="s">
        <v>145</v>
      </c>
      <c r="C24" s="86">
        <f>COUNTIF('ALL DATA'!$R$9:$R$5000,"Home-Work")</f>
        <v>57</v>
      </c>
      <c r="D24" s="87">
        <f>C24/$C$29</f>
        <v>0.20212765957446807</v>
      </c>
      <c r="N24" s="83" t="s">
        <v>116</v>
      </c>
      <c r="O24" s="84">
        <f>COUNTIF(Tripfreq,"=2")</f>
        <v>178</v>
      </c>
      <c r="P24" s="74">
        <f t="shared" ref="P24:P28" si="3">O24/$O$29</f>
        <v>0.66171003717472121</v>
      </c>
    </row>
    <row r="25" spans="2:16" ht="15" customHeight="1">
      <c r="B25" s="85" t="s">
        <v>146</v>
      </c>
      <c r="C25" s="86">
        <f>COUNTIF('ALL DATA'!$R$9:$R$369,"Home-Study")</f>
        <v>4</v>
      </c>
      <c r="D25" s="87">
        <f>C25/$C$29</f>
        <v>1.4184397163120567E-2</v>
      </c>
      <c r="N25" s="83" t="s">
        <v>117</v>
      </c>
      <c r="O25" s="84">
        <f>COUNTIF(Tripfreq,"=3")</f>
        <v>12</v>
      </c>
      <c r="P25" s="74">
        <f t="shared" si="3"/>
        <v>4.4609665427509292E-2</v>
      </c>
    </row>
    <row r="26" spans="2:16" ht="15" customHeight="1">
      <c r="B26" s="85" t="s">
        <v>147</v>
      </c>
      <c r="C26" s="86">
        <f>COUNTIF('ALL DATA'!$R$9:$R$369,"Work-Home")</f>
        <v>63</v>
      </c>
      <c r="D26" s="87">
        <f>C26/$C$29</f>
        <v>0.22340425531914893</v>
      </c>
      <c r="N26" s="83" t="s">
        <v>118</v>
      </c>
      <c r="O26" s="84">
        <f>COUNTIF(Tripfreq,"=4")</f>
        <v>19</v>
      </c>
      <c r="P26" s="74">
        <f t="shared" si="3"/>
        <v>7.0631970260223054E-2</v>
      </c>
    </row>
    <row r="27" spans="2:16" ht="15" customHeight="1">
      <c r="B27" s="85" t="s">
        <v>148</v>
      </c>
      <c r="C27" s="86">
        <f>COUNTIF('ALL DATA'!$R$9:$R$369,"Work-Work")</f>
        <v>78</v>
      </c>
      <c r="D27" s="87">
        <f>C27/$C$29</f>
        <v>0.27659574468085107</v>
      </c>
      <c r="N27" s="83" t="s">
        <v>119</v>
      </c>
      <c r="O27" s="84">
        <f>COUNTIF(Tripfreq,"=5")</f>
        <v>8</v>
      </c>
      <c r="P27" s="74">
        <f t="shared" si="3"/>
        <v>2.9739776951672861E-2</v>
      </c>
    </row>
    <row r="28" spans="2:16" ht="15" customHeight="1">
      <c r="B28" s="85" t="s">
        <v>113</v>
      </c>
      <c r="C28" s="86">
        <f>C29-SUM(C24:C27)</f>
        <v>80</v>
      </c>
      <c r="D28" s="87">
        <f>C28/$C$29</f>
        <v>0.28368794326241137</v>
      </c>
      <c r="N28" s="83" t="s">
        <v>120</v>
      </c>
      <c r="O28" s="84">
        <f>COUNTIF(Tripfreq,"=6")</f>
        <v>37</v>
      </c>
      <c r="P28" s="74">
        <f t="shared" si="3"/>
        <v>0.13754646840148699</v>
      </c>
    </row>
    <row r="29" spans="2:16" ht="15" customHeight="1">
      <c r="B29" s="88" t="s">
        <v>149</v>
      </c>
      <c r="C29" s="88">
        <f>C17</f>
        <v>282</v>
      </c>
      <c r="D29" s="86"/>
      <c r="N29" s="72"/>
      <c r="O29" s="89">
        <f>SUM(O23:O28)</f>
        <v>269</v>
      </c>
      <c r="P29" s="74"/>
    </row>
    <row r="40" spans="2:25">
      <c r="B40" s="1" t="s">
        <v>150</v>
      </c>
    </row>
    <row r="41" spans="2:25">
      <c r="B41" s="90" t="s">
        <v>2553</v>
      </c>
      <c r="C41" s="90" t="s">
        <v>2554</v>
      </c>
      <c r="D41" s="90" t="s">
        <v>2551</v>
      </c>
    </row>
    <row r="42" spans="2:25">
      <c r="B42" s="91" t="s">
        <v>32</v>
      </c>
      <c r="C42" s="92">
        <f>COUNTIF('ALL DATA'!$Y$9:$Y$5000,"Y")</f>
        <v>209</v>
      </c>
      <c r="D42" s="78">
        <f>C42/$C$44</f>
        <v>0.74113475177304966</v>
      </c>
    </row>
    <row r="43" spans="2:25">
      <c r="B43" s="91" t="s">
        <v>151</v>
      </c>
      <c r="C43" s="92">
        <f>C44-C42</f>
        <v>73</v>
      </c>
      <c r="D43" s="78">
        <f>C43/$C$44</f>
        <v>0.25886524822695034</v>
      </c>
    </row>
    <row r="44" spans="2:25">
      <c r="B44" s="93" t="s">
        <v>149</v>
      </c>
      <c r="C44" s="93">
        <f>C29</f>
        <v>282</v>
      </c>
      <c r="D44" s="92"/>
    </row>
    <row r="47" spans="2:25">
      <c r="R47" s="133" t="s">
        <v>107</v>
      </c>
      <c r="S47" s="133" t="s">
        <v>108</v>
      </c>
      <c r="T47" s="133" t="s">
        <v>109</v>
      </c>
      <c r="U47" s="133" t="s">
        <v>110</v>
      </c>
      <c r="V47" s="133" t="s">
        <v>111</v>
      </c>
      <c r="W47" s="133" t="s">
        <v>112</v>
      </c>
      <c r="X47" s="133" t="s">
        <v>94</v>
      </c>
      <c r="Y47" s="133" t="s">
        <v>113</v>
      </c>
    </row>
    <row r="48" spans="2:25">
      <c r="P48">
        <v>1</v>
      </c>
      <c r="Q48" s="134" t="s">
        <v>107</v>
      </c>
      <c r="R48" s="135">
        <f t="shared" ref="R48:Y55" si="4">R59/SUM($R$59:$Y$66)</f>
        <v>2.1276595744680851E-2</v>
      </c>
      <c r="S48" s="135">
        <f t="shared" si="4"/>
        <v>0.20212765957446807</v>
      </c>
      <c r="T48" s="135">
        <f t="shared" si="4"/>
        <v>1.4184397163120567E-2</v>
      </c>
      <c r="U48" s="135">
        <f t="shared" si="4"/>
        <v>7.0921985815602835E-3</v>
      </c>
      <c r="V48" s="135">
        <f t="shared" si="4"/>
        <v>0</v>
      </c>
      <c r="W48" s="135">
        <f t="shared" si="4"/>
        <v>0</v>
      </c>
      <c r="X48" s="135">
        <f t="shared" si="4"/>
        <v>2.4822695035460994E-2</v>
      </c>
      <c r="Y48" s="135">
        <f t="shared" si="4"/>
        <v>8.1560283687943269E-2</v>
      </c>
    </row>
    <row r="49" spans="2:25">
      <c r="P49">
        <v>2</v>
      </c>
      <c r="Q49" s="134" t="s">
        <v>108</v>
      </c>
      <c r="R49" s="135">
        <f t="shared" si="4"/>
        <v>0.22340425531914893</v>
      </c>
      <c r="S49" s="135">
        <f t="shared" si="4"/>
        <v>0.27659574468085107</v>
      </c>
      <c r="T49" s="135">
        <f t="shared" si="4"/>
        <v>0</v>
      </c>
      <c r="U49" s="135">
        <f t="shared" si="4"/>
        <v>0</v>
      </c>
      <c r="V49" s="135">
        <f t="shared" si="4"/>
        <v>0</v>
      </c>
      <c r="W49" s="135">
        <f t="shared" si="4"/>
        <v>0</v>
      </c>
      <c r="X49" s="135">
        <f t="shared" si="4"/>
        <v>7.0921985815602835E-3</v>
      </c>
      <c r="Y49" s="135">
        <f t="shared" si="4"/>
        <v>1.4184397163120567E-2</v>
      </c>
    </row>
    <row r="50" spans="2:25">
      <c r="P50">
        <v>3</v>
      </c>
      <c r="Q50" s="134" t="s">
        <v>109</v>
      </c>
      <c r="R50" s="135">
        <f t="shared" si="4"/>
        <v>7.0921985815602835E-3</v>
      </c>
      <c r="S50" s="135">
        <f t="shared" si="4"/>
        <v>0</v>
      </c>
      <c r="T50" s="135">
        <f t="shared" si="4"/>
        <v>3.5460992907801418E-3</v>
      </c>
      <c r="U50" s="135">
        <f t="shared" si="4"/>
        <v>0</v>
      </c>
      <c r="V50" s="135">
        <f t="shared" si="4"/>
        <v>0</v>
      </c>
      <c r="W50" s="135">
        <f t="shared" si="4"/>
        <v>0</v>
      </c>
      <c r="X50" s="135">
        <f t="shared" si="4"/>
        <v>0</v>
      </c>
      <c r="Y50" s="135">
        <f t="shared" si="4"/>
        <v>7.0921985815602835E-3</v>
      </c>
    </row>
    <row r="51" spans="2:25">
      <c r="P51">
        <v>4</v>
      </c>
      <c r="Q51" s="134" t="s">
        <v>110</v>
      </c>
      <c r="R51" s="135">
        <f t="shared" si="4"/>
        <v>3.5460992907801418E-3</v>
      </c>
      <c r="S51" s="135">
        <f t="shared" si="4"/>
        <v>0</v>
      </c>
      <c r="T51" s="135">
        <f t="shared" si="4"/>
        <v>0</v>
      </c>
      <c r="U51" s="135">
        <f t="shared" si="4"/>
        <v>7.0921985815602835E-3</v>
      </c>
      <c r="V51" s="135">
        <f t="shared" si="4"/>
        <v>0</v>
      </c>
      <c r="W51" s="135">
        <f t="shared" si="4"/>
        <v>0</v>
      </c>
      <c r="X51" s="135">
        <f t="shared" si="4"/>
        <v>0</v>
      </c>
      <c r="Y51" s="135">
        <f t="shared" si="4"/>
        <v>0</v>
      </c>
    </row>
    <row r="52" spans="2:25">
      <c r="P52">
        <v>5</v>
      </c>
      <c r="Q52" s="134" t="s">
        <v>111</v>
      </c>
      <c r="R52" s="135">
        <f t="shared" si="4"/>
        <v>0</v>
      </c>
      <c r="S52" s="135">
        <f t="shared" si="4"/>
        <v>0</v>
      </c>
      <c r="T52" s="135">
        <f t="shared" si="4"/>
        <v>0</v>
      </c>
      <c r="U52" s="135">
        <f t="shared" si="4"/>
        <v>0</v>
      </c>
      <c r="V52" s="135">
        <f t="shared" si="4"/>
        <v>0</v>
      </c>
      <c r="W52" s="135">
        <f t="shared" si="4"/>
        <v>0</v>
      </c>
      <c r="X52" s="135">
        <f t="shared" si="4"/>
        <v>0</v>
      </c>
      <c r="Y52" s="135">
        <f t="shared" si="4"/>
        <v>0</v>
      </c>
    </row>
    <row r="53" spans="2:25">
      <c r="P53">
        <v>6</v>
      </c>
      <c r="Q53" s="134" t="s">
        <v>112</v>
      </c>
      <c r="R53" s="135">
        <f t="shared" si="4"/>
        <v>0</v>
      </c>
      <c r="S53" s="135">
        <f t="shared" si="4"/>
        <v>0</v>
      </c>
      <c r="T53" s="135">
        <f t="shared" si="4"/>
        <v>0</v>
      </c>
      <c r="U53" s="135">
        <f t="shared" si="4"/>
        <v>0</v>
      </c>
      <c r="V53" s="135">
        <f t="shared" si="4"/>
        <v>0</v>
      </c>
      <c r="W53" s="135">
        <f t="shared" si="4"/>
        <v>0</v>
      </c>
      <c r="X53" s="135">
        <f t="shared" si="4"/>
        <v>0</v>
      </c>
      <c r="Y53" s="135">
        <f t="shared" si="4"/>
        <v>0</v>
      </c>
    </row>
    <row r="54" spans="2:25">
      <c r="P54">
        <v>7</v>
      </c>
      <c r="Q54" s="134" t="s">
        <v>94</v>
      </c>
      <c r="R54" s="135">
        <f t="shared" si="4"/>
        <v>1.0638297872340425E-2</v>
      </c>
      <c r="S54" s="135">
        <f t="shared" si="4"/>
        <v>0</v>
      </c>
      <c r="T54" s="135">
        <f t="shared" si="4"/>
        <v>0</v>
      </c>
      <c r="U54" s="135">
        <f t="shared" si="4"/>
        <v>0</v>
      </c>
      <c r="V54" s="135">
        <f t="shared" si="4"/>
        <v>0</v>
      </c>
      <c r="W54" s="135">
        <f t="shared" si="4"/>
        <v>0</v>
      </c>
      <c r="X54" s="135">
        <f t="shared" si="4"/>
        <v>0</v>
      </c>
      <c r="Y54" s="135">
        <f t="shared" si="4"/>
        <v>0</v>
      </c>
    </row>
    <row r="55" spans="2:25">
      <c r="P55">
        <v>8</v>
      </c>
      <c r="Q55" s="134" t="s">
        <v>113</v>
      </c>
      <c r="R55" s="135">
        <f t="shared" si="4"/>
        <v>6.7375886524822695E-2</v>
      </c>
      <c r="S55" s="135">
        <f t="shared" si="4"/>
        <v>3.5460992907801418E-3</v>
      </c>
      <c r="T55" s="135">
        <f t="shared" si="4"/>
        <v>0</v>
      </c>
      <c r="U55" s="135">
        <f t="shared" si="4"/>
        <v>0</v>
      </c>
      <c r="V55" s="135">
        <f t="shared" si="4"/>
        <v>0</v>
      </c>
      <c r="W55" s="135">
        <f t="shared" si="4"/>
        <v>0</v>
      </c>
      <c r="X55" s="135">
        <f t="shared" si="4"/>
        <v>0</v>
      </c>
      <c r="Y55" s="135">
        <f t="shared" si="4"/>
        <v>1.7730496453900711E-2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2555</v>
      </c>
      <c r="R58" t="s">
        <v>107</v>
      </c>
      <c r="S58" t="s">
        <v>108</v>
      </c>
      <c r="T58" t="s">
        <v>109</v>
      </c>
      <c r="U58" t="s">
        <v>110</v>
      </c>
      <c r="V58" t="s">
        <v>111</v>
      </c>
      <c r="W58" t="s">
        <v>112</v>
      </c>
      <c r="X58" t="s">
        <v>94</v>
      </c>
      <c r="Y58" t="s">
        <v>113</v>
      </c>
    </row>
    <row r="59" spans="2:25">
      <c r="B59" s="94" t="s">
        <v>143</v>
      </c>
      <c r="C59" s="95" t="s">
        <v>2556</v>
      </c>
      <c r="P59">
        <v>1</v>
      </c>
      <c r="Q59" t="s">
        <v>107</v>
      </c>
      <c r="R59">
        <f>COUNTIF('ALL DATA'!$R$9:$R$5000,R69)</f>
        <v>6</v>
      </c>
      <c r="S59">
        <f>COUNTIF('ALL DATA'!$R$9:$R$5000,S69)</f>
        <v>57</v>
      </c>
      <c r="T59">
        <f>COUNTIF('ALL DATA'!$R$9:$R$5000,T69)</f>
        <v>4</v>
      </c>
      <c r="U59">
        <f>COUNTIF('ALL DATA'!$R$9:$R$5000,U69)</f>
        <v>2</v>
      </c>
      <c r="V59">
        <f>COUNTIF('ALL DATA'!$R$9:$R$5000,V69)</f>
        <v>0</v>
      </c>
      <c r="W59">
        <f>COUNTIF('ALL DATA'!$R$9:$R$5000,W69)</f>
        <v>0</v>
      </c>
      <c r="X59">
        <f>COUNTIF('ALL DATA'!$R$9:$R$5000,X69)</f>
        <v>7</v>
      </c>
      <c r="Y59">
        <f>COUNTIF('ALL DATA'!$R$9:$R$5000,Y69)</f>
        <v>23</v>
      </c>
    </row>
    <row r="60" spans="2:25" ht="15" customHeight="1">
      <c r="B60" s="75" t="s">
        <v>77</v>
      </c>
      <c r="C60" s="76">
        <f ca="1">AVERAGEIF(veh,"=1",'ALL DATA'!$Z$9:$Z$5000)</f>
        <v>5750</v>
      </c>
      <c r="P60">
        <v>2</v>
      </c>
      <c r="Q60" t="s">
        <v>108</v>
      </c>
      <c r="R60">
        <f>COUNTIF('ALL DATA'!$R$9:$R$5000,R70)</f>
        <v>63</v>
      </c>
      <c r="S60">
        <f>COUNTIF('ALL DATA'!$R$9:$R$5000,S70)</f>
        <v>78</v>
      </c>
      <c r="T60">
        <f>COUNTIF('ALL DATA'!$R$9:$R$5000,T70)</f>
        <v>0</v>
      </c>
      <c r="U60">
        <f>COUNTIF('ALL DATA'!$R$9:$R$5000,U70)</f>
        <v>0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2</v>
      </c>
      <c r="Y60">
        <f>COUNTIF('ALL DATA'!$R$9:$R$5000,Y70)</f>
        <v>4</v>
      </c>
    </row>
    <row r="61" spans="2:25" ht="15" customHeight="1">
      <c r="B61" s="75" t="s">
        <v>78</v>
      </c>
      <c r="C61" s="76">
        <v>0</v>
      </c>
      <c r="P61">
        <v>3</v>
      </c>
      <c r="Q61" t="s">
        <v>109</v>
      </c>
      <c r="R61">
        <f>COUNTIF('ALL DATA'!$R$9:$R$5000,R71)</f>
        <v>2</v>
      </c>
      <c r="S61">
        <f>COUNTIF('ALL DATA'!$R$9:$R$5000,S71)</f>
        <v>0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2</v>
      </c>
    </row>
    <row r="62" spans="2:25" ht="15" customHeight="1">
      <c r="B62" s="75" t="s">
        <v>79</v>
      </c>
      <c r="C62" s="76">
        <v>0</v>
      </c>
      <c r="P62">
        <v>4</v>
      </c>
      <c r="Q62" t="s">
        <v>110</v>
      </c>
      <c r="R62">
        <f>COUNTIF('ALL DATA'!$R$9:$R$5000,R72)</f>
        <v>1</v>
      </c>
      <c r="S62">
        <f>COUNTIF('ALL DATA'!$R$9:$R$5000,S72)</f>
        <v>0</v>
      </c>
      <c r="T62">
        <f>COUNTIF('ALL DATA'!$R$9:$R$5000,T72)</f>
        <v>0</v>
      </c>
      <c r="U62">
        <f>COUNTIF('ALL DATA'!$R$9:$R$5000,U72)</f>
        <v>2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75" t="s">
        <v>80</v>
      </c>
      <c r="C63" s="76">
        <f ca="1">AVERAGEIF(veh,"=4",'ALL DATA'!$Z$9:$Z$5000)</f>
        <v>2000</v>
      </c>
      <c r="P63">
        <v>5</v>
      </c>
      <c r="Q63" t="s">
        <v>111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75" t="s">
        <v>81</v>
      </c>
      <c r="C64" s="76">
        <v>0</v>
      </c>
      <c r="P64">
        <v>6</v>
      </c>
      <c r="Q64" t="s">
        <v>112</v>
      </c>
      <c r="R64">
        <f>COUNTIF('ALL DATA'!$R$9:$R$5000,R74)</f>
        <v>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75" t="s">
        <v>82</v>
      </c>
      <c r="C65" s="76">
        <v>0</v>
      </c>
      <c r="P65">
        <v>7</v>
      </c>
      <c r="Q65" t="s">
        <v>94</v>
      </c>
      <c r="R65">
        <f>COUNTIF('ALL DATA'!$R$9:$R$5000,R75)</f>
        <v>3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75" t="s">
        <v>83</v>
      </c>
      <c r="C66" s="76">
        <v>0</v>
      </c>
      <c r="P66">
        <v>8</v>
      </c>
      <c r="Q66" t="s">
        <v>113</v>
      </c>
      <c r="R66">
        <f>COUNTIF('ALL DATA'!$R$9:$R$5000,R76)</f>
        <v>19</v>
      </c>
      <c r="S66">
        <f>COUNTIF('ALL DATA'!$R$9:$R$5000,S76)</f>
        <v>1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5</v>
      </c>
    </row>
    <row r="67" spans="2:25" ht="15" customHeight="1">
      <c r="B67" s="75" t="s">
        <v>84</v>
      </c>
      <c r="C67" s="76">
        <v>0</v>
      </c>
    </row>
    <row r="68" spans="2:25" ht="15" customHeight="1">
      <c r="B68" s="75" t="s">
        <v>85</v>
      </c>
      <c r="C68" s="76">
        <v>0</v>
      </c>
      <c r="R68" t="s">
        <v>107</v>
      </c>
      <c r="S68" t="s">
        <v>108</v>
      </c>
      <c r="T68" t="s">
        <v>109</v>
      </c>
      <c r="U68" t="s">
        <v>110</v>
      </c>
      <c r="V68" t="s">
        <v>111</v>
      </c>
      <c r="W68" t="s">
        <v>112</v>
      </c>
      <c r="X68" t="s">
        <v>94</v>
      </c>
      <c r="Y68" t="s">
        <v>113</v>
      </c>
    </row>
    <row r="69" spans="2:25" ht="15" customHeight="1">
      <c r="B69" s="75" t="s">
        <v>86</v>
      </c>
      <c r="C69" s="76">
        <v>0</v>
      </c>
      <c r="P69">
        <v>1</v>
      </c>
      <c r="Q69" t="s">
        <v>107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75" t="s">
        <v>88</v>
      </c>
      <c r="C70" s="76">
        <f ca="1">AVERAGEIF(veh,"=11",'ALL DATA'!$Z$9:$Z$5000)</f>
        <v>500</v>
      </c>
      <c r="P70">
        <v>2</v>
      </c>
      <c r="Q70" t="s">
        <v>108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75" t="s">
        <v>87</v>
      </c>
      <c r="C71" s="76">
        <v>0</v>
      </c>
      <c r="P71">
        <v>3</v>
      </c>
      <c r="Q71" t="s">
        <v>109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110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111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112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94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113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2557</v>
      </c>
    </row>
    <row r="79" spans="2:25" ht="25.5">
      <c r="B79" s="96" t="s">
        <v>2558</v>
      </c>
      <c r="C79" s="97" t="s">
        <v>2559</v>
      </c>
      <c r="D79" s="98" t="s">
        <v>2536</v>
      </c>
      <c r="E79" s="99" t="s">
        <v>2560</v>
      </c>
    </row>
    <row r="80" spans="2:25" ht="15" customHeight="1">
      <c r="B80" s="100" t="s">
        <v>2561</v>
      </c>
      <c r="C80" s="101">
        <f>COUNTIF(Dist,"&lt;=1")</f>
        <v>1</v>
      </c>
      <c r="D80" s="102">
        <f>C80</f>
        <v>1</v>
      </c>
      <c r="E80" s="103">
        <f>D80/$C$88</f>
        <v>5.3191489361702126E-3</v>
      </c>
    </row>
    <row r="81" spans="2:5" ht="15" customHeight="1">
      <c r="B81" s="100" t="s">
        <v>2562</v>
      </c>
      <c r="C81" s="101">
        <f>COUNTIF(Dist,"&lt;=2.5")</f>
        <v>14</v>
      </c>
      <c r="D81" s="102">
        <f>C81-C80</f>
        <v>13</v>
      </c>
      <c r="E81" s="103">
        <f t="shared" ref="E81:E88" si="6">D81/$C$88</f>
        <v>6.9148936170212769E-2</v>
      </c>
    </row>
    <row r="82" spans="2:5" ht="15" customHeight="1">
      <c r="B82" s="100" t="s">
        <v>2563</v>
      </c>
      <c r="C82" s="101">
        <f>COUNTIF(Dist,"&lt;=5")</f>
        <v>26</v>
      </c>
      <c r="D82" s="102">
        <f t="shared" ref="D82:D88" si="7">C82-C81</f>
        <v>12</v>
      </c>
      <c r="E82" s="103">
        <f t="shared" si="6"/>
        <v>6.3829787234042548E-2</v>
      </c>
    </row>
    <row r="83" spans="2:5" ht="15" customHeight="1">
      <c r="B83" s="100" t="s">
        <v>2564</v>
      </c>
      <c r="C83" s="101">
        <f>COUNTIF(Dist,"&lt;=10")</f>
        <v>47</v>
      </c>
      <c r="D83" s="102">
        <f t="shared" si="7"/>
        <v>21</v>
      </c>
      <c r="E83" s="103">
        <f t="shared" si="6"/>
        <v>0.11170212765957446</v>
      </c>
    </row>
    <row r="84" spans="2:5" ht="15" customHeight="1">
      <c r="B84" s="100" t="s">
        <v>2565</v>
      </c>
      <c r="C84" s="101">
        <f>COUNTIF(Dist,"&lt;=20")</f>
        <v>99</v>
      </c>
      <c r="D84" s="102">
        <f t="shared" si="7"/>
        <v>52</v>
      </c>
      <c r="E84" s="103">
        <f t="shared" si="6"/>
        <v>0.27659574468085107</v>
      </c>
    </row>
    <row r="85" spans="2:5" ht="15" customHeight="1">
      <c r="B85" s="100" t="s">
        <v>2566</v>
      </c>
      <c r="C85" s="101">
        <f>COUNTIF(Dist,"&lt;=50")</f>
        <v>165</v>
      </c>
      <c r="D85" s="102">
        <f t="shared" si="7"/>
        <v>66</v>
      </c>
      <c r="E85" s="103">
        <f t="shared" si="6"/>
        <v>0.35106382978723405</v>
      </c>
    </row>
    <row r="86" spans="2:5" ht="15" customHeight="1">
      <c r="B86" s="100" t="s">
        <v>2567</v>
      </c>
      <c r="C86" s="101">
        <f>COUNTIF(Dist,"&lt;=100")</f>
        <v>169</v>
      </c>
      <c r="D86" s="102">
        <f t="shared" si="7"/>
        <v>4</v>
      </c>
      <c r="E86" s="103">
        <f t="shared" si="6"/>
        <v>2.1276595744680851E-2</v>
      </c>
    </row>
    <row r="87" spans="2:5" ht="15" customHeight="1">
      <c r="B87" s="100" t="s">
        <v>2568</v>
      </c>
      <c r="C87" s="101">
        <f>COUNTIF(Dist,"&lt;=250")</f>
        <v>188</v>
      </c>
      <c r="D87" s="102">
        <f t="shared" si="7"/>
        <v>19</v>
      </c>
      <c r="E87" s="103">
        <f t="shared" si="6"/>
        <v>0.10106382978723404</v>
      </c>
    </row>
    <row r="88" spans="2:5" ht="15" customHeight="1">
      <c r="B88" s="100" t="s">
        <v>2569</v>
      </c>
      <c r="C88" s="101">
        <f>COUNTIF(Dist,"&lt;=700")</f>
        <v>188</v>
      </c>
      <c r="D88" s="102">
        <f t="shared" si="7"/>
        <v>0</v>
      </c>
      <c r="E88" s="103">
        <f t="shared" si="6"/>
        <v>0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290"/>
  <sheetViews>
    <sheetView topLeftCell="N1" zoomScale="75" zoomScaleNormal="75" zoomScaleSheetLayoutView="80" workbookViewId="0">
      <selection activeCell="V17" sqref="V1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3" t="s">
        <v>134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6"/>
      <c r="AD1" s="6"/>
      <c r="AE1" s="6"/>
      <c r="AF1" s="6"/>
      <c r="AG1" s="6"/>
      <c r="AH1" s="6"/>
      <c r="AI1" s="6"/>
    </row>
    <row r="2" spans="2:35" ht="15">
      <c r="B2" s="113" t="s">
        <v>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7"/>
      <c r="AD2" s="7"/>
      <c r="AE2" s="7"/>
      <c r="AF2" s="7"/>
      <c r="AG2" s="7"/>
      <c r="AH2" s="7"/>
      <c r="AI2" s="7"/>
    </row>
    <row r="3" spans="2:35" ht="15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</row>
    <row r="4" spans="2:35" ht="15" customHeight="1">
      <c r="B4" s="26" t="s">
        <v>2</v>
      </c>
      <c r="C4" s="50" t="s">
        <v>152</v>
      </c>
      <c r="E4" s="1" t="s">
        <v>69</v>
      </c>
      <c r="F4" s="114" t="s">
        <v>153</v>
      </c>
      <c r="G4" s="115"/>
      <c r="I4" s="27" t="s">
        <v>70</v>
      </c>
      <c r="J4" s="5"/>
      <c r="K4" s="5"/>
      <c r="L4" s="51" t="s">
        <v>154</v>
      </c>
      <c r="M4" s="57"/>
      <c r="N4" s="1" t="s">
        <v>72</v>
      </c>
      <c r="O4" s="116" t="s">
        <v>156</v>
      </c>
      <c r="P4" s="117"/>
      <c r="Q4" s="117"/>
      <c r="R4" s="117"/>
      <c r="S4" s="117"/>
      <c r="T4" s="117"/>
      <c r="V4" s="1" t="s">
        <v>73</v>
      </c>
      <c r="W4" s="43" t="s">
        <v>74</v>
      </c>
      <c r="Y4" s="27" t="s">
        <v>6</v>
      </c>
      <c r="Z4" s="53" t="s">
        <v>157</v>
      </c>
      <c r="AA4" s="32" t="s">
        <v>7</v>
      </c>
      <c r="AB4" s="53" t="s">
        <v>75</v>
      </c>
      <c r="AE4" s="10"/>
      <c r="AF4" s="5"/>
    </row>
    <row r="5" spans="2:35" ht="15" customHeight="1">
      <c r="B5" s="57"/>
      <c r="C5" s="57"/>
      <c r="D5" s="57"/>
      <c r="E5" s="22"/>
      <c r="F5" s="57"/>
      <c r="G5" s="57"/>
      <c r="I5" s="28" t="s">
        <v>71</v>
      </c>
      <c r="J5" s="57"/>
      <c r="K5" s="57"/>
      <c r="L5" s="52" t="s">
        <v>155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</row>
    <row r="6" spans="2:35" ht="13.5" thickBot="1"/>
    <row r="7" spans="2:35" ht="30.75" customHeight="1">
      <c r="B7" s="118" t="s">
        <v>34</v>
      </c>
      <c r="C7" s="104" t="s">
        <v>60</v>
      </c>
      <c r="D7" s="106" t="s">
        <v>9</v>
      </c>
      <c r="E7" s="104" t="s">
        <v>35</v>
      </c>
      <c r="F7" s="121" t="s">
        <v>12</v>
      </c>
      <c r="G7" s="122"/>
      <c r="H7" s="123"/>
      <c r="I7" s="106" t="s">
        <v>63</v>
      </c>
      <c r="J7" s="104" t="s">
        <v>15</v>
      </c>
      <c r="K7" s="104" t="s">
        <v>135</v>
      </c>
      <c r="L7" s="121" t="s">
        <v>17</v>
      </c>
      <c r="M7" s="122"/>
      <c r="N7" s="123"/>
      <c r="O7" s="106" t="s">
        <v>64</v>
      </c>
      <c r="P7" s="104" t="s">
        <v>18</v>
      </c>
      <c r="Q7" s="104" t="s">
        <v>136</v>
      </c>
      <c r="R7" s="104" t="s">
        <v>137</v>
      </c>
      <c r="S7" s="104" t="s">
        <v>139</v>
      </c>
      <c r="T7" s="104" t="s">
        <v>138</v>
      </c>
      <c r="U7" s="104" t="s">
        <v>65</v>
      </c>
      <c r="V7" s="110" t="s">
        <v>68</v>
      </c>
      <c r="W7" s="111"/>
      <c r="X7" s="112"/>
      <c r="Y7" s="104" t="s">
        <v>67</v>
      </c>
      <c r="Z7" s="104" t="s">
        <v>142</v>
      </c>
      <c r="AA7" s="106" t="s">
        <v>20</v>
      </c>
      <c r="AB7" s="108" t="s">
        <v>21</v>
      </c>
      <c r="AD7" s="19"/>
    </row>
    <row r="8" spans="2:35" ht="38.25" customHeight="1">
      <c r="B8" s="119"/>
      <c r="C8" s="105"/>
      <c r="D8" s="107"/>
      <c r="E8" s="120"/>
      <c r="F8" s="58" t="s">
        <v>76</v>
      </c>
      <c r="G8" s="58" t="s">
        <v>61</v>
      </c>
      <c r="H8" s="24" t="s">
        <v>62</v>
      </c>
      <c r="I8" s="107"/>
      <c r="J8" s="105"/>
      <c r="K8" s="105"/>
      <c r="L8" s="58" t="s">
        <v>76</v>
      </c>
      <c r="M8" s="58" t="s">
        <v>61</v>
      </c>
      <c r="N8" s="58" t="s">
        <v>62</v>
      </c>
      <c r="O8" s="107"/>
      <c r="P8" s="105"/>
      <c r="Q8" s="105"/>
      <c r="R8" s="105"/>
      <c r="S8" s="105"/>
      <c r="T8" s="105"/>
      <c r="U8" s="105"/>
      <c r="V8" s="29" t="s">
        <v>66</v>
      </c>
      <c r="W8" s="30" t="s">
        <v>140</v>
      </c>
      <c r="X8" s="30" t="s">
        <v>141</v>
      </c>
      <c r="Y8" s="105"/>
      <c r="Z8" s="105"/>
      <c r="AA8" s="107"/>
      <c r="AB8" s="109"/>
    </row>
    <row r="9" spans="2:35" s="19" customFormat="1">
      <c r="B9" s="40">
        <v>0.4368055555555555</v>
      </c>
      <c r="C9" s="40" t="s">
        <v>158</v>
      </c>
      <c r="D9" s="41">
        <v>1</v>
      </c>
      <c r="E9" s="42">
        <v>1</v>
      </c>
      <c r="F9" s="42" t="s">
        <v>30</v>
      </c>
      <c r="G9" s="43" t="s">
        <v>159</v>
      </c>
      <c r="H9" s="42" t="s">
        <v>160</v>
      </c>
      <c r="I9" s="43">
        <v>16</v>
      </c>
      <c r="J9" s="43">
        <v>8</v>
      </c>
      <c r="K9" s="25" t="str">
        <f>VLOOKUP(J9,Key!$E$2:$F$9,2,FALSE)</f>
        <v>Others</v>
      </c>
      <c r="L9" s="42" t="s">
        <v>161</v>
      </c>
      <c r="M9" s="43" t="s">
        <v>154</v>
      </c>
      <c r="N9" s="42" t="s">
        <v>160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Others-Home</v>
      </c>
      <c r="S9" s="47">
        <v>27</v>
      </c>
      <c r="T9" s="47">
        <v>1</v>
      </c>
      <c r="U9" s="43">
        <v>2</v>
      </c>
      <c r="V9" s="43"/>
      <c r="W9" s="47"/>
      <c r="X9" s="47"/>
      <c r="Y9" s="48" t="s">
        <v>162</v>
      </c>
      <c r="Z9" s="49"/>
      <c r="AA9" s="25">
        <f>VLOOKUP(F9,Zones!$A$2:$F$151534,6,FALSE)</f>
        <v>1388</v>
      </c>
      <c r="AB9" s="25">
        <f>VLOOKUP(L9,Zones!$A$2:$F$151477,6,FALSE)</f>
        <v>845</v>
      </c>
    </row>
    <row r="10" spans="2:35">
      <c r="B10" s="40">
        <v>0.43055555555555558</v>
      </c>
      <c r="C10" s="40" t="s">
        <v>163</v>
      </c>
      <c r="D10" s="41">
        <v>1</v>
      </c>
      <c r="E10" s="42">
        <v>2</v>
      </c>
      <c r="F10" s="42" t="s">
        <v>164</v>
      </c>
      <c r="G10" s="43" t="s">
        <v>164</v>
      </c>
      <c r="H10" s="42" t="s">
        <v>160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155</v>
      </c>
      <c r="M10" s="42" t="s">
        <v>155</v>
      </c>
      <c r="N10" s="42" t="s">
        <v>160</v>
      </c>
      <c r="O10" s="43">
        <v>3</v>
      </c>
      <c r="P10" s="43">
        <v>2</v>
      </c>
      <c r="Q10" s="25" t="str">
        <f>VLOOKUP(P10,Key!$E$2:$F$9,2,FALSE)</f>
        <v>Work</v>
      </c>
      <c r="R10" s="25" t="str">
        <f t="shared" ref="R10:R63" si="0">K10&amp;"-"&amp;Q10</f>
        <v>Home-Work</v>
      </c>
      <c r="S10" s="47">
        <v>1</v>
      </c>
      <c r="T10" s="47">
        <v>1</v>
      </c>
      <c r="U10" s="43">
        <v>2</v>
      </c>
      <c r="V10" s="43"/>
      <c r="W10" s="47"/>
      <c r="X10" s="47"/>
      <c r="Y10" s="48" t="s">
        <v>162</v>
      </c>
      <c r="Z10" s="49"/>
      <c r="AA10" s="25">
        <f>VLOOKUP(F10,Zones!$A$2:$F$151534,6,FALSE)</f>
        <v>403</v>
      </c>
      <c r="AB10" s="25">
        <f>VLOOKUP(L10,Zones!$A$2:$F$151477,6,FALSE)</f>
        <v>498</v>
      </c>
    </row>
    <row r="11" spans="2:35">
      <c r="B11" s="40">
        <v>2.013888888888889E-2</v>
      </c>
      <c r="C11" s="40" t="s">
        <v>165</v>
      </c>
      <c r="D11" s="41">
        <v>1</v>
      </c>
      <c r="E11" s="42">
        <v>4</v>
      </c>
      <c r="F11" s="42" t="s">
        <v>166</v>
      </c>
      <c r="G11" s="43" t="s">
        <v>166</v>
      </c>
      <c r="H11" s="42" t="s">
        <v>160</v>
      </c>
      <c r="I11" s="43">
        <v>1</v>
      </c>
      <c r="J11" s="43">
        <v>1</v>
      </c>
      <c r="K11" s="25" t="str">
        <f>VLOOKUP(J11,Key!$E$2:$F$9,2,FALSE)</f>
        <v>Home</v>
      </c>
      <c r="L11" s="42" t="s">
        <v>155</v>
      </c>
      <c r="M11" s="42" t="s">
        <v>155</v>
      </c>
      <c r="N11" s="42" t="s">
        <v>160</v>
      </c>
      <c r="O11" s="43">
        <v>10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47">
        <v>5</v>
      </c>
      <c r="T11" s="47">
        <v>1</v>
      </c>
      <c r="U11" s="43">
        <v>2</v>
      </c>
      <c r="V11" s="43"/>
      <c r="W11" s="47"/>
      <c r="X11" s="47"/>
      <c r="Y11" s="48" t="s">
        <v>162</v>
      </c>
      <c r="Z11" s="49"/>
      <c r="AA11" s="25">
        <f>VLOOKUP(F11,Zones!$A$2:$F$151534,6,FALSE)</f>
        <v>1064</v>
      </c>
      <c r="AB11" s="25">
        <f>VLOOKUP(L11,Zones!$A$2:$F$151477,6,FALSE)</f>
        <v>498</v>
      </c>
    </row>
    <row r="12" spans="2:35">
      <c r="B12" s="40">
        <v>0.48472222222222222</v>
      </c>
      <c r="C12" s="40" t="s">
        <v>167</v>
      </c>
      <c r="D12" s="41">
        <v>1</v>
      </c>
      <c r="E12" s="42">
        <v>1</v>
      </c>
      <c r="F12" s="42" t="s">
        <v>168</v>
      </c>
      <c r="G12" s="43" t="s">
        <v>168</v>
      </c>
      <c r="H12" s="42" t="s">
        <v>160</v>
      </c>
      <c r="I12" s="43">
        <v>1</v>
      </c>
      <c r="J12" s="43">
        <v>1</v>
      </c>
      <c r="K12" s="25" t="str">
        <f>VLOOKUP(J12,Key!$E$2:$F$9,2,FALSE)</f>
        <v>Home</v>
      </c>
      <c r="L12" s="59" t="s">
        <v>943</v>
      </c>
      <c r="M12" s="43" t="s">
        <v>154</v>
      </c>
      <c r="N12" s="42" t="s">
        <v>160</v>
      </c>
      <c r="O12" s="43">
        <v>16</v>
      </c>
      <c r="P12" s="43">
        <v>8</v>
      </c>
      <c r="Q12" s="25" t="str">
        <f>VLOOKUP(P12,Key!$E$2:$F$9,2,FALSE)</f>
        <v>Others</v>
      </c>
      <c r="R12" s="25" t="str">
        <f t="shared" si="0"/>
        <v>Home-Others</v>
      </c>
      <c r="S12" s="47">
        <v>160</v>
      </c>
      <c r="T12" s="47">
        <v>4</v>
      </c>
      <c r="U12" s="43">
        <v>2</v>
      </c>
      <c r="V12" s="43"/>
      <c r="W12" s="47"/>
      <c r="X12" s="47"/>
      <c r="Y12" s="48" t="s">
        <v>162</v>
      </c>
      <c r="Z12" s="49"/>
      <c r="AA12" s="25">
        <f>VLOOKUP(F12,Zones!$A$2:$F$151534,6,FALSE)</f>
        <v>521</v>
      </c>
      <c r="AB12" s="25">
        <f>VLOOKUP(L12,Zones!$A$2:$F$151477,6,FALSE)</f>
        <v>373</v>
      </c>
    </row>
    <row r="13" spans="2:35">
      <c r="B13" s="40">
        <v>0.4777777777777778</v>
      </c>
      <c r="C13" s="40" t="s">
        <v>170</v>
      </c>
      <c r="D13" s="41">
        <v>4</v>
      </c>
      <c r="E13" s="42">
        <v>14</v>
      </c>
      <c r="F13" s="42" t="s">
        <v>154</v>
      </c>
      <c r="G13" s="43" t="s">
        <v>154</v>
      </c>
      <c r="H13" s="42" t="s">
        <v>160</v>
      </c>
      <c r="I13" s="43">
        <v>6</v>
      </c>
      <c r="J13" s="43">
        <v>2</v>
      </c>
      <c r="K13" s="25" t="str">
        <f>VLOOKUP(J13,Key!$E$2:$F$9,2,FALSE)</f>
        <v>Work</v>
      </c>
      <c r="L13" s="42" t="s">
        <v>155</v>
      </c>
      <c r="M13" s="42" t="s">
        <v>155</v>
      </c>
      <c r="N13" s="42" t="s">
        <v>160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7">
        <v>15</v>
      </c>
      <c r="T13" s="47">
        <v>2</v>
      </c>
      <c r="U13" s="43">
        <v>2</v>
      </c>
      <c r="V13" s="43"/>
      <c r="W13" s="47"/>
      <c r="X13" s="47"/>
      <c r="Y13" s="48" t="s">
        <v>162</v>
      </c>
      <c r="Z13" s="49"/>
      <c r="AA13" s="25">
        <f>VLOOKUP(F13,Zones!$A$2:$F$151534,6,FALSE)</f>
        <v>365</v>
      </c>
      <c r="AB13" s="25">
        <f>VLOOKUP(L13,Zones!$A$2:$F$151477,6,FALSE)</f>
        <v>498</v>
      </c>
    </row>
    <row r="14" spans="2:35">
      <c r="B14" s="40">
        <v>0.48055555555555557</v>
      </c>
      <c r="C14" s="40" t="s">
        <v>171</v>
      </c>
      <c r="D14" s="41">
        <v>3</v>
      </c>
      <c r="E14" s="42">
        <v>6</v>
      </c>
      <c r="F14" s="42" t="s">
        <v>2522</v>
      </c>
      <c r="G14" s="43" t="s">
        <v>154</v>
      </c>
      <c r="H14" s="42" t="s">
        <v>160</v>
      </c>
      <c r="I14" s="43">
        <v>1</v>
      </c>
      <c r="J14" s="43">
        <v>1</v>
      </c>
      <c r="K14" s="25" t="str">
        <f>VLOOKUP(J14,Key!$E$2:$F$9,2,FALSE)</f>
        <v>Home</v>
      </c>
      <c r="L14" s="59" t="s">
        <v>943</v>
      </c>
      <c r="M14" s="43" t="s">
        <v>154</v>
      </c>
      <c r="N14" s="42" t="s">
        <v>160</v>
      </c>
      <c r="O14" s="43">
        <v>16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47">
        <v>10</v>
      </c>
      <c r="T14" s="47">
        <v>0.3</v>
      </c>
      <c r="U14" s="43">
        <v>2</v>
      </c>
      <c r="V14" s="43"/>
      <c r="W14" s="47"/>
      <c r="X14" s="47"/>
      <c r="Y14" s="48" t="s">
        <v>162</v>
      </c>
      <c r="Z14" s="49"/>
      <c r="AA14" s="25">
        <f>VLOOKUP(F14,Zones!$A$2:$F$151534,6,FALSE)</f>
        <v>362</v>
      </c>
      <c r="AB14" s="25">
        <f>VLOOKUP(L14,Zones!$A$2:$F$151477,6,FALSE)</f>
        <v>373</v>
      </c>
    </row>
    <row r="15" spans="2:35">
      <c r="B15" s="40">
        <v>0.43402777777777773</v>
      </c>
      <c r="C15" s="40" t="s">
        <v>174</v>
      </c>
      <c r="D15" s="41">
        <v>8</v>
      </c>
      <c r="E15" s="42">
        <v>1</v>
      </c>
      <c r="F15" s="42" t="s">
        <v>154</v>
      </c>
      <c r="G15" s="43" t="s">
        <v>154</v>
      </c>
      <c r="H15" s="42" t="s">
        <v>160</v>
      </c>
      <c r="I15" s="43">
        <v>1</v>
      </c>
      <c r="J15" s="43">
        <v>1</v>
      </c>
      <c r="K15" s="25" t="str">
        <f>VLOOKUP(J15,Key!$E$2:$F$9,2,FALSE)</f>
        <v>Home</v>
      </c>
      <c r="L15" s="59" t="s">
        <v>943</v>
      </c>
      <c r="M15" s="43" t="s">
        <v>154</v>
      </c>
      <c r="N15" s="42" t="s">
        <v>160</v>
      </c>
      <c r="O15" s="43">
        <v>16</v>
      </c>
      <c r="P15" s="43">
        <v>8</v>
      </c>
      <c r="Q15" s="25" t="str">
        <f>VLOOKUP(P15,Key!$E$2:$F$9,2,FALSE)</f>
        <v>Others</v>
      </c>
      <c r="R15" s="25" t="str">
        <f t="shared" si="0"/>
        <v>Home-Others</v>
      </c>
      <c r="S15" s="47">
        <v>16</v>
      </c>
      <c r="T15" s="47">
        <v>0.5</v>
      </c>
      <c r="U15" s="43">
        <v>2</v>
      </c>
      <c r="V15" s="43"/>
      <c r="W15" s="47"/>
      <c r="X15" s="47"/>
      <c r="Y15" s="48" t="s">
        <v>162</v>
      </c>
      <c r="Z15" s="49"/>
      <c r="AA15" s="25">
        <f>VLOOKUP(F15,Zones!$A$2:$F$151534,6,FALSE)</f>
        <v>365</v>
      </c>
      <c r="AB15" s="25">
        <f>VLOOKUP(L15,Zones!$A$2:$F$151477,6,FALSE)</f>
        <v>373</v>
      </c>
    </row>
    <row r="16" spans="2:35">
      <c r="B16" s="40">
        <v>0.47638888888888892</v>
      </c>
      <c r="C16" s="40" t="s">
        <v>175</v>
      </c>
      <c r="D16" s="41">
        <v>8</v>
      </c>
      <c r="E16" s="42">
        <v>3</v>
      </c>
      <c r="F16" s="42" t="s">
        <v>154</v>
      </c>
      <c r="G16" s="43" t="s">
        <v>154</v>
      </c>
      <c r="H16" s="42" t="s">
        <v>160</v>
      </c>
      <c r="I16" s="43">
        <v>1</v>
      </c>
      <c r="J16" s="43">
        <v>1</v>
      </c>
      <c r="K16" s="25" t="str">
        <f>VLOOKUP(J16,Key!$E$2:$F$9,2,FALSE)</f>
        <v>Home</v>
      </c>
      <c r="L16" s="42" t="s">
        <v>176</v>
      </c>
      <c r="M16" s="43" t="s">
        <v>154</v>
      </c>
      <c r="N16" s="42" t="s">
        <v>160</v>
      </c>
      <c r="O16" s="43">
        <v>10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47"/>
      <c r="T16" s="47">
        <v>0.5</v>
      </c>
      <c r="U16" s="43">
        <v>2</v>
      </c>
      <c r="V16" s="43"/>
      <c r="W16" s="47"/>
      <c r="X16" s="47"/>
      <c r="Y16" s="48" t="s">
        <v>162</v>
      </c>
      <c r="Z16" s="49"/>
      <c r="AA16" s="25">
        <f>VLOOKUP(F16,Zones!$A$2:$F$151534,6,FALSE)</f>
        <v>365</v>
      </c>
      <c r="AB16" s="25">
        <f>VLOOKUP(L16,Zones!$A$2:$F$151477,6,FALSE)</f>
        <v>954</v>
      </c>
    </row>
    <row r="17" spans="2:28">
      <c r="B17" s="40">
        <v>0.41319444444444442</v>
      </c>
      <c r="C17" s="40" t="s">
        <v>177</v>
      </c>
      <c r="D17" s="41">
        <v>3</v>
      </c>
      <c r="E17" s="42">
        <v>4</v>
      </c>
      <c r="F17" s="42" t="s">
        <v>154</v>
      </c>
      <c r="G17" s="43" t="s">
        <v>154</v>
      </c>
      <c r="H17" s="42" t="s">
        <v>160</v>
      </c>
      <c r="I17" s="43">
        <v>1</v>
      </c>
      <c r="J17" s="43">
        <v>1</v>
      </c>
      <c r="K17" s="25" t="str">
        <f>VLOOKUP(J17,Key!$E$2:$F$9,2,FALSE)</f>
        <v>Home</v>
      </c>
      <c r="L17" s="59" t="s">
        <v>943</v>
      </c>
      <c r="M17" s="43" t="s">
        <v>154</v>
      </c>
      <c r="N17" s="42" t="s">
        <v>160</v>
      </c>
      <c r="O17" s="43">
        <v>16</v>
      </c>
      <c r="P17" s="43">
        <v>8</v>
      </c>
      <c r="Q17" s="25" t="str">
        <f>VLOOKUP(P17,Key!$E$2:$F$9,2,FALSE)</f>
        <v>Others</v>
      </c>
      <c r="R17" s="25" t="str">
        <f t="shared" si="0"/>
        <v>Home-Others</v>
      </c>
      <c r="S17" s="47">
        <v>10</v>
      </c>
      <c r="T17" s="47">
        <v>0.5</v>
      </c>
      <c r="U17" s="43">
        <v>2</v>
      </c>
      <c r="V17" s="43"/>
      <c r="W17" s="47"/>
      <c r="X17" s="47"/>
      <c r="Y17" s="48" t="s">
        <v>162</v>
      </c>
      <c r="Z17" s="49"/>
      <c r="AA17" s="25">
        <f>VLOOKUP(F17,Zones!$A$2:$F$151534,6,FALSE)</f>
        <v>365</v>
      </c>
      <c r="AB17" s="25">
        <f>VLOOKUP(L17,Zones!$A$2:$F$151477,6,FALSE)</f>
        <v>373</v>
      </c>
    </row>
    <row r="18" spans="2:28">
      <c r="B18" s="40">
        <v>0.40833333333333338</v>
      </c>
      <c r="C18" s="40" t="s">
        <v>178</v>
      </c>
      <c r="D18" s="41">
        <v>8</v>
      </c>
      <c r="E18" s="42">
        <v>3</v>
      </c>
      <c r="F18" s="42" t="s">
        <v>154</v>
      </c>
      <c r="G18" s="43" t="s">
        <v>154</v>
      </c>
      <c r="H18" s="42" t="s">
        <v>160</v>
      </c>
      <c r="I18" s="43">
        <v>16</v>
      </c>
      <c r="J18" s="43">
        <v>8</v>
      </c>
      <c r="K18" s="25" t="str">
        <f>VLOOKUP(J18,Key!$E$2:$F$9,2,FALSE)</f>
        <v>Others</v>
      </c>
      <c r="L18" s="59" t="s">
        <v>179</v>
      </c>
      <c r="M18" s="43" t="s">
        <v>154</v>
      </c>
      <c r="N18" s="42" t="s">
        <v>160</v>
      </c>
      <c r="O18" s="43">
        <v>16</v>
      </c>
      <c r="P18" s="43">
        <v>8</v>
      </c>
      <c r="Q18" s="25" t="str">
        <f>VLOOKUP(P18,Key!$E$2:$F$9,2,FALSE)</f>
        <v>Others</v>
      </c>
      <c r="R18" s="25" t="str">
        <f t="shared" si="0"/>
        <v>Others-Others</v>
      </c>
      <c r="S18" s="47">
        <v>85</v>
      </c>
      <c r="T18" s="47">
        <v>2</v>
      </c>
      <c r="U18" s="43">
        <v>2</v>
      </c>
      <c r="V18" s="43"/>
      <c r="W18" s="47"/>
      <c r="X18" s="47"/>
      <c r="Y18" s="48" t="s">
        <v>162</v>
      </c>
      <c r="Z18" s="49"/>
      <c r="AA18" s="25">
        <f>VLOOKUP(F18,Zones!$A$2:$F$151534,6,FALSE)</f>
        <v>365</v>
      </c>
      <c r="AB18" s="25">
        <f>VLOOKUP(L18,Zones!$A$2:$F$151477,6,FALSE)</f>
        <v>365</v>
      </c>
    </row>
    <row r="19" spans="2:28">
      <c r="B19" s="40">
        <v>0.42638888888888887</v>
      </c>
      <c r="C19" s="40" t="s">
        <v>180</v>
      </c>
      <c r="D19" s="41">
        <v>1</v>
      </c>
      <c r="E19" s="42">
        <v>4</v>
      </c>
      <c r="F19" s="42" t="s">
        <v>164</v>
      </c>
      <c r="G19" s="43" t="s">
        <v>164</v>
      </c>
      <c r="H19" s="42" t="s">
        <v>160</v>
      </c>
      <c r="I19" s="43">
        <v>1</v>
      </c>
      <c r="J19" s="43">
        <v>1</v>
      </c>
      <c r="K19" s="25" t="str">
        <f>VLOOKUP(J19,Key!$E$2:$F$9,2,FALSE)</f>
        <v>Home</v>
      </c>
      <c r="L19" s="42" t="s">
        <v>155</v>
      </c>
      <c r="M19" s="42" t="s">
        <v>155</v>
      </c>
      <c r="N19" s="42" t="s">
        <v>160</v>
      </c>
      <c r="O19" s="43">
        <v>4</v>
      </c>
      <c r="P19" s="43">
        <v>3</v>
      </c>
      <c r="Q19" s="25" t="str">
        <f>VLOOKUP(P19,Key!$E$2:$F$9,2,FALSE)</f>
        <v>Study</v>
      </c>
      <c r="R19" s="25" t="str">
        <f t="shared" si="0"/>
        <v>Home-Study</v>
      </c>
      <c r="S19" s="47"/>
      <c r="T19" s="47">
        <v>0.5</v>
      </c>
      <c r="U19" s="43">
        <v>2</v>
      </c>
      <c r="V19" s="43"/>
      <c r="W19" s="47"/>
      <c r="X19" s="47"/>
      <c r="Y19" s="48" t="s">
        <v>162</v>
      </c>
      <c r="Z19" s="49"/>
      <c r="AA19" s="25">
        <f>VLOOKUP(F19,Zones!$A$2:$F$151534,6,FALSE)</f>
        <v>403</v>
      </c>
      <c r="AB19" s="25">
        <f>VLOOKUP(L19,Zones!$A$2:$F$151477,6,FALSE)</f>
        <v>498</v>
      </c>
    </row>
    <row r="20" spans="2:28">
      <c r="B20" s="40">
        <v>0.42499999999999999</v>
      </c>
      <c r="C20" s="40" t="s">
        <v>181</v>
      </c>
      <c r="D20" s="41">
        <v>5</v>
      </c>
      <c r="E20" s="42">
        <v>28</v>
      </c>
      <c r="F20" s="42" t="s">
        <v>164</v>
      </c>
      <c r="G20" s="43" t="s">
        <v>164</v>
      </c>
      <c r="H20" s="42" t="s">
        <v>160</v>
      </c>
      <c r="I20" s="43">
        <v>6</v>
      </c>
      <c r="J20" s="43">
        <v>2</v>
      </c>
      <c r="K20" s="25" t="str">
        <f>VLOOKUP(J20,Key!$E$2:$F$9,2,FALSE)</f>
        <v>Work</v>
      </c>
      <c r="L20" s="42" t="s">
        <v>155</v>
      </c>
      <c r="M20" s="42" t="s">
        <v>155</v>
      </c>
      <c r="N20" s="42" t="s">
        <v>160</v>
      </c>
      <c r="O20" s="43">
        <v>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7">
        <v>30</v>
      </c>
      <c r="T20" s="47">
        <v>3</v>
      </c>
      <c r="U20" s="43">
        <v>6</v>
      </c>
      <c r="V20" s="43"/>
      <c r="W20" s="47"/>
      <c r="X20" s="47"/>
      <c r="Y20" s="48" t="s">
        <v>162</v>
      </c>
      <c r="Z20" s="49"/>
      <c r="AA20" s="25">
        <f>VLOOKUP(F20,Zones!$A$2:$F$151534,6,FALSE)</f>
        <v>403</v>
      </c>
      <c r="AB20" s="25">
        <f>VLOOKUP(L20,Zones!$A$2:$F$151477,6,FALSE)</f>
        <v>498</v>
      </c>
    </row>
    <row r="21" spans="2:28">
      <c r="B21" s="40">
        <v>0.4375</v>
      </c>
      <c r="C21" s="40" t="s">
        <v>182</v>
      </c>
      <c r="D21" s="41">
        <v>8</v>
      </c>
      <c r="E21" s="42">
        <v>3</v>
      </c>
      <c r="F21" s="42" t="s">
        <v>183</v>
      </c>
      <c r="G21" s="43" t="s">
        <v>154</v>
      </c>
      <c r="H21" s="42" t="s">
        <v>160</v>
      </c>
      <c r="I21" s="43">
        <v>3</v>
      </c>
      <c r="J21" s="43">
        <v>2</v>
      </c>
      <c r="K21" s="25" t="str">
        <f>VLOOKUP(J21,Key!$E$2:$F$9,2,FALSE)</f>
        <v>Work</v>
      </c>
      <c r="L21" s="42" t="s">
        <v>155</v>
      </c>
      <c r="M21" s="42" t="s">
        <v>155</v>
      </c>
      <c r="N21" s="42" t="s">
        <v>160</v>
      </c>
      <c r="O21" s="43">
        <v>16</v>
      </c>
      <c r="P21" s="43">
        <v>8</v>
      </c>
      <c r="Q21" s="25" t="str">
        <f>VLOOKUP(P21,Key!$E$2:$F$9,2,FALSE)</f>
        <v>Others</v>
      </c>
      <c r="R21" s="25" t="str">
        <f t="shared" si="0"/>
        <v>Work-Others</v>
      </c>
      <c r="S21" s="47"/>
      <c r="T21" s="47">
        <v>0.7</v>
      </c>
      <c r="U21" s="43">
        <v>4</v>
      </c>
      <c r="V21" s="43"/>
      <c r="W21" s="47"/>
      <c r="X21" s="47"/>
      <c r="Y21" s="48" t="s">
        <v>162</v>
      </c>
      <c r="Z21" s="49"/>
      <c r="AA21" s="25">
        <f>VLOOKUP(F21,Zones!$A$2:$F$151534,6,FALSE)</f>
        <v>404</v>
      </c>
      <c r="AB21" s="25">
        <f>VLOOKUP(L21,Zones!$A$2:$F$151477,6,FALSE)</f>
        <v>498</v>
      </c>
    </row>
    <row r="22" spans="2:28">
      <c r="B22" s="40">
        <v>0.4381944444444445</v>
      </c>
      <c r="C22" s="40" t="s">
        <v>184</v>
      </c>
      <c r="D22" s="41">
        <v>1</v>
      </c>
      <c r="E22" s="42">
        <v>2</v>
      </c>
      <c r="F22" s="42" t="s">
        <v>185</v>
      </c>
      <c r="G22" s="43" t="s">
        <v>154</v>
      </c>
      <c r="H22" s="42" t="s">
        <v>160</v>
      </c>
      <c r="I22" s="43">
        <v>1</v>
      </c>
      <c r="J22" s="43">
        <v>1</v>
      </c>
      <c r="K22" s="25" t="str">
        <f>VLOOKUP(J22,Key!$E$2:$F$9,2,FALSE)</f>
        <v>Home</v>
      </c>
      <c r="L22" s="42" t="s">
        <v>187</v>
      </c>
      <c r="M22" s="43" t="s">
        <v>154</v>
      </c>
      <c r="N22" s="42" t="s">
        <v>160</v>
      </c>
      <c r="O22" s="43">
        <v>3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47">
        <v>15</v>
      </c>
      <c r="T22" s="47">
        <v>0.8</v>
      </c>
      <c r="U22" s="43">
        <v>2</v>
      </c>
      <c r="V22" s="43"/>
      <c r="W22" s="47"/>
      <c r="X22" s="47"/>
      <c r="Y22" s="48" t="s">
        <v>162</v>
      </c>
      <c r="Z22" s="49"/>
      <c r="AA22" s="25">
        <f>VLOOKUP(F22,Zones!$A$2:$F$151534,6,FALSE)</f>
        <v>364</v>
      </c>
      <c r="AB22" s="25">
        <f>VLOOKUP(L22,Zones!$A$2:$F$151477,6,FALSE)</f>
        <v>372</v>
      </c>
    </row>
    <row r="23" spans="2:28">
      <c r="B23" s="40">
        <v>0.4236111111111111</v>
      </c>
      <c r="C23" s="40" t="s">
        <v>188</v>
      </c>
      <c r="D23" s="41">
        <v>8</v>
      </c>
      <c r="E23" s="42">
        <v>2</v>
      </c>
      <c r="F23" s="42" t="s">
        <v>154</v>
      </c>
      <c r="G23" s="43" t="s">
        <v>154</v>
      </c>
      <c r="H23" s="42" t="s">
        <v>160</v>
      </c>
      <c r="I23" s="43">
        <v>1</v>
      </c>
      <c r="J23" s="43">
        <v>1</v>
      </c>
      <c r="K23" s="25" t="str">
        <f>VLOOKUP(J23,Key!$E$2:$F$9,2,FALSE)</f>
        <v>Home</v>
      </c>
      <c r="L23" s="59" t="s">
        <v>2525</v>
      </c>
      <c r="M23" s="43" t="s">
        <v>155</v>
      </c>
      <c r="N23" s="42" t="s">
        <v>160</v>
      </c>
      <c r="O23" s="43">
        <v>10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47"/>
      <c r="T23" s="47">
        <v>0.5</v>
      </c>
      <c r="U23" s="43">
        <v>2</v>
      </c>
      <c r="V23" s="43"/>
      <c r="W23" s="47"/>
      <c r="X23" s="47"/>
      <c r="Y23" s="48" t="s">
        <v>162</v>
      </c>
      <c r="Z23" s="49"/>
      <c r="AA23" s="25">
        <f>VLOOKUP(F23,Zones!$A$2:$F$151534,6,FALSE)</f>
        <v>365</v>
      </c>
      <c r="AB23" s="25">
        <f>VLOOKUP(L23,Zones!$A$2:$F$151477,6,FALSE)</f>
        <v>495</v>
      </c>
    </row>
    <row r="24" spans="2:28">
      <c r="B24" s="40">
        <v>0.42777777777777781</v>
      </c>
      <c r="C24" s="40" t="s">
        <v>190</v>
      </c>
      <c r="D24" s="41">
        <v>1</v>
      </c>
      <c r="E24" s="42">
        <v>5</v>
      </c>
      <c r="F24" s="42" t="s">
        <v>154</v>
      </c>
      <c r="G24" s="43" t="s">
        <v>154</v>
      </c>
      <c r="H24" s="42" t="s">
        <v>160</v>
      </c>
      <c r="I24" s="43">
        <v>4</v>
      </c>
      <c r="J24" s="43">
        <v>3</v>
      </c>
      <c r="K24" s="25" t="str">
        <f>VLOOKUP(J24,Key!$E$2:$F$9,2,FALSE)</f>
        <v>Study</v>
      </c>
      <c r="L24" s="42" t="s">
        <v>155</v>
      </c>
      <c r="M24" s="42" t="s">
        <v>155</v>
      </c>
      <c r="N24" s="42" t="s">
        <v>160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Study-Home</v>
      </c>
      <c r="S24" s="47"/>
      <c r="T24" s="47">
        <v>0.5</v>
      </c>
      <c r="U24" s="43">
        <v>5</v>
      </c>
      <c r="V24" s="43"/>
      <c r="W24" s="47"/>
      <c r="X24" s="47"/>
      <c r="Y24" s="48" t="s">
        <v>162</v>
      </c>
      <c r="Z24" s="49"/>
      <c r="AA24" s="25">
        <f>VLOOKUP(F24,Zones!$A$2:$F$151534,6,FALSE)</f>
        <v>365</v>
      </c>
      <c r="AB24" s="25">
        <f>VLOOKUP(L24,Zones!$A$2:$F$151477,6,FALSE)</f>
        <v>498</v>
      </c>
    </row>
    <row r="25" spans="2:28">
      <c r="B25" s="40">
        <v>0.39097222222222222</v>
      </c>
      <c r="C25" s="40" t="s">
        <v>191</v>
      </c>
      <c r="D25" s="41">
        <v>4</v>
      </c>
      <c r="E25" s="42">
        <v>2</v>
      </c>
      <c r="F25" s="42" t="s">
        <v>154</v>
      </c>
      <c r="G25" s="43" t="s">
        <v>154</v>
      </c>
      <c r="H25" s="42" t="s">
        <v>160</v>
      </c>
      <c r="I25" s="43">
        <v>1</v>
      </c>
      <c r="J25" s="43">
        <v>1</v>
      </c>
      <c r="K25" s="25" t="str">
        <f>VLOOKUP(J25,Key!$E$2:$F$9,2,FALSE)</f>
        <v>Home</v>
      </c>
      <c r="L25" s="42" t="s">
        <v>192</v>
      </c>
      <c r="M25" s="43" t="s">
        <v>154</v>
      </c>
      <c r="N25" s="42" t="s">
        <v>160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47">
        <v>5</v>
      </c>
      <c r="T25" s="47">
        <v>0.1</v>
      </c>
      <c r="U25" s="43">
        <v>4</v>
      </c>
      <c r="V25" s="43"/>
      <c r="W25" s="47"/>
      <c r="X25" s="47"/>
      <c r="Y25" s="48" t="s">
        <v>162</v>
      </c>
      <c r="Z25" s="49"/>
      <c r="AA25" s="25">
        <f>VLOOKUP(F25,Zones!$A$2:$F$151534,6,FALSE)</f>
        <v>365</v>
      </c>
      <c r="AB25" s="25">
        <f>VLOOKUP(L25,Zones!$A$2:$F$151477,6,FALSE)</f>
        <v>373</v>
      </c>
    </row>
    <row r="26" spans="2:28">
      <c r="B26" s="40">
        <v>0.39166666666666666</v>
      </c>
      <c r="C26" s="40" t="s">
        <v>193</v>
      </c>
      <c r="D26" s="41">
        <v>4</v>
      </c>
      <c r="E26" s="42">
        <v>1</v>
      </c>
      <c r="F26" s="42" t="s">
        <v>154</v>
      </c>
      <c r="G26" s="43" t="s">
        <v>154</v>
      </c>
      <c r="H26" s="42" t="s">
        <v>160</v>
      </c>
      <c r="I26" s="43">
        <v>1</v>
      </c>
      <c r="J26" s="43">
        <v>1</v>
      </c>
      <c r="K26" s="25" t="str">
        <f>VLOOKUP(J26,Key!$E$2:$F$9,2,FALSE)</f>
        <v>Home</v>
      </c>
      <c r="L26" s="59" t="s">
        <v>2526</v>
      </c>
      <c r="M26" s="43" t="s">
        <v>154</v>
      </c>
      <c r="N26" s="42" t="s">
        <v>160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47"/>
      <c r="T26" s="47">
        <v>0.5</v>
      </c>
      <c r="U26" s="43">
        <v>1</v>
      </c>
      <c r="V26" s="43"/>
      <c r="W26" s="47"/>
      <c r="X26" s="47"/>
      <c r="Y26" s="48" t="s">
        <v>162</v>
      </c>
      <c r="Z26" s="49"/>
      <c r="AA26" s="25">
        <f>VLOOKUP(F26,Zones!$A$2:$F$151534,6,FALSE)</f>
        <v>365</v>
      </c>
      <c r="AB26" s="25">
        <f>VLOOKUP(L26,Zones!$A$2:$F$151477,6,FALSE)</f>
        <v>374</v>
      </c>
    </row>
    <row r="27" spans="2:28">
      <c r="B27" s="40">
        <v>0.38819444444444445</v>
      </c>
      <c r="C27" s="40" t="s">
        <v>195</v>
      </c>
      <c r="D27" s="41">
        <v>8</v>
      </c>
      <c r="E27" s="42">
        <v>3</v>
      </c>
      <c r="F27" s="42" t="s">
        <v>176</v>
      </c>
      <c r="G27" s="43" t="s">
        <v>154</v>
      </c>
      <c r="H27" s="42" t="s">
        <v>160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155</v>
      </c>
      <c r="M27" s="42" t="s">
        <v>155</v>
      </c>
      <c r="N27" s="42" t="s">
        <v>160</v>
      </c>
      <c r="O27" s="43">
        <v>3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47"/>
      <c r="T27" s="47">
        <v>0.8</v>
      </c>
      <c r="U27" s="43">
        <v>2</v>
      </c>
      <c r="V27" s="43"/>
      <c r="W27" s="47"/>
      <c r="X27" s="47"/>
      <c r="Y27" s="48" t="s">
        <v>162</v>
      </c>
      <c r="Z27" s="49"/>
      <c r="AA27" s="25">
        <f>VLOOKUP(F27,Zones!$A$2:$F$151534,6,FALSE)</f>
        <v>954</v>
      </c>
      <c r="AB27" s="25">
        <f>VLOOKUP(L27,Zones!$A$2:$F$151477,6,FALSE)</f>
        <v>498</v>
      </c>
    </row>
    <row r="28" spans="2:28">
      <c r="B28" s="40">
        <v>0.38541666666666669</v>
      </c>
      <c r="C28" s="40" t="s">
        <v>196</v>
      </c>
      <c r="D28" s="41">
        <v>11</v>
      </c>
      <c r="E28" s="42">
        <v>2</v>
      </c>
      <c r="F28" s="42" t="s">
        <v>154</v>
      </c>
      <c r="G28" s="43" t="s">
        <v>154</v>
      </c>
      <c r="H28" s="42" t="s">
        <v>160</v>
      </c>
      <c r="I28" s="43">
        <v>8</v>
      </c>
      <c r="J28" s="43">
        <v>2</v>
      </c>
      <c r="K28" s="25" t="str">
        <f>VLOOKUP(J28,Key!$E$2:$F$9,2,FALSE)</f>
        <v>Work</v>
      </c>
      <c r="L28" s="42" t="s">
        <v>2523</v>
      </c>
      <c r="M28" s="43" t="s">
        <v>154</v>
      </c>
      <c r="N28" s="42" t="s">
        <v>160</v>
      </c>
      <c r="O28" s="43">
        <v>8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7">
        <v>8</v>
      </c>
      <c r="T28" s="47">
        <v>0.5</v>
      </c>
      <c r="U28" s="43">
        <v>2</v>
      </c>
      <c r="V28" s="43"/>
      <c r="W28" s="47"/>
      <c r="X28" s="47"/>
      <c r="Y28" s="48" t="s">
        <v>162</v>
      </c>
      <c r="Z28" s="49"/>
      <c r="AA28" s="25">
        <f>VLOOKUP(F28,Zones!$A$2:$F$151534,6,FALSE)</f>
        <v>365</v>
      </c>
      <c r="AB28" s="25">
        <f>VLOOKUP(L28,Zones!$A$2:$F$151477,6,FALSE)</f>
        <v>400</v>
      </c>
    </row>
    <row r="29" spans="2:28">
      <c r="B29" s="40">
        <v>0.39652777777777781</v>
      </c>
      <c r="C29" s="40" t="s">
        <v>198</v>
      </c>
      <c r="D29" s="41">
        <v>3</v>
      </c>
      <c r="E29" s="42">
        <v>5</v>
      </c>
      <c r="F29" s="42" t="s">
        <v>154</v>
      </c>
      <c r="G29" s="43" t="s">
        <v>154</v>
      </c>
      <c r="H29" s="42" t="s">
        <v>160</v>
      </c>
      <c r="I29" s="43">
        <v>1</v>
      </c>
      <c r="J29" s="43">
        <v>1</v>
      </c>
      <c r="K29" s="25" t="str">
        <f>VLOOKUP(J29,Key!$E$2:$F$9,2,FALSE)</f>
        <v>Home</v>
      </c>
      <c r="L29" s="42" t="s">
        <v>192</v>
      </c>
      <c r="M29" s="43" t="s">
        <v>154</v>
      </c>
      <c r="N29" s="42" t="s">
        <v>160</v>
      </c>
      <c r="O29" s="43">
        <v>10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47">
        <v>3</v>
      </c>
      <c r="T29" s="47">
        <v>0.5</v>
      </c>
      <c r="U29" s="43">
        <v>2</v>
      </c>
      <c r="V29" s="43"/>
      <c r="W29" s="47"/>
      <c r="X29" s="47"/>
      <c r="Y29" s="48" t="s">
        <v>162</v>
      </c>
      <c r="Z29" s="49"/>
      <c r="AA29" s="25">
        <f>VLOOKUP(F29,Zones!$A$2:$F$151534,6,FALSE)</f>
        <v>365</v>
      </c>
      <c r="AB29" s="25">
        <f>VLOOKUP(L29,Zones!$A$2:$F$151477,6,FALSE)</f>
        <v>373</v>
      </c>
    </row>
    <row r="30" spans="2:28">
      <c r="B30" s="40">
        <v>0.39444444444444443</v>
      </c>
      <c r="C30" s="40" t="s">
        <v>199</v>
      </c>
      <c r="D30" s="41">
        <v>5</v>
      </c>
      <c r="E30" s="42">
        <v>30</v>
      </c>
      <c r="F30" s="42" t="s">
        <v>200</v>
      </c>
      <c r="G30" s="43" t="s">
        <v>200</v>
      </c>
      <c r="H30" s="42" t="s">
        <v>160</v>
      </c>
      <c r="I30" s="43">
        <v>6</v>
      </c>
      <c r="J30" s="43">
        <v>2</v>
      </c>
      <c r="K30" s="25" t="str">
        <f>VLOOKUP(J30,Key!$E$2:$F$9,2,FALSE)</f>
        <v>Work</v>
      </c>
      <c r="L30" s="59" t="s">
        <v>201</v>
      </c>
      <c r="M30" s="43" t="s">
        <v>1539</v>
      </c>
      <c r="N30" s="42" t="s">
        <v>160</v>
      </c>
      <c r="O30" s="43">
        <v>6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47"/>
      <c r="T30" s="47">
        <v>1</v>
      </c>
      <c r="U30" s="43">
        <v>4</v>
      </c>
      <c r="V30" s="43"/>
      <c r="W30" s="47"/>
      <c r="X30" s="47"/>
      <c r="Y30" s="48" t="s">
        <v>162</v>
      </c>
      <c r="Z30" s="49">
        <v>20000</v>
      </c>
      <c r="AA30" s="25">
        <f>VLOOKUP(F30,Zones!$A$2:$F$151534,6,FALSE)</f>
        <v>685</v>
      </c>
      <c r="AB30" s="25">
        <f>VLOOKUP(L30,Zones!$A$2:$F$151477,6,FALSE)</f>
        <v>693</v>
      </c>
    </row>
    <row r="31" spans="2:28">
      <c r="B31" s="40">
        <v>0.36458333333333331</v>
      </c>
      <c r="C31" s="40" t="s">
        <v>202</v>
      </c>
      <c r="D31" s="41">
        <v>8</v>
      </c>
      <c r="E31" s="42">
        <v>3</v>
      </c>
      <c r="F31" s="42" t="s">
        <v>154</v>
      </c>
      <c r="G31" s="43" t="s">
        <v>154</v>
      </c>
      <c r="H31" s="42" t="s">
        <v>160</v>
      </c>
      <c r="I31" s="43">
        <v>1</v>
      </c>
      <c r="J31" s="43">
        <v>1</v>
      </c>
      <c r="K31" s="25" t="str">
        <f>VLOOKUP(J31,Key!$E$2:$F$9,2,FALSE)</f>
        <v>Home</v>
      </c>
      <c r="L31" s="59" t="s">
        <v>943</v>
      </c>
      <c r="M31" s="43" t="s">
        <v>154</v>
      </c>
      <c r="N31" s="42" t="s">
        <v>160</v>
      </c>
      <c r="O31" s="43">
        <v>10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47">
        <v>6</v>
      </c>
      <c r="T31" s="47">
        <v>0.4</v>
      </c>
      <c r="U31" s="43">
        <v>4</v>
      </c>
      <c r="V31" s="43"/>
      <c r="W31" s="47"/>
      <c r="X31" s="47"/>
      <c r="Y31" s="48" t="s">
        <v>162</v>
      </c>
      <c r="Z31" s="49"/>
      <c r="AA31" s="25">
        <f>VLOOKUP(F31,Zones!$A$2:$F$151534,6,FALSE)</f>
        <v>365</v>
      </c>
      <c r="AB31" s="25">
        <f>VLOOKUP(L31,Zones!$A$2:$F$151477,6,FALSE)</f>
        <v>373</v>
      </c>
    </row>
    <row r="32" spans="2:28">
      <c r="B32" s="40">
        <v>0.35972222222222222</v>
      </c>
      <c r="C32" s="40" t="s">
        <v>204</v>
      </c>
      <c r="D32" s="41">
        <v>4</v>
      </c>
      <c r="E32" s="42">
        <v>14</v>
      </c>
      <c r="F32" s="42" t="s">
        <v>164</v>
      </c>
      <c r="G32" s="43" t="s">
        <v>164</v>
      </c>
      <c r="H32" s="42" t="s">
        <v>160</v>
      </c>
      <c r="I32" s="43">
        <v>6</v>
      </c>
      <c r="J32" s="43">
        <v>2</v>
      </c>
      <c r="K32" s="25" t="str">
        <f>VLOOKUP(J32,Key!$E$2:$F$9,2,FALSE)</f>
        <v>Work</v>
      </c>
      <c r="L32" s="59" t="s">
        <v>201</v>
      </c>
      <c r="M32" s="43" t="s">
        <v>154</v>
      </c>
      <c r="N32" s="42" t="s">
        <v>160</v>
      </c>
      <c r="O32" s="43">
        <v>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7"/>
      <c r="T32" s="47">
        <v>1</v>
      </c>
      <c r="U32" s="43">
        <v>4</v>
      </c>
      <c r="V32" s="43"/>
      <c r="W32" s="47"/>
      <c r="X32" s="47"/>
      <c r="Y32" s="48" t="s">
        <v>162</v>
      </c>
      <c r="Z32" s="49">
        <v>1000</v>
      </c>
      <c r="AA32" s="25">
        <f>VLOOKUP(F32,Zones!$A$2:$F$151534,6,FALSE)</f>
        <v>403</v>
      </c>
      <c r="AB32" s="25">
        <f>VLOOKUP(L32,Zones!$A$2:$F$151477,6,FALSE)</f>
        <v>693</v>
      </c>
    </row>
    <row r="33" spans="2:28">
      <c r="B33" s="40">
        <v>0.70624999999999993</v>
      </c>
      <c r="C33" s="40" t="s">
        <v>205</v>
      </c>
      <c r="D33" s="41">
        <v>1</v>
      </c>
      <c r="E33" s="42">
        <v>2</v>
      </c>
      <c r="F33" s="42" t="s">
        <v>154</v>
      </c>
      <c r="G33" s="43" t="s">
        <v>154</v>
      </c>
      <c r="H33" s="42" t="s">
        <v>160</v>
      </c>
      <c r="I33" s="43">
        <v>2</v>
      </c>
      <c r="J33" s="43">
        <v>2</v>
      </c>
      <c r="K33" s="25" t="str">
        <f>VLOOKUP(J33,Key!$E$2:$F$9,2,FALSE)</f>
        <v>Work</v>
      </c>
      <c r="L33" s="42" t="s">
        <v>192</v>
      </c>
      <c r="M33" s="43" t="s">
        <v>154</v>
      </c>
      <c r="N33" s="42" t="s">
        <v>160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47">
        <v>2</v>
      </c>
      <c r="T33" s="47">
        <v>0.5</v>
      </c>
      <c r="U33" s="43">
        <v>2</v>
      </c>
      <c r="V33" s="43"/>
      <c r="W33" s="47"/>
      <c r="X33" s="47"/>
      <c r="Y33" s="48" t="s">
        <v>162</v>
      </c>
      <c r="Z33" s="49"/>
      <c r="AA33" s="25">
        <f>VLOOKUP(F33,Zones!$A$2:$F$151534,6,FALSE)</f>
        <v>365</v>
      </c>
      <c r="AB33" s="25">
        <f>VLOOKUP(L33,Zones!$A$2:$F$151477,6,FALSE)</f>
        <v>373</v>
      </c>
    </row>
    <row r="34" spans="2:28">
      <c r="B34" s="40">
        <v>0.71666666666666667</v>
      </c>
      <c r="C34" s="40" t="s">
        <v>206</v>
      </c>
      <c r="D34" s="41">
        <v>1</v>
      </c>
      <c r="E34" s="42">
        <v>4</v>
      </c>
      <c r="F34" s="42" t="s">
        <v>154</v>
      </c>
      <c r="G34" s="43" t="s">
        <v>154</v>
      </c>
      <c r="H34" s="42" t="s">
        <v>160</v>
      </c>
      <c r="I34" s="43">
        <v>14</v>
      </c>
      <c r="J34" s="43">
        <v>8</v>
      </c>
      <c r="K34" s="25" t="str">
        <f>VLOOKUP(J34,Key!$E$2:$F$9,2,FALSE)</f>
        <v>Others</v>
      </c>
      <c r="L34" s="42" t="s">
        <v>155</v>
      </c>
      <c r="M34" s="42" t="s">
        <v>155</v>
      </c>
      <c r="N34" s="42" t="s">
        <v>160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Others-Home</v>
      </c>
      <c r="S34" s="47">
        <v>15</v>
      </c>
      <c r="T34" s="47">
        <v>0.8</v>
      </c>
      <c r="U34" s="43">
        <v>2</v>
      </c>
      <c r="V34" s="43"/>
      <c r="W34" s="47"/>
      <c r="X34" s="47"/>
      <c r="Y34" s="48" t="s">
        <v>162</v>
      </c>
      <c r="Z34" s="49"/>
      <c r="AA34" s="25">
        <f>VLOOKUP(F34,Zones!$A$2:$F$151534,6,FALSE)</f>
        <v>365</v>
      </c>
      <c r="AB34" s="25">
        <f>VLOOKUP(L34,Zones!$A$2:$F$151477,6,FALSE)</f>
        <v>498</v>
      </c>
    </row>
    <row r="35" spans="2:28">
      <c r="B35" s="40">
        <v>0.72361111111111109</v>
      </c>
      <c r="C35" s="40" t="s">
        <v>207</v>
      </c>
      <c r="D35" s="41">
        <v>2</v>
      </c>
      <c r="E35" s="42">
        <v>3</v>
      </c>
      <c r="F35" s="42" t="s">
        <v>154</v>
      </c>
      <c r="G35" s="43" t="s">
        <v>154</v>
      </c>
      <c r="H35" s="42" t="s">
        <v>160</v>
      </c>
      <c r="I35" s="43">
        <v>16</v>
      </c>
      <c r="J35" s="43">
        <v>8</v>
      </c>
      <c r="K35" s="25" t="str">
        <f>VLOOKUP(J35,Key!$E$2:$F$9,2,FALSE)</f>
        <v>Others</v>
      </c>
      <c r="L35" s="42" t="s">
        <v>192</v>
      </c>
      <c r="M35" s="43" t="s">
        <v>154</v>
      </c>
      <c r="N35" s="42" t="s">
        <v>160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Others-Home</v>
      </c>
      <c r="S35" s="47">
        <v>15</v>
      </c>
      <c r="T35" s="47">
        <v>2</v>
      </c>
      <c r="U35" s="43">
        <v>2</v>
      </c>
      <c r="V35" s="43"/>
      <c r="W35" s="47"/>
      <c r="X35" s="47"/>
      <c r="Y35" s="48" t="s">
        <v>162</v>
      </c>
      <c r="Z35" s="49"/>
      <c r="AA35" s="25">
        <f>VLOOKUP(F35,Zones!$A$2:$F$151534,6,FALSE)</f>
        <v>365</v>
      </c>
      <c r="AB35" s="25">
        <f>VLOOKUP(L35,Zones!$A$2:$F$151477,6,FALSE)</f>
        <v>373</v>
      </c>
    </row>
    <row r="36" spans="2:28">
      <c r="B36" s="40">
        <v>0.73263888888888884</v>
      </c>
      <c r="C36" s="40" t="s">
        <v>208</v>
      </c>
      <c r="D36" s="41">
        <v>7</v>
      </c>
      <c r="E36" s="42">
        <v>4</v>
      </c>
      <c r="F36" s="42" t="s">
        <v>209</v>
      </c>
      <c r="G36" s="43" t="s">
        <v>209</v>
      </c>
      <c r="H36" s="42" t="s">
        <v>160</v>
      </c>
      <c r="I36" s="43">
        <v>10</v>
      </c>
      <c r="J36" s="43">
        <v>2</v>
      </c>
      <c r="K36" s="25" t="str">
        <f>VLOOKUP(J36,Key!$E$2:$F$9,2,FALSE)</f>
        <v>Work</v>
      </c>
      <c r="L36" s="42" t="s">
        <v>192</v>
      </c>
      <c r="M36" s="43" t="s">
        <v>154</v>
      </c>
      <c r="N36" s="42" t="s">
        <v>160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47">
        <v>20</v>
      </c>
      <c r="T36" s="47">
        <v>2</v>
      </c>
      <c r="U36" s="43">
        <v>4</v>
      </c>
      <c r="V36" s="43"/>
      <c r="W36" s="47"/>
      <c r="X36" s="47"/>
      <c r="Y36" s="48" t="s">
        <v>162</v>
      </c>
      <c r="Z36" s="49"/>
      <c r="AA36" s="25">
        <f>VLOOKUP(F36,Zones!$A$2:$F$151534,6,FALSE)</f>
        <v>145</v>
      </c>
      <c r="AB36" s="25">
        <f>VLOOKUP(L36,Zones!$A$2:$F$151477,6,FALSE)</f>
        <v>373</v>
      </c>
    </row>
    <row r="37" spans="2:28">
      <c r="B37" s="40">
        <v>0.7416666666666667</v>
      </c>
      <c r="C37" s="40" t="s">
        <v>210</v>
      </c>
      <c r="D37" s="41">
        <v>4</v>
      </c>
      <c r="E37" s="42">
        <v>14</v>
      </c>
      <c r="F37" s="42" t="s">
        <v>154</v>
      </c>
      <c r="G37" s="43" t="s">
        <v>154</v>
      </c>
      <c r="H37" s="42" t="s">
        <v>160</v>
      </c>
      <c r="I37" s="43">
        <v>6</v>
      </c>
      <c r="J37" s="43">
        <v>2</v>
      </c>
      <c r="K37" s="25" t="str">
        <f>VLOOKUP(J37,Key!$E$2:$F$9,2,FALSE)</f>
        <v>Work</v>
      </c>
      <c r="L37" s="42" t="s">
        <v>192</v>
      </c>
      <c r="M37" s="43" t="s">
        <v>154</v>
      </c>
      <c r="N37" s="42" t="s">
        <v>160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7">
        <v>27</v>
      </c>
      <c r="T37" s="47">
        <v>1.5</v>
      </c>
      <c r="U37" s="43">
        <v>2</v>
      </c>
      <c r="V37" s="43"/>
      <c r="W37" s="47"/>
      <c r="X37" s="47"/>
      <c r="Y37" s="48" t="s">
        <v>162</v>
      </c>
      <c r="Z37" s="49"/>
      <c r="AA37" s="25">
        <f>VLOOKUP(F37,Zones!$A$2:$F$151534,6,FALSE)</f>
        <v>365</v>
      </c>
      <c r="AB37" s="25">
        <f>VLOOKUP(L37,Zones!$A$2:$F$151477,6,FALSE)</f>
        <v>373</v>
      </c>
    </row>
    <row r="38" spans="2:28">
      <c r="B38" s="40">
        <v>0.46597222222222223</v>
      </c>
      <c r="C38" s="40" t="s">
        <v>211</v>
      </c>
      <c r="D38" s="41">
        <v>1</v>
      </c>
      <c r="E38" s="42">
        <v>4</v>
      </c>
      <c r="F38" s="42" t="s">
        <v>30</v>
      </c>
      <c r="G38" s="43" t="s">
        <v>168</v>
      </c>
      <c r="H38" s="42" t="s">
        <v>160</v>
      </c>
      <c r="I38" s="43">
        <v>1</v>
      </c>
      <c r="J38" s="43">
        <v>1</v>
      </c>
      <c r="K38" s="25" t="str">
        <f>VLOOKUP(J38,Key!$E$2:$F$9,2,FALSE)</f>
        <v>Home</v>
      </c>
      <c r="L38" s="59" t="s">
        <v>2527</v>
      </c>
      <c r="M38" s="43" t="s">
        <v>2088</v>
      </c>
      <c r="N38" s="42" t="s">
        <v>160</v>
      </c>
      <c r="O38" s="43">
        <v>16</v>
      </c>
      <c r="P38" s="43">
        <v>8</v>
      </c>
      <c r="Q38" s="25" t="str">
        <f>VLOOKUP(P38,Key!$E$2:$F$9,2,FALSE)</f>
        <v>Others</v>
      </c>
      <c r="R38" s="25" t="str">
        <f t="shared" si="0"/>
        <v>Home-Others</v>
      </c>
      <c r="S38" s="47">
        <v>160</v>
      </c>
      <c r="T38" s="47">
        <v>2</v>
      </c>
      <c r="U38" s="43">
        <v>6</v>
      </c>
      <c r="V38" s="43"/>
      <c r="W38" s="47"/>
      <c r="X38" s="47"/>
      <c r="Y38" s="48" t="s">
        <v>162</v>
      </c>
      <c r="Z38" s="49"/>
      <c r="AA38" s="25">
        <f>VLOOKUP(F38,Zones!$A$2:$F$151534,6,FALSE)</f>
        <v>1388</v>
      </c>
      <c r="AB38" s="25">
        <f>VLOOKUP(L38,Zones!$A$2:$F$151477,6,FALSE)</f>
        <v>1135</v>
      </c>
    </row>
    <row r="39" spans="2:28">
      <c r="B39" s="40">
        <v>0.47430555555555554</v>
      </c>
      <c r="C39" s="40" t="s">
        <v>212</v>
      </c>
      <c r="D39" s="41">
        <v>2</v>
      </c>
      <c r="E39" s="42">
        <v>4</v>
      </c>
      <c r="F39" s="42" t="s">
        <v>154</v>
      </c>
      <c r="G39" s="43" t="s">
        <v>154</v>
      </c>
      <c r="H39" s="42" t="s">
        <v>160</v>
      </c>
      <c r="I39" s="43">
        <v>2</v>
      </c>
      <c r="J39" s="43">
        <v>2</v>
      </c>
      <c r="K39" s="25" t="str">
        <f>VLOOKUP(J39,Key!$E$2:$F$9,2,FALSE)</f>
        <v>Work</v>
      </c>
      <c r="L39" s="42" t="s">
        <v>155</v>
      </c>
      <c r="M39" s="42" t="s">
        <v>155</v>
      </c>
      <c r="N39" s="42" t="s">
        <v>160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0"/>
        <v>Work-Home</v>
      </c>
      <c r="S39" s="47"/>
      <c r="T39" s="47">
        <v>0.4</v>
      </c>
      <c r="U39" s="43">
        <v>2</v>
      </c>
      <c r="V39" s="43"/>
      <c r="W39" s="47"/>
      <c r="X39" s="47"/>
      <c r="Y39" s="48" t="s">
        <v>218</v>
      </c>
      <c r="Z39" s="49"/>
      <c r="AA39" s="25">
        <f>VLOOKUP(F39,Zones!$A$2:$F$151534,6,FALSE)</f>
        <v>365</v>
      </c>
      <c r="AB39" s="25">
        <f>VLOOKUP(L39,Zones!$A$2:$F$151477,6,FALSE)</f>
        <v>498</v>
      </c>
    </row>
    <row r="40" spans="2:28">
      <c r="B40" s="40">
        <v>0.4145833333333333</v>
      </c>
      <c r="C40" s="40" t="s">
        <v>213</v>
      </c>
      <c r="D40" s="41">
        <v>2</v>
      </c>
      <c r="E40" s="42">
        <v>6</v>
      </c>
      <c r="F40" s="42" t="s">
        <v>214</v>
      </c>
      <c r="G40" s="43" t="s">
        <v>166</v>
      </c>
      <c r="H40" s="42" t="s">
        <v>160</v>
      </c>
      <c r="I40" s="43">
        <v>1</v>
      </c>
      <c r="J40" s="43">
        <v>1</v>
      </c>
      <c r="K40" s="25" t="str">
        <f>VLOOKUP(J40,Key!$E$2:$F$9,2,FALSE)</f>
        <v>Home</v>
      </c>
      <c r="L40" s="59" t="s">
        <v>201</v>
      </c>
      <c r="M40" s="43" t="s">
        <v>154</v>
      </c>
      <c r="N40" s="42" t="s">
        <v>160</v>
      </c>
      <c r="O40" s="43">
        <v>16</v>
      </c>
      <c r="P40" s="43">
        <v>8</v>
      </c>
      <c r="Q40" s="25" t="str">
        <f>VLOOKUP(P40,Key!$E$2:$F$9,2,FALSE)</f>
        <v>Others</v>
      </c>
      <c r="R40" s="25" t="str">
        <f t="shared" si="0"/>
        <v>Home-Others</v>
      </c>
      <c r="S40" s="47">
        <v>45</v>
      </c>
      <c r="T40" s="47">
        <v>2</v>
      </c>
      <c r="U40" s="43">
        <v>6</v>
      </c>
      <c r="V40" s="43"/>
      <c r="W40" s="47"/>
      <c r="X40" s="47"/>
      <c r="Y40" s="48" t="s">
        <v>162</v>
      </c>
      <c r="Z40" s="49">
        <v>2000</v>
      </c>
      <c r="AA40" s="25">
        <f>VLOOKUP(F40,Zones!$A$2:$F$151534,6,FALSE)</f>
        <v>1064</v>
      </c>
      <c r="AB40" s="25">
        <f>VLOOKUP(L40,Zones!$A$2:$F$151477,6,FALSE)</f>
        <v>693</v>
      </c>
    </row>
    <row r="41" spans="2:28">
      <c r="B41" s="40">
        <v>0.41388888888888892</v>
      </c>
      <c r="C41" s="40" t="s">
        <v>215</v>
      </c>
      <c r="D41" s="41">
        <v>1</v>
      </c>
      <c r="E41" s="42">
        <v>3</v>
      </c>
      <c r="F41" s="42" t="s">
        <v>154</v>
      </c>
      <c r="G41" s="43" t="s">
        <v>154</v>
      </c>
      <c r="H41" s="42" t="s">
        <v>160</v>
      </c>
      <c r="I41" s="43">
        <v>1</v>
      </c>
      <c r="J41" s="43">
        <v>1</v>
      </c>
      <c r="K41" s="25" t="str">
        <f>VLOOKUP(J41,Key!$E$2:$F$9,2,FALSE)</f>
        <v>Home</v>
      </c>
      <c r="L41" s="42" t="s">
        <v>220</v>
      </c>
      <c r="M41" s="43" t="s">
        <v>154</v>
      </c>
      <c r="N41" s="42" t="s">
        <v>160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0"/>
        <v>Home-Work</v>
      </c>
      <c r="S41" s="47"/>
      <c r="T41" s="47">
        <v>0.3</v>
      </c>
      <c r="U41" s="43">
        <v>4</v>
      </c>
      <c r="V41" s="43"/>
      <c r="W41" s="47"/>
      <c r="X41" s="47"/>
      <c r="Y41" s="48" t="s">
        <v>162</v>
      </c>
      <c r="Z41" s="49"/>
      <c r="AA41" s="25">
        <f>VLOOKUP(F41,Zones!$A$2:$F$151534,6,FALSE)</f>
        <v>365</v>
      </c>
      <c r="AB41" s="25">
        <f>VLOOKUP(L41,Zones!$A$2:$F$151477,6,FALSE)</f>
        <v>369</v>
      </c>
    </row>
    <row r="42" spans="2:28">
      <c r="B42" s="40">
        <v>0.3833333333333333</v>
      </c>
      <c r="C42" s="40" t="s">
        <v>217</v>
      </c>
      <c r="D42" s="41">
        <v>11</v>
      </c>
      <c r="E42" s="42">
        <v>1</v>
      </c>
      <c r="F42" s="42" t="s">
        <v>154</v>
      </c>
      <c r="G42" s="43" t="s">
        <v>154</v>
      </c>
      <c r="H42" s="42" t="s">
        <v>160</v>
      </c>
      <c r="I42" s="43">
        <v>8</v>
      </c>
      <c r="J42" s="43">
        <v>2</v>
      </c>
      <c r="K42" s="25" t="str">
        <f>VLOOKUP(J42,Key!$E$2:$F$9,2,FALSE)</f>
        <v>Work</v>
      </c>
      <c r="L42" s="42" t="s">
        <v>192</v>
      </c>
      <c r="M42" s="43" t="s">
        <v>154</v>
      </c>
      <c r="N42" s="42" t="s">
        <v>160</v>
      </c>
      <c r="O42" s="43">
        <v>8</v>
      </c>
      <c r="P42" s="43">
        <v>2</v>
      </c>
      <c r="Q42" s="25" t="str">
        <f>VLOOKUP(P42,Key!$E$2:$F$9,2,FALSE)</f>
        <v>Work</v>
      </c>
      <c r="R42" s="25" t="str">
        <f t="shared" si="0"/>
        <v>Work-Work</v>
      </c>
      <c r="S42" s="47">
        <v>2</v>
      </c>
      <c r="T42" s="47">
        <v>0.1</v>
      </c>
      <c r="U42" s="43">
        <v>2</v>
      </c>
      <c r="V42" s="43"/>
      <c r="W42" s="47"/>
      <c r="X42" s="47"/>
      <c r="Y42" s="48" t="s">
        <v>162</v>
      </c>
      <c r="Z42" s="49">
        <v>1000</v>
      </c>
      <c r="AA42" s="25">
        <f>VLOOKUP(F42,Zones!$A$2:$F$151534,6,FALSE)</f>
        <v>365</v>
      </c>
      <c r="AB42" s="25">
        <f>VLOOKUP(L42,Zones!$A$2:$F$151477,6,FALSE)</f>
        <v>373</v>
      </c>
    </row>
    <row r="43" spans="2:28">
      <c r="B43" s="40">
        <v>0.38125000000000003</v>
      </c>
      <c r="C43" s="40" t="s">
        <v>219</v>
      </c>
      <c r="D43" s="41">
        <v>4</v>
      </c>
      <c r="E43" s="42">
        <v>14</v>
      </c>
      <c r="F43" s="42" t="s">
        <v>154</v>
      </c>
      <c r="G43" s="43" t="s">
        <v>154</v>
      </c>
      <c r="H43" s="42" t="s">
        <v>160</v>
      </c>
      <c r="I43" s="43">
        <v>6</v>
      </c>
      <c r="J43" s="43">
        <v>2</v>
      </c>
      <c r="K43" s="25" t="str">
        <f>VLOOKUP(J43,Key!$E$2:$F$9,2,FALSE)</f>
        <v>Work</v>
      </c>
      <c r="L43" s="42" t="s">
        <v>220</v>
      </c>
      <c r="M43" s="43" t="s">
        <v>154</v>
      </c>
      <c r="N43" s="42" t="s">
        <v>160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47"/>
      <c r="T43" s="47">
        <v>0.2</v>
      </c>
      <c r="U43" s="43">
        <v>2</v>
      </c>
      <c r="V43" s="43"/>
      <c r="W43" s="47"/>
      <c r="X43" s="47"/>
      <c r="Y43" s="48" t="s">
        <v>162</v>
      </c>
      <c r="Z43" s="49"/>
      <c r="AA43" s="25">
        <f>VLOOKUP(F43,Zones!$A$2:$F$151534,6,FALSE)</f>
        <v>365</v>
      </c>
      <c r="AB43" s="25">
        <f>VLOOKUP(L43,Zones!$A$2:$F$151477,6,FALSE)</f>
        <v>369</v>
      </c>
    </row>
    <row r="44" spans="2:28">
      <c r="B44" s="40">
        <v>0.37777777777777777</v>
      </c>
      <c r="C44" s="40" t="s">
        <v>221</v>
      </c>
      <c r="D44" s="41">
        <v>11</v>
      </c>
      <c r="E44" s="42">
        <v>3</v>
      </c>
      <c r="F44" s="42" t="s">
        <v>154</v>
      </c>
      <c r="G44" s="43" t="s">
        <v>154</v>
      </c>
      <c r="H44" s="42" t="s">
        <v>160</v>
      </c>
      <c r="I44" s="43">
        <v>8</v>
      </c>
      <c r="J44" s="43">
        <v>2</v>
      </c>
      <c r="K44" s="25" t="str">
        <f>VLOOKUP(J44,Key!$E$2:$F$9,2,FALSE)</f>
        <v>Work</v>
      </c>
      <c r="L44" s="59" t="s">
        <v>2527</v>
      </c>
      <c r="M44" s="43" t="s">
        <v>2088</v>
      </c>
      <c r="N44" s="42" t="s">
        <v>160</v>
      </c>
      <c r="O44" s="43">
        <v>8</v>
      </c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47">
        <v>45</v>
      </c>
      <c r="T44" s="47">
        <v>0.5</v>
      </c>
      <c r="U44" s="43">
        <v>2</v>
      </c>
      <c r="V44" s="43"/>
      <c r="W44" s="47"/>
      <c r="X44" s="47"/>
      <c r="Y44" s="48" t="s">
        <v>162</v>
      </c>
      <c r="Z44" s="49"/>
      <c r="AA44" s="25">
        <f>VLOOKUP(F44,Zones!$A$2:$F$151534,6,FALSE)</f>
        <v>365</v>
      </c>
      <c r="AB44" s="25">
        <f>VLOOKUP(L44,Zones!$A$2:$F$151477,6,FALSE)</f>
        <v>1135</v>
      </c>
    </row>
    <row r="45" spans="2:28">
      <c r="B45" s="40">
        <v>0.37986111111111115</v>
      </c>
      <c r="C45" s="40" t="s">
        <v>222</v>
      </c>
      <c r="D45" s="41">
        <v>11</v>
      </c>
      <c r="E45" s="42">
        <v>2</v>
      </c>
      <c r="F45" s="42" t="s">
        <v>154</v>
      </c>
      <c r="G45" s="43" t="s">
        <v>154</v>
      </c>
      <c r="H45" s="42" t="s">
        <v>160</v>
      </c>
      <c r="I45" s="43">
        <v>8</v>
      </c>
      <c r="J45" s="43">
        <v>2</v>
      </c>
      <c r="K45" s="25" t="str">
        <f>VLOOKUP(J45,Key!$E$2:$F$9,2,FALSE)</f>
        <v>Work</v>
      </c>
      <c r="L45" s="42" t="s">
        <v>220</v>
      </c>
      <c r="M45" s="43" t="s">
        <v>154</v>
      </c>
      <c r="N45" s="42" t="s">
        <v>160</v>
      </c>
      <c r="O45" s="43">
        <v>8</v>
      </c>
      <c r="P45" s="43">
        <v>2</v>
      </c>
      <c r="Q45" s="25" t="str">
        <f>VLOOKUP(P45,Key!$E$2:$F$9,2,FALSE)</f>
        <v>Work</v>
      </c>
      <c r="R45" s="25" t="str">
        <f t="shared" si="0"/>
        <v>Work-Work</v>
      </c>
      <c r="S45" s="47"/>
      <c r="T45" s="47">
        <v>0.1</v>
      </c>
      <c r="U45" s="43">
        <v>2</v>
      </c>
      <c r="V45" s="43"/>
      <c r="W45" s="47"/>
      <c r="X45" s="47"/>
      <c r="Y45" s="48" t="s">
        <v>162</v>
      </c>
      <c r="Z45" s="49"/>
      <c r="AA45" s="25">
        <f>VLOOKUP(F45,Zones!$A$2:$F$151534,6,FALSE)</f>
        <v>365</v>
      </c>
      <c r="AB45" s="25">
        <f>VLOOKUP(L45,Zones!$A$2:$F$151477,6,FALSE)</f>
        <v>369</v>
      </c>
    </row>
    <row r="46" spans="2:28">
      <c r="B46" s="40">
        <v>0.6791666666666667</v>
      </c>
      <c r="C46" s="40" t="s">
        <v>223</v>
      </c>
      <c r="D46" s="41">
        <v>1</v>
      </c>
      <c r="E46" s="42">
        <v>1</v>
      </c>
      <c r="F46" s="42" t="s">
        <v>154</v>
      </c>
      <c r="G46" s="43" t="s">
        <v>154</v>
      </c>
      <c r="H46" s="42" t="s">
        <v>160</v>
      </c>
      <c r="I46" s="43">
        <v>12</v>
      </c>
      <c r="J46" s="43">
        <v>8</v>
      </c>
      <c r="K46" s="25" t="str">
        <f>VLOOKUP(J46,Key!$E$2:$F$9,2,FALSE)</f>
        <v>Others</v>
      </c>
      <c r="L46" s="42" t="s">
        <v>155</v>
      </c>
      <c r="M46" s="42" t="s">
        <v>155</v>
      </c>
      <c r="N46" s="42" t="s">
        <v>160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0"/>
        <v>Others-Home</v>
      </c>
      <c r="S46" s="47">
        <v>15</v>
      </c>
      <c r="T46" s="47">
        <v>1</v>
      </c>
      <c r="U46" s="43">
        <v>2</v>
      </c>
      <c r="V46" s="43"/>
      <c r="W46" s="47"/>
      <c r="X46" s="47"/>
      <c r="Y46" s="48" t="s">
        <v>162</v>
      </c>
      <c r="Z46" s="49"/>
      <c r="AA46" s="25">
        <f>VLOOKUP(F46,Zones!$A$2:$F$151534,6,FALSE)</f>
        <v>365</v>
      </c>
      <c r="AB46" s="25">
        <f>VLOOKUP(L46,Zones!$A$2:$F$151477,6,FALSE)</f>
        <v>498</v>
      </c>
    </row>
    <row r="47" spans="2:28">
      <c r="B47" s="40">
        <v>0.68472222222222223</v>
      </c>
      <c r="C47" s="40" t="s">
        <v>224</v>
      </c>
      <c r="D47" s="41">
        <v>4</v>
      </c>
      <c r="E47" s="42">
        <v>14</v>
      </c>
      <c r="F47" s="42" t="s">
        <v>154</v>
      </c>
      <c r="G47" s="43" t="s">
        <v>154</v>
      </c>
      <c r="H47" s="42" t="s">
        <v>160</v>
      </c>
      <c r="I47" s="43">
        <v>6</v>
      </c>
      <c r="J47" s="43">
        <v>2</v>
      </c>
      <c r="K47" s="25" t="str">
        <f>VLOOKUP(J47,Key!$E$2:$F$9,2,FALSE)</f>
        <v>Work</v>
      </c>
      <c r="L47" s="42" t="s">
        <v>155</v>
      </c>
      <c r="M47" s="42" t="s">
        <v>155</v>
      </c>
      <c r="N47" s="42" t="s">
        <v>160</v>
      </c>
      <c r="O47" s="43">
        <v>6</v>
      </c>
      <c r="P47" s="43">
        <v>2</v>
      </c>
      <c r="Q47" s="25" t="str">
        <f>VLOOKUP(P47,Key!$E$2:$F$9,2,FALSE)</f>
        <v>Work</v>
      </c>
      <c r="R47" s="25" t="str">
        <f t="shared" si="0"/>
        <v>Work-Work</v>
      </c>
      <c r="S47" s="47">
        <v>15</v>
      </c>
      <c r="T47" s="47">
        <v>1</v>
      </c>
      <c r="U47" s="43">
        <v>2</v>
      </c>
      <c r="V47" s="43"/>
      <c r="W47" s="47"/>
      <c r="X47" s="47"/>
      <c r="Y47" s="48" t="s">
        <v>162</v>
      </c>
      <c r="Z47" s="49"/>
      <c r="AA47" s="25">
        <f>VLOOKUP(F47,Zones!$A$2:$F$151534,6,FALSE)</f>
        <v>365</v>
      </c>
      <c r="AB47" s="25">
        <f>VLOOKUP(L47,Zones!$A$2:$F$151477,6,FALSE)</f>
        <v>498</v>
      </c>
    </row>
    <row r="48" spans="2:28">
      <c r="B48" s="40">
        <v>0.66597222222222219</v>
      </c>
      <c r="C48" s="40" t="s">
        <v>225</v>
      </c>
      <c r="D48" s="41">
        <v>4</v>
      </c>
      <c r="E48" s="42">
        <v>14</v>
      </c>
      <c r="F48" s="42" t="s">
        <v>154</v>
      </c>
      <c r="G48" s="43" t="s">
        <v>154</v>
      </c>
      <c r="H48" s="42" t="s">
        <v>160</v>
      </c>
      <c r="I48" s="43">
        <v>6</v>
      </c>
      <c r="J48" s="43">
        <v>2</v>
      </c>
      <c r="K48" s="25" t="str">
        <f>VLOOKUP(J48,Key!$E$2:$F$9,2,FALSE)</f>
        <v>Work</v>
      </c>
      <c r="L48" s="59" t="s">
        <v>2527</v>
      </c>
      <c r="M48" s="43" t="s">
        <v>2088</v>
      </c>
      <c r="N48" s="42" t="s">
        <v>160</v>
      </c>
      <c r="O48" s="43">
        <v>6</v>
      </c>
      <c r="P48" s="43">
        <v>2</v>
      </c>
      <c r="Q48" s="25" t="str">
        <f>VLOOKUP(P48,Key!$E$2:$F$9,2,FALSE)</f>
        <v>Work</v>
      </c>
      <c r="R48" s="25" t="str">
        <f t="shared" si="0"/>
        <v>Work-Work</v>
      </c>
      <c r="S48" s="47"/>
      <c r="T48" s="47">
        <v>1</v>
      </c>
      <c r="U48" s="43">
        <v>2</v>
      </c>
      <c r="V48" s="43"/>
      <c r="W48" s="47"/>
      <c r="X48" s="47"/>
      <c r="Y48" s="48" t="s">
        <v>162</v>
      </c>
      <c r="Z48" s="49"/>
      <c r="AA48" s="25">
        <f>VLOOKUP(F48,Zones!$A$2:$F$151534,6,FALSE)</f>
        <v>365</v>
      </c>
      <c r="AB48" s="25">
        <f>VLOOKUP(L48,Zones!$A$2:$F$151477,6,FALSE)</f>
        <v>1135</v>
      </c>
    </row>
    <row r="49" spans="2:28">
      <c r="B49" s="40">
        <v>0.65833333333333333</v>
      </c>
      <c r="C49" s="40" t="s">
        <v>227</v>
      </c>
      <c r="D49" s="41">
        <v>3</v>
      </c>
      <c r="E49" s="42">
        <v>3</v>
      </c>
      <c r="F49" s="42" t="s">
        <v>154</v>
      </c>
      <c r="G49" s="43" t="s">
        <v>154</v>
      </c>
      <c r="H49" s="42" t="s">
        <v>160</v>
      </c>
      <c r="I49" s="43">
        <v>9</v>
      </c>
      <c r="J49" s="43">
        <v>2</v>
      </c>
      <c r="K49" s="25" t="str">
        <f>VLOOKUP(J49,Key!$E$2:$F$9,2,FALSE)</f>
        <v>Work</v>
      </c>
      <c r="L49" s="42" t="s">
        <v>192</v>
      </c>
      <c r="M49" s="43" t="s">
        <v>154</v>
      </c>
      <c r="N49" s="42" t="s">
        <v>160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0"/>
        <v>Work-Home</v>
      </c>
      <c r="S49" s="47">
        <v>2</v>
      </c>
      <c r="T49" s="47">
        <v>0.3</v>
      </c>
      <c r="U49" s="43">
        <v>2</v>
      </c>
      <c r="V49" s="43"/>
      <c r="W49" s="47"/>
      <c r="X49" s="47"/>
      <c r="Y49" s="48" t="s">
        <v>162</v>
      </c>
      <c r="Z49" s="49"/>
      <c r="AA49" s="25">
        <f>VLOOKUP(F49,Zones!$A$2:$F$151534,6,FALSE)</f>
        <v>365</v>
      </c>
      <c r="AB49" s="25">
        <f>VLOOKUP(L49,Zones!$A$2:$F$151477,6,FALSE)</f>
        <v>373</v>
      </c>
    </row>
    <row r="50" spans="2:28">
      <c r="B50" s="40">
        <v>0.65138888888888891</v>
      </c>
      <c r="C50" s="40" t="s">
        <v>228</v>
      </c>
      <c r="D50" s="41">
        <v>2</v>
      </c>
      <c r="E50" s="42">
        <v>5</v>
      </c>
      <c r="F50" s="42" t="s">
        <v>154</v>
      </c>
      <c r="G50" s="43" t="s">
        <v>154</v>
      </c>
      <c r="H50" s="42" t="s">
        <v>160</v>
      </c>
      <c r="I50" s="43">
        <v>7</v>
      </c>
      <c r="J50" s="43">
        <v>8</v>
      </c>
      <c r="K50" s="25" t="str">
        <f>VLOOKUP(J50,Key!$E$2:$F$9,2,FALSE)</f>
        <v>Others</v>
      </c>
      <c r="L50" s="59" t="s">
        <v>247</v>
      </c>
      <c r="M50" s="43" t="s">
        <v>154</v>
      </c>
      <c r="N50" s="42" t="s">
        <v>160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0"/>
        <v>Others-Home</v>
      </c>
      <c r="S50" s="47">
        <v>27</v>
      </c>
      <c r="T50" s="47">
        <v>2</v>
      </c>
      <c r="U50" s="43">
        <v>2</v>
      </c>
      <c r="V50" s="43"/>
      <c r="W50" s="47"/>
      <c r="X50" s="47"/>
      <c r="Y50" s="48" t="s">
        <v>162</v>
      </c>
      <c r="Z50" s="49"/>
      <c r="AA50" s="25">
        <f>VLOOKUP(F50,Zones!$A$2:$F$151534,6,FALSE)</f>
        <v>365</v>
      </c>
      <c r="AB50" s="25">
        <f>VLOOKUP(L50,Zones!$A$2:$F$151477,6,FALSE)</f>
        <v>369</v>
      </c>
    </row>
    <row r="51" spans="2:28">
      <c r="B51" s="40">
        <v>0.65416666666666667</v>
      </c>
      <c r="C51" s="40" t="s">
        <v>230</v>
      </c>
      <c r="D51" s="41">
        <v>1</v>
      </c>
      <c r="E51" s="42">
        <v>4</v>
      </c>
      <c r="F51" s="42" t="s">
        <v>154</v>
      </c>
      <c r="G51" s="43" t="s">
        <v>154</v>
      </c>
      <c r="H51" s="42" t="s">
        <v>160</v>
      </c>
      <c r="I51" s="43">
        <v>16</v>
      </c>
      <c r="J51" s="43">
        <v>8</v>
      </c>
      <c r="K51" s="25" t="str">
        <f>VLOOKUP(J51,Key!$E$2:$F$9,2,FALSE)</f>
        <v>Others</v>
      </c>
      <c r="L51" s="42" t="s">
        <v>155</v>
      </c>
      <c r="M51" s="42" t="s">
        <v>155</v>
      </c>
      <c r="N51" s="42" t="s">
        <v>160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0"/>
        <v>Others-Home</v>
      </c>
      <c r="S51" s="47">
        <v>15</v>
      </c>
      <c r="T51" s="47">
        <v>1</v>
      </c>
      <c r="U51" s="43">
        <v>4</v>
      </c>
      <c r="V51" s="43"/>
      <c r="W51" s="47"/>
      <c r="X51" s="47"/>
      <c r="Y51" s="48" t="s">
        <v>162</v>
      </c>
      <c r="Z51" s="49"/>
      <c r="AA51" s="25">
        <f>VLOOKUP(F51,Zones!$A$2:$F$151534,6,FALSE)</f>
        <v>365</v>
      </c>
      <c r="AB51" s="25">
        <f>VLOOKUP(L51,Zones!$A$2:$F$151477,6,FALSE)</f>
        <v>498</v>
      </c>
    </row>
    <row r="52" spans="2:28">
      <c r="B52" s="40">
        <v>0.64513888888888882</v>
      </c>
      <c r="C52" s="40" t="s">
        <v>231</v>
      </c>
      <c r="D52" s="41">
        <v>11</v>
      </c>
      <c r="E52" s="42">
        <v>3</v>
      </c>
      <c r="F52" s="42" t="s">
        <v>154</v>
      </c>
      <c r="G52" s="43" t="s">
        <v>154</v>
      </c>
      <c r="H52" s="42" t="s">
        <v>160</v>
      </c>
      <c r="I52" s="43">
        <v>8</v>
      </c>
      <c r="J52" s="43">
        <v>2</v>
      </c>
      <c r="K52" s="25" t="str">
        <f>VLOOKUP(J52,Key!$E$2:$F$9,2,FALSE)</f>
        <v>Work</v>
      </c>
      <c r="L52" s="59" t="s">
        <v>2527</v>
      </c>
      <c r="M52" s="43" t="s">
        <v>2088</v>
      </c>
      <c r="N52" s="42" t="s">
        <v>160</v>
      </c>
      <c r="O52" s="43">
        <v>8</v>
      </c>
      <c r="P52" s="43">
        <v>2</v>
      </c>
      <c r="Q52" s="25" t="str">
        <f>VLOOKUP(P52,Key!$E$2:$F$9,2,FALSE)</f>
        <v>Work</v>
      </c>
      <c r="R52" s="25" t="str">
        <f t="shared" si="0"/>
        <v>Work-Work</v>
      </c>
      <c r="S52" s="47">
        <v>15</v>
      </c>
      <c r="T52" s="47">
        <v>1</v>
      </c>
      <c r="U52" s="43">
        <v>2</v>
      </c>
      <c r="V52" s="43"/>
      <c r="W52" s="47"/>
      <c r="X52" s="47"/>
      <c r="Y52" s="48" t="s">
        <v>162</v>
      </c>
      <c r="Z52" s="49">
        <v>500</v>
      </c>
      <c r="AA52" s="25">
        <f>VLOOKUP(F52,Zones!$A$2:$F$151534,6,FALSE)</f>
        <v>365</v>
      </c>
      <c r="AB52" s="25">
        <f>VLOOKUP(L52,Zones!$A$2:$F$151477,6,FALSE)</f>
        <v>1135</v>
      </c>
    </row>
    <row r="53" spans="2:28">
      <c r="B53" s="40">
        <v>0.6166666666666667</v>
      </c>
      <c r="C53" s="40" t="s">
        <v>232</v>
      </c>
      <c r="D53" s="41">
        <v>2</v>
      </c>
      <c r="E53" s="42">
        <v>3</v>
      </c>
      <c r="F53" s="42" t="s">
        <v>164</v>
      </c>
      <c r="G53" s="43" t="s">
        <v>164</v>
      </c>
      <c r="H53" s="42" t="s">
        <v>160</v>
      </c>
      <c r="I53" s="43">
        <v>5</v>
      </c>
      <c r="J53" s="43">
        <v>7</v>
      </c>
      <c r="K53" s="25" t="str">
        <f>VLOOKUP(J53,Key!$E$2:$F$9,2,FALSE)</f>
        <v>Hospital</v>
      </c>
      <c r="L53" s="42" t="s">
        <v>155</v>
      </c>
      <c r="M53" s="42" t="s">
        <v>155</v>
      </c>
      <c r="N53" s="42" t="s">
        <v>160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0"/>
        <v>Hospital-Home</v>
      </c>
      <c r="S53" s="47">
        <v>30</v>
      </c>
      <c r="T53" s="47">
        <v>3</v>
      </c>
      <c r="U53" s="43">
        <v>2</v>
      </c>
      <c r="V53" s="43"/>
      <c r="W53" s="47"/>
      <c r="X53" s="47"/>
      <c r="Y53" s="48" t="s">
        <v>162</v>
      </c>
      <c r="Z53" s="49"/>
      <c r="AA53" s="25">
        <f>VLOOKUP(F53,Zones!$A$2:$F$151534,6,FALSE)</f>
        <v>403</v>
      </c>
      <c r="AB53" s="25">
        <f>VLOOKUP(L53,Zones!$A$2:$F$151477,6,FALSE)</f>
        <v>498</v>
      </c>
    </row>
    <row r="54" spans="2:28">
      <c r="B54" s="40">
        <v>0.60972222222222217</v>
      </c>
      <c r="C54" s="40" t="s">
        <v>233</v>
      </c>
      <c r="D54" s="41">
        <v>7</v>
      </c>
      <c r="E54" s="42">
        <v>1</v>
      </c>
      <c r="F54" s="42" t="s">
        <v>154</v>
      </c>
      <c r="G54" s="43" t="s">
        <v>154</v>
      </c>
      <c r="H54" s="42" t="s">
        <v>160</v>
      </c>
      <c r="I54" s="43">
        <v>9</v>
      </c>
      <c r="J54" s="43">
        <v>2</v>
      </c>
      <c r="K54" s="25" t="str">
        <f>VLOOKUP(J54,Key!$E$2:$F$9,2,FALSE)</f>
        <v>Work</v>
      </c>
      <c r="L54" s="42" t="s">
        <v>161</v>
      </c>
      <c r="M54" s="43" t="s">
        <v>154</v>
      </c>
      <c r="N54" s="42" t="s">
        <v>160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0"/>
        <v>Work-Home</v>
      </c>
      <c r="S54" s="47">
        <v>27</v>
      </c>
      <c r="T54" s="47">
        <v>1</v>
      </c>
      <c r="U54" s="43">
        <v>2</v>
      </c>
      <c r="V54" s="43"/>
      <c r="W54" s="47"/>
      <c r="X54" s="47"/>
      <c r="Y54" s="48" t="s">
        <v>162</v>
      </c>
      <c r="Z54" s="49"/>
      <c r="AA54" s="25">
        <f>VLOOKUP(F54,Zones!$A$2:$F$151534,6,FALSE)</f>
        <v>365</v>
      </c>
      <c r="AB54" s="25">
        <f>VLOOKUP(L54,Zones!$A$2:$F$151477,6,FALSE)</f>
        <v>845</v>
      </c>
    </row>
    <row r="55" spans="2:28">
      <c r="B55" s="40">
        <v>0.61458333333333337</v>
      </c>
      <c r="C55" s="40" t="s">
        <v>234</v>
      </c>
      <c r="D55" s="41">
        <v>1</v>
      </c>
      <c r="E55" s="42">
        <v>4</v>
      </c>
      <c r="F55" s="42" t="s">
        <v>154</v>
      </c>
      <c r="G55" s="43" t="s">
        <v>154</v>
      </c>
      <c r="H55" s="42" t="s">
        <v>160</v>
      </c>
      <c r="I55" s="43">
        <v>4</v>
      </c>
      <c r="J55" s="43">
        <v>3</v>
      </c>
      <c r="K55" s="25" t="str">
        <f>VLOOKUP(J55,Key!$E$2:$F$9,2,FALSE)</f>
        <v>Study</v>
      </c>
      <c r="L55" s="42" t="s">
        <v>155</v>
      </c>
      <c r="M55" s="42" t="s">
        <v>155</v>
      </c>
      <c r="N55" s="42" t="s">
        <v>160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0"/>
        <v>Study-Home</v>
      </c>
      <c r="S55" s="47">
        <v>2</v>
      </c>
      <c r="T55" s="47">
        <v>1</v>
      </c>
      <c r="U55" s="43">
        <v>2</v>
      </c>
      <c r="V55" s="43"/>
      <c r="W55" s="47"/>
      <c r="X55" s="47"/>
      <c r="Y55" s="48" t="s">
        <v>162</v>
      </c>
      <c r="Z55" s="49"/>
      <c r="AA55" s="25">
        <f>VLOOKUP(F55,Zones!$A$2:$F$151534,6,FALSE)</f>
        <v>365</v>
      </c>
      <c r="AB55" s="25">
        <f>VLOOKUP(L55,Zones!$A$2:$F$151477,6,FALSE)</f>
        <v>498</v>
      </c>
    </row>
    <row r="56" spans="2:28">
      <c r="B56" s="40">
        <v>0.59930555555555554</v>
      </c>
      <c r="C56" s="40" t="s">
        <v>235</v>
      </c>
      <c r="D56" s="41">
        <v>1</v>
      </c>
      <c r="E56" s="42">
        <v>2</v>
      </c>
      <c r="F56" s="42" t="s">
        <v>154</v>
      </c>
      <c r="G56" s="43" t="s">
        <v>154</v>
      </c>
      <c r="H56" s="42" t="s">
        <v>160</v>
      </c>
      <c r="I56" s="43">
        <v>2</v>
      </c>
      <c r="J56" s="43">
        <v>2</v>
      </c>
      <c r="K56" s="25" t="str">
        <f>VLOOKUP(J56,Key!$E$2:$F$9,2,FALSE)</f>
        <v>Work</v>
      </c>
      <c r="L56" s="42" t="s">
        <v>220</v>
      </c>
      <c r="M56" s="43" t="s">
        <v>154</v>
      </c>
      <c r="N56" s="42" t="s">
        <v>160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0"/>
        <v>Work-Home</v>
      </c>
      <c r="S56" s="47"/>
      <c r="T56" s="47">
        <v>0.1</v>
      </c>
      <c r="U56" s="43">
        <v>2</v>
      </c>
      <c r="V56" s="43"/>
      <c r="W56" s="47"/>
      <c r="X56" s="47"/>
      <c r="Y56" s="48" t="s">
        <v>162</v>
      </c>
      <c r="Z56" s="49">
        <v>2000</v>
      </c>
      <c r="AA56" s="25">
        <f>VLOOKUP(F56,Zones!$A$2:$F$151534,6,FALSE)</f>
        <v>365</v>
      </c>
      <c r="AB56" s="25">
        <f>VLOOKUP(L56,Zones!$A$2:$F$151477,6,FALSE)</f>
        <v>369</v>
      </c>
    </row>
    <row r="57" spans="2:28">
      <c r="B57" s="40">
        <v>0.60347222222222219</v>
      </c>
      <c r="C57" s="40" t="s">
        <v>236</v>
      </c>
      <c r="D57" s="41">
        <v>8</v>
      </c>
      <c r="E57" s="42">
        <v>4</v>
      </c>
      <c r="F57" s="42" t="s">
        <v>154</v>
      </c>
      <c r="G57" s="43" t="s">
        <v>154</v>
      </c>
      <c r="H57" s="42" t="s">
        <v>160</v>
      </c>
      <c r="I57" s="43">
        <v>1</v>
      </c>
      <c r="J57" s="43">
        <v>1</v>
      </c>
      <c r="K57" s="25" t="str">
        <f>VLOOKUP(J57,Key!$E$2:$F$9,2,FALSE)</f>
        <v>Home</v>
      </c>
      <c r="L57" s="42" t="s">
        <v>155</v>
      </c>
      <c r="M57" s="42" t="s">
        <v>155</v>
      </c>
      <c r="N57" s="42" t="s">
        <v>160</v>
      </c>
      <c r="O57" s="43">
        <v>10</v>
      </c>
      <c r="P57" s="43">
        <v>2</v>
      </c>
      <c r="Q57" s="25" t="str">
        <f>VLOOKUP(P57,Key!$E$2:$F$9,2,FALSE)</f>
        <v>Work</v>
      </c>
      <c r="R57" s="25" t="str">
        <f t="shared" si="0"/>
        <v>Home-Work</v>
      </c>
      <c r="S57" s="47">
        <v>2</v>
      </c>
      <c r="T57" s="47">
        <v>1</v>
      </c>
      <c r="U57" s="43">
        <v>2</v>
      </c>
      <c r="V57" s="43"/>
      <c r="W57" s="47"/>
      <c r="X57" s="47"/>
      <c r="Y57" s="48" t="s">
        <v>162</v>
      </c>
      <c r="Z57" s="49"/>
      <c r="AA57" s="25">
        <f>VLOOKUP(F57,Zones!$A$2:$F$151534,6,FALSE)</f>
        <v>365</v>
      </c>
      <c r="AB57" s="25">
        <f>VLOOKUP(L57,Zones!$A$2:$F$151477,6,FALSE)</f>
        <v>498</v>
      </c>
    </row>
    <row r="58" spans="2:28">
      <c r="B58" s="40">
        <v>0.59375</v>
      </c>
      <c r="C58" s="40" t="s">
        <v>237</v>
      </c>
      <c r="D58" s="41">
        <v>9</v>
      </c>
      <c r="E58" s="42">
        <v>3</v>
      </c>
      <c r="F58" s="42" t="s">
        <v>168</v>
      </c>
      <c r="G58" s="43" t="s">
        <v>168</v>
      </c>
      <c r="H58" s="42" t="s">
        <v>160</v>
      </c>
      <c r="I58" s="43">
        <v>1</v>
      </c>
      <c r="J58" s="43">
        <v>1</v>
      </c>
      <c r="K58" s="25" t="str">
        <f>VLOOKUP(J58,Key!$E$2:$F$9,2,FALSE)</f>
        <v>Home</v>
      </c>
      <c r="L58" s="59" t="s">
        <v>2527</v>
      </c>
      <c r="M58" s="43" t="s">
        <v>2088</v>
      </c>
      <c r="N58" s="42" t="s">
        <v>160</v>
      </c>
      <c r="O58" s="43">
        <v>16</v>
      </c>
      <c r="P58" s="43">
        <v>8</v>
      </c>
      <c r="Q58" s="25" t="str">
        <f>VLOOKUP(P58,Key!$E$2:$F$9,2,FALSE)</f>
        <v>Others</v>
      </c>
      <c r="R58" s="25" t="str">
        <f t="shared" si="0"/>
        <v>Home-Others</v>
      </c>
      <c r="S58" s="47">
        <v>165</v>
      </c>
      <c r="T58" s="47">
        <v>3</v>
      </c>
      <c r="U58" s="43">
        <v>4</v>
      </c>
      <c r="V58" s="43">
        <v>1</v>
      </c>
      <c r="W58" s="47">
        <v>28</v>
      </c>
      <c r="X58" s="47"/>
      <c r="Y58" s="48" t="s">
        <v>218</v>
      </c>
      <c r="Z58" s="49"/>
      <c r="AA58" s="25">
        <f>VLOOKUP(F58,Zones!$A$2:$F$151534,6,FALSE)</f>
        <v>521</v>
      </c>
      <c r="AB58" s="25">
        <f>VLOOKUP(L58,Zones!$A$2:$F$151477,6,FALSE)</f>
        <v>1135</v>
      </c>
    </row>
    <row r="59" spans="2:28">
      <c r="B59" s="40">
        <v>2.1527777777777781E-2</v>
      </c>
      <c r="C59" s="40" t="s">
        <v>238</v>
      </c>
      <c r="D59" s="41">
        <v>3</v>
      </c>
      <c r="E59" s="42">
        <v>2</v>
      </c>
      <c r="F59" s="42" t="s">
        <v>154</v>
      </c>
      <c r="G59" s="43" t="s">
        <v>154</v>
      </c>
      <c r="H59" s="42" t="s">
        <v>160</v>
      </c>
      <c r="I59" s="43">
        <v>10</v>
      </c>
      <c r="J59" s="43">
        <v>2</v>
      </c>
      <c r="K59" s="25" t="str">
        <f>VLOOKUP(J59,Key!$E$2:$F$9,2,FALSE)</f>
        <v>Work</v>
      </c>
      <c r="L59" s="42" t="s">
        <v>239</v>
      </c>
      <c r="M59" s="43" t="s">
        <v>2058</v>
      </c>
      <c r="N59" s="42" t="s">
        <v>160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0"/>
        <v>Work-Home</v>
      </c>
      <c r="S59" s="47"/>
      <c r="T59" s="47">
        <v>0.2</v>
      </c>
      <c r="U59" s="43">
        <v>2</v>
      </c>
      <c r="V59" s="43"/>
      <c r="W59" s="47"/>
      <c r="X59" s="47"/>
      <c r="Y59" s="48" t="s">
        <v>162</v>
      </c>
      <c r="Z59" s="49"/>
      <c r="AA59" s="25">
        <f>VLOOKUP(F59,Zones!$A$2:$F$151534,6,FALSE)</f>
        <v>365</v>
      </c>
      <c r="AB59" s="25">
        <f>VLOOKUP(L59,Zones!$A$2:$F$151477,6,FALSE)</f>
        <v>1110</v>
      </c>
    </row>
    <row r="60" spans="2:28">
      <c r="B60" s="40">
        <v>0.46249999999999997</v>
      </c>
      <c r="C60" s="40" t="s">
        <v>240</v>
      </c>
      <c r="D60" s="41">
        <v>4</v>
      </c>
      <c r="E60" s="42">
        <v>14</v>
      </c>
      <c r="F60" s="42" t="s">
        <v>154</v>
      </c>
      <c r="G60" s="43" t="s">
        <v>154</v>
      </c>
      <c r="H60" s="42" t="s">
        <v>160</v>
      </c>
      <c r="I60" s="43">
        <v>6</v>
      </c>
      <c r="J60" s="43">
        <v>2</v>
      </c>
      <c r="K60" s="25" t="str">
        <f>VLOOKUP(J60,Key!$E$2:$F$9,2,FALSE)</f>
        <v>Work</v>
      </c>
      <c r="L60" s="42" t="s">
        <v>155</v>
      </c>
      <c r="M60" s="42" t="s">
        <v>155</v>
      </c>
      <c r="N60" s="42" t="s">
        <v>160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0"/>
        <v>Work-Work</v>
      </c>
      <c r="S60" s="47">
        <v>15</v>
      </c>
      <c r="T60" s="47">
        <v>2</v>
      </c>
      <c r="U60" s="43">
        <v>2</v>
      </c>
      <c r="V60" s="43"/>
      <c r="W60" s="47"/>
      <c r="X60" s="47"/>
      <c r="Y60" s="48" t="s">
        <v>162</v>
      </c>
      <c r="Z60" s="49"/>
      <c r="AA60" s="25">
        <f>VLOOKUP(F60,Zones!$A$2:$F$151534,6,FALSE)</f>
        <v>365</v>
      </c>
      <c r="AB60" s="25">
        <f>VLOOKUP(L60,Zones!$A$2:$F$151477,6,FALSE)</f>
        <v>498</v>
      </c>
    </row>
    <row r="61" spans="2:28">
      <c r="B61" s="40">
        <v>0.45833333333333331</v>
      </c>
      <c r="C61" s="40" t="s">
        <v>241</v>
      </c>
      <c r="D61" s="41">
        <v>1</v>
      </c>
      <c r="E61" s="42">
        <v>2</v>
      </c>
      <c r="F61" s="42" t="s">
        <v>168</v>
      </c>
      <c r="G61" s="43" t="s">
        <v>168</v>
      </c>
      <c r="H61" s="42" t="s">
        <v>160</v>
      </c>
      <c r="I61" s="43">
        <v>10</v>
      </c>
      <c r="J61" s="43">
        <v>2</v>
      </c>
      <c r="K61" s="25" t="str">
        <f>VLOOKUP(J61,Key!$E$2:$F$9,2,FALSE)</f>
        <v>Work</v>
      </c>
      <c r="L61" s="42" t="s">
        <v>155</v>
      </c>
      <c r="M61" s="42" t="s">
        <v>155</v>
      </c>
      <c r="N61" s="42" t="s">
        <v>160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0"/>
        <v>Work-Home</v>
      </c>
      <c r="S61" s="47">
        <v>160</v>
      </c>
      <c r="T61" s="47">
        <v>2</v>
      </c>
      <c r="U61" s="43">
        <v>2</v>
      </c>
      <c r="V61" s="43"/>
      <c r="W61" s="47"/>
      <c r="X61" s="47"/>
      <c r="Y61" s="48" t="s">
        <v>162</v>
      </c>
      <c r="Z61" s="49"/>
      <c r="AA61" s="25">
        <f>VLOOKUP(F61,Zones!$A$2:$F$151534,6,FALSE)</f>
        <v>521</v>
      </c>
      <c r="AB61" s="25">
        <f>VLOOKUP(L61,Zones!$A$2:$F$151477,6,FALSE)</f>
        <v>498</v>
      </c>
    </row>
    <row r="62" spans="2:28">
      <c r="B62" s="40">
        <v>0.45624999999999999</v>
      </c>
      <c r="C62" s="40" t="s">
        <v>242</v>
      </c>
      <c r="D62" s="41">
        <v>1</v>
      </c>
      <c r="E62" s="42">
        <v>6</v>
      </c>
      <c r="F62" s="42" t="s">
        <v>243</v>
      </c>
      <c r="G62" s="43" t="s">
        <v>243</v>
      </c>
      <c r="H62" s="42" t="s">
        <v>160</v>
      </c>
      <c r="I62" s="43">
        <v>1</v>
      </c>
      <c r="J62" s="43">
        <v>1</v>
      </c>
      <c r="K62" s="25" t="str">
        <f>VLOOKUP(J62,Key!$E$2:$F$9,2,FALSE)</f>
        <v>Home</v>
      </c>
      <c r="L62" s="42" t="s">
        <v>155</v>
      </c>
      <c r="M62" s="42" t="s">
        <v>155</v>
      </c>
      <c r="N62" s="42" t="s">
        <v>160</v>
      </c>
      <c r="O62" s="43">
        <v>5</v>
      </c>
      <c r="P62" s="43">
        <v>7</v>
      </c>
      <c r="Q62" s="25" t="str">
        <f>VLOOKUP(P62,Key!$E$2:$F$9,2,FALSE)</f>
        <v>Hospital</v>
      </c>
      <c r="R62" s="25" t="str">
        <f t="shared" si="0"/>
        <v>Home-Hospital</v>
      </c>
      <c r="S62" s="47">
        <v>30</v>
      </c>
      <c r="T62" s="47">
        <v>1</v>
      </c>
      <c r="U62" s="43">
        <v>6</v>
      </c>
      <c r="V62" s="43"/>
      <c r="W62" s="47"/>
      <c r="X62" s="47"/>
      <c r="Y62" s="48" t="s">
        <v>162</v>
      </c>
      <c r="Z62" s="49"/>
      <c r="AA62" s="25">
        <f>VLOOKUP(F62,Zones!$A$2:$F$151534,6,FALSE)</f>
        <v>956</v>
      </c>
      <c r="AB62" s="25">
        <f>VLOOKUP(L62,Zones!$A$2:$F$151477,6,FALSE)</f>
        <v>498</v>
      </c>
    </row>
    <row r="63" spans="2:28">
      <c r="B63" s="40">
        <v>0.45833333333333331</v>
      </c>
      <c r="C63" s="40" t="s">
        <v>244</v>
      </c>
      <c r="D63" s="41">
        <v>6</v>
      </c>
      <c r="E63" s="42">
        <v>30</v>
      </c>
      <c r="F63" s="42" t="s">
        <v>164</v>
      </c>
      <c r="G63" s="43" t="s">
        <v>164</v>
      </c>
      <c r="H63" s="42" t="s">
        <v>160</v>
      </c>
      <c r="I63" s="43">
        <v>4</v>
      </c>
      <c r="J63" s="43">
        <v>3</v>
      </c>
      <c r="K63" s="25" t="str">
        <f>VLOOKUP(J63,Key!$E$2:$F$9,2,FALSE)</f>
        <v>Study</v>
      </c>
      <c r="L63" s="42" t="s">
        <v>155</v>
      </c>
      <c r="M63" s="42" t="s">
        <v>155</v>
      </c>
      <c r="N63" s="42" t="s">
        <v>160</v>
      </c>
      <c r="O63" s="43">
        <v>16</v>
      </c>
      <c r="P63" s="43">
        <v>8</v>
      </c>
      <c r="Q63" s="25" t="str">
        <f>VLOOKUP(P63,Key!$E$2:$F$9,2,FALSE)</f>
        <v>Others</v>
      </c>
      <c r="R63" s="25" t="str">
        <f t="shared" si="0"/>
        <v>Study-Others</v>
      </c>
      <c r="S63" s="47"/>
      <c r="T63" s="47"/>
      <c r="U63" s="43"/>
      <c r="V63" s="43"/>
      <c r="W63" s="47"/>
      <c r="X63" s="47"/>
      <c r="Y63" s="48" t="s">
        <v>162</v>
      </c>
      <c r="Z63" s="49"/>
      <c r="AA63" s="25">
        <f>VLOOKUP(F63,Zones!$A$2:$F$151534,6,FALSE)</f>
        <v>403</v>
      </c>
      <c r="AB63" s="25">
        <f>VLOOKUP(L63,Zones!$A$2:$F$151477,6,FALSE)</f>
        <v>498</v>
      </c>
    </row>
    <row r="64" spans="2:28">
      <c r="B64" s="40">
        <v>0.38541666666666669</v>
      </c>
      <c r="C64" s="40" t="s">
        <v>246</v>
      </c>
      <c r="D64" s="41">
        <v>8</v>
      </c>
      <c r="E64" s="42">
        <v>2</v>
      </c>
      <c r="F64" s="42" t="s">
        <v>220</v>
      </c>
      <c r="G64" s="43" t="s">
        <v>154</v>
      </c>
      <c r="H64" s="42" t="s">
        <v>160</v>
      </c>
      <c r="I64" s="43">
        <v>2</v>
      </c>
      <c r="J64" s="43">
        <v>2</v>
      </c>
      <c r="K64" s="25" t="str">
        <f>VLOOKUP(J64,Key!$E$2:$F$9,2,FALSE)</f>
        <v>Work</v>
      </c>
      <c r="L64" s="42" t="s">
        <v>247</v>
      </c>
      <c r="M64" s="43" t="s">
        <v>154</v>
      </c>
      <c r="N64" s="42" t="s">
        <v>160</v>
      </c>
      <c r="O64" s="43">
        <v>2</v>
      </c>
      <c r="P64" s="43">
        <v>2</v>
      </c>
      <c r="Q64" s="25" t="str">
        <f>VLOOKUP(P64,Key!$E$2:$F$9,2,FALSE)</f>
        <v>Work</v>
      </c>
      <c r="R64" s="25" t="str">
        <f>K64&amp;"-"&amp;Q64</f>
        <v>Work-Work</v>
      </c>
      <c r="S64" s="47"/>
      <c r="T64" s="47">
        <v>1</v>
      </c>
      <c r="U64" s="43">
        <v>2</v>
      </c>
      <c r="V64" s="43">
        <v>11</v>
      </c>
      <c r="W64" s="47"/>
      <c r="X64" s="47"/>
      <c r="Y64" s="48" t="s">
        <v>162</v>
      </c>
      <c r="Z64" s="49"/>
      <c r="AA64" s="25">
        <f>VLOOKUP(F64,Zones!$A$2:$F$151534,6,FALSE)</f>
        <v>369</v>
      </c>
      <c r="AB64" s="25">
        <f>VLOOKUP(L64,Zones!$A$2:$F$151477,6,FALSE)</f>
        <v>369</v>
      </c>
    </row>
    <row r="65" spans="2:28">
      <c r="B65" s="40">
        <v>1.7361111111111112E-2</v>
      </c>
      <c r="C65" s="40" t="s">
        <v>248</v>
      </c>
      <c r="D65" s="41">
        <v>7</v>
      </c>
      <c r="E65" s="42">
        <v>3</v>
      </c>
      <c r="F65" s="59" t="s">
        <v>2524</v>
      </c>
      <c r="G65" s="43" t="s">
        <v>154</v>
      </c>
      <c r="H65" s="42" t="s">
        <v>160</v>
      </c>
      <c r="I65" s="43">
        <v>9</v>
      </c>
      <c r="J65" s="43">
        <v>4</v>
      </c>
      <c r="K65" s="25" t="str">
        <f>VLOOKUP(J65,Key!$E$2:$F$9,2,FALSE)</f>
        <v>Commercial</v>
      </c>
      <c r="L65" s="42" t="s">
        <v>183</v>
      </c>
      <c r="M65" s="43" t="s">
        <v>164</v>
      </c>
      <c r="N65" s="42" t="s">
        <v>160</v>
      </c>
      <c r="O65" s="43">
        <v>3</v>
      </c>
      <c r="P65" s="43">
        <v>4</v>
      </c>
      <c r="Q65" s="25" t="str">
        <f>VLOOKUP(P65,Key!$E$2:$F$9,2,FALSE)</f>
        <v>Commercial</v>
      </c>
      <c r="R65" s="25" t="str">
        <f t="shared" ref="R65:R110" si="1">K65&amp;"-"&amp;Q65</f>
        <v>Commercial-Commercial</v>
      </c>
      <c r="S65" s="47">
        <v>34</v>
      </c>
      <c r="T65" s="47">
        <v>2</v>
      </c>
      <c r="U65" s="43"/>
      <c r="V65" s="43">
        <v>1</v>
      </c>
      <c r="W65" s="47">
        <v>10</v>
      </c>
      <c r="X65" s="47"/>
      <c r="Y65" s="48" t="s">
        <v>162</v>
      </c>
      <c r="Z65" s="49"/>
      <c r="AA65" s="25">
        <f>VLOOKUP(F65,Zones!$A$2:$F$151534,6,FALSE)</f>
        <v>594</v>
      </c>
      <c r="AB65" s="25">
        <f>VLOOKUP(L65,Zones!$A$2:$F$151477,6,FALSE)</f>
        <v>404</v>
      </c>
    </row>
    <row r="66" spans="2:28">
      <c r="B66" s="40">
        <v>2.7777777777777776E-2</v>
      </c>
      <c r="C66" s="40" t="s">
        <v>250</v>
      </c>
      <c r="D66" s="41">
        <v>4</v>
      </c>
      <c r="E66" s="42">
        <v>14</v>
      </c>
      <c r="F66" s="42" t="s">
        <v>155</v>
      </c>
      <c r="G66" s="43" t="s">
        <v>155</v>
      </c>
      <c r="H66" s="42" t="s">
        <v>160</v>
      </c>
      <c r="I66" s="43">
        <v>16</v>
      </c>
      <c r="J66" s="43">
        <v>2</v>
      </c>
      <c r="K66" s="25" t="str">
        <f>VLOOKUP(J66,Key!$E$2:$F$9,2,FALSE)</f>
        <v>Work</v>
      </c>
      <c r="L66" s="42" t="s">
        <v>164</v>
      </c>
      <c r="M66" s="43" t="s">
        <v>164</v>
      </c>
      <c r="N66" s="42" t="s">
        <v>160</v>
      </c>
      <c r="O66" s="43">
        <v>2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47">
        <v>20</v>
      </c>
      <c r="T66" s="47">
        <v>1</v>
      </c>
      <c r="U66" s="43">
        <v>6</v>
      </c>
      <c r="V66" s="43"/>
      <c r="W66" s="47"/>
      <c r="X66" s="47"/>
      <c r="Y66" s="48" t="s">
        <v>162</v>
      </c>
      <c r="Z66" s="49"/>
      <c r="AA66" s="25">
        <f>VLOOKUP(F66,Zones!$A$2:$F$151534,6,FALSE)</f>
        <v>498</v>
      </c>
      <c r="AB66" s="25">
        <f>VLOOKUP(L66,Zones!$A$2:$F$151477,6,FALSE)</f>
        <v>403</v>
      </c>
    </row>
    <row r="67" spans="2:28">
      <c r="B67" s="40">
        <v>0.59652777777777777</v>
      </c>
      <c r="C67" s="40" t="s">
        <v>251</v>
      </c>
      <c r="D67" s="41">
        <v>1</v>
      </c>
      <c r="E67" s="42">
        <v>3</v>
      </c>
      <c r="F67" s="42" t="s">
        <v>252</v>
      </c>
      <c r="G67" s="43" t="s">
        <v>155</v>
      </c>
      <c r="H67" s="42" t="s">
        <v>160</v>
      </c>
      <c r="I67" s="43">
        <v>1</v>
      </c>
      <c r="J67" s="43">
        <v>1</v>
      </c>
      <c r="K67" s="25" t="str">
        <f>VLOOKUP(J67,Key!$E$2:$F$9,2,FALSE)</f>
        <v>Home</v>
      </c>
      <c r="L67" s="42" t="s">
        <v>164</v>
      </c>
      <c r="M67" s="43" t="s">
        <v>164</v>
      </c>
      <c r="N67" s="42" t="s">
        <v>160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1"/>
        <v>Home-Work</v>
      </c>
      <c r="S67" s="47">
        <v>20</v>
      </c>
      <c r="T67" s="47">
        <v>1.5</v>
      </c>
      <c r="U67" s="43">
        <v>2</v>
      </c>
      <c r="V67" s="43"/>
      <c r="W67" s="47"/>
      <c r="X67" s="47"/>
      <c r="Y67" s="48" t="s">
        <v>218</v>
      </c>
      <c r="Z67" s="49"/>
      <c r="AA67" s="25">
        <f>VLOOKUP(F67,Zones!$A$2:$F$151534,6,FALSE)</f>
        <v>373</v>
      </c>
      <c r="AB67" s="25">
        <f>VLOOKUP(L67,Zones!$A$2:$F$151477,6,FALSE)</f>
        <v>403</v>
      </c>
    </row>
    <row r="68" spans="2:28">
      <c r="B68" s="40">
        <v>0.59375</v>
      </c>
      <c r="C68" s="40" t="s">
        <v>253</v>
      </c>
      <c r="D68" s="41">
        <v>4</v>
      </c>
      <c r="E68" s="42">
        <v>14</v>
      </c>
      <c r="F68" s="42" t="s">
        <v>155</v>
      </c>
      <c r="G68" s="43" t="s">
        <v>155</v>
      </c>
      <c r="H68" s="42" t="s">
        <v>160</v>
      </c>
      <c r="I68" s="43">
        <v>6</v>
      </c>
      <c r="J68" s="43">
        <v>2</v>
      </c>
      <c r="K68" s="25" t="str">
        <f>VLOOKUP(J68,Key!$E$2:$F$9,2,FALSE)</f>
        <v>Work</v>
      </c>
      <c r="L68" s="42" t="s">
        <v>154</v>
      </c>
      <c r="M68" s="43" t="s">
        <v>154</v>
      </c>
      <c r="N68" s="42" t="s">
        <v>160</v>
      </c>
      <c r="O68" s="43">
        <v>6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47">
        <v>32</v>
      </c>
      <c r="T68" s="47">
        <v>1</v>
      </c>
      <c r="U68" s="43">
        <v>1</v>
      </c>
      <c r="V68" s="43"/>
      <c r="W68" s="47"/>
      <c r="X68" s="47"/>
      <c r="Y68" s="48" t="s">
        <v>162</v>
      </c>
      <c r="Z68" s="49"/>
      <c r="AA68" s="25">
        <f>VLOOKUP(F68,Zones!$A$2:$F$151534,6,FALSE)</f>
        <v>498</v>
      </c>
      <c r="AB68" s="25">
        <f>VLOOKUP(L68,Zones!$A$2:$F$151477,6,FALSE)</f>
        <v>365</v>
      </c>
    </row>
    <row r="69" spans="2:28">
      <c r="B69" s="40">
        <v>0.45763888888888887</v>
      </c>
      <c r="C69" s="40" t="s">
        <v>254</v>
      </c>
      <c r="D69" s="41">
        <v>2</v>
      </c>
      <c r="E69" s="42">
        <v>4</v>
      </c>
      <c r="F69" s="42" t="s">
        <v>155</v>
      </c>
      <c r="G69" s="43" t="s">
        <v>155</v>
      </c>
      <c r="H69" s="42" t="s">
        <v>160</v>
      </c>
      <c r="I69" s="43">
        <v>1</v>
      </c>
      <c r="J69" s="43">
        <v>1</v>
      </c>
      <c r="K69" s="25" t="str">
        <f>VLOOKUP(J69,Key!$E$2:$F$9,2,FALSE)</f>
        <v>Home</v>
      </c>
      <c r="L69" s="42" t="s">
        <v>154</v>
      </c>
      <c r="M69" s="43" t="s">
        <v>154</v>
      </c>
      <c r="N69" s="42" t="s">
        <v>160</v>
      </c>
      <c r="O69" s="43">
        <v>5</v>
      </c>
      <c r="P69" s="43">
        <v>7</v>
      </c>
      <c r="Q69" s="25" t="str">
        <f>VLOOKUP(P69,Key!$E$2:$F$9,2,FALSE)</f>
        <v>Hospital</v>
      </c>
      <c r="R69" s="25" t="str">
        <f t="shared" si="1"/>
        <v>Home-Hospital</v>
      </c>
      <c r="S69" s="47">
        <v>32</v>
      </c>
      <c r="T69" s="47">
        <v>1</v>
      </c>
      <c r="U69" s="43">
        <v>6</v>
      </c>
      <c r="V69" s="43"/>
      <c r="W69" s="47"/>
      <c r="X69" s="47"/>
      <c r="Y69" s="48" t="s">
        <v>162</v>
      </c>
      <c r="Z69" s="49"/>
      <c r="AA69" s="25">
        <f>VLOOKUP(F69,Zones!$A$2:$F$151534,6,FALSE)</f>
        <v>498</v>
      </c>
      <c r="AB69" s="25">
        <f>VLOOKUP(L69,Zones!$A$2:$F$151477,6,FALSE)</f>
        <v>365</v>
      </c>
    </row>
    <row r="70" spans="2:28">
      <c r="B70" s="40">
        <v>0.4548611111111111</v>
      </c>
      <c r="C70" s="40" t="s">
        <v>255</v>
      </c>
      <c r="D70" s="41">
        <v>1</v>
      </c>
      <c r="E70" s="42">
        <v>1</v>
      </c>
      <c r="F70" s="42" t="s">
        <v>155</v>
      </c>
      <c r="G70" s="43" t="s">
        <v>155</v>
      </c>
      <c r="H70" s="42" t="s">
        <v>160</v>
      </c>
      <c r="I70" s="43">
        <v>1</v>
      </c>
      <c r="J70" s="43">
        <v>1</v>
      </c>
      <c r="K70" s="25" t="str">
        <f>VLOOKUP(J70,Key!$E$2:$F$9,2,FALSE)</f>
        <v>Home</v>
      </c>
      <c r="L70" s="42" t="s">
        <v>154</v>
      </c>
      <c r="M70" s="43" t="s">
        <v>154</v>
      </c>
      <c r="N70" s="42" t="s">
        <v>160</v>
      </c>
      <c r="O70" s="43">
        <v>16</v>
      </c>
      <c r="P70" s="43">
        <v>8</v>
      </c>
      <c r="Q70" s="25" t="str">
        <f>VLOOKUP(P70,Key!$E$2:$F$9,2,FALSE)</f>
        <v>Others</v>
      </c>
      <c r="R70" s="25" t="str">
        <f t="shared" si="1"/>
        <v>Home-Others</v>
      </c>
      <c r="S70" s="47">
        <v>32</v>
      </c>
      <c r="T70" s="47">
        <v>1</v>
      </c>
      <c r="U70" s="43">
        <v>4</v>
      </c>
      <c r="V70" s="43"/>
      <c r="W70" s="47"/>
      <c r="X70" s="47"/>
      <c r="Y70" s="48" t="s">
        <v>162</v>
      </c>
      <c r="Z70" s="49"/>
      <c r="AA70" s="25">
        <f>VLOOKUP(F70,Zones!$A$2:$F$151534,6,FALSE)</f>
        <v>498</v>
      </c>
      <c r="AB70" s="25">
        <f>VLOOKUP(L70,Zones!$A$2:$F$151477,6,FALSE)</f>
        <v>365</v>
      </c>
    </row>
    <row r="71" spans="2:28">
      <c r="B71" s="40">
        <v>0.3743055555555555</v>
      </c>
      <c r="C71" s="40" t="s">
        <v>256</v>
      </c>
      <c r="D71" s="41">
        <v>1</v>
      </c>
      <c r="E71" s="42">
        <v>4</v>
      </c>
      <c r="F71" s="42" t="s">
        <v>257</v>
      </c>
      <c r="G71" s="43" t="s">
        <v>155</v>
      </c>
      <c r="H71" s="42" t="s">
        <v>160</v>
      </c>
      <c r="I71" s="43">
        <v>1</v>
      </c>
      <c r="J71" s="43">
        <v>1</v>
      </c>
      <c r="K71" s="25" t="str">
        <f>VLOOKUP(J71,Key!$E$2:$F$9,2,FALSE)</f>
        <v>Home</v>
      </c>
      <c r="L71" s="42" t="s">
        <v>243</v>
      </c>
      <c r="M71" s="43" t="s">
        <v>243</v>
      </c>
      <c r="N71" s="42" t="s">
        <v>160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1"/>
        <v>Home-Home</v>
      </c>
      <c r="S71" s="47"/>
      <c r="T71" s="47">
        <v>1</v>
      </c>
      <c r="U71" s="43">
        <v>5</v>
      </c>
      <c r="V71" s="43"/>
      <c r="W71" s="47"/>
      <c r="X71" s="47"/>
      <c r="Y71" s="48" t="s">
        <v>162</v>
      </c>
      <c r="Z71" s="49"/>
      <c r="AA71" s="25">
        <f>VLOOKUP(F71,Zones!$A$2:$F$151534,6,FALSE)</f>
        <v>496</v>
      </c>
      <c r="AB71" s="25">
        <f>VLOOKUP(L71,Zones!$A$2:$F$151477,6,FALSE)</f>
        <v>956</v>
      </c>
    </row>
    <row r="72" spans="2:28">
      <c r="B72" s="40">
        <v>0.37152777777777773</v>
      </c>
      <c r="C72" s="40" t="s">
        <v>258</v>
      </c>
      <c r="D72" s="41">
        <v>11</v>
      </c>
      <c r="E72" s="42">
        <v>2</v>
      </c>
      <c r="F72" s="42" t="s">
        <v>259</v>
      </c>
      <c r="G72" s="43" t="s">
        <v>155</v>
      </c>
      <c r="H72" s="42" t="s">
        <v>160</v>
      </c>
      <c r="I72" s="43">
        <v>1</v>
      </c>
      <c r="J72" s="43">
        <v>1</v>
      </c>
      <c r="K72" s="25" t="str">
        <f>VLOOKUP(J72,Key!$E$2:$F$9,2,FALSE)</f>
        <v>Home</v>
      </c>
      <c r="L72" s="42" t="s">
        <v>154</v>
      </c>
      <c r="M72" s="43" t="s">
        <v>154</v>
      </c>
      <c r="N72" s="42" t="s">
        <v>160</v>
      </c>
      <c r="O72" s="43">
        <v>2</v>
      </c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47">
        <v>16</v>
      </c>
      <c r="T72" s="47">
        <v>0.5</v>
      </c>
      <c r="U72" s="43">
        <v>2</v>
      </c>
      <c r="V72" s="43"/>
      <c r="W72" s="47"/>
      <c r="X72" s="47"/>
      <c r="Y72" s="48" t="s">
        <v>162</v>
      </c>
      <c r="Z72" s="49"/>
      <c r="AA72" s="25">
        <f>VLOOKUP(F72,Zones!$A$2:$F$151534,6,FALSE)</f>
        <v>372</v>
      </c>
      <c r="AB72" s="25">
        <f>VLOOKUP(L72,Zones!$A$2:$F$151477,6,FALSE)</f>
        <v>365</v>
      </c>
    </row>
    <row r="73" spans="2:28">
      <c r="B73" s="40">
        <v>0.60347222222222219</v>
      </c>
      <c r="C73" s="40" t="s">
        <v>260</v>
      </c>
      <c r="D73" s="41">
        <v>2</v>
      </c>
      <c r="E73" s="42">
        <v>4</v>
      </c>
      <c r="F73" s="59" t="s">
        <v>261</v>
      </c>
      <c r="G73" s="43" t="s">
        <v>903</v>
      </c>
      <c r="H73" s="42" t="s">
        <v>160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164</v>
      </c>
      <c r="M73" s="43" t="s">
        <v>164</v>
      </c>
      <c r="N73" s="42" t="s">
        <v>160</v>
      </c>
      <c r="O73" s="43">
        <v>2</v>
      </c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47">
        <v>36</v>
      </c>
      <c r="T73" s="47">
        <v>2</v>
      </c>
      <c r="U73" s="43">
        <v>2</v>
      </c>
      <c r="V73" s="43"/>
      <c r="W73" s="47"/>
      <c r="X73" s="47"/>
      <c r="Y73" s="48" t="s">
        <v>162</v>
      </c>
      <c r="Z73" s="49"/>
      <c r="AA73" s="25">
        <f>VLOOKUP(F73,Zones!$A$2:$F$151534,6,FALSE)</f>
        <v>348</v>
      </c>
      <c r="AB73" s="25">
        <f>VLOOKUP(L73,Zones!$A$2:$F$151477,6,FALSE)</f>
        <v>403</v>
      </c>
    </row>
    <row r="74" spans="2:28">
      <c r="B74" s="40">
        <v>0.61805555555555558</v>
      </c>
      <c r="C74" s="40" t="s">
        <v>262</v>
      </c>
      <c r="D74" s="41">
        <v>11</v>
      </c>
      <c r="E74" s="42">
        <v>3</v>
      </c>
      <c r="F74" s="59" t="s">
        <v>943</v>
      </c>
      <c r="G74" s="43" t="s">
        <v>154</v>
      </c>
      <c r="H74" s="42" t="s">
        <v>160</v>
      </c>
      <c r="I74" s="43">
        <v>8</v>
      </c>
      <c r="J74" s="43">
        <v>2</v>
      </c>
      <c r="K74" s="25" t="str">
        <f>VLOOKUP(J74,Key!$E$2:$F$9,2,FALSE)</f>
        <v>Work</v>
      </c>
      <c r="L74" s="42" t="s">
        <v>154</v>
      </c>
      <c r="M74" s="43" t="s">
        <v>154</v>
      </c>
      <c r="N74" s="42" t="s">
        <v>160</v>
      </c>
      <c r="O74" s="43">
        <v>2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47"/>
      <c r="T74" s="47">
        <v>0.2</v>
      </c>
      <c r="U74" s="43">
        <v>2</v>
      </c>
      <c r="V74" s="43"/>
      <c r="W74" s="47"/>
      <c r="X74" s="47"/>
      <c r="Y74" s="48" t="s">
        <v>162</v>
      </c>
      <c r="Z74" s="49"/>
      <c r="AA74" s="25">
        <f>VLOOKUP(F74,Zones!$A$2:$F$151534,6,FALSE)</f>
        <v>373</v>
      </c>
      <c r="AB74" s="25">
        <f>VLOOKUP(L74,Zones!$A$2:$F$151477,6,FALSE)</f>
        <v>365</v>
      </c>
    </row>
    <row r="75" spans="2:28">
      <c r="B75" s="40">
        <v>0.71250000000000002</v>
      </c>
      <c r="C75" s="40" t="s">
        <v>264</v>
      </c>
      <c r="D75" s="41">
        <v>8</v>
      </c>
      <c r="E75" s="42">
        <v>2</v>
      </c>
      <c r="F75" s="42" t="s">
        <v>296</v>
      </c>
      <c r="G75" s="43" t="s">
        <v>154</v>
      </c>
      <c r="H75" s="42" t="s">
        <v>160</v>
      </c>
      <c r="I75" s="43">
        <v>9</v>
      </c>
      <c r="J75" s="43">
        <v>2</v>
      </c>
      <c r="K75" s="25" t="str">
        <f>VLOOKUP(J75,Key!$E$2:$F$9,2,FALSE)</f>
        <v>Work</v>
      </c>
      <c r="L75" s="42" t="s">
        <v>154</v>
      </c>
      <c r="M75" s="43" t="s">
        <v>154</v>
      </c>
      <c r="N75" s="42" t="s">
        <v>160</v>
      </c>
      <c r="O75" s="43">
        <v>3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47"/>
      <c r="T75" s="47">
        <v>0.5</v>
      </c>
      <c r="U75" s="43"/>
      <c r="V75" s="43"/>
      <c r="W75" s="47"/>
      <c r="X75" s="47"/>
      <c r="Y75" s="48" t="s">
        <v>162</v>
      </c>
      <c r="Z75" s="49"/>
      <c r="AA75" s="25">
        <f>VLOOKUP(F75,Zones!$A$2:$F$151534,6,FALSE)</f>
        <v>497</v>
      </c>
      <c r="AB75" s="25">
        <f>VLOOKUP(L75,Zones!$A$2:$F$151477,6,FALSE)</f>
        <v>365</v>
      </c>
    </row>
    <row r="76" spans="2:28">
      <c r="B76" s="40">
        <v>0.72222222222222221</v>
      </c>
      <c r="C76" s="40" t="s">
        <v>266</v>
      </c>
      <c r="D76" s="41">
        <v>2</v>
      </c>
      <c r="E76" s="42">
        <v>1</v>
      </c>
      <c r="F76" s="42" t="s">
        <v>155</v>
      </c>
      <c r="G76" s="43" t="s">
        <v>155</v>
      </c>
      <c r="H76" s="42" t="s">
        <v>160</v>
      </c>
      <c r="I76" s="43">
        <v>1</v>
      </c>
      <c r="J76" s="43">
        <v>1</v>
      </c>
      <c r="K76" s="25" t="str">
        <f>VLOOKUP(J76,Key!$E$2:$F$9,2,FALSE)</f>
        <v>Home</v>
      </c>
      <c r="L76" s="42" t="s">
        <v>154</v>
      </c>
      <c r="M76" s="43" t="s">
        <v>154</v>
      </c>
      <c r="N76" s="42" t="s">
        <v>160</v>
      </c>
      <c r="O76" s="43">
        <v>4</v>
      </c>
      <c r="P76" s="43">
        <v>3</v>
      </c>
      <c r="Q76" s="25" t="str">
        <f>VLOOKUP(P76,Key!$E$2:$F$9,2,FALSE)</f>
        <v>Study</v>
      </c>
      <c r="R76" s="25" t="str">
        <f t="shared" si="1"/>
        <v>Home-Study</v>
      </c>
      <c r="S76" s="47">
        <v>30</v>
      </c>
      <c r="T76" s="47">
        <v>1</v>
      </c>
      <c r="U76" s="43">
        <v>2</v>
      </c>
      <c r="V76" s="43"/>
      <c r="W76" s="47"/>
      <c r="X76" s="47"/>
      <c r="Y76" s="48" t="s">
        <v>162</v>
      </c>
      <c r="Z76" s="49"/>
      <c r="AA76" s="25">
        <f>VLOOKUP(F76,Zones!$A$2:$F$151534,6,FALSE)</f>
        <v>498</v>
      </c>
      <c r="AB76" s="25">
        <f>VLOOKUP(L76,Zones!$A$2:$F$151477,6,FALSE)</f>
        <v>365</v>
      </c>
    </row>
    <row r="77" spans="2:28">
      <c r="B77" s="40">
        <v>0.70138888888888884</v>
      </c>
      <c r="C77" s="40" t="s">
        <v>267</v>
      </c>
      <c r="D77" s="41">
        <v>4</v>
      </c>
      <c r="E77" s="42">
        <v>14</v>
      </c>
      <c r="F77" s="42" t="s">
        <v>155</v>
      </c>
      <c r="G77" s="43" t="s">
        <v>155</v>
      </c>
      <c r="H77" s="42" t="s">
        <v>160</v>
      </c>
      <c r="I77" s="43">
        <v>6</v>
      </c>
      <c r="J77" s="43">
        <v>2</v>
      </c>
      <c r="K77" s="25" t="str">
        <f>VLOOKUP(J77,Key!$E$2:$F$9,2,FALSE)</f>
        <v>Work</v>
      </c>
      <c r="L77" s="42" t="s">
        <v>154</v>
      </c>
      <c r="M77" s="43" t="s">
        <v>154</v>
      </c>
      <c r="N77" s="42" t="s">
        <v>160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47">
        <v>32</v>
      </c>
      <c r="T77" s="47">
        <v>1.5</v>
      </c>
      <c r="U77" s="43">
        <v>2</v>
      </c>
      <c r="V77" s="43"/>
      <c r="W77" s="47"/>
      <c r="X77" s="47"/>
      <c r="Y77" s="48" t="s">
        <v>162</v>
      </c>
      <c r="Z77" s="49"/>
      <c r="AA77" s="25">
        <f>VLOOKUP(F77,Zones!$A$2:$F$151534,6,FALSE)</f>
        <v>498</v>
      </c>
      <c r="AB77" s="25">
        <f>VLOOKUP(L77,Zones!$A$2:$F$151477,6,FALSE)</f>
        <v>365</v>
      </c>
    </row>
    <row r="78" spans="2:28">
      <c r="B78" s="40">
        <v>0.69097222222222221</v>
      </c>
      <c r="C78" s="40" t="s">
        <v>268</v>
      </c>
      <c r="D78" s="41">
        <v>11</v>
      </c>
      <c r="E78" s="42">
        <v>3</v>
      </c>
      <c r="F78" s="42" t="s">
        <v>220</v>
      </c>
      <c r="G78" s="43" t="s">
        <v>154</v>
      </c>
      <c r="H78" s="42" t="s">
        <v>160</v>
      </c>
      <c r="I78" s="43">
        <v>8</v>
      </c>
      <c r="J78" s="43">
        <v>2</v>
      </c>
      <c r="K78" s="25" t="str">
        <f>VLOOKUP(J78,Key!$E$2:$F$9,2,FALSE)</f>
        <v>Work</v>
      </c>
      <c r="L78" s="42" t="s">
        <v>154</v>
      </c>
      <c r="M78" s="43" t="s">
        <v>154</v>
      </c>
      <c r="N78" s="42" t="s">
        <v>160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47"/>
      <c r="T78" s="47">
        <v>0.3</v>
      </c>
      <c r="U78" s="43">
        <v>2</v>
      </c>
      <c r="V78" s="43"/>
      <c r="W78" s="47"/>
      <c r="X78" s="47"/>
      <c r="Y78" s="48" t="s">
        <v>162</v>
      </c>
      <c r="Z78" s="49"/>
      <c r="AA78" s="25">
        <f>VLOOKUP(F78,Zones!$A$2:$F$151534,6,FALSE)</f>
        <v>369</v>
      </c>
      <c r="AB78" s="25">
        <f>VLOOKUP(L78,Zones!$A$2:$F$151477,6,FALSE)</f>
        <v>365</v>
      </c>
    </row>
    <row r="79" spans="2:28">
      <c r="B79" s="40">
        <v>0.67361111111111116</v>
      </c>
      <c r="C79" s="40" t="s">
        <v>269</v>
      </c>
      <c r="D79" s="41">
        <v>5</v>
      </c>
      <c r="E79" s="42">
        <v>32</v>
      </c>
      <c r="F79" s="42" t="s">
        <v>155</v>
      </c>
      <c r="G79" s="43" t="s">
        <v>155</v>
      </c>
      <c r="H79" s="42" t="s">
        <v>160</v>
      </c>
      <c r="I79" s="43">
        <v>6</v>
      </c>
      <c r="J79" s="43">
        <v>2</v>
      </c>
      <c r="K79" s="25" t="str">
        <f>VLOOKUP(J79,Key!$E$2:$F$9,2,FALSE)</f>
        <v>Work</v>
      </c>
      <c r="L79" s="42" t="s">
        <v>168</v>
      </c>
      <c r="M79" s="43" t="s">
        <v>168</v>
      </c>
      <c r="N79" s="42" t="s">
        <v>160</v>
      </c>
      <c r="O79" s="43">
        <v>6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47">
        <v>135</v>
      </c>
      <c r="T79" s="47">
        <v>4</v>
      </c>
      <c r="U79" s="43">
        <v>2</v>
      </c>
      <c r="V79" s="43"/>
      <c r="W79" s="47"/>
      <c r="X79" s="47"/>
      <c r="Y79" s="48" t="s">
        <v>162</v>
      </c>
      <c r="Z79" s="49"/>
      <c r="AA79" s="25">
        <f>VLOOKUP(F79,Zones!$A$2:$F$151534,6,FALSE)</f>
        <v>498</v>
      </c>
      <c r="AB79" s="25">
        <f>VLOOKUP(L79,Zones!$A$2:$F$151477,6,FALSE)</f>
        <v>521</v>
      </c>
    </row>
    <row r="80" spans="2:28">
      <c r="B80" s="40">
        <v>0.68055555555555547</v>
      </c>
      <c r="C80" s="40" t="s">
        <v>270</v>
      </c>
      <c r="D80" s="41">
        <v>2</v>
      </c>
      <c r="E80" s="42">
        <v>5</v>
      </c>
      <c r="F80" s="59" t="s">
        <v>261</v>
      </c>
      <c r="G80" s="43" t="s">
        <v>155</v>
      </c>
      <c r="H80" s="42" t="s">
        <v>160</v>
      </c>
      <c r="I80" s="43">
        <v>1</v>
      </c>
      <c r="J80" s="43">
        <v>1</v>
      </c>
      <c r="K80" s="25" t="str">
        <f>VLOOKUP(J80,Key!$E$2:$F$9,2,FALSE)</f>
        <v>Home</v>
      </c>
      <c r="L80" s="42" t="s">
        <v>154</v>
      </c>
      <c r="M80" s="43" t="s">
        <v>154</v>
      </c>
      <c r="N80" s="42" t="s">
        <v>160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Home-Home</v>
      </c>
      <c r="S80" s="47"/>
      <c r="T80" s="47">
        <v>0.5</v>
      </c>
      <c r="U80" s="43">
        <v>6</v>
      </c>
      <c r="V80" s="43"/>
      <c r="W80" s="47"/>
      <c r="X80" s="47"/>
      <c r="Y80" s="48" t="s">
        <v>162</v>
      </c>
      <c r="Z80" s="49"/>
      <c r="AA80" s="25">
        <f>VLOOKUP(F80,Zones!$A$2:$F$151534,6,FALSE)</f>
        <v>348</v>
      </c>
      <c r="AB80" s="25">
        <f>VLOOKUP(L80,Zones!$A$2:$F$151477,6,FALSE)</f>
        <v>365</v>
      </c>
    </row>
    <row r="81" spans="2:28">
      <c r="B81" s="40">
        <v>0.43124999999999997</v>
      </c>
      <c r="C81" s="40" t="s">
        <v>271</v>
      </c>
      <c r="D81" s="41">
        <v>4</v>
      </c>
      <c r="E81" s="42">
        <v>14</v>
      </c>
      <c r="F81" s="42" t="s">
        <v>155</v>
      </c>
      <c r="G81" s="43" t="s">
        <v>155</v>
      </c>
      <c r="H81" s="42" t="s">
        <v>160</v>
      </c>
      <c r="I81" s="43">
        <v>1</v>
      </c>
      <c r="J81" s="43">
        <v>1</v>
      </c>
      <c r="K81" s="25" t="str">
        <f>VLOOKUP(J81,Key!$E$2:$F$9,2,FALSE)</f>
        <v>Home</v>
      </c>
      <c r="L81" s="42" t="s">
        <v>164</v>
      </c>
      <c r="M81" s="43" t="s">
        <v>164</v>
      </c>
      <c r="N81" s="42" t="s">
        <v>160</v>
      </c>
      <c r="O81" s="43">
        <v>16</v>
      </c>
      <c r="P81" s="43">
        <v>8</v>
      </c>
      <c r="Q81" s="25" t="str">
        <f>VLOOKUP(P81,Key!$E$2:$F$9,2,FALSE)</f>
        <v>Others</v>
      </c>
      <c r="R81" s="25" t="str">
        <f t="shared" si="1"/>
        <v>Home-Others</v>
      </c>
      <c r="S81" s="47">
        <v>78</v>
      </c>
      <c r="T81" s="47">
        <v>1.5</v>
      </c>
      <c r="U81" s="43">
        <v>2</v>
      </c>
      <c r="V81" s="43"/>
      <c r="W81" s="47"/>
      <c r="X81" s="47"/>
      <c r="Y81" s="48" t="s">
        <v>218</v>
      </c>
      <c r="Z81" s="49"/>
      <c r="AA81" s="25">
        <f>VLOOKUP(F81,Zones!$A$2:$F$151534,6,FALSE)</f>
        <v>498</v>
      </c>
      <c r="AB81" s="25">
        <f>VLOOKUP(L81,Zones!$A$2:$F$151477,6,FALSE)</f>
        <v>403</v>
      </c>
    </row>
    <row r="82" spans="2:28">
      <c r="B82" s="40">
        <v>0.38958333333333334</v>
      </c>
      <c r="C82" s="40" t="s">
        <v>272</v>
      </c>
      <c r="D82" s="41">
        <v>11</v>
      </c>
      <c r="E82" s="42">
        <v>3</v>
      </c>
      <c r="F82" s="42" t="s">
        <v>220</v>
      </c>
      <c r="G82" s="43" t="s">
        <v>154</v>
      </c>
      <c r="H82" s="42" t="s">
        <v>160</v>
      </c>
      <c r="I82" s="43">
        <v>2</v>
      </c>
      <c r="J82" s="43">
        <v>2</v>
      </c>
      <c r="K82" s="25" t="str">
        <f>VLOOKUP(J82,Key!$E$2:$F$9,2,FALSE)</f>
        <v>Work</v>
      </c>
      <c r="L82" s="42" t="s">
        <v>154</v>
      </c>
      <c r="M82" s="43" t="s">
        <v>154</v>
      </c>
      <c r="N82" s="42" t="s">
        <v>160</v>
      </c>
      <c r="O82" s="43">
        <v>2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47"/>
      <c r="T82" s="47">
        <v>0.3</v>
      </c>
      <c r="U82" s="43">
        <v>2</v>
      </c>
      <c r="V82" s="43"/>
      <c r="W82" s="47"/>
      <c r="X82" s="47"/>
      <c r="Y82" s="48" t="s">
        <v>162</v>
      </c>
      <c r="Z82" s="49"/>
      <c r="AA82" s="25">
        <f>VLOOKUP(F82,Zones!$A$2:$F$151534,6,FALSE)</f>
        <v>369</v>
      </c>
      <c r="AB82" s="25">
        <f>VLOOKUP(L82,Zones!$A$2:$F$151477,6,FALSE)</f>
        <v>365</v>
      </c>
    </row>
    <row r="83" spans="2:28">
      <c r="B83" s="40">
        <v>0.39930555555555558</v>
      </c>
      <c r="C83" s="40" t="s">
        <v>273</v>
      </c>
      <c r="D83" s="41">
        <v>1</v>
      </c>
      <c r="E83" s="42">
        <v>6</v>
      </c>
      <c r="F83" s="42" t="s">
        <v>155</v>
      </c>
      <c r="G83" s="43" t="s">
        <v>155</v>
      </c>
      <c r="H83" s="42" t="s">
        <v>160</v>
      </c>
      <c r="I83" s="43">
        <v>2</v>
      </c>
      <c r="J83" s="43">
        <v>2</v>
      </c>
      <c r="K83" s="25" t="str">
        <f>VLOOKUP(J83,Key!$E$2:$F$9,2,FALSE)</f>
        <v>Work</v>
      </c>
      <c r="L83" s="42" t="s">
        <v>154</v>
      </c>
      <c r="M83" s="43" t="s">
        <v>154</v>
      </c>
      <c r="N83" s="42" t="s">
        <v>160</v>
      </c>
      <c r="O83" s="43">
        <v>2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47">
        <v>34</v>
      </c>
      <c r="T83" s="47">
        <v>1</v>
      </c>
      <c r="U83" s="43">
        <v>2</v>
      </c>
      <c r="V83" s="43"/>
      <c r="W83" s="47"/>
      <c r="X83" s="47"/>
      <c r="Y83" s="48" t="s">
        <v>162</v>
      </c>
      <c r="Z83" s="49"/>
      <c r="AA83" s="25">
        <f>VLOOKUP(F83,Zones!$A$2:$F$151534,6,FALSE)</f>
        <v>498</v>
      </c>
      <c r="AB83" s="25">
        <f>VLOOKUP(L83,Zones!$A$2:$F$151477,6,FALSE)</f>
        <v>365</v>
      </c>
    </row>
    <row r="84" spans="2:28">
      <c r="B84" s="40">
        <v>0.74930555555555556</v>
      </c>
      <c r="C84" s="40" t="s">
        <v>274</v>
      </c>
      <c r="D84" s="41">
        <v>1</v>
      </c>
      <c r="E84" s="42">
        <v>2</v>
      </c>
      <c r="F84" s="42" t="s">
        <v>155</v>
      </c>
      <c r="G84" s="43" t="s">
        <v>155</v>
      </c>
      <c r="H84" s="42" t="s">
        <v>160</v>
      </c>
      <c r="I84" s="43">
        <v>2</v>
      </c>
      <c r="J84" s="43">
        <v>2</v>
      </c>
      <c r="K84" s="25" t="str">
        <f>VLOOKUP(J84,Key!$E$2:$F$9,2,FALSE)</f>
        <v>Work</v>
      </c>
      <c r="L84" s="42" t="s">
        <v>154</v>
      </c>
      <c r="M84" s="43" t="s">
        <v>154</v>
      </c>
      <c r="N84" s="42" t="s">
        <v>160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Work-Home</v>
      </c>
      <c r="S84" s="47">
        <v>32</v>
      </c>
      <c r="T84" s="47">
        <v>1</v>
      </c>
      <c r="U84" s="43">
        <v>2</v>
      </c>
      <c r="V84" s="43"/>
      <c r="W84" s="47"/>
      <c r="X84" s="47"/>
      <c r="Y84" s="48" t="s">
        <v>162</v>
      </c>
      <c r="Z84" s="49"/>
      <c r="AA84" s="25">
        <f>VLOOKUP(F84,Zones!$A$2:$F$151534,6,FALSE)</f>
        <v>498</v>
      </c>
      <c r="AB84" s="25">
        <f>VLOOKUP(L84,Zones!$A$2:$F$151477,6,FALSE)</f>
        <v>365</v>
      </c>
    </row>
    <row r="85" spans="2:28">
      <c r="B85" s="40">
        <v>0.74861111111111101</v>
      </c>
      <c r="C85" s="40" t="s">
        <v>275</v>
      </c>
      <c r="D85" s="41">
        <v>11</v>
      </c>
      <c r="E85" s="42">
        <v>3</v>
      </c>
      <c r="F85" s="59" t="s">
        <v>2524</v>
      </c>
      <c r="G85" s="43" t="s">
        <v>154</v>
      </c>
      <c r="H85" s="42" t="s">
        <v>160</v>
      </c>
      <c r="I85" s="43">
        <v>8</v>
      </c>
      <c r="J85" s="43">
        <v>2</v>
      </c>
      <c r="K85" s="25" t="str">
        <f>VLOOKUP(J85,Key!$E$2:$F$9,2,FALSE)</f>
        <v>Work</v>
      </c>
      <c r="L85" s="42" t="s">
        <v>154</v>
      </c>
      <c r="M85" s="43" t="s">
        <v>154</v>
      </c>
      <c r="N85" s="42" t="s">
        <v>160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47">
        <v>34</v>
      </c>
      <c r="T85" s="47">
        <v>0.5</v>
      </c>
      <c r="U85" s="43"/>
      <c r="V85" s="43"/>
      <c r="W85" s="47"/>
      <c r="X85" s="47"/>
      <c r="Y85" s="48" t="s">
        <v>162</v>
      </c>
      <c r="Z85" s="49"/>
      <c r="AA85" s="25">
        <f>VLOOKUP(F85,Zones!$A$2:$F$151534,6,FALSE)</f>
        <v>594</v>
      </c>
      <c r="AB85" s="25">
        <f>VLOOKUP(L85,Zones!$A$2:$F$151477,6,FALSE)</f>
        <v>365</v>
      </c>
    </row>
    <row r="86" spans="2:28">
      <c r="B86" s="40">
        <v>0.39930555555555558</v>
      </c>
      <c r="C86" s="40" t="s">
        <v>277</v>
      </c>
      <c r="D86" s="41">
        <v>1</v>
      </c>
      <c r="E86" s="42">
        <v>4</v>
      </c>
      <c r="F86" s="59" t="s">
        <v>173</v>
      </c>
      <c r="G86" s="43" t="s">
        <v>154</v>
      </c>
      <c r="H86" s="42" t="s">
        <v>160</v>
      </c>
      <c r="I86" s="43">
        <v>1</v>
      </c>
      <c r="J86" s="43">
        <v>1</v>
      </c>
      <c r="K86" s="25" t="str">
        <f>VLOOKUP(J86,Key!$E$2:$F$9,2,FALSE)</f>
        <v>Home</v>
      </c>
      <c r="L86" s="42" t="s">
        <v>154</v>
      </c>
      <c r="M86" s="43" t="s">
        <v>154</v>
      </c>
      <c r="N86" s="42" t="s">
        <v>160</v>
      </c>
      <c r="O86" s="43">
        <v>5</v>
      </c>
      <c r="P86" s="43">
        <v>7</v>
      </c>
      <c r="Q86" s="25" t="str">
        <f>VLOOKUP(P86,Key!$E$2:$F$9,2,FALSE)</f>
        <v>Hospital</v>
      </c>
      <c r="R86" s="25" t="str">
        <f t="shared" si="1"/>
        <v>Home-Hospital</v>
      </c>
      <c r="S86" s="47">
        <v>7</v>
      </c>
      <c r="T86" s="47">
        <v>0.2</v>
      </c>
      <c r="U86" s="43">
        <v>1</v>
      </c>
      <c r="V86" s="43"/>
      <c r="W86" s="47"/>
      <c r="X86" s="47"/>
      <c r="Y86" s="48" t="s">
        <v>162</v>
      </c>
      <c r="Z86" s="49"/>
      <c r="AA86" s="25">
        <f>VLOOKUP(F86,Zones!$A$2:$F$151534,6,FALSE)</f>
        <v>368</v>
      </c>
      <c r="AB86" s="25">
        <f>VLOOKUP(L86,Zones!$A$2:$F$151477,6,FALSE)</f>
        <v>365</v>
      </c>
    </row>
    <row r="87" spans="2:28">
      <c r="B87" s="40">
        <v>0.3972222222222222</v>
      </c>
      <c r="C87" s="40" t="s">
        <v>278</v>
      </c>
      <c r="D87" s="41">
        <v>4</v>
      </c>
      <c r="E87" s="42">
        <v>14</v>
      </c>
      <c r="F87" s="42" t="s">
        <v>155</v>
      </c>
      <c r="G87" s="43" t="s">
        <v>155</v>
      </c>
      <c r="H87" s="42" t="s">
        <v>160</v>
      </c>
      <c r="I87" s="43">
        <v>1</v>
      </c>
      <c r="J87" s="43">
        <v>1</v>
      </c>
      <c r="K87" s="25" t="str">
        <f>VLOOKUP(J87,Key!$E$2:$F$9,2,FALSE)</f>
        <v>Home</v>
      </c>
      <c r="L87" s="42" t="s">
        <v>154</v>
      </c>
      <c r="M87" s="43" t="s">
        <v>154</v>
      </c>
      <c r="N87" s="42" t="s">
        <v>160</v>
      </c>
      <c r="O87" s="43">
        <v>6</v>
      </c>
      <c r="P87" s="43">
        <v>2</v>
      </c>
      <c r="Q87" s="25" t="str">
        <f>VLOOKUP(P87,Key!$E$2:$F$9,2,FALSE)</f>
        <v>Work</v>
      </c>
      <c r="R87" s="25" t="str">
        <f t="shared" si="1"/>
        <v>Home-Work</v>
      </c>
      <c r="S87" s="47">
        <v>32</v>
      </c>
      <c r="T87" s="47">
        <v>0.5</v>
      </c>
      <c r="U87" s="43">
        <v>2</v>
      </c>
      <c r="V87" s="43"/>
      <c r="W87" s="47"/>
      <c r="X87" s="47"/>
      <c r="Y87" s="48" t="s">
        <v>162</v>
      </c>
      <c r="Z87" s="49"/>
      <c r="AA87" s="25">
        <f>VLOOKUP(F87,Zones!$A$2:$F$151534,6,FALSE)</f>
        <v>498</v>
      </c>
      <c r="AB87" s="25">
        <f>VLOOKUP(L87,Zones!$A$2:$F$151477,6,FALSE)</f>
        <v>365</v>
      </c>
    </row>
    <row r="88" spans="2:28">
      <c r="B88" s="40">
        <v>0.63541666666666663</v>
      </c>
      <c r="C88" s="40" t="s">
        <v>279</v>
      </c>
      <c r="D88" s="41">
        <v>1</v>
      </c>
      <c r="E88" s="42">
        <v>5</v>
      </c>
      <c r="F88" s="59" t="s">
        <v>2524</v>
      </c>
      <c r="G88" s="43" t="s">
        <v>154</v>
      </c>
      <c r="H88" s="42" t="s">
        <v>160</v>
      </c>
      <c r="I88" s="43">
        <v>16</v>
      </c>
      <c r="J88" s="43">
        <v>8</v>
      </c>
      <c r="K88" s="25" t="str">
        <f>VLOOKUP(J88,Key!$E$2:$F$9,2,FALSE)</f>
        <v>Others</v>
      </c>
      <c r="L88" s="42" t="s">
        <v>154</v>
      </c>
      <c r="M88" s="43" t="s">
        <v>154</v>
      </c>
      <c r="N88" s="42" t="s">
        <v>160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Others-Work</v>
      </c>
      <c r="S88" s="47">
        <v>34</v>
      </c>
      <c r="T88" s="47">
        <v>2</v>
      </c>
      <c r="U88" s="43">
        <v>6</v>
      </c>
      <c r="V88" s="43"/>
      <c r="W88" s="47"/>
      <c r="X88" s="47"/>
      <c r="Y88" s="48" t="s">
        <v>162</v>
      </c>
      <c r="Z88" s="49"/>
      <c r="AA88" s="25">
        <f>VLOOKUP(F88,Zones!$A$2:$F$151534,6,FALSE)</f>
        <v>594</v>
      </c>
      <c r="AB88" s="25">
        <f>VLOOKUP(L88,Zones!$A$2:$F$151477,6,FALSE)</f>
        <v>365</v>
      </c>
    </row>
    <row r="89" spans="2:28">
      <c r="B89" s="40">
        <v>0.62847222222222221</v>
      </c>
      <c r="C89" s="40" t="s">
        <v>281</v>
      </c>
      <c r="D89" s="41">
        <v>8</v>
      </c>
      <c r="E89" s="42">
        <v>2</v>
      </c>
      <c r="F89" s="42" t="s">
        <v>252</v>
      </c>
      <c r="G89" s="43" t="s">
        <v>155</v>
      </c>
      <c r="H89" s="42" t="s">
        <v>160</v>
      </c>
      <c r="I89" s="43">
        <v>9</v>
      </c>
      <c r="J89" s="43">
        <v>2</v>
      </c>
      <c r="K89" s="25" t="str">
        <f>VLOOKUP(J89,Key!$E$2:$F$9,2,FALSE)</f>
        <v>Work</v>
      </c>
      <c r="L89" s="42" t="s">
        <v>183</v>
      </c>
      <c r="M89" s="43" t="s">
        <v>164</v>
      </c>
      <c r="N89" s="42" t="s">
        <v>160</v>
      </c>
      <c r="O89" s="43">
        <v>3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47"/>
      <c r="T89" s="47">
        <v>1.5</v>
      </c>
      <c r="U89" s="43">
        <v>4</v>
      </c>
      <c r="V89" s="43"/>
      <c r="W89" s="47"/>
      <c r="X89" s="47"/>
      <c r="Y89" s="48" t="s">
        <v>162</v>
      </c>
      <c r="Z89" s="49"/>
      <c r="AA89" s="25">
        <f>VLOOKUP(F89,Zones!$A$2:$F$151534,6,FALSE)</f>
        <v>373</v>
      </c>
      <c r="AB89" s="25">
        <f>VLOOKUP(L89,Zones!$A$2:$F$151477,6,FALSE)</f>
        <v>404</v>
      </c>
    </row>
    <row r="90" spans="2:28">
      <c r="B90" s="40">
        <v>0.86458333333333337</v>
      </c>
      <c r="C90" s="40" t="s">
        <v>282</v>
      </c>
      <c r="D90" s="41">
        <v>1</v>
      </c>
      <c r="E90" s="42">
        <v>1</v>
      </c>
      <c r="F90" s="59" t="s">
        <v>173</v>
      </c>
      <c r="G90" s="43" t="s">
        <v>154</v>
      </c>
      <c r="H90" s="42" t="s">
        <v>160</v>
      </c>
      <c r="I90" s="43">
        <v>1</v>
      </c>
      <c r="J90" s="43">
        <v>1</v>
      </c>
      <c r="K90" s="25" t="str">
        <f>VLOOKUP(J90,Key!$E$2:$F$9,2,FALSE)</f>
        <v>Home</v>
      </c>
      <c r="L90" s="42" t="s">
        <v>154</v>
      </c>
      <c r="M90" s="43" t="s">
        <v>154</v>
      </c>
      <c r="N90" s="42" t="s">
        <v>160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47"/>
      <c r="T90" s="47">
        <v>0.2</v>
      </c>
      <c r="U90" s="43"/>
      <c r="V90" s="43"/>
      <c r="W90" s="47"/>
      <c r="X90" s="47"/>
      <c r="Y90" s="48" t="s">
        <v>162</v>
      </c>
      <c r="Z90" s="49"/>
      <c r="AA90" s="25">
        <f>VLOOKUP(F90,Zones!$A$2:$F$151534,6,FALSE)</f>
        <v>368</v>
      </c>
      <c r="AB90" s="25">
        <f>VLOOKUP(L90,Zones!$A$2:$F$151477,6,FALSE)</f>
        <v>365</v>
      </c>
    </row>
    <row r="91" spans="2:28">
      <c r="B91" s="40">
        <v>0.8666666666666667</v>
      </c>
      <c r="C91" s="40" t="s">
        <v>283</v>
      </c>
      <c r="D91" s="41">
        <v>5</v>
      </c>
      <c r="E91" s="42">
        <v>14</v>
      </c>
      <c r="F91" s="42" t="s">
        <v>284</v>
      </c>
      <c r="G91" s="43" t="s">
        <v>284</v>
      </c>
      <c r="H91" s="42" t="s">
        <v>160</v>
      </c>
      <c r="I91" s="43">
        <v>6</v>
      </c>
      <c r="J91" s="43">
        <v>2</v>
      </c>
      <c r="K91" s="25" t="str">
        <f>VLOOKUP(J91,Key!$E$2:$F$9,2,FALSE)</f>
        <v>Work</v>
      </c>
      <c r="L91" s="42" t="s">
        <v>168</v>
      </c>
      <c r="M91" s="43" t="s">
        <v>168</v>
      </c>
      <c r="N91" s="42" t="s">
        <v>160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47">
        <v>140</v>
      </c>
      <c r="T91" s="47">
        <v>4</v>
      </c>
      <c r="U91" s="43">
        <v>2</v>
      </c>
      <c r="V91" s="43"/>
      <c r="W91" s="47"/>
      <c r="X91" s="47"/>
      <c r="Y91" s="48" t="s">
        <v>162</v>
      </c>
      <c r="Z91" s="49"/>
      <c r="AA91" s="25">
        <f>VLOOKUP(F91,Zones!$A$2:$F$151534,6,FALSE)</f>
        <v>1252</v>
      </c>
      <c r="AB91" s="25">
        <f>VLOOKUP(L91,Zones!$A$2:$F$151477,6,FALSE)</f>
        <v>521</v>
      </c>
    </row>
    <row r="92" spans="2:28">
      <c r="B92" s="40">
        <v>0.875</v>
      </c>
      <c r="C92" s="40" t="s">
        <v>285</v>
      </c>
      <c r="D92" s="41">
        <v>3</v>
      </c>
      <c r="E92" s="42">
        <v>2</v>
      </c>
      <c r="F92" s="42" t="s">
        <v>259</v>
      </c>
      <c r="G92" s="43" t="s">
        <v>154</v>
      </c>
      <c r="H92" s="42" t="s">
        <v>160</v>
      </c>
      <c r="I92" s="43">
        <v>1</v>
      </c>
      <c r="J92" s="43">
        <v>1</v>
      </c>
      <c r="K92" s="25" t="str">
        <f>VLOOKUP(J92,Key!$E$2:$F$9,2,FALSE)</f>
        <v>Home</v>
      </c>
      <c r="L92" s="42" t="s">
        <v>154</v>
      </c>
      <c r="M92" s="43" t="s">
        <v>154</v>
      </c>
      <c r="N92" s="42" t="s">
        <v>160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1"/>
        <v>Home-Work</v>
      </c>
      <c r="S92" s="47">
        <v>15</v>
      </c>
      <c r="T92" s="47">
        <v>0.3</v>
      </c>
      <c r="U92" s="43">
        <v>1</v>
      </c>
      <c r="V92" s="43"/>
      <c r="W92" s="47"/>
      <c r="X92" s="47"/>
      <c r="Y92" s="48" t="s">
        <v>162</v>
      </c>
      <c r="Z92" s="49"/>
      <c r="AA92" s="25">
        <f>VLOOKUP(F92,Zones!$A$2:$F$151534,6,FALSE)</f>
        <v>372</v>
      </c>
      <c r="AB92" s="25">
        <f>VLOOKUP(L92,Zones!$A$2:$F$151477,6,FALSE)</f>
        <v>365</v>
      </c>
    </row>
    <row r="93" spans="2:28">
      <c r="B93" s="40">
        <v>0.90277777777777779</v>
      </c>
      <c r="C93" s="40" t="s">
        <v>287</v>
      </c>
      <c r="D93" s="44">
        <v>5</v>
      </c>
      <c r="E93" s="42">
        <v>29</v>
      </c>
      <c r="F93" s="42" t="s">
        <v>155</v>
      </c>
      <c r="G93" s="43" t="s">
        <v>155</v>
      </c>
      <c r="H93" s="42" t="s">
        <v>160</v>
      </c>
      <c r="I93" s="43">
        <v>6</v>
      </c>
      <c r="J93" s="43">
        <v>4</v>
      </c>
      <c r="K93" s="25" t="str">
        <f>VLOOKUP(J93,Key!$E$2:$F$9,2,FALSE)</f>
        <v>Commercial</v>
      </c>
      <c r="L93" s="42" t="s">
        <v>154</v>
      </c>
      <c r="M93" s="43" t="s">
        <v>154</v>
      </c>
      <c r="N93" s="42" t="s">
        <v>160</v>
      </c>
      <c r="O93" s="46">
        <v>6</v>
      </c>
      <c r="P93" s="46">
        <v>4</v>
      </c>
      <c r="Q93" s="25" t="str">
        <f>VLOOKUP(P93,Key!$E$2:$F$9,2,FALSE)</f>
        <v>Commercial</v>
      </c>
      <c r="R93" s="25" t="str">
        <f t="shared" si="1"/>
        <v>Commercial-Commercial</v>
      </c>
      <c r="S93" s="47">
        <v>30</v>
      </c>
      <c r="T93" s="47">
        <v>1.5</v>
      </c>
      <c r="U93" s="46">
        <v>2</v>
      </c>
      <c r="V93" s="46"/>
      <c r="W93" s="46"/>
      <c r="X93" s="46"/>
      <c r="Y93" s="48" t="s">
        <v>162</v>
      </c>
      <c r="Z93" s="46"/>
      <c r="AA93" s="25">
        <f>VLOOKUP(F93,Zones!$A$2:$F$151534,6,FALSE)</f>
        <v>498</v>
      </c>
      <c r="AB93" s="25">
        <f>VLOOKUP(L93,Zones!$A$2:$F$151477,6,FALSE)</f>
        <v>365</v>
      </c>
    </row>
    <row r="94" spans="2:28">
      <c r="B94" s="40">
        <v>0.96458333333333324</v>
      </c>
      <c r="C94" s="40" t="s">
        <v>288</v>
      </c>
      <c r="D94" s="45">
        <v>1</v>
      </c>
      <c r="E94" s="42">
        <v>4</v>
      </c>
      <c r="F94" s="42" t="s">
        <v>252</v>
      </c>
      <c r="G94" s="43" t="s">
        <v>155</v>
      </c>
      <c r="H94" s="42" t="s">
        <v>160</v>
      </c>
      <c r="I94" s="43">
        <v>1</v>
      </c>
      <c r="J94" s="43">
        <v>1</v>
      </c>
      <c r="K94" s="25" t="str">
        <f>VLOOKUP(J94,Key!$E$2:$F$9,2,FALSE)</f>
        <v>Home</v>
      </c>
      <c r="L94" s="42" t="s">
        <v>164</v>
      </c>
      <c r="M94" s="43" t="s">
        <v>164</v>
      </c>
      <c r="N94" s="42" t="s">
        <v>160</v>
      </c>
      <c r="O94" s="46">
        <v>1</v>
      </c>
      <c r="P94" s="46">
        <v>1</v>
      </c>
      <c r="Q94" s="25" t="str">
        <f>VLOOKUP(P94,Key!$E$2:$F$9,2,FALSE)</f>
        <v>Home</v>
      </c>
      <c r="R94" s="25" t="str">
        <f t="shared" si="1"/>
        <v>Home-Home</v>
      </c>
      <c r="S94" s="47">
        <v>20</v>
      </c>
      <c r="T94" s="47">
        <v>1</v>
      </c>
      <c r="U94" s="46">
        <v>5</v>
      </c>
      <c r="V94" s="46"/>
      <c r="W94" s="46"/>
      <c r="X94" s="46"/>
      <c r="Y94" s="48" t="s">
        <v>162</v>
      </c>
      <c r="Z94" s="46"/>
      <c r="AA94" s="25">
        <f>VLOOKUP(F94,Zones!$A$2:$F$151534,6,FALSE)</f>
        <v>373</v>
      </c>
      <c r="AB94" s="25">
        <f>VLOOKUP(L94,Zones!$A$2:$F$151477,6,FALSE)</f>
        <v>403</v>
      </c>
    </row>
    <row r="95" spans="2:28">
      <c r="B95" s="40">
        <v>0.46180555555555558</v>
      </c>
      <c r="C95" s="40" t="s">
        <v>289</v>
      </c>
      <c r="D95" s="45">
        <v>4</v>
      </c>
      <c r="E95" s="42">
        <v>14</v>
      </c>
      <c r="F95" s="42" t="s">
        <v>155</v>
      </c>
      <c r="G95" s="43" t="s">
        <v>155</v>
      </c>
      <c r="H95" s="42" t="s">
        <v>160</v>
      </c>
      <c r="I95" s="43">
        <v>1</v>
      </c>
      <c r="J95" s="43">
        <v>1</v>
      </c>
      <c r="K95" s="25" t="str">
        <f>VLOOKUP(J95,Key!$E$2:$F$9,2,FALSE)</f>
        <v>Home</v>
      </c>
      <c r="L95" s="42" t="s">
        <v>164</v>
      </c>
      <c r="M95" s="43" t="s">
        <v>164</v>
      </c>
      <c r="N95" s="42" t="s">
        <v>160</v>
      </c>
      <c r="O95" s="46">
        <v>16</v>
      </c>
      <c r="P95" s="46">
        <v>2</v>
      </c>
      <c r="Q95" s="25" t="str">
        <f>VLOOKUP(P95,Key!$E$2:$F$9,2,FALSE)</f>
        <v>Work</v>
      </c>
      <c r="R95" s="25" t="str">
        <f t="shared" si="1"/>
        <v>Home-Work</v>
      </c>
      <c r="S95" s="47"/>
      <c r="T95" s="47">
        <v>1.5</v>
      </c>
      <c r="U95" s="46">
        <v>2</v>
      </c>
      <c r="V95" s="46"/>
      <c r="W95" s="46"/>
      <c r="X95" s="46"/>
      <c r="Y95" s="48" t="s">
        <v>218</v>
      </c>
      <c r="Z95" s="46"/>
      <c r="AA95" s="25">
        <f>VLOOKUP(F95,Zones!$A$2:$F$151534,6,FALSE)</f>
        <v>498</v>
      </c>
      <c r="AB95" s="25">
        <f>VLOOKUP(L95,Zones!$A$2:$F$151477,6,FALSE)</f>
        <v>403</v>
      </c>
    </row>
    <row r="96" spans="2:28">
      <c r="B96" s="40">
        <v>0.66666666666666663</v>
      </c>
      <c r="C96" s="40" t="s">
        <v>290</v>
      </c>
      <c r="D96" s="44">
        <v>7</v>
      </c>
      <c r="E96" s="45">
        <v>2</v>
      </c>
      <c r="F96" s="42" t="s">
        <v>155</v>
      </c>
      <c r="G96" s="43" t="s">
        <v>155</v>
      </c>
      <c r="H96" s="42" t="s">
        <v>160</v>
      </c>
      <c r="I96" s="43">
        <v>2</v>
      </c>
      <c r="J96" s="43">
        <v>2</v>
      </c>
      <c r="K96" s="25" t="str">
        <f>VLOOKUP(J96,Key!$E$2:$F$9,2,FALSE)</f>
        <v>Work</v>
      </c>
      <c r="L96" s="42" t="s">
        <v>164</v>
      </c>
      <c r="M96" s="43" t="s">
        <v>164</v>
      </c>
      <c r="N96" s="42" t="s">
        <v>160</v>
      </c>
      <c r="O96" s="46">
        <v>2</v>
      </c>
      <c r="P96" s="46">
        <v>2</v>
      </c>
      <c r="Q96" s="25" t="str">
        <f>VLOOKUP(P96,Key!$E$2:$F$9,2,FALSE)</f>
        <v>Work</v>
      </c>
      <c r="R96" s="25" t="str">
        <f t="shared" si="1"/>
        <v>Work-Work</v>
      </c>
      <c r="S96" s="47">
        <v>36</v>
      </c>
      <c r="T96" s="47">
        <v>2</v>
      </c>
      <c r="U96" s="46">
        <v>4</v>
      </c>
      <c r="V96" s="46">
        <v>1</v>
      </c>
      <c r="W96" s="46">
        <v>12</v>
      </c>
      <c r="X96" s="46"/>
      <c r="Y96" s="48" t="s">
        <v>162</v>
      </c>
      <c r="Z96" s="46"/>
      <c r="AA96" s="25">
        <f>VLOOKUP(F96,Zones!$A$2:$F$151534,6,FALSE)</f>
        <v>498</v>
      </c>
      <c r="AB96" s="25">
        <f>VLOOKUP(L96,Zones!$A$2:$F$151477,6,FALSE)</f>
        <v>403</v>
      </c>
    </row>
    <row r="97" spans="2:28">
      <c r="B97" s="40">
        <v>0.65833333333333333</v>
      </c>
      <c r="C97" s="40" t="s">
        <v>291</v>
      </c>
      <c r="D97" s="44">
        <v>3</v>
      </c>
      <c r="E97" s="45">
        <v>1</v>
      </c>
      <c r="F97" s="42" t="s">
        <v>155</v>
      </c>
      <c r="G97" s="43" t="s">
        <v>155</v>
      </c>
      <c r="H97" s="42" t="s">
        <v>160</v>
      </c>
      <c r="I97" s="43">
        <v>1</v>
      </c>
      <c r="J97" s="43">
        <v>1</v>
      </c>
      <c r="K97" s="25" t="str">
        <f>VLOOKUP(J97,Key!$E$2:$F$9,2,FALSE)</f>
        <v>Home</v>
      </c>
      <c r="L97" s="42" t="s">
        <v>154</v>
      </c>
      <c r="M97" s="43" t="s">
        <v>154</v>
      </c>
      <c r="N97" s="42" t="s">
        <v>160</v>
      </c>
      <c r="O97" s="46">
        <v>2</v>
      </c>
      <c r="P97" s="46">
        <v>2</v>
      </c>
      <c r="Q97" s="25" t="str">
        <f>VLOOKUP(P97,Key!$E$2:$F$9,2,FALSE)</f>
        <v>Work</v>
      </c>
      <c r="R97" s="25" t="str">
        <f t="shared" si="1"/>
        <v>Home-Work</v>
      </c>
      <c r="S97" s="47">
        <v>32</v>
      </c>
      <c r="T97" s="47">
        <v>1</v>
      </c>
      <c r="U97" s="46">
        <v>2</v>
      </c>
      <c r="V97" s="46"/>
      <c r="W97" s="46"/>
      <c r="X97" s="46"/>
      <c r="Y97" s="48" t="s">
        <v>162</v>
      </c>
      <c r="Z97" s="46"/>
      <c r="AA97" s="25">
        <f>VLOOKUP(F97,Zones!$A$2:$F$151534,6,FALSE)</f>
        <v>498</v>
      </c>
      <c r="AB97" s="25">
        <f>VLOOKUP(L97,Zones!$A$2:$F$151477,6,FALSE)</f>
        <v>365</v>
      </c>
    </row>
    <row r="98" spans="2:28">
      <c r="B98" s="40">
        <v>0.47569444444444442</v>
      </c>
      <c r="C98" s="40" t="s">
        <v>292</v>
      </c>
      <c r="D98" s="45">
        <v>2</v>
      </c>
      <c r="E98" s="45">
        <v>5</v>
      </c>
      <c r="F98" s="59" t="s">
        <v>944</v>
      </c>
      <c r="G98" s="43" t="s">
        <v>154</v>
      </c>
      <c r="H98" s="42" t="s">
        <v>160</v>
      </c>
      <c r="I98" s="43">
        <v>9</v>
      </c>
      <c r="J98" s="43">
        <v>4</v>
      </c>
      <c r="K98" s="25" t="str">
        <f>VLOOKUP(J98,Key!$E$2:$F$9,2,FALSE)</f>
        <v>Commercial</v>
      </c>
      <c r="L98" s="42" t="s">
        <v>294</v>
      </c>
      <c r="M98" s="43" t="s">
        <v>154</v>
      </c>
      <c r="N98" s="42" t="s">
        <v>160</v>
      </c>
      <c r="O98" s="46">
        <v>1</v>
      </c>
      <c r="P98" s="46">
        <v>1</v>
      </c>
      <c r="Q98" s="25" t="str">
        <f>VLOOKUP(P98,Key!$E$2:$F$9,2,FALSE)</f>
        <v>Home</v>
      </c>
      <c r="R98" s="25" t="str">
        <f t="shared" si="1"/>
        <v>Commercial-Home</v>
      </c>
      <c r="S98" s="47">
        <v>12</v>
      </c>
      <c r="T98" s="47">
        <v>0.3</v>
      </c>
      <c r="U98" s="46">
        <v>5</v>
      </c>
      <c r="V98" s="46"/>
      <c r="W98" s="46"/>
      <c r="X98" s="46"/>
      <c r="Y98" s="48" t="s">
        <v>218</v>
      </c>
      <c r="Z98" s="46"/>
      <c r="AA98" s="25">
        <f>VLOOKUP(F98,Zones!$A$2:$F$151534,6,FALSE)</f>
        <v>375</v>
      </c>
      <c r="AB98" s="25">
        <f>VLOOKUP(L98,Zones!$A$2:$F$151477,6,FALSE)</f>
        <v>577</v>
      </c>
    </row>
    <row r="99" spans="2:28">
      <c r="B99" s="40">
        <v>2.4305555555555556E-2</v>
      </c>
      <c r="C99" s="40" t="s">
        <v>295</v>
      </c>
      <c r="D99" s="44">
        <v>7</v>
      </c>
      <c r="E99" s="45">
        <v>2</v>
      </c>
      <c r="F99" s="42" t="s">
        <v>296</v>
      </c>
      <c r="G99" s="43" t="s">
        <v>155</v>
      </c>
      <c r="H99" s="42" t="s">
        <v>160</v>
      </c>
      <c r="I99" s="43">
        <v>2</v>
      </c>
      <c r="J99" s="43">
        <v>2</v>
      </c>
      <c r="K99" s="25" t="str">
        <f>VLOOKUP(J99,Key!$E$2:$F$9,2,FALSE)</f>
        <v>Work</v>
      </c>
      <c r="L99" s="42" t="s">
        <v>168</v>
      </c>
      <c r="M99" s="43" t="s">
        <v>154</v>
      </c>
      <c r="N99" s="42" t="s">
        <v>160</v>
      </c>
      <c r="O99" s="46">
        <v>1</v>
      </c>
      <c r="P99" s="46">
        <v>1</v>
      </c>
      <c r="Q99" s="25" t="str">
        <f>VLOOKUP(P99,Key!$E$2:$F$9,2,FALSE)</f>
        <v>Home</v>
      </c>
      <c r="R99" s="25" t="str">
        <f t="shared" si="1"/>
        <v>Work-Home</v>
      </c>
      <c r="S99" s="47">
        <v>118</v>
      </c>
      <c r="T99" s="47">
        <v>4</v>
      </c>
      <c r="U99" s="46">
        <v>6</v>
      </c>
      <c r="V99" s="46">
        <v>8</v>
      </c>
      <c r="W99" s="46">
        <v>10</v>
      </c>
      <c r="X99" s="46"/>
      <c r="Y99" s="48" t="s">
        <v>162</v>
      </c>
      <c r="Z99" s="46"/>
      <c r="AA99" s="25">
        <f>VLOOKUP(F99,Zones!$A$2:$F$151534,6,FALSE)</f>
        <v>497</v>
      </c>
      <c r="AB99" s="25">
        <f>VLOOKUP(L99,Zones!$A$2:$F$151477,6,FALSE)</f>
        <v>521</v>
      </c>
    </row>
    <row r="100" spans="2:28">
      <c r="B100" s="40">
        <v>0.4694444444444445</v>
      </c>
      <c r="C100" s="40" t="s">
        <v>297</v>
      </c>
      <c r="D100" s="45">
        <v>7</v>
      </c>
      <c r="E100" s="42">
        <v>2</v>
      </c>
      <c r="F100" s="42" t="s">
        <v>220</v>
      </c>
      <c r="G100" s="43" t="s">
        <v>154</v>
      </c>
      <c r="H100" s="42" t="s">
        <v>160</v>
      </c>
      <c r="I100" s="43">
        <v>9</v>
      </c>
      <c r="J100" s="43">
        <v>1</v>
      </c>
      <c r="K100" s="25" t="str">
        <f>VLOOKUP(J100,Key!$E$2:$F$9,2,FALSE)</f>
        <v>Home</v>
      </c>
      <c r="L100" s="41" t="s">
        <v>154</v>
      </c>
      <c r="M100" s="43" t="s">
        <v>154</v>
      </c>
      <c r="N100" s="42" t="s">
        <v>160</v>
      </c>
      <c r="O100" s="46">
        <v>1</v>
      </c>
      <c r="P100" s="46">
        <v>1</v>
      </c>
      <c r="Q100" s="25" t="str">
        <f>VLOOKUP(P100,Key!$E$2:$F$9,2,FALSE)</f>
        <v>Home</v>
      </c>
      <c r="R100" s="25" t="str">
        <f t="shared" si="1"/>
        <v>Home-Home</v>
      </c>
      <c r="S100" s="47"/>
      <c r="T100" s="47">
        <v>0.8</v>
      </c>
      <c r="U100" s="46">
        <v>5</v>
      </c>
      <c r="V100" s="46"/>
      <c r="W100" s="46"/>
      <c r="X100" s="46"/>
      <c r="Y100" s="48" t="s">
        <v>162</v>
      </c>
      <c r="Z100" s="46"/>
      <c r="AA100" s="25">
        <f>VLOOKUP(F100,Zones!$A$2:$F$151534,6,FALSE)</f>
        <v>369</v>
      </c>
      <c r="AB100" s="25">
        <f>VLOOKUP(L100,Zones!$A$2:$F$151477,6,FALSE)</f>
        <v>365</v>
      </c>
    </row>
    <row r="101" spans="2:28">
      <c r="B101" s="40">
        <v>0.46875</v>
      </c>
      <c r="C101" s="40" t="s">
        <v>298</v>
      </c>
      <c r="D101" s="44">
        <v>1</v>
      </c>
      <c r="E101" s="45">
        <v>3</v>
      </c>
      <c r="F101" s="42" t="s">
        <v>161</v>
      </c>
      <c r="G101" s="43" t="s">
        <v>154</v>
      </c>
      <c r="H101" s="42" t="s">
        <v>160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154</v>
      </c>
      <c r="M101" s="43" t="s">
        <v>154</v>
      </c>
      <c r="N101" s="42" t="s">
        <v>160</v>
      </c>
      <c r="O101" s="46">
        <v>1</v>
      </c>
      <c r="P101" s="46">
        <v>1</v>
      </c>
      <c r="Q101" s="25" t="str">
        <f>VLOOKUP(P101,Key!$E$2:$F$9,2,FALSE)</f>
        <v>Home</v>
      </c>
      <c r="R101" s="25" t="str">
        <f t="shared" si="1"/>
        <v>Home-Home</v>
      </c>
      <c r="S101" s="47"/>
      <c r="T101" s="47">
        <v>1</v>
      </c>
      <c r="U101" s="46">
        <v>6</v>
      </c>
      <c r="V101" s="46"/>
      <c r="W101" s="46"/>
      <c r="X101" s="46"/>
      <c r="Y101" s="48" t="s">
        <v>162</v>
      </c>
      <c r="Z101" s="46"/>
      <c r="AA101" s="25">
        <f>VLOOKUP(F101,Zones!$A$2:$F$151534,6,FALSE)</f>
        <v>845</v>
      </c>
      <c r="AB101" s="25">
        <f>VLOOKUP(L101,Zones!$A$2:$F$151477,6,FALSE)</f>
        <v>365</v>
      </c>
    </row>
    <row r="102" spans="2:28">
      <c r="B102" s="40">
        <v>0.41666666666666669</v>
      </c>
      <c r="C102" s="40" t="s">
        <v>299</v>
      </c>
      <c r="D102" s="45">
        <v>2</v>
      </c>
      <c r="E102" s="45">
        <v>2</v>
      </c>
      <c r="F102" s="42" t="s">
        <v>300</v>
      </c>
      <c r="G102" s="43" t="s">
        <v>154</v>
      </c>
      <c r="H102" s="42" t="s">
        <v>160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154</v>
      </c>
      <c r="M102" s="43" t="s">
        <v>154</v>
      </c>
      <c r="N102" s="42" t="s">
        <v>160</v>
      </c>
      <c r="O102" s="46">
        <v>2</v>
      </c>
      <c r="P102" s="46">
        <v>2</v>
      </c>
      <c r="Q102" s="25" t="str">
        <f>VLOOKUP(P102,Key!$E$2:$F$9,2,FALSE)</f>
        <v>Work</v>
      </c>
      <c r="R102" s="25" t="str">
        <f t="shared" si="1"/>
        <v>Work-Work</v>
      </c>
      <c r="S102" s="47"/>
      <c r="T102" s="47">
        <v>0.5</v>
      </c>
      <c r="U102" s="46">
        <v>6</v>
      </c>
      <c r="V102" s="46"/>
      <c r="W102" s="46"/>
      <c r="X102" s="46"/>
      <c r="Y102" s="48" t="s">
        <v>162</v>
      </c>
      <c r="Z102" s="46"/>
      <c r="AA102" s="25">
        <f>VLOOKUP(F102,Zones!$A$2:$F$151534,6,FALSE)</f>
        <v>369</v>
      </c>
      <c r="AB102" s="25">
        <f>VLOOKUP(L102,Zones!$A$2:$F$151477,6,FALSE)</f>
        <v>365</v>
      </c>
    </row>
    <row r="103" spans="2:28">
      <c r="B103" s="40">
        <v>0.4152777777777778</v>
      </c>
      <c r="C103" s="40" t="s">
        <v>301</v>
      </c>
      <c r="D103" s="44">
        <v>1</v>
      </c>
      <c r="E103" s="42">
        <v>1</v>
      </c>
      <c r="F103" s="42" t="s">
        <v>302</v>
      </c>
      <c r="G103" s="43" t="s">
        <v>155</v>
      </c>
      <c r="H103" s="42" t="s">
        <v>160</v>
      </c>
      <c r="I103" s="43">
        <v>2</v>
      </c>
      <c r="J103" s="43">
        <v>2</v>
      </c>
      <c r="K103" s="25" t="str">
        <f>VLOOKUP(J103,Key!$E$2:$F$9,2,FALSE)</f>
        <v>Work</v>
      </c>
      <c r="L103" s="42" t="s">
        <v>154</v>
      </c>
      <c r="M103" s="43" t="s">
        <v>154</v>
      </c>
      <c r="N103" s="42" t="s">
        <v>160</v>
      </c>
      <c r="O103" s="46">
        <v>2</v>
      </c>
      <c r="P103" s="46">
        <v>2</v>
      </c>
      <c r="Q103" s="25" t="str">
        <f>VLOOKUP(P103,Key!$E$2:$F$9,2,FALSE)</f>
        <v>Work</v>
      </c>
      <c r="R103" s="25" t="str">
        <f t="shared" si="1"/>
        <v>Work-Work</v>
      </c>
      <c r="S103" s="47"/>
      <c r="T103" s="47">
        <v>0.8</v>
      </c>
      <c r="U103" s="46">
        <v>6</v>
      </c>
      <c r="V103" s="46"/>
      <c r="W103" s="46"/>
      <c r="X103" s="46"/>
      <c r="Y103" s="48" t="s">
        <v>218</v>
      </c>
      <c r="Z103" s="46"/>
      <c r="AA103" s="25">
        <f>VLOOKUP(F103,Zones!$A$2:$F$151534,6,FALSE)</f>
        <v>372</v>
      </c>
      <c r="AB103" s="25">
        <f>VLOOKUP(L103,Zones!$A$2:$F$151477,6,FALSE)</f>
        <v>365</v>
      </c>
    </row>
    <row r="104" spans="2:28">
      <c r="B104" s="40">
        <v>0.39444444444444443</v>
      </c>
      <c r="C104" s="40" t="s">
        <v>303</v>
      </c>
      <c r="D104" s="45">
        <v>4</v>
      </c>
      <c r="E104" s="45">
        <v>14</v>
      </c>
      <c r="F104" s="59" t="s">
        <v>331</v>
      </c>
      <c r="G104" s="43" t="s">
        <v>154</v>
      </c>
      <c r="H104" s="42" t="s">
        <v>160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154</v>
      </c>
      <c r="M104" s="43" t="s">
        <v>154</v>
      </c>
      <c r="N104" s="42" t="s">
        <v>160</v>
      </c>
      <c r="O104" s="46">
        <v>6</v>
      </c>
      <c r="P104" s="46">
        <v>2</v>
      </c>
      <c r="Q104" s="25" t="str">
        <f>VLOOKUP(P104,Key!$E$2:$F$9,2,FALSE)</f>
        <v>Work</v>
      </c>
      <c r="R104" s="25" t="str">
        <f t="shared" si="1"/>
        <v>Home-Work</v>
      </c>
      <c r="S104" s="47">
        <v>12</v>
      </c>
      <c r="T104" s="47">
        <v>2</v>
      </c>
      <c r="U104" s="46">
        <v>2</v>
      </c>
      <c r="V104" s="46"/>
      <c r="W104" s="46"/>
      <c r="X104" s="46"/>
      <c r="Y104" s="48" t="s">
        <v>162</v>
      </c>
      <c r="Z104" s="46"/>
      <c r="AA104" s="25">
        <f>VLOOKUP(F104,Zones!$A$2:$F$151534,6,FALSE)</f>
        <v>374</v>
      </c>
      <c r="AB104" s="25">
        <f>VLOOKUP(L104,Zones!$A$2:$F$151477,6,FALSE)</f>
        <v>365</v>
      </c>
    </row>
    <row r="105" spans="2:28">
      <c r="B105" s="40">
        <v>0.39583333333333331</v>
      </c>
      <c r="C105" s="40" t="s">
        <v>305</v>
      </c>
      <c r="D105" s="44">
        <v>4</v>
      </c>
      <c r="E105" s="45">
        <v>14</v>
      </c>
      <c r="F105" s="59" t="s">
        <v>173</v>
      </c>
      <c r="G105" s="43" t="s">
        <v>154</v>
      </c>
      <c r="H105" s="42" t="s">
        <v>160</v>
      </c>
      <c r="I105" s="43">
        <v>2</v>
      </c>
      <c r="J105" s="43">
        <v>2</v>
      </c>
      <c r="K105" s="25" t="str">
        <f>VLOOKUP(J105,Key!$E$2:$F$9,2,FALSE)</f>
        <v>Work</v>
      </c>
      <c r="L105" s="42" t="s">
        <v>154</v>
      </c>
      <c r="M105" s="43" t="s">
        <v>154</v>
      </c>
      <c r="N105" s="42" t="s">
        <v>160</v>
      </c>
      <c r="O105" s="46">
        <v>6</v>
      </c>
      <c r="P105" s="46">
        <v>2</v>
      </c>
      <c r="Q105" s="25" t="str">
        <f>VLOOKUP(P105,Key!$E$2:$F$9,2,FALSE)</f>
        <v>Work</v>
      </c>
      <c r="R105" s="25" t="str">
        <f t="shared" si="1"/>
        <v>Work-Work</v>
      </c>
      <c r="S105" s="47">
        <v>7</v>
      </c>
      <c r="T105" s="47">
        <v>0.3</v>
      </c>
      <c r="U105" s="46">
        <v>2</v>
      </c>
      <c r="V105" s="46"/>
      <c r="W105" s="46"/>
      <c r="X105" s="46"/>
      <c r="Y105" s="48" t="s">
        <v>162</v>
      </c>
      <c r="Z105" s="46"/>
      <c r="AA105" s="25">
        <f>VLOOKUP(F105,Zones!$A$2:$F$151534,6,FALSE)</f>
        <v>368</v>
      </c>
      <c r="AB105" s="25">
        <f>VLOOKUP(L105,Zones!$A$2:$F$151477,6,FALSE)</f>
        <v>365</v>
      </c>
    </row>
    <row r="106" spans="2:28">
      <c r="B106" s="40">
        <v>0.4236111111111111</v>
      </c>
      <c r="C106" s="40" t="s">
        <v>306</v>
      </c>
      <c r="D106" s="45">
        <v>4</v>
      </c>
      <c r="E106" s="45">
        <v>14</v>
      </c>
      <c r="F106" s="42" t="s">
        <v>155</v>
      </c>
      <c r="G106" s="43" t="s">
        <v>155</v>
      </c>
      <c r="H106" s="42" t="s">
        <v>160</v>
      </c>
      <c r="I106" s="43">
        <v>6</v>
      </c>
      <c r="J106" s="43">
        <v>2</v>
      </c>
      <c r="K106" s="25" t="str">
        <f>VLOOKUP(J106,Key!$E$2:$F$9,2,FALSE)</f>
        <v>Work</v>
      </c>
      <c r="L106" s="42" t="s">
        <v>168</v>
      </c>
      <c r="M106" s="43" t="s">
        <v>168</v>
      </c>
      <c r="N106" s="42" t="s">
        <v>160</v>
      </c>
      <c r="O106" s="46">
        <v>2</v>
      </c>
      <c r="P106" s="46">
        <v>2</v>
      </c>
      <c r="Q106" s="25" t="str">
        <f>VLOOKUP(P106,Key!$E$2:$F$9,2,FALSE)</f>
        <v>Work</v>
      </c>
      <c r="R106" s="25" t="str">
        <f t="shared" si="1"/>
        <v>Work-Work</v>
      </c>
      <c r="S106" s="47">
        <v>130</v>
      </c>
      <c r="T106" s="47">
        <v>4</v>
      </c>
      <c r="U106" s="46">
        <v>2</v>
      </c>
      <c r="V106" s="46"/>
      <c r="W106" s="46"/>
      <c r="X106" s="46"/>
      <c r="Y106" s="48" t="s">
        <v>162</v>
      </c>
      <c r="Z106" s="46"/>
      <c r="AA106" s="25">
        <f>VLOOKUP(F106,Zones!$A$2:$F$151534,6,FALSE)</f>
        <v>498</v>
      </c>
      <c r="AB106" s="25">
        <f>VLOOKUP(L106,Zones!$A$2:$F$151477,6,FALSE)</f>
        <v>521</v>
      </c>
    </row>
    <row r="107" spans="2:28">
      <c r="B107" s="40">
        <v>0.42708333333333331</v>
      </c>
      <c r="C107" s="40" t="s">
        <v>307</v>
      </c>
      <c r="D107" s="45">
        <v>1</v>
      </c>
      <c r="E107" s="45">
        <v>4</v>
      </c>
      <c r="F107" s="42" t="s">
        <v>155</v>
      </c>
      <c r="G107" s="43" t="s">
        <v>155</v>
      </c>
      <c r="H107" s="42" t="s">
        <v>160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154</v>
      </c>
      <c r="M107" s="43" t="s">
        <v>154</v>
      </c>
      <c r="N107" s="42" t="s">
        <v>160</v>
      </c>
      <c r="O107" s="46">
        <v>2</v>
      </c>
      <c r="P107" s="46">
        <v>2</v>
      </c>
      <c r="Q107" s="25" t="str">
        <f>VLOOKUP(P107,Key!$E$2:$F$9,2,FALSE)</f>
        <v>Work</v>
      </c>
      <c r="R107" s="25" t="str">
        <f t="shared" si="1"/>
        <v>Home-Work</v>
      </c>
      <c r="S107" s="47">
        <v>35</v>
      </c>
      <c r="T107" s="47">
        <v>1</v>
      </c>
      <c r="U107" s="46">
        <v>2</v>
      </c>
      <c r="V107" s="46"/>
      <c r="W107" s="46"/>
      <c r="X107" s="46"/>
      <c r="Y107" s="48" t="s">
        <v>162</v>
      </c>
      <c r="Z107" s="46"/>
      <c r="AA107" s="25">
        <f>VLOOKUP(F107,Zones!$A$2:$F$151534,6,FALSE)</f>
        <v>498</v>
      </c>
      <c r="AB107" s="25">
        <f>VLOOKUP(L107,Zones!$A$2:$F$151477,6,FALSE)</f>
        <v>365</v>
      </c>
    </row>
    <row r="108" spans="2:28">
      <c r="B108" s="40">
        <v>2.0833333333333332E-2</v>
      </c>
      <c r="C108" s="40" t="s">
        <v>308</v>
      </c>
      <c r="D108" s="45">
        <v>1</v>
      </c>
      <c r="E108" s="45">
        <v>1</v>
      </c>
      <c r="F108" s="42" t="s">
        <v>155</v>
      </c>
      <c r="G108" s="43" t="s">
        <v>155</v>
      </c>
      <c r="H108" s="42" t="s">
        <v>160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154</v>
      </c>
      <c r="M108" s="43" t="s">
        <v>154</v>
      </c>
      <c r="N108" s="42" t="s">
        <v>160</v>
      </c>
      <c r="O108" s="46">
        <v>16</v>
      </c>
      <c r="P108" s="46">
        <v>2</v>
      </c>
      <c r="Q108" s="25" t="str">
        <f>VLOOKUP(P108,Key!$E$2:$F$9,2,FALSE)</f>
        <v>Work</v>
      </c>
      <c r="R108" s="25" t="str">
        <f t="shared" si="1"/>
        <v>Home-Work</v>
      </c>
      <c r="S108" s="47">
        <v>35</v>
      </c>
      <c r="T108" s="47">
        <v>0.5</v>
      </c>
      <c r="U108" s="46">
        <v>4</v>
      </c>
      <c r="V108" s="46"/>
      <c r="W108" s="46"/>
      <c r="X108" s="46"/>
      <c r="Y108" s="48" t="s">
        <v>162</v>
      </c>
      <c r="Z108" s="46"/>
      <c r="AA108" s="25">
        <f>VLOOKUP(F108,Zones!$A$2:$F$151534,6,FALSE)</f>
        <v>498</v>
      </c>
      <c r="AB108" s="25">
        <f>VLOOKUP(L108,Zones!$A$2:$F$151477,6,FALSE)</f>
        <v>365</v>
      </c>
    </row>
    <row r="109" spans="2:28">
      <c r="B109" s="40">
        <v>3.125E-2</v>
      </c>
      <c r="C109" s="40" t="s">
        <v>309</v>
      </c>
      <c r="D109" s="44">
        <v>7</v>
      </c>
      <c r="E109" s="45">
        <v>4</v>
      </c>
      <c r="F109" s="42" t="s">
        <v>155</v>
      </c>
      <c r="G109" s="43" t="s">
        <v>155</v>
      </c>
      <c r="H109" s="42" t="s">
        <v>160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154</v>
      </c>
      <c r="M109" s="43" t="s">
        <v>154</v>
      </c>
      <c r="N109" s="42" t="s">
        <v>160</v>
      </c>
      <c r="O109" s="46">
        <v>2</v>
      </c>
      <c r="P109" s="46">
        <v>2</v>
      </c>
      <c r="Q109" s="25" t="str">
        <f>VLOOKUP(P109,Key!$E$2:$F$9,2,FALSE)</f>
        <v>Work</v>
      </c>
      <c r="R109" s="25" t="str">
        <f t="shared" si="1"/>
        <v>Work-Work</v>
      </c>
      <c r="S109" s="47"/>
      <c r="T109" s="47">
        <v>0.8</v>
      </c>
      <c r="U109" s="46">
        <v>1</v>
      </c>
      <c r="V109" s="46">
        <v>1</v>
      </c>
      <c r="W109" s="46"/>
      <c r="X109" s="46"/>
      <c r="Y109" s="48" t="s">
        <v>218</v>
      </c>
      <c r="Z109" s="46"/>
      <c r="AA109" s="25">
        <f>VLOOKUP(F109,Zones!$A$2:$F$151534,6,FALSE)</f>
        <v>498</v>
      </c>
      <c r="AB109" s="25">
        <f>VLOOKUP(L109,Zones!$A$2:$F$151477,6,FALSE)</f>
        <v>365</v>
      </c>
    </row>
    <row r="110" spans="2:28">
      <c r="B110" s="40">
        <v>0.37638888888888888</v>
      </c>
      <c r="C110" s="40" t="s">
        <v>310</v>
      </c>
      <c r="D110" s="45">
        <v>1</v>
      </c>
      <c r="E110" s="45">
        <v>2</v>
      </c>
      <c r="F110" s="42" t="s">
        <v>155</v>
      </c>
      <c r="G110" s="43" t="s">
        <v>155</v>
      </c>
      <c r="H110" s="42" t="s">
        <v>160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154</v>
      </c>
      <c r="M110" s="43" t="s">
        <v>154</v>
      </c>
      <c r="N110" s="42" t="s">
        <v>160</v>
      </c>
      <c r="O110" s="46">
        <v>2</v>
      </c>
      <c r="P110" s="46">
        <v>2</v>
      </c>
      <c r="Q110" s="25" t="str">
        <f>VLOOKUP(P110,Key!$E$2:$F$9,2,FALSE)</f>
        <v>Work</v>
      </c>
      <c r="R110" s="25" t="str">
        <f t="shared" si="1"/>
        <v>Home-Work</v>
      </c>
      <c r="S110" s="47">
        <v>32</v>
      </c>
      <c r="T110" s="47">
        <v>0.8</v>
      </c>
      <c r="U110" s="46">
        <v>5</v>
      </c>
      <c r="V110" s="46"/>
      <c r="W110" s="46"/>
      <c r="X110" s="46"/>
      <c r="Y110" s="48" t="s">
        <v>218</v>
      </c>
      <c r="Z110" s="46"/>
      <c r="AA110" s="25">
        <f>VLOOKUP(F110,Zones!$A$2:$F$151534,6,FALSE)</f>
        <v>498</v>
      </c>
      <c r="AB110" s="25">
        <f>VLOOKUP(L110,Zones!$A$2:$F$151477,6,FALSE)</f>
        <v>365</v>
      </c>
    </row>
    <row r="111" spans="2:28">
      <c r="B111" s="40">
        <v>0.6875</v>
      </c>
      <c r="C111" s="40" t="s">
        <v>375</v>
      </c>
      <c r="D111" s="41">
        <v>1</v>
      </c>
      <c r="E111" s="42">
        <v>2</v>
      </c>
      <c r="F111" s="42" t="s">
        <v>154</v>
      </c>
      <c r="G111" s="43" t="s">
        <v>154</v>
      </c>
      <c r="H111" s="42" t="s">
        <v>160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220</v>
      </c>
      <c r="M111" s="43" t="s">
        <v>154</v>
      </c>
      <c r="N111" s="42" t="s">
        <v>160</v>
      </c>
      <c r="O111" s="43">
        <v>16</v>
      </c>
      <c r="P111" s="43">
        <v>8</v>
      </c>
      <c r="Q111" s="25" t="str">
        <f>VLOOKUP(P111,Key!$E$2:$F$9,2,FALSE)</f>
        <v>Others</v>
      </c>
      <c r="R111" s="25" t="str">
        <f>K111&amp;"-"&amp;Q111</f>
        <v>Home-Others</v>
      </c>
      <c r="S111" s="47"/>
      <c r="T111" s="47">
        <v>0.5</v>
      </c>
      <c r="U111" s="43">
        <v>6</v>
      </c>
      <c r="V111" s="43"/>
      <c r="W111" s="47"/>
      <c r="X111" s="47"/>
      <c r="Y111" s="48" t="s">
        <v>162</v>
      </c>
      <c r="Z111" s="49"/>
      <c r="AA111" s="25">
        <f>VLOOKUP(F111,Zones!$A$2:$F$151534,6,FALSE)</f>
        <v>365</v>
      </c>
      <c r="AB111" s="25">
        <f>VLOOKUP(L111,Zones!$A$2:$F$151477,6,FALSE)</f>
        <v>369</v>
      </c>
    </row>
    <row r="112" spans="2:28">
      <c r="B112" s="40">
        <v>0.69097222222222221</v>
      </c>
      <c r="C112" s="40" t="s">
        <v>376</v>
      </c>
      <c r="D112" s="41">
        <v>2</v>
      </c>
      <c r="E112" s="42">
        <v>3</v>
      </c>
      <c r="F112" s="42" t="s">
        <v>154</v>
      </c>
      <c r="G112" s="43" t="s">
        <v>154</v>
      </c>
      <c r="H112" s="42" t="s">
        <v>160</v>
      </c>
      <c r="I112" s="43">
        <v>1</v>
      </c>
      <c r="J112" s="43">
        <v>1</v>
      </c>
      <c r="K112" s="25" t="str">
        <f>VLOOKUP(J112,Key!$E$2:$F$9,2,FALSE)</f>
        <v>Home</v>
      </c>
      <c r="L112" s="59" t="s">
        <v>2528</v>
      </c>
      <c r="M112" s="43" t="s">
        <v>164</v>
      </c>
      <c r="N112" s="42" t="s">
        <v>160</v>
      </c>
      <c r="O112" s="43">
        <v>16</v>
      </c>
      <c r="P112" s="43">
        <v>8</v>
      </c>
      <c r="Q112" s="25" t="str">
        <f>VLOOKUP(P112,Key!$E$2:$F$9,2,FALSE)</f>
        <v>Others</v>
      </c>
      <c r="R112" s="25" t="str">
        <f t="shared" ref="R112:R175" si="2">K112&amp;"-"&amp;Q112</f>
        <v>Home-Others</v>
      </c>
      <c r="S112" s="47"/>
      <c r="T112" s="47">
        <v>1</v>
      </c>
      <c r="U112" s="43">
        <v>3</v>
      </c>
      <c r="V112" s="43"/>
      <c r="W112" s="47"/>
      <c r="X112" s="47"/>
      <c r="Y112" s="48" t="s">
        <v>162</v>
      </c>
      <c r="Z112" s="49"/>
      <c r="AA112" s="25">
        <f>VLOOKUP(F112,Zones!$A$2:$F$151534,6,FALSE)</f>
        <v>365</v>
      </c>
      <c r="AB112" s="25">
        <f>VLOOKUP(L112,Zones!$A$2:$F$151477,6,FALSE)</f>
        <v>400</v>
      </c>
    </row>
    <row r="113" spans="2:28">
      <c r="B113" s="40">
        <v>0.68055555555555547</v>
      </c>
      <c r="C113" s="40" t="s">
        <v>377</v>
      </c>
      <c r="D113" s="41">
        <v>2</v>
      </c>
      <c r="E113" s="42">
        <v>1</v>
      </c>
      <c r="F113" s="42" t="s">
        <v>154</v>
      </c>
      <c r="G113" s="43" t="s">
        <v>154</v>
      </c>
      <c r="H113" s="42" t="s">
        <v>160</v>
      </c>
      <c r="I113" s="43">
        <v>2</v>
      </c>
      <c r="J113" s="43">
        <v>2</v>
      </c>
      <c r="K113" s="25" t="str">
        <f>VLOOKUP(J113,Key!$E$2:$F$9,2,FALSE)</f>
        <v>Work</v>
      </c>
      <c r="L113" s="42" t="s">
        <v>220</v>
      </c>
      <c r="M113" s="43" t="s">
        <v>154</v>
      </c>
      <c r="N113" s="42" t="s">
        <v>160</v>
      </c>
      <c r="O113" s="43">
        <v>1</v>
      </c>
      <c r="P113" s="43">
        <v>1</v>
      </c>
      <c r="Q113" s="25" t="str">
        <f>VLOOKUP(P113,Key!$E$2:$F$9,2,FALSE)</f>
        <v>Home</v>
      </c>
      <c r="R113" s="25" t="str">
        <f t="shared" si="2"/>
        <v>Work-Home</v>
      </c>
      <c r="S113" s="47"/>
      <c r="T113" s="47">
        <v>0.5</v>
      </c>
      <c r="U113" s="43">
        <v>2</v>
      </c>
      <c r="V113" s="43"/>
      <c r="W113" s="47"/>
      <c r="X113" s="47"/>
      <c r="Y113" s="48" t="s">
        <v>162</v>
      </c>
      <c r="Z113" s="49"/>
      <c r="AA113" s="25">
        <f>VLOOKUP(F113,Zones!$A$2:$F$151534,6,FALSE)</f>
        <v>365</v>
      </c>
      <c r="AB113" s="25">
        <f>VLOOKUP(L113,Zones!$A$2:$F$151477,6,FALSE)</f>
        <v>369</v>
      </c>
    </row>
    <row r="114" spans="2:28">
      <c r="B114" s="40">
        <v>0.67708333333333337</v>
      </c>
      <c r="C114" s="40" t="s">
        <v>378</v>
      </c>
      <c r="D114" s="41">
        <v>8</v>
      </c>
      <c r="E114" s="42">
        <v>1</v>
      </c>
      <c r="F114" s="42" t="s">
        <v>154</v>
      </c>
      <c r="G114" s="43" t="s">
        <v>154</v>
      </c>
      <c r="H114" s="42" t="s">
        <v>160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220</v>
      </c>
      <c r="M114" s="43" t="s">
        <v>154</v>
      </c>
      <c r="N114" s="42" t="s">
        <v>160</v>
      </c>
      <c r="O114" s="43">
        <v>9</v>
      </c>
      <c r="P114" s="43">
        <v>2</v>
      </c>
      <c r="Q114" s="25" t="str">
        <f>VLOOKUP(P114,Key!$E$2:$F$9,2,FALSE)</f>
        <v>Work</v>
      </c>
      <c r="R114" s="25" t="str">
        <f t="shared" si="2"/>
        <v>Home-Work</v>
      </c>
      <c r="S114" s="47"/>
      <c r="T114" s="47">
        <v>0.5</v>
      </c>
      <c r="U114" s="43">
        <v>2</v>
      </c>
      <c r="V114" s="43"/>
      <c r="W114" s="47"/>
      <c r="X114" s="47"/>
      <c r="Y114" s="48" t="s">
        <v>162</v>
      </c>
      <c r="Z114" s="49"/>
      <c r="AA114" s="25">
        <f>VLOOKUP(F114,Zones!$A$2:$F$151534,6,FALSE)</f>
        <v>365</v>
      </c>
      <c r="AB114" s="25">
        <f>VLOOKUP(L114,Zones!$A$2:$F$151477,6,FALSE)</f>
        <v>369</v>
      </c>
    </row>
    <row r="115" spans="2:28">
      <c r="B115" s="40">
        <v>0.69791666666666663</v>
      </c>
      <c r="C115" s="40" t="s">
        <v>371</v>
      </c>
      <c r="D115" s="41">
        <v>1</v>
      </c>
      <c r="E115" s="42">
        <v>2</v>
      </c>
      <c r="F115" s="42" t="s">
        <v>154</v>
      </c>
      <c r="G115" s="43" t="s">
        <v>154</v>
      </c>
      <c r="H115" s="42" t="s">
        <v>160</v>
      </c>
      <c r="I115" s="43">
        <v>16</v>
      </c>
      <c r="J115" s="43">
        <v>8</v>
      </c>
      <c r="K115" s="25" t="str">
        <f>VLOOKUP(J115,Key!$E$2:$F$9,2,FALSE)</f>
        <v>Others</v>
      </c>
      <c r="L115" s="42" t="s">
        <v>161</v>
      </c>
      <c r="M115" s="43" t="s">
        <v>154</v>
      </c>
      <c r="N115" s="42" t="s">
        <v>160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2"/>
        <v>Others-Home</v>
      </c>
      <c r="S115" s="47">
        <v>27</v>
      </c>
      <c r="T115" s="47">
        <v>2</v>
      </c>
      <c r="U115" s="43">
        <v>6</v>
      </c>
      <c r="V115" s="43"/>
      <c r="W115" s="47"/>
      <c r="X115" s="47"/>
      <c r="Y115" s="48" t="s">
        <v>162</v>
      </c>
      <c r="Z115" s="49"/>
      <c r="AA115" s="25">
        <f>VLOOKUP(F115,Zones!$A$2:$F$151534,6,FALSE)</f>
        <v>365</v>
      </c>
      <c r="AB115" s="25">
        <f>VLOOKUP(L115,Zones!$A$2:$F$151477,6,FALSE)</f>
        <v>845</v>
      </c>
    </row>
    <row r="116" spans="2:28">
      <c r="B116" s="40">
        <v>0.69305555555555554</v>
      </c>
      <c r="C116" s="40" t="s">
        <v>379</v>
      </c>
      <c r="D116" s="41">
        <v>7</v>
      </c>
      <c r="E116" s="42">
        <v>4</v>
      </c>
      <c r="F116" s="42" t="s">
        <v>154</v>
      </c>
      <c r="G116" s="43" t="s">
        <v>154</v>
      </c>
      <c r="H116" s="42" t="s">
        <v>160</v>
      </c>
      <c r="I116" s="43">
        <v>10</v>
      </c>
      <c r="J116" s="43">
        <v>2</v>
      </c>
      <c r="K116" s="25" t="str">
        <f>VLOOKUP(J116,Key!$E$2:$F$9,2,FALSE)</f>
        <v>Work</v>
      </c>
      <c r="L116" s="59" t="s">
        <v>173</v>
      </c>
      <c r="M116" s="43" t="s">
        <v>154</v>
      </c>
      <c r="N116" s="42" t="s">
        <v>160</v>
      </c>
      <c r="O116" s="43">
        <v>1</v>
      </c>
      <c r="P116" s="43">
        <v>1</v>
      </c>
      <c r="Q116" s="25" t="str">
        <f>VLOOKUP(P116,Key!$E$2:$F$9,2,FALSE)</f>
        <v>Home</v>
      </c>
      <c r="R116" s="25" t="str">
        <f t="shared" si="2"/>
        <v>Work-Home</v>
      </c>
      <c r="S116" s="47"/>
      <c r="T116" s="47">
        <v>1</v>
      </c>
      <c r="U116" s="43">
        <v>2</v>
      </c>
      <c r="V116" s="43"/>
      <c r="W116" s="47"/>
      <c r="X116" s="47"/>
      <c r="Y116" s="48" t="s">
        <v>162</v>
      </c>
      <c r="Z116" s="49"/>
      <c r="AA116" s="25">
        <f>VLOOKUP(F116,Zones!$A$2:$F$151534,6,FALSE)</f>
        <v>365</v>
      </c>
      <c r="AB116" s="25">
        <f>VLOOKUP(L116,Zones!$A$2:$F$151477,6,FALSE)</f>
        <v>368</v>
      </c>
    </row>
    <row r="117" spans="2:28">
      <c r="B117" s="40">
        <v>0.70486111111111116</v>
      </c>
      <c r="C117" s="40" t="s">
        <v>381</v>
      </c>
      <c r="D117" s="41">
        <v>3</v>
      </c>
      <c r="E117" s="42">
        <v>3</v>
      </c>
      <c r="F117" s="42" t="s">
        <v>154</v>
      </c>
      <c r="G117" s="43" t="s">
        <v>154</v>
      </c>
      <c r="H117" s="42" t="s">
        <v>160</v>
      </c>
      <c r="I117" s="43">
        <v>1</v>
      </c>
      <c r="J117" s="43">
        <v>1</v>
      </c>
      <c r="K117" s="25" t="str">
        <f>VLOOKUP(J117,Key!$E$2:$F$9,2,FALSE)</f>
        <v>Home</v>
      </c>
      <c r="L117" s="59" t="s">
        <v>2469</v>
      </c>
      <c r="M117" s="43" t="s">
        <v>155</v>
      </c>
      <c r="N117" s="42" t="s">
        <v>160</v>
      </c>
      <c r="O117" s="43">
        <v>11</v>
      </c>
      <c r="P117" s="43">
        <v>2</v>
      </c>
      <c r="Q117" s="25" t="str">
        <f>VLOOKUP(P117,Key!$E$2:$F$9,2,FALSE)</f>
        <v>Work</v>
      </c>
      <c r="R117" s="25" t="str">
        <f t="shared" si="2"/>
        <v>Home-Work</v>
      </c>
      <c r="S117" s="47"/>
      <c r="T117" s="47">
        <v>2</v>
      </c>
      <c r="U117" s="43">
        <v>2</v>
      </c>
      <c r="V117" s="43"/>
      <c r="W117" s="47"/>
      <c r="X117" s="47"/>
      <c r="Y117" s="48" t="s">
        <v>162</v>
      </c>
      <c r="Z117" s="49"/>
      <c r="AA117" s="25">
        <f>VLOOKUP(F117,Zones!$A$2:$F$151534,6,FALSE)</f>
        <v>365</v>
      </c>
      <c r="AB117" s="25">
        <f>VLOOKUP(L117,Zones!$A$2:$F$151477,6,FALSE)</f>
        <v>1408</v>
      </c>
    </row>
    <row r="118" spans="2:28">
      <c r="B118" s="40">
        <v>0.7006944444444444</v>
      </c>
      <c r="C118" s="40" t="s">
        <v>382</v>
      </c>
      <c r="D118" s="41">
        <v>4</v>
      </c>
      <c r="E118" s="42">
        <v>14</v>
      </c>
      <c r="F118" s="42" t="s">
        <v>154</v>
      </c>
      <c r="G118" s="43" t="s">
        <v>154</v>
      </c>
      <c r="H118" s="42" t="s">
        <v>160</v>
      </c>
      <c r="I118" s="43">
        <v>6</v>
      </c>
      <c r="J118" s="43">
        <v>2</v>
      </c>
      <c r="K118" s="25" t="str">
        <f>VLOOKUP(J118,Key!$E$2:$F$9,2,FALSE)</f>
        <v>Work</v>
      </c>
      <c r="L118" s="59" t="s">
        <v>2469</v>
      </c>
      <c r="M118" s="43" t="s">
        <v>155</v>
      </c>
      <c r="N118" s="42" t="s">
        <v>160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47"/>
      <c r="T118" s="47">
        <v>2</v>
      </c>
      <c r="U118" s="43">
        <v>2</v>
      </c>
      <c r="V118" s="43"/>
      <c r="W118" s="47"/>
      <c r="X118" s="47"/>
      <c r="Y118" s="48" t="s">
        <v>162</v>
      </c>
      <c r="Z118" s="49"/>
      <c r="AA118" s="25">
        <f>VLOOKUP(F118,Zones!$A$2:$F$151534,6,FALSE)</f>
        <v>365</v>
      </c>
      <c r="AB118" s="25">
        <f>VLOOKUP(L118,Zones!$A$2:$F$151477,6,FALSE)</f>
        <v>1408</v>
      </c>
    </row>
    <row r="119" spans="2:28">
      <c r="B119" s="40">
        <v>0.72569444444444453</v>
      </c>
      <c r="C119" s="40" t="s">
        <v>323</v>
      </c>
      <c r="D119" s="41">
        <v>2</v>
      </c>
      <c r="E119" s="42">
        <v>1</v>
      </c>
      <c r="F119" s="42" t="s">
        <v>154</v>
      </c>
      <c r="G119" s="43" t="s">
        <v>154</v>
      </c>
      <c r="H119" s="42" t="s">
        <v>160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220</v>
      </c>
      <c r="M119" s="43" t="s">
        <v>154</v>
      </c>
      <c r="N119" s="42" t="s">
        <v>160</v>
      </c>
      <c r="O119" s="43">
        <v>16</v>
      </c>
      <c r="P119" s="43">
        <v>8</v>
      </c>
      <c r="Q119" s="25" t="str">
        <f>VLOOKUP(P119,Key!$E$2:$F$9,2,FALSE)</f>
        <v>Others</v>
      </c>
      <c r="R119" s="25" t="str">
        <f t="shared" si="2"/>
        <v>Home-Others</v>
      </c>
      <c r="S119" s="47"/>
      <c r="T119" s="47">
        <v>0.3</v>
      </c>
      <c r="U119" s="43">
        <v>2</v>
      </c>
      <c r="V119" s="43"/>
      <c r="W119" s="47"/>
      <c r="X119" s="47"/>
      <c r="Y119" s="48" t="s">
        <v>162</v>
      </c>
      <c r="Z119" s="49"/>
      <c r="AA119" s="25">
        <f>VLOOKUP(F119,Zones!$A$2:$F$151534,6,FALSE)</f>
        <v>365</v>
      </c>
      <c r="AB119" s="25">
        <f>VLOOKUP(L119,Zones!$A$2:$F$151477,6,FALSE)</f>
        <v>369</v>
      </c>
    </row>
    <row r="120" spans="2:28">
      <c r="B120" s="40">
        <v>0.62847222222222221</v>
      </c>
      <c r="C120" s="40" t="s">
        <v>324</v>
      </c>
      <c r="D120" s="41">
        <v>4</v>
      </c>
      <c r="E120" s="42">
        <v>14</v>
      </c>
      <c r="F120" s="42" t="s">
        <v>154</v>
      </c>
      <c r="G120" s="43" t="s">
        <v>154</v>
      </c>
      <c r="H120" s="42" t="s">
        <v>160</v>
      </c>
      <c r="I120" s="43">
        <v>6</v>
      </c>
      <c r="J120" s="43">
        <v>2</v>
      </c>
      <c r="K120" s="25" t="str">
        <f>VLOOKUP(J120,Key!$E$2:$F$9,2,FALSE)</f>
        <v>Work</v>
      </c>
      <c r="L120" s="42" t="s">
        <v>300</v>
      </c>
      <c r="M120" s="43" t="s">
        <v>154</v>
      </c>
      <c r="N120" s="42" t="s">
        <v>160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47">
        <v>2</v>
      </c>
      <c r="T120" s="47"/>
      <c r="U120" s="43">
        <v>2</v>
      </c>
      <c r="V120" s="43"/>
      <c r="W120" s="47"/>
      <c r="X120" s="47"/>
      <c r="Y120" s="48" t="s">
        <v>162</v>
      </c>
      <c r="Z120" s="49"/>
      <c r="AA120" s="25">
        <f>VLOOKUP(F120,Zones!$A$2:$F$151534,6,FALSE)</f>
        <v>365</v>
      </c>
      <c r="AB120" s="25">
        <f>VLOOKUP(L120,Zones!$A$2:$F$151477,6,FALSE)</f>
        <v>369</v>
      </c>
    </row>
    <row r="121" spans="2:28">
      <c r="B121" s="40">
        <v>0.71875</v>
      </c>
      <c r="C121" s="40" t="s">
        <v>383</v>
      </c>
      <c r="D121" s="41">
        <v>3</v>
      </c>
      <c r="E121" s="42">
        <v>4</v>
      </c>
      <c r="F121" s="42" t="s">
        <v>154</v>
      </c>
      <c r="G121" s="43" t="s">
        <v>154</v>
      </c>
      <c r="H121" s="42" t="s">
        <v>160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187</v>
      </c>
      <c r="M121" s="43" t="s">
        <v>154</v>
      </c>
      <c r="N121" s="42" t="s">
        <v>160</v>
      </c>
      <c r="O121" s="43">
        <v>16</v>
      </c>
      <c r="P121" s="43">
        <v>8</v>
      </c>
      <c r="Q121" s="25" t="str">
        <f>VLOOKUP(P121,Key!$E$2:$F$9,2,FALSE)</f>
        <v>Others</v>
      </c>
      <c r="R121" s="25" t="str">
        <f t="shared" si="2"/>
        <v>Home-Others</v>
      </c>
      <c r="S121" s="47"/>
      <c r="T121" s="47"/>
      <c r="U121" s="43">
        <v>2</v>
      </c>
      <c r="V121" s="43"/>
      <c r="W121" s="47"/>
      <c r="X121" s="47"/>
      <c r="Y121" s="48" t="s">
        <v>162</v>
      </c>
      <c r="Z121" s="49"/>
      <c r="AA121" s="25">
        <f>VLOOKUP(F121,Zones!$A$2:$F$151534,6,FALSE)</f>
        <v>365</v>
      </c>
      <c r="AB121" s="25">
        <f>VLOOKUP(L121,Zones!$A$2:$F$151477,6,FALSE)</f>
        <v>372</v>
      </c>
    </row>
    <row r="122" spans="2:28">
      <c r="B122" s="40">
        <v>0.65486111111111112</v>
      </c>
      <c r="C122" s="40" t="s">
        <v>384</v>
      </c>
      <c r="D122" s="41">
        <v>1</v>
      </c>
      <c r="E122" s="42">
        <v>3</v>
      </c>
      <c r="F122" s="42" t="s">
        <v>154</v>
      </c>
      <c r="G122" s="43" t="s">
        <v>154</v>
      </c>
      <c r="H122" s="42" t="s">
        <v>160</v>
      </c>
      <c r="I122" s="43">
        <v>16</v>
      </c>
      <c r="J122" s="43">
        <v>8</v>
      </c>
      <c r="K122" s="25" t="str">
        <f>VLOOKUP(J122,Key!$E$2:$F$9,2,FALSE)</f>
        <v>Others</v>
      </c>
      <c r="L122" s="59" t="s">
        <v>2469</v>
      </c>
      <c r="M122" s="43" t="s">
        <v>155</v>
      </c>
      <c r="N122" s="42" t="s">
        <v>160</v>
      </c>
      <c r="O122" s="43">
        <v>1</v>
      </c>
      <c r="P122" s="43">
        <v>1</v>
      </c>
      <c r="Q122" s="25" t="str">
        <f>VLOOKUP(P122,Key!$E$2:$F$9,2,FALSE)</f>
        <v>Home</v>
      </c>
      <c r="R122" s="25" t="str">
        <f t="shared" si="2"/>
        <v>Others-Home</v>
      </c>
      <c r="S122" s="47">
        <v>27</v>
      </c>
      <c r="T122" s="47">
        <v>2</v>
      </c>
      <c r="U122" s="43">
        <v>6</v>
      </c>
      <c r="V122" s="43"/>
      <c r="W122" s="47"/>
      <c r="X122" s="47"/>
      <c r="Y122" s="48" t="s">
        <v>162</v>
      </c>
      <c r="Z122" s="49"/>
      <c r="AA122" s="25">
        <f>VLOOKUP(F122,Zones!$A$2:$F$151534,6,FALSE)</f>
        <v>365</v>
      </c>
      <c r="AB122" s="25">
        <f>VLOOKUP(L122,Zones!$A$2:$F$151477,6,FALSE)</f>
        <v>1408</v>
      </c>
    </row>
    <row r="123" spans="2:28">
      <c r="B123" s="40">
        <v>0.65069444444444446</v>
      </c>
      <c r="C123" s="40" t="s">
        <v>385</v>
      </c>
      <c r="D123" s="41">
        <v>4</v>
      </c>
      <c r="E123" s="42">
        <v>14</v>
      </c>
      <c r="F123" s="42" t="s">
        <v>154</v>
      </c>
      <c r="G123" s="43" t="s">
        <v>154</v>
      </c>
      <c r="H123" s="42" t="s">
        <v>160</v>
      </c>
      <c r="I123" s="43">
        <v>6</v>
      </c>
      <c r="J123" s="43">
        <v>2</v>
      </c>
      <c r="K123" s="25" t="str">
        <f>VLOOKUP(J123,Key!$E$2:$F$9,2,FALSE)</f>
        <v>Work</v>
      </c>
      <c r="L123" s="42" t="s">
        <v>155</v>
      </c>
      <c r="M123" s="42" t="s">
        <v>155</v>
      </c>
      <c r="N123" s="42" t="s">
        <v>160</v>
      </c>
      <c r="O123" s="43">
        <v>6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47">
        <v>15</v>
      </c>
      <c r="T123" s="47">
        <v>1</v>
      </c>
      <c r="U123" s="43">
        <v>2</v>
      </c>
      <c r="V123" s="43"/>
      <c r="W123" s="47"/>
      <c r="X123" s="47"/>
      <c r="Y123" s="48" t="s">
        <v>162</v>
      </c>
      <c r="Z123" s="49"/>
      <c r="AA123" s="25">
        <f>VLOOKUP(F123,Zones!$A$2:$F$151534,6,FALSE)</f>
        <v>365</v>
      </c>
      <c r="AB123" s="25">
        <f>VLOOKUP(L123,Zones!$A$2:$F$151477,6,FALSE)</f>
        <v>498</v>
      </c>
    </row>
    <row r="124" spans="2:28">
      <c r="B124" s="40">
        <v>0.66527777777777775</v>
      </c>
      <c r="C124" s="40" t="s">
        <v>368</v>
      </c>
      <c r="D124" s="41">
        <v>1</v>
      </c>
      <c r="E124" s="42">
        <v>3</v>
      </c>
      <c r="F124" s="42" t="s">
        <v>154</v>
      </c>
      <c r="G124" s="43" t="s">
        <v>154</v>
      </c>
      <c r="H124" s="42" t="s">
        <v>160</v>
      </c>
      <c r="I124" s="43">
        <v>9</v>
      </c>
      <c r="J124" s="43">
        <v>2</v>
      </c>
      <c r="K124" s="25" t="str">
        <f>VLOOKUP(J124,Key!$E$2:$F$9,2,FALSE)</f>
        <v>Work</v>
      </c>
      <c r="L124" s="59" t="s">
        <v>2469</v>
      </c>
      <c r="M124" s="43" t="s">
        <v>155</v>
      </c>
      <c r="N124" s="42" t="s">
        <v>160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Work-Home</v>
      </c>
      <c r="S124" s="47"/>
      <c r="T124" s="47">
        <v>1.5</v>
      </c>
      <c r="U124" s="43">
        <v>1</v>
      </c>
      <c r="V124" s="43"/>
      <c r="W124" s="47"/>
      <c r="X124" s="47"/>
      <c r="Y124" s="48" t="s">
        <v>162</v>
      </c>
      <c r="Z124" s="49"/>
      <c r="AA124" s="25">
        <f>VLOOKUP(F124,Zones!$A$2:$F$151534,6,FALSE)</f>
        <v>365</v>
      </c>
      <c r="AB124" s="25">
        <f>VLOOKUP(L124,Zones!$A$2:$F$151477,6,FALSE)</f>
        <v>1408</v>
      </c>
    </row>
    <row r="125" spans="2:28">
      <c r="B125" s="40">
        <v>0.67361111111111116</v>
      </c>
      <c r="C125" s="40" t="s">
        <v>367</v>
      </c>
      <c r="D125" s="41">
        <v>4</v>
      </c>
      <c r="E125" s="42">
        <v>14</v>
      </c>
      <c r="F125" s="42" t="s">
        <v>168</v>
      </c>
      <c r="G125" s="43" t="s">
        <v>168</v>
      </c>
      <c r="H125" s="42" t="s">
        <v>160</v>
      </c>
      <c r="I125" s="43">
        <v>6</v>
      </c>
      <c r="J125" s="43">
        <v>2</v>
      </c>
      <c r="K125" s="25" t="str">
        <f>VLOOKUP(J125,Key!$E$2:$F$9,2,FALSE)</f>
        <v>Work</v>
      </c>
      <c r="L125" s="42" t="s">
        <v>155</v>
      </c>
      <c r="M125" s="43" t="s">
        <v>155</v>
      </c>
      <c r="N125" s="42" t="s">
        <v>160</v>
      </c>
      <c r="O125" s="43">
        <v>6</v>
      </c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47">
        <v>160</v>
      </c>
      <c r="T125" s="47">
        <v>4</v>
      </c>
      <c r="U125" s="43">
        <v>2</v>
      </c>
      <c r="V125" s="43"/>
      <c r="W125" s="47"/>
      <c r="X125" s="47"/>
      <c r="Y125" s="48" t="s">
        <v>162</v>
      </c>
      <c r="Z125" s="49"/>
      <c r="AA125" s="25">
        <f>VLOOKUP(F125,Zones!$A$2:$F$151534,6,FALSE)</f>
        <v>521</v>
      </c>
      <c r="AB125" s="25">
        <f>VLOOKUP(L125,Zones!$A$2:$F$151477,6,FALSE)</f>
        <v>498</v>
      </c>
    </row>
    <row r="126" spans="2:28">
      <c r="B126" s="40">
        <v>0.66319444444444442</v>
      </c>
      <c r="C126" s="40" t="s">
        <v>386</v>
      </c>
      <c r="D126" s="41">
        <v>4</v>
      </c>
      <c r="E126" s="42">
        <v>3</v>
      </c>
      <c r="F126" s="42" t="s">
        <v>185</v>
      </c>
      <c r="G126" s="43" t="s">
        <v>387</v>
      </c>
      <c r="H126" s="42" t="s">
        <v>160</v>
      </c>
      <c r="I126" s="43">
        <v>1</v>
      </c>
      <c r="J126" s="43">
        <v>1</v>
      </c>
      <c r="K126" s="25" t="str">
        <f>VLOOKUP(J126,Key!$E$2:$F$9,2,FALSE)</f>
        <v>Home</v>
      </c>
      <c r="L126" s="59" t="s">
        <v>2469</v>
      </c>
      <c r="M126" s="43" t="s">
        <v>155</v>
      </c>
      <c r="N126" s="42" t="s">
        <v>160</v>
      </c>
      <c r="O126" s="43">
        <v>6</v>
      </c>
      <c r="P126" s="43">
        <v>2</v>
      </c>
      <c r="Q126" s="25" t="str">
        <f>VLOOKUP(P126,Key!$E$2:$F$9,2,FALSE)</f>
        <v>Work</v>
      </c>
      <c r="R126" s="25" t="str">
        <f t="shared" si="2"/>
        <v>Home-Work</v>
      </c>
      <c r="S126" s="47"/>
      <c r="T126" s="47">
        <v>2</v>
      </c>
      <c r="U126" s="43">
        <v>2</v>
      </c>
      <c r="V126" s="43"/>
      <c r="W126" s="47"/>
      <c r="X126" s="47"/>
      <c r="Y126" s="48" t="s">
        <v>162</v>
      </c>
      <c r="Z126" s="49"/>
      <c r="AA126" s="25">
        <f>VLOOKUP(F126,Zones!$A$2:$F$151534,6,FALSE)</f>
        <v>364</v>
      </c>
      <c r="AB126" s="25">
        <f>VLOOKUP(L126,Zones!$A$2:$F$151477,6,FALSE)</f>
        <v>1408</v>
      </c>
    </row>
    <row r="127" spans="2:28">
      <c r="B127" s="40">
        <v>0.65763888888888888</v>
      </c>
      <c r="C127" s="40" t="s">
        <v>369</v>
      </c>
      <c r="D127" s="41">
        <v>2</v>
      </c>
      <c r="E127" s="42">
        <v>2</v>
      </c>
      <c r="F127" s="42" t="s">
        <v>154</v>
      </c>
      <c r="G127" s="43" t="s">
        <v>154</v>
      </c>
      <c r="H127" s="42" t="s">
        <v>160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155</v>
      </c>
      <c r="M127" s="43" t="s">
        <v>155</v>
      </c>
      <c r="N127" s="42" t="s">
        <v>160</v>
      </c>
      <c r="O127" s="43">
        <v>11</v>
      </c>
      <c r="P127" s="43">
        <v>2</v>
      </c>
      <c r="Q127" s="25" t="str">
        <f>VLOOKUP(P127,Key!$E$2:$F$9,2,FALSE)</f>
        <v>Work</v>
      </c>
      <c r="R127" s="25" t="str">
        <f t="shared" si="2"/>
        <v>Home-Work</v>
      </c>
      <c r="S127" s="47">
        <v>15</v>
      </c>
      <c r="T127" s="47"/>
      <c r="U127" s="43">
        <v>2</v>
      </c>
      <c r="V127" s="43"/>
      <c r="W127" s="47"/>
      <c r="X127" s="47"/>
      <c r="Y127" s="48" t="s">
        <v>162</v>
      </c>
      <c r="Z127" s="49"/>
      <c r="AA127" s="25">
        <f>VLOOKUP(F127,Zones!$A$2:$F$151534,6,FALSE)</f>
        <v>365</v>
      </c>
      <c r="AB127" s="25">
        <f>VLOOKUP(L127,Zones!$A$2:$F$151477,6,FALSE)</f>
        <v>498</v>
      </c>
    </row>
    <row r="128" spans="2:28">
      <c r="B128" s="40">
        <v>0.72569444444444453</v>
      </c>
      <c r="C128" s="40" t="s">
        <v>388</v>
      </c>
      <c r="D128" s="41">
        <v>2</v>
      </c>
      <c r="E128" s="42">
        <v>2</v>
      </c>
      <c r="F128" s="42" t="s">
        <v>154</v>
      </c>
      <c r="G128" s="43" t="s">
        <v>154</v>
      </c>
      <c r="H128" s="42" t="s">
        <v>160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155</v>
      </c>
      <c r="M128" s="43" t="s">
        <v>155</v>
      </c>
      <c r="N128" s="42" t="s">
        <v>160</v>
      </c>
      <c r="O128" s="43">
        <v>3</v>
      </c>
      <c r="P128" s="43">
        <v>2</v>
      </c>
      <c r="Q128" s="25" t="str">
        <f>VLOOKUP(P128,Key!$E$2:$F$9,2,FALSE)</f>
        <v>Work</v>
      </c>
      <c r="R128" s="25" t="str">
        <f t="shared" si="2"/>
        <v>Home-Work</v>
      </c>
      <c r="S128" s="47">
        <v>15</v>
      </c>
      <c r="T128" s="47">
        <v>2</v>
      </c>
      <c r="U128" s="43">
        <v>2</v>
      </c>
      <c r="V128" s="43"/>
      <c r="W128" s="47"/>
      <c r="X128" s="47"/>
      <c r="Y128" s="48" t="s">
        <v>162</v>
      </c>
      <c r="Z128" s="49"/>
      <c r="AA128" s="25">
        <f>VLOOKUP(F128,Zones!$A$2:$F$151534,6,FALSE)</f>
        <v>365</v>
      </c>
      <c r="AB128" s="25">
        <f>VLOOKUP(L128,Zones!$A$2:$F$151477,6,FALSE)</f>
        <v>498</v>
      </c>
    </row>
    <row r="129" spans="2:28">
      <c r="B129" s="40">
        <v>0.7284722222222223</v>
      </c>
      <c r="C129" s="40" t="s">
        <v>373</v>
      </c>
      <c r="D129" s="41">
        <v>3</v>
      </c>
      <c r="E129" s="42">
        <v>4</v>
      </c>
      <c r="F129" s="42" t="s">
        <v>154</v>
      </c>
      <c r="G129" s="43" t="s">
        <v>154</v>
      </c>
      <c r="H129" s="42" t="s">
        <v>160</v>
      </c>
      <c r="I129" s="43">
        <v>5</v>
      </c>
      <c r="J129" s="43">
        <v>7</v>
      </c>
      <c r="K129" s="25" t="str">
        <f>VLOOKUP(J129,Key!$E$2:$F$9,2,FALSE)</f>
        <v>Hospital</v>
      </c>
      <c r="L129" s="42" t="s">
        <v>220</v>
      </c>
      <c r="M129" s="43" t="s">
        <v>154</v>
      </c>
      <c r="N129" s="42" t="s">
        <v>160</v>
      </c>
      <c r="O129" s="43">
        <v>1</v>
      </c>
      <c r="P129" s="43">
        <v>1</v>
      </c>
      <c r="Q129" s="25" t="str">
        <f>VLOOKUP(P129,Key!$E$2:$F$9,2,FALSE)</f>
        <v>Home</v>
      </c>
      <c r="R129" s="25" t="str">
        <f t="shared" si="2"/>
        <v>Hospital-Home</v>
      </c>
      <c r="S129" s="47"/>
      <c r="T129" s="47">
        <v>0.5</v>
      </c>
      <c r="U129" s="43">
        <v>6</v>
      </c>
      <c r="V129" s="43"/>
      <c r="W129" s="47"/>
      <c r="X129" s="47"/>
      <c r="Y129" s="48" t="s">
        <v>162</v>
      </c>
      <c r="Z129" s="49"/>
      <c r="AA129" s="25">
        <f>VLOOKUP(F129,Zones!$A$2:$F$151534,6,FALSE)</f>
        <v>365</v>
      </c>
      <c r="AB129" s="25">
        <f>VLOOKUP(L129,Zones!$A$2:$F$151477,6,FALSE)</f>
        <v>369</v>
      </c>
    </row>
    <row r="130" spans="2:28">
      <c r="B130" s="40">
        <v>0.45763888888888887</v>
      </c>
      <c r="C130" s="40" t="s">
        <v>389</v>
      </c>
      <c r="D130" s="41">
        <v>2</v>
      </c>
      <c r="E130" s="42">
        <v>3</v>
      </c>
      <c r="F130" s="42" t="s">
        <v>154</v>
      </c>
      <c r="G130" s="43" t="s">
        <v>154</v>
      </c>
      <c r="H130" s="42" t="s">
        <v>160</v>
      </c>
      <c r="I130" s="43">
        <v>1</v>
      </c>
      <c r="J130" s="43">
        <v>1</v>
      </c>
      <c r="K130" s="25" t="str">
        <f>VLOOKUP(J130,Key!$E$2:$F$9,2,FALSE)</f>
        <v>Home</v>
      </c>
      <c r="L130" s="59" t="s">
        <v>2527</v>
      </c>
      <c r="M130" s="43" t="s">
        <v>2088</v>
      </c>
      <c r="N130" s="42" t="s">
        <v>160</v>
      </c>
      <c r="O130" s="43">
        <v>2</v>
      </c>
      <c r="P130" s="43">
        <v>2</v>
      </c>
      <c r="Q130" s="25" t="str">
        <f>VLOOKUP(P130,Key!$E$2:$F$9,2,FALSE)</f>
        <v>Work</v>
      </c>
      <c r="R130" s="25" t="str">
        <f t="shared" si="2"/>
        <v>Home-Work</v>
      </c>
      <c r="S130" s="47">
        <v>15</v>
      </c>
      <c r="T130" s="47">
        <v>0.3</v>
      </c>
      <c r="U130" s="43">
        <v>2</v>
      </c>
      <c r="V130" s="43"/>
      <c r="W130" s="47"/>
      <c r="X130" s="47"/>
      <c r="Y130" s="48" t="s">
        <v>162</v>
      </c>
      <c r="Z130" s="49"/>
      <c r="AA130" s="25">
        <f>VLOOKUP(F130,Zones!$A$2:$F$151534,6,FALSE)</f>
        <v>365</v>
      </c>
      <c r="AB130" s="25">
        <f>VLOOKUP(L130,Zones!$A$2:$F$151477,6,FALSE)</f>
        <v>1135</v>
      </c>
    </row>
    <row r="131" spans="2:28">
      <c r="B131" s="40">
        <v>0.46249999999999997</v>
      </c>
      <c r="C131" s="40" t="s">
        <v>390</v>
      </c>
      <c r="D131" s="41">
        <v>1</v>
      </c>
      <c r="E131" s="42">
        <v>3</v>
      </c>
      <c r="F131" s="42" t="s">
        <v>154</v>
      </c>
      <c r="G131" s="43" t="s">
        <v>154</v>
      </c>
      <c r="H131" s="42" t="s">
        <v>160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155</v>
      </c>
      <c r="M131" s="43" t="s">
        <v>155</v>
      </c>
      <c r="N131" s="42" t="s">
        <v>160</v>
      </c>
      <c r="O131" s="43">
        <v>9</v>
      </c>
      <c r="P131" s="43">
        <v>2</v>
      </c>
      <c r="Q131" s="25" t="str">
        <f>VLOOKUP(P131,Key!$E$2:$F$9,2,FALSE)</f>
        <v>Work</v>
      </c>
      <c r="R131" s="25" t="str">
        <f t="shared" si="2"/>
        <v>Home-Work</v>
      </c>
      <c r="S131" s="47">
        <v>5</v>
      </c>
      <c r="T131" s="47">
        <v>1.5</v>
      </c>
      <c r="U131" s="43">
        <v>4</v>
      </c>
      <c r="V131" s="43"/>
      <c r="W131" s="47"/>
      <c r="X131" s="47"/>
      <c r="Y131" s="48" t="s">
        <v>162</v>
      </c>
      <c r="Z131" s="49"/>
      <c r="AA131" s="25">
        <f>VLOOKUP(F131,Zones!$A$2:$F$151534,6,FALSE)</f>
        <v>365</v>
      </c>
      <c r="AB131" s="25">
        <f>VLOOKUP(L131,Zones!$A$2:$F$151477,6,FALSE)</f>
        <v>498</v>
      </c>
    </row>
    <row r="132" spans="2:28">
      <c r="B132" s="40">
        <v>0.46597222222222223</v>
      </c>
      <c r="C132" s="40" t="s">
        <v>391</v>
      </c>
      <c r="D132" s="41">
        <v>3</v>
      </c>
      <c r="E132" s="42">
        <v>1</v>
      </c>
      <c r="F132" s="42" t="s">
        <v>154</v>
      </c>
      <c r="G132" s="43" t="s">
        <v>154</v>
      </c>
      <c r="H132" s="42" t="s">
        <v>160</v>
      </c>
      <c r="I132" s="43">
        <v>1</v>
      </c>
      <c r="J132" s="43">
        <v>1</v>
      </c>
      <c r="K132" s="25" t="str">
        <f>VLOOKUP(J132,Key!$E$2:$F$9,2,FALSE)</f>
        <v>Home</v>
      </c>
      <c r="L132" s="59" t="s">
        <v>173</v>
      </c>
      <c r="M132" s="43" t="s">
        <v>154</v>
      </c>
      <c r="N132" s="42" t="s">
        <v>160</v>
      </c>
      <c r="O132" s="43">
        <v>4</v>
      </c>
      <c r="P132" s="43">
        <v>3</v>
      </c>
      <c r="Q132" s="25" t="str">
        <f>VLOOKUP(P132,Key!$E$2:$F$9,2,FALSE)</f>
        <v>Study</v>
      </c>
      <c r="R132" s="25" t="str">
        <f t="shared" si="2"/>
        <v>Home-Study</v>
      </c>
      <c r="S132" s="47">
        <v>16</v>
      </c>
      <c r="T132" s="47">
        <v>0.7</v>
      </c>
      <c r="U132" s="43">
        <v>5</v>
      </c>
      <c r="V132" s="43"/>
      <c r="W132" s="47"/>
      <c r="X132" s="47"/>
      <c r="Y132" s="48" t="s">
        <v>162</v>
      </c>
      <c r="Z132" s="49">
        <v>1000</v>
      </c>
      <c r="AA132" s="25">
        <f>VLOOKUP(F132,Zones!$A$2:$F$151534,6,FALSE)</f>
        <v>365</v>
      </c>
      <c r="AB132" s="25">
        <f>VLOOKUP(L132,Zones!$A$2:$F$151477,6,FALSE)</f>
        <v>368</v>
      </c>
    </row>
    <row r="133" spans="2:28">
      <c r="B133" s="40">
        <v>0.4680555555555555</v>
      </c>
      <c r="C133" s="40" t="s">
        <v>393</v>
      </c>
      <c r="D133" s="41">
        <v>2</v>
      </c>
      <c r="E133" s="42">
        <v>3</v>
      </c>
      <c r="F133" s="42" t="s">
        <v>164</v>
      </c>
      <c r="G133" s="43" t="s">
        <v>164</v>
      </c>
      <c r="H133" s="42" t="s">
        <v>160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155</v>
      </c>
      <c r="M133" s="42" t="s">
        <v>155</v>
      </c>
      <c r="N133" s="42" t="s">
        <v>160</v>
      </c>
      <c r="O133" s="43">
        <v>3</v>
      </c>
      <c r="P133" s="43">
        <v>4</v>
      </c>
      <c r="Q133" s="25" t="str">
        <f>VLOOKUP(P133,Key!$E$2:$F$9,2,FALSE)</f>
        <v>Commercial</v>
      </c>
      <c r="R133" s="25" t="str">
        <f t="shared" si="2"/>
        <v>Home-Commercial</v>
      </c>
      <c r="S133" s="47">
        <v>5</v>
      </c>
      <c r="T133" s="47">
        <v>0.8</v>
      </c>
      <c r="U133" s="43">
        <v>6</v>
      </c>
      <c r="V133" s="43"/>
      <c r="W133" s="47"/>
      <c r="X133" s="47"/>
      <c r="Y133" s="48" t="s">
        <v>162</v>
      </c>
      <c r="Z133" s="49"/>
      <c r="AA133" s="25">
        <f>VLOOKUP(F133,Zones!$A$2:$F$151534,6,FALSE)</f>
        <v>403</v>
      </c>
      <c r="AB133" s="25">
        <f>VLOOKUP(L133,Zones!$A$2:$F$151477,6,FALSE)</f>
        <v>498</v>
      </c>
    </row>
    <row r="134" spans="2:28">
      <c r="B134" s="40">
        <v>0.47083333333333338</v>
      </c>
      <c r="C134" s="40" t="s">
        <v>394</v>
      </c>
      <c r="D134" s="41">
        <v>4</v>
      </c>
      <c r="E134" s="42">
        <v>1</v>
      </c>
      <c r="F134" s="42" t="s">
        <v>154</v>
      </c>
      <c r="G134" s="43" t="s">
        <v>154</v>
      </c>
      <c r="H134" s="42" t="s">
        <v>160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187</v>
      </c>
      <c r="M134" s="43" t="s">
        <v>154</v>
      </c>
      <c r="N134" s="42" t="s">
        <v>160</v>
      </c>
      <c r="O134" s="43">
        <v>6</v>
      </c>
      <c r="P134" s="43">
        <v>8</v>
      </c>
      <c r="Q134" s="25" t="str">
        <f>VLOOKUP(P134,Key!$E$2:$F$9,2,FALSE)</f>
        <v>Others</v>
      </c>
      <c r="R134" s="25" t="str">
        <f t="shared" si="2"/>
        <v>Home-Others</v>
      </c>
      <c r="S134" s="47">
        <v>15</v>
      </c>
      <c r="T134" s="47">
        <v>0.5</v>
      </c>
      <c r="U134" s="43">
        <v>6</v>
      </c>
      <c r="V134" s="43"/>
      <c r="W134" s="47"/>
      <c r="X134" s="47"/>
      <c r="Y134" s="48" t="s">
        <v>162</v>
      </c>
      <c r="Z134" s="49"/>
      <c r="AA134" s="25">
        <f>VLOOKUP(F134,Zones!$A$2:$F$151534,6,FALSE)</f>
        <v>365</v>
      </c>
      <c r="AB134" s="25">
        <f>VLOOKUP(L134,Zones!$A$2:$F$151477,6,FALSE)</f>
        <v>372</v>
      </c>
    </row>
    <row r="135" spans="2:28">
      <c r="B135" s="40">
        <v>0.47361111111111115</v>
      </c>
      <c r="C135" s="40" t="s">
        <v>395</v>
      </c>
      <c r="D135" s="41">
        <v>1</v>
      </c>
      <c r="E135" s="42">
        <v>3</v>
      </c>
      <c r="F135" s="42" t="s">
        <v>185</v>
      </c>
      <c r="G135" s="43" t="s">
        <v>387</v>
      </c>
      <c r="H135" s="42" t="s">
        <v>160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155</v>
      </c>
      <c r="M135" s="42" t="s">
        <v>155</v>
      </c>
      <c r="N135" s="42" t="s">
        <v>160</v>
      </c>
      <c r="O135" s="43">
        <v>10</v>
      </c>
      <c r="P135" s="43">
        <v>2</v>
      </c>
      <c r="Q135" s="25" t="str">
        <f>VLOOKUP(P135,Key!$E$2:$F$9,2,FALSE)</f>
        <v>Work</v>
      </c>
      <c r="R135" s="25" t="str">
        <f t="shared" si="2"/>
        <v>Home-Work</v>
      </c>
      <c r="S135" s="47">
        <v>16</v>
      </c>
      <c r="T135" s="47">
        <v>0.6</v>
      </c>
      <c r="U135" s="43">
        <v>4</v>
      </c>
      <c r="V135" s="43"/>
      <c r="W135" s="47"/>
      <c r="X135" s="47"/>
      <c r="Y135" s="48" t="s">
        <v>162</v>
      </c>
      <c r="Z135" s="49"/>
      <c r="AA135" s="25">
        <f>VLOOKUP(F135,Zones!$A$2:$F$151534,6,FALSE)</f>
        <v>364</v>
      </c>
      <c r="AB135" s="25">
        <f>VLOOKUP(L135,Zones!$A$2:$F$151477,6,FALSE)</f>
        <v>498</v>
      </c>
    </row>
    <row r="136" spans="2:28">
      <c r="B136" s="40">
        <v>0.47569444444444442</v>
      </c>
      <c r="C136" s="40" t="s">
        <v>396</v>
      </c>
      <c r="D136" s="41">
        <v>1</v>
      </c>
      <c r="E136" s="42">
        <v>4</v>
      </c>
      <c r="F136" s="42" t="s">
        <v>154</v>
      </c>
      <c r="G136" s="43" t="s">
        <v>154</v>
      </c>
      <c r="H136" s="42" t="s">
        <v>160</v>
      </c>
      <c r="I136" s="43">
        <v>1</v>
      </c>
      <c r="J136" s="43">
        <v>1</v>
      </c>
      <c r="K136" s="25" t="str">
        <f>VLOOKUP(J136,Key!$E$2:$F$9,2,FALSE)</f>
        <v>Home</v>
      </c>
      <c r="L136" s="59" t="s">
        <v>2529</v>
      </c>
      <c r="M136" s="43" t="s">
        <v>1539</v>
      </c>
      <c r="N136" s="42" t="s">
        <v>160</v>
      </c>
      <c r="O136" s="43">
        <v>16</v>
      </c>
      <c r="P136" s="43">
        <v>8</v>
      </c>
      <c r="Q136" s="25" t="str">
        <f>VLOOKUP(P136,Key!$E$2:$F$9,2,FALSE)</f>
        <v>Others</v>
      </c>
      <c r="R136" s="25" t="str">
        <f t="shared" si="2"/>
        <v>Home-Others</v>
      </c>
      <c r="S136" s="47"/>
      <c r="T136" s="47">
        <v>0.5</v>
      </c>
      <c r="U136" s="43">
        <v>1</v>
      </c>
      <c r="V136" s="43"/>
      <c r="W136" s="47"/>
      <c r="X136" s="47"/>
      <c r="Y136" s="48" t="s">
        <v>162</v>
      </c>
      <c r="Z136" s="49"/>
      <c r="AA136" s="25">
        <f>VLOOKUP(F136,Zones!$A$2:$F$151534,6,FALSE)</f>
        <v>365</v>
      </c>
      <c r="AB136" s="25">
        <f>VLOOKUP(L136,Zones!$A$2:$F$151477,6,FALSE)</f>
        <v>464</v>
      </c>
    </row>
    <row r="137" spans="2:28">
      <c r="B137" s="40">
        <v>0.47847222222222219</v>
      </c>
      <c r="C137" s="40" t="s">
        <v>397</v>
      </c>
      <c r="D137" s="41">
        <v>4</v>
      </c>
      <c r="E137" s="42">
        <v>14</v>
      </c>
      <c r="F137" s="42" t="s">
        <v>154</v>
      </c>
      <c r="G137" s="43" t="s">
        <v>154</v>
      </c>
      <c r="H137" s="42" t="s">
        <v>160</v>
      </c>
      <c r="I137" s="43">
        <v>6</v>
      </c>
      <c r="J137" s="43">
        <v>2</v>
      </c>
      <c r="K137" s="25" t="str">
        <f>VLOOKUP(J137,Key!$E$2:$F$9,2,FALSE)</f>
        <v>Work</v>
      </c>
      <c r="L137" s="59" t="s">
        <v>179</v>
      </c>
      <c r="M137" s="43" t="s">
        <v>154</v>
      </c>
      <c r="N137" s="42" t="s">
        <v>160</v>
      </c>
      <c r="O137" s="43">
        <v>6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47">
        <v>85</v>
      </c>
      <c r="T137" s="47">
        <v>2</v>
      </c>
      <c r="U137" s="43">
        <v>2</v>
      </c>
      <c r="V137" s="43"/>
      <c r="W137" s="47"/>
      <c r="X137" s="47"/>
      <c r="Y137" s="48" t="s">
        <v>162</v>
      </c>
      <c r="Z137" s="49"/>
      <c r="AA137" s="25">
        <f>VLOOKUP(F137,Zones!$A$2:$F$151534,6,FALSE)</f>
        <v>365</v>
      </c>
      <c r="AB137" s="25">
        <f>VLOOKUP(L137,Zones!$A$2:$F$151477,6,FALSE)</f>
        <v>365</v>
      </c>
    </row>
    <row r="138" spans="2:28">
      <c r="B138" s="40">
        <v>0.48125000000000001</v>
      </c>
      <c r="C138" s="40" t="s">
        <v>351</v>
      </c>
      <c r="D138" s="41">
        <v>1</v>
      </c>
      <c r="E138" s="42">
        <v>2</v>
      </c>
      <c r="F138" s="42" t="s">
        <v>154</v>
      </c>
      <c r="G138" s="43" t="s">
        <v>154</v>
      </c>
      <c r="H138" s="42" t="s">
        <v>160</v>
      </c>
      <c r="I138" s="43">
        <v>1</v>
      </c>
      <c r="J138" s="43">
        <v>1</v>
      </c>
      <c r="K138" s="25" t="str">
        <f>VLOOKUP(J138,Key!$E$2:$F$9,2,FALSE)</f>
        <v>Home</v>
      </c>
      <c r="L138" s="59" t="s">
        <v>943</v>
      </c>
      <c r="M138" s="43" t="s">
        <v>154</v>
      </c>
      <c r="N138" s="42" t="s">
        <v>160</v>
      </c>
      <c r="O138" s="43">
        <v>2</v>
      </c>
      <c r="P138" s="43">
        <v>2</v>
      </c>
      <c r="Q138" s="25" t="str">
        <f>VLOOKUP(P138,Key!$E$2:$F$9,2,FALSE)</f>
        <v>Work</v>
      </c>
      <c r="R138" s="25" t="str">
        <f t="shared" si="2"/>
        <v>Home-Work</v>
      </c>
      <c r="S138" s="47">
        <v>10</v>
      </c>
      <c r="T138" s="47">
        <v>0.5</v>
      </c>
      <c r="U138" s="43">
        <v>2</v>
      </c>
      <c r="V138" s="43"/>
      <c r="W138" s="47"/>
      <c r="X138" s="47"/>
      <c r="Y138" s="48" t="s">
        <v>162</v>
      </c>
      <c r="Z138" s="49"/>
      <c r="AA138" s="25">
        <f>VLOOKUP(F138,Zones!$A$2:$F$151534,6,FALSE)</f>
        <v>365</v>
      </c>
      <c r="AB138" s="25">
        <f>VLOOKUP(L138,Zones!$A$2:$F$151477,6,FALSE)</f>
        <v>373</v>
      </c>
    </row>
    <row r="139" spans="2:28">
      <c r="B139" s="40">
        <v>0.48402777777777778</v>
      </c>
      <c r="C139" s="40" t="s">
        <v>400</v>
      </c>
      <c r="D139" s="41">
        <v>1</v>
      </c>
      <c r="E139" s="42">
        <v>3</v>
      </c>
      <c r="F139" s="42" t="s">
        <v>154</v>
      </c>
      <c r="G139" s="43" t="s">
        <v>154</v>
      </c>
      <c r="H139" s="42" t="s">
        <v>160</v>
      </c>
      <c r="I139" s="43">
        <v>1</v>
      </c>
      <c r="J139" s="43">
        <v>1</v>
      </c>
      <c r="K139" s="25" t="str">
        <f>VLOOKUP(J139,Key!$E$2:$F$9,2,FALSE)</f>
        <v>Home</v>
      </c>
      <c r="L139" s="59" t="s">
        <v>2526</v>
      </c>
      <c r="M139" s="43" t="s">
        <v>154</v>
      </c>
      <c r="N139" s="42" t="s">
        <v>160</v>
      </c>
      <c r="O139" s="43">
        <v>5</v>
      </c>
      <c r="P139" s="43">
        <v>7</v>
      </c>
      <c r="Q139" s="25" t="str">
        <f>VLOOKUP(P139,Key!$E$2:$F$9,2,FALSE)</f>
        <v>Hospital</v>
      </c>
      <c r="R139" s="25" t="str">
        <f t="shared" si="2"/>
        <v>Home-Hospital</v>
      </c>
      <c r="S139" s="47"/>
      <c r="T139" s="47">
        <v>0.5</v>
      </c>
      <c r="U139" s="43">
        <v>6</v>
      </c>
      <c r="V139" s="43"/>
      <c r="W139" s="47"/>
      <c r="X139" s="47"/>
      <c r="Y139" s="48" t="s">
        <v>162</v>
      </c>
      <c r="Z139" s="49"/>
      <c r="AA139" s="25">
        <f>VLOOKUP(F139,Zones!$A$2:$F$151534,6,FALSE)</f>
        <v>365</v>
      </c>
      <c r="AB139" s="25">
        <f>VLOOKUP(L139,Zones!$A$2:$F$151477,6,FALSE)</f>
        <v>374</v>
      </c>
    </row>
    <row r="140" spans="2:28">
      <c r="B140" s="40">
        <v>0.4861111111111111</v>
      </c>
      <c r="C140" s="40" t="s">
        <v>402</v>
      </c>
      <c r="D140" s="41">
        <v>2</v>
      </c>
      <c r="E140" s="42">
        <v>1</v>
      </c>
      <c r="F140" s="42" t="s">
        <v>154</v>
      </c>
      <c r="G140" s="43" t="s">
        <v>154</v>
      </c>
      <c r="H140" s="42" t="s">
        <v>160</v>
      </c>
      <c r="I140" s="43">
        <v>1</v>
      </c>
      <c r="J140" s="43">
        <v>1</v>
      </c>
      <c r="K140" s="25" t="str">
        <f>VLOOKUP(J140,Key!$E$2:$F$9,2,FALSE)</f>
        <v>Home</v>
      </c>
      <c r="L140" s="42" t="s">
        <v>300</v>
      </c>
      <c r="M140" s="43" t="s">
        <v>154</v>
      </c>
      <c r="N140" s="42" t="s">
        <v>160</v>
      </c>
      <c r="O140" s="43">
        <v>11</v>
      </c>
      <c r="P140" s="43">
        <v>2</v>
      </c>
      <c r="Q140" s="25" t="str">
        <f>VLOOKUP(P140,Key!$E$2:$F$9,2,FALSE)</f>
        <v>Work</v>
      </c>
      <c r="R140" s="25" t="str">
        <f t="shared" si="2"/>
        <v>Home-Work</v>
      </c>
      <c r="S140" s="47">
        <v>5</v>
      </c>
      <c r="T140" s="47">
        <v>0.5</v>
      </c>
      <c r="U140" s="43">
        <v>2</v>
      </c>
      <c r="V140" s="43"/>
      <c r="W140" s="47"/>
      <c r="X140" s="47"/>
      <c r="Y140" s="48" t="s">
        <v>162</v>
      </c>
      <c r="Z140" s="49"/>
      <c r="AA140" s="25">
        <f>VLOOKUP(F140,Zones!$A$2:$F$151534,6,FALSE)</f>
        <v>365</v>
      </c>
      <c r="AB140" s="25">
        <f>VLOOKUP(L140,Zones!$A$2:$F$151477,6,FALSE)</f>
        <v>369</v>
      </c>
    </row>
    <row r="141" spans="2:28">
      <c r="B141" s="40">
        <v>0.48888888888888887</v>
      </c>
      <c r="C141" s="40" t="s">
        <v>309</v>
      </c>
      <c r="D141" s="41">
        <v>11</v>
      </c>
      <c r="E141" s="42">
        <v>3</v>
      </c>
      <c r="F141" s="42" t="s">
        <v>154</v>
      </c>
      <c r="G141" s="43" t="s">
        <v>154</v>
      </c>
      <c r="H141" s="42" t="s">
        <v>160</v>
      </c>
      <c r="I141" s="43">
        <v>8</v>
      </c>
      <c r="J141" s="43">
        <v>2</v>
      </c>
      <c r="K141" s="25" t="str">
        <f>VLOOKUP(J141,Key!$E$2:$F$9,2,FALSE)</f>
        <v>Work</v>
      </c>
      <c r="L141" s="42" t="s">
        <v>155</v>
      </c>
      <c r="M141" s="43" t="s">
        <v>155</v>
      </c>
      <c r="N141" s="42" t="s">
        <v>160</v>
      </c>
      <c r="O141" s="43">
        <v>8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47">
        <v>15</v>
      </c>
      <c r="T141" s="47">
        <v>0.8</v>
      </c>
      <c r="U141" s="43">
        <v>2</v>
      </c>
      <c r="V141" s="43"/>
      <c r="W141" s="47"/>
      <c r="X141" s="47"/>
      <c r="Y141" s="48" t="s">
        <v>162</v>
      </c>
      <c r="Z141" s="49"/>
      <c r="AA141" s="25">
        <f>VLOOKUP(F141,Zones!$A$2:$F$151534,6,FALSE)</f>
        <v>365</v>
      </c>
      <c r="AB141" s="25">
        <f>VLOOKUP(L141,Zones!$A$2:$F$151477,6,FALSE)</f>
        <v>498</v>
      </c>
    </row>
    <row r="142" spans="2:28">
      <c r="B142" s="40">
        <v>0.4916666666666667</v>
      </c>
      <c r="C142" s="40" t="s">
        <v>496</v>
      </c>
      <c r="D142" s="41">
        <v>3</v>
      </c>
      <c r="E142" s="42">
        <v>3</v>
      </c>
      <c r="F142" s="42" t="s">
        <v>154</v>
      </c>
      <c r="G142" s="43" t="s">
        <v>154</v>
      </c>
      <c r="H142" s="42" t="s">
        <v>160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2524</v>
      </c>
      <c r="M142" s="43" t="s">
        <v>1412</v>
      </c>
      <c r="N142" s="42" t="s">
        <v>160</v>
      </c>
      <c r="O142" s="43">
        <v>2</v>
      </c>
      <c r="P142" s="43">
        <v>2</v>
      </c>
      <c r="Q142" s="25" t="str">
        <f>VLOOKUP(P142,Key!$E$2:$F$9,2,FALSE)</f>
        <v>Work</v>
      </c>
      <c r="R142" s="25" t="str">
        <f t="shared" si="2"/>
        <v>Home-Work</v>
      </c>
      <c r="S142" s="47">
        <v>8</v>
      </c>
      <c r="T142" s="47">
        <v>0.5</v>
      </c>
      <c r="U142" s="43">
        <v>2</v>
      </c>
      <c r="V142" s="43"/>
      <c r="W142" s="47"/>
      <c r="X142" s="47"/>
      <c r="Y142" s="48" t="s">
        <v>162</v>
      </c>
      <c r="Z142" s="49"/>
      <c r="AA142" s="25">
        <f>VLOOKUP(F142,Zones!$A$2:$F$151534,6,FALSE)</f>
        <v>365</v>
      </c>
      <c r="AB142" s="25">
        <f>VLOOKUP(L142,Zones!$A$2:$F$151477,6,FALSE)</f>
        <v>594</v>
      </c>
    </row>
    <row r="143" spans="2:28">
      <c r="B143" s="40">
        <v>0.49791666666666662</v>
      </c>
      <c r="C143" s="40" t="s">
        <v>404</v>
      </c>
      <c r="D143" s="41">
        <v>1</v>
      </c>
      <c r="E143" s="42">
        <v>4</v>
      </c>
      <c r="F143" s="42" t="s">
        <v>176</v>
      </c>
      <c r="G143" s="43" t="s">
        <v>405</v>
      </c>
      <c r="H143" s="42" t="s">
        <v>160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155</v>
      </c>
      <c r="M143" s="43" t="s">
        <v>155</v>
      </c>
      <c r="N143" s="42" t="s">
        <v>160</v>
      </c>
      <c r="O143" s="43">
        <v>16</v>
      </c>
      <c r="P143" s="43">
        <v>8</v>
      </c>
      <c r="Q143" s="25" t="str">
        <f>VLOOKUP(P143,Key!$E$2:$F$9,2,FALSE)</f>
        <v>Others</v>
      </c>
      <c r="R143" s="25" t="str">
        <f t="shared" si="2"/>
        <v>Home-Others</v>
      </c>
      <c r="S143" s="47">
        <v>15</v>
      </c>
      <c r="T143" s="47">
        <v>0.8</v>
      </c>
      <c r="U143" s="43">
        <v>6</v>
      </c>
      <c r="V143" s="43"/>
      <c r="W143" s="47"/>
      <c r="X143" s="47"/>
      <c r="Y143" s="48" t="s">
        <v>162</v>
      </c>
      <c r="Z143" s="49"/>
      <c r="AA143" s="25">
        <f>VLOOKUP(F143,Zones!$A$2:$F$151534,6,FALSE)</f>
        <v>954</v>
      </c>
      <c r="AB143" s="25">
        <f>VLOOKUP(L143,Zones!$A$2:$F$151477,6,FALSE)</f>
        <v>498</v>
      </c>
    </row>
    <row r="144" spans="2:28">
      <c r="B144" s="40">
        <v>6.9444444444444441E-3</v>
      </c>
      <c r="C144" s="40" t="s">
        <v>406</v>
      </c>
      <c r="D144" s="41">
        <v>3</v>
      </c>
      <c r="E144" s="42">
        <v>1</v>
      </c>
      <c r="F144" s="42" t="s">
        <v>154</v>
      </c>
      <c r="G144" s="43" t="s">
        <v>154</v>
      </c>
      <c r="H144" s="42" t="s">
        <v>160</v>
      </c>
      <c r="I144" s="43">
        <v>9</v>
      </c>
      <c r="J144" s="43">
        <v>2</v>
      </c>
      <c r="K144" s="25" t="str">
        <f>VLOOKUP(J144,Key!$E$2:$F$9,2,FALSE)</f>
        <v>Work</v>
      </c>
      <c r="L144" s="59" t="s">
        <v>407</v>
      </c>
      <c r="M144" s="43" t="s">
        <v>154</v>
      </c>
      <c r="N144" s="42" t="s">
        <v>160</v>
      </c>
      <c r="O144" s="43">
        <v>1</v>
      </c>
      <c r="P144" s="43">
        <v>1</v>
      </c>
      <c r="Q144" s="25" t="str">
        <f>VLOOKUP(P144,Key!$E$2:$F$9,2,FALSE)</f>
        <v>Home</v>
      </c>
      <c r="R144" s="25" t="str">
        <f t="shared" si="2"/>
        <v>Work-Home</v>
      </c>
      <c r="S144" s="47"/>
      <c r="T144" s="47">
        <v>1</v>
      </c>
      <c r="U144" s="43">
        <v>6</v>
      </c>
      <c r="V144" s="43"/>
      <c r="W144" s="47"/>
      <c r="X144" s="47"/>
      <c r="Y144" s="48" t="s">
        <v>162</v>
      </c>
      <c r="Z144" s="49"/>
      <c r="AA144" s="25">
        <f>VLOOKUP(F144,Zones!$A$2:$F$151534,6,FALSE)</f>
        <v>365</v>
      </c>
      <c r="AB144" s="25">
        <f>VLOOKUP(L144,Zones!$A$2:$F$151477,6,FALSE)</f>
        <v>365</v>
      </c>
    </row>
    <row r="145" spans="2:28">
      <c r="B145" s="40">
        <v>1.0416666666666666E-2</v>
      </c>
      <c r="C145" s="40" t="s">
        <v>408</v>
      </c>
      <c r="D145" s="41">
        <v>4</v>
      </c>
      <c r="E145" s="42">
        <v>14</v>
      </c>
      <c r="F145" s="42" t="s">
        <v>154</v>
      </c>
      <c r="G145" s="43" t="s">
        <v>154</v>
      </c>
      <c r="H145" s="42" t="s">
        <v>160</v>
      </c>
      <c r="I145" s="43">
        <v>6</v>
      </c>
      <c r="J145" s="43">
        <v>2</v>
      </c>
      <c r="K145" s="25" t="str">
        <f>VLOOKUP(J145,Key!$E$2:$F$9,2,FALSE)</f>
        <v>Work</v>
      </c>
      <c r="L145" s="42" t="s">
        <v>300</v>
      </c>
      <c r="M145" s="43" t="s">
        <v>154</v>
      </c>
      <c r="N145" s="42" t="s">
        <v>160</v>
      </c>
      <c r="O145" s="43">
        <v>6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47">
        <v>3</v>
      </c>
      <c r="T145" s="47">
        <v>0.5</v>
      </c>
      <c r="U145" s="43">
        <v>2</v>
      </c>
      <c r="V145" s="43"/>
      <c r="W145" s="47"/>
      <c r="X145" s="47"/>
      <c r="Y145" s="48" t="s">
        <v>162</v>
      </c>
      <c r="Z145" s="49"/>
      <c r="AA145" s="25">
        <f>VLOOKUP(F145,Zones!$A$2:$F$151534,6,FALSE)</f>
        <v>365</v>
      </c>
      <c r="AB145" s="25">
        <f>VLOOKUP(L145,Zones!$A$2:$F$151477,6,FALSE)</f>
        <v>369</v>
      </c>
    </row>
    <row r="146" spans="2:28">
      <c r="B146" s="40">
        <v>0.51388888888888895</v>
      </c>
      <c r="C146" s="40" t="s">
        <v>409</v>
      </c>
      <c r="D146" s="41">
        <v>1</v>
      </c>
      <c r="E146" s="42">
        <v>2</v>
      </c>
      <c r="F146" s="42" t="s">
        <v>164</v>
      </c>
      <c r="G146" s="43" t="s">
        <v>164</v>
      </c>
      <c r="H146" s="42" t="s">
        <v>160</v>
      </c>
      <c r="I146" s="43">
        <v>3</v>
      </c>
      <c r="J146" s="43">
        <v>2</v>
      </c>
      <c r="K146" s="25" t="str">
        <f>VLOOKUP(J146,Key!$E$2:$F$9,2,FALSE)</f>
        <v>Work</v>
      </c>
      <c r="L146" s="42" t="s">
        <v>220</v>
      </c>
      <c r="M146" s="43" t="s">
        <v>154</v>
      </c>
      <c r="N146" s="42" t="s">
        <v>160</v>
      </c>
      <c r="O146" s="43">
        <v>1</v>
      </c>
      <c r="P146" s="43">
        <v>1</v>
      </c>
      <c r="Q146" s="25" t="str">
        <f>VLOOKUP(P146,Key!$E$2:$F$9,2,FALSE)</f>
        <v>Home</v>
      </c>
      <c r="R146" s="25" t="str">
        <f t="shared" si="2"/>
        <v>Work-Home</v>
      </c>
      <c r="S146" s="47"/>
      <c r="T146" s="47">
        <v>0.3</v>
      </c>
      <c r="U146" s="43">
        <v>3</v>
      </c>
      <c r="V146" s="43"/>
      <c r="W146" s="47"/>
      <c r="X146" s="47"/>
      <c r="Y146" s="48" t="s">
        <v>162</v>
      </c>
      <c r="Z146" s="49"/>
      <c r="AA146" s="25">
        <f>VLOOKUP(F146,Zones!$A$2:$F$151534,6,FALSE)</f>
        <v>403</v>
      </c>
      <c r="AB146" s="25">
        <f>VLOOKUP(L146,Zones!$A$2:$F$151477,6,FALSE)</f>
        <v>369</v>
      </c>
    </row>
    <row r="147" spans="2:28">
      <c r="B147" s="40">
        <v>1.8749999999999999E-2</v>
      </c>
      <c r="C147" s="40" t="s">
        <v>410</v>
      </c>
      <c r="D147" s="41">
        <v>4</v>
      </c>
      <c r="E147" s="42">
        <v>14</v>
      </c>
      <c r="F147" s="42" t="s">
        <v>164</v>
      </c>
      <c r="G147" s="43" t="s">
        <v>164</v>
      </c>
      <c r="H147" s="42" t="s">
        <v>160</v>
      </c>
      <c r="I147" s="43">
        <v>6</v>
      </c>
      <c r="J147" s="43">
        <v>2</v>
      </c>
      <c r="K147" s="25" t="str">
        <f>VLOOKUP(J147,Key!$E$2:$F$9,2,FALSE)</f>
        <v>Work</v>
      </c>
      <c r="L147" s="59" t="s">
        <v>201</v>
      </c>
      <c r="M147" s="43" t="s">
        <v>411</v>
      </c>
      <c r="N147" s="42" t="s">
        <v>160</v>
      </c>
      <c r="O147" s="43">
        <v>6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47">
        <v>17</v>
      </c>
      <c r="T147" s="47">
        <v>1</v>
      </c>
      <c r="U147" s="43">
        <v>2</v>
      </c>
      <c r="V147" s="43"/>
      <c r="W147" s="47"/>
      <c r="X147" s="47"/>
      <c r="Y147" s="48" t="s">
        <v>162</v>
      </c>
      <c r="Z147" s="49"/>
      <c r="AA147" s="25">
        <f>VLOOKUP(F147,Zones!$A$2:$F$151534,6,FALSE)</f>
        <v>403</v>
      </c>
      <c r="AB147" s="25">
        <f>VLOOKUP(L147,Zones!$A$2:$F$151477,6,FALSE)</f>
        <v>693</v>
      </c>
    </row>
    <row r="148" spans="2:28">
      <c r="B148" s="40">
        <v>2.1527777777777781E-2</v>
      </c>
      <c r="C148" s="40" t="s">
        <v>412</v>
      </c>
      <c r="D148" s="41">
        <v>2</v>
      </c>
      <c r="E148" s="42">
        <v>2</v>
      </c>
      <c r="F148" s="42" t="s">
        <v>154</v>
      </c>
      <c r="G148" s="43" t="s">
        <v>154</v>
      </c>
      <c r="H148" s="42" t="s">
        <v>160</v>
      </c>
      <c r="I148" s="43">
        <v>1</v>
      </c>
      <c r="J148" s="43">
        <v>1</v>
      </c>
      <c r="K148" s="25" t="str">
        <f>VLOOKUP(J148,Key!$E$2:$F$9,2,FALSE)</f>
        <v>Home</v>
      </c>
      <c r="L148" s="59" t="s">
        <v>943</v>
      </c>
      <c r="M148" s="43" t="s">
        <v>154</v>
      </c>
      <c r="N148" s="42" t="s">
        <v>160</v>
      </c>
      <c r="O148" s="43">
        <v>9</v>
      </c>
      <c r="P148" s="43">
        <v>2</v>
      </c>
      <c r="Q148" s="25" t="str">
        <f>VLOOKUP(P148,Key!$E$2:$F$9,2,FALSE)</f>
        <v>Work</v>
      </c>
      <c r="R148" s="25" t="str">
        <f t="shared" si="2"/>
        <v>Home-Work</v>
      </c>
      <c r="S148" s="47">
        <v>6</v>
      </c>
      <c r="T148" s="47">
        <v>0.3</v>
      </c>
      <c r="U148" s="43">
        <v>3</v>
      </c>
      <c r="V148" s="43"/>
      <c r="W148" s="47"/>
      <c r="X148" s="47"/>
      <c r="Y148" s="48" t="s">
        <v>162</v>
      </c>
      <c r="Z148" s="49"/>
      <c r="AA148" s="25">
        <f>VLOOKUP(F148,Zones!$A$2:$F$151534,6,FALSE)</f>
        <v>365</v>
      </c>
      <c r="AB148" s="25">
        <f>VLOOKUP(L148,Zones!$A$2:$F$151477,6,FALSE)</f>
        <v>373</v>
      </c>
    </row>
    <row r="149" spans="2:28">
      <c r="B149" s="40">
        <v>2.7777777777777776E-2</v>
      </c>
      <c r="C149" s="40" t="s">
        <v>414</v>
      </c>
      <c r="D149" s="41">
        <v>5</v>
      </c>
      <c r="E149" s="42">
        <v>32</v>
      </c>
      <c r="F149" s="42" t="s">
        <v>154</v>
      </c>
      <c r="G149" s="43" t="s">
        <v>154</v>
      </c>
      <c r="H149" s="42" t="s">
        <v>160</v>
      </c>
      <c r="I149" s="43">
        <v>4</v>
      </c>
      <c r="J149" s="43">
        <v>3</v>
      </c>
      <c r="K149" s="25" t="str">
        <f>VLOOKUP(J149,Key!$E$2:$F$9,2,FALSE)</f>
        <v>Study</v>
      </c>
      <c r="L149" s="59" t="s">
        <v>161</v>
      </c>
      <c r="M149" s="43" t="s">
        <v>154</v>
      </c>
      <c r="N149" s="42" t="s">
        <v>160</v>
      </c>
      <c r="O149" s="43">
        <v>16</v>
      </c>
      <c r="P149" s="43">
        <v>8</v>
      </c>
      <c r="Q149" s="25" t="str">
        <f>VLOOKUP(P149,Key!$E$2:$F$9,2,FALSE)</f>
        <v>Others</v>
      </c>
      <c r="R149" s="25" t="str">
        <f t="shared" si="2"/>
        <v>Study-Others</v>
      </c>
      <c r="S149" s="47">
        <v>15</v>
      </c>
      <c r="T149" s="47">
        <v>1</v>
      </c>
      <c r="U149" s="43">
        <v>6</v>
      </c>
      <c r="V149" s="43"/>
      <c r="W149" s="47"/>
      <c r="X149" s="47"/>
      <c r="Y149" s="48" t="s">
        <v>162</v>
      </c>
      <c r="Z149" s="49"/>
      <c r="AA149" s="25">
        <f>VLOOKUP(F149,Zones!$A$2:$F$151534,6,FALSE)</f>
        <v>365</v>
      </c>
      <c r="AB149" s="25">
        <f>VLOOKUP(L149,Zones!$A$2:$F$151477,6,FALSE)</f>
        <v>845</v>
      </c>
    </row>
    <row r="150" spans="2:28">
      <c r="B150" s="40">
        <v>3.125E-2</v>
      </c>
      <c r="C150" s="40" t="s">
        <v>414</v>
      </c>
      <c r="D150" s="41">
        <v>1</v>
      </c>
      <c r="E150" s="42">
        <v>4</v>
      </c>
      <c r="F150" s="42" t="s">
        <v>154</v>
      </c>
      <c r="G150" s="43" t="s">
        <v>154</v>
      </c>
      <c r="H150" s="42" t="s">
        <v>160</v>
      </c>
      <c r="I150" s="43">
        <v>1</v>
      </c>
      <c r="J150" s="43">
        <v>1</v>
      </c>
      <c r="K150" s="25" t="str">
        <f>VLOOKUP(J150,Key!$E$2:$F$9,2,FALSE)</f>
        <v>Home</v>
      </c>
      <c r="L150" s="59" t="s">
        <v>943</v>
      </c>
      <c r="M150" s="43" t="s">
        <v>154</v>
      </c>
      <c r="N150" s="42" t="s">
        <v>160</v>
      </c>
      <c r="O150" s="43">
        <v>16</v>
      </c>
      <c r="P150" s="43">
        <v>8</v>
      </c>
      <c r="Q150" s="25" t="str">
        <f>VLOOKUP(P150,Key!$E$2:$F$9,2,FALSE)</f>
        <v>Others</v>
      </c>
      <c r="R150" s="25" t="str">
        <f t="shared" si="2"/>
        <v>Home-Others</v>
      </c>
      <c r="S150" s="47">
        <v>45</v>
      </c>
      <c r="T150" s="47">
        <v>0.8</v>
      </c>
      <c r="U150" s="43">
        <v>6</v>
      </c>
      <c r="V150" s="43"/>
      <c r="W150" s="47"/>
      <c r="X150" s="47"/>
      <c r="Y150" s="48" t="s">
        <v>162</v>
      </c>
      <c r="Z150" s="49"/>
      <c r="AA150" s="25">
        <f>VLOOKUP(F150,Zones!$A$2:$F$151534,6,FALSE)</f>
        <v>365</v>
      </c>
      <c r="AB150" s="25">
        <f>VLOOKUP(L150,Zones!$A$2:$F$151477,6,FALSE)</f>
        <v>373</v>
      </c>
    </row>
    <row r="151" spans="2:28">
      <c r="B151" s="40">
        <v>3.4722222222222224E-2</v>
      </c>
      <c r="C151" s="40" t="s">
        <v>416</v>
      </c>
      <c r="D151" s="41">
        <v>2</v>
      </c>
      <c r="E151" s="42">
        <v>8</v>
      </c>
      <c r="F151" s="42" t="s">
        <v>209</v>
      </c>
      <c r="G151" s="43" t="s">
        <v>209</v>
      </c>
      <c r="H151" s="42" t="s">
        <v>160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220</v>
      </c>
      <c r="M151" s="43" t="s">
        <v>154</v>
      </c>
      <c r="N151" s="42" t="s">
        <v>160</v>
      </c>
      <c r="O151" s="43">
        <v>4</v>
      </c>
      <c r="P151" s="43">
        <v>3</v>
      </c>
      <c r="Q151" s="25" t="str">
        <f>VLOOKUP(P151,Key!$E$2:$F$9,2,FALSE)</f>
        <v>Study</v>
      </c>
      <c r="R151" s="25" t="str">
        <f t="shared" si="2"/>
        <v>Home-Study</v>
      </c>
      <c r="S151" s="47">
        <v>20</v>
      </c>
      <c r="T151" s="47">
        <v>2</v>
      </c>
      <c r="U151" s="43">
        <v>6</v>
      </c>
      <c r="V151" s="43"/>
      <c r="W151" s="47"/>
      <c r="X151" s="47"/>
      <c r="Y151" s="48" t="s">
        <v>162</v>
      </c>
      <c r="Z151" s="49"/>
      <c r="AA151" s="25">
        <f>VLOOKUP(F151,Zones!$A$2:$F$151534,6,FALSE)</f>
        <v>145</v>
      </c>
      <c r="AB151" s="25">
        <f>VLOOKUP(L151,Zones!$A$2:$F$151477,6,FALSE)</f>
        <v>369</v>
      </c>
    </row>
    <row r="152" spans="2:28">
      <c r="B152" s="40">
        <v>3.888888888888889E-2</v>
      </c>
      <c r="C152" s="40" t="s">
        <v>417</v>
      </c>
      <c r="D152" s="41">
        <v>1</v>
      </c>
      <c r="E152" s="42">
        <v>2</v>
      </c>
      <c r="F152" s="42" t="s">
        <v>154</v>
      </c>
      <c r="G152" s="43" t="s">
        <v>154</v>
      </c>
      <c r="H152" s="42" t="s">
        <v>160</v>
      </c>
      <c r="I152" s="43">
        <v>1</v>
      </c>
      <c r="J152" s="43">
        <v>1</v>
      </c>
      <c r="K152" s="25" t="str">
        <f>VLOOKUP(J152,Key!$E$2:$F$9,2,FALSE)</f>
        <v>Home</v>
      </c>
      <c r="L152" s="42" t="s">
        <v>155</v>
      </c>
      <c r="M152" s="43" t="s">
        <v>155</v>
      </c>
      <c r="N152" s="42" t="s">
        <v>160</v>
      </c>
      <c r="O152" s="43">
        <v>9</v>
      </c>
      <c r="P152" s="43">
        <v>2</v>
      </c>
      <c r="Q152" s="25" t="str">
        <f>VLOOKUP(P152,Key!$E$2:$F$9,2,FALSE)</f>
        <v>Work</v>
      </c>
      <c r="R152" s="25" t="str">
        <f t="shared" si="2"/>
        <v>Home-Work</v>
      </c>
      <c r="S152" s="47">
        <v>15</v>
      </c>
      <c r="T152" s="47">
        <v>0.5</v>
      </c>
      <c r="U152" s="43">
        <v>3</v>
      </c>
      <c r="V152" s="43"/>
      <c r="W152" s="47"/>
      <c r="X152" s="47"/>
      <c r="Y152" s="48" t="s">
        <v>162</v>
      </c>
      <c r="Z152" s="49"/>
      <c r="AA152" s="25">
        <f>VLOOKUP(F152,Zones!$A$2:$F$151534,6,FALSE)</f>
        <v>365</v>
      </c>
      <c r="AB152" s="25">
        <f>VLOOKUP(L152,Zones!$A$2:$F$151477,6,FALSE)</f>
        <v>498</v>
      </c>
    </row>
    <row r="153" spans="2:28">
      <c r="B153" s="40">
        <v>0.54166666666666663</v>
      </c>
      <c r="C153" s="40" t="s">
        <v>418</v>
      </c>
      <c r="D153" s="41">
        <v>2</v>
      </c>
      <c r="E153" s="42">
        <v>2</v>
      </c>
      <c r="F153" s="42" t="s">
        <v>154</v>
      </c>
      <c r="G153" s="43" t="s">
        <v>154</v>
      </c>
      <c r="H153" s="42" t="s">
        <v>160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220</v>
      </c>
      <c r="M153" s="43" t="s">
        <v>154</v>
      </c>
      <c r="N153" s="42" t="s">
        <v>160</v>
      </c>
      <c r="O153" s="43">
        <v>12</v>
      </c>
      <c r="P153" s="43">
        <v>2</v>
      </c>
      <c r="Q153" s="25" t="str">
        <f>VLOOKUP(P153,Key!$E$2:$F$9,2,FALSE)</f>
        <v>Work</v>
      </c>
      <c r="R153" s="25" t="str">
        <f t="shared" si="2"/>
        <v>Home-Work</v>
      </c>
      <c r="S153" s="47">
        <v>10</v>
      </c>
      <c r="T153" s="47">
        <v>0.2</v>
      </c>
      <c r="U153" s="43">
        <v>1</v>
      </c>
      <c r="V153" s="43"/>
      <c r="W153" s="47"/>
      <c r="X153" s="47"/>
      <c r="Y153" s="48" t="s">
        <v>162</v>
      </c>
      <c r="Z153" s="49"/>
      <c r="AA153" s="25">
        <f>VLOOKUP(F153,Zones!$A$2:$F$151534,6,FALSE)</f>
        <v>365</v>
      </c>
      <c r="AB153" s="25">
        <f>VLOOKUP(L153,Zones!$A$2:$F$151477,6,FALSE)</f>
        <v>369</v>
      </c>
    </row>
    <row r="154" spans="2:28">
      <c r="B154" s="40">
        <v>0.55069444444444449</v>
      </c>
      <c r="C154" s="40" t="s">
        <v>419</v>
      </c>
      <c r="D154" s="41">
        <v>3</v>
      </c>
      <c r="E154" s="42">
        <v>1</v>
      </c>
      <c r="F154" s="42" t="s">
        <v>154</v>
      </c>
      <c r="G154" s="43" t="s">
        <v>154</v>
      </c>
      <c r="H154" s="42" t="s">
        <v>160</v>
      </c>
      <c r="I154" s="43">
        <v>14</v>
      </c>
      <c r="J154" s="43">
        <v>8</v>
      </c>
      <c r="K154" s="25" t="str">
        <f>VLOOKUP(J154,Key!$E$2:$F$9,2,FALSE)</f>
        <v>Others</v>
      </c>
      <c r="L154" s="42" t="s">
        <v>220</v>
      </c>
      <c r="M154" s="43" t="s">
        <v>154</v>
      </c>
      <c r="N154" s="42" t="s">
        <v>160</v>
      </c>
      <c r="O154" s="43">
        <v>1</v>
      </c>
      <c r="P154" s="43">
        <v>1</v>
      </c>
      <c r="Q154" s="25" t="str">
        <f>VLOOKUP(P154,Key!$E$2:$F$9,2,FALSE)</f>
        <v>Home</v>
      </c>
      <c r="R154" s="25" t="str">
        <f t="shared" si="2"/>
        <v>Others-Home</v>
      </c>
      <c r="S154" s="47"/>
      <c r="T154" s="47">
        <v>0.1</v>
      </c>
      <c r="U154" s="43">
        <v>6</v>
      </c>
      <c r="V154" s="43"/>
      <c r="W154" s="47"/>
      <c r="X154" s="47"/>
      <c r="Y154" s="48" t="s">
        <v>162</v>
      </c>
      <c r="Z154" s="49"/>
      <c r="AA154" s="25">
        <f>VLOOKUP(F154,Zones!$A$2:$F$151534,6,FALSE)</f>
        <v>365</v>
      </c>
      <c r="AB154" s="25">
        <f>VLOOKUP(L154,Zones!$A$2:$F$151477,6,FALSE)</f>
        <v>369</v>
      </c>
    </row>
    <row r="155" spans="2:28">
      <c r="B155" s="40">
        <v>0.55208333333333337</v>
      </c>
      <c r="C155" s="40" t="s">
        <v>420</v>
      </c>
      <c r="D155" s="41">
        <v>1</v>
      </c>
      <c r="E155" s="42">
        <v>3</v>
      </c>
      <c r="F155" s="42" t="s">
        <v>154</v>
      </c>
      <c r="G155" s="43" t="s">
        <v>154</v>
      </c>
      <c r="H155" s="42" t="s">
        <v>160</v>
      </c>
      <c r="I155" s="43">
        <v>7</v>
      </c>
      <c r="J155" s="43">
        <v>8</v>
      </c>
      <c r="K155" s="25" t="str">
        <f>VLOOKUP(J155,Key!$E$2:$F$9,2,FALSE)</f>
        <v>Others</v>
      </c>
      <c r="L155" s="42" t="s">
        <v>300</v>
      </c>
      <c r="M155" s="43" t="s">
        <v>154</v>
      </c>
      <c r="N155" s="42" t="s">
        <v>160</v>
      </c>
      <c r="O155" s="43">
        <v>1</v>
      </c>
      <c r="P155" s="43">
        <v>1</v>
      </c>
      <c r="Q155" s="25" t="str">
        <f>VLOOKUP(P155,Key!$E$2:$F$9,2,FALSE)</f>
        <v>Home</v>
      </c>
      <c r="R155" s="25" t="str">
        <f t="shared" si="2"/>
        <v>Others-Home</v>
      </c>
      <c r="S155" s="47">
        <v>2</v>
      </c>
      <c r="T155" s="47">
        <v>0.1</v>
      </c>
      <c r="U155" s="43">
        <v>3</v>
      </c>
      <c r="V155" s="43"/>
      <c r="W155" s="47"/>
      <c r="X155" s="47"/>
      <c r="Y155" s="48" t="s">
        <v>218</v>
      </c>
      <c r="Z155" s="49"/>
      <c r="AA155" s="25">
        <f>VLOOKUP(F155,Zones!$A$2:$F$151534,6,FALSE)</f>
        <v>365</v>
      </c>
      <c r="AB155" s="25">
        <f>VLOOKUP(L155,Zones!$A$2:$F$151477,6,FALSE)</f>
        <v>369</v>
      </c>
    </row>
    <row r="156" spans="2:28">
      <c r="B156" s="40">
        <v>0.5541666666666667</v>
      </c>
      <c r="C156" s="40" t="s">
        <v>421</v>
      </c>
      <c r="D156" s="41">
        <v>2</v>
      </c>
      <c r="E156" s="42">
        <v>7</v>
      </c>
      <c r="F156" s="42" t="s">
        <v>422</v>
      </c>
      <c r="G156" s="43" t="s">
        <v>422</v>
      </c>
      <c r="H156" s="42" t="s">
        <v>160</v>
      </c>
      <c r="I156" s="43">
        <v>1</v>
      </c>
      <c r="J156" s="43">
        <v>1</v>
      </c>
      <c r="K156" s="25" t="str">
        <f>VLOOKUP(J156,Key!$E$2:$F$9,2,FALSE)</f>
        <v>Home</v>
      </c>
      <c r="L156" s="59" t="s">
        <v>201</v>
      </c>
      <c r="M156" s="43" t="s">
        <v>155</v>
      </c>
      <c r="N156" s="42" t="s">
        <v>160</v>
      </c>
      <c r="O156" s="43">
        <v>16</v>
      </c>
      <c r="P156" s="43">
        <v>8</v>
      </c>
      <c r="Q156" s="25" t="str">
        <f>VLOOKUP(P156,Key!$E$2:$F$9,2,FALSE)</f>
        <v>Others</v>
      </c>
      <c r="R156" s="25" t="str">
        <f t="shared" si="2"/>
        <v>Home-Others</v>
      </c>
      <c r="S156" s="47">
        <v>46</v>
      </c>
      <c r="T156" s="47">
        <v>2.5</v>
      </c>
      <c r="U156" s="43">
        <v>6</v>
      </c>
      <c r="V156" s="43"/>
      <c r="W156" s="47"/>
      <c r="X156" s="47"/>
      <c r="Y156" s="48" t="s">
        <v>218</v>
      </c>
      <c r="Z156" s="49"/>
      <c r="AA156" s="25">
        <f>VLOOKUP(F156,Zones!$A$2:$F$151534,6,FALSE)</f>
        <v>987</v>
      </c>
      <c r="AB156" s="25">
        <f>VLOOKUP(L156,Zones!$A$2:$F$151477,6,FALSE)</f>
        <v>693</v>
      </c>
    </row>
    <row r="157" spans="2:28">
      <c r="B157" s="40">
        <v>0.55694444444444446</v>
      </c>
      <c r="C157" s="40" t="s">
        <v>423</v>
      </c>
      <c r="D157" s="41">
        <v>1</v>
      </c>
      <c r="E157" s="42">
        <v>1</v>
      </c>
      <c r="F157" s="42" t="s">
        <v>185</v>
      </c>
      <c r="G157" s="43" t="s">
        <v>387</v>
      </c>
      <c r="H157" s="42" t="s">
        <v>160</v>
      </c>
      <c r="I157" s="43">
        <v>10</v>
      </c>
      <c r="J157" s="43">
        <v>2</v>
      </c>
      <c r="K157" s="25" t="str">
        <f>VLOOKUP(J157,Key!$E$2:$F$9,2,FALSE)</f>
        <v>Work</v>
      </c>
      <c r="L157" s="42" t="s">
        <v>155</v>
      </c>
      <c r="M157" s="43" t="s">
        <v>155</v>
      </c>
      <c r="N157" s="42" t="s">
        <v>160</v>
      </c>
      <c r="O157" s="43">
        <v>1</v>
      </c>
      <c r="P157" s="43">
        <v>1</v>
      </c>
      <c r="Q157" s="25" t="str">
        <f>VLOOKUP(P157,Key!$E$2:$F$9,2,FALSE)</f>
        <v>Home</v>
      </c>
      <c r="R157" s="25" t="str">
        <f t="shared" si="2"/>
        <v>Work-Home</v>
      </c>
      <c r="S157" s="47">
        <v>12</v>
      </c>
      <c r="T157" s="47">
        <v>1</v>
      </c>
      <c r="U157" s="43">
        <v>6</v>
      </c>
      <c r="V157" s="43"/>
      <c r="W157" s="47"/>
      <c r="X157" s="47"/>
      <c r="Y157" s="48" t="s">
        <v>218</v>
      </c>
      <c r="Z157" s="49"/>
      <c r="AA157" s="25">
        <f>VLOOKUP(F157,Zones!$A$2:$F$151534,6,FALSE)</f>
        <v>364</v>
      </c>
      <c r="AB157" s="25">
        <f>VLOOKUP(L157,Zones!$A$2:$F$151477,6,FALSE)</f>
        <v>498</v>
      </c>
    </row>
    <row r="158" spans="2:28">
      <c r="B158" s="40">
        <v>0.55972222222222223</v>
      </c>
      <c r="C158" s="40" t="s">
        <v>424</v>
      </c>
      <c r="D158" s="41">
        <v>4</v>
      </c>
      <c r="E158" s="42">
        <v>14</v>
      </c>
      <c r="F158" s="42" t="s">
        <v>154</v>
      </c>
      <c r="G158" s="43" t="s">
        <v>154</v>
      </c>
      <c r="H158" s="42" t="s">
        <v>160</v>
      </c>
      <c r="I158" s="43">
        <v>6</v>
      </c>
      <c r="J158" s="43">
        <v>2</v>
      </c>
      <c r="K158" s="25" t="str">
        <f>VLOOKUP(J158,Key!$E$2:$F$9,2,FALSE)</f>
        <v>Work</v>
      </c>
      <c r="L158" s="59" t="s">
        <v>2527</v>
      </c>
      <c r="M158" s="43" t="s">
        <v>2088</v>
      </c>
      <c r="N158" s="42" t="s">
        <v>160</v>
      </c>
      <c r="O158" s="43">
        <v>6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47">
        <v>7</v>
      </c>
      <c r="T158" s="47">
        <v>0.8</v>
      </c>
      <c r="U158" s="43">
        <v>2</v>
      </c>
      <c r="V158" s="43"/>
      <c r="W158" s="47"/>
      <c r="X158" s="47"/>
      <c r="Y158" s="48" t="s">
        <v>162</v>
      </c>
      <c r="Z158" s="49"/>
      <c r="AA158" s="25">
        <f>VLOOKUP(F158,Zones!$A$2:$F$151534,6,FALSE)</f>
        <v>365</v>
      </c>
      <c r="AB158" s="25">
        <f>VLOOKUP(L158,Zones!$A$2:$F$151477,6,FALSE)</f>
        <v>1135</v>
      </c>
    </row>
    <row r="159" spans="2:28">
      <c r="B159" s="40">
        <v>0.5625</v>
      </c>
      <c r="C159" s="40" t="s">
        <v>425</v>
      </c>
      <c r="D159" s="41">
        <v>2</v>
      </c>
      <c r="E159" s="42">
        <v>2</v>
      </c>
      <c r="F159" s="42" t="s">
        <v>154</v>
      </c>
      <c r="G159" s="43" t="s">
        <v>154</v>
      </c>
      <c r="H159" s="42" t="s">
        <v>160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161</v>
      </c>
      <c r="M159" s="43" t="s">
        <v>154</v>
      </c>
      <c r="N159" s="42" t="s">
        <v>160</v>
      </c>
      <c r="O159" s="43">
        <v>16</v>
      </c>
      <c r="P159" s="43">
        <v>8</v>
      </c>
      <c r="Q159" s="25" t="str">
        <f>VLOOKUP(P159,Key!$E$2:$F$9,2,FALSE)</f>
        <v>Others</v>
      </c>
      <c r="R159" s="25" t="str">
        <f t="shared" si="2"/>
        <v>Home-Others</v>
      </c>
      <c r="S159" s="47">
        <v>27</v>
      </c>
      <c r="T159" s="47">
        <v>1</v>
      </c>
      <c r="U159" s="43">
        <v>3</v>
      </c>
      <c r="V159" s="43"/>
      <c r="W159" s="47"/>
      <c r="X159" s="47"/>
      <c r="Y159" s="48" t="s">
        <v>162</v>
      </c>
      <c r="Z159" s="49"/>
      <c r="AA159" s="25">
        <f>VLOOKUP(F159,Zones!$A$2:$F$151534,6,FALSE)</f>
        <v>365</v>
      </c>
      <c r="AB159" s="25">
        <f>VLOOKUP(L159,Zones!$A$2:$F$151477,6,FALSE)</f>
        <v>845</v>
      </c>
    </row>
    <row r="160" spans="2:28">
      <c r="B160" s="40">
        <v>0.56597222222222221</v>
      </c>
      <c r="C160" s="40" t="s">
        <v>426</v>
      </c>
      <c r="D160" s="41">
        <v>2</v>
      </c>
      <c r="E160" s="42">
        <v>1</v>
      </c>
      <c r="F160" s="42" t="s">
        <v>154</v>
      </c>
      <c r="G160" s="43" t="s">
        <v>154</v>
      </c>
      <c r="H160" s="42" t="s">
        <v>160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155</v>
      </c>
      <c r="M160" s="43" t="s">
        <v>155</v>
      </c>
      <c r="N160" s="42" t="s">
        <v>160</v>
      </c>
      <c r="O160" s="43">
        <v>16</v>
      </c>
      <c r="P160" s="43">
        <v>8</v>
      </c>
      <c r="Q160" s="25" t="str">
        <f>VLOOKUP(P160,Key!$E$2:$F$9,2,FALSE)</f>
        <v>Others</v>
      </c>
      <c r="R160" s="25" t="str">
        <f t="shared" si="2"/>
        <v>Home-Others</v>
      </c>
      <c r="S160" s="47">
        <v>15</v>
      </c>
      <c r="T160" s="47">
        <v>1</v>
      </c>
      <c r="U160" s="43">
        <v>3</v>
      </c>
      <c r="V160" s="43"/>
      <c r="W160" s="47"/>
      <c r="X160" s="47"/>
      <c r="Y160" s="48" t="s">
        <v>162</v>
      </c>
      <c r="Z160" s="49"/>
      <c r="AA160" s="25">
        <f>VLOOKUP(F160,Zones!$A$2:$F$151534,6,FALSE)</f>
        <v>365</v>
      </c>
      <c r="AB160" s="25">
        <f>VLOOKUP(L160,Zones!$A$2:$F$151477,6,FALSE)</f>
        <v>498</v>
      </c>
    </row>
    <row r="161" spans="2:28">
      <c r="B161" s="40">
        <v>0.55972222222222223</v>
      </c>
      <c r="C161" s="40" t="s">
        <v>427</v>
      </c>
      <c r="D161" s="41">
        <v>8</v>
      </c>
      <c r="E161" s="42">
        <v>2</v>
      </c>
      <c r="F161" s="42" t="s">
        <v>154</v>
      </c>
      <c r="G161" s="43" t="s">
        <v>154</v>
      </c>
      <c r="H161" s="42" t="s">
        <v>160</v>
      </c>
      <c r="I161" s="43">
        <v>1</v>
      </c>
      <c r="J161" s="43">
        <v>1</v>
      </c>
      <c r="K161" s="25" t="str">
        <f>VLOOKUP(J161,Key!$E$2:$F$9,2,FALSE)</f>
        <v>Home</v>
      </c>
      <c r="L161" s="42" t="s">
        <v>161</v>
      </c>
      <c r="M161" s="43" t="s">
        <v>154</v>
      </c>
      <c r="N161" s="42" t="s">
        <v>160</v>
      </c>
      <c r="O161" s="43">
        <v>10</v>
      </c>
      <c r="P161" s="43">
        <v>2</v>
      </c>
      <c r="Q161" s="25" t="str">
        <f>VLOOKUP(P161,Key!$E$2:$F$9,2,FALSE)</f>
        <v>Work</v>
      </c>
      <c r="R161" s="25" t="str">
        <f t="shared" si="2"/>
        <v>Home-Work</v>
      </c>
      <c r="S161" s="47">
        <v>24</v>
      </c>
      <c r="T161" s="47">
        <v>1</v>
      </c>
      <c r="U161" s="43">
        <v>2</v>
      </c>
      <c r="V161" s="43"/>
      <c r="W161" s="47"/>
      <c r="X161" s="47"/>
      <c r="Y161" s="48" t="s">
        <v>162</v>
      </c>
      <c r="Z161" s="49"/>
      <c r="AA161" s="25">
        <f>VLOOKUP(F161,Zones!$A$2:$F$151534,6,FALSE)</f>
        <v>365</v>
      </c>
      <c r="AB161" s="25">
        <f>VLOOKUP(L161,Zones!$A$2:$F$151477,6,FALSE)</f>
        <v>845</v>
      </c>
    </row>
    <row r="162" spans="2:28">
      <c r="B162" s="40">
        <v>0.56805555555555554</v>
      </c>
      <c r="C162" s="40" t="s">
        <v>428</v>
      </c>
      <c r="D162" s="41">
        <v>4</v>
      </c>
      <c r="E162" s="42">
        <v>14</v>
      </c>
      <c r="F162" s="42" t="s">
        <v>154</v>
      </c>
      <c r="G162" s="43" t="s">
        <v>154</v>
      </c>
      <c r="H162" s="42" t="s">
        <v>160</v>
      </c>
      <c r="I162" s="43">
        <v>6</v>
      </c>
      <c r="J162" s="43">
        <v>2</v>
      </c>
      <c r="K162" s="25" t="str">
        <f>VLOOKUP(J162,Key!$E$2:$F$9,2,FALSE)</f>
        <v>Work</v>
      </c>
      <c r="L162" s="42" t="s">
        <v>155</v>
      </c>
      <c r="M162" s="43" t="s">
        <v>154</v>
      </c>
      <c r="N162" s="42" t="s">
        <v>160</v>
      </c>
      <c r="O162" s="43">
        <v>6</v>
      </c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47">
        <v>14</v>
      </c>
      <c r="T162" s="47">
        <v>1</v>
      </c>
      <c r="U162" s="43">
        <v>2</v>
      </c>
      <c r="V162" s="43"/>
      <c r="W162" s="47"/>
      <c r="X162" s="47"/>
      <c r="Y162" s="48" t="s">
        <v>162</v>
      </c>
      <c r="Z162" s="49"/>
      <c r="AA162" s="25">
        <f>VLOOKUP(F162,Zones!$A$2:$F$151534,6,FALSE)</f>
        <v>365</v>
      </c>
      <c r="AB162" s="25">
        <f>VLOOKUP(L162,Zones!$A$2:$F$151477,6,FALSE)</f>
        <v>498</v>
      </c>
    </row>
    <row r="163" spans="2:28">
      <c r="B163" s="40">
        <v>0.5708333333333333</v>
      </c>
      <c r="C163" s="40" t="s">
        <v>429</v>
      </c>
      <c r="D163" s="41">
        <v>1</v>
      </c>
      <c r="E163" s="42">
        <v>1</v>
      </c>
      <c r="F163" s="42" t="s">
        <v>154</v>
      </c>
      <c r="G163" s="43" t="s">
        <v>154</v>
      </c>
      <c r="H163" s="42" t="s">
        <v>160</v>
      </c>
      <c r="I163" s="43">
        <v>3</v>
      </c>
      <c r="J163" s="43">
        <v>2</v>
      </c>
      <c r="K163" s="25" t="str">
        <f>VLOOKUP(J163,Key!$E$2:$F$9,2,FALSE)</f>
        <v>Work</v>
      </c>
      <c r="L163" s="59" t="s">
        <v>2527</v>
      </c>
      <c r="M163" s="43" t="s">
        <v>2088</v>
      </c>
      <c r="N163" s="42" t="s">
        <v>160</v>
      </c>
      <c r="O163" s="43">
        <v>1</v>
      </c>
      <c r="P163" s="43">
        <v>1</v>
      </c>
      <c r="Q163" s="25" t="str">
        <f>VLOOKUP(P163,Key!$E$2:$F$9,2,FALSE)</f>
        <v>Home</v>
      </c>
      <c r="R163" s="25" t="str">
        <f t="shared" si="2"/>
        <v>Work-Home</v>
      </c>
      <c r="S163" s="47"/>
      <c r="T163" s="47">
        <v>0.5</v>
      </c>
      <c r="U163" s="43">
        <v>1</v>
      </c>
      <c r="V163" s="43"/>
      <c r="W163" s="47"/>
      <c r="X163" s="47"/>
      <c r="Y163" s="48" t="s">
        <v>162</v>
      </c>
      <c r="Z163" s="49"/>
      <c r="AA163" s="25">
        <f>VLOOKUP(F163,Zones!$A$2:$F$151534,6,FALSE)</f>
        <v>365</v>
      </c>
      <c r="AB163" s="25">
        <f>VLOOKUP(L163,Zones!$A$2:$F$151477,6,FALSE)</f>
        <v>1135</v>
      </c>
    </row>
    <row r="164" spans="2:28">
      <c r="B164" s="40">
        <v>0.57222222222222219</v>
      </c>
      <c r="C164" s="40" t="s">
        <v>430</v>
      </c>
      <c r="D164" s="41">
        <v>5</v>
      </c>
      <c r="E164" s="42">
        <v>37</v>
      </c>
      <c r="F164" s="42" t="s">
        <v>164</v>
      </c>
      <c r="G164" s="43" t="s">
        <v>164</v>
      </c>
      <c r="H164" s="42" t="s">
        <v>160</v>
      </c>
      <c r="I164" s="43">
        <v>4</v>
      </c>
      <c r="J164" s="43">
        <v>3</v>
      </c>
      <c r="K164" s="25" t="str">
        <f>VLOOKUP(J164,Key!$E$2:$F$9,2,FALSE)</f>
        <v>Study</v>
      </c>
      <c r="L164" s="42" t="s">
        <v>155</v>
      </c>
      <c r="M164" s="42" t="s">
        <v>155</v>
      </c>
      <c r="N164" s="42" t="s">
        <v>160</v>
      </c>
      <c r="O164" s="43">
        <v>4</v>
      </c>
      <c r="P164" s="43">
        <v>3</v>
      </c>
      <c r="Q164" s="25" t="str">
        <f>VLOOKUP(P164,Key!$E$2:$F$9,2,FALSE)</f>
        <v>Study</v>
      </c>
      <c r="R164" s="25" t="str">
        <f t="shared" si="2"/>
        <v>Study-Study</v>
      </c>
      <c r="S164" s="47">
        <v>27</v>
      </c>
      <c r="T164" s="47">
        <v>2</v>
      </c>
      <c r="U164" s="43">
        <v>6</v>
      </c>
      <c r="V164" s="43"/>
      <c r="W164" s="47"/>
      <c r="X164" s="47"/>
      <c r="Y164" s="48" t="s">
        <v>162</v>
      </c>
      <c r="Z164" s="49"/>
      <c r="AA164" s="25">
        <f>VLOOKUP(F164,Zones!$A$2:$F$151534,6,FALSE)</f>
        <v>403</v>
      </c>
      <c r="AB164" s="25">
        <f>VLOOKUP(L164,Zones!$A$2:$F$151477,6,FALSE)</f>
        <v>498</v>
      </c>
    </row>
    <row r="165" spans="2:28">
      <c r="B165" s="40">
        <v>0.57361111111111118</v>
      </c>
      <c r="C165" s="40" t="s">
        <v>431</v>
      </c>
      <c r="D165" s="41">
        <v>7</v>
      </c>
      <c r="E165" s="42">
        <v>2</v>
      </c>
      <c r="F165" s="42" t="s">
        <v>154</v>
      </c>
      <c r="G165" s="43" t="s">
        <v>154</v>
      </c>
      <c r="H165" s="42" t="s">
        <v>160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432</v>
      </c>
      <c r="M165" s="43" t="s">
        <v>2295</v>
      </c>
      <c r="N165" s="42" t="s">
        <v>160</v>
      </c>
      <c r="O165" s="43">
        <v>16</v>
      </c>
      <c r="P165" s="43">
        <v>2</v>
      </c>
      <c r="Q165" s="25" t="str">
        <f>VLOOKUP(P165,Key!$E$2:$F$9,2,FALSE)</f>
        <v>Work</v>
      </c>
      <c r="R165" s="25" t="str">
        <f t="shared" si="2"/>
        <v>Home-Work</v>
      </c>
      <c r="S165" s="47">
        <v>24</v>
      </c>
      <c r="T165" s="47">
        <v>1</v>
      </c>
      <c r="U165" s="43">
        <v>2</v>
      </c>
      <c r="V165" s="43"/>
      <c r="W165" s="47"/>
      <c r="X165" s="47"/>
      <c r="Y165" s="48" t="s">
        <v>162</v>
      </c>
      <c r="Z165" s="49"/>
      <c r="AA165" s="25">
        <f>VLOOKUP(F165,Zones!$A$2:$F$151534,6,FALSE)</f>
        <v>365</v>
      </c>
      <c r="AB165" s="25">
        <f>VLOOKUP(L165,Zones!$A$2:$F$151477,6,FALSE)</f>
        <v>1338</v>
      </c>
    </row>
    <row r="166" spans="2:28">
      <c r="B166" s="40">
        <v>0.57500000000000007</v>
      </c>
      <c r="C166" s="40" t="s">
        <v>433</v>
      </c>
      <c r="D166" s="41">
        <v>8</v>
      </c>
      <c r="E166" s="42">
        <v>4</v>
      </c>
      <c r="F166" s="42" t="s">
        <v>154</v>
      </c>
      <c r="G166" s="43" t="s">
        <v>154</v>
      </c>
      <c r="H166" s="42" t="s">
        <v>160</v>
      </c>
      <c r="I166" s="43">
        <v>10</v>
      </c>
      <c r="J166" s="43">
        <v>2</v>
      </c>
      <c r="K166" s="25" t="str">
        <f>VLOOKUP(J166,Key!$E$2:$F$9,2,FALSE)</f>
        <v>Work</v>
      </c>
      <c r="L166" s="42" t="s">
        <v>155</v>
      </c>
      <c r="M166" s="43" t="s">
        <v>155</v>
      </c>
      <c r="N166" s="42" t="s">
        <v>160</v>
      </c>
      <c r="O166" s="43">
        <v>16</v>
      </c>
      <c r="P166" s="43">
        <v>8</v>
      </c>
      <c r="Q166" s="25" t="str">
        <f>VLOOKUP(P166,Key!$E$2:$F$9,2,FALSE)</f>
        <v>Others</v>
      </c>
      <c r="R166" s="25" t="str">
        <f t="shared" si="2"/>
        <v>Work-Others</v>
      </c>
      <c r="S166" s="47">
        <v>10</v>
      </c>
      <c r="T166" s="47">
        <v>0.5</v>
      </c>
      <c r="U166" s="43">
        <v>2</v>
      </c>
      <c r="V166" s="43"/>
      <c r="W166" s="47"/>
      <c r="X166" s="47"/>
      <c r="Y166" s="48" t="s">
        <v>162</v>
      </c>
      <c r="Z166" s="49"/>
      <c r="AA166" s="25">
        <f>VLOOKUP(F166,Zones!$A$2:$F$151534,6,FALSE)</f>
        <v>365</v>
      </c>
      <c r="AB166" s="25">
        <f>VLOOKUP(L166,Zones!$A$2:$F$151477,6,FALSE)</f>
        <v>498</v>
      </c>
    </row>
    <row r="167" spans="2:28">
      <c r="B167" s="40">
        <v>0.58333333333333337</v>
      </c>
      <c r="C167" s="40" t="s">
        <v>434</v>
      </c>
      <c r="D167" s="41">
        <v>1</v>
      </c>
      <c r="E167" s="42">
        <v>2</v>
      </c>
      <c r="F167" s="42" t="s">
        <v>154</v>
      </c>
      <c r="G167" s="43" t="s">
        <v>154</v>
      </c>
      <c r="H167" s="42" t="s">
        <v>160</v>
      </c>
      <c r="I167" s="43">
        <v>1</v>
      </c>
      <c r="J167" s="43">
        <v>1</v>
      </c>
      <c r="K167" s="25" t="str">
        <f>VLOOKUP(J167,Key!$E$2:$F$9,2,FALSE)</f>
        <v>Home</v>
      </c>
      <c r="L167" s="42" t="s">
        <v>220</v>
      </c>
      <c r="M167" s="43" t="s">
        <v>154</v>
      </c>
      <c r="N167" s="42" t="s">
        <v>160</v>
      </c>
      <c r="O167" s="43">
        <v>5</v>
      </c>
      <c r="P167" s="43">
        <v>7</v>
      </c>
      <c r="Q167" s="25" t="str">
        <f>VLOOKUP(P167,Key!$E$2:$F$9,2,FALSE)</f>
        <v>Hospital</v>
      </c>
      <c r="R167" s="25" t="str">
        <f t="shared" si="2"/>
        <v>Home-Hospital</v>
      </c>
      <c r="S167" s="47"/>
      <c r="T167" s="47">
        <v>0.3</v>
      </c>
      <c r="U167" s="43">
        <v>6</v>
      </c>
      <c r="V167" s="43"/>
      <c r="W167" s="47"/>
      <c r="X167" s="47"/>
      <c r="Y167" s="48" t="s">
        <v>162</v>
      </c>
      <c r="Z167" s="49"/>
      <c r="AA167" s="25">
        <f>VLOOKUP(F167,Zones!$A$2:$F$151534,6,FALSE)</f>
        <v>365</v>
      </c>
      <c r="AB167" s="25">
        <f>VLOOKUP(L167,Zones!$A$2:$F$151477,6,FALSE)</f>
        <v>369</v>
      </c>
    </row>
    <row r="168" spans="2:28">
      <c r="B168" s="40">
        <v>0.5854166666666667</v>
      </c>
      <c r="C168" s="40" t="s">
        <v>435</v>
      </c>
      <c r="D168" s="41">
        <v>2</v>
      </c>
      <c r="E168" s="42">
        <v>4</v>
      </c>
      <c r="F168" s="42" t="s">
        <v>154</v>
      </c>
      <c r="G168" s="43" t="s">
        <v>154</v>
      </c>
      <c r="H168" s="42" t="s">
        <v>160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161</v>
      </c>
      <c r="M168" s="43" t="s">
        <v>154</v>
      </c>
      <c r="N168" s="42" t="s">
        <v>160</v>
      </c>
      <c r="O168" s="43">
        <v>9</v>
      </c>
      <c r="P168" s="43">
        <v>2</v>
      </c>
      <c r="Q168" s="25" t="str">
        <f>VLOOKUP(P168,Key!$E$2:$F$9,2,FALSE)</f>
        <v>Work</v>
      </c>
      <c r="R168" s="25" t="str">
        <f t="shared" si="2"/>
        <v>Home-Work</v>
      </c>
      <c r="S168" s="47">
        <v>24</v>
      </c>
      <c r="T168" s="47">
        <v>1.5</v>
      </c>
      <c r="U168" s="43">
        <v>3</v>
      </c>
      <c r="V168" s="43"/>
      <c r="W168" s="47"/>
      <c r="X168" s="47"/>
      <c r="Y168" s="48" t="s">
        <v>162</v>
      </c>
      <c r="Z168" s="49"/>
      <c r="AA168" s="25">
        <f>VLOOKUP(F168,Zones!$A$2:$F$151534,6,FALSE)</f>
        <v>365</v>
      </c>
      <c r="AB168" s="25">
        <f>VLOOKUP(L168,Zones!$A$2:$F$151477,6,FALSE)</f>
        <v>845</v>
      </c>
    </row>
    <row r="169" spans="2:28">
      <c r="B169" s="40">
        <v>0.59027777777777779</v>
      </c>
      <c r="C169" s="40" t="s">
        <v>436</v>
      </c>
      <c r="D169" s="41">
        <v>1</v>
      </c>
      <c r="E169" s="42">
        <v>2</v>
      </c>
      <c r="F169" s="42" t="s">
        <v>154</v>
      </c>
      <c r="G169" s="43" t="s">
        <v>154</v>
      </c>
      <c r="H169" s="42" t="s">
        <v>160</v>
      </c>
      <c r="I169" s="43">
        <v>2</v>
      </c>
      <c r="J169" s="43">
        <v>2</v>
      </c>
      <c r="K169" s="25" t="str">
        <f>VLOOKUP(J169,Key!$E$2:$F$9,2,FALSE)</f>
        <v>Work</v>
      </c>
      <c r="L169" s="42" t="s">
        <v>296</v>
      </c>
      <c r="M169" s="43" t="s">
        <v>154</v>
      </c>
      <c r="N169" s="42" t="s">
        <v>160</v>
      </c>
      <c r="O169" s="43">
        <v>1</v>
      </c>
      <c r="P169" s="43">
        <v>1</v>
      </c>
      <c r="Q169" s="25" t="str">
        <f>VLOOKUP(P169,Key!$E$2:$F$9,2,FALSE)</f>
        <v>Home</v>
      </c>
      <c r="R169" s="25" t="str">
        <f t="shared" si="2"/>
        <v>Work-Home</v>
      </c>
      <c r="S169" s="47"/>
      <c r="T169" s="47">
        <v>0.8</v>
      </c>
      <c r="U169" s="43">
        <v>1</v>
      </c>
      <c r="V169" s="43"/>
      <c r="W169" s="47"/>
      <c r="X169" s="47"/>
      <c r="Y169" s="48" t="s">
        <v>162</v>
      </c>
      <c r="Z169" s="49"/>
      <c r="AA169" s="25">
        <f>VLOOKUP(F169,Zones!$A$2:$F$151534,6,FALSE)</f>
        <v>365</v>
      </c>
      <c r="AB169" s="25">
        <f>VLOOKUP(L169,Zones!$A$2:$F$151477,6,FALSE)</f>
        <v>497</v>
      </c>
    </row>
    <row r="170" spans="2:28">
      <c r="B170" s="40">
        <v>0.59236111111111112</v>
      </c>
      <c r="C170" s="40" t="s">
        <v>437</v>
      </c>
      <c r="D170" s="41">
        <v>3</v>
      </c>
      <c r="E170" s="42">
        <v>2</v>
      </c>
      <c r="F170" s="42" t="s">
        <v>154</v>
      </c>
      <c r="G170" s="43" t="s">
        <v>154</v>
      </c>
      <c r="H170" s="42" t="s">
        <v>160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220</v>
      </c>
      <c r="M170" s="43" t="s">
        <v>154</v>
      </c>
      <c r="N170" s="42" t="s">
        <v>160</v>
      </c>
      <c r="O170" s="43">
        <v>13</v>
      </c>
      <c r="P170" s="43">
        <v>2</v>
      </c>
      <c r="Q170" s="25" t="str">
        <f>VLOOKUP(P170,Key!$E$2:$F$9,2,FALSE)</f>
        <v>Work</v>
      </c>
      <c r="R170" s="25" t="str">
        <f t="shared" si="2"/>
        <v>Home-Work</v>
      </c>
      <c r="S170" s="47">
        <v>5</v>
      </c>
      <c r="T170" s="47">
        <v>0.2</v>
      </c>
      <c r="U170" s="43">
        <v>2</v>
      </c>
      <c r="V170" s="43"/>
      <c r="W170" s="47"/>
      <c r="X170" s="47"/>
      <c r="Y170" s="48" t="s">
        <v>162</v>
      </c>
      <c r="Z170" s="49"/>
      <c r="AA170" s="25">
        <f>VLOOKUP(F170,Zones!$A$2:$F$151534,6,FALSE)</f>
        <v>365</v>
      </c>
      <c r="AB170" s="25">
        <f>VLOOKUP(L170,Zones!$A$2:$F$151477,6,FALSE)</f>
        <v>369</v>
      </c>
    </row>
    <row r="171" spans="2:28">
      <c r="B171" s="40">
        <v>0.59513888888888888</v>
      </c>
      <c r="C171" s="40" t="s">
        <v>438</v>
      </c>
      <c r="D171" s="41">
        <v>8</v>
      </c>
      <c r="E171" s="42">
        <v>3</v>
      </c>
      <c r="F171" s="42" t="s">
        <v>154</v>
      </c>
      <c r="G171" s="43" t="s">
        <v>154</v>
      </c>
      <c r="H171" s="42" t="s">
        <v>160</v>
      </c>
      <c r="I171" s="43">
        <v>10</v>
      </c>
      <c r="J171" s="43">
        <v>2</v>
      </c>
      <c r="K171" s="25" t="str">
        <f>VLOOKUP(J171,Key!$E$2:$F$9,2,FALSE)</f>
        <v>Work</v>
      </c>
      <c r="L171" s="59" t="s">
        <v>2527</v>
      </c>
      <c r="M171" s="43" t="s">
        <v>2088</v>
      </c>
      <c r="N171" s="42" t="s">
        <v>160</v>
      </c>
      <c r="O171" s="43">
        <v>1</v>
      </c>
      <c r="P171" s="43">
        <v>1</v>
      </c>
      <c r="Q171" s="25" t="str">
        <f>VLOOKUP(P171,Key!$E$2:$F$9,2,FALSE)</f>
        <v>Home</v>
      </c>
      <c r="R171" s="25" t="str">
        <f t="shared" si="2"/>
        <v>Work-Home</v>
      </c>
      <c r="S171" s="47">
        <v>10</v>
      </c>
      <c r="T171" s="47">
        <v>0.5</v>
      </c>
      <c r="U171" s="43">
        <v>2</v>
      </c>
      <c r="V171" s="43"/>
      <c r="W171" s="47"/>
      <c r="X171" s="47"/>
      <c r="Y171" s="48" t="s">
        <v>162</v>
      </c>
      <c r="Z171" s="49"/>
      <c r="AA171" s="25">
        <f>VLOOKUP(F171,Zones!$A$2:$F$151534,6,FALSE)</f>
        <v>365</v>
      </c>
      <c r="AB171" s="25">
        <f>VLOOKUP(L171,Zones!$A$2:$F$151477,6,FALSE)</f>
        <v>1135</v>
      </c>
    </row>
    <row r="172" spans="2:28">
      <c r="B172" s="40">
        <v>0.59722222222222221</v>
      </c>
      <c r="C172" s="40" t="s">
        <v>439</v>
      </c>
      <c r="D172" s="41">
        <v>1</v>
      </c>
      <c r="E172" s="42">
        <v>2</v>
      </c>
      <c r="F172" s="42" t="s">
        <v>154</v>
      </c>
      <c r="G172" s="43" t="s">
        <v>154</v>
      </c>
      <c r="H172" s="42" t="s">
        <v>160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161</v>
      </c>
      <c r="M172" s="43" t="s">
        <v>154</v>
      </c>
      <c r="N172" s="42" t="s">
        <v>160</v>
      </c>
      <c r="O172" s="43">
        <v>10</v>
      </c>
      <c r="P172" s="43">
        <v>2</v>
      </c>
      <c r="Q172" s="25" t="str">
        <f>VLOOKUP(P172,Key!$E$2:$F$9,2,FALSE)</f>
        <v>Work</v>
      </c>
      <c r="R172" s="25" t="str">
        <f t="shared" si="2"/>
        <v>Home-Work</v>
      </c>
      <c r="S172" s="47">
        <v>23</v>
      </c>
      <c r="T172" s="47">
        <v>1.5</v>
      </c>
      <c r="U172" s="43">
        <v>2</v>
      </c>
      <c r="V172" s="43"/>
      <c r="W172" s="47"/>
      <c r="X172" s="47"/>
      <c r="Y172" s="48" t="s">
        <v>162</v>
      </c>
      <c r="Z172" s="49"/>
      <c r="AA172" s="25">
        <f>VLOOKUP(F172,Zones!$A$2:$F$151534,6,FALSE)</f>
        <v>365</v>
      </c>
      <c r="AB172" s="25">
        <f>VLOOKUP(L172,Zones!$A$2:$F$151477,6,FALSE)</f>
        <v>845</v>
      </c>
    </row>
    <row r="173" spans="2:28">
      <c r="B173" s="40">
        <v>0.60138888888888886</v>
      </c>
      <c r="C173" s="40" t="s">
        <v>440</v>
      </c>
      <c r="D173" s="41">
        <v>4</v>
      </c>
      <c r="E173" s="42">
        <v>14</v>
      </c>
      <c r="F173" s="42" t="s">
        <v>154</v>
      </c>
      <c r="G173" s="43" t="s">
        <v>154</v>
      </c>
      <c r="H173" s="42" t="s">
        <v>160</v>
      </c>
      <c r="I173" s="43">
        <v>6</v>
      </c>
      <c r="J173" s="43">
        <v>2</v>
      </c>
      <c r="K173" s="25" t="str">
        <f>VLOOKUP(J173,Key!$E$2:$F$9,2,FALSE)</f>
        <v>Work</v>
      </c>
      <c r="L173" s="42" t="s">
        <v>155</v>
      </c>
      <c r="M173" s="43" t="s">
        <v>155</v>
      </c>
      <c r="N173" s="42" t="s">
        <v>160</v>
      </c>
      <c r="O173" s="43">
        <v>6</v>
      </c>
      <c r="P173" s="43">
        <v>2</v>
      </c>
      <c r="Q173" s="25" t="str">
        <f>VLOOKUP(P173,Key!$E$2:$F$9,2,FALSE)</f>
        <v>Work</v>
      </c>
      <c r="R173" s="25" t="str">
        <f t="shared" si="2"/>
        <v>Work-Work</v>
      </c>
      <c r="S173" s="47">
        <v>15</v>
      </c>
      <c r="T173" s="47">
        <v>0.8</v>
      </c>
      <c r="U173" s="43">
        <v>1</v>
      </c>
      <c r="V173" s="43"/>
      <c r="W173" s="47"/>
      <c r="X173" s="47"/>
      <c r="Y173" s="48" t="s">
        <v>162</v>
      </c>
      <c r="Z173" s="49"/>
      <c r="AA173" s="25">
        <f>VLOOKUP(F173,Zones!$A$2:$F$151534,6,FALSE)</f>
        <v>365</v>
      </c>
      <c r="AB173" s="25">
        <f>VLOOKUP(L173,Zones!$A$2:$F$151477,6,FALSE)</f>
        <v>498</v>
      </c>
    </row>
    <row r="174" spans="2:28">
      <c r="B174" s="40">
        <v>0.60416666666666663</v>
      </c>
      <c r="C174" s="40" t="s">
        <v>441</v>
      </c>
      <c r="D174" s="41">
        <v>1</v>
      </c>
      <c r="E174" s="42">
        <v>1</v>
      </c>
      <c r="F174" s="42" t="s">
        <v>154</v>
      </c>
      <c r="G174" s="43" t="s">
        <v>154</v>
      </c>
      <c r="H174" s="42" t="s">
        <v>160</v>
      </c>
      <c r="I174" s="43">
        <v>2</v>
      </c>
      <c r="J174" s="43">
        <v>2</v>
      </c>
      <c r="K174" s="25" t="str">
        <f>VLOOKUP(J174,Key!$E$2:$F$9,2,FALSE)</f>
        <v>Work</v>
      </c>
      <c r="L174" s="42" t="s">
        <v>161</v>
      </c>
      <c r="M174" s="43" t="s">
        <v>154</v>
      </c>
      <c r="N174" s="42" t="s">
        <v>160</v>
      </c>
      <c r="O174" s="43">
        <v>1</v>
      </c>
      <c r="P174" s="43">
        <v>1</v>
      </c>
      <c r="Q174" s="25" t="str">
        <f>VLOOKUP(P174,Key!$E$2:$F$9,2,FALSE)</f>
        <v>Home</v>
      </c>
      <c r="R174" s="25" t="str">
        <f t="shared" si="2"/>
        <v>Work-Home</v>
      </c>
      <c r="S174" s="47">
        <v>27</v>
      </c>
      <c r="T174" s="47">
        <v>2</v>
      </c>
      <c r="U174" s="43">
        <v>6</v>
      </c>
      <c r="V174" s="43"/>
      <c r="W174" s="47"/>
      <c r="X174" s="47"/>
      <c r="Y174" s="48" t="s">
        <v>162</v>
      </c>
      <c r="Z174" s="49"/>
      <c r="AA174" s="25">
        <f>VLOOKUP(F174,Zones!$A$2:$F$151534,6,FALSE)</f>
        <v>365</v>
      </c>
      <c r="AB174" s="25">
        <f>VLOOKUP(L174,Zones!$A$2:$F$151477,6,FALSE)</f>
        <v>845</v>
      </c>
    </row>
    <row r="175" spans="2:28">
      <c r="B175" s="40">
        <v>0.60763888888888895</v>
      </c>
      <c r="C175" s="40" t="s">
        <v>442</v>
      </c>
      <c r="D175" s="41">
        <v>2</v>
      </c>
      <c r="E175" s="42">
        <v>2</v>
      </c>
      <c r="F175" s="42" t="s">
        <v>164</v>
      </c>
      <c r="G175" s="43" t="s">
        <v>164</v>
      </c>
      <c r="H175" s="42" t="s">
        <v>160</v>
      </c>
      <c r="I175" s="43">
        <v>3</v>
      </c>
      <c r="J175" s="43">
        <v>2</v>
      </c>
      <c r="K175" s="25" t="str">
        <f>VLOOKUP(J175,Key!$E$2:$F$9,2,FALSE)</f>
        <v>Work</v>
      </c>
      <c r="L175" s="42" t="s">
        <v>220</v>
      </c>
      <c r="M175" s="43" t="s">
        <v>154</v>
      </c>
      <c r="N175" s="42" t="s">
        <v>160</v>
      </c>
      <c r="O175" s="43">
        <v>1</v>
      </c>
      <c r="P175" s="43">
        <v>1</v>
      </c>
      <c r="Q175" s="25" t="str">
        <f>VLOOKUP(P175,Key!$E$2:$F$9,2,FALSE)</f>
        <v>Home</v>
      </c>
      <c r="R175" s="25" t="str">
        <f t="shared" si="2"/>
        <v>Work-Home</v>
      </c>
      <c r="S175" s="47"/>
      <c r="T175" s="47">
        <v>1</v>
      </c>
      <c r="U175" s="43">
        <v>3</v>
      </c>
      <c r="V175" s="43"/>
      <c r="W175" s="47"/>
      <c r="X175" s="47"/>
      <c r="Y175" s="48" t="s">
        <v>162</v>
      </c>
      <c r="Z175" s="49"/>
      <c r="AA175" s="25">
        <f>VLOOKUP(F175,Zones!$A$2:$F$151534,6,FALSE)</f>
        <v>403</v>
      </c>
      <c r="AB175" s="25">
        <f>VLOOKUP(L175,Zones!$A$2:$F$151477,6,FALSE)</f>
        <v>369</v>
      </c>
    </row>
    <row r="176" spans="2:28">
      <c r="B176" s="40">
        <v>0.61041666666666672</v>
      </c>
      <c r="C176" s="40" t="s">
        <v>443</v>
      </c>
      <c r="D176" s="41">
        <v>8</v>
      </c>
      <c r="E176" s="42">
        <v>3</v>
      </c>
      <c r="F176" s="42" t="s">
        <v>154</v>
      </c>
      <c r="G176" s="43" t="s">
        <v>154</v>
      </c>
      <c r="H176" s="42" t="s">
        <v>160</v>
      </c>
      <c r="I176" s="43">
        <v>1</v>
      </c>
      <c r="J176" s="43">
        <v>1</v>
      </c>
      <c r="K176" s="25" t="str">
        <f>VLOOKUP(J176,Key!$E$2:$F$9,2,FALSE)</f>
        <v>Home</v>
      </c>
      <c r="L176" s="42" t="s">
        <v>220</v>
      </c>
      <c r="M176" s="43" t="s">
        <v>154</v>
      </c>
      <c r="N176" s="42" t="s">
        <v>160</v>
      </c>
      <c r="O176" s="43">
        <v>10</v>
      </c>
      <c r="P176" s="43">
        <v>2</v>
      </c>
      <c r="Q176" s="25" t="str">
        <f>VLOOKUP(P176,Key!$E$2:$F$9,2,FALSE)</f>
        <v>Work</v>
      </c>
      <c r="R176" s="25" t="str">
        <f t="shared" ref="R176:R230" si="3">K176&amp;"-"&amp;Q176</f>
        <v>Home-Work</v>
      </c>
      <c r="S176" s="47">
        <v>5</v>
      </c>
      <c r="T176" s="47">
        <v>0.3</v>
      </c>
      <c r="U176" s="43">
        <v>2</v>
      </c>
      <c r="V176" s="43"/>
      <c r="W176" s="47"/>
      <c r="X176" s="47"/>
      <c r="Y176" s="48" t="s">
        <v>162</v>
      </c>
      <c r="Z176" s="49"/>
      <c r="AA176" s="25">
        <f>VLOOKUP(F176,Zones!$A$2:$F$151534,6,FALSE)</f>
        <v>365</v>
      </c>
      <c r="AB176" s="25">
        <f>VLOOKUP(L176,Zones!$A$2:$F$151477,6,FALSE)</f>
        <v>369</v>
      </c>
    </row>
    <row r="177" spans="2:28">
      <c r="B177" s="40">
        <v>0.61458333333333337</v>
      </c>
      <c r="C177" s="40" t="s">
        <v>444</v>
      </c>
      <c r="D177" s="41">
        <v>2</v>
      </c>
      <c r="E177" s="42">
        <v>2</v>
      </c>
      <c r="F177" s="42" t="s">
        <v>154</v>
      </c>
      <c r="G177" s="43" t="s">
        <v>154</v>
      </c>
      <c r="H177" s="42" t="s">
        <v>160</v>
      </c>
      <c r="I177" s="43">
        <v>3</v>
      </c>
      <c r="J177" s="43">
        <v>2</v>
      </c>
      <c r="K177" s="25" t="str">
        <f>VLOOKUP(J177,Key!$E$2:$F$9,2,FALSE)</f>
        <v>Work</v>
      </c>
      <c r="L177" s="42" t="s">
        <v>187</v>
      </c>
      <c r="M177" s="43" t="s">
        <v>154</v>
      </c>
      <c r="N177" s="42" t="s">
        <v>160</v>
      </c>
      <c r="O177" s="43">
        <v>1</v>
      </c>
      <c r="P177" s="43">
        <v>1</v>
      </c>
      <c r="Q177" s="25" t="str">
        <f>VLOOKUP(P177,Key!$E$2:$F$9,2,FALSE)</f>
        <v>Home</v>
      </c>
      <c r="R177" s="25" t="str">
        <f t="shared" si="3"/>
        <v>Work-Home</v>
      </c>
      <c r="S177" s="47">
        <v>12</v>
      </c>
      <c r="T177" s="47">
        <v>0.7</v>
      </c>
      <c r="U177" s="43">
        <v>2</v>
      </c>
      <c r="V177" s="43"/>
      <c r="W177" s="47"/>
      <c r="X177" s="47"/>
      <c r="Y177" s="48" t="s">
        <v>162</v>
      </c>
      <c r="Z177" s="49"/>
      <c r="AA177" s="25">
        <f>VLOOKUP(F177,Zones!$A$2:$F$151534,6,FALSE)</f>
        <v>365</v>
      </c>
      <c r="AB177" s="25">
        <f>VLOOKUP(L177,Zones!$A$2:$F$151477,6,FALSE)</f>
        <v>372</v>
      </c>
    </row>
    <row r="178" spans="2:28">
      <c r="B178" s="40">
        <v>0.6166666666666667</v>
      </c>
      <c r="C178" s="40" t="s">
        <v>445</v>
      </c>
      <c r="D178" s="41">
        <v>4</v>
      </c>
      <c r="E178" s="42">
        <v>14</v>
      </c>
      <c r="F178" s="42" t="s">
        <v>154</v>
      </c>
      <c r="G178" s="43" t="s">
        <v>154</v>
      </c>
      <c r="H178" s="42" t="s">
        <v>160</v>
      </c>
      <c r="I178" s="43">
        <v>6</v>
      </c>
      <c r="J178" s="43">
        <v>2</v>
      </c>
      <c r="K178" s="25" t="str">
        <f>VLOOKUP(J178,Key!$E$2:$F$9,2,FALSE)</f>
        <v>Work</v>
      </c>
      <c r="L178" s="42" t="s">
        <v>161</v>
      </c>
      <c r="M178" s="43" t="s">
        <v>154</v>
      </c>
      <c r="N178" s="42" t="s">
        <v>160</v>
      </c>
      <c r="O178" s="43">
        <v>6</v>
      </c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47">
        <v>27</v>
      </c>
      <c r="T178" s="47">
        <v>2</v>
      </c>
      <c r="U178" s="43">
        <v>2</v>
      </c>
      <c r="V178" s="43"/>
      <c r="W178" s="47"/>
      <c r="X178" s="47"/>
      <c r="Y178" s="48" t="s">
        <v>162</v>
      </c>
      <c r="Z178" s="49"/>
      <c r="AA178" s="25">
        <f>VLOOKUP(F178,Zones!$A$2:$F$151534,6,FALSE)</f>
        <v>365</v>
      </c>
      <c r="AB178" s="25">
        <f>VLOOKUP(L178,Zones!$A$2:$F$151477,6,FALSE)</f>
        <v>845</v>
      </c>
    </row>
    <row r="179" spans="2:28">
      <c r="B179" s="40">
        <v>0.62222222222222223</v>
      </c>
      <c r="C179" s="40" t="s">
        <v>446</v>
      </c>
      <c r="D179" s="41">
        <v>2</v>
      </c>
      <c r="E179" s="42">
        <v>2</v>
      </c>
      <c r="F179" s="42" t="s">
        <v>154</v>
      </c>
      <c r="G179" s="43" t="s">
        <v>154</v>
      </c>
      <c r="H179" s="42" t="s">
        <v>160</v>
      </c>
      <c r="I179" s="43">
        <v>10</v>
      </c>
      <c r="J179" s="43">
        <v>2</v>
      </c>
      <c r="K179" s="25" t="str">
        <f>VLOOKUP(J179,Key!$E$2:$F$9,2,FALSE)</f>
        <v>Work</v>
      </c>
      <c r="L179" s="42" t="s">
        <v>220</v>
      </c>
      <c r="M179" s="43" t="s">
        <v>154</v>
      </c>
      <c r="N179" s="42" t="s">
        <v>160</v>
      </c>
      <c r="O179" s="43">
        <v>1</v>
      </c>
      <c r="P179" s="43">
        <v>1</v>
      </c>
      <c r="Q179" s="25" t="str">
        <f>VLOOKUP(P179,Key!$E$2:$F$9,2,FALSE)</f>
        <v>Home</v>
      </c>
      <c r="R179" s="25" t="str">
        <f t="shared" si="3"/>
        <v>Work-Home</v>
      </c>
      <c r="S179" s="47">
        <v>5</v>
      </c>
      <c r="T179" s="47">
        <v>0.2</v>
      </c>
      <c r="U179" s="43">
        <v>2</v>
      </c>
      <c r="V179" s="43"/>
      <c r="W179" s="47"/>
      <c r="X179" s="47"/>
      <c r="Y179" s="48" t="s">
        <v>162</v>
      </c>
      <c r="Z179" s="49"/>
      <c r="AA179" s="25">
        <f>VLOOKUP(F179,Zones!$A$2:$F$151534,6,FALSE)</f>
        <v>365</v>
      </c>
      <c r="AB179" s="25">
        <f>VLOOKUP(L179,Zones!$A$2:$F$151477,6,FALSE)</f>
        <v>369</v>
      </c>
    </row>
    <row r="180" spans="2:28">
      <c r="B180" s="40">
        <v>0.63888888888888895</v>
      </c>
      <c r="C180" s="40" t="s">
        <v>447</v>
      </c>
      <c r="D180" s="41">
        <v>8</v>
      </c>
      <c r="E180" s="42">
        <v>1</v>
      </c>
      <c r="F180" s="42" t="s">
        <v>154</v>
      </c>
      <c r="G180" s="43" t="s">
        <v>154</v>
      </c>
      <c r="H180" s="42" t="s">
        <v>160</v>
      </c>
      <c r="I180" s="43">
        <v>10</v>
      </c>
      <c r="J180" s="43">
        <v>2</v>
      </c>
      <c r="K180" s="25" t="str">
        <f>VLOOKUP(J180,Key!$E$2:$F$9,2,FALSE)</f>
        <v>Work</v>
      </c>
      <c r="L180" s="59" t="s">
        <v>2527</v>
      </c>
      <c r="M180" s="43" t="s">
        <v>2088</v>
      </c>
      <c r="N180" s="42" t="s">
        <v>160</v>
      </c>
      <c r="O180" s="43">
        <v>14</v>
      </c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47">
        <v>17</v>
      </c>
      <c r="T180" s="47">
        <v>0.5</v>
      </c>
      <c r="U180" s="43">
        <v>2</v>
      </c>
      <c r="V180" s="43"/>
      <c r="W180" s="47"/>
      <c r="X180" s="47"/>
      <c r="Y180" s="48" t="s">
        <v>162</v>
      </c>
      <c r="Z180" s="49"/>
      <c r="AA180" s="25">
        <f>VLOOKUP(F180,Zones!$A$2:$F$151534,6,FALSE)</f>
        <v>365</v>
      </c>
      <c r="AB180" s="25">
        <f>VLOOKUP(L180,Zones!$A$2:$F$151477,6,FALSE)</f>
        <v>1135</v>
      </c>
    </row>
    <row r="181" spans="2:28">
      <c r="B181" s="40">
        <v>0.64236111111111105</v>
      </c>
      <c r="C181" s="40" t="s">
        <v>448</v>
      </c>
      <c r="D181" s="41">
        <v>7</v>
      </c>
      <c r="E181" s="42">
        <v>2</v>
      </c>
      <c r="F181" s="42" t="s">
        <v>154</v>
      </c>
      <c r="G181" s="43" t="s">
        <v>154</v>
      </c>
      <c r="H181" s="42" t="s">
        <v>160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161</v>
      </c>
      <c r="M181" s="43" t="s">
        <v>154</v>
      </c>
      <c r="N181" s="42" t="s">
        <v>160</v>
      </c>
      <c r="O181" s="43">
        <v>10</v>
      </c>
      <c r="P181" s="43">
        <v>2</v>
      </c>
      <c r="Q181" s="25" t="str">
        <f>VLOOKUP(P181,Key!$E$2:$F$9,2,FALSE)</f>
        <v>Work</v>
      </c>
      <c r="R181" s="25" t="str">
        <f t="shared" si="3"/>
        <v>Home-Work</v>
      </c>
      <c r="S181" s="47">
        <v>27</v>
      </c>
      <c r="T181" s="47">
        <v>2</v>
      </c>
      <c r="U181" s="43">
        <v>1</v>
      </c>
      <c r="V181" s="43"/>
      <c r="W181" s="47"/>
      <c r="X181" s="47"/>
      <c r="Y181" s="48" t="s">
        <v>162</v>
      </c>
      <c r="Z181" s="49"/>
      <c r="AA181" s="25">
        <f>VLOOKUP(F181,Zones!$A$2:$F$151534,6,FALSE)</f>
        <v>365</v>
      </c>
      <c r="AB181" s="25">
        <f>VLOOKUP(L181,Zones!$A$2:$F$151477,6,FALSE)</f>
        <v>845</v>
      </c>
    </row>
    <row r="182" spans="2:28">
      <c r="B182" s="40">
        <v>0.64444444444444449</v>
      </c>
      <c r="C182" s="40" t="s">
        <v>364</v>
      </c>
      <c r="D182" s="41">
        <v>5</v>
      </c>
      <c r="E182" s="42">
        <v>32</v>
      </c>
      <c r="F182" s="42" t="s">
        <v>164</v>
      </c>
      <c r="G182" s="43" t="s">
        <v>164</v>
      </c>
      <c r="H182" s="42" t="s">
        <v>160</v>
      </c>
      <c r="I182" s="43">
        <v>6</v>
      </c>
      <c r="J182" s="43">
        <v>2</v>
      </c>
      <c r="K182" s="25" t="str">
        <f>VLOOKUP(J182,Key!$E$2:$F$9,2,FALSE)</f>
        <v>Work</v>
      </c>
      <c r="L182" s="42" t="s">
        <v>155</v>
      </c>
      <c r="M182" s="43" t="s">
        <v>154</v>
      </c>
      <c r="N182" s="42" t="s">
        <v>160</v>
      </c>
      <c r="O182" s="43">
        <v>6</v>
      </c>
      <c r="P182" s="43">
        <v>2</v>
      </c>
      <c r="Q182" s="25" t="str">
        <f>VLOOKUP(P182,Key!$E$2:$F$9,2,FALSE)</f>
        <v>Work</v>
      </c>
      <c r="R182" s="25" t="str">
        <f t="shared" si="3"/>
        <v>Work-Work</v>
      </c>
      <c r="S182" s="47"/>
      <c r="T182" s="47">
        <v>3</v>
      </c>
      <c r="U182" s="43">
        <v>4</v>
      </c>
      <c r="V182" s="43"/>
      <c r="W182" s="47"/>
      <c r="X182" s="47"/>
      <c r="Y182" s="48" t="s">
        <v>162</v>
      </c>
      <c r="Z182" s="49"/>
      <c r="AA182" s="25">
        <f>VLOOKUP(F182,Zones!$A$2:$F$151534,6,FALSE)</f>
        <v>403</v>
      </c>
      <c r="AB182" s="25">
        <f>VLOOKUP(L182,Zones!$A$2:$F$151477,6,FALSE)</f>
        <v>498</v>
      </c>
    </row>
    <row r="183" spans="2:28">
      <c r="B183" s="40">
        <v>0.64722222222222225</v>
      </c>
      <c r="C183" s="40" t="s">
        <v>449</v>
      </c>
      <c r="D183" s="41">
        <v>2</v>
      </c>
      <c r="E183" s="42">
        <v>2</v>
      </c>
      <c r="F183" s="42" t="s">
        <v>168</v>
      </c>
      <c r="G183" s="43" t="s">
        <v>168</v>
      </c>
      <c r="H183" s="42" t="s">
        <v>160</v>
      </c>
      <c r="I183" s="43">
        <v>1</v>
      </c>
      <c r="J183" s="43">
        <v>1</v>
      </c>
      <c r="K183" s="25" t="str">
        <f>VLOOKUP(J183,Key!$E$2:$F$9,2,FALSE)</f>
        <v>Home</v>
      </c>
      <c r="L183" s="42" t="s">
        <v>220</v>
      </c>
      <c r="M183" s="43" t="s">
        <v>154</v>
      </c>
      <c r="N183" s="42" t="s">
        <v>160</v>
      </c>
      <c r="O183" s="43">
        <v>3</v>
      </c>
      <c r="P183" s="43">
        <v>2</v>
      </c>
      <c r="Q183" s="25" t="str">
        <f>VLOOKUP(P183,Key!$E$2:$F$9,2,FALSE)</f>
        <v>Work</v>
      </c>
      <c r="R183" s="25" t="str">
        <f t="shared" si="3"/>
        <v>Home-Work</v>
      </c>
      <c r="S183" s="47">
        <v>160</v>
      </c>
      <c r="T183" s="47">
        <v>4</v>
      </c>
      <c r="U183" s="43">
        <v>1</v>
      </c>
      <c r="V183" s="43"/>
      <c r="W183" s="47"/>
      <c r="X183" s="47"/>
      <c r="Y183" s="48" t="s">
        <v>162</v>
      </c>
      <c r="Z183" s="49"/>
      <c r="AA183" s="25">
        <f>VLOOKUP(F183,Zones!$A$2:$F$151534,6,FALSE)</f>
        <v>521</v>
      </c>
      <c r="AB183" s="25">
        <f>VLOOKUP(L183,Zones!$A$2:$F$151477,6,FALSE)</f>
        <v>369</v>
      </c>
    </row>
    <row r="184" spans="2:28">
      <c r="B184" s="40">
        <v>0.63541666666666663</v>
      </c>
      <c r="C184" s="40" t="s">
        <v>450</v>
      </c>
      <c r="D184" s="41">
        <v>1</v>
      </c>
      <c r="E184" s="42">
        <v>1</v>
      </c>
      <c r="F184" s="42" t="s">
        <v>154</v>
      </c>
      <c r="G184" s="43" t="s">
        <v>154</v>
      </c>
      <c r="H184" s="42" t="s">
        <v>160</v>
      </c>
      <c r="I184" s="43">
        <v>2</v>
      </c>
      <c r="J184" s="43">
        <v>2</v>
      </c>
      <c r="K184" s="25" t="str">
        <f>VLOOKUP(J184,Key!$E$2:$F$9,2,FALSE)</f>
        <v>Work</v>
      </c>
      <c r="L184" s="59" t="s">
        <v>2527</v>
      </c>
      <c r="M184" s="43" t="s">
        <v>2088</v>
      </c>
      <c r="N184" s="42" t="s">
        <v>160</v>
      </c>
      <c r="O184" s="43">
        <v>1</v>
      </c>
      <c r="P184" s="43">
        <v>1</v>
      </c>
      <c r="Q184" s="25" t="str">
        <f>VLOOKUP(P184,Key!$E$2:$F$9,2,FALSE)</f>
        <v>Home</v>
      </c>
      <c r="R184" s="25" t="str">
        <f t="shared" si="3"/>
        <v>Work-Home</v>
      </c>
      <c r="S184" s="47">
        <v>17</v>
      </c>
      <c r="T184" s="47">
        <v>0.5</v>
      </c>
      <c r="U184" s="43">
        <v>2</v>
      </c>
      <c r="V184" s="43"/>
      <c r="W184" s="47"/>
      <c r="X184" s="47"/>
      <c r="Y184" s="48" t="s">
        <v>162</v>
      </c>
      <c r="Z184" s="49"/>
      <c r="AA184" s="25">
        <f>VLOOKUP(F184,Zones!$A$2:$F$151534,6,FALSE)</f>
        <v>365</v>
      </c>
      <c r="AB184" s="25">
        <f>VLOOKUP(L184,Zones!$A$2:$F$151477,6,FALSE)</f>
        <v>1135</v>
      </c>
    </row>
    <row r="185" spans="2:28">
      <c r="B185" s="40">
        <v>0.62430555555555556</v>
      </c>
      <c r="C185" s="40" t="s">
        <v>451</v>
      </c>
      <c r="D185" s="41">
        <v>3</v>
      </c>
      <c r="E185" s="42">
        <v>2</v>
      </c>
      <c r="F185" s="42" t="s">
        <v>154</v>
      </c>
      <c r="G185" s="43" t="s">
        <v>154</v>
      </c>
      <c r="H185" s="42" t="s">
        <v>160</v>
      </c>
      <c r="I185" s="43">
        <v>1</v>
      </c>
      <c r="J185" s="43">
        <v>1</v>
      </c>
      <c r="K185" s="25" t="str">
        <f>VLOOKUP(J185,Key!$E$2:$F$9,2,FALSE)</f>
        <v>Home</v>
      </c>
      <c r="L185" s="42" t="s">
        <v>300</v>
      </c>
      <c r="M185" s="43" t="s">
        <v>154</v>
      </c>
      <c r="N185" s="42" t="s">
        <v>160</v>
      </c>
      <c r="O185" s="43">
        <v>16</v>
      </c>
      <c r="P185" s="43">
        <v>8</v>
      </c>
      <c r="Q185" s="25" t="str">
        <f>VLOOKUP(P185,Key!$E$2:$F$9,2,FALSE)</f>
        <v>Others</v>
      </c>
      <c r="R185" s="25" t="str">
        <f t="shared" si="3"/>
        <v>Home-Others</v>
      </c>
      <c r="S185" s="47">
        <v>2</v>
      </c>
      <c r="T185" s="47">
        <v>0.3</v>
      </c>
      <c r="U185" s="43">
        <v>3</v>
      </c>
      <c r="V185" s="43"/>
      <c r="W185" s="47"/>
      <c r="X185" s="47"/>
      <c r="Y185" s="48" t="s">
        <v>162</v>
      </c>
      <c r="Z185" s="49"/>
      <c r="AA185" s="25">
        <f>VLOOKUP(F185,Zones!$A$2:$F$151534,6,FALSE)</f>
        <v>365</v>
      </c>
      <c r="AB185" s="25">
        <f>VLOOKUP(L185,Zones!$A$2:$F$151477,6,FALSE)</f>
        <v>369</v>
      </c>
    </row>
    <row r="186" spans="2:28">
      <c r="B186" s="40">
        <v>0.79166666666666663</v>
      </c>
      <c r="C186" s="40" t="s">
        <v>452</v>
      </c>
      <c r="D186" s="41">
        <v>2</v>
      </c>
      <c r="E186" s="42">
        <v>3</v>
      </c>
      <c r="F186" s="42" t="s">
        <v>154</v>
      </c>
      <c r="G186" s="43" t="s">
        <v>154</v>
      </c>
      <c r="H186" s="42" t="s">
        <v>160</v>
      </c>
      <c r="I186" s="43">
        <v>1</v>
      </c>
      <c r="J186" s="43">
        <v>1</v>
      </c>
      <c r="K186" s="25" t="str">
        <f>VLOOKUP(J186,Key!$E$2:$F$9,2,FALSE)</f>
        <v>Home</v>
      </c>
      <c r="L186" s="42" t="s">
        <v>155</v>
      </c>
      <c r="M186" s="42" t="s">
        <v>155</v>
      </c>
      <c r="N186" s="42" t="s">
        <v>160</v>
      </c>
      <c r="O186" s="43">
        <v>16</v>
      </c>
      <c r="P186" s="43">
        <v>8</v>
      </c>
      <c r="Q186" s="25" t="str">
        <f>VLOOKUP(P186,Key!$E$2:$F$9,2,FALSE)</f>
        <v>Others</v>
      </c>
      <c r="R186" s="25" t="str">
        <f t="shared" si="3"/>
        <v>Home-Others</v>
      </c>
      <c r="S186" s="47"/>
      <c r="T186" s="47">
        <v>0.3</v>
      </c>
      <c r="U186" s="43">
        <v>6</v>
      </c>
      <c r="V186" s="43"/>
      <c r="W186" s="47"/>
      <c r="X186" s="47"/>
      <c r="Y186" s="48"/>
      <c r="Z186" s="49"/>
      <c r="AA186" s="25">
        <f>VLOOKUP(F186,Zones!$A$2:$F$151534,6,FALSE)</f>
        <v>365</v>
      </c>
      <c r="AB186" s="25">
        <f>VLOOKUP(L186,Zones!$A$2:$F$151477,6,FALSE)</f>
        <v>498</v>
      </c>
    </row>
    <row r="187" spans="2:28">
      <c r="B187" s="40">
        <v>0.80208333333333337</v>
      </c>
      <c r="C187" s="40" t="s">
        <v>453</v>
      </c>
      <c r="D187" s="41">
        <v>2</v>
      </c>
      <c r="E187" s="42">
        <v>3</v>
      </c>
      <c r="F187" s="42" t="s">
        <v>30</v>
      </c>
      <c r="G187" s="43" t="s">
        <v>168</v>
      </c>
      <c r="H187" s="42" t="s">
        <v>160</v>
      </c>
      <c r="I187" s="43">
        <v>16</v>
      </c>
      <c r="J187" s="43">
        <v>8</v>
      </c>
      <c r="K187" s="25" t="str">
        <f>VLOOKUP(J187,Key!$E$2:$F$9,2,FALSE)</f>
        <v>Others</v>
      </c>
      <c r="L187" s="59" t="s">
        <v>2527</v>
      </c>
      <c r="M187" s="43" t="s">
        <v>2088</v>
      </c>
      <c r="N187" s="42" t="s">
        <v>160</v>
      </c>
      <c r="O187" s="43">
        <v>1</v>
      </c>
      <c r="P187" s="43">
        <v>1</v>
      </c>
      <c r="Q187" s="25" t="str">
        <f>VLOOKUP(P187,Key!$E$2:$F$9,2,FALSE)</f>
        <v>Home</v>
      </c>
      <c r="R187" s="25" t="str">
        <f t="shared" si="3"/>
        <v>Others-Home</v>
      </c>
      <c r="S187" s="47">
        <v>160</v>
      </c>
      <c r="T187" s="47">
        <v>4</v>
      </c>
      <c r="U187" s="43">
        <v>6</v>
      </c>
      <c r="V187" s="43"/>
      <c r="W187" s="47"/>
      <c r="X187" s="47"/>
      <c r="Y187" s="48"/>
      <c r="Z187" s="49"/>
      <c r="AA187" s="25">
        <f>VLOOKUP(F187,Zones!$A$2:$F$151534,6,FALSE)</f>
        <v>1388</v>
      </c>
      <c r="AB187" s="25">
        <f>VLOOKUP(L187,Zones!$A$2:$F$151477,6,FALSE)</f>
        <v>1135</v>
      </c>
    </row>
    <row r="188" spans="2:28">
      <c r="B188" s="40">
        <v>0.80902777777777779</v>
      </c>
      <c r="C188" s="40" t="s">
        <v>454</v>
      </c>
      <c r="D188" s="41">
        <v>7</v>
      </c>
      <c r="E188" s="42">
        <v>2</v>
      </c>
      <c r="F188" s="42" t="s">
        <v>154</v>
      </c>
      <c r="G188" s="43" t="s">
        <v>154</v>
      </c>
      <c r="H188" s="42" t="s">
        <v>160</v>
      </c>
      <c r="I188" s="43">
        <v>10</v>
      </c>
      <c r="J188" s="43">
        <v>2</v>
      </c>
      <c r="K188" s="25" t="str">
        <f>VLOOKUP(J188,Key!$E$2:$F$9,2,FALSE)</f>
        <v>Work</v>
      </c>
      <c r="L188" s="59" t="s">
        <v>201</v>
      </c>
      <c r="M188" s="43" t="s">
        <v>155</v>
      </c>
      <c r="N188" s="42" t="s">
        <v>160</v>
      </c>
      <c r="O188" s="43">
        <v>1</v>
      </c>
      <c r="P188" s="43">
        <v>1</v>
      </c>
      <c r="Q188" s="25" t="str">
        <f>VLOOKUP(P188,Key!$E$2:$F$9,2,FALSE)</f>
        <v>Home</v>
      </c>
      <c r="R188" s="25" t="str">
        <f t="shared" si="3"/>
        <v>Work-Home</v>
      </c>
      <c r="S188" s="47">
        <v>45</v>
      </c>
      <c r="T188" s="47">
        <v>2</v>
      </c>
      <c r="U188" s="43">
        <v>2</v>
      </c>
      <c r="V188" s="43"/>
      <c r="W188" s="47"/>
      <c r="X188" s="47"/>
      <c r="Y188" s="48"/>
      <c r="Z188" s="49"/>
      <c r="AA188" s="25">
        <f>VLOOKUP(F188,Zones!$A$2:$F$151534,6,FALSE)</f>
        <v>365</v>
      </c>
      <c r="AB188" s="25">
        <f>VLOOKUP(L188,Zones!$A$2:$F$151477,6,FALSE)</f>
        <v>693</v>
      </c>
    </row>
    <row r="189" spans="2:28">
      <c r="B189" s="40">
        <v>0.80555555555555547</v>
      </c>
      <c r="C189" s="40" t="s">
        <v>455</v>
      </c>
      <c r="D189" s="41">
        <v>4</v>
      </c>
      <c r="E189" s="42">
        <v>14</v>
      </c>
      <c r="F189" s="42" t="s">
        <v>154</v>
      </c>
      <c r="G189" s="43" t="s">
        <v>154</v>
      </c>
      <c r="H189" s="42" t="s">
        <v>160</v>
      </c>
      <c r="I189" s="43">
        <v>6</v>
      </c>
      <c r="J189" s="43">
        <v>2</v>
      </c>
      <c r="K189" s="25" t="str">
        <f>VLOOKUP(J189,Key!$E$2:$F$9,2,FALSE)</f>
        <v>Work</v>
      </c>
      <c r="L189" s="42" t="s">
        <v>220</v>
      </c>
      <c r="M189" s="43" t="s">
        <v>154</v>
      </c>
      <c r="N189" s="42" t="s">
        <v>160</v>
      </c>
      <c r="O189" s="43">
        <v>6</v>
      </c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47"/>
      <c r="T189" s="47">
        <v>0.3</v>
      </c>
      <c r="U189" s="43">
        <v>2</v>
      </c>
      <c r="V189" s="43"/>
      <c r="W189" s="47"/>
      <c r="X189" s="47"/>
      <c r="Y189" s="48"/>
      <c r="Z189" s="49"/>
      <c r="AA189" s="25">
        <f>VLOOKUP(F189,Zones!$A$2:$F$151534,6,FALSE)</f>
        <v>365</v>
      </c>
      <c r="AB189" s="25">
        <f>VLOOKUP(L189,Zones!$A$2:$F$151477,6,FALSE)</f>
        <v>369</v>
      </c>
    </row>
    <row r="190" spans="2:28">
      <c r="B190" s="40">
        <v>0.86736111111111114</v>
      </c>
      <c r="C190" s="40" t="s">
        <v>329</v>
      </c>
      <c r="D190" s="41">
        <v>1</v>
      </c>
      <c r="E190" s="42">
        <v>2</v>
      </c>
      <c r="F190" s="42" t="s">
        <v>154</v>
      </c>
      <c r="G190" s="43" t="s">
        <v>154</v>
      </c>
      <c r="H190" s="42" t="s">
        <v>160</v>
      </c>
      <c r="I190" s="43">
        <v>7</v>
      </c>
      <c r="J190" s="43">
        <v>8</v>
      </c>
      <c r="K190" s="25" t="str">
        <f>VLOOKUP(J190,Key!$E$2:$F$9,2,FALSE)</f>
        <v>Others</v>
      </c>
      <c r="L190" s="42" t="s">
        <v>300</v>
      </c>
      <c r="M190" s="43" t="s">
        <v>154</v>
      </c>
      <c r="N190" s="42" t="s">
        <v>160</v>
      </c>
      <c r="O190" s="43">
        <v>1</v>
      </c>
      <c r="P190" s="43">
        <v>1</v>
      </c>
      <c r="Q190" s="25" t="str">
        <f>VLOOKUP(P190,Key!$E$2:$F$9,2,FALSE)</f>
        <v>Home</v>
      </c>
      <c r="R190" s="25" t="str">
        <f t="shared" si="3"/>
        <v>Others-Home</v>
      </c>
      <c r="S190" s="47">
        <v>3</v>
      </c>
      <c r="T190" s="47">
        <v>0.5</v>
      </c>
      <c r="U190" s="43">
        <v>2</v>
      </c>
      <c r="V190" s="43"/>
      <c r="W190" s="47"/>
      <c r="X190" s="47"/>
      <c r="Y190" s="48"/>
      <c r="Z190" s="49"/>
      <c r="AA190" s="25">
        <f>VLOOKUP(F190,Zones!$A$2:$F$151534,6,FALSE)</f>
        <v>365</v>
      </c>
      <c r="AB190" s="25">
        <f>VLOOKUP(L190,Zones!$A$2:$F$151477,6,FALSE)</f>
        <v>369</v>
      </c>
    </row>
    <row r="191" spans="2:28">
      <c r="B191" s="40">
        <v>0.87291666666666667</v>
      </c>
      <c r="C191" s="40" t="s">
        <v>456</v>
      </c>
      <c r="D191" s="41">
        <v>2</v>
      </c>
      <c r="E191" s="42">
        <v>4</v>
      </c>
      <c r="F191" s="42" t="s">
        <v>154</v>
      </c>
      <c r="G191" s="43" t="s">
        <v>154</v>
      </c>
      <c r="H191" s="42" t="s">
        <v>160</v>
      </c>
      <c r="I191" s="43">
        <v>3</v>
      </c>
      <c r="J191" s="43">
        <v>2</v>
      </c>
      <c r="K191" s="25" t="str">
        <f>VLOOKUP(J191,Key!$E$2:$F$9,2,FALSE)</f>
        <v>Work</v>
      </c>
      <c r="L191" s="42" t="s">
        <v>2524</v>
      </c>
      <c r="M191" s="43" t="s">
        <v>154</v>
      </c>
      <c r="N191" s="42" t="s">
        <v>160</v>
      </c>
      <c r="O191" s="43">
        <v>1</v>
      </c>
      <c r="P191" s="43">
        <v>1</v>
      </c>
      <c r="Q191" s="25" t="str">
        <f>VLOOKUP(P191,Key!$E$2:$F$9,2,FALSE)</f>
        <v>Home</v>
      </c>
      <c r="R191" s="25" t="str">
        <f t="shared" si="3"/>
        <v>Work-Home</v>
      </c>
      <c r="S191" s="47">
        <v>8</v>
      </c>
      <c r="T191" s="47">
        <v>1.5</v>
      </c>
      <c r="U191" s="43">
        <v>2</v>
      </c>
      <c r="V191" s="43"/>
      <c r="W191" s="47"/>
      <c r="X191" s="47"/>
      <c r="Y191" s="48"/>
      <c r="Z191" s="49"/>
      <c r="AA191" s="25">
        <f>VLOOKUP(F191,Zones!$A$2:$F$151534,6,FALSE)</f>
        <v>365</v>
      </c>
      <c r="AB191" s="25">
        <f>VLOOKUP(L191,Zones!$A$2:$F$151477,6,FALSE)</f>
        <v>594</v>
      </c>
    </row>
    <row r="192" spans="2:28">
      <c r="B192" s="40">
        <v>0.88541666666666663</v>
      </c>
      <c r="C192" s="40" t="s">
        <v>457</v>
      </c>
      <c r="D192" s="41">
        <v>4</v>
      </c>
      <c r="E192" s="42">
        <v>2</v>
      </c>
      <c r="F192" s="42" t="s">
        <v>176</v>
      </c>
      <c r="G192" s="43" t="s">
        <v>405</v>
      </c>
      <c r="H192" s="42" t="s">
        <v>160</v>
      </c>
      <c r="I192" s="43">
        <v>6</v>
      </c>
      <c r="J192" s="43">
        <v>2</v>
      </c>
      <c r="K192" s="25" t="str">
        <f>VLOOKUP(J192,Key!$E$2:$F$9,2,FALSE)</f>
        <v>Work</v>
      </c>
      <c r="L192" s="42" t="s">
        <v>155</v>
      </c>
      <c r="M192" s="43" t="s">
        <v>155</v>
      </c>
      <c r="N192" s="42" t="s">
        <v>160</v>
      </c>
      <c r="O192" s="43">
        <v>1</v>
      </c>
      <c r="P192" s="43">
        <v>1</v>
      </c>
      <c r="Q192" s="25" t="str">
        <f>VLOOKUP(P192,Key!$E$2:$F$9,2,FALSE)</f>
        <v>Home</v>
      </c>
      <c r="R192" s="25" t="str">
        <f t="shared" si="3"/>
        <v>Work-Home</v>
      </c>
      <c r="S192" s="47"/>
      <c r="T192" s="47">
        <v>1</v>
      </c>
      <c r="U192" s="43">
        <v>2</v>
      </c>
      <c r="V192" s="43"/>
      <c r="W192" s="47"/>
      <c r="X192" s="47"/>
      <c r="Y192" s="48"/>
      <c r="Z192" s="49"/>
      <c r="AA192" s="25">
        <f>VLOOKUP(F192,Zones!$A$2:$F$151534,6,FALSE)</f>
        <v>954</v>
      </c>
      <c r="AB192" s="25">
        <f>VLOOKUP(L192,Zones!$A$2:$F$151477,6,FALSE)</f>
        <v>498</v>
      </c>
    </row>
    <row r="193" spans="2:28">
      <c r="B193" s="40">
        <v>0.89444444444444438</v>
      </c>
      <c r="C193" s="40" t="s">
        <v>458</v>
      </c>
      <c r="D193" s="41">
        <v>2</v>
      </c>
      <c r="E193" s="42">
        <v>2</v>
      </c>
      <c r="F193" s="42" t="s">
        <v>154</v>
      </c>
      <c r="G193" s="43" t="s">
        <v>154</v>
      </c>
      <c r="H193" s="42" t="s">
        <v>160</v>
      </c>
      <c r="I193" s="43">
        <v>16</v>
      </c>
      <c r="J193" s="43">
        <v>8</v>
      </c>
      <c r="K193" s="25" t="str">
        <f>VLOOKUP(J193,Key!$E$2:$F$9,2,FALSE)</f>
        <v>Others</v>
      </c>
      <c r="L193" s="59" t="s">
        <v>944</v>
      </c>
      <c r="M193" s="43" t="s">
        <v>154</v>
      </c>
      <c r="N193" s="42" t="s">
        <v>160</v>
      </c>
      <c r="O193" s="43">
        <v>1</v>
      </c>
      <c r="P193" s="43">
        <v>1</v>
      </c>
      <c r="Q193" s="25" t="str">
        <f>VLOOKUP(P193,Key!$E$2:$F$9,2,FALSE)</f>
        <v>Home</v>
      </c>
      <c r="R193" s="25" t="str">
        <f t="shared" si="3"/>
        <v>Others-Home</v>
      </c>
      <c r="S193" s="47"/>
      <c r="T193" s="47">
        <v>0.5</v>
      </c>
      <c r="U193" s="43">
        <v>2</v>
      </c>
      <c r="V193" s="43"/>
      <c r="W193" s="47"/>
      <c r="X193" s="47"/>
      <c r="Y193" s="48"/>
      <c r="Z193" s="49"/>
      <c r="AA193" s="25">
        <f>VLOOKUP(F193,Zones!$A$2:$F$151534,6,FALSE)</f>
        <v>365</v>
      </c>
      <c r="AB193" s="25">
        <f>VLOOKUP(L193,Zones!$A$2:$F$151477,6,FALSE)</f>
        <v>375</v>
      </c>
    </row>
    <row r="194" spans="2:28">
      <c r="B194" s="40">
        <v>0.86458333333333337</v>
      </c>
      <c r="C194" s="40" t="s">
        <v>460</v>
      </c>
      <c r="D194" s="41">
        <v>8</v>
      </c>
      <c r="E194" s="42">
        <v>3</v>
      </c>
      <c r="F194" s="42" t="s">
        <v>200</v>
      </c>
      <c r="G194" s="43" t="s">
        <v>200</v>
      </c>
      <c r="H194" s="42" t="s">
        <v>160</v>
      </c>
      <c r="I194" s="43">
        <v>9</v>
      </c>
      <c r="J194" s="43">
        <v>2</v>
      </c>
      <c r="K194" s="25" t="str">
        <f>VLOOKUP(J194,Key!$E$2:$F$9,2,FALSE)</f>
        <v>Work</v>
      </c>
      <c r="L194" s="59" t="s">
        <v>201</v>
      </c>
      <c r="M194" s="43" t="s">
        <v>155</v>
      </c>
      <c r="N194" s="42" t="s">
        <v>160</v>
      </c>
      <c r="O194" s="43">
        <v>1</v>
      </c>
      <c r="P194" s="43">
        <v>1</v>
      </c>
      <c r="Q194" s="25" t="str">
        <f>VLOOKUP(P194,Key!$E$2:$F$9,2,FALSE)</f>
        <v>Home</v>
      </c>
      <c r="R194" s="25" t="str">
        <f t="shared" si="3"/>
        <v>Work-Home</v>
      </c>
      <c r="S194" s="47"/>
      <c r="T194" s="47">
        <v>1</v>
      </c>
      <c r="U194" s="43">
        <v>2</v>
      </c>
      <c r="V194" s="43"/>
      <c r="W194" s="47"/>
      <c r="X194" s="47"/>
      <c r="Y194" s="48"/>
      <c r="Z194" s="49"/>
      <c r="AA194" s="25">
        <f>VLOOKUP(F194,Zones!$A$2:$F$151534,6,FALSE)</f>
        <v>685</v>
      </c>
      <c r="AB194" s="25">
        <f>VLOOKUP(L194,Zones!$A$2:$F$151477,6,FALSE)</f>
        <v>693</v>
      </c>
    </row>
    <row r="195" spans="2:28">
      <c r="B195" s="40">
        <v>0.85972222222222217</v>
      </c>
      <c r="C195" s="40" t="s">
        <v>461</v>
      </c>
      <c r="D195" s="41">
        <v>3</v>
      </c>
      <c r="E195" s="42">
        <v>1</v>
      </c>
      <c r="F195" s="42" t="s">
        <v>154</v>
      </c>
      <c r="G195" s="43" t="s">
        <v>154</v>
      </c>
      <c r="H195" s="42" t="s">
        <v>160</v>
      </c>
      <c r="I195" s="43">
        <v>11</v>
      </c>
      <c r="J195" s="43">
        <v>2</v>
      </c>
      <c r="K195" s="25" t="str">
        <f>VLOOKUP(J195,Key!$E$2:$F$9,2,FALSE)</f>
        <v>Work</v>
      </c>
      <c r="L195" s="59" t="s">
        <v>943</v>
      </c>
      <c r="M195" s="43" t="s">
        <v>154</v>
      </c>
      <c r="N195" s="42" t="s">
        <v>160</v>
      </c>
      <c r="O195" s="43">
        <v>1</v>
      </c>
      <c r="P195" s="43">
        <v>1</v>
      </c>
      <c r="Q195" s="25" t="str">
        <f>VLOOKUP(P195,Key!$E$2:$F$9,2,FALSE)</f>
        <v>Home</v>
      </c>
      <c r="R195" s="25" t="str">
        <f t="shared" si="3"/>
        <v>Work-Home</v>
      </c>
      <c r="S195" s="47">
        <v>6</v>
      </c>
      <c r="T195" s="47">
        <v>0.3</v>
      </c>
      <c r="U195" s="43">
        <v>2</v>
      </c>
      <c r="V195" s="43"/>
      <c r="W195" s="47"/>
      <c r="X195" s="47"/>
      <c r="Y195" s="48"/>
      <c r="Z195" s="49"/>
      <c r="AA195" s="25">
        <f>VLOOKUP(F195,Zones!$A$2:$F$151534,6,FALSE)</f>
        <v>365</v>
      </c>
      <c r="AB195" s="25">
        <f>VLOOKUP(L195,Zones!$A$2:$F$151477,6,FALSE)</f>
        <v>373</v>
      </c>
    </row>
    <row r="196" spans="2:28">
      <c r="B196" s="40">
        <v>0.82777777777777783</v>
      </c>
      <c r="C196" s="40" t="s">
        <v>462</v>
      </c>
      <c r="D196" s="41">
        <v>1</v>
      </c>
      <c r="E196" s="42">
        <v>2</v>
      </c>
      <c r="F196" s="42" t="s">
        <v>154</v>
      </c>
      <c r="G196" s="43" t="s">
        <v>154</v>
      </c>
      <c r="H196" s="42" t="s">
        <v>160</v>
      </c>
      <c r="I196" s="43">
        <v>16</v>
      </c>
      <c r="J196" s="43">
        <v>8</v>
      </c>
      <c r="K196" s="25" t="str">
        <f>VLOOKUP(J196,Key!$E$2:$F$9,2,FALSE)</f>
        <v>Others</v>
      </c>
      <c r="L196" s="59" t="s">
        <v>943</v>
      </c>
      <c r="M196" s="43" t="s">
        <v>154</v>
      </c>
      <c r="N196" s="42" t="s">
        <v>160</v>
      </c>
      <c r="O196" s="43">
        <v>1</v>
      </c>
      <c r="P196" s="43">
        <v>1</v>
      </c>
      <c r="Q196" s="25" t="str">
        <f>VLOOKUP(P196,Key!$E$2:$F$9,2,FALSE)</f>
        <v>Home</v>
      </c>
      <c r="R196" s="25" t="str">
        <f t="shared" si="3"/>
        <v>Others-Home</v>
      </c>
      <c r="S196" s="47">
        <v>45</v>
      </c>
      <c r="T196" s="47">
        <v>0.5</v>
      </c>
      <c r="U196" s="43">
        <v>2</v>
      </c>
      <c r="V196" s="43"/>
      <c r="W196" s="47"/>
      <c r="X196" s="47"/>
      <c r="Y196" s="48"/>
      <c r="Z196" s="49"/>
      <c r="AA196" s="25">
        <f>VLOOKUP(F196,Zones!$A$2:$F$151534,6,FALSE)</f>
        <v>365</v>
      </c>
      <c r="AB196" s="25">
        <f>VLOOKUP(L196,Zones!$A$2:$F$151477,6,FALSE)</f>
        <v>373</v>
      </c>
    </row>
    <row r="197" spans="2:28">
      <c r="B197" s="40">
        <v>0.82291666666666663</v>
      </c>
      <c r="C197" s="40" t="s">
        <v>463</v>
      </c>
      <c r="D197" s="41">
        <v>7</v>
      </c>
      <c r="E197" s="42">
        <v>2</v>
      </c>
      <c r="F197" s="42" t="s">
        <v>154</v>
      </c>
      <c r="G197" s="43" t="s">
        <v>154</v>
      </c>
      <c r="H197" s="42" t="s">
        <v>160</v>
      </c>
      <c r="I197" s="43">
        <v>5</v>
      </c>
      <c r="J197" s="43">
        <v>7</v>
      </c>
      <c r="K197" s="25" t="str">
        <f>VLOOKUP(J197,Key!$E$2:$F$9,2,FALSE)</f>
        <v>Hospital</v>
      </c>
      <c r="L197" s="42" t="s">
        <v>300</v>
      </c>
      <c r="M197" s="43" t="s">
        <v>154</v>
      </c>
      <c r="N197" s="42" t="s">
        <v>160</v>
      </c>
      <c r="O197" s="43">
        <v>1</v>
      </c>
      <c r="P197" s="43">
        <v>1</v>
      </c>
      <c r="Q197" s="25" t="str">
        <f>VLOOKUP(P197,Key!$E$2:$F$9,2,FALSE)</f>
        <v>Home</v>
      </c>
      <c r="R197" s="25" t="str">
        <f t="shared" si="3"/>
        <v>Hospital-Home</v>
      </c>
      <c r="S197" s="47">
        <v>2</v>
      </c>
      <c r="T197" s="47">
        <v>0.3</v>
      </c>
      <c r="U197" s="43">
        <v>6</v>
      </c>
      <c r="V197" s="43"/>
      <c r="W197" s="47"/>
      <c r="X197" s="47"/>
      <c r="Y197" s="48"/>
      <c r="Z197" s="49"/>
      <c r="AA197" s="25">
        <f>VLOOKUP(F197,Zones!$A$2:$F$151534,6,FALSE)</f>
        <v>365</v>
      </c>
      <c r="AB197" s="25">
        <f>VLOOKUP(L197,Zones!$A$2:$F$151477,6,FALSE)</f>
        <v>369</v>
      </c>
    </row>
    <row r="198" spans="2:28">
      <c r="B198" s="40">
        <v>0.81874999999999998</v>
      </c>
      <c r="C198" s="40" t="s">
        <v>464</v>
      </c>
      <c r="D198" s="41">
        <v>4</v>
      </c>
      <c r="E198" s="42">
        <v>14</v>
      </c>
      <c r="F198" s="42" t="s">
        <v>154</v>
      </c>
      <c r="G198" s="43" t="s">
        <v>154</v>
      </c>
      <c r="H198" s="42" t="s">
        <v>160</v>
      </c>
      <c r="I198" s="43">
        <v>6</v>
      </c>
      <c r="J198" s="43">
        <v>2</v>
      </c>
      <c r="K198" s="25" t="str">
        <f>VLOOKUP(J198,Key!$E$2:$F$9,2,FALSE)</f>
        <v>Work</v>
      </c>
      <c r="L198" s="42" t="s">
        <v>300</v>
      </c>
      <c r="M198" s="43" t="s">
        <v>154</v>
      </c>
      <c r="N198" s="42" t="s">
        <v>160</v>
      </c>
      <c r="O198" s="43">
        <v>1</v>
      </c>
      <c r="P198" s="43">
        <v>1</v>
      </c>
      <c r="Q198" s="25" t="str">
        <f>VLOOKUP(P198,Key!$E$2:$F$9,2,FALSE)</f>
        <v>Home</v>
      </c>
      <c r="R198" s="25" t="str">
        <f t="shared" si="3"/>
        <v>Work-Home</v>
      </c>
      <c r="S198" s="47">
        <v>2</v>
      </c>
      <c r="T198" s="47">
        <v>0.3</v>
      </c>
      <c r="U198" s="43">
        <v>2</v>
      </c>
      <c r="V198" s="43"/>
      <c r="W198" s="47"/>
      <c r="X198" s="47"/>
      <c r="Y198" s="48"/>
      <c r="Z198" s="49"/>
      <c r="AA198" s="25">
        <f>VLOOKUP(F198,Zones!$A$2:$F$151534,6,FALSE)</f>
        <v>365</v>
      </c>
      <c r="AB198" s="25">
        <f>VLOOKUP(L198,Zones!$A$2:$F$151477,6,FALSE)</f>
        <v>369</v>
      </c>
    </row>
    <row r="199" spans="2:28">
      <c r="B199" s="40">
        <v>0.81111111111111101</v>
      </c>
      <c r="C199" s="40" t="s">
        <v>465</v>
      </c>
      <c r="D199" s="41">
        <v>1</v>
      </c>
      <c r="E199" s="42">
        <v>1</v>
      </c>
      <c r="F199" s="42" t="s">
        <v>154</v>
      </c>
      <c r="G199" s="43" t="s">
        <v>154</v>
      </c>
      <c r="H199" s="42" t="s">
        <v>160</v>
      </c>
      <c r="I199" s="43">
        <v>16</v>
      </c>
      <c r="J199" s="43">
        <v>2</v>
      </c>
      <c r="K199" s="25" t="str">
        <f>VLOOKUP(J199,Key!$E$2:$F$9,2,FALSE)</f>
        <v>Work</v>
      </c>
      <c r="L199" s="42" t="s">
        <v>220</v>
      </c>
      <c r="M199" s="43" t="s">
        <v>154</v>
      </c>
      <c r="N199" s="42" t="s">
        <v>160</v>
      </c>
      <c r="O199" s="43">
        <v>1</v>
      </c>
      <c r="P199" s="43">
        <v>1</v>
      </c>
      <c r="Q199" s="25" t="str">
        <f>VLOOKUP(P199,Key!$E$2:$F$9,2,FALSE)</f>
        <v>Home</v>
      </c>
      <c r="R199" s="25" t="str">
        <f t="shared" si="3"/>
        <v>Work-Home</v>
      </c>
      <c r="S199" s="47"/>
      <c r="T199" s="47">
        <v>0.3</v>
      </c>
      <c r="U199" s="43">
        <v>2</v>
      </c>
      <c r="V199" s="43"/>
      <c r="W199" s="47"/>
      <c r="X199" s="47"/>
      <c r="Y199" s="48"/>
      <c r="Z199" s="49"/>
      <c r="AA199" s="25">
        <f>VLOOKUP(F199,Zones!$A$2:$F$151534,6,FALSE)</f>
        <v>365</v>
      </c>
      <c r="AB199" s="25">
        <f>VLOOKUP(L199,Zones!$A$2:$F$151477,6,FALSE)</f>
        <v>369</v>
      </c>
    </row>
    <row r="200" spans="2:28">
      <c r="B200" s="40">
        <v>0.8520833333333333</v>
      </c>
      <c r="C200" s="40" t="s">
        <v>466</v>
      </c>
      <c r="D200" s="41">
        <v>4</v>
      </c>
      <c r="E200" s="42">
        <v>13</v>
      </c>
      <c r="F200" s="42" t="s">
        <v>154</v>
      </c>
      <c r="G200" s="43" t="s">
        <v>154</v>
      </c>
      <c r="H200" s="42" t="s">
        <v>160</v>
      </c>
      <c r="I200" s="43">
        <v>6</v>
      </c>
      <c r="J200" s="43">
        <v>2</v>
      </c>
      <c r="K200" s="25" t="str">
        <f>VLOOKUP(J200,Key!$E$2:$F$9,2,FALSE)</f>
        <v>Work</v>
      </c>
      <c r="L200" s="42" t="s">
        <v>220</v>
      </c>
      <c r="M200" s="43" t="s">
        <v>154</v>
      </c>
      <c r="N200" s="42" t="s">
        <v>160</v>
      </c>
      <c r="O200" s="43">
        <v>1</v>
      </c>
      <c r="P200" s="43">
        <v>1</v>
      </c>
      <c r="Q200" s="25" t="str">
        <f>VLOOKUP(P200,Key!$E$2:$F$9,2,FALSE)</f>
        <v>Home</v>
      </c>
      <c r="R200" s="25" t="str">
        <f t="shared" si="3"/>
        <v>Work-Home</v>
      </c>
      <c r="S200" s="47"/>
      <c r="T200" s="47">
        <v>0.3</v>
      </c>
      <c r="U200" s="43">
        <v>2</v>
      </c>
      <c r="V200" s="43"/>
      <c r="W200" s="47"/>
      <c r="X200" s="47"/>
      <c r="Y200" s="48"/>
      <c r="Z200" s="49"/>
      <c r="AA200" s="25">
        <f>VLOOKUP(F200,Zones!$A$2:$F$151534,6,FALSE)</f>
        <v>365</v>
      </c>
      <c r="AB200" s="25">
        <f>VLOOKUP(L200,Zones!$A$2:$F$151477,6,FALSE)</f>
        <v>369</v>
      </c>
    </row>
    <row r="201" spans="2:28">
      <c r="B201" s="40">
        <v>0.83263888888888893</v>
      </c>
      <c r="C201" s="40" t="s">
        <v>467</v>
      </c>
      <c r="D201" s="41">
        <v>3</v>
      </c>
      <c r="E201" s="42">
        <v>3</v>
      </c>
      <c r="F201" s="42" t="s">
        <v>154</v>
      </c>
      <c r="G201" s="43" t="s">
        <v>154</v>
      </c>
      <c r="H201" s="42" t="s">
        <v>160</v>
      </c>
      <c r="I201" s="43">
        <v>15</v>
      </c>
      <c r="J201" s="43">
        <v>8</v>
      </c>
      <c r="K201" s="25" t="str">
        <f>VLOOKUP(J201,Key!$E$2:$F$9,2,FALSE)</f>
        <v>Others</v>
      </c>
      <c r="L201" s="59" t="s">
        <v>201</v>
      </c>
      <c r="M201" s="43" t="s">
        <v>155</v>
      </c>
      <c r="N201" s="42" t="s">
        <v>160</v>
      </c>
      <c r="O201" s="43">
        <v>1</v>
      </c>
      <c r="P201" s="43">
        <v>1</v>
      </c>
      <c r="Q201" s="25" t="str">
        <f>VLOOKUP(P201,Key!$E$2:$F$9,2,FALSE)</f>
        <v>Home</v>
      </c>
      <c r="R201" s="25" t="str">
        <f t="shared" si="3"/>
        <v>Others-Home</v>
      </c>
      <c r="S201" s="47"/>
      <c r="T201" s="47">
        <v>1</v>
      </c>
      <c r="U201" s="43">
        <v>2</v>
      </c>
      <c r="V201" s="43"/>
      <c r="W201" s="47"/>
      <c r="X201" s="47"/>
      <c r="Y201" s="48"/>
      <c r="Z201" s="49"/>
      <c r="AA201" s="25">
        <f>VLOOKUP(F201,Zones!$A$2:$F$151534,6,FALSE)</f>
        <v>365</v>
      </c>
      <c r="AB201" s="25">
        <f>VLOOKUP(L201,Zones!$A$2:$F$151477,6,FALSE)</f>
        <v>693</v>
      </c>
    </row>
    <row r="202" spans="2:28">
      <c r="B202" s="40">
        <v>0.8222222222222223</v>
      </c>
      <c r="C202" s="40" t="s">
        <v>468</v>
      </c>
      <c r="D202" s="41">
        <v>2</v>
      </c>
      <c r="E202" s="42">
        <v>1</v>
      </c>
      <c r="F202" s="42" t="s">
        <v>154</v>
      </c>
      <c r="G202" s="43" t="s">
        <v>154</v>
      </c>
      <c r="H202" s="42" t="s">
        <v>160</v>
      </c>
      <c r="I202" s="43">
        <v>16</v>
      </c>
      <c r="J202" s="43">
        <v>8</v>
      </c>
      <c r="K202" s="25" t="str">
        <f>VLOOKUP(J202,Key!$E$2:$F$9,2,FALSE)</f>
        <v>Others</v>
      </c>
      <c r="L202" s="59" t="s">
        <v>2527</v>
      </c>
      <c r="M202" s="43" t="s">
        <v>2088</v>
      </c>
      <c r="N202" s="42" t="s">
        <v>160</v>
      </c>
      <c r="O202" s="43">
        <v>1</v>
      </c>
      <c r="P202" s="43">
        <v>1</v>
      </c>
      <c r="Q202" s="25" t="str">
        <f>VLOOKUP(P202,Key!$E$2:$F$9,2,FALSE)</f>
        <v>Home</v>
      </c>
      <c r="R202" s="25" t="str">
        <f t="shared" si="3"/>
        <v>Others-Home</v>
      </c>
      <c r="S202" s="47"/>
      <c r="T202" s="47">
        <v>0.5</v>
      </c>
      <c r="U202" s="43">
        <v>2</v>
      </c>
      <c r="V202" s="43"/>
      <c r="W202" s="47"/>
      <c r="X202" s="47"/>
      <c r="Y202" s="48"/>
      <c r="Z202" s="49"/>
      <c r="AA202" s="25">
        <f>VLOOKUP(F202,Zones!$A$2:$F$151534,6,FALSE)</f>
        <v>365</v>
      </c>
      <c r="AB202" s="25">
        <f>VLOOKUP(L202,Zones!$A$2:$F$151477,6,FALSE)</f>
        <v>1135</v>
      </c>
    </row>
    <row r="203" spans="2:28">
      <c r="B203" s="40">
        <v>0.9</v>
      </c>
      <c r="C203" s="40" t="s">
        <v>469</v>
      </c>
      <c r="D203" s="41">
        <v>1</v>
      </c>
      <c r="E203" s="42">
        <v>1</v>
      </c>
      <c r="F203" s="42" t="s">
        <v>154</v>
      </c>
      <c r="G203" s="43" t="s">
        <v>154</v>
      </c>
      <c r="H203" s="42" t="s">
        <v>160</v>
      </c>
      <c r="I203" s="43">
        <v>2</v>
      </c>
      <c r="J203" s="43">
        <v>2</v>
      </c>
      <c r="K203" s="25" t="str">
        <f>VLOOKUP(J203,Key!$E$2:$F$9,2,FALSE)</f>
        <v>Work</v>
      </c>
      <c r="L203" s="42" t="s">
        <v>300</v>
      </c>
      <c r="M203" s="43" t="s">
        <v>154</v>
      </c>
      <c r="N203" s="42" t="s">
        <v>160</v>
      </c>
      <c r="O203" s="43">
        <v>1</v>
      </c>
      <c r="P203" s="43">
        <v>1</v>
      </c>
      <c r="Q203" s="25" t="str">
        <f>VLOOKUP(P203,Key!$E$2:$F$9,2,FALSE)</f>
        <v>Home</v>
      </c>
      <c r="R203" s="25" t="str">
        <f t="shared" si="3"/>
        <v>Work-Home</v>
      </c>
      <c r="S203" s="47">
        <v>5</v>
      </c>
      <c r="T203" s="47">
        <v>0.5</v>
      </c>
      <c r="U203" s="43">
        <v>2</v>
      </c>
      <c r="V203" s="43"/>
      <c r="W203" s="47"/>
      <c r="X203" s="47"/>
      <c r="Y203" s="48"/>
      <c r="Z203" s="49"/>
      <c r="AA203" s="25">
        <f>VLOOKUP(F203,Zones!$A$2:$F$151534,6,FALSE)</f>
        <v>365</v>
      </c>
      <c r="AB203" s="25">
        <f>VLOOKUP(L203,Zones!$A$2:$F$151477,6,FALSE)</f>
        <v>369</v>
      </c>
    </row>
    <row r="204" spans="2:28">
      <c r="B204" s="40">
        <v>8.8666666666666671</v>
      </c>
      <c r="C204" s="40" t="s">
        <v>470</v>
      </c>
      <c r="D204" s="41">
        <v>7</v>
      </c>
      <c r="E204" s="42">
        <v>1</v>
      </c>
      <c r="F204" s="42" t="s">
        <v>209</v>
      </c>
      <c r="G204" s="43" t="s">
        <v>209</v>
      </c>
      <c r="H204" s="42" t="s">
        <v>160</v>
      </c>
      <c r="I204" s="43">
        <v>12</v>
      </c>
      <c r="J204" s="43">
        <v>2</v>
      </c>
      <c r="K204" s="25" t="str">
        <f>VLOOKUP(J204,Key!$E$2:$F$9,2,FALSE)</f>
        <v>Work</v>
      </c>
      <c r="L204" s="42" t="s">
        <v>187</v>
      </c>
      <c r="M204" s="43" t="s">
        <v>154</v>
      </c>
      <c r="N204" s="42" t="s">
        <v>160</v>
      </c>
      <c r="O204" s="43">
        <v>1</v>
      </c>
      <c r="P204" s="43">
        <v>1</v>
      </c>
      <c r="Q204" s="25" t="str">
        <f>VLOOKUP(P204,Key!$E$2:$F$9,2,FALSE)</f>
        <v>Home</v>
      </c>
      <c r="R204" s="25" t="str">
        <f t="shared" si="3"/>
        <v>Work-Home</v>
      </c>
      <c r="S204" s="47">
        <v>15</v>
      </c>
      <c r="T204" s="47">
        <v>0.8</v>
      </c>
      <c r="U204" s="43">
        <v>2</v>
      </c>
      <c r="V204" s="43"/>
      <c r="W204" s="47"/>
      <c r="X204" s="47"/>
      <c r="Y204" s="48"/>
      <c r="Z204" s="49"/>
      <c r="AA204" s="25">
        <f>VLOOKUP(F204,Zones!$A$2:$F$151534,6,FALSE)</f>
        <v>145</v>
      </c>
      <c r="AB204" s="25">
        <f>VLOOKUP(L204,Zones!$A$2:$F$151477,6,FALSE)</f>
        <v>372</v>
      </c>
    </row>
    <row r="205" spans="2:28">
      <c r="B205" s="40">
        <v>0.91388888888888886</v>
      </c>
      <c r="C205" s="40" t="s">
        <v>471</v>
      </c>
      <c r="D205" s="41">
        <v>1</v>
      </c>
      <c r="E205" s="42">
        <v>4</v>
      </c>
      <c r="F205" s="42" t="s">
        <v>183</v>
      </c>
      <c r="G205" s="43" t="s">
        <v>154</v>
      </c>
      <c r="H205" s="42" t="s">
        <v>160</v>
      </c>
      <c r="I205" s="43">
        <v>16</v>
      </c>
      <c r="J205" s="43">
        <v>8</v>
      </c>
      <c r="K205" s="25" t="str">
        <f>VLOOKUP(J205,Key!$E$2:$F$9,2,FALSE)</f>
        <v>Others</v>
      </c>
      <c r="L205" s="42" t="s">
        <v>155</v>
      </c>
      <c r="M205" s="42" t="s">
        <v>155</v>
      </c>
      <c r="N205" s="42" t="s">
        <v>160</v>
      </c>
      <c r="O205" s="43">
        <v>1</v>
      </c>
      <c r="P205" s="43">
        <v>1</v>
      </c>
      <c r="Q205" s="25" t="str">
        <f>VLOOKUP(P205,Key!$E$2:$F$9,2,FALSE)</f>
        <v>Home</v>
      </c>
      <c r="R205" s="25" t="str">
        <f t="shared" si="3"/>
        <v>Others-Home</v>
      </c>
      <c r="S205" s="47"/>
      <c r="T205" s="47">
        <v>0.8</v>
      </c>
      <c r="U205" s="43">
        <v>2</v>
      </c>
      <c r="V205" s="43"/>
      <c r="W205" s="47"/>
      <c r="X205" s="47"/>
      <c r="Y205" s="48"/>
      <c r="Z205" s="49"/>
      <c r="AA205" s="25">
        <f>VLOOKUP(F205,Zones!$A$2:$F$151534,6,FALSE)</f>
        <v>404</v>
      </c>
      <c r="AB205" s="25">
        <f>VLOOKUP(L205,Zones!$A$2:$F$151477,6,FALSE)</f>
        <v>498</v>
      </c>
    </row>
    <row r="206" spans="2:28">
      <c r="B206" s="40">
        <v>0.92847222222222225</v>
      </c>
      <c r="C206" s="40" t="s">
        <v>472</v>
      </c>
      <c r="D206" s="41">
        <v>8</v>
      </c>
      <c r="E206" s="42">
        <v>3</v>
      </c>
      <c r="F206" s="42" t="s">
        <v>164</v>
      </c>
      <c r="G206" s="43" t="s">
        <v>164</v>
      </c>
      <c r="H206" s="42" t="s">
        <v>160</v>
      </c>
      <c r="I206" s="43">
        <v>10</v>
      </c>
      <c r="J206" s="43">
        <v>2</v>
      </c>
      <c r="K206" s="25" t="str">
        <f>VLOOKUP(J206,Key!$E$2:$F$9,2,FALSE)</f>
        <v>Work</v>
      </c>
      <c r="L206" s="42" t="s">
        <v>155</v>
      </c>
      <c r="M206" s="43" t="s">
        <v>155</v>
      </c>
      <c r="N206" s="42" t="s">
        <v>160</v>
      </c>
      <c r="O206" s="43">
        <v>1</v>
      </c>
      <c r="P206" s="43">
        <v>1</v>
      </c>
      <c r="Q206" s="25" t="str">
        <f>VLOOKUP(P206,Key!$E$2:$F$9,2,FALSE)</f>
        <v>Home</v>
      </c>
      <c r="R206" s="25" t="str">
        <f t="shared" si="3"/>
        <v>Work-Home</v>
      </c>
      <c r="S206" s="47">
        <v>30</v>
      </c>
      <c r="T206" s="47">
        <v>3</v>
      </c>
      <c r="U206" s="43">
        <v>2</v>
      </c>
      <c r="V206" s="43"/>
      <c r="W206" s="47"/>
      <c r="X206" s="47"/>
      <c r="Y206" s="48"/>
      <c r="Z206" s="49"/>
      <c r="AA206" s="25">
        <f>VLOOKUP(F206,Zones!$A$2:$F$151534,6,FALSE)</f>
        <v>403</v>
      </c>
      <c r="AB206" s="25">
        <f>VLOOKUP(L206,Zones!$A$2:$F$151477,6,FALSE)</f>
        <v>498</v>
      </c>
    </row>
    <row r="207" spans="2:28">
      <c r="B207" s="40">
        <v>0.93333333333333324</v>
      </c>
      <c r="C207" s="40" t="s">
        <v>473</v>
      </c>
      <c r="D207" s="41">
        <v>2</v>
      </c>
      <c r="E207" s="42">
        <v>2</v>
      </c>
      <c r="F207" s="42" t="s">
        <v>154</v>
      </c>
      <c r="G207" s="43" t="s">
        <v>154</v>
      </c>
      <c r="H207" s="42" t="s">
        <v>160</v>
      </c>
      <c r="I207" s="43">
        <v>16</v>
      </c>
      <c r="J207" s="43">
        <v>8</v>
      </c>
      <c r="K207" s="25" t="str">
        <f>VLOOKUP(J207,Key!$E$2:$F$9,2,FALSE)</f>
        <v>Others</v>
      </c>
      <c r="L207" s="59" t="s">
        <v>179</v>
      </c>
      <c r="M207" s="43" t="s">
        <v>399</v>
      </c>
      <c r="N207" s="42" t="s">
        <v>160</v>
      </c>
      <c r="O207" s="43">
        <v>1</v>
      </c>
      <c r="P207" s="43">
        <v>1</v>
      </c>
      <c r="Q207" s="25" t="str">
        <f>VLOOKUP(P207,Key!$E$2:$F$9,2,FALSE)</f>
        <v>Home</v>
      </c>
      <c r="R207" s="25" t="str">
        <f t="shared" si="3"/>
        <v>Others-Home</v>
      </c>
      <c r="S207" s="47">
        <v>85</v>
      </c>
      <c r="T207" s="47">
        <v>2</v>
      </c>
      <c r="U207" s="43">
        <v>2</v>
      </c>
      <c r="V207" s="43"/>
      <c r="W207" s="47"/>
      <c r="X207" s="47"/>
      <c r="Y207" s="48"/>
      <c r="Z207" s="49"/>
      <c r="AA207" s="25">
        <f>VLOOKUP(F207,Zones!$A$2:$F$151534,6,FALSE)</f>
        <v>365</v>
      </c>
      <c r="AB207" s="25">
        <f>VLOOKUP(L207,Zones!$A$2:$F$151477,6,FALSE)</f>
        <v>365</v>
      </c>
    </row>
    <row r="208" spans="2:28">
      <c r="B208" s="40">
        <v>0.97152777777777777</v>
      </c>
      <c r="C208" s="40" t="s">
        <v>474</v>
      </c>
      <c r="D208" s="41">
        <v>1</v>
      </c>
      <c r="E208" s="42">
        <v>2</v>
      </c>
      <c r="F208" s="42" t="s">
        <v>154</v>
      </c>
      <c r="G208" s="43" t="s">
        <v>154</v>
      </c>
      <c r="H208" s="42" t="s">
        <v>160</v>
      </c>
      <c r="I208" s="43">
        <v>16</v>
      </c>
      <c r="J208" s="43">
        <v>2</v>
      </c>
      <c r="K208" s="25" t="str">
        <f>VLOOKUP(J208,Key!$E$2:$F$9,2,FALSE)</f>
        <v>Work</v>
      </c>
      <c r="L208" s="42" t="s">
        <v>220</v>
      </c>
      <c r="M208" s="43" t="s">
        <v>154</v>
      </c>
      <c r="N208" s="42" t="s">
        <v>160</v>
      </c>
      <c r="O208" s="43">
        <v>1</v>
      </c>
      <c r="P208" s="43">
        <v>1</v>
      </c>
      <c r="Q208" s="25" t="str">
        <f>VLOOKUP(P208,Key!$E$2:$F$9,2,FALSE)</f>
        <v>Home</v>
      </c>
      <c r="R208" s="25" t="str">
        <f t="shared" si="3"/>
        <v>Work-Home</v>
      </c>
      <c r="S208" s="47"/>
      <c r="T208" s="47">
        <v>0.3</v>
      </c>
      <c r="U208" s="43">
        <v>2</v>
      </c>
      <c r="V208" s="43"/>
      <c r="W208" s="47"/>
      <c r="X208" s="47"/>
      <c r="Y208" s="48"/>
      <c r="Z208" s="49"/>
      <c r="AA208" s="25">
        <f>VLOOKUP(F208,Zones!$A$2:$F$151534,6,FALSE)</f>
        <v>365</v>
      </c>
      <c r="AB208" s="25">
        <f>VLOOKUP(L208,Zones!$A$2:$F$151477,6,FALSE)</f>
        <v>369</v>
      </c>
    </row>
    <row r="209" spans="2:28">
      <c r="B209" s="40">
        <v>0.97638888888888886</v>
      </c>
      <c r="C209" s="40" t="s">
        <v>475</v>
      </c>
      <c r="D209" s="41">
        <v>1</v>
      </c>
      <c r="E209" s="42">
        <v>2</v>
      </c>
      <c r="F209" s="42" t="s">
        <v>154</v>
      </c>
      <c r="G209" s="43" t="s">
        <v>154</v>
      </c>
      <c r="H209" s="42" t="s">
        <v>160</v>
      </c>
      <c r="I209" s="43">
        <v>10</v>
      </c>
      <c r="J209" s="43">
        <v>2</v>
      </c>
      <c r="K209" s="25" t="str">
        <f>VLOOKUP(J209,Key!$E$2:$F$9,2,FALSE)</f>
        <v>Work</v>
      </c>
      <c r="L209" s="42" t="s">
        <v>183</v>
      </c>
      <c r="M209" s="43" t="s">
        <v>164</v>
      </c>
      <c r="N209" s="42" t="s">
        <v>160</v>
      </c>
      <c r="O209" s="43">
        <v>1</v>
      </c>
      <c r="P209" s="43">
        <v>1</v>
      </c>
      <c r="Q209" s="25" t="str">
        <f>VLOOKUP(P209,Key!$E$2:$F$9,2,FALSE)</f>
        <v>Home</v>
      </c>
      <c r="R209" s="25" t="str">
        <f t="shared" si="3"/>
        <v>Work-Home</v>
      </c>
      <c r="S209" s="47">
        <v>27</v>
      </c>
      <c r="T209" s="47">
        <v>2</v>
      </c>
      <c r="U209" s="43">
        <v>2</v>
      </c>
      <c r="V209" s="43"/>
      <c r="W209" s="47"/>
      <c r="X209" s="47"/>
      <c r="Y209" s="48"/>
      <c r="Z209" s="49"/>
      <c r="AA209" s="25">
        <f>VLOOKUP(F209,Zones!$A$2:$F$151534,6,FALSE)</f>
        <v>365</v>
      </c>
      <c r="AB209" s="25">
        <f>VLOOKUP(L209,Zones!$A$2:$F$151477,6,FALSE)</f>
        <v>404</v>
      </c>
    </row>
    <row r="210" spans="2:28">
      <c r="B210" s="40">
        <v>0.98958333333333337</v>
      </c>
      <c r="C210" s="40" t="s">
        <v>476</v>
      </c>
      <c r="D210" s="41">
        <v>1</v>
      </c>
      <c r="E210" s="42">
        <v>1</v>
      </c>
      <c r="F210" s="42" t="s">
        <v>154</v>
      </c>
      <c r="G210" s="43" t="s">
        <v>154</v>
      </c>
      <c r="H210" s="42" t="s">
        <v>160</v>
      </c>
      <c r="I210" s="43">
        <v>16</v>
      </c>
      <c r="J210" s="43">
        <v>2</v>
      </c>
      <c r="K210" s="25" t="str">
        <f>VLOOKUP(J210,Key!$E$2:$F$9,2,FALSE)</f>
        <v>Work</v>
      </c>
      <c r="L210" s="42" t="s">
        <v>239</v>
      </c>
      <c r="M210" s="43" t="s">
        <v>154</v>
      </c>
      <c r="N210" s="42" t="s">
        <v>160</v>
      </c>
      <c r="O210" s="43">
        <v>1</v>
      </c>
      <c r="P210" s="43">
        <v>1</v>
      </c>
      <c r="Q210" s="25" t="str">
        <f>VLOOKUP(P210,Key!$E$2:$F$9,2,FALSE)</f>
        <v>Home</v>
      </c>
      <c r="R210" s="25" t="str">
        <f t="shared" si="3"/>
        <v>Work-Home</v>
      </c>
      <c r="S210" s="47"/>
      <c r="T210" s="47">
        <v>0.3</v>
      </c>
      <c r="U210" s="43">
        <v>2</v>
      </c>
      <c r="V210" s="43"/>
      <c r="W210" s="47"/>
      <c r="X210" s="47"/>
      <c r="Y210" s="48"/>
      <c r="Z210" s="49"/>
      <c r="AA210" s="25">
        <f>VLOOKUP(F210,Zones!$A$2:$F$151534,6,FALSE)</f>
        <v>365</v>
      </c>
      <c r="AB210" s="25">
        <f>VLOOKUP(L210,Zones!$A$2:$F$151477,6,FALSE)</f>
        <v>1110</v>
      </c>
    </row>
    <row r="211" spans="2:28">
      <c r="B211" s="40">
        <v>0.9819444444444444</v>
      </c>
      <c r="C211" s="40" t="s">
        <v>477</v>
      </c>
      <c r="D211" s="41">
        <v>8</v>
      </c>
      <c r="E211" s="42">
        <v>2</v>
      </c>
      <c r="F211" s="42" t="s">
        <v>243</v>
      </c>
      <c r="G211" s="43" t="s">
        <v>243</v>
      </c>
      <c r="H211" s="42" t="s">
        <v>160</v>
      </c>
      <c r="I211" s="43">
        <v>10</v>
      </c>
      <c r="J211" s="43">
        <v>2</v>
      </c>
      <c r="K211" s="25" t="str">
        <f>VLOOKUP(J211,Key!$E$2:$F$9,2,FALSE)</f>
        <v>Work</v>
      </c>
      <c r="L211" s="42" t="s">
        <v>313</v>
      </c>
      <c r="M211" s="42" t="s">
        <v>313</v>
      </c>
      <c r="N211" s="42" t="s">
        <v>160</v>
      </c>
      <c r="O211" s="43">
        <v>1</v>
      </c>
      <c r="P211" s="43">
        <v>1</v>
      </c>
      <c r="Q211" s="25" t="str">
        <f>VLOOKUP(P211,Key!$E$2:$F$9,2,FALSE)</f>
        <v>Home</v>
      </c>
      <c r="R211" s="25" t="str">
        <f t="shared" si="3"/>
        <v>Work-Home</v>
      </c>
      <c r="S211" s="47">
        <v>30</v>
      </c>
      <c r="T211" s="47">
        <v>1</v>
      </c>
      <c r="U211" s="43">
        <v>2</v>
      </c>
      <c r="V211" s="43"/>
      <c r="W211" s="47"/>
      <c r="X211" s="47"/>
      <c r="Y211" s="48"/>
      <c r="Z211" s="49"/>
      <c r="AA211" s="25">
        <f>VLOOKUP(F211,Zones!$A$2:$F$151534,6,FALSE)</f>
        <v>956</v>
      </c>
      <c r="AB211" s="25">
        <f>VLOOKUP(L211,Zones!$A$2:$F$151477,6,FALSE)</f>
        <v>498</v>
      </c>
    </row>
    <row r="212" spans="2:28">
      <c r="B212" s="40">
        <v>0.99305555555555547</v>
      </c>
      <c r="C212" s="40" t="s">
        <v>478</v>
      </c>
      <c r="D212" s="41">
        <v>3</v>
      </c>
      <c r="E212" s="42">
        <v>2</v>
      </c>
      <c r="F212" s="42" t="s">
        <v>154</v>
      </c>
      <c r="G212" s="43" t="s">
        <v>154</v>
      </c>
      <c r="H212" s="42" t="s">
        <v>160</v>
      </c>
      <c r="I212" s="43">
        <v>3</v>
      </c>
      <c r="J212" s="43">
        <v>2</v>
      </c>
      <c r="K212" s="25" t="str">
        <f>VLOOKUP(J212,Key!$E$2:$F$9,2,FALSE)</f>
        <v>Work</v>
      </c>
      <c r="L212" s="42" t="s">
        <v>220</v>
      </c>
      <c r="M212" s="43" t="s">
        <v>154</v>
      </c>
      <c r="N212" s="42" t="s">
        <v>160</v>
      </c>
      <c r="O212" s="43">
        <v>1</v>
      </c>
      <c r="P212" s="43">
        <v>1</v>
      </c>
      <c r="Q212" s="25" t="str">
        <f>VLOOKUP(P212,Key!$E$2:$F$9,2,FALSE)</f>
        <v>Home</v>
      </c>
      <c r="R212" s="25" t="str">
        <f t="shared" si="3"/>
        <v>Work-Home</v>
      </c>
      <c r="S212" s="47"/>
      <c r="T212" s="47">
        <v>0.3</v>
      </c>
      <c r="U212" s="43">
        <v>2</v>
      </c>
      <c r="V212" s="43"/>
      <c r="W212" s="47"/>
      <c r="X212" s="47"/>
      <c r="Y212" s="48"/>
      <c r="Z212" s="49"/>
      <c r="AA212" s="25">
        <f>VLOOKUP(F212,Zones!$A$2:$F$151534,6,FALSE)</f>
        <v>365</v>
      </c>
      <c r="AB212" s="25">
        <f>VLOOKUP(L212,Zones!$A$2:$F$151477,6,FALSE)</f>
        <v>369</v>
      </c>
    </row>
    <row r="213" spans="2:28">
      <c r="B213" s="40">
        <v>0.99861111111111101</v>
      </c>
      <c r="C213" s="40" t="s">
        <v>479</v>
      </c>
      <c r="D213" s="41">
        <v>3</v>
      </c>
      <c r="E213" s="42">
        <v>1</v>
      </c>
      <c r="F213" s="42" t="s">
        <v>154</v>
      </c>
      <c r="G213" s="43" t="s">
        <v>154</v>
      </c>
      <c r="H213" s="42" t="s">
        <v>160</v>
      </c>
      <c r="I213" s="43">
        <v>9</v>
      </c>
      <c r="J213" s="43">
        <v>2</v>
      </c>
      <c r="K213" s="25" t="str">
        <f>VLOOKUP(J213,Key!$E$2:$F$9,2,FALSE)</f>
        <v>Work</v>
      </c>
      <c r="L213" s="42" t="s">
        <v>161</v>
      </c>
      <c r="M213" s="43" t="s">
        <v>154</v>
      </c>
      <c r="N213" s="42" t="s">
        <v>160</v>
      </c>
      <c r="O213" s="43">
        <v>1</v>
      </c>
      <c r="P213" s="43">
        <v>1</v>
      </c>
      <c r="Q213" s="25" t="str">
        <f>VLOOKUP(P213,Key!$E$2:$F$9,2,FALSE)</f>
        <v>Home</v>
      </c>
      <c r="R213" s="25" t="str">
        <f t="shared" si="3"/>
        <v>Work-Home</v>
      </c>
      <c r="S213" s="47">
        <v>27</v>
      </c>
      <c r="T213" s="47">
        <v>1</v>
      </c>
      <c r="U213" s="43">
        <v>2</v>
      </c>
      <c r="V213" s="43"/>
      <c r="W213" s="47"/>
      <c r="X213" s="47"/>
      <c r="Y213" s="48"/>
      <c r="Z213" s="49"/>
      <c r="AA213" s="25">
        <f>VLOOKUP(F213,Zones!$A$2:$F$151534,6,FALSE)</f>
        <v>365</v>
      </c>
      <c r="AB213" s="25">
        <f>VLOOKUP(L213,Zones!$A$2:$F$151477,6,FALSE)</f>
        <v>845</v>
      </c>
    </row>
    <row r="214" spans="2:28">
      <c r="B214" s="40">
        <v>0.9506944444444444</v>
      </c>
      <c r="C214" s="40" t="s">
        <v>480</v>
      </c>
      <c r="D214" s="41">
        <v>1</v>
      </c>
      <c r="E214" s="42">
        <v>2</v>
      </c>
      <c r="F214" s="42" t="s">
        <v>2522</v>
      </c>
      <c r="G214" s="43" t="s">
        <v>154</v>
      </c>
      <c r="H214" s="42" t="s">
        <v>160</v>
      </c>
      <c r="I214" s="43">
        <v>16</v>
      </c>
      <c r="J214" s="43">
        <v>2</v>
      </c>
      <c r="K214" s="25" t="str">
        <f>VLOOKUP(J214,Key!$E$2:$F$9,2,FALSE)</f>
        <v>Work</v>
      </c>
      <c r="L214" s="59" t="s">
        <v>943</v>
      </c>
      <c r="M214" s="43" t="s">
        <v>154</v>
      </c>
      <c r="N214" s="42" t="s">
        <v>160</v>
      </c>
      <c r="O214" s="43">
        <v>1</v>
      </c>
      <c r="P214" s="43">
        <v>1</v>
      </c>
      <c r="Q214" s="25" t="str">
        <f>VLOOKUP(P214,Key!$E$2:$F$9,2,FALSE)</f>
        <v>Home</v>
      </c>
      <c r="R214" s="25" t="str">
        <f t="shared" si="3"/>
        <v>Work-Home</v>
      </c>
      <c r="S214" s="47">
        <v>10</v>
      </c>
      <c r="T214" s="47">
        <v>0.5</v>
      </c>
      <c r="U214" s="43">
        <v>2</v>
      </c>
      <c r="V214" s="43"/>
      <c r="W214" s="47"/>
      <c r="X214" s="47"/>
      <c r="Y214" s="48"/>
      <c r="Z214" s="49"/>
      <c r="AA214" s="25">
        <f>VLOOKUP(F214,Zones!$A$2:$F$151534,6,FALSE)</f>
        <v>362</v>
      </c>
      <c r="AB214" s="25">
        <f>VLOOKUP(L214,Zones!$A$2:$F$151477,6,FALSE)</f>
        <v>373</v>
      </c>
    </row>
    <row r="215" spans="2:28">
      <c r="B215" s="40">
        <v>0.94791666666666663</v>
      </c>
      <c r="C215" s="40" t="s">
        <v>481</v>
      </c>
      <c r="D215" s="41">
        <v>2</v>
      </c>
      <c r="E215" s="42">
        <v>1</v>
      </c>
      <c r="F215" s="42" t="s">
        <v>154</v>
      </c>
      <c r="G215" s="43" t="s">
        <v>154</v>
      </c>
      <c r="H215" s="42" t="s">
        <v>160</v>
      </c>
      <c r="I215" s="43">
        <v>16</v>
      </c>
      <c r="J215" s="43">
        <v>2</v>
      </c>
      <c r="K215" s="25" t="str">
        <f>VLOOKUP(J215,Key!$E$2:$F$9,2,FALSE)</f>
        <v>Work</v>
      </c>
      <c r="L215" s="59" t="s">
        <v>943</v>
      </c>
      <c r="M215" s="43" t="s">
        <v>154</v>
      </c>
      <c r="N215" s="42" t="s">
        <v>160</v>
      </c>
      <c r="O215" s="43">
        <v>1</v>
      </c>
      <c r="P215" s="43">
        <v>1</v>
      </c>
      <c r="Q215" s="25" t="str">
        <f>VLOOKUP(P215,Key!$E$2:$F$9,2,FALSE)</f>
        <v>Home</v>
      </c>
      <c r="R215" s="25" t="str">
        <f t="shared" si="3"/>
        <v>Work-Home</v>
      </c>
      <c r="S215" s="47">
        <v>16</v>
      </c>
      <c r="T215" s="47">
        <v>0.5</v>
      </c>
      <c r="U215" s="43">
        <v>2</v>
      </c>
      <c r="V215" s="43"/>
      <c r="W215" s="47"/>
      <c r="X215" s="47"/>
      <c r="Y215" s="48"/>
      <c r="Z215" s="49"/>
      <c r="AA215" s="25">
        <f>VLOOKUP(F215,Zones!$A$2:$F$151534,6,FALSE)</f>
        <v>365</v>
      </c>
      <c r="AB215" s="25">
        <f>VLOOKUP(L215,Zones!$A$2:$F$151477,6,FALSE)</f>
        <v>373</v>
      </c>
    </row>
    <row r="216" spans="2:28">
      <c r="B216" s="40">
        <v>0.94166666666666676</v>
      </c>
      <c r="C216" s="40" t="s">
        <v>482</v>
      </c>
      <c r="D216" s="41">
        <v>8</v>
      </c>
      <c r="E216" s="42">
        <v>2</v>
      </c>
      <c r="F216" s="42" t="s">
        <v>154</v>
      </c>
      <c r="G216" s="43" t="s">
        <v>154</v>
      </c>
      <c r="H216" s="42" t="s">
        <v>160</v>
      </c>
      <c r="I216" s="43">
        <v>10</v>
      </c>
      <c r="J216" s="43">
        <v>2</v>
      </c>
      <c r="K216" s="25" t="str">
        <f>VLOOKUP(J216,Key!$E$2:$F$9,2,FALSE)</f>
        <v>Work</v>
      </c>
      <c r="L216" s="59" t="s">
        <v>176</v>
      </c>
      <c r="M216" s="43" t="s">
        <v>154</v>
      </c>
      <c r="N216" s="42" t="s">
        <v>160</v>
      </c>
      <c r="O216" s="43">
        <v>1</v>
      </c>
      <c r="P216" s="43">
        <v>1</v>
      </c>
      <c r="Q216" s="25" t="str">
        <f>VLOOKUP(P216,Key!$E$2:$F$9,2,FALSE)</f>
        <v>Home</v>
      </c>
      <c r="R216" s="25" t="str">
        <f t="shared" si="3"/>
        <v>Work-Home</v>
      </c>
      <c r="S216" s="47"/>
      <c r="T216" s="47">
        <v>0.7</v>
      </c>
      <c r="U216" s="43">
        <v>2</v>
      </c>
      <c r="V216" s="43"/>
      <c r="W216" s="47"/>
      <c r="X216" s="47"/>
      <c r="Y216" s="48"/>
      <c r="Z216" s="49"/>
      <c r="AA216" s="25">
        <f>VLOOKUP(F216,Zones!$A$2:$F$151534,6,FALSE)</f>
        <v>365</v>
      </c>
      <c r="AB216" s="25">
        <f>VLOOKUP(L216,Zones!$A$2:$F$151477,6,FALSE)</f>
        <v>954</v>
      </c>
    </row>
    <row r="217" spans="2:28">
      <c r="B217" s="40">
        <v>0.93680555555555556</v>
      </c>
      <c r="C217" s="40" t="s">
        <v>484</v>
      </c>
      <c r="D217" s="41">
        <v>1</v>
      </c>
      <c r="E217" s="42">
        <v>2</v>
      </c>
      <c r="F217" s="42" t="s">
        <v>154</v>
      </c>
      <c r="G217" s="43" t="s">
        <v>154</v>
      </c>
      <c r="H217" s="42" t="s">
        <v>160</v>
      </c>
      <c r="I217" s="43">
        <v>11</v>
      </c>
      <c r="J217" s="43">
        <v>2</v>
      </c>
      <c r="K217" s="25" t="str">
        <f>VLOOKUP(J217,Key!$E$2:$F$9,2,FALSE)</f>
        <v>Work</v>
      </c>
      <c r="L217" s="59" t="s">
        <v>943</v>
      </c>
      <c r="M217" s="43" t="s">
        <v>154</v>
      </c>
      <c r="N217" s="42" t="s">
        <v>160</v>
      </c>
      <c r="O217" s="43">
        <v>1</v>
      </c>
      <c r="P217" s="43">
        <v>1</v>
      </c>
      <c r="Q217" s="25" t="str">
        <f>VLOOKUP(P217,Key!$E$2:$F$9,2,FALSE)</f>
        <v>Home</v>
      </c>
      <c r="R217" s="25" t="str">
        <f t="shared" si="3"/>
        <v>Work-Home</v>
      </c>
      <c r="S217" s="47">
        <v>10</v>
      </c>
      <c r="T217" s="47">
        <v>0.5</v>
      </c>
      <c r="U217" s="43">
        <v>2</v>
      </c>
      <c r="V217" s="43"/>
      <c r="W217" s="47"/>
      <c r="X217" s="47"/>
      <c r="Y217" s="48"/>
      <c r="Z217" s="49"/>
      <c r="AA217" s="25">
        <f>VLOOKUP(F217,Zones!$A$2:$F$151534,6,FALSE)</f>
        <v>365</v>
      </c>
      <c r="AB217" s="25">
        <f>VLOOKUP(L217,Zones!$A$2:$F$151477,6,FALSE)</f>
        <v>373</v>
      </c>
    </row>
    <row r="218" spans="2:28">
      <c r="B218" s="40">
        <v>0.51736111111111105</v>
      </c>
      <c r="C218" s="40" t="s">
        <v>485</v>
      </c>
      <c r="D218" s="41">
        <v>1</v>
      </c>
      <c r="E218" s="42">
        <v>2</v>
      </c>
      <c r="F218" s="42" t="s">
        <v>154</v>
      </c>
      <c r="G218" s="43" t="s">
        <v>154</v>
      </c>
      <c r="H218" s="42" t="s">
        <v>160</v>
      </c>
      <c r="I218" s="43">
        <v>2</v>
      </c>
      <c r="J218" s="43">
        <v>2</v>
      </c>
      <c r="K218" s="25" t="str">
        <f>VLOOKUP(J218,Key!$E$2:$F$9,2,FALSE)</f>
        <v>Work</v>
      </c>
      <c r="L218" s="59" t="s">
        <v>943</v>
      </c>
      <c r="M218" s="43" t="s">
        <v>154</v>
      </c>
      <c r="N218" s="42" t="s">
        <v>160</v>
      </c>
      <c r="O218" s="43">
        <v>1</v>
      </c>
      <c r="P218" s="43">
        <v>1</v>
      </c>
      <c r="Q218" s="25" t="str">
        <f>VLOOKUP(P218,Key!$E$2:$F$9,2,FALSE)</f>
        <v>Home</v>
      </c>
      <c r="R218" s="25" t="str">
        <f t="shared" si="3"/>
        <v>Work-Home</v>
      </c>
      <c r="S218" s="47">
        <v>18</v>
      </c>
      <c r="T218" s="47">
        <v>1</v>
      </c>
      <c r="U218" s="43">
        <v>2</v>
      </c>
      <c r="V218" s="43"/>
      <c r="W218" s="47"/>
      <c r="X218" s="47"/>
      <c r="Y218" s="48"/>
      <c r="Z218" s="49"/>
      <c r="AA218" s="25">
        <f>VLOOKUP(F218,Zones!$A$2:$F$151534,6,FALSE)</f>
        <v>365</v>
      </c>
      <c r="AB218" s="25">
        <f>VLOOKUP(L218,Zones!$A$2:$F$151477,6,FALSE)</f>
        <v>373</v>
      </c>
    </row>
    <row r="219" spans="2:28">
      <c r="B219" s="40">
        <v>0.51111111111111118</v>
      </c>
      <c r="C219" s="40" t="s">
        <v>469</v>
      </c>
      <c r="D219" s="41">
        <v>2</v>
      </c>
      <c r="E219" s="42">
        <v>3</v>
      </c>
      <c r="F219" s="42" t="s">
        <v>154</v>
      </c>
      <c r="G219" s="43" t="s">
        <v>154</v>
      </c>
      <c r="H219" s="42" t="s">
        <v>160</v>
      </c>
      <c r="I219" s="43">
        <v>16</v>
      </c>
      <c r="J219" s="43">
        <v>2</v>
      </c>
      <c r="K219" s="25" t="str">
        <f>VLOOKUP(J219,Key!$E$2:$F$9,2,FALSE)</f>
        <v>Work</v>
      </c>
      <c r="L219" s="42" t="s">
        <v>220</v>
      </c>
      <c r="M219" s="43" t="s">
        <v>154</v>
      </c>
      <c r="N219" s="42" t="s">
        <v>160</v>
      </c>
      <c r="O219" s="43">
        <v>1</v>
      </c>
      <c r="P219" s="43">
        <v>1</v>
      </c>
      <c r="Q219" s="25" t="str">
        <f>VLOOKUP(P219,Key!$E$2:$F$9,2,FALSE)</f>
        <v>Home</v>
      </c>
      <c r="R219" s="25" t="str">
        <f t="shared" si="3"/>
        <v>Work-Home</v>
      </c>
      <c r="S219" s="47"/>
      <c r="T219" s="47">
        <v>0.3</v>
      </c>
      <c r="U219" s="43">
        <v>2</v>
      </c>
      <c r="V219" s="43"/>
      <c r="W219" s="47"/>
      <c r="X219" s="47"/>
      <c r="Y219" s="48"/>
      <c r="Z219" s="49"/>
      <c r="AA219" s="25">
        <f>VLOOKUP(F219,Zones!$A$2:$F$151534,6,FALSE)</f>
        <v>365</v>
      </c>
      <c r="AB219" s="25">
        <f>VLOOKUP(L219,Zones!$A$2:$F$151477,6,FALSE)</f>
        <v>369</v>
      </c>
    </row>
    <row r="220" spans="2:28">
      <c r="B220" s="40">
        <v>0.52777777777777779</v>
      </c>
      <c r="C220" s="40" t="s">
        <v>486</v>
      </c>
      <c r="D220" s="41">
        <v>3</v>
      </c>
      <c r="E220" s="42">
        <v>2</v>
      </c>
      <c r="F220" s="42" t="s">
        <v>154</v>
      </c>
      <c r="G220" s="43" t="s">
        <v>154</v>
      </c>
      <c r="H220" s="42" t="s">
        <v>160</v>
      </c>
      <c r="I220" s="43">
        <v>16</v>
      </c>
      <c r="J220" s="43">
        <v>2</v>
      </c>
      <c r="K220" s="25" t="str">
        <f>VLOOKUP(J220,Key!$E$2:$F$9,2,FALSE)</f>
        <v>Work</v>
      </c>
      <c r="L220" s="42" t="s">
        <v>220</v>
      </c>
      <c r="M220" s="43" t="s">
        <v>154</v>
      </c>
      <c r="N220" s="42" t="s">
        <v>160</v>
      </c>
      <c r="O220" s="43">
        <v>1</v>
      </c>
      <c r="P220" s="43">
        <v>1</v>
      </c>
      <c r="Q220" s="25" t="str">
        <f>VLOOKUP(P220,Key!$E$2:$F$9,2,FALSE)</f>
        <v>Home</v>
      </c>
      <c r="R220" s="25" t="str">
        <f t="shared" si="3"/>
        <v>Work-Home</v>
      </c>
      <c r="S220" s="47"/>
      <c r="T220" s="47">
        <v>0.3</v>
      </c>
      <c r="U220" s="43">
        <v>2</v>
      </c>
      <c r="V220" s="43"/>
      <c r="W220" s="47"/>
      <c r="X220" s="47"/>
      <c r="Y220" s="48"/>
      <c r="Z220" s="49"/>
      <c r="AA220" s="25">
        <f>VLOOKUP(F220,Zones!$A$2:$F$151534,6,FALSE)</f>
        <v>365</v>
      </c>
      <c r="AB220" s="25">
        <f>VLOOKUP(L220,Zones!$A$2:$F$151477,6,FALSE)</f>
        <v>369</v>
      </c>
    </row>
    <row r="221" spans="2:28">
      <c r="B221" s="40">
        <v>0.5229166666666667</v>
      </c>
      <c r="C221" s="40" t="s">
        <v>487</v>
      </c>
      <c r="D221" s="41">
        <v>4</v>
      </c>
      <c r="E221" s="42">
        <v>13</v>
      </c>
      <c r="F221" s="42" t="s">
        <v>154</v>
      </c>
      <c r="G221" s="43" t="s">
        <v>154</v>
      </c>
      <c r="H221" s="42" t="s">
        <v>160</v>
      </c>
      <c r="I221" s="43">
        <v>6</v>
      </c>
      <c r="J221" s="43">
        <v>2</v>
      </c>
      <c r="K221" s="25" t="str">
        <f>VLOOKUP(J221,Key!$E$2:$F$9,2,FALSE)</f>
        <v>Work</v>
      </c>
      <c r="L221" s="59" t="s">
        <v>2469</v>
      </c>
      <c r="M221" s="43" t="s">
        <v>155</v>
      </c>
      <c r="N221" s="42" t="s">
        <v>160</v>
      </c>
      <c r="O221" s="43">
        <v>1</v>
      </c>
      <c r="P221" s="43">
        <v>1</v>
      </c>
      <c r="Q221" s="25" t="str">
        <f>VLOOKUP(P221,Key!$E$2:$F$9,2,FALSE)</f>
        <v>Home</v>
      </c>
      <c r="R221" s="25" t="str">
        <f t="shared" si="3"/>
        <v>Work-Home</v>
      </c>
      <c r="S221" s="47">
        <v>29</v>
      </c>
      <c r="T221" s="47">
        <v>2.5</v>
      </c>
      <c r="U221" s="43">
        <v>2</v>
      </c>
      <c r="V221" s="43"/>
      <c r="W221" s="47"/>
      <c r="X221" s="47"/>
      <c r="Y221" s="48"/>
      <c r="Z221" s="49"/>
      <c r="AA221" s="25">
        <f>VLOOKUP(F221,Zones!$A$2:$F$151534,6,FALSE)</f>
        <v>365</v>
      </c>
      <c r="AB221" s="25">
        <f>VLOOKUP(L221,Zones!$A$2:$F$151477,6,FALSE)</f>
        <v>1408</v>
      </c>
    </row>
    <row r="222" spans="2:28">
      <c r="B222" s="40">
        <v>0.53472222222222221</v>
      </c>
      <c r="C222" s="40" t="s">
        <v>488</v>
      </c>
      <c r="D222" s="41">
        <v>2</v>
      </c>
      <c r="E222" s="42">
        <v>1</v>
      </c>
      <c r="F222" s="42" t="s">
        <v>154</v>
      </c>
      <c r="G222" s="43" t="s">
        <v>154</v>
      </c>
      <c r="H222" s="42" t="s">
        <v>160</v>
      </c>
      <c r="I222" s="43">
        <v>16</v>
      </c>
      <c r="J222" s="43">
        <v>2</v>
      </c>
      <c r="K222" s="25" t="str">
        <f>VLOOKUP(J222,Key!$E$2:$F$9,2,FALSE)</f>
        <v>Work</v>
      </c>
      <c r="L222" s="42" t="s">
        <v>220</v>
      </c>
      <c r="M222" s="43" t="s">
        <v>154</v>
      </c>
      <c r="N222" s="42" t="s">
        <v>160</v>
      </c>
      <c r="O222" s="43">
        <v>1</v>
      </c>
      <c r="P222" s="43">
        <v>1</v>
      </c>
      <c r="Q222" s="25" t="str">
        <f>VLOOKUP(P222,Key!$E$2:$F$9,2,FALSE)</f>
        <v>Home</v>
      </c>
      <c r="R222" s="25" t="str">
        <f t="shared" si="3"/>
        <v>Work-Home</v>
      </c>
      <c r="S222" s="47"/>
      <c r="T222" s="47">
        <v>0.3</v>
      </c>
      <c r="U222" s="43">
        <v>2</v>
      </c>
      <c r="V222" s="43"/>
      <c r="W222" s="47"/>
      <c r="X222" s="47"/>
      <c r="Y222" s="48"/>
      <c r="Z222" s="49"/>
      <c r="AA222" s="25">
        <f>VLOOKUP(F222,Zones!$A$2:$F$151534,6,FALSE)</f>
        <v>365</v>
      </c>
      <c r="AB222" s="25">
        <f>VLOOKUP(L222,Zones!$A$2:$F$151477,6,FALSE)</f>
        <v>369</v>
      </c>
    </row>
    <row r="223" spans="2:28">
      <c r="B223" s="40">
        <v>0.53194444444444444</v>
      </c>
      <c r="C223" s="40" t="s">
        <v>489</v>
      </c>
      <c r="D223" s="41">
        <v>1</v>
      </c>
      <c r="E223" s="42">
        <v>2</v>
      </c>
      <c r="F223" s="42" t="s">
        <v>154</v>
      </c>
      <c r="G223" s="43" t="s">
        <v>154</v>
      </c>
      <c r="H223" s="42" t="s">
        <v>160</v>
      </c>
      <c r="I223" s="43">
        <v>16</v>
      </c>
      <c r="J223" s="43">
        <v>2</v>
      </c>
      <c r="K223" s="25" t="str">
        <f>VLOOKUP(J223,Key!$E$2:$F$9,2,FALSE)</f>
        <v>Work</v>
      </c>
      <c r="L223" s="42" t="s">
        <v>155</v>
      </c>
      <c r="M223" s="42" t="s">
        <v>155</v>
      </c>
      <c r="N223" s="42" t="s">
        <v>160</v>
      </c>
      <c r="O223" s="43">
        <v>1</v>
      </c>
      <c r="P223" s="43">
        <v>1</v>
      </c>
      <c r="Q223" s="25" t="str">
        <f>VLOOKUP(P223,Key!$E$2:$F$9,2,FALSE)</f>
        <v>Home</v>
      </c>
      <c r="R223" s="25" t="str">
        <f t="shared" si="3"/>
        <v>Work-Home</v>
      </c>
      <c r="S223" s="47">
        <v>15</v>
      </c>
      <c r="T223" s="47">
        <v>0.5</v>
      </c>
      <c r="U223" s="43">
        <v>2</v>
      </c>
      <c r="V223" s="43"/>
      <c r="W223" s="47"/>
      <c r="X223" s="47"/>
      <c r="Y223" s="48"/>
      <c r="Z223" s="49"/>
      <c r="AA223" s="25">
        <f>VLOOKUP(F223,Zones!$A$2:$F$151534,6,FALSE)</f>
        <v>365</v>
      </c>
      <c r="AB223" s="25">
        <f>VLOOKUP(L223,Zones!$A$2:$F$151477,6,FALSE)</f>
        <v>498</v>
      </c>
    </row>
    <row r="224" spans="2:28">
      <c r="B224" s="40">
        <v>0.54097222222222219</v>
      </c>
      <c r="C224" s="40" t="s">
        <v>490</v>
      </c>
      <c r="D224" s="41">
        <v>1</v>
      </c>
      <c r="E224" s="42">
        <v>2</v>
      </c>
      <c r="F224" s="42" t="s">
        <v>154</v>
      </c>
      <c r="G224" s="43" t="s">
        <v>154</v>
      </c>
      <c r="H224" s="42" t="s">
        <v>160</v>
      </c>
      <c r="I224" s="43">
        <v>10</v>
      </c>
      <c r="J224" s="43">
        <v>2</v>
      </c>
      <c r="K224" s="25" t="str">
        <f>VLOOKUP(J224,Key!$E$2:$F$9,2,FALSE)</f>
        <v>Work</v>
      </c>
      <c r="L224" s="59" t="s">
        <v>943</v>
      </c>
      <c r="M224" s="43" t="s">
        <v>154</v>
      </c>
      <c r="N224" s="42" t="s">
        <v>160</v>
      </c>
      <c r="O224" s="43">
        <v>1</v>
      </c>
      <c r="P224" s="43">
        <v>1</v>
      </c>
      <c r="Q224" s="25" t="str">
        <f>VLOOKUP(P224,Key!$E$2:$F$9,2,FALSE)</f>
        <v>Home</v>
      </c>
      <c r="R224" s="25" t="str">
        <f t="shared" si="3"/>
        <v>Work-Home</v>
      </c>
      <c r="S224" s="47">
        <v>15</v>
      </c>
      <c r="T224" s="47">
        <v>0.5</v>
      </c>
      <c r="U224" s="43">
        <v>2</v>
      </c>
      <c r="V224" s="43"/>
      <c r="W224" s="47"/>
      <c r="X224" s="47"/>
      <c r="Y224" s="48"/>
      <c r="Z224" s="49"/>
      <c r="AA224" s="25">
        <f>VLOOKUP(F224,Zones!$A$2:$F$151534,6,FALSE)</f>
        <v>365</v>
      </c>
      <c r="AB224" s="25">
        <f>VLOOKUP(L224,Zones!$A$2:$F$151477,6,FALSE)</f>
        <v>373</v>
      </c>
    </row>
    <row r="225" spans="2:28">
      <c r="B225" s="40">
        <v>0.55277777777777781</v>
      </c>
      <c r="C225" s="40" t="s">
        <v>491</v>
      </c>
      <c r="D225" s="41">
        <v>2</v>
      </c>
      <c r="E225" s="42">
        <v>3</v>
      </c>
      <c r="F225" s="42" t="s">
        <v>154</v>
      </c>
      <c r="G225" s="43" t="s">
        <v>154</v>
      </c>
      <c r="H225" s="42" t="s">
        <v>160</v>
      </c>
      <c r="I225" s="43">
        <v>16</v>
      </c>
      <c r="J225" s="43">
        <v>2</v>
      </c>
      <c r="K225" s="25" t="str">
        <f>VLOOKUP(J225,Key!$E$2:$F$9,2,FALSE)</f>
        <v>Work</v>
      </c>
      <c r="L225" s="42" t="s">
        <v>161</v>
      </c>
      <c r="M225" s="43" t="s">
        <v>154</v>
      </c>
      <c r="N225" s="42" t="s">
        <v>160</v>
      </c>
      <c r="O225" s="43">
        <v>1</v>
      </c>
      <c r="P225" s="43">
        <v>1</v>
      </c>
      <c r="Q225" s="25" t="str">
        <f>VLOOKUP(P225,Key!$E$2:$F$9,2,FALSE)</f>
        <v>Home</v>
      </c>
      <c r="R225" s="25" t="str">
        <f t="shared" si="3"/>
        <v>Work-Home</v>
      </c>
      <c r="S225" s="47">
        <v>27</v>
      </c>
      <c r="T225" s="47">
        <v>2</v>
      </c>
      <c r="U225" s="43">
        <v>2</v>
      </c>
      <c r="V225" s="43"/>
      <c r="W225" s="47"/>
      <c r="X225" s="47"/>
      <c r="Y225" s="48"/>
      <c r="Z225" s="49"/>
      <c r="AA225" s="25">
        <f>VLOOKUP(F225,Zones!$A$2:$F$151534,6,FALSE)</f>
        <v>365</v>
      </c>
      <c r="AB225" s="25">
        <f>VLOOKUP(L225,Zones!$A$2:$F$151477,6,FALSE)</f>
        <v>845</v>
      </c>
    </row>
    <row r="226" spans="2:28">
      <c r="B226" s="40">
        <v>0.56319444444444444</v>
      </c>
      <c r="C226" s="40" t="s">
        <v>492</v>
      </c>
      <c r="D226" s="41">
        <v>1</v>
      </c>
      <c r="E226" s="42">
        <v>2</v>
      </c>
      <c r="F226" s="42" t="s">
        <v>154</v>
      </c>
      <c r="G226" s="43" t="s">
        <v>154</v>
      </c>
      <c r="H226" s="42" t="s">
        <v>160</v>
      </c>
      <c r="I226" s="43">
        <v>2</v>
      </c>
      <c r="J226" s="43">
        <v>2</v>
      </c>
      <c r="K226" s="25" t="str">
        <f>VLOOKUP(J226,Key!$E$2:$F$9,2,FALSE)</f>
        <v>Work</v>
      </c>
      <c r="L226" s="42" t="s">
        <v>300</v>
      </c>
      <c r="M226" s="43" t="s">
        <v>154</v>
      </c>
      <c r="N226" s="42" t="s">
        <v>160</v>
      </c>
      <c r="O226" s="43">
        <v>1</v>
      </c>
      <c r="P226" s="43">
        <v>1</v>
      </c>
      <c r="Q226" s="25" t="str">
        <f>VLOOKUP(P226,Key!$E$2:$F$9,2,FALSE)</f>
        <v>Home</v>
      </c>
      <c r="R226" s="25" t="str">
        <f t="shared" si="3"/>
        <v>Work-Home</v>
      </c>
      <c r="S226" s="47">
        <v>2</v>
      </c>
      <c r="T226" s="47">
        <v>0.5</v>
      </c>
      <c r="U226" s="43">
        <v>2</v>
      </c>
      <c r="V226" s="43"/>
      <c r="W226" s="47"/>
      <c r="X226" s="47"/>
      <c r="Y226" s="48"/>
      <c r="Z226" s="49"/>
      <c r="AA226" s="25">
        <f>VLOOKUP(F226,Zones!$A$2:$F$151534,6,FALSE)</f>
        <v>365</v>
      </c>
      <c r="AB226" s="25">
        <f>VLOOKUP(L226,Zones!$A$2:$F$151477,6,FALSE)</f>
        <v>369</v>
      </c>
    </row>
    <row r="227" spans="2:28">
      <c r="B227" s="40">
        <v>0.56041666666666667</v>
      </c>
      <c r="C227" s="40" t="s">
        <v>491</v>
      </c>
      <c r="D227" s="41">
        <v>2</v>
      </c>
      <c r="E227" s="42">
        <v>3</v>
      </c>
      <c r="F227" s="42" t="s">
        <v>154</v>
      </c>
      <c r="G227" s="43" t="s">
        <v>154</v>
      </c>
      <c r="H227" s="42" t="s">
        <v>160</v>
      </c>
      <c r="I227" s="43">
        <v>16</v>
      </c>
      <c r="J227" s="43">
        <v>2</v>
      </c>
      <c r="K227" s="25" t="str">
        <f>VLOOKUP(J227,Key!$E$2:$F$9,2,FALSE)</f>
        <v>Work</v>
      </c>
      <c r="L227" s="42" t="s">
        <v>220</v>
      </c>
      <c r="M227" s="43" t="s">
        <v>154</v>
      </c>
      <c r="N227" s="42" t="s">
        <v>160</v>
      </c>
      <c r="O227" s="43">
        <v>1</v>
      </c>
      <c r="P227" s="43">
        <v>1</v>
      </c>
      <c r="Q227" s="25" t="str">
        <f>VLOOKUP(P227,Key!$E$2:$F$9,2,FALSE)</f>
        <v>Home</v>
      </c>
      <c r="R227" s="25" t="str">
        <f t="shared" si="3"/>
        <v>Work-Home</v>
      </c>
      <c r="S227" s="47"/>
      <c r="T227" s="47">
        <v>0.2</v>
      </c>
      <c r="U227" s="43">
        <v>2</v>
      </c>
      <c r="V227" s="43"/>
      <c r="W227" s="47"/>
      <c r="X227" s="47"/>
      <c r="Y227" s="48"/>
      <c r="Z227" s="49"/>
      <c r="AA227" s="25">
        <f>VLOOKUP(F227,Zones!$A$2:$F$151534,6,FALSE)</f>
        <v>365</v>
      </c>
      <c r="AB227" s="25">
        <f>VLOOKUP(L227,Zones!$A$2:$F$151477,6,FALSE)</f>
        <v>369</v>
      </c>
    </row>
    <row r="228" spans="2:28">
      <c r="B228" s="40">
        <v>0.55555555555555558</v>
      </c>
      <c r="C228" s="40" t="s">
        <v>493</v>
      </c>
      <c r="D228" s="41">
        <v>7</v>
      </c>
      <c r="E228" s="42">
        <v>2</v>
      </c>
      <c r="F228" s="42" t="s">
        <v>154</v>
      </c>
      <c r="G228" s="43" t="s">
        <v>154</v>
      </c>
      <c r="H228" s="42" t="s">
        <v>160</v>
      </c>
      <c r="I228" s="43">
        <v>10</v>
      </c>
      <c r="J228" s="43">
        <v>2</v>
      </c>
      <c r="K228" s="25" t="str">
        <f>VLOOKUP(J228,Key!$E$2:$F$9,2,FALSE)</f>
        <v>Work</v>
      </c>
      <c r="L228" s="42" t="s">
        <v>220</v>
      </c>
      <c r="M228" s="43" t="s">
        <v>154</v>
      </c>
      <c r="N228" s="42" t="s">
        <v>160</v>
      </c>
      <c r="O228" s="43">
        <v>1</v>
      </c>
      <c r="P228" s="43">
        <v>1</v>
      </c>
      <c r="Q228" s="25" t="str">
        <f>VLOOKUP(P228,Key!$E$2:$F$9,2,FALSE)</f>
        <v>Home</v>
      </c>
      <c r="R228" s="25" t="str">
        <f t="shared" si="3"/>
        <v>Work-Home</v>
      </c>
      <c r="S228" s="47"/>
      <c r="T228" s="47">
        <v>0.3</v>
      </c>
      <c r="U228" s="43">
        <v>2</v>
      </c>
      <c r="V228" s="43"/>
      <c r="W228" s="47"/>
      <c r="X228" s="47"/>
      <c r="Y228" s="48"/>
      <c r="Z228" s="49"/>
      <c r="AA228" s="25">
        <f>VLOOKUP(F228,Zones!$A$2:$F$151534,6,FALSE)</f>
        <v>365</v>
      </c>
      <c r="AB228" s="25">
        <f>VLOOKUP(L228,Zones!$A$2:$F$151477,6,FALSE)</f>
        <v>369</v>
      </c>
    </row>
    <row r="229" spans="2:28">
      <c r="B229" s="40">
        <v>0.95486111111111116</v>
      </c>
      <c r="C229" s="40" t="s">
        <v>494</v>
      </c>
      <c r="D229" s="41">
        <v>2</v>
      </c>
      <c r="E229" s="42">
        <v>3</v>
      </c>
      <c r="F229" s="42" t="s">
        <v>168</v>
      </c>
      <c r="G229" s="43" t="s">
        <v>168</v>
      </c>
      <c r="H229" s="42" t="s">
        <v>160</v>
      </c>
      <c r="I229" s="43">
        <v>16</v>
      </c>
      <c r="J229" s="43">
        <v>8</v>
      </c>
      <c r="K229" s="25" t="str">
        <f>VLOOKUP(J229,Key!$E$2:$F$9,2,FALSE)</f>
        <v>Others</v>
      </c>
      <c r="L229" s="59" t="s">
        <v>943</v>
      </c>
      <c r="M229" s="43" t="s">
        <v>154</v>
      </c>
      <c r="N229" s="42" t="s">
        <v>160</v>
      </c>
      <c r="O229" s="43">
        <v>1</v>
      </c>
      <c r="P229" s="43">
        <v>1</v>
      </c>
      <c r="Q229" s="25" t="str">
        <f>VLOOKUP(P229,Key!$E$2:$F$9,2,FALSE)</f>
        <v>Home</v>
      </c>
      <c r="R229" s="25" t="str">
        <f t="shared" si="3"/>
        <v>Others-Home</v>
      </c>
      <c r="S229" s="47">
        <v>160</v>
      </c>
      <c r="T229" s="47">
        <v>4</v>
      </c>
      <c r="U229" s="43">
        <v>2</v>
      </c>
      <c r="V229" s="43"/>
      <c r="W229" s="47"/>
      <c r="X229" s="47"/>
      <c r="Y229" s="48"/>
      <c r="Z229" s="49"/>
      <c r="AA229" s="25">
        <f>VLOOKUP(F229,Zones!$A$2:$F$151534,6,FALSE)</f>
        <v>521</v>
      </c>
      <c r="AB229" s="25">
        <f>VLOOKUP(L229,Zones!$A$2:$F$151477,6,FALSE)</f>
        <v>373</v>
      </c>
    </row>
    <row r="230" spans="2:28">
      <c r="B230" s="40">
        <v>0.96736111111111101</v>
      </c>
      <c r="C230" s="40" t="s">
        <v>495</v>
      </c>
      <c r="D230" s="41">
        <v>4</v>
      </c>
      <c r="E230" s="42">
        <v>4</v>
      </c>
      <c r="F230" s="42" t="s">
        <v>154</v>
      </c>
      <c r="G230" s="43" t="s">
        <v>154</v>
      </c>
      <c r="H230" s="42" t="s">
        <v>160</v>
      </c>
      <c r="I230" s="43">
        <v>6</v>
      </c>
      <c r="J230" s="43">
        <v>2</v>
      </c>
      <c r="K230" s="25" t="str">
        <f>VLOOKUP(J230,Key!$E$2:$F$9,2,FALSE)</f>
        <v>Work</v>
      </c>
      <c r="L230" s="42" t="s">
        <v>313</v>
      </c>
      <c r="M230" s="42" t="s">
        <v>313</v>
      </c>
      <c r="N230" s="42" t="s">
        <v>160</v>
      </c>
      <c r="O230" s="43">
        <v>1</v>
      </c>
      <c r="P230" s="43">
        <v>1</v>
      </c>
      <c r="Q230" s="25" t="str">
        <f>VLOOKUP(P230,Key!$E$2:$F$9,2,FALSE)</f>
        <v>Home</v>
      </c>
      <c r="R230" s="25" t="str">
        <f t="shared" si="3"/>
        <v>Work-Home</v>
      </c>
      <c r="S230" s="47">
        <v>15</v>
      </c>
      <c r="T230" s="47">
        <v>2</v>
      </c>
      <c r="U230" s="43">
        <v>2</v>
      </c>
      <c r="V230" s="43"/>
      <c r="W230" s="47"/>
      <c r="X230" s="47"/>
      <c r="Y230" s="48"/>
      <c r="Z230" s="49"/>
      <c r="AA230" s="25">
        <f>VLOOKUP(F230,Zones!$A$2:$F$151534,6,FALSE)</f>
        <v>365</v>
      </c>
      <c r="AB230" s="25">
        <f>VLOOKUP(L230,Zones!$A$2:$F$151477,6,FALSE)</f>
        <v>498</v>
      </c>
    </row>
    <row r="231" spans="2:28">
      <c r="B231" s="40">
        <v>3.4722222222222224E-2</v>
      </c>
      <c r="C231" s="40" t="s">
        <v>314</v>
      </c>
      <c r="D231" s="41">
        <v>1</v>
      </c>
      <c r="E231" s="42">
        <v>1</v>
      </c>
      <c r="F231" s="42" t="s">
        <v>300</v>
      </c>
      <c r="G231" s="43" t="s">
        <v>154</v>
      </c>
      <c r="H231" s="42" t="s">
        <v>160</v>
      </c>
      <c r="I231" s="43">
        <v>1</v>
      </c>
      <c r="J231" s="43">
        <v>1</v>
      </c>
      <c r="K231" s="25" t="str">
        <f>VLOOKUP(J231,Key!$E$2:$F$9,2,FALSE)</f>
        <v>Home</v>
      </c>
      <c r="L231" s="42" t="s">
        <v>154</v>
      </c>
      <c r="M231" s="43" t="s">
        <v>154</v>
      </c>
      <c r="N231" s="42" t="s">
        <v>160</v>
      </c>
      <c r="O231" s="43">
        <v>2</v>
      </c>
      <c r="P231" s="43">
        <v>2</v>
      </c>
      <c r="Q231" s="25" t="str">
        <f>VLOOKUP(P231,Key!$E$2:$F$9,2,FALSE)</f>
        <v>Work</v>
      </c>
      <c r="R231" s="25" t="str">
        <f>K231&amp;"-"&amp;Q231</f>
        <v>Home-Work</v>
      </c>
      <c r="S231" s="47">
        <v>2</v>
      </c>
      <c r="T231" s="47">
        <v>0.8</v>
      </c>
      <c r="U231" s="43">
        <v>1</v>
      </c>
      <c r="V231" s="43"/>
      <c r="W231" s="47"/>
      <c r="X231" s="47"/>
      <c r="Y231" s="48" t="s">
        <v>218</v>
      </c>
      <c r="Z231" s="49"/>
      <c r="AA231" s="25">
        <f>VLOOKUP(F231,Zones!$A$2:$F$151534,6,FALSE)</f>
        <v>369</v>
      </c>
      <c r="AB231" s="25">
        <f>VLOOKUP(L231,Zones!$A$2:$F$151477,6,FALSE)</f>
        <v>365</v>
      </c>
    </row>
    <row r="232" spans="2:28">
      <c r="B232" s="40">
        <v>1.0416666666666666E-2</v>
      </c>
      <c r="C232" s="40" t="s">
        <v>315</v>
      </c>
      <c r="D232" s="41">
        <v>2</v>
      </c>
      <c r="E232" s="42">
        <v>2</v>
      </c>
      <c r="F232" s="42" t="s">
        <v>187</v>
      </c>
      <c r="G232" s="43" t="s">
        <v>154</v>
      </c>
      <c r="H232" s="42" t="s">
        <v>160</v>
      </c>
      <c r="I232" s="43">
        <v>1</v>
      </c>
      <c r="J232" s="43">
        <v>1</v>
      </c>
      <c r="K232" s="25" t="str">
        <f>VLOOKUP(J232,Key!$E$2:$F$9,2,FALSE)</f>
        <v>Home</v>
      </c>
      <c r="L232" s="42" t="s">
        <v>154</v>
      </c>
      <c r="M232" s="43" t="s">
        <v>154</v>
      </c>
      <c r="N232" s="42" t="s">
        <v>160</v>
      </c>
      <c r="O232" s="43">
        <v>5</v>
      </c>
      <c r="P232" s="43">
        <v>7</v>
      </c>
      <c r="Q232" s="25" t="str">
        <f>VLOOKUP(P232,Key!$E$2:$F$9,2,FALSE)</f>
        <v>Hospital</v>
      </c>
      <c r="R232" s="25" t="str">
        <f t="shared" ref="R232:R290" si="4">K232&amp;"-"&amp;Q232</f>
        <v>Home-Hospital</v>
      </c>
      <c r="S232" s="47"/>
      <c r="T232" s="47">
        <v>0.8</v>
      </c>
      <c r="U232" s="43"/>
      <c r="V232" s="43"/>
      <c r="W232" s="47"/>
      <c r="X232" s="47"/>
      <c r="Y232" s="48" t="s">
        <v>162</v>
      </c>
      <c r="Z232" s="49"/>
      <c r="AA232" s="25">
        <f>VLOOKUP(F232,Zones!$A$2:$F$151534,6,FALSE)</f>
        <v>372</v>
      </c>
      <c r="AB232" s="25">
        <f>VLOOKUP(L232,Zones!$A$2:$F$151477,6,FALSE)</f>
        <v>365</v>
      </c>
    </row>
    <row r="233" spans="2:28">
      <c r="B233" s="40">
        <v>1.3888888888888889E-3</v>
      </c>
      <c r="C233" s="40" t="s">
        <v>317</v>
      </c>
      <c r="D233" s="41">
        <v>2</v>
      </c>
      <c r="E233" s="42">
        <v>1</v>
      </c>
      <c r="F233" s="59" t="s">
        <v>261</v>
      </c>
      <c r="G233" s="43" t="s">
        <v>155</v>
      </c>
      <c r="H233" s="42" t="s">
        <v>160</v>
      </c>
      <c r="I233" s="43">
        <v>2</v>
      </c>
      <c r="J233" s="43">
        <v>2</v>
      </c>
      <c r="K233" s="25" t="str">
        <f>VLOOKUP(J233,Key!$E$2:$F$9,2,FALSE)</f>
        <v>Work</v>
      </c>
      <c r="L233" s="42" t="s">
        <v>154</v>
      </c>
      <c r="M233" s="43" t="s">
        <v>154</v>
      </c>
      <c r="N233" s="42" t="s">
        <v>160</v>
      </c>
      <c r="O233" s="43">
        <v>2</v>
      </c>
      <c r="P233" s="43">
        <v>2</v>
      </c>
      <c r="Q233" s="25" t="str">
        <f>VLOOKUP(P233,Key!$E$2:$F$9,2,FALSE)</f>
        <v>Work</v>
      </c>
      <c r="R233" s="25" t="str">
        <f t="shared" si="4"/>
        <v>Work-Work</v>
      </c>
      <c r="S233" s="47"/>
      <c r="T233" s="47">
        <v>0.5</v>
      </c>
      <c r="U233" s="43">
        <v>1</v>
      </c>
      <c r="V233" s="43"/>
      <c r="W233" s="47"/>
      <c r="X233" s="47"/>
      <c r="Y233" s="48" t="s">
        <v>218</v>
      </c>
      <c r="Z233" s="49"/>
      <c r="AA233" s="25">
        <f>VLOOKUP(F233,Zones!$A$2:$F$151534,6,FALSE)</f>
        <v>348</v>
      </c>
      <c r="AB233" s="25">
        <f>VLOOKUP(L233,Zones!$A$2:$F$151477,6,FALSE)</f>
        <v>365</v>
      </c>
    </row>
    <row r="234" spans="2:28">
      <c r="B234" s="40">
        <v>0.49652777777777773</v>
      </c>
      <c r="C234" s="40" t="s">
        <v>318</v>
      </c>
      <c r="D234" s="41">
        <v>1</v>
      </c>
      <c r="E234" s="42">
        <v>2</v>
      </c>
      <c r="F234" s="42" t="s">
        <v>296</v>
      </c>
      <c r="G234" s="43" t="s">
        <v>154</v>
      </c>
      <c r="H234" s="42" t="s">
        <v>160</v>
      </c>
      <c r="I234" s="43">
        <v>1</v>
      </c>
      <c r="J234" s="43">
        <v>1</v>
      </c>
      <c r="K234" s="25" t="str">
        <f>VLOOKUP(J234,Key!$E$2:$F$9,2,FALSE)</f>
        <v>Home</v>
      </c>
      <c r="L234" s="42" t="s">
        <v>154</v>
      </c>
      <c r="M234" s="43" t="s">
        <v>154</v>
      </c>
      <c r="N234" s="42" t="s">
        <v>160</v>
      </c>
      <c r="O234" s="43">
        <v>2</v>
      </c>
      <c r="P234" s="43">
        <v>2</v>
      </c>
      <c r="Q234" s="25" t="str">
        <f>VLOOKUP(P234,Key!$E$2:$F$9,2,FALSE)</f>
        <v>Work</v>
      </c>
      <c r="R234" s="25" t="str">
        <f t="shared" si="4"/>
        <v>Home-Work</v>
      </c>
      <c r="S234" s="47"/>
      <c r="T234" s="47">
        <v>0.5</v>
      </c>
      <c r="U234" s="43">
        <v>2</v>
      </c>
      <c r="V234" s="43"/>
      <c r="W234" s="47"/>
      <c r="X234" s="47"/>
      <c r="Y234" s="48" t="s">
        <v>162</v>
      </c>
      <c r="Z234" s="49"/>
      <c r="AA234" s="25">
        <f>VLOOKUP(F234,Zones!$A$2:$F$151534,6,FALSE)</f>
        <v>497</v>
      </c>
      <c r="AB234" s="25">
        <f>VLOOKUP(L234,Zones!$A$2:$F$151477,6,FALSE)</f>
        <v>365</v>
      </c>
    </row>
    <row r="235" spans="2:28">
      <c r="B235" s="40">
        <v>0.49236111111111108</v>
      </c>
      <c r="C235" s="40" t="s">
        <v>319</v>
      </c>
      <c r="D235" s="41">
        <v>2</v>
      </c>
      <c r="E235" s="42">
        <v>3</v>
      </c>
      <c r="F235" s="42" t="s">
        <v>155</v>
      </c>
      <c r="G235" s="43" t="s">
        <v>155</v>
      </c>
      <c r="H235" s="42" t="s">
        <v>160</v>
      </c>
      <c r="I235" s="43">
        <v>1</v>
      </c>
      <c r="J235" s="43">
        <v>1</v>
      </c>
      <c r="K235" s="25" t="str">
        <f>VLOOKUP(J235,Key!$E$2:$F$9,2,FALSE)</f>
        <v>Home</v>
      </c>
      <c r="L235" s="42" t="s">
        <v>154</v>
      </c>
      <c r="M235" s="43" t="s">
        <v>154</v>
      </c>
      <c r="N235" s="42" t="s">
        <v>160</v>
      </c>
      <c r="O235" s="43">
        <v>2</v>
      </c>
      <c r="P235" s="43">
        <v>2</v>
      </c>
      <c r="Q235" s="25" t="str">
        <f>VLOOKUP(P235,Key!$E$2:$F$9,2,FALSE)</f>
        <v>Work</v>
      </c>
      <c r="R235" s="25" t="str">
        <f t="shared" si="4"/>
        <v>Home-Work</v>
      </c>
      <c r="S235" s="47">
        <v>32</v>
      </c>
      <c r="T235" s="47">
        <v>1</v>
      </c>
      <c r="U235" s="43">
        <v>2</v>
      </c>
      <c r="V235" s="43"/>
      <c r="W235" s="47"/>
      <c r="X235" s="47"/>
      <c r="Y235" s="48" t="s">
        <v>162</v>
      </c>
      <c r="Z235" s="49"/>
      <c r="AA235" s="25">
        <f>VLOOKUP(F235,Zones!$A$2:$F$151534,6,FALSE)</f>
        <v>498</v>
      </c>
      <c r="AB235" s="25">
        <f>VLOOKUP(L235,Zones!$A$2:$F$151477,6,FALSE)</f>
        <v>365</v>
      </c>
    </row>
    <row r="236" spans="2:28">
      <c r="B236" s="40">
        <v>0.4861111111111111</v>
      </c>
      <c r="C236" s="40" t="s">
        <v>320</v>
      </c>
      <c r="D236" s="41">
        <v>4</v>
      </c>
      <c r="E236" s="42">
        <v>14</v>
      </c>
      <c r="F236" s="42" t="s">
        <v>155</v>
      </c>
      <c r="G236" s="43" t="s">
        <v>155</v>
      </c>
      <c r="H236" s="42" t="s">
        <v>160</v>
      </c>
      <c r="I236" s="43">
        <v>6</v>
      </c>
      <c r="J236" s="43">
        <v>2</v>
      </c>
      <c r="K236" s="25" t="str">
        <f>VLOOKUP(J236,Key!$E$2:$F$9,2,FALSE)</f>
        <v>Work</v>
      </c>
      <c r="L236" s="42" t="s">
        <v>164</v>
      </c>
      <c r="M236" s="43" t="s">
        <v>164</v>
      </c>
      <c r="N236" s="42" t="s">
        <v>160</v>
      </c>
      <c r="O236" s="43">
        <v>6</v>
      </c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47">
        <v>34</v>
      </c>
      <c r="T236" s="47">
        <v>2</v>
      </c>
      <c r="U236" s="43">
        <v>2</v>
      </c>
      <c r="V236" s="43"/>
      <c r="W236" s="47"/>
      <c r="X236" s="47"/>
      <c r="Y236" s="48" t="s">
        <v>162</v>
      </c>
      <c r="Z236" s="49"/>
      <c r="AA236" s="25">
        <f>VLOOKUP(F236,Zones!$A$2:$F$151534,6,FALSE)</f>
        <v>498</v>
      </c>
      <c r="AB236" s="25">
        <f>VLOOKUP(L236,Zones!$A$2:$F$151477,6,FALSE)</f>
        <v>403</v>
      </c>
    </row>
    <row r="237" spans="2:28">
      <c r="B237" s="40">
        <v>7.6388888888888895E-2</v>
      </c>
      <c r="C237" s="40" t="s">
        <v>321</v>
      </c>
      <c r="D237" s="41">
        <v>4</v>
      </c>
      <c r="E237" s="42">
        <v>14</v>
      </c>
      <c r="F237" s="42" t="s">
        <v>155</v>
      </c>
      <c r="G237" s="43" t="s">
        <v>155</v>
      </c>
      <c r="H237" s="42" t="s">
        <v>160</v>
      </c>
      <c r="I237" s="43">
        <v>6</v>
      </c>
      <c r="J237" s="43">
        <v>2</v>
      </c>
      <c r="K237" s="25" t="str">
        <f>VLOOKUP(J237,Key!$E$2:$F$9,2,FALSE)</f>
        <v>Work</v>
      </c>
      <c r="L237" s="42" t="s">
        <v>154</v>
      </c>
      <c r="M237" s="43" t="s">
        <v>154</v>
      </c>
      <c r="N237" s="42" t="s">
        <v>160</v>
      </c>
      <c r="O237" s="43">
        <v>6</v>
      </c>
      <c r="P237" s="43">
        <v>2</v>
      </c>
      <c r="Q237" s="25" t="str">
        <f>VLOOKUP(P237,Key!$E$2:$F$9,2,FALSE)</f>
        <v>Work</v>
      </c>
      <c r="R237" s="25" t="str">
        <f t="shared" si="4"/>
        <v>Work-Work</v>
      </c>
      <c r="S237" s="47">
        <v>32</v>
      </c>
      <c r="T237" s="47">
        <v>0.8</v>
      </c>
      <c r="U237" s="43">
        <v>2</v>
      </c>
      <c r="V237" s="43"/>
      <c r="W237" s="47"/>
      <c r="X237" s="47"/>
      <c r="Y237" s="48" t="s">
        <v>162</v>
      </c>
      <c r="Z237" s="49"/>
      <c r="AA237" s="25">
        <f>VLOOKUP(F237,Zones!$A$2:$F$151534,6,FALSE)</f>
        <v>498</v>
      </c>
      <c r="AB237" s="25">
        <f>VLOOKUP(L237,Zones!$A$2:$F$151477,6,FALSE)</f>
        <v>365</v>
      </c>
    </row>
    <row r="238" spans="2:28">
      <c r="B238" s="40">
        <v>0.56180555555555556</v>
      </c>
      <c r="C238" s="40" t="s">
        <v>322</v>
      </c>
      <c r="D238" s="41">
        <v>5</v>
      </c>
      <c r="E238" s="42">
        <v>32</v>
      </c>
      <c r="F238" s="42" t="s">
        <v>284</v>
      </c>
      <c r="G238" s="43" t="s">
        <v>284</v>
      </c>
      <c r="H238" s="42" t="s">
        <v>160</v>
      </c>
      <c r="I238" s="43">
        <v>6</v>
      </c>
      <c r="J238" s="43">
        <v>2</v>
      </c>
      <c r="K238" s="25" t="str">
        <f>VLOOKUP(J238,Key!$E$2:$F$9,2,FALSE)</f>
        <v>Work</v>
      </c>
      <c r="L238" s="42" t="s">
        <v>168</v>
      </c>
      <c r="M238" s="43" t="s">
        <v>168</v>
      </c>
      <c r="N238" s="42" t="s">
        <v>160</v>
      </c>
      <c r="O238" s="43">
        <v>6</v>
      </c>
      <c r="P238" s="43">
        <v>2</v>
      </c>
      <c r="Q238" s="25" t="str">
        <f>VLOOKUP(P238,Key!$E$2:$F$9,2,FALSE)</f>
        <v>Work</v>
      </c>
      <c r="R238" s="25" t="str">
        <f t="shared" si="4"/>
        <v>Work-Work</v>
      </c>
      <c r="S238" s="47">
        <v>140</v>
      </c>
      <c r="T238" s="47">
        <v>5</v>
      </c>
      <c r="U238" s="43">
        <v>2</v>
      </c>
      <c r="V238" s="43"/>
      <c r="W238" s="47"/>
      <c r="X238" s="47"/>
      <c r="Y238" s="48" t="s">
        <v>162</v>
      </c>
      <c r="Z238" s="49"/>
      <c r="AA238" s="25">
        <f>VLOOKUP(F238,Zones!$A$2:$F$151534,6,FALSE)</f>
        <v>1252</v>
      </c>
      <c r="AB238" s="25">
        <f>VLOOKUP(L238,Zones!$A$2:$F$151477,6,FALSE)</f>
        <v>521</v>
      </c>
    </row>
    <row r="239" spans="2:28">
      <c r="B239" s="40">
        <v>0.87986111111111109</v>
      </c>
      <c r="C239" s="40" t="s">
        <v>323</v>
      </c>
      <c r="D239" s="41">
        <v>2</v>
      </c>
      <c r="E239" s="42">
        <v>1</v>
      </c>
      <c r="F239" s="42" t="s">
        <v>220</v>
      </c>
      <c r="G239" s="43" t="s">
        <v>154</v>
      </c>
      <c r="H239" s="42" t="s">
        <v>160</v>
      </c>
      <c r="I239" s="43">
        <v>1</v>
      </c>
      <c r="J239" s="43">
        <v>1</v>
      </c>
      <c r="K239" s="25" t="str">
        <f>VLOOKUP(J239,Key!$E$2:$F$9,2,FALSE)</f>
        <v>Home</v>
      </c>
      <c r="L239" s="42" t="s">
        <v>154</v>
      </c>
      <c r="M239" s="43" t="s">
        <v>154</v>
      </c>
      <c r="N239" s="42" t="s">
        <v>160</v>
      </c>
      <c r="O239" s="43">
        <v>5</v>
      </c>
      <c r="P239" s="43">
        <v>7</v>
      </c>
      <c r="Q239" s="25" t="str">
        <f>VLOOKUP(P239,Key!$E$2:$F$9,2,FALSE)</f>
        <v>Hospital</v>
      </c>
      <c r="R239" s="25" t="str">
        <f t="shared" si="4"/>
        <v>Home-Hospital</v>
      </c>
      <c r="S239" s="47"/>
      <c r="T239" s="47">
        <v>0.3</v>
      </c>
      <c r="U239" s="43">
        <v>2</v>
      </c>
      <c r="V239" s="43"/>
      <c r="W239" s="47"/>
      <c r="X239" s="47"/>
      <c r="Y239" s="48" t="s">
        <v>162</v>
      </c>
      <c r="Z239" s="49"/>
      <c r="AA239" s="25">
        <f>VLOOKUP(F239,Zones!$A$2:$F$151534,6,FALSE)</f>
        <v>369</v>
      </c>
      <c r="AB239" s="25">
        <f>VLOOKUP(L239,Zones!$A$2:$F$151477,6,FALSE)</f>
        <v>365</v>
      </c>
    </row>
    <row r="240" spans="2:28">
      <c r="B240" s="40">
        <v>0.87152777777777779</v>
      </c>
      <c r="C240" s="40" t="s">
        <v>324</v>
      </c>
      <c r="D240" s="41">
        <v>4</v>
      </c>
      <c r="E240" s="42">
        <v>14</v>
      </c>
      <c r="F240" s="42" t="s">
        <v>300</v>
      </c>
      <c r="G240" s="43" t="s">
        <v>154</v>
      </c>
      <c r="H240" s="42" t="s">
        <v>160</v>
      </c>
      <c r="I240" s="43">
        <v>2</v>
      </c>
      <c r="J240" s="43">
        <v>2</v>
      </c>
      <c r="K240" s="25" t="str">
        <f>VLOOKUP(J240,Key!$E$2:$F$9,2,FALSE)</f>
        <v>Work</v>
      </c>
      <c r="L240" s="42" t="s">
        <v>154</v>
      </c>
      <c r="M240" s="43" t="s">
        <v>154</v>
      </c>
      <c r="N240" s="42" t="s">
        <v>160</v>
      </c>
      <c r="O240" s="43">
        <v>2</v>
      </c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47">
        <v>2</v>
      </c>
      <c r="T240" s="47"/>
      <c r="U240" s="43">
        <v>2</v>
      </c>
      <c r="V240" s="43"/>
      <c r="W240" s="47"/>
      <c r="X240" s="47"/>
      <c r="Y240" s="48" t="s">
        <v>162</v>
      </c>
      <c r="Z240" s="49"/>
      <c r="AA240" s="25">
        <f>VLOOKUP(F240,Zones!$A$2:$F$151534,6,FALSE)</f>
        <v>369</v>
      </c>
      <c r="AB240" s="25">
        <f>VLOOKUP(L240,Zones!$A$2:$F$151477,6,FALSE)</f>
        <v>365</v>
      </c>
    </row>
    <row r="241" spans="2:28">
      <c r="B241" s="40">
        <v>0.85763888888888884</v>
      </c>
      <c r="C241" s="40" t="s">
        <v>325</v>
      </c>
      <c r="D241" s="41">
        <v>3</v>
      </c>
      <c r="E241" s="42">
        <v>2</v>
      </c>
      <c r="F241" s="42" t="s">
        <v>187</v>
      </c>
      <c r="G241" s="43" t="s">
        <v>154</v>
      </c>
      <c r="H241" s="42" t="s">
        <v>160</v>
      </c>
      <c r="I241" s="43">
        <v>2</v>
      </c>
      <c r="J241" s="43">
        <v>2</v>
      </c>
      <c r="K241" s="25" t="str">
        <f>VLOOKUP(J241,Key!$E$2:$F$9,2,FALSE)</f>
        <v>Work</v>
      </c>
      <c r="L241" s="42" t="s">
        <v>154</v>
      </c>
      <c r="M241" s="43" t="s">
        <v>154</v>
      </c>
      <c r="N241" s="42" t="s">
        <v>160</v>
      </c>
      <c r="O241" s="43">
        <v>1</v>
      </c>
      <c r="P241" s="43">
        <v>1</v>
      </c>
      <c r="Q241" s="25" t="str">
        <f>VLOOKUP(P241,Key!$E$2:$F$9,2,FALSE)</f>
        <v>Home</v>
      </c>
      <c r="R241" s="25" t="str">
        <f t="shared" si="4"/>
        <v>Work-Home</v>
      </c>
      <c r="S241" s="47"/>
      <c r="T241" s="47">
        <v>0.8</v>
      </c>
      <c r="U241" s="43">
        <v>2</v>
      </c>
      <c r="V241" s="43"/>
      <c r="W241" s="47"/>
      <c r="X241" s="47"/>
      <c r="Y241" s="48" t="s">
        <v>162</v>
      </c>
      <c r="Z241" s="49"/>
      <c r="AA241" s="25">
        <f>VLOOKUP(F241,Zones!$A$2:$F$151534,6,FALSE)</f>
        <v>372</v>
      </c>
      <c r="AB241" s="25">
        <f>VLOOKUP(L241,Zones!$A$2:$F$151477,6,FALSE)</f>
        <v>365</v>
      </c>
    </row>
    <row r="242" spans="2:28">
      <c r="B242" s="40">
        <v>0.84722222222222221</v>
      </c>
      <c r="C242" s="40" t="s">
        <v>326</v>
      </c>
      <c r="D242" s="41">
        <v>2</v>
      </c>
      <c r="E242" s="42">
        <v>2</v>
      </c>
      <c r="F242" s="59" t="s">
        <v>943</v>
      </c>
      <c r="G242" s="43" t="s">
        <v>154</v>
      </c>
      <c r="H242" s="42" t="s">
        <v>160</v>
      </c>
      <c r="I242" s="43">
        <v>2</v>
      </c>
      <c r="J242" s="43">
        <v>2</v>
      </c>
      <c r="K242" s="25" t="str">
        <f>VLOOKUP(J242,Key!$E$2:$F$9,2,FALSE)</f>
        <v>Work</v>
      </c>
      <c r="L242" s="42" t="s">
        <v>154</v>
      </c>
      <c r="M242" s="43" t="s">
        <v>154</v>
      </c>
      <c r="N242" s="42" t="s">
        <v>160</v>
      </c>
      <c r="O242" s="43">
        <v>1</v>
      </c>
      <c r="P242" s="43">
        <v>1</v>
      </c>
      <c r="Q242" s="25" t="str">
        <f>VLOOKUP(P242,Key!$E$2:$F$9,2,FALSE)</f>
        <v>Home</v>
      </c>
      <c r="R242" s="25" t="str">
        <f t="shared" si="4"/>
        <v>Work-Home</v>
      </c>
      <c r="S242" s="47">
        <v>7</v>
      </c>
      <c r="T242" s="47">
        <v>0.3</v>
      </c>
      <c r="U242" s="43">
        <v>2</v>
      </c>
      <c r="V242" s="43"/>
      <c r="W242" s="47"/>
      <c r="X242" s="47"/>
      <c r="Y242" s="48" t="s">
        <v>162</v>
      </c>
      <c r="Z242" s="49"/>
      <c r="AA242" s="25">
        <f>VLOOKUP(F242,Zones!$A$2:$F$151534,6,FALSE)</f>
        <v>373</v>
      </c>
      <c r="AB242" s="25">
        <f>VLOOKUP(L242,Zones!$A$2:$F$151477,6,FALSE)</f>
        <v>365</v>
      </c>
    </row>
    <row r="243" spans="2:28">
      <c r="B243" s="40">
        <v>0.84375</v>
      </c>
      <c r="C243" s="40" t="s">
        <v>195</v>
      </c>
      <c r="D243" s="41">
        <v>8</v>
      </c>
      <c r="E243" s="42">
        <v>2</v>
      </c>
      <c r="F243" s="42" t="s">
        <v>155</v>
      </c>
      <c r="G243" s="43" t="s">
        <v>155</v>
      </c>
      <c r="H243" s="42" t="s">
        <v>160</v>
      </c>
      <c r="I243" s="43">
        <v>2</v>
      </c>
      <c r="J243" s="43">
        <v>2</v>
      </c>
      <c r="K243" s="25" t="str">
        <f>VLOOKUP(J243,Key!$E$2:$F$9,2,FALSE)</f>
        <v>Work</v>
      </c>
      <c r="L243" s="42" t="s">
        <v>164</v>
      </c>
      <c r="M243" s="43" t="s">
        <v>164</v>
      </c>
      <c r="N243" s="42" t="s">
        <v>160</v>
      </c>
      <c r="O243" s="43">
        <v>2</v>
      </c>
      <c r="P243" s="43">
        <v>2</v>
      </c>
      <c r="Q243" s="25" t="str">
        <f>VLOOKUP(P243,Key!$E$2:$F$9,2,FALSE)</f>
        <v>Work</v>
      </c>
      <c r="R243" s="25" t="str">
        <f t="shared" si="4"/>
        <v>Work-Work</v>
      </c>
      <c r="S243" s="47">
        <v>35</v>
      </c>
      <c r="T243" s="47">
        <v>2</v>
      </c>
      <c r="U243" s="43">
        <v>2</v>
      </c>
      <c r="V243" s="43"/>
      <c r="W243" s="47"/>
      <c r="X243" s="47"/>
      <c r="Y243" s="48" t="s">
        <v>162</v>
      </c>
      <c r="Z243" s="49"/>
      <c r="AA243" s="25">
        <f>VLOOKUP(F243,Zones!$A$2:$F$151534,6,FALSE)</f>
        <v>498</v>
      </c>
      <c r="AB243" s="25">
        <f>VLOOKUP(L243,Zones!$A$2:$F$151477,6,FALSE)</f>
        <v>403</v>
      </c>
    </row>
    <row r="244" spans="2:28">
      <c r="B244" s="40">
        <v>0.83194444444444438</v>
      </c>
      <c r="C244" s="40" t="s">
        <v>328</v>
      </c>
      <c r="D244" s="41">
        <v>4</v>
      </c>
      <c r="E244" s="42">
        <v>14</v>
      </c>
      <c r="F244" s="42" t="s">
        <v>257</v>
      </c>
      <c r="G244" s="43" t="s">
        <v>155</v>
      </c>
      <c r="H244" s="42" t="s">
        <v>160</v>
      </c>
      <c r="I244" s="43">
        <v>6</v>
      </c>
      <c r="J244" s="43">
        <v>2</v>
      </c>
      <c r="K244" s="25" t="str">
        <f>VLOOKUP(J244,Key!$E$2:$F$9,2,FALSE)</f>
        <v>Work</v>
      </c>
      <c r="L244" s="42" t="s">
        <v>243</v>
      </c>
      <c r="M244" s="43" t="s">
        <v>243</v>
      </c>
      <c r="N244" s="42" t="s">
        <v>160</v>
      </c>
      <c r="O244" s="43">
        <v>6</v>
      </c>
      <c r="P244" s="43">
        <v>2</v>
      </c>
      <c r="Q244" s="25" t="str">
        <f>VLOOKUP(P244,Key!$E$2:$F$9,2,FALSE)</f>
        <v>Work</v>
      </c>
      <c r="R244" s="25" t="str">
        <f t="shared" si="4"/>
        <v>Work-Work</v>
      </c>
      <c r="S244" s="47"/>
      <c r="T244" s="47">
        <v>1</v>
      </c>
      <c r="U244" s="43">
        <v>2</v>
      </c>
      <c r="V244" s="43"/>
      <c r="W244" s="47"/>
      <c r="X244" s="47"/>
      <c r="Y244" s="48" t="s">
        <v>218</v>
      </c>
      <c r="Z244" s="49"/>
      <c r="AA244" s="25">
        <f>VLOOKUP(F244,Zones!$A$2:$F$151534,6,FALSE)</f>
        <v>496</v>
      </c>
      <c r="AB244" s="25">
        <f>VLOOKUP(L244,Zones!$A$2:$F$151477,6,FALSE)</f>
        <v>956</v>
      </c>
    </row>
    <row r="245" spans="2:28">
      <c r="B245" s="40">
        <v>0.80902777777777779</v>
      </c>
      <c r="C245" s="40" t="s">
        <v>329</v>
      </c>
      <c r="D245" s="41">
        <v>3</v>
      </c>
      <c r="E245" s="42">
        <v>2</v>
      </c>
      <c r="F245" s="42" t="s">
        <v>155</v>
      </c>
      <c r="G245" s="43" t="s">
        <v>155</v>
      </c>
      <c r="H245" s="42" t="s">
        <v>160</v>
      </c>
      <c r="I245" s="43">
        <v>1</v>
      </c>
      <c r="J245" s="43">
        <v>1</v>
      </c>
      <c r="K245" s="25" t="str">
        <f>VLOOKUP(J245,Key!$E$2:$F$9,2,FALSE)</f>
        <v>Home</v>
      </c>
      <c r="L245" s="42" t="s">
        <v>154</v>
      </c>
      <c r="M245" s="43" t="s">
        <v>154</v>
      </c>
      <c r="N245" s="42" t="s">
        <v>160</v>
      </c>
      <c r="O245" s="43">
        <v>2</v>
      </c>
      <c r="P245" s="43">
        <v>2</v>
      </c>
      <c r="Q245" s="25" t="str">
        <f>VLOOKUP(P245,Key!$E$2:$F$9,2,FALSE)</f>
        <v>Work</v>
      </c>
      <c r="R245" s="25" t="str">
        <f t="shared" si="4"/>
        <v>Home-Work</v>
      </c>
      <c r="S245" s="47">
        <v>32</v>
      </c>
      <c r="T245" s="47">
        <v>1</v>
      </c>
      <c r="U245" s="43">
        <v>2</v>
      </c>
      <c r="V245" s="43"/>
      <c r="W245" s="47"/>
      <c r="X245" s="47"/>
      <c r="Y245" s="48" t="s">
        <v>218</v>
      </c>
      <c r="Z245" s="49"/>
      <c r="AA245" s="25">
        <f>VLOOKUP(F245,Zones!$A$2:$F$151534,6,FALSE)</f>
        <v>498</v>
      </c>
      <c r="AB245" s="25">
        <f>VLOOKUP(L245,Zones!$A$2:$F$151477,6,FALSE)</f>
        <v>365</v>
      </c>
    </row>
    <row r="246" spans="2:28">
      <c r="B246" s="40">
        <v>0.2986111111111111</v>
      </c>
      <c r="C246" s="40" t="s">
        <v>330</v>
      </c>
      <c r="D246" s="41">
        <v>1</v>
      </c>
      <c r="E246" s="42">
        <v>2</v>
      </c>
      <c r="F246" s="42" t="s">
        <v>155</v>
      </c>
      <c r="G246" s="43" t="s">
        <v>155</v>
      </c>
      <c r="H246" s="42" t="s">
        <v>160</v>
      </c>
      <c r="I246" s="43">
        <v>1</v>
      </c>
      <c r="J246" s="43">
        <v>1</v>
      </c>
      <c r="K246" s="25" t="str">
        <f>VLOOKUP(J246,Key!$E$2:$F$9,2,FALSE)</f>
        <v>Home</v>
      </c>
      <c r="L246" s="42" t="s">
        <v>164</v>
      </c>
      <c r="M246" s="43" t="s">
        <v>164</v>
      </c>
      <c r="N246" s="42" t="s">
        <v>160</v>
      </c>
      <c r="O246" s="43">
        <v>2</v>
      </c>
      <c r="P246" s="43">
        <v>2</v>
      </c>
      <c r="Q246" s="25" t="str">
        <f>VLOOKUP(P246,Key!$E$2:$F$9,2,FALSE)</f>
        <v>Work</v>
      </c>
      <c r="R246" s="25" t="str">
        <f t="shared" si="4"/>
        <v>Home-Work</v>
      </c>
      <c r="S246" s="47">
        <v>32</v>
      </c>
      <c r="T246" s="47">
        <v>4.5</v>
      </c>
      <c r="U246" s="43">
        <v>2</v>
      </c>
      <c r="V246" s="43"/>
      <c r="W246" s="47"/>
      <c r="X246" s="47"/>
      <c r="Y246" s="48" t="s">
        <v>162</v>
      </c>
      <c r="Z246" s="49"/>
      <c r="AA246" s="25">
        <f>VLOOKUP(F246,Zones!$A$2:$F$151534,6,FALSE)</f>
        <v>498</v>
      </c>
      <c r="AB246" s="25">
        <f>VLOOKUP(L246,Zones!$A$2:$F$151477,6,FALSE)</f>
        <v>403</v>
      </c>
    </row>
    <row r="247" spans="2:28">
      <c r="B247" s="40">
        <v>0.79375000000000007</v>
      </c>
      <c r="C247" s="40" t="s">
        <v>279</v>
      </c>
      <c r="D247" s="41">
        <v>3</v>
      </c>
      <c r="E247" s="42">
        <v>2</v>
      </c>
      <c r="F247" s="42" t="s">
        <v>331</v>
      </c>
      <c r="G247" s="43" t="s">
        <v>154</v>
      </c>
      <c r="H247" s="42" t="s">
        <v>160</v>
      </c>
      <c r="I247" s="43">
        <v>2</v>
      </c>
      <c r="J247" s="43">
        <v>2</v>
      </c>
      <c r="K247" s="25" t="str">
        <f>VLOOKUP(J247,Key!$E$2:$F$9,2,FALSE)</f>
        <v>Work</v>
      </c>
      <c r="L247" s="42" t="s">
        <v>164</v>
      </c>
      <c r="M247" s="43" t="s">
        <v>164</v>
      </c>
      <c r="N247" s="42" t="s">
        <v>160</v>
      </c>
      <c r="O247" s="43">
        <v>2</v>
      </c>
      <c r="P247" s="43">
        <v>2</v>
      </c>
      <c r="Q247" s="25" t="str">
        <f>VLOOKUP(P247,Key!$E$2:$F$9,2,FALSE)</f>
        <v>Work</v>
      </c>
      <c r="R247" s="25" t="str">
        <f t="shared" si="4"/>
        <v>Work-Work</v>
      </c>
      <c r="S247" s="47"/>
      <c r="T247" s="47">
        <v>1.5</v>
      </c>
      <c r="U247" s="43">
        <v>2</v>
      </c>
      <c r="V247" s="43"/>
      <c r="W247" s="47"/>
      <c r="X247" s="47"/>
      <c r="Y247" s="48" t="s">
        <v>162</v>
      </c>
      <c r="Z247" s="49"/>
      <c r="AA247" s="25">
        <f>VLOOKUP(F247,Zones!$A$2:$F$151534,6,FALSE)</f>
        <v>374</v>
      </c>
      <c r="AB247" s="25">
        <f>VLOOKUP(L247,Zones!$A$2:$F$151477,6,FALSE)</f>
        <v>403</v>
      </c>
    </row>
    <row r="248" spans="2:28">
      <c r="B248" s="40">
        <v>0.79722222222222217</v>
      </c>
      <c r="C248" s="40" t="s">
        <v>332</v>
      </c>
      <c r="D248" s="41">
        <v>4</v>
      </c>
      <c r="E248" s="42">
        <v>14</v>
      </c>
      <c r="F248" s="42" t="s">
        <v>155</v>
      </c>
      <c r="G248" s="43" t="s">
        <v>155</v>
      </c>
      <c r="H248" s="42" t="s">
        <v>160</v>
      </c>
      <c r="I248" s="43">
        <v>2</v>
      </c>
      <c r="J248" s="43">
        <v>2</v>
      </c>
      <c r="K248" s="25" t="str">
        <f>VLOOKUP(J248,Key!$E$2:$F$9,2,FALSE)</f>
        <v>Work</v>
      </c>
      <c r="L248" s="42" t="s">
        <v>154</v>
      </c>
      <c r="M248" s="43" t="s">
        <v>154</v>
      </c>
      <c r="N248" s="42" t="s">
        <v>160</v>
      </c>
      <c r="O248" s="43">
        <v>2</v>
      </c>
      <c r="P248" s="43">
        <v>2</v>
      </c>
      <c r="Q248" s="25" t="str">
        <f>VLOOKUP(P248,Key!$E$2:$F$9,2,FALSE)</f>
        <v>Work</v>
      </c>
      <c r="R248" s="25" t="str">
        <f t="shared" si="4"/>
        <v>Work-Work</v>
      </c>
      <c r="S248" s="47">
        <v>32</v>
      </c>
      <c r="T248" s="47">
        <v>1</v>
      </c>
      <c r="U248" s="43">
        <v>2</v>
      </c>
      <c r="V248" s="43"/>
      <c r="W248" s="47"/>
      <c r="X248" s="47"/>
      <c r="Y248" s="48" t="s">
        <v>162</v>
      </c>
      <c r="Z248" s="49"/>
      <c r="AA248" s="25">
        <f>VLOOKUP(F248,Zones!$A$2:$F$151534,6,FALSE)</f>
        <v>498</v>
      </c>
      <c r="AB248" s="25">
        <f>VLOOKUP(L248,Zones!$A$2:$F$151477,6,FALSE)</f>
        <v>365</v>
      </c>
    </row>
    <row r="249" spans="2:28">
      <c r="B249" s="40">
        <v>0.4680555555555555</v>
      </c>
      <c r="C249" s="40" t="s">
        <v>333</v>
      </c>
      <c r="D249" s="41">
        <v>4</v>
      </c>
      <c r="E249" s="42">
        <v>14</v>
      </c>
      <c r="F249" s="42" t="s">
        <v>155</v>
      </c>
      <c r="G249" s="43" t="s">
        <v>155</v>
      </c>
      <c r="H249" s="42" t="s">
        <v>160</v>
      </c>
      <c r="I249" s="43">
        <v>6</v>
      </c>
      <c r="J249" s="43">
        <v>2</v>
      </c>
      <c r="K249" s="25" t="str">
        <f>VLOOKUP(J249,Key!$E$2:$F$9,2,FALSE)</f>
        <v>Work</v>
      </c>
      <c r="L249" s="42" t="s">
        <v>168</v>
      </c>
      <c r="M249" s="43" t="s">
        <v>168</v>
      </c>
      <c r="N249" s="42" t="s">
        <v>160</v>
      </c>
      <c r="O249" s="43">
        <v>6</v>
      </c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47">
        <v>133</v>
      </c>
      <c r="T249" s="47">
        <v>4</v>
      </c>
      <c r="U249" s="43"/>
      <c r="V249" s="43"/>
      <c r="W249" s="47"/>
      <c r="X249" s="47"/>
      <c r="Y249" s="48" t="s">
        <v>162</v>
      </c>
      <c r="Z249" s="49"/>
      <c r="AA249" s="25">
        <f>VLOOKUP(F249,Zones!$A$2:$F$151534,6,FALSE)</f>
        <v>498</v>
      </c>
      <c r="AB249" s="25">
        <f>VLOOKUP(L249,Zones!$A$2:$F$151477,6,FALSE)</f>
        <v>521</v>
      </c>
    </row>
    <row r="250" spans="2:28">
      <c r="B250" s="40">
        <v>0.47638888888888892</v>
      </c>
      <c r="C250" s="40" t="s">
        <v>334</v>
      </c>
      <c r="D250" s="41">
        <v>7</v>
      </c>
      <c r="E250" s="42">
        <v>1</v>
      </c>
      <c r="F250" s="42" t="s">
        <v>155</v>
      </c>
      <c r="G250" s="43" t="s">
        <v>155</v>
      </c>
      <c r="H250" s="42" t="s">
        <v>160</v>
      </c>
      <c r="I250" s="43">
        <v>7</v>
      </c>
      <c r="J250" s="43">
        <v>2</v>
      </c>
      <c r="K250" s="25" t="str">
        <f>VLOOKUP(J250,Key!$E$2:$F$9,2,FALSE)</f>
        <v>Work</v>
      </c>
      <c r="L250" s="42" t="s">
        <v>209</v>
      </c>
      <c r="M250" s="43" t="s">
        <v>209</v>
      </c>
      <c r="N250" s="42" t="s">
        <v>160</v>
      </c>
      <c r="O250" s="43">
        <v>7</v>
      </c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47"/>
      <c r="T250" s="47">
        <v>2</v>
      </c>
      <c r="U250" s="43">
        <v>4</v>
      </c>
      <c r="V250" s="43">
        <v>10</v>
      </c>
      <c r="W250" s="47">
        <v>9</v>
      </c>
      <c r="X250" s="47"/>
      <c r="Y250" s="48" t="s">
        <v>162</v>
      </c>
      <c r="Z250" s="49"/>
      <c r="AA250" s="25">
        <f>VLOOKUP(F250,Zones!$A$2:$F$151534,6,FALSE)</f>
        <v>498</v>
      </c>
      <c r="AB250" s="25">
        <f>VLOOKUP(L250,Zones!$A$2:$F$151477,6,FALSE)</f>
        <v>145</v>
      </c>
    </row>
    <row r="251" spans="2:28">
      <c r="B251" s="40">
        <v>0.45069444444444445</v>
      </c>
      <c r="C251" s="40" t="s">
        <v>335</v>
      </c>
      <c r="D251" s="41">
        <v>7</v>
      </c>
      <c r="E251" s="42">
        <v>4</v>
      </c>
      <c r="F251" s="42" t="s">
        <v>252</v>
      </c>
      <c r="G251" s="43" t="s">
        <v>155</v>
      </c>
      <c r="H251" s="42" t="s">
        <v>160</v>
      </c>
      <c r="I251" s="43">
        <v>9</v>
      </c>
      <c r="J251" s="43">
        <v>8</v>
      </c>
      <c r="K251" s="25" t="str">
        <f>VLOOKUP(J251,Key!$E$2:$F$9,2,FALSE)</f>
        <v>Others</v>
      </c>
      <c r="L251" s="42" t="s">
        <v>183</v>
      </c>
      <c r="M251" s="43" t="s">
        <v>164</v>
      </c>
      <c r="N251" s="42" t="s">
        <v>160</v>
      </c>
      <c r="O251" s="43">
        <v>3</v>
      </c>
      <c r="P251" s="43">
        <v>8</v>
      </c>
      <c r="Q251" s="25" t="str">
        <f>VLOOKUP(P251,Key!$E$2:$F$9,2,FALSE)</f>
        <v>Others</v>
      </c>
      <c r="R251" s="25" t="str">
        <f t="shared" si="4"/>
        <v>Others-Others</v>
      </c>
      <c r="S251" s="47"/>
      <c r="T251" s="47">
        <v>1.5</v>
      </c>
      <c r="U251" s="43">
        <v>12</v>
      </c>
      <c r="V251" s="43">
        <v>10</v>
      </c>
      <c r="W251" s="47"/>
      <c r="X251" s="47"/>
      <c r="Y251" s="48" t="s">
        <v>162</v>
      </c>
      <c r="Z251" s="49"/>
      <c r="AA251" s="25">
        <f>VLOOKUP(F251,Zones!$A$2:$F$151534,6,FALSE)</f>
        <v>373</v>
      </c>
      <c r="AB251" s="25">
        <f>VLOOKUP(L251,Zones!$A$2:$F$151477,6,FALSE)</f>
        <v>404</v>
      </c>
    </row>
    <row r="252" spans="2:28">
      <c r="B252" s="40">
        <v>0.45833333333333331</v>
      </c>
      <c r="C252" s="40" t="s">
        <v>336</v>
      </c>
      <c r="D252" s="41">
        <v>4</v>
      </c>
      <c r="E252" s="42">
        <v>14</v>
      </c>
      <c r="F252" s="42" t="s">
        <v>155</v>
      </c>
      <c r="G252" s="43" t="s">
        <v>155</v>
      </c>
      <c r="H252" s="42" t="s">
        <v>160</v>
      </c>
      <c r="I252" s="43">
        <v>6</v>
      </c>
      <c r="J252" s="43">
        <v>2</v>
      </c>
      <c r="K252" s="25" t="str">
        <f>VLOOKUP(J252,Key!$E$2:$F$9,2,FALSE)</f>
        <v>Work</v>
      </c>
      <c r="L252" s="42" t="s">
        <v>154</v>
      </c>
      <c r="M252" s="43" t="s">
        <v>154</v>
      </c>
      <c r="N252" s="42" t="s">
        <v>160</v>
      </c>
      <c r="O252" s="43">
        <v>6</v>
      </c>
      <c r="P252" s="43">
        <v>2</v>
      </c>
      <c r="Q252" s="25" t="str">
        <f>VLOOKUP(P252,Key!$E$2:$F$9,2,FALSE)</f>
        <v>Work</v>
      </c>
      <c r="R252" s="25" t="str">
        <f t="shared" si="4"/>
        <v>Work-Work</v>
      </c>
      <c r="S252" s="47">
        <v>32</v>
      </c>
      <c r="T252" s="47">
        <v>1</v>
      </c>
      <c r="U252" s="43">
        <v>2</v>
      </c>
      <c r="V252" s="43"/>
      <c r="W252" s="47"/>
      <c r="X252" s="47"/>
      <c r="Y252" s="48" t="s">
        <v>162</v>
      </c>
      <c r="Z252" s="49"/>
      <c r="AA252" s="25">
        <f>VLOOKUP(F252,Zones!$A$2:$F$151534,6,FALSE)</f>
        <v>498</v>
      </c>
      <c r="AB252" s="25">
        <f>VLOOKUP(L252,Zones!$A$2:$F$151477,6,FALSE)</f>
        <v>365</v>
      </c>
    </row>
    <row r="253" spans="2:28">
      <c r="B253" s="40">
        <v>0.4152777777777778</v>
      </c>
      <c r="C253" s="40" t="s">
        <v>337</v>
      </c>
      <c r="D253" s="41">
        <v>2</v>
      </c>
      <c r="E253" s="42">
        <v>4</v>
      </c>
      <c r="F253" s="59" t="s">
        <v>943</v>
      </c>
      <c r="G253" s="43" t="s">
        <v>154</v>
      </c>
      <c r="H253" s="42" t="s">
        <v>160</v>
      </c>
      <c r="I253" s="43">
        <v>2</v>
      </c>
      <c r="J253" s="43">
        <v>2</v>
      </c>
      <c r="K253" s="25" t="str">
        <f>VLOOKUP(J253,Key!$E$2:$F$9,2,FALSE)</f>
        <v>Work</v>
      </c>
      <c r="L253" s="42" t="s">
        <v>154</v>
      </c>
      <c r="M253" s="43" t="s">
        <v>154</v>
      </c>
      <c r="N253" s="42" t="s">
        <v>160</v>
      </c>
      <c r="O253" s="43">
        <v>2</v>
      </c>
      <c r="P253" s="43">
        <v>2</v>
      </c>
      <c r="Q253" s="25" t="str">
        <f>VLOOKUP(P253,Key!$E$2:$F$9,2,FALSE)</f>
        <v>Work</v>
      </c>
      <c r="R253" s="25" t="str">
        <f t="shared" si="4"/>
        <v>Work-Work</v>
      </c>
      <c r="S253" s="47"/>
      <c r="T253" s="47">
        <v>0.2</v>
      </c>
      <c r="U253" s="43">
        <v>2</v>
      </c>
      <c r="V253" s="43"/>
      <c r="W253" s="47"/>
      <c r="X253" s="47"/>
      <c r="Y253" s="48" t="s">
        <v>162</v>
      </c>
      <c r="Z253" s="49"/>
      <c r="AA253" s="25">
        <f>VLOOKUP(F253,Zones!$A$2:$F$151534,6,FALSE)</f>
        <v>373</v>
      </c>
      <c r="AB253" s="25">
        <f>VLOOKUP(L253,Zones!$A$2:$F$151477,6,FALSE)</f>
        <v>365</v>
      </c>
    </row>
    <row r="254" spans="2:28">
      <c r="B254" s="40">
        <v>0.41805555555555557</v>
      </c>
      <c r="C254" s="40" t="s">
        <v>338</v>
      </c>
      <c r="D254" s="41">
        <v>3</v>
      </c>
      <c r="E254" s="42">
        <v>2</v>
      </c>
      <c r="F254" s="42" t="s">
        <v>155</v>
      </c>
      <c r="G254" s="43" t="s">
        <v>155</v>
      </c>
      <c r="H254" s="42" t="s">
        <v>160</v>
      </c>
      <c r="I254" s="43">
        <v>2</v>
      </c>
      <c r="J254" s="43">
        <v>2</v>
      </c>
      <c r="K254" s="25" t="str">
        <f>VLOOKUP(J254,Key!$E$2:$F$9,2,FALSE)</f>
        <v>Work</v>
      </c>
      <c r="L254" s="42" t="s">
        <v>154</v>
      </c>
      <c r="M254" s="43" t="s">
        <v>154</v>
      </c>
      <c r="N254" s="42" t="s">
        <v>160</v>
      </c>
      <c r="O254" s="43">
        <v>5</v>
      </c>
      <c r="P254" s="43">
        <v>7</v>
      </c>
      <c r="Q254" s="25" t="str">
        <f>VLOOKUP(P254,Key!$E$2:$F$9,2,FALSE)</f>
        <v>Hospital</v>
      </c>
      <c r="R254" s="25" t="str">
        <f t="shared" si="4"/>
        <v>Work-Hospital</v>
      </c>
      <c r="S254" s="47">
        <v>30</v>
      </c>
      <c r="T254" s="47">
        <v>1</v>
      </c>
      <c r="U254" s="43">
        <v>6</v>
      </c>
      <c r="V254" s="43"/>
      <c r="W254" s="47"/>
      <c r="X254" s="47"/>
      <c r="Y254" s="48" t="s">
        <v>162</v>
      </c>
      <c r="Z254" s="49"/>
      <c r="AA254" s="25">
        <f>VLOOKUP(F254,Zones!$A$2:$F$151534,6,FALSE)</f>
        <v>498</v>
      </c>
      <c r="AB254" s="25">
        <f>VLOOKUP(L254,Zones!$A$2:$F$151477,6,FALSE)</f>
        <v>365</v>
      </c>
    </row>
    <row r="255" spans="2:28">
      <c r="B255" s="40">
        <v>0.43055555555555558</v>
      </c>
      <c r="C255" s="40" t="s">
        <v>339</v>
      </c>
      <c r="D255" s="41">
        <v>3</v>
      </c>
      <c r="E255" s="42">
        <v>1</v>
      </c>
      <c r="F255" s="42" t="s">
        <v>252</v>
      </c>
      <c r="G255" s="43" t="s">
        <v>155</v>
      </c>
      <c r="H255" s="42" t="s">
        <v>160</v>
      </c>
      <c r="I255" s="43">
        <v>1</v>
      </c>
      <c r="J255" s="43">
        <v>1</v>
      </c>
      <c r="K255" s="25" t="str">
        <f>VLOOKUP(J255,Key!$E$2:$F$9,2,FALSE)</f>
        <v>Home</v>
      </c>
      <c r="L255" s="42" t="s">
        <v>154</v>
      </c>
      <c r="M255" s="43" t="s">
        <v>154</v>
      </c>
      <c r="N255" s="42" t="s">
        <v>160</v>
      </c>
      <c r="O255" s="43">
        <v>2</v>
      </c>
      <c r="P255" s="43">
        <v>2</v>
      </c>
      <c r="Q255" s="25" t="str">
        <f>VLOOKUP(P255,Key!$E$2:$F$9,2,FALSE)</f>
        <v>Work</v>
      </c>
      <c r="R255" s="25" t="str">
        <f t="shared" si="4"/>
        <v>Home-Work</v>
      </c>
      <c r="S255" s="47">
        <v>30</v>
      </c>
      <c r="T255" s="47">
        <v>1.5</v>
      </c>
      <c r="U255" s="43">
        <v>3</v>
      </c>
      <c r="V255" s="43"/>
      <c r="W255" s="47"/>
      <c r="X255" s="47"/>
      <c r="Y255" s="48" t="s">
        <v>162</v>
      </c>
      <c r="Z255" s="49"/>
      <c r="AA255" s="25">
        <f>VLOOKUP(F255,Zones!$A$2:$F$151534,6,FALSE)</f>
        <v>373</v>
      </c>
      <c r="AB255" s="25">
        <f>VLOOKUP(L255,Zones!$A$2:$F$151477,6,FALSE)</f>
        <v>365</v>
      </c>
    </row>
    <row r="256" spans="2:28">
      <c r="B256" s="40">
        <v>0.42708333333333331</v>
      </c>
      <c r="C256" s="40" t="s">
        <v>340</v>
      </c>
      <c r="D256" s="41">
        <v>5</v>
      </c>
      <c r="E256" s="42">
        <v>32</v>
      </c>
      <c r="F256" s="42" t="s">
        <v>155</v>
      </c>
      <c r="G256" s="43" t="s">
        <v>155</v>
      </c>
      <c r="H256" s="42" t="s">
        <v>160</v>
      </c>
      <c r="I256" s="43">
        <v>6</v>
      </c>
      <c r="J256" s="43">
        <v>2</v>
      </c>
      <c r="K256" s="25" t="str">
        <f>VLOOKUP(J256,Key!$E$2:$F$9,2,FALSE)</f>
        <v>Work</v>
      </c>
      <c r="L256" s="42" t="s">
        <v>168</v>
      </c>
      <c r="M256" s="43" t="s">
        <v>168</v>
      </c>
      <c r="N256" s="42" t="s">
        <v>160</v>
      </c>
      <c r="O256" s="43">
        <v>6</v>
      </c>
      <c r="P256" s="43">
        <v>2</v>
      </c>
      <c r="Q256" s="25" t="str">
        <f>VLOOKUP(P256,Key!$E$2:$F$9,2,FALSE)</f>
        <v>Work</v>
      </c>
      <c r="R256" s="25" t="str">
        <f t="shared" si="4"/>
        <v>Work-Work</v>
      </c>
      <c r="S256" s="47">
        <v>135</v>
      </c>
      <c r="T256" s="47">
        <v>4.5</v>
      </c>
      <c r="U256" s="43">
        <v>2</v>
      </c>
      <c r="V256" s="43"/>
      <c r="W256" s="47"/>
      <c r="X256" s="47"/>
      <c r="Y256" s="48" t="s">
        <v>218</v>
      </c>
      <c r="Z256" s="49"/>
      <c r="AA256" s="25">
        <f>VLOOKUP(F256,Zones!$A$2:$F$151534,6,FALSE)</f>
        <v>498</v>
      </c>
      <c r="AB256" s="25">
        <f>VLOOKUP(L256,Zones!$A$2:$F$151477,6,FALSE)</f>
        <v>521</v>
      </c>
    </row>
    <row r="257" spans="2:28">
      <c r="B257" s="40">
        <v>0.42499999999999999</v>
      </c>
      <c r="C257" s="40" t="s">
        <v>341</v>
      </c>
      <c r="D257" s="41">
        <v>4</v>
      </c>
      <c r="E257" s="42">
        <v>14</v>
      </c>
      <c r="F257" s="42" t="s">
        <v>155</v>
      </c>
      <c r="G257" s="43" t="s">
        <v>155</v>
      </c>
      <c r="H257" s="42" t="s">
        <v>160</v>
      </c>
      <c r="I257" s="43">
        <v>6</v>
      </c>
      <c r="J257" s="43">
        <v>2</v>
      </c>
      <c r="K257" s="25" t="str">
        <f>VLOOKUP(J257,Key!$E$2:$F$9,2,FALSE)</f>
        <v>Work</v>
      </c>
      <c r="L257" s="42" t="s">
        <v>168</v>
      </c>
      <c r="M257" s="43" t="s">
        <v>168</v>
      </c>
      <c r="N257" s="42" t="s">
        <v>160</v>
      </c>
      <c r="O257" s="43">
        <v>6</v>
      </c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47">
        <v>135</v>
      </c>
      <c r="T257" s="47">
        <v>4</v>
      </c>
      <c r="U257" s="43">
        <v>2</v>
      </c>
      <c r="V257" s="43"/>
      <c r="W257" s="47"/>
      <c r="X257" s="47"/>
      <c r="Y257" s="48" t="s">
        <v>162</v>
      </c>
      <c r="Z257" s="49"/>
      <c r="AA257" s="25">
        <f>VLOOKUP(F257,Zones!$A$2:$F$151534,6,FALSE)</f>
        <v>498</v>
      </c>
      <c r="AB257" s="25">
        <f>VLOOKUP(L257,Zones!$A$2:$F$151477,6,FALSE)</f>
        <v>521</v>
      </c>
    </row>
    <row r="258" spans="2:28">
      <c r="B258" s="40">
        <v>0.42291666666666666</v>
      </c>
      <c r="C258" s="40" t="s">
        <v>342</v>
      </c>
      <c r="D258" s="41">
        <v>11</v>
      </c>
      <c r="E258" s="42">
        <v>4</v>
      </c>
      <c r="F258" s="42" t="s">
        <v>220</v>
      </c>
      <c r="G258" s="43" t="s">
        <v>154</v>
      </c>
      <c r="H258" s="42" t="s">
        <v>160</v>
      </c>
      <c r="I258" s="43">
        <v>8</v>
      </c>
      <c r="J258" s="43">
        <v>2</v>
      </c>
      <c r="K258" s="25" t="str">
        <f>VLOOKUP(J258,Key!$E$2:$F$9,2,FALSE)</f>
        <v>Work</v>
      </c>
      <c r="L258" s="42" t="s">
        <v>154</v>
      </c>
      <c r="M258" s="43" t="s">
        <v>154</v>
      </c>
      <c r="N258" s="42" t="s">
        <v>160</v>
      </c>
      <c r="O258" s="43">
        <v>8</v>
      </c>
      <c r="P258" s="43">
        <v>2</v>
      </c>
      <c r="Q258" s="25" t="str">
        <f>VLOOKUP(P258,Key!$E$2:$F$9,2,FALSE)</f>
        <v>Work</v>
      </c>
      <c r="R258" s="25" t="str">
        <f t="shared" si="4"/>
        <v>Work-Work</v>
      </c>
      <c r="S258" s="47"/>
      <c r="T258" s="47">
        <v>0.3</v>
      </c>
      <c r="U258" s="43">
        <v>2</v>
      </c>
      <c r="V258" s="43"/>
      <c r="W258" s="47"/>
      <c r="X258" s="47"/>
      <c r="Y258" s="48" t="s">
        <v>162</v>
      </c>
      <c r="Z258" s="49"/>
      <c r="AA258" s="25">
        <f>VLOOKUP(F258,Zones!$A$2:$F$151534,6,FALSE)</f>
        <v>369</v>
      </c>
      <c r="AB258" s="25">
        <f>VLOOKUP(L258,Zones!$A$2:$F$151477,6,FALSE)</f>
        <v>365</v>
      </c>
    </row>
    <row r="259" spans="2:28">
      <c r="B259" s="40">
        <v>0.40972222222222227</v>
      </c>
      <c r="C259" s="40" t="s">
        <v>343</v>
      </c>
      <c r="D259" s="41">
        <v>4</v>
      </c>
      <c r="E259" s="42">
        <v>14</v>
      </c>
      <c r="F259" s="42" t="s">
        <v>155</v>
      </c>
      <c r="G259" s="43" t="s">
        <v>155</v>
      </c>
      <c r="H259" s="42" t="s">
        <v>160</v>
      </c>
      <c r="I259" s="43">
        <v>6</v>
      </c>
      <c r="J259" s="43">
        <v>2</v>
      </c>
      <c r="K259" s="25" t="str">
        <f>VLOOKUP(J259,Key!$E$2:$F$9,2,FALSE)</f>
        <v>Work</v>
      </c>
      <c r="L259" s="42" t="s">
        <v>164</v>
      </c>
      <c r="M259" s="43" t="s">
        <v>164</v>
      </c>
      <c r="N259" s="42" t="s">
        <v>160</v>
      </c>
      <c r="O259" s="43">
        <v>6</v>
      </c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47">
        <v>36</v>
      </c>
      <c r="T259" s="47">
        <v>2.5</v>
      </c>
      <c r="U259" s="43">
        <v>2</v>
      </c>
      <c r="V259" s="43"/>
      <c r="W259" s="47"/>
      <c r="X259" s="47"/>
      <c r="Y259" s="48" t="s">
        <v>162</v>
      </c>
      <c r="Z259" s="49"/>
      <c r="AA259" s="25">
        <f>VLOOKUP(F259,Zones!$A$2:$F$151534,6,FALSE)</f>
        <v>498</v>
      </c>
      <c r="AB259" s="25">
        <f>VLOOKUP(L259,Zones!$A$2:$F$151477,6,FALSE)</f>
        <v>403</v>
      </c>
    </row>
    <row r="260" spans="2:28">
      <c r="B260" s="40">
        <v>0.4069444444444445</v>
      </c>
      <c r="C260" s="40" t="s">
        <v>344</v>
      </c>
      <c r="D260" s="41">
        <v>1</v>
      </c>
      <c r="E260" s="42">
        <v>2</v>
      </c>
      <c r="F260" s="59" t="s">
        <v>261</v>
      </c>
      <c r="G260" s="43" t="s">
        <v>155</v>
      </c>
      <c r="H260" s="42" t="s">
        <v>160</v>
      </c>
      <c r="I260" s="43">
        <v>1</v>
      </c>
      <c r="J260" s="43">
        <v>1</v>
      </c>
      <c r="K260" s="25" t="str">
        <f>VLOOKUP(J260,Key!$E$2:$F$9,2,FALSE)</f>
        <v>Home</v>
      </c>
      <c r="L260" s="42" t="s">
        <v>154</v>
      </c>
      <c r="M260" s="43" t="s">
        <v>154</v>
      </c>
      <c r="N260" s="42" t="s">
        <v>160</v>
      </c>
      <c r="O260" s="43">
        <v>2</v>
      </c>
      <c r="P260" s="43">
        <v>2</v>
      </c>
      <c r="Q260" s="25" t="str">
        <f>VLOOKUP(P260,Key!$E$2:$F$9,2,FALSE)</f>
        <v>Work</v>
      </c>
      <c r="R260" s="25" t="str">
        <f t="shared" si="4"/>
        <v>Home-Work</v>
      </c>
      <c r="S260" s="47"/>
      <c r="T260" s="47">
        <v>0.5</v>
      </c>
      <c r="U260" s="43">
        <v>2</v>
      </c>
      <c r="V260" s="43"/>
      <c r="W260" s="47"/>
      <c r="X260" s="47"/>
      <c r="Y260" s="48" t="s">
        <v>162</v>
      </c>
      <c r="Z260" s="49"/>
      <c r="AA260" s="25">
        <f>VLOOKUP(F260,Zones!$A$2:$F$151534,6,FALSE)</f>
        <v>348</v>
      </c>
      <c r="AB260" s="25">
        <f>VLOOKUP(L260,Zones!$A$2:$F$151477,6,FALSE)</f>
        <v>365</v>
      </c>
    </row>
    <row r="261" spans="2:28">
      <c r="B261" s="40">
        <v>0.55486111111111114</v>
      </c>
      <c r="C261" s="40" t="s">
        <v>345</v>
      </c>
      <c r="D261" s="41">
        <v>8</v>
      </c>
      <c r="E261" s="42">
        <v>2</v>
      </c>
      <c r="F261" s="42" t="s">
        <v>252</v>
      </c>
      <c r="G261" s="43" t="s">
        <v>155</v>
      </c>
      <c r="H261" s="42" t="s">
        <v>160</v>
      </c>
      <c r="I261" s="43">
        <v>9</v>
      </c>
      <c r="J261" s="43">
        <v>2</v>
      </c>
      <c r="K261" s="25" t="str">
        <f>VLOOKUP(J261,Key!$E$2:$F$9,2,FALSE)</f>
        <v>Work</v>
      </c>
      <c r="L261" s="42" t="s">
        <v>154</v>
      </c>
      <c r="M261" s="43" t="s">
        <v>154</v>
      </c>
      <c r="N261" s="42" t="s">
        <v>160</v>
      </c>
      <c r="O261" s="43">
        <v>11</v>
      </c>
      <c r="P261" s="43">
        <v>2</v>
      </c>
      <c r="Q261" s="25" t="str">
        <f>VLOOKUP(P261,Key!$E$2:$F$9,2,FALSE)</f>
        <v>Work</v>
      </c>
      <c r="R261" s="25" t="str">
        <f t="shared" si="4"/>
        <v>Work-Work</v>
      </c>
      <c r="S261" s="47">
        <v>27</v>
      </c>
      <c r="T261" s="47">
        <v>2</v>
      </c>
      <c r="U261" s="43">
        <v>4</v>
      </c>
      <c r="V261" s="43">
        <v>10</v>
      </c>
      <c r="W261" s="47">
        <v>13</v>
      </c>
      <c r="X261" s="47"/>
      <c r="Y261" s="48" t="s">
        <v>162</v>
      </c>
      <c r="Z261" s="49"/>
      <c r="AA261" s="25">
        <f>VLOOKUP(F261,Zones!$A$2:$F$151534,6,FALSE)</f>
        <v>373</v>
      </c>
      <c r="AB261" s="25">
        <f>VLOOKUP(L261,Zones!$A$2:$F$151477,6,FALSE)</f>
        <v>365</v>
      </c>
    </row>
    <row r="262" spans="2:28">
      <c r="B262" s="40">
        <v>0.54583333333333328</v>
      </c>
      <c r="C262" s="40" t="s">
        <v>346</v>
      </c>
      <c r="D262" s="41">
        <v>4</v>
      </c>
      <c r="E262" s="42">
        <v>14</v>
      </c>
      <c r="F262" s="42" t="s">
        <v>155</v>
      </c>
      <c r="G262" s="43" t="s">
        <v>155</v>
      </c>
      <c r="H262" s="42" t="s">
        <v>160</v>
      </c>
      <c r="I262" s="43">
        <v>6</v>
      </c>
      <c r="J262" s="43">
        <v>2</v>
      </c>
      <c r="K262" s="25" t="str">
        <f>VLOOKUP(J262,Key!$E$2:$F$9,2,FALSE)</f>
        <v>Work</v>
      </c>
      <c r="L262" s="42" t="s">
        <v>168</v>
      </c>
      <c r="M262" s="43" t="s">
        <v>168</v>
      </c>
      <c r="N262" s="42" t="s">
        <v>160</v>
      </c>
      <c r="O262" s="43">
        <v>6</v>
      </c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47">
        <v>132</v>
      </c>
      <c r="T262" s="47">
        <v>4</v>
      </c>
      <c r="U262" s="43">
        <v>2</v>
      </c>
      <c r="V262" s="43"/>
      <c r="W262" s="47"/>
      <c r="X262" s="47"/>
      <c r="Y262" s="48" t="s">
        <v>162</v>
      </c>
      <c r="Z262" s="49"/>
      <c r="AA262" s="25">
        <f>VLOOKUP(F262,Zones!$A$2:$F$151534,6,FALSE)</f>
        <v>498</v>
      </c>
      <c r="AB262" s="25">
        <f>VLOOKUP(L262,Zones!$A$2:$F$151477,6,FALSE)</f>
        <v>521</v>
      </c>
    </row>
    <row r="263" spans="2:28">
      <c r="B263" s="40">
        <v>0.62361111111111112</v>
      </c>
      <c r="C263" s="40" t="s">
        <v>347</v>
      </c>
      <c r="D263" s="41">
        <v>2</v>
      </c>
      <c r="E263" s="42">
        <v>4</v>
      </c>
      <c r="F263" s="42" t="s">
        <v>302</v>
      </c>
      <c r="G263" s="43" t="s">
        <v>155</v>
      </c>
      <c r="H263" s="42" t="s">
        <v>160</v>
      </c>
      <c r="I263" s="43">
        <v>2</v>
      </c>
      <c r="J263" s="43">
        <v>2</v>
      </c>
      <c r="K263" s="25" t="str">
        <f>VLOOKUP(J263,Key!$E$2:$F$9,2,FALSE)</f>
        <v>Work</v>
      </c>
      <c r="L263" s="42" t="s">
        <v>154</v>
      </c>
      <c r="M263" s="43" t="s">
        <v>154</v>
      </c>
      <c r="N263" s="42" t="s">
        <v>160</v>
      </c>
      <c r="O263" s="43">
        <v>2</v>
      </c>
      <c r="P263" s="43">
        <v>2</v>
      </c>
      <c r="Q263" s="25" t="str">
        <f>VLOOKUP(P263,Key!$E$2:$F$9,2,FALSE)</f>
        <v>Work</v>
      </c>
      <c r="R263" s="25" t="str">
        <f t="shared" si="4"/>
        <v>Work-Work</v>
      </c>
      <c r="S263" s="47"/>
      <c r="T263" s="47">
        <v>0.8</v>
      </c>
      <c r="U263" s="43"/>
      <c r="V263" s="43"/>
      <c r="W263" s="47"/>
      <c r="X263" s="47"/>
      <c r="Y263" s="48" t="s">
        <v>218</v>
      </c>
      <c r="Z263" s="49"/>
      <c r="AA263" s="25">
        <f>VLOOKUP(F263,Zones!$A$2:$F$151534,6,FALSE)</f>
        <v>372</v>
      </c>
      <c r="AB263" s="25">
        <f>VLOOKUP(L263,Zones!$A$2:$F$151477,6,FALSE)</f>
        <v>365</v>
      </c>
    </row>
    <row r="264" spans="2:28">
      <c r="B264" s="40">
        <v>0.61041666666666672</v>
      </c>
      <c r="C264" s="40" t="s">
        <v>348</v>
      </c>
      <c r="D264" s="41">
        <v>3</v>
      </c>
      <c r="E264" s="42">
        <v>2</v>
      </c>
      <c r="F264" s="59" t="s">
        <v>943</v>
      </c>
      <c r="G264" s="43" t="s">
        <v>154</v>
      </c>
      <c r="H264" s="42" t="s">
        <v>160</v>
      </c>
      <c r="I264" s="43">
        <v>2</v>
      </c>
      <c r="J264" s="43">
        <v>2</v>
      </c>
      <c r="K264" s="25" t="str">
        <f>VLOOKUP(J264,Key!$E$2:$F$9,2,FALSE)</f>
        <v>Work</v>
      </c>
      <c r="L264" s="42" t="s">
        <v>154</v>
      </c>
      <c r="M264" s="43" t="s">
        <v>154</v>
      </c>
      <c r="N264" s="42" t="s">
        <v>160</v>
      </c>
      <c r="O264" s="43">
        <v>2</v>
      </c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47">
        <v>7</v>
      </c>
      <c r="T264" s="47">
        <v>0.3</v>
      </c>
      <c r="U264" s="43"/>
      <c r="V264" s="43"/>
      <c r="W264" s="47"/>
      <c r="X264" s="47"/>
      <c r="Y264" s="48" t="s">
        <v>162</v>
      </c>
      <c r="Z264" s="49"/>
      <c r="AA264" s="25">
        <f>VLOOKUP(F264,Zones!$A$2:$F$151534,6,FALSE)</f>
        <v>373</v>
      </c>
      <c r="AB264" s="25">
        <f>VLOOKUP(L264,Zones!$A$2:$F$151477,6,FALSE)</f>
        <v>365</v>
      </c>
    </row>
    <row r="265" spans="2:28">
      <c r="B265" s="40">
        <v>0.60069444444444442</v>
      </c>
      <c r="C265" s="40" t="s">
        <v>349</v>
      </c>
      <c r="D265" s="41">
        <v>1</v>
      </c>
      <c r="E265" s="42">
        <v>1</v>
      </c>
      <c r="F265" s="42" t="s">
        <v>220</v>
      </c>
      <c r="G265" s="43" t="s">
        <v>154</v>
      </c>
      <c r="H265" s="42" t="s">
        <v>160</v>
      </c>
      <c r="I265" s="43">
        <v>1</v>
      </c>
      <c r="J265" s="43">
        <v>1</v>
      </c>
      <c r="K265" s="25" t="str">
        <f>VLOOKUP(J265,Key!$E$2:$F$9,2,FALSE)</f>
        <v>Home</v>
      </c>
      <c r="L265" s="42" t="s">
        <v>247</v>
      </c>
      <c r="M265" s="43" t="s">
        <v>209</v>
      </c>
      <c r="N265" s="42" t="s">
        <v>160</v>
      </c>
      <c r="O265" s="43">
        <v>9</v>
      </c>
      <c r="P265" s="43">
        <v>2</v>
      </c>
      <c r="Q265" s="25" t="str">
        <f>VLOOKUP(P265,Key!$E$2:$F$9,2,FALSE)</f>
        <v>Work</v>
      </c>
      <c r="R265" s="25" t="str">
        <f t="shared" si="4"/>
        <v>Home-Work</v>
      </c>
      <c r="S265" s="47">
        <v>7</v>
      </c>
      <c r="T265" s="47">
        <v>1</v>
      </c>
      <c r="U265" s="43"/>
      <c r="V265" s="43"/>
      <c r="W265" s="47"/>
      <c r="X265" s="47"/>
      <c r="Y265" s="48" t="s">
        <v>162</v>
      </c>
      <c r="Z265" s="49"/>
      <c r="AA265" s="25">
        <f>VLOOKUP(F265,Zones!$A$2:$F$151534,6,FALSE)</f>
        <v>369</v>
      </c>
      <c r="AB265" s="25">
        <f>VLOOKUP(L265,Zones!$A$2:$F$151477,6,FALSE)</f>
        <v>369</v>
      </c>
    </row>
    <row r="266" spans="2:28">
      <c r="B266" s="40">
        <v>0.59027777777777779</v>
      </c>
      <c r="C266" s="40" t="s">
        <v>350</v>
      </c>
      <c r="D266" s="41">
        <v>4</v>
      </c>
      <c r="E266" s="42">
        <v>14</v>
      </c>
      <c r="F266" s="42" t="s">
        <v>155</v>
      </c>
      <c r="G266" s="43" t="s">
        <v>155</v>
      </c>
      <c r="H266" s="42" t="s">
        <v>160</v>
      </c>
      <c r="I266" s="43">
        <v>6</v>
      </c>
      <c r="J266" s="43">
        <v>2</v>
      </c>
      <c r="K266" s="25" t="str">
        <f>VLOOKUP(J266,Key!$E$2:$F$9,2,FALSE)</f>
        <v>Work</v>
      </c>
      <c r="L266" s="42" t="s">
        <v>168</v>
      </c>
      <c r="M266" s="43" t="s">
        <v>168</v>
      </c>
      <c r="N266" s="42" t="s">
        <v>160</v>
      </c>
      <c r="O266" s="43">
        <v>6</v>
      </c>
      <c r="P266" s="43">
        <v>2</v>
      </c>
      <c r="Q266" s="25" t="str">
        <f>VLOOKUP(P266,Key!$E$2:$F$9,2,FALSE)</f>
        <v>Work</v>
      </c>
      <c r="R266" s="25" t="str">
        <f t="shared" si="4"/>
        <v>Work-Work</v>
      </c>
      <c r="S266" s="47">
        <v>135</v>
      </c>
      <c r="T266" s="47">
        <v>4.5</v>
      </c>
      <c r="U266" s="43">
        <v>2</v>
      </c>
      <c r="V266" s="43"/>
      <c r="W266" s="47"/>
      <c r="X266" s="47"/>
      <c r="Y266" s="48" t="s">
        <v>162</v>
      </c>
      <c r="Z266" s="49"/>
      <c r="AA266" s="25">
        <f>VLOOKUP(F266,Zones!$A$2:$F$151534,6,FALSE)</f>
        <v>498</v>
      </c>
      <c r="AB266" s="25">
        <f>VLOOKUP(L266,Zones!$A$2:$F$151477,6,FALSE)</f>
        <v>521</v>
      </c>
    </row>
    <row r="267" spans="2:28">
      <c r="B267" s="40">
        <v>0.74444444444444446</v>
      </c>
      <c r="C267" s="40" t="s">
        <v>351</v>
      </c>
      <c r="D267" s="41">
        <v>4</v>
      </c>
      <c r="E267" s="42">
        <v>14</v>
      </c>
      <c r="F267" s="42" t="s">
        <v>155</v>
      </c>
      <c r="G267" s="43" t="s">
        <v>155</v>
      </c>
      <c r="H267" s="42" t="s">
        <v>160</v>
      </c>
      <c r="I267" s="43">
        <v>6</v>
      </c>
      <c r="J267" s="43">
        <v>2</v>
      </c>
      <c r="K267" s="25" t="str">
        <f>VLOOKUP(J267,Key!$E$2:$F$9,2,FALSE)</f>
        <v>Work</v>
      </c>
      <c r="L267" s="42" t="s">
        <v>168</v>
      </c>
      <c r="M267" s="43" t="s">
        <v>168</v>
      </c>
      <c r="N267" s="42" t="s">
        <v>160</v>
      </c>
      <c r="O267" s="43">
        <v>6</v>
      </c>
      <c r="P267" s="43">
        <v>2</v>
      </c>
      <c r="Q267" s="25" t="str">
        <f>VLOOKUP(P267,Key!$E$2:$F$9,2,FALSE)</f>
        <v>Work</v>
      </c>
      <c r="R267" s="25" t="str">
        <f t="shared" si="4"/>
        <v>Work-Work</v>
      </c>
      <c r="S267" s="47">
        <v>135</v>
      </c>
      <c r="T267" s="47">
        <v>4</v>
      </c>
      <c r="U267" s="43">
        <v>2</v>
      </c>
      <c r="V267" s="43"/>
      <c r="W267" s="47"/>
      <c r="X267" s="47"/>
      <c r="Y267" s="48" t="s">
        <v>218</v>
      </c>
      <c r="Z267" s="49"/>
      <c r="AA267" s="25">
        <f>VLOOKUP(F267,Zones!$A$2:$F$151534,6,FALSE)</f>
        <v>498</v>
      </c>
      <c r="AB267" s="25">
        <f>VLOOKUP(L267,Zones!$A$2:$F$151477,6,FALSE)</f>
        <v>521</v>
      </c>
    </row>
    <row r="268" spans="2:28">
      <c r="B268" s="40">
        <v>0.7402777777777777</v>
      </c>
      <c r="C268" s="40" t="s">
        <v>292</v>
      </c>
      <c r="D268" s="41">
        <v>2</v>
      </c>
      <c r="E268" s="42">
        <v>5</v>
      </c>
      <c r="F268" s="59" t="s">
        <v>944</v>
      </c>
      <c r="G268" s="43" t="s">
        <v>154</v>
      </c>
      <c r="H268" s="42" t="s">
        <v>160</v>
      </c>
      <c r="I268" s="43">
        <v>2</v>
      </c>
      <c r="J268" s="43">
        <v>2</v>
      </c>
      <c r="K268" s="25" t="str">
        <f>VLOOKUP(J268,Key!$E$2:$F$9,2,FALSE)</f>
        <v>Work</v>
      </c>
      <c r="L268" s="42" t="s">
        <v>294</v>
      </c>
      <c r="M268" s="43" t="s">
        <v>168</v>
      </c>
      <c r="N268" s="42" t="s">
        <v>160</v>
      </c>
      <c r="O268" s="43">
        <v>1</v>
      </c>
      <c r="P268" s="43">
        <v>1</v>
      </c>
      <c r="Q268" s="25" t="str">
        <f>VLOOKUP(P268,Key!$E$2:$F$9,2,FALSE)</f>
        <v>Home</v>
      </c>
      <c r="R268" s="25" t="str">
        <f t="shared" si="4"/>
        <v>Work-Home</v>
      </c>
      <c r="S268" s="47">
        <v>12</v>
      </c>
      <c r="T268" s="47">
        <v>0.3</v>
      </c>
      <c r="U268" s="43">
        <v>2</v>
      </c>
      <c r="V268" s="43"/>
      <c r="W268" s="47"/>
      <c r="X268" s="47"/>
      <c r="Y268" s="48" t="s">
        <v>162</v>
      </c>
      <c r="Z268" s="49"/>
      <c r="AA268" s="25">
        <f>VLOOKUP(F268,Zones!$A$2:$F$151534,6,FALSE)</f>
        <v>375</v>
      </c>
      <c r="AB268" s="25">
        <f>VLOOKUP(L268,Zones!$A$2:$F$151477,6,FALSE)</f>
        <v>577</v>
      </c>
    </row>
    <row r="269" spans="2:28">
      <c r="B269" s="40">
        <v>0.72916666666666663</v>
      </c>
      <c r="C269" s="40" t="s">
        <v>352</v>
      </c>
      <c r="D269" s="41">
        <v>1</v>
      </c>
      <c r="E269" s="42">
        <v>2</v>
      </c>
      <c r="F269" s="42" t="s">
        <v>300</v>
      </c>
      <c r="G269" s="43" t="s">
        <v>154</v>
      </c>
      <c r="H269" s="42" t="s">
        <v>160</v>
      </c>
      <c r="I269" s="43">
        <v>2</v>
      </c>
      <c r="J269" s="43">
        <v>2</v>
      </c>
      <c r="K269" s="25" t="str">
        <f>VLOOKUP(J269,Key!$E$2:$F$9,2,FALSE)</f>
        <v>Work</v>
      </c>
      <c r="L269" s="42" t="s">
        <v>353</v>
      </c>
      <c r="M269" s="43" t="s">
        <v>209</v>
      </c>
      <c r="N269" s="42" t="s">
        <v>160</v>
      </c>
      <c r="O269" s="43">
        <v>1</v>
      </c>
      <c r="P269" s="43">
        <v>1</v>
      </c>
      <c r="Q269" s="25" t="str">
        <f>VLOOKUP(P269,Key!$E$2:$F$9,2,FALSE)</f>
        <v>Home</v>
      </c>
      <c r="R269" s="25" t="str">
        <f t="shared" si="4"/>
        <v>Work-Home</v>
      </c>
      <c r="S269" s="47"/>
      <c r="T269" s="47">
        <v>0.5</v>
      </c>
      <c r="U269" s="43">
        <v>2</v>
      </c>
      <c r="V269" s="43"/>
      <c r="W269" s="47"/>
      <c r="X269" s="47"/>
      <c r="Y269" s="48" t="s">
        <v>218</v>
      </c>
      <c r="Z269" s="49"/>
      <c r="AA269" s="25">
        <f>VLOOKUP(F269,Zones!$A$2:$F$151534,6,FALSE)</f>
        <v>369</v>
      </c>
      <c r="AB269" s="25">
        <f>VLOOKUP(L269,Zones!$A$2:$F$151477,6,FALSE)</f>
        <v>149</v>
      </c>
    </row>
    <row r="270" spans="2:28">
      <c r="B270" s="40">
        <v>0.71736111111111101</v>
      </c>
      <c r="C270" s="40" t="s">
        <v>303</v>
      </c>
      <c r="D270" s="41">
        <v>4</v>
      </c>
      <c r="E270" s="42">
        <v>14</v>
      </c>
      <c r="F270" s="42" t="s">
        <v>331</v>
      </c>
      <c r="G270" s="43" t="s">
        <v>154</v>
      </c>
      <c r="H270" s="42" t="s">
        <v>160</v>
      </c>
      <c r="I270" s="43">
        <v>6</v>
      </c>
      <c r="J270" s="43">
        <v>2</v>
      </c>
      <c r="K270" s="25" t="str">
        <f>VLOOKUP(J270,Key!$E$2:$F$9,2,FALSE)</f>
        <v>Work</v>
      </c>
      <c r="L270" s="42" t="s">
        <v>154</v>
      </c>
      <c r="M270" s="43" t="s">
        <v>154</v>
      </c>
      <c r="N270" s="42" t="s">
        <v>160</v>
      </c>
      <c r="O270" s="43">
        <v>6</v>
      </c>
      <c r="P270" s="43">
        <v>2</v>
      </c>
      <c r="Q270" s="25" t="str">
        <f>VLOOKUP(P270,Key!$E$2:$F$9,2,FALSE)</f>
        <v>Work</v>
      </c>
      <c r="R270" s="25" t="str">
        <f t="shared" si="4"/>
        <v>Work-Work</v>
      </c>
      <c r="S270" s="47">
        <v>12</v>
      </c>
      <c r="T270" s="47">
        <v>2</v>
      </c>
      <c r="U270" s="43">
        <v>2</v>
      </c>
      <c r="V270" s="43"/>
      <c r="W270" s="47"/>
      <c r="X270" s="47"/>
      <c r="Y270" s="48" t="s">
        <v>162</v>
      </c>
      <c r="Z270" s="49"/>
      <c r="AA270" s="25">
        <f>VLOOKUP(F270,Zones!$A$2:$F$151534,6,FALSE)</f>
        <v>374</v>
      </c>
      <c r="AB270" s="25">
        <f>VLOOKUP(L270,Zones!$A$2:$F$151477,6,FALSE)</f>
        <v>365</v>
      </c>
    </row>
    <row r="271" spans="2:28">
      <c r="B271" s="40">
        <v>0.71388888888888891</v>
      </c>
      <c r="C271" s="40" t="s">
        <v>354</v>
      </c>
      <c r="D271" s="41">
        <v>2</v>
      </c>
      <c r="E271" s="42">
        <v>3</v>
      </c>
      <c r="F271" s="42" t="s">
        <v>259</v>
      </c>
      <c r="G271" s="43" t="s">
        <v>154</v>
      </c>
      <c r="H271" s="42" t="s">
        <v>160</v>
      </c>
      <c r="I271" s="43">
        <v>1</v>
      </c>
      <c r="J271" s="43">
        <v>1</v>
      </c>
      <c r="K271" s="25" t="str">
        <f>VLOOKUP(J271,Key!$E$2:$F$9,2,FALSE)</f>
        <v>Home</v>
      </c>
      <c r="L271" s="42" t="s">
        <v>154</v>
      </c>
      <c r="M271" s="43" t="s">
        <v>154</v>
      </c>
      <c r="N271" s="42" t="s">
        <v>160</v>
      </c>
      <c r="O271" s="43">
        <v>2</v>
      </c>
      <c r="P271" s="43">
        <v>2</v>
      </c>
      <c r="Q271" s="25" t="str">
        <f>VLOOKUP(P271,Key!$E$2:$F$9,2,FALSE)</f>
        <v>Work</v>
      </c>
      <c r="R271" s="25" t="str">
        <f t="shared" si="4"/>
        <v>Home-Work</v>
      </c>
      <c r="S271" s="47">
        <v>15</v>
      </c>
      <c r="T271" s="47">
        <v>0.3</v>
      </c>
      <c r="U271" s="43">
        <v>2</v>
      </c>
      <c r="V271" s="43"/>
      <c r="W271" s="47"/>
      <c r="X271" s="47"/>
      <c r="Y271" s="48" t="s">
        <v>162</v>
      </c>
      <c r="Z271" s="49"/>
      <c r="AA271" s="25">
        <f>VLOOKUP(F271,Zones!$A$2:$F$151534,6,FALSE)</f>
        <v>372</v>
      </c>
      <c r="AB271" s="25">
        <f>VLOOKUP(L271,Zones!$A$2:$F$151477,6,FALSE)</f>
        <v>365</v>
      </c>
    </row>
    <row r="272" spans="2:28">
      <c r="B272" s="40">
        <v>0.7055555555555556</v>
      </c>
      <c r="C272" s="40" t="s">
        <v>355</v>
      </c>
      <c r="D272" s="41">
        <v>3</v>
      </c>
      <c r="E272" s="42">
        <v>3</v>
      </c>
      <c r="F272" s="59" t="s">
        <v>943</v>
      </c>
      <c r="G272" s="43" t="s">
        <v>154</v>
      </c>
      <c r="H272" s="42" t="s">
        <v>160</v>
      </c>
      <c r="I272" s="43">
        <v>2</v>
      </c>
      <c r="J272" s="43">
        <v>2</v>
      </c>
      <c r="K272" s="25" t="str">
        <f>VLOOKUP(J272,Key!$E$2:$F$9,2,FALSE)</f>
        <v>Work</v>
      </c>
      <c r="L272" s="42" t="s">
        <v>154</v>
      </c>
      <c r="M272" s="43" t="s">
        <v>154</v>
      </c>
      <c r="N272" s="42" t="s">
        <v>160</v>
      </c>
      <c r="O272" s="43">
        <v>2</v>
      </c>
      <c r="P272" s="43">
        <v>2</v>
      </c>
      <c r="Q272" s="25" t="str">
        <f>VLOOKUP(P272,Key!$E$2:$F$9,2,FALSE)</f>
        <v>Work</v>
      </c>
      <c r="R272" s="25" t="str">
        <f t="shared" si="4"/>
        <v>Work-Work</v>
      </c>
      <c r="S272" s="47"/>
      <c r="T272" s="47">
        <v>0.3</v>
      </c>
      <c r="U272" s="43">
        <v>2</v>
      </c>
      <c r="V272" s="43"/>
      <c r="W272" s="47"/>
      <c r="X272" s="47"/>
      <c r="Y272" s="48" t="s">
        <v>218</v>
      </c>
      <c r="Z272" s="49"/>
      <c r="AA272" s="25">
        <f>VLOOKUP(F272,Zones!$A$2:$F$151534,6,FALSE)</f>
        <v>373</v>
      </c>
      <c r="AB272" s="25">
        <f>VLOOKUP(L272,Zones!$A$2:$F$151477,6,FALSE)</f>
        <v>365</v>
      </c>
    </row>
    <row r="273" spans="2:28">
      <c r="B273" s="40">
        <v>0.68819444444444444</v>
      </c>
      <c r="C273" s="40" t="s">
        <v>356</v>
      </c>
      <c r="D273" s="41">
        <v>1</v>
      </c>
      <c r="E273" s="42">
        <v>2</v>
      </c>
      <c r="F273" s="59" t="s">
        <v>261</v>
      </c>
      <c r="G273" s="43"/>
      <c r="H273" s="42" t="s">
        <v>160</v>
      </c>
      <c r="I273" s="43">
        <v>1</v>
      </c>
      <c r="J273" s="43">
        <v>1</v>
      </c>
      <c r="K273" s="25" t="str">
        <f>VLOOKUP(J273,Key!$E$2:$F$9,2,FALSE)</f>
        <v>Home</v>
      </c>
      <c r="L273" s="42" t="s">
        <v>154</v>
      </c>
      <c r="M273" s="43" t="s">
        <v>154</v>
      </c>
      <c r="N273" s="42" t="s">
        <v>160</v>
      </c>
      <c r="O273" s="43">
        <v>7</v>
      </c>
      <c r="P273" s="43">
        <v>4</v>
      </c>
      <c r="Q273" s="25" t="str">
        <f>VLOOKUP(P273,Key!$E$2:$F$9,2,FALSE)</f>
        <v>Commercial</v>
      </c>
      <c r="R273" s="25" t="str">
        <f t="shared" si="4"/>
        <v>Home-Commercial</v>
      </c>
      <c r="S273" s="47">
        <v>30</v>
      </c>
      <c r="T273" s="47">
        <v>2</v>
      </c>
      <c r="U273" s="43">
        <v>3</v>
      </c>
      <c r="V273" s="43"/>
      <c r="W273" s="47"/>
      <c r="X273" s="47"/>
      <c r="Y273" s="48" t="s">
        <v>162</v>
      </c>
      <c r="Z273" s="49"/>
      <c r="AA273" s="25">
        <f>VLOOKUP(F273,Zones!$A$2:$F$151534,6,FALSE)</f>
        <v>348</v>
      </c>
      <c r="AB273" s="25">
        <f>VLOOKUP(L273,Zones!$A$2:$F$151477,6,FALSE)</f>
        <v>365</v>
      </c>
    </row>
    <row r="274" spans="2:28">
      <c r="B274" s="40">
        <v>0.67708333333333337</v>
      </c>
      <c r="C274" s="40" t="s">
        <v>357</v>
      </c>
      <c r="D274" s="41">
        <v>8</v>
      </c>
      <c r="E274" s="42">
        <v>4</v>
      </c>
      <c r="F274" s="42" t="s">
        <v>220</v>
      </c>
      <c r="G274" s="43" t="s">
        <v>154</v>
      </c>
      <c r="H274" s="42" t="s">
        <v>160</v>
      </c>
      <c r="I274" s="43">
        <v>2</v>
      </c>
      <c r="J274" s="43">
        <v>2</v>
      </c>
      <c r="K274" s="25" t="str">
        <f>VLOOKUP(J274,Key!$E$2:$F$9,2,FALSE)</f>
        <v>Work</v>
      </c>
      <c r="L274" s="42" t="s">
        <v>154</v>
      </c>
      <c r="M274" s="43" t="s">
        <v>154</v>
      </c>
      <c r="N274" s="42" t="s">
        <v>160</v>
      </c>
      <c r="O274" s="43">
        <v>2</v>
      </c>
      <c r="P274" s="43">
        <v>2</v>
      </c>
      <c r="Q274" s="25" t="str">
        <f>VLOOKUP(P274,Key!$E$2:$F$9,2,FALSE)</f>
        <v>Work</v>
      </c>
      <c r="R274" s="25" t="str">
        <f t="shared" si="4"/>
        <v>Work-Work</v>
      </c>
      <c r="S274" s="47"/>
      <c r="T274" s="47">
        <v>0.5</v>
      </c>
      <c r="U274" s="43">
        <v>2</v>
      </c>
      <c r="V274" s="43">
        <v>11</v>
      </c>
      <c r="W274" s="47"/>
      <c r="X274" s="47"/>
      <c r="Y274" s="48" t="s">
        <v>162</v>
      </c>
      <c r="Z274" s="49"/>
      <c r="AA274" s="25">
        <f>VLOOKUP(F274,Zones!$A$2:$F$151534,6,FALSE)</f>
        <v>369</v>
      </c>
      <c r="AB274" s="25">
        <f>VLOOKUP(L274,Zones!$A$2:$F$151477,6,FALSE)</f>
        <v>365</v>
      </c>
    </row>
    <row r="275" spans="2:28">
      <c r="B275" s="40">
        <v>0.6645833333333333</v>
      </c>
      <c r="C275" s="40" t="s">
        <v>358</v>
      </c>
      <c r="D275" s="41">
        <v>7</v>
      </c>
      <c r="E275" s="42">
        <v>2</v>
      </c>
      <c r="F275" s="42" t="s">
        <v>252</v>
      </c>
      <c r="G275" s="43" t="s">
        <v>155</v>
      </c>
      <c r="H275" s="42" t="s">
        <v>160</v>
      </c>
      <c r="I275" s="43">
        <v>9</v>
      </c>
      <c r="J275" s="43">
        <v>8</v>
      </c>
      <c r="K275" s="25" t="str">
        <f>VLOOKUP(J275,Key!$E$2:$F$9,2,FALSE)</f>
        <v>Others</v>
      </c>
      <c r="L275" s="42" t="s">
        <v>164</v>
      </c>
      <c r="M275" s="43" t="s">
        <v>164</v>
      </c>
      <c r="N275" s="42" t="s">
        <v>160</v>
      </c>
      <c r="O275" s="43">
        <v>16</v>
      </c>
      <c r="P275" s="43">
        <v>8</v>
      </c>
      <c r="Q275" s="25" t="str">
        <f>VLOOKUP(P275,Key!$E$2:$F$9,2,FALSE)</f>
        <v>Others</v>
      </c>
      <c r="R275" s="25" t="str">
        <f t="shared" si="4"/>
        <v>Others-Others</v>
      </c>
      <c r="S275" s="47">
        <v>20</v>
      </c>
      <c r="T275" s="47">
        <v>1</v>
      </c>
      <c r="U275" s="43"/>
      <c r="V275" s="43">
        <v>9</v>
      </c>
      <c r="W275" s="47"/>
      <c r="X275" s="47"/>
      <c r="Y275" s="48" t="s">
        <v>162</v>
      </c>
      <c r="Z275" s="49"/>
      <c r="AA275" s="25">
        <f>VLOOKUP(F275,Zones!$A$2:$F$151534,6,FALSE)</f>
        <v>373</v>
      </c>
      <c r="AB275" s="25">
        <f>VLOOKUP(L275,Zones!$A$2:$F$151477,6,FALSE)</f>
        <v>403</v>
      </c>
    </row>
    <row r="276" spans="2:28">
      <c r="B276" s="40">
        <v>0.6166666666666667</v>
      </c>
      <c r="C276" s="40" t="s">
        <v>359</v>
      </c>
      <c r="D276" s="41">
        <v>1</v>
      </c>
      <c r="E276" s="42">
        <v>1</v>
      </c>
      <c r="F276" s="42" t="s">
        <v>155</v>
      </c>
      <c r="G276" s="43" t="s">
        <v>155</v>
      </c>
      <c r="H276" s="42" t="s">
        <v>160</v>
      </c>
      <c r="I276" s="43">
        <v>1</v>
      </c>
      <c r="J276" s="43">
        <v>1</v>
      </c>
      <c r="K276" s="25" t="str">
        <f>VLOOKUP(J276,Key!$E$2:$F$9,2,FALSE)</f>
        <v>Home</v>
      </c>
      <c r="L276" s="42" t="s">
        <v>247</v>
      </c>
      <c r="M276" s="43" t="s">
        <v>209</v>
      </c>
      <c r="N276" s="42" t="s">
        <v>160</v>
      </c>
      <c r="O276" s="43">
        <v>9</v>
      </c>
      <c r="P276" s="43">
        <v>8</v>
      </c>
      <c r="Q276" s="25" t="str">
        <f>VLOOKUP(P276,Key!$E$2:$F$9,2,FALSE)</f>
        <v>Others</v>
      </c>
      <c r="R276" s="25" t="str">
        <f t="shared" si="4"/>
        <v>Home-Others</v>
      </c>
      <c r="S276" s="47">
        <v>7</v>
      </c>
      <c r="T276" s="47">
        <v>1.5</v>
      </c>
      <c r="U276" s="43">
        <v>6</v>
      </c>
      <c r="V276" s="43"/>
      <c r="W276" s="47"/>
      <c r="X276" s="47"/>
      <c r="Y276" s="48" t="s">
        <v>162</v>
      </c>
      <c r="Z276" s="49"/>
      <c r="AA276" s="25">
        <f>VLOOKUP(F276,Zones!$A$2:$F$151534,6,FALSE)</f>
        <v>498</v>
      </c>
      <c r="AB276" s="25">
        <f>VLOOKUP(L276,Zones!$A$2:$F$151477,6,FALSE)</f>
        <v>369</v>
      </c>
    </row>
    <row r="277" spans="2:28">
      <c r="B277" s="40">
        <v>0.64513888888888882</v>
      </c>
      <c r="C277" s="40" t="s">
        <v>360</v>
      </c>
      <c r="D277" s="41">
        <v>4</v>
      </c>
      <c r="E277" s="42">
        <v>14</v>
      </c>
      <c r="F277" s="42" t="s">
        <v>331</v>
      </c>
      <c r="G277" s="43" t="s">
        <v>154</v>
      </c>
      <c r="H277" s="42" t="s">
        <v>160</v>
      </c>
      <c r="I277" s="43">
        <v>6</v>
      </c>
      <c r="J277" s="43">
        <v>2</v>
      </c>
      <c r="K277" s="25" t="str">
        <f>VLOOKUP(J277,Key!$E$2:$F$9,2,FALSE)</f>
        <v>Work</v>
      </c>
      <c r="L277" s="42" t="s">
        <v>154</v>
      </c>
      <c r="M277" s="43" t="s">
        <v>154</v>
      </c>
      <c r="N277" s="42" t="s">
        <v>160</v>
      </c>
      <c r="O277" s="43">
        <v>6</v>
      </c>
      <c r="P277" s="43">
        <v>2</v>
      </c>
      <c r="Q277" s="25" t="str">
        <f>VLOOKUP(P277,Key!$E$2:$F$9,2,FALSE)</f>
        <v>Work</v>
      </c>
      <c r="R277" s="25" t="str">
        <f t="shared" si="4"/>
        <v>Work-Work</v>
      </c>
      <c r="S277" s="47">
        <v>12</v>
      </c>
      <c r="T277" s="47">
        <v>2</v>
      </c>
      <c r="U277" s="43">
        <v>2</v>
      </c>
      <c r="V277" s="43"/>
      <c r="W277" s="47"/>
      <c r="X277" s="47"/>
      <c r="Y277" s="48" t="s">
        <v>218</v>
      </c>
      <c r="Z277" s="49"/>
      <c r="AA277" s="25">
        <f>VLOOKUP(F277,Zones!$A$2:$F$151534,6,FALSE)</f>
        <v>374</v>
      </c>
      <c r="AB277" s="25">
        <f>VLOOKUP(L277,Zones!$A$2:$F$151477,6,FALSE)</f>
        <v>365</v>
      </c>
    </row>
    <row r="278" spans="2:28">
      <c r="B278" s="40">
        <v>0.13541666666666666</v>
      </c>
      <c r="C278" s="40" t="s">
        <v>361</v>
      </c>
      <c r="D278" s="41">
        <v>1</v>
      </c>
      <c r="E278" s="42">
        <v>2</v>
      </c>
      <c r="F278" s="42" t="s">
        <v>259</v>
      </c>
      <c r="G278" s="43" t="s">
        <v>154</v>
      </c>
      <c r="H278" s="42" t="s">
        <v>160</v>
      </c>
      <c r="I278" s="43">
        <v>1</v>
      </c>
      <c r="J278" s="43">
        <v>1</v>
      </c>
      <c r="K278" s="25" t="str">
        <f>VLOOKUP(J278,Key!$E$2:$F$9,2,FALSE)</f>
        <v>Home</v>
      </c>
      <c r="L278" s="42" t="s">
        <v>154</v>
      </c>
      <c r="M278" s="43" t="s">
        <v>154</v>
      </c>
      <c r="N278" s="42" t="s">
        <v>160</v>
      </c>
      <c r="O278" s="43">
        <v>2</v>
      </c>
      <c r="P278" s="43">
        <v>2</v>
      </c>
      <c r="Q278" s="25" t="str">
        <f>VLOOKUP(P278,Key!$E$2:$F$9,2,FALSE)</f>
        <v>Work</v>
      </c>
      <c r="R278" s="25" t="str">
        <f t="shared" si="4"/>
        <v>Home-Work</v>
      </c>
      <c r="S278" s="47">
        <v>15</v>
      </c>
      <c r="T278" s="47">
        <v>0.3</v>
      </c>
      <c r="U278" s="43">
        <v>2</v>
      </c>
      <c r="V278" s="43"/>
      <c r="W278" s="47"/>
      <c r="X278" s="47"/>
      <c r="Y278" s="48" t="s">
        <v>218</v>
      </c>
      <c r="Z278" s="49"/>
      <c r="AA278" s="25">
        <f>VLOOKUP(F278,Zones!$A$2:$F$151534,6,FALSE)</f>
        <v>372</v>
      </c>
      <c r="AB278" s="25">
        <f>VLOOKUP(L278,Zones!$A$2:$F$151477,6,FALSE)</f>
        <v>365</v>
      </c>
    </row>
    <row r="279" spans="2:28">
      <c r="B279" s="40">
        <v>0.54513888888888895</v>
      </c>
      <c r="C279" s="40" t="s">
        <v>362</v>
      </c>
      <c r="D279" s="41">
        <v>8</v>
      </c>
      <c r="E279" s="42">
        <v>1</v>
      </c>
      <c r="F279" s="42" t="s">
        <v>155</v>
      </c>
      <c r="G279" s="43" t="s">
        <v>155</v>
      </c>
      <c r="H279" s="42" t="s">
        <v>160</v>
      </c>
      <c r="I279" s="43">
        <v>2</v>
      </c>
      <c r="J279" s="43">
        <v>2</v>
      </c>
      <c r="K279" s="25" t="str">
        <f>VLOOKUP(J279,Key!$E$2:$F$9,2,FALSE)</f>
        <v>Work</v>
      </c>
      <c r="L279" s="42" t="s">
        <v>154</v>
      </c>
      <c r="M279" s="43" t="s">
        <v>154</v>
      </c>
      <c r="N279" s="42" t="s">
        <v>160</v>
      </c>
      <c r="O279" s="43">
        <v>16</v>
      </c>
      <c r="P279" s="43">
        <v>8</v>
      </c>
      <c r="Q279" s="25" t="str">
        <f>VLOOKUP(P279,Key!$E$2:$F$9,2,FALSE)</f>
        <v>Others</v>
      </c>
      <c r="R279" s="25" t="str">
        <f t="shared" si="4"/>
        <v>Work-Others</v>
      </c>
      <c r="S279" s="47">
        <v>35</v>
      </c>
      <c r="T279" s="47">
        <v>2</v>
      </c>
      <c r="U279" s="43">
        <v>5</v>
      </c>
      <c r="V279" s="43">
        <v>11</v>
      </c>
      <c r="W279" s="47"/>
      <c r="X279" s="47"/>
      <c r="Y279" s="48" t="s">
        <v>218</v>
      </c>
      <c r="Z279" s="49"/>
      <c r="AA279" s="25">
        <f>VLOOKUP(F279,Zones!$A$2:$F$151534,6,FALSE)</f>
        <v>498</v>
      </c>
      <c r="AB279" s="25">
        <f>VLOOKUP(L279,Zones!$A$2:$F$151477,6,FALSE)</f>
        <v>365</v>
      </c>
    </row>
    <row r="280" spans="2:28">
      <c r="B280" s="40">
        <v>0.5625</v>
      </c>
      <c r="C280" s="40" t="s">
        <v>363</v>
      </c>
      <c r="D280" s="41">
        <v>9</v>
      </c>
      <c r="E280" s="42">
        <v>3</v>
      </c>
      <c r="F280" s="42" t="s">
        <v>155</v>
      </c>
      <c r="G280" s="43" t="s">
        <v>155</v>
      </c>
      <c r="H280" s="42" t="s">
        <v>160</v>
      </c>
      <c r="I280" s="43">
        <v>16</v>
      </c>
      <c r="J280" s="43">
        <v>8</v>
      </c>
      <c r="K280" s="25" t="str">
        <f>VLOOKUP(J280,Key!$E$2:$F$9,2,FALSE)</f>
        <v>Others</v>
      </c>
      <c r="L280" s="42" t="s">
        <v>164</v>
      </c>
      <c r="M280" s="43" t="s">
        <v>164</v>
      </c>
      <c r="N280" s="42" t="s">
        <v>160</v>
      </c>
      <c r="O280" s="43">
        <v>16</v>
      </c>
      <c r="P280" s="43">
        <v>8</v>
      </c>
      <c r="Q280" s="25" t="str">
        <f>VLOOKUP(P280,Key!$E$2:$F$9,2,FALSE)</f>
        <v>Others</v>
      </c>
      <c r="R280" s="25" t="str">
        <f t="shared" si="4"/>
        <v>Others-Others</v>
      </c>
      <c r="S280" s="47">
        <v>35</v>
      </c>
      <c r="T280" s="47">
        <v>2</v>
      </c>
      <c r="U280" s="43">
        <v>6</v>
      </c>
      <c r="V280" s="43"/>
      <c r="W280" s="47"/>
      <c r="X280" s="47"/>
      <c r="Y280" s="48" t="s">
        <v>162</v>
      </c>
      <c r="Z280" s="49"/>
      <c r="AA280" s="25">
        <f>VLOOKUP(F280,Zones!$A$2:$F$151534,6,FALSE)</f>
        <v>498</v>
      </c>
      <c r="AB280" s="25">
        <f>VLOOKUP(L280,Zones!$A$2:$F$151477,6,FALSE)</f>
        <v>403</v>
      </c>
    </row>
    <row r="281" spans="2:28">
      <c r="B281" s="40">
        <v>0.52430555555555558</v>
      </c>
      <c r="C281" s="40" t="s">
        <v>364</v>
      </c>
      <c r="D281" s="41">
        <v>4</v>
      </c>
      <c r="E281" s="42">
        <v>14</v>
      </c>
      <c r="F281" s="42" t="s">
        <v>155</v>
      </c>
      <c r="G281" s="43" t="s">
        <v>155</v>
      </c>
      <c r="H281" s="42" t="s">
        <v>160</v>
      </c>
      <c r="I281" s="43">
        <v>16</v>
      </c>
      <c r="J281" s="43">
        <v>8</v>
      </c>
      <c r="K281" s="25" t="str">
        <f>VLOOKUP(J281,Key!$E$2:$F$9,2,FALSE)</f>
        <v>Others</v>
      </c>
      <c r="L281" s="42" t="s">
        <v>154</v>
      </c>
      <c r="M281" s="43" t="s">
        <v>154</v>
      </c>
      <c r="N281" s="42" t="s">
        <v>160</v>
      </c>
      <c r="O281" s="43">
        <v>16</v>
      </c>
      <c r="P281" s="43">
        <v>8</v>
      </c>
      <c r="Q281" s="25" t="str">
        <f>VLOOKUP(P281,Key!$E$2:$F$9,2,FALSE)</f>
        <v>Others</v>
      </c>
      <c r="R281" s="25" t="str">
        <f t="shared" si="4"/>
        <v>Others-Others</v>
      </c>
      <c r="S281" s="47">
        <v>35</v>
      </c>
      <c r="T281" s="47">
        <v>0.7</v>
      </c>
      <c r="U281" s="43">
        <v>2</v>
      </c>
      <c r="V281" s="43"/>
      <c r="W281" s="47"/>
      <c r="X281" s="47"/>
      <c r="Y281" s="48" t="s">
        <v>218</v>
      </c>
      <c r="Z281" s="49"/>
      <c r="AA281" s="25">
        <f>VLOOKUP(F281,Zones!$A$2:$F$151534,6,FALSE)</f>
        <v>498</v>
      </c>
      <c r="AB281" s="25">
        <f>VLOOKUP(L281,Zones!$A$2:$F$151477,6,FALSE)</f>
        <v>365</v>
      </c>
    </row>
    <row r="282" spans="2:28">
      <c r="B282" s="40">
        <v>0.50555555555555554</v>
      </c>
      <c r="C282" s="40" t="s">
        <v>365</v>
      </c>
      <c r="D282" s="41">
        <v>4</v>
      </c>
      <c r="E282" s="42">
        <v>14</v>
      </c>
      <c r="F282" s="42" t="s">
        <v>155</v>
      </c>
      <c r="G282" s="43" t="s">
        <v>155</v>
      </c>
      <c r="H282" s="42" t="s">
        <v>160</v>
      </c>
      <c r="I282" s="43">
        <v>2</v>
      </c>
      <c r="J282" s="43">
        <v>2</v>
      </c>
      <c r="K282" s="25" t="str">
        <f>VLOOKUP(J282,Key!$E$2:$F$9,2,FALSE)</f>
        <v>Work</v>
      </c>
      <c r="L282" s="42" t="s">
        <v>154</v>
      </c>
      <c r="M282" s="43" t="s">
        <v>154</v>
      </c>
      <c r="N282" s="42" t="s">
        <v>160</v>
      </c>
      <c r="O282" s="43">
        <v>2</v>
      </c>
      <c r="P282" s="43">
        <v>2</v>
      </c>
      <c r="Q282" s="25" t="str">
        <f>VLOOKUP(P282,Key!$E$2:$F$9,2,FALSE)</f>
        <v>Work</v>
      </c>
      <c r="R282" s="25" t="str">
        <f t="shared" si="4"/>
        <v>Work-Work</v>
      </c>
      <c r="S282" s="47">
        <v>35</v>
      </c>
      <c r="T282" s="47">
        <v>1</v>
      </c>
      <c r="U282" s="43">
        <v>2</v>
      </c>
      <c r="V282" s="43"/>
      <c r="W282" s="47"/>
      <c r="X282" s="47"/>
      <c r="Y282" s="48" t="s">
        <v>218</v>
      </c>
      <c r="Z282" s="49"/>
      <c r="AA282" s="25">
        <f>VLOOKUP(F282,Zones!$A$2:$F$151534,6,FALSE)</f>
        <v>498</v>
      </c>
      <c r="AB282" s="25">
        <f>VLOOKUP(L282,Zones!$A$2:$F$151477,6,FALSE)</f>
        <v>365</v>
      </c>
    </row>
    <row r="283" spans="2:28">
      <c r="B283" s="40">
        <v>0.74861111111111101</v>
      </c>
      <c r="C283" s="40" t="s">
        <v>366</v>
      </c>
      <c r="D283" s="41">
        <v>1</v>
      </c>
      <c r="E283" s="42">
        <v>2</v>
      </c>
      <c r="F283" s="59" t="s">
        <v>2469</v>
      </c>
      <c r="G283" s="43" t="s">
        <v>155</v>
      </c>
      <c r="H283" s="42" t="s">
        <v>160</v>
      </c>
      <c r="I283" s="43">
        <v>1</v>
      </c>
      <c r="J283" s="43">
        <v>1</v>
      </c>
      <c r="K283" s="25" t="str">
        <f>VLOOKUP(J283,Key!$E$2:$F$9,2,FALSE)</f>
        <v>Home</v>
      </c>
      <c r="L283" s="42" t="s">
        <v>154</v>
      </c>
      <c r="M283" s="43" t="s">
        <v>154</v>
      </c>
      <c r="N283" s="42" t="s">
        <v>160</v>
      </c>
      <c r="O283" s="43">
        <v>1</v>
      </c>
      <c r="P283" s="43">
        <v>1</v>
      </c>
      <c r="Q283" s="25" t="str">
        <f>VLOOKUP(P283,Key!$E$2:$F$9,2,FALSE)</f>
        <v>Home</v>
      </c>
      <c r="R283" s="25" t="str">
        <f t="shared" si="4"/>
        <v>Home-Home</v>
      </c>
      <c r="S283" s="47">
        <v>27</v>
      </c>
      <c r="T283" s="47">
        <v>2</v>
      </c>
      <c r="U283" s="43"/>
      <c r="V283" s="43"/>
      <c r="W283" s="47"/>
      <c r="X283" s="47"/>
      <c r="Y283" s="48" t="s">
        <v>218</v>
      </c>
      <c r="Z283" s="49"/>
      <c r="AA283" s="25">
        <f>VLOOKUP(F283,Zones!$A$2:$F$151534,6,FALSE)</f>
        <v>1408</v>
      </c>
      <c r="AB283" s="25">
        <f>VLOOKUP(L283,Zones!$A$2:$F$151477,6,FALSE)</f>
        <v>365</v>
      </c>
    </row>
    <row r="284" spans="2:28">
      <c r="B284" s="40">
        <v>0.72986111111111107</v>
      </c>
      <c r="C284" s="40" t="s">
        <v>367</v>
      </c>
      <c r="D284" s="41">
        <v>4</v>
      </c>
      <c r="E284" s="42">
        <v>14</v>
      </c>
      <c r="F284" s="42" t="s">
        <v>331</v>
      </c>
      <c r="G284" s="43" t="s">
        <v>154</v>
      </c>
      <c r="H284" s="42" t="s">
        <v>160</v>
      </c>
      <c r="I284" s="43">
        <v>2</v>
      </c>
      <c r="J284" s="43">
        <v>2</v>
      </c>
      <c r="K284" s="25" t="str">
        <f>VLOOKUP(J284,Key!$E$2:$F$9,2,FALSE)</f>
        <v>Work</v>
      </c>
      <c r="L284" s="42" t="s">
        <v>154</v>
      </c>
      <c r="M284" s="43" t="s">
        <v>154</v>
      </c>
      <c r="N284" s="42" t="s">
        <v>160</v>
      </c>
      <c r="O284" s="43">
        <v>16</v>
      </c>
      <c r="P284" s="43">
        <v>8</v>
      </c>
      <c r="Q284" s="25" t="str">
        <f>VLOOKUP(P284,Key!$E$2:$F$9,2,FALSE)</f>
        <v>Others</v>
      </c>
      <c r="R284" s="25" t="str">
        <f t="shared" si="4"/>
        <v>Work-Others</v>
      </c>
      <c r="S284" s="47">
        <v>12</v>
      </c>
      <c r="T284" s="47">
        <v>0.3</v>
      </c>
      <c r="U284" s="43">
        <v>4</v>
      </c>
      <c r="V284" s="43"/>
      <c r="W284" s="47"/>
      <c r="X284" s="47"/>
      <c r="Y284" s="48" t="s">
        <v>162</v>
      </c>
      <c r="Z284" s="49"/>
      <c r="AA284" s="25">
        <f>VLOOKUP(F284,Zones!$A$2:$F$151534,6,FALSE)</f>
        <v>374</v>
      </c>
      <c r="AB284" s="25">
        <f>VLOOKUP(L284,Zones!$A$2:$F$151477,6,FALSE)</f>
        <v>365</v>
      </c>
    </row>
    <row r="285" spans="2:28">
      <c r="B285" s="40">
        <v>0.71875</v>
      </c>
      <c r="C285" s="40" t="s">
        <v>368</v>
      </c>
      <c r="D285" s="41">
        <v>1</v>
      </c>
      <c r="E285" s="42">
        <v>2</v>
      </c>
      <c r="F285" s="42" t="s">
        <v>302</v>
      </c>
      <c r="G285" s="43" t="s">
        <v>155</v>
      </c>
      <c r="H285" s="42" t="s">
        <v>160</v>
      </c>
      <c r="I285" s="43">
        <v>2</v>
      </c>
      <c r="J285" s="43">
        <v>2</v>
      </c>
      <c r="K285" s="25" t="str">
        <f>VLOOKUP(J285,Key!$E$2:$F$9,2,FALSE)</f>
        <v>Work</v>
      </c>
      <c r="L285" s="42" t="s">
        <v>154</v>
      </c>
      <c r="M285" s="43" t="s">
        <v>154</v>
      </c>
      <c r="N285" s="42" t="s">
        <v>160</v>
      </c>
      <c r="O285" s="43">
        <v>5</v>
      </c>
      <c r="P285" s="43">
        <v>7</v>
      </c>
      <c r="Q285" s="25" t="str">
        <f>VLOOKUP(P285,Key!$E$2:$F$9,2,FALSE)</f>
        <v>Hospital</v>
      </c>
      <c r="R285" s="25" t="str">
        <f t="shared" si="4"/>
        <v>Work-Hospital</v>
      </c>
      <c r="S285" s="47"/>
      <c r="T285" s="47">
        <v>0.8</v>
      </c>
      <c r="U285" s="43">
        <v>2</v>
      </c>
      <c r="V285" s="43"/>
      <c r="W285" s="47"/>
      <c r="X285" s="47"/>
      <c r="Y285" s="48" t="s">
        <v>162</v>
      </c>
      <c r="Z285" s="49"/>
      <c r="AA285" s="25">
        <f>VLOOKUP(F285,Zones!$A$2:$F$151534,6,FALSE)</f>
        <v>372</v>
      </c>
      <c r="AB285" s="25">
        <f>VLOOKUP(L285,Zones!$A$2:$F$151477,6,FALSE)</f>
        <v>365</v>
      </c>
    </row>
    <row r="286" spans="2:28">
      <c r="B286" s="40">
        <v>0.44791666666666669</v>
      </c>
      <c r="C286" s="40" t="s">
        <v>369</v>
      </c>
      <c r="D286" s="41">
        <v>2</v>
      </c>
      <c r="E286" s="42">
        <v>4</v>
      </c>
      <c r="F286" s="42" t="s">
        <v>155</v>
      </c>
      <c r="G286" s="43" t="s">
        <v>155</v>
      </c>
      <c r="H286" s="42" t="s">
        <v>160</v>
      </c>
      <c r="I286" s="43">
        <v>1</v>
      </c>
      <c r="J286" s="43">
        <v>1</v>
      </c>
      <c r="K286" s="25" t="str">
        <f>VLOOKUP(J286,Key!$E$2:$F$9,2,FALSE)</f>
        <v>Home</v>
      </c>
      <c r="L286" s="42" t="s">
        <v>154</v>
      </c>
      <c r="M286" s="43" t="s">
        <v>154</v>
      </c>
      <c r="N286" s="42" t="s">
        <v>160</v>
      </c>
      <c r="O286" s="43">
        <v>16</v>
      </c>
      <c r="P286" s="43">
        <v>8</v>
      </c>
      <c r="Q286" s="25" t="str">
        <f>VLOOKUP(P286,Key!$E$2:$F$9,2,FALSE)</f>
        <v>Others</v>
      </c>
      <c r="R286" s="25" t="str">
        <f t="shared" si="4"/>
        <v>Home-Others</v>
      </c>
      <c r="S286" s="47">
        <v>15</v>
      </c>
      <c r="T286" s="47"/>
      <c r="U286" s="43">
        <v>6</v>
      </c>
      <c r="V286" s="43"/>
      <c r="W286" s="47"/>
      <c r="X286" s="47"/>
      <c r="Y286" s="48" t="s">
        <v>218</v>
      </c>
      <c r="Z286" s="49"/>
      <c r="AA286" s="25">
        <f>VLOOKUP(F286,Zones!$A$2:$F$151534,6,FALSE)</f>
        <v>498</v>
      </c>
      <c r="AB286" s="25">
        <f>VLOOKUP(L286,Zones!$A$2:$F$151477,6,FALSE)</f>
        <v>365</v>
      </c>
    </row>
    <row r="287" spans="2:28">
      <c r="B287" s="40">
        <v>0.93055555555555547</v>
      </c>
      <c r="C287" s="40" t="s">
        <v>367</v>
      </c>
      <c r="D287" s="41">
        <v>4</v>
      </c>
      <c r="E287" s="42">
        <v>14</v>
      </c>
      <c r="F287" s="42" t="s">
        <v>155</v>
      </c>
      <c r="G287" s="43" t="s">
        <v>155</v>
      </c>
      <c r="H287" s="42" t="s">
        <v>160</v>
      </c>
      <c r="I287" s="43">
        <v>6</v>
      </c>
      <c r="J287" s="43">
        <v>2</v>
      </c>
      <c r="K287" s="25" t="str">
        <f>VLOOKUP(J287,Key!$E$2:$F$9,2,FALSE)</f>
        <v>Work</v>
      </c>
      <c r="L287" s="42" t="s">
        <v>168</v>
      </c>
      <c r="M287" s="43" t="s">
        <v>168</v>
      </c>
      <c r="N287" s="42" t="s">
        <v>160</v>
      </c>
      <c r="O287" s="43">
        <v>6</v>
      </c>
      <c r="P287" s="43">
        <v>2</v>
      </c>
      <c r="Q287" s="25" t="str">
        <f>VLOOKUP(P287,Key!$E$2:$F$9,2,FALSE)</f>
        <v>Work</v>
      </c>
      <c r="R287" s="25" t="str">
        <f t="shared" si="4"/>
        <v>Work-Work</v>
      </c>
      <c r="S287" s="47"/>
      <c r="T287" s="47">
        <v>4</v>
      </c>
      <c r="U287" s="43">
        <v>2</v>
      </c>
      <c r="V287" s="43"/>
      <c r="W287" s="47"/>
      <c r="X287" s="47"/>
      <c r="Y287" s="48" t="s">
        <v>162</v>
      </c>
      <c r="Z287" s="49"/>
      <c r="AA287" s="25">
        <f>VLOOKUP(F287,Zones!$A$2:$F$151534,6,FALSE)</f>
        <v>498</v>
      </c>
      <c r="AB287" s="25">
        <f>VLOOKUP(L287,Zones!$A$2:$F$151477,6,FALSE)</f>
        <v>521</v>
      </c>
    </row>
    <row r="288" spans="2:28">
      <c r="B288" s="40">
        <v>0.92708333333333337</v>
      </c>
      <c r="C288" s="40" t="s">
        <v>370</v>
      </c>
      <c r="D288" s="41">
        <v>1</v>
      </c>
      <c r="E288" s="42">
        <v>1</v>
      </c>
      <c r="F288" s="42" t="s">
        <v>220</v>
      </c>
      <c r="G288" s="43" t="s">
        <v>154</v>
      </c>
      <c r="H288" s="42" t="s">
        <v>160</v>
      </c>
      <c r="I288" s="43">
        <v>2</v>
      </c>
      <c r="J288" s="43">
        <v>2</v>
      </c>
      <c r="K288" s="25" t="str">
        <f>VLOOKUP(J288,Key!$E$2:$F$9,2,FALSE)</f>
        <v>Work</v>
      </c>
      <c r="L288" s="42" t="s">
        <v>154</v>
      </c>
      <c r="M288" s="43" t="s">
        <v>154</v>
      </c>
      <c r="N288" s="42" t="s">
        <v>160</v>
      </c>
      <c r="O288" s="43">
        <v>1</v>
      </c>
      <c r="P288" s="43">
        <v>1</v>
      </c>
      <c r="Q288" s="25" t="str">
        <f>VLOOKUP(P288,Key!$E$2:$F$9,2,FALSE)</f>
        <v>Home</v>
      </c>
      <c r="R288" s="25" t="str">
        <f t="shared" si="4"/>
        <v>Work-Home</v>
      </c>
      <c r="S288" s="47"/>
      <c r="T288" s="47">
        <v>0.5</v>
      </c>
      <c r="U288" s="43">
        <v>2</v>
      </c>
      <c r="V288" s="43"/>
      <c r="W288" s="47"/>
      <c r="X288" s="47"/>
      <c r="Y288" s="48" t="s">
        <v>162</v>
      </c>
      <c r="Z288" s="49"/>
      <c r="AA288" s="25">
        <f>VLOOKUP(F288,Zones!$A$2:$F$151534,6,FALSE)</f>
        <v>369</v>
      </c>
      <c r="AB288" s="25">
        <f>VLOOKUP(L288,Zones!$A$2:$F$151477,6,FALSE)</f>
        <v>365</v>
      </c>
    </row>
    <row r="289" spans="2:28">
      <c r="B289" s="40">
        <v>0.90277777777777779</v>
      </c>
      <c r="C289" s="40" t="s">
        <v>371</v>
      </c>
      <c r="D289" s="41">
        <v>1</v>
      </c>
      <c r="E289" s="42">
        <v>4</v>
      </c>
      <c r="F289" s="59" t="s">
        <v>1409</v>
      </c>
      <c r="G289" s="43" t="s">
        <v>154</v>
      </c>
      <c r="H289" s="42" t="s">
        <v>160</v>
      </c>
      <c r="I289" s="43">
        <v>2</v>
      </c>
      <c r="J289" s="43">
        <v>2</v>
      </c>
      <c r="K289" s="25" t="str">
        <f>VLOOKUP(J289,Key!$E$2:$F$9,2,FALSE)</f>
        <v>Work</v>
      </c>
      <c r="L289" s="42" t="s">
        <v>154</v>
      </c>
      <c r="M289" s="43" t="s">
        <v>154</v>
      </c>
      <c r="N289" s="42" t="s">
        <v>160</v>
      </c>
      <c r="O289" s="43">
        <v>2</v>
      </c>
      <c r="P289" s="43">
        <v>2</v>
      </c>
      <c r="Q289" s="25" t="str">
        <f>VLOOKUP(P289,Key!$E$2:$F$9,2,FALSE)</f>
        <v>Work</v>
      </c>
      <c r="R289" s="25" t="str">
        <f t="shared" si="4"/>
        <v>Work-Work</v>
      </c>
      <c r="S289" s="47"/>
      <c r="T289" s="47">
        <v>1</v>
      </c>
      <c r="U289" s="43">
        <v>2</v>
      </c>
      <c r="V289" s="43"/>
      <c r="W289" s="47"/>
      <c r="X289" s="47"/>
      <c r="Y289" s="48" t="s">
        <v>162</v>
      </c>
      <c r="Z289" s="49"/>
      <c r="AA289" s="25">
        <f>VLOOKUP(F289,Zones!$A$2:$F$151534,6,FALSE)</f>
        <v>582</v>
      </c>
      <c r="AB289" s="25">
        <f>VLOOKUP(L289,Zones!$A$2:$F$151477,6,FALSE)</f>
        <v>365</v>
      </c>
    </row>
    <row r="290" spans="2:28">
      <c r="B290" s="40">
        <v>0.88888888888888884</v>
      </c>
      <c r="C290" s="40" t="s">
        <v>373</v>
      </c>
      <c r="D290" s="41">
        <v>3</v>
      </c>
      <c r="E290" s="42">
        <v>2</v>
      </c>
      <c r="F290" s="42" t="s">
        <v>155</v>
      </c>
      <c r="G290" s="43" t="s">
        <v>155</v>
      </c>
      <c r="H290" s="42" t="s">
        <v>160</v>
      </c>
      <c r="I290" s="43">
        <v>2</v>
      </c>
      <c r="J290" s="43">
        <v>2</v>
      </c>
      <c r="K290" s="25" t="str">
        <f>VLOOKUP(J290,Key!$E$2:$F$9,2,FALSE)</f>
        <v>Work</v>
      </c>
      <c r="L290" s="42" t="s">
        <v>154</v>
      </c>
      <c r="M290" s="43" t="s">
        <v>154</v>
      </c>
      <c r="N290" s="42" t="s">
        <v>160</v>
      </c>
      <c r="O290" s="43">
        <v>1</v>
      </c>
      <c r="P290" s="43">
        <v>1</v>
      </c>
      <c r="Q290" s="25" t="str">
        <f>VLOOKUP(P290,Key!$E$2:$F$9,2,FALSE)</f>
        <v>Home</v>
      </c>
      <c r="R290" s="25" t="str">
        <f t="shared" si="4"/>
        <v>Work-Home</v>
      </c>
      <c r="S290" s="47"/>
      <c r="T290" s="47">
        <v>0.5</v>
      </c>
      <c r="U290" s="43">
        <v>2</v>
      </c>
      <c r="V290" s="43"/>
      <c r="W290" s="47"/>
      <c r="X290" s="47"/>
      <c r="Y290" s="48" t="s">
        <v>162</v>
      </c>
      <c r="Z290" s="49"/>
      <c r="AA290" s="25">
        <f>VLOOKUP(F290,Zones!$A$2:$F$151534,6,FALSE)</f>
        <v>498</v>
      </c>
      <c r="AB290" s="25">
        <f>VLOOKUP(L290,Zones!$A$2:$F$151477,6,FALSE)</f>
        <v>365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67"/>
  <sheetViews>
    <sheetView workbookViewId="0">
      <pane ySplit="1" topLeftCell="A1967" activePane="bottomLeft" state="frozen"/>
      <selection pane="bottomLeft" activeCell="F1968" sqref="F1968"/>
    </sheetView>
  </sheetViews>
  <sheetFormatPr defaultRowHeight="15"/>
  <cols>
    <col min="1" max="1" width="23.28515625" style="60" customWidth="1"/>
    <col min="2" max="2" width="17.85546875" style="60" customWidth="1"/>
    <col min="3" max="3" width="15" style="60" customWidth="1"/>
    <col min="4" max="4" width="19.42578125" style="60" customWidth="1"/>
    <col min="5" max="5" width="17.7109375" style="60" customWidth="1"/>
    <col min="6" max="6" width="9.140625" style="60"/>
    <col min="7" max="7" width="35.42578125" style="60" customWidth="1"/>
    <col min="8" max="16384" width="9.140625" style="60"/>
  </cols>
  <sheetData>
    <row r="1" spans="1:6">
      <c r="A1" s="61" t="s">
        <v>497</v>
      </c>
      <c r="B1" s="61" t="s">
        <v>498</v>
      </c>
      <c r="C1" s="61" t="s">
        <v>499</v>
      </c>
      <c r="D1" s="61" t="s">
        <v>500</v>
      </c>
      <c r="E1" s="61" t="s">
        <v>501</v>
      </c>
      <c r="F1" s="62" t="s">
        <v>502</v>
      </c>
    </row>
    <row r="2" spans="1:6">
      <c r="A2" s="60" t="s">
        <v>503</v>
      </c>
      <c r="B2" s="60" t="s">
        <v>503</v>
      </c>
      <c r="C2" s="60" t="s">
        <v>504</v>
      </c>
      <c r="D2" s="60" t="str">
        <f t="shared" ref="D2:D66" si="0">A2</f>
        <v>Abim</v>
      </c>
      <c r="F2" s="60">
        <v>1</v>
      </c>
    </row>
    <row r="3" spans="1:6">
      <c r="A3" s="60" t="s">
        <v>505</v>
      </c>
      <c r="B3" s="60" t="s">
        <v>503</v>
      </c>
      <c r="C3" s="60" t="s">
        <v>504</v>
      </c>
      <c r="D3" s="60" t="str">
        <f t="shared" si="0"/>
        <v>Abim Town Council</v>
      </c>
      <c r="F3" s="60">
        <v>2</v>
      </c>
    </row>
    <row r="4" spans="1:6">
      <c r="A4" s="60" t="s">
        <v>506</v>
      </c>
      <c r="B4" s="60" t="s">
        <v>503</v>
      </c>
      <c r="C4" s="60" t="s">
        <v>504</v>
      </c>
      <c r="D4" s="60" t="str">
        <f t="shared" si="0"/>
        <v>Alerek</v>
      </c>
      <c r="F4" s="60">
        <v>3</v>
      </c>
    </row>
    <row r="5" spans="1:6">
      <c r="A5" s="60" t="s">
        <v>507</v>
      </c>
      <c r="B5" s="60" t="s">
        <v>503</v>
      </c>
      <c r="C5" s="60" t="s">
        <v>504</v>
      </c>
      <c r="D5" s="60" t="str">
        <f t="shared" si="0"/>
        <v>Lotukei</v>
      </c>
      <c r="F5" s="60">
        <v>4</v>
      </c>
    </row>
    <row r="6" spans="1:6">
      <c r="A6" s="60" t="s">
        <v>508</v>
      </c>
      <c r="B6" s="60" t="s">
        <v>503</v>
      </c>
      <c r="C6" s="60" t="s">
        <v>504</v>
      </c>
      <c r="D6" s="60" t="str">
        <f t="shared" si="0"/>
        <v>Morulem</v>
      </c>
      <c r="F6" s="60">
        <v>5</v>
      </c>
    </row>
    <row r="7" spans="1:6">
      <c r="A7" s="60" t="s">
        <v>509</v>
      </c>
      <c r="B7" s="60" t="s">
        <v>503</v>
      </c>
      <c r="C7" s="60" t="s">
        <v>504</v>
      </c>
      <c r="D7" s="60" t="str">
        <f t="shared" si="0"/>
        <v>Nyakwae</v>
      </c>
      <c r="F7" s="60">
        <v>6</v>
      </c>
    </row>
    <row r="8" spans="1:6">
      <c r="A8" s="60" t="s">
        <v>510</v>
      </c>
      <c r="B8" s="60" t="s">
        <v>511</v>
      </c>
      <c r="C8" s="60" t="s">
        <v>512</v>
      </c>
      <c r="D8" s="60" t="str">
        <f t="shared" si="0"/>
        <v>Adjumani Town Council</v>
      </c>
      <c r="F8" s="60">
        <v>7</v>
      </c>
    </row>
    <row r="9" spans="1:6">
      <c r="A9" s="60" t="s">
        <v>511</v>
      </c>
      <c r="D9" s="60" t="str">
        <f t="shared" si="0"/>
        <v>Adjumani</v>
      </c>
      <c r="F9" s="60">
        <v>7</v>
      </c>
    </row>
    <row r="10" spans="1:6">
      <c r="A10" s="60" t="s">
        <v>513</v>
      </c>
      <c r="B10" s="60" t="s">
        <v>511</v>
      </c>
      <c r="C10" s="60" t="s">
        <v>512</v>
      </c>
      <c r="D10" s="60" t="str">
        <f t="shared" si="0"/>
        <v>Adropi</v>
      </c>
      <c r="F10" s="60">
        <v>8</v>
      </c>
    </row>
    <row r="11" spans="1:6">
      <c r="A11" s="60" t="s">
        <v>514</v>
      </c>
      <c r="B11" s="60" t="s">
        <v>511</v>
      </c>
      <c r="C11" s="60" t="s">
        <v>512</v>
      </c>
      <c r="D11" s="60" t="str">
        <f t="shared" si="0"/>
        <v>Arinyapi</v>
      </c>
      <c r="F11" s="60">
        <v>9</v>
      </c>
    </row>
    <row r="12" spans="1:6">
      <c r="A12" s="60" t="s">
        <v>515</v>
      </c>
      <c r="B12" s="60" t="s">
        <v>511</v>
      </c>
      <c r="C12" s="60" t="s">
        <v>512</v>
      </c>
      <c r="D12" s="60" t="str">
        <f t="shared" si="0"/>
        <v>Ciforo</v>
      </c>
      <c r="F12" s="60">
        <v>10</v>
      </c>
    </row>
    <row r="13" spans="1:6">
      <c r="A13" s="60" t="s">
        <v>516</v>
      </c>
      <c r="B13" s="60" t="s">
        <v>511</v>
      </c>
      <c r="C13" s="60" t="s">
        <v>512</v>
      </c>
      <c r="D13" s="60" t="str">
        <f t="shared" si="0"/>
        <v>Dzaipi</v>
      </c>
      <c r="F13" s="60">
        <v>11</v>
      </c>
    </row>
    <row r="14" spans="1:6">
      <c r="A14" s="60" t="s">
        <v>517</v>
      </c>
      <c r="B14" s="60" t="s">
        <v>511</v>
      </c>
      <c r="C14" s="60" t="s">
        <v>512</v>
      </c>
      <c r="D14" s="60" t="str">
        <f t="shared" si="0"/>
        <v>Itirikwa</v>
      </c>
      <c r="F14" s="60">
        <v>12</v>
      </c>
    </row>
    <row r="15" spans="1:6">
      <c r="A15" s="60" t="s">
        <v>518</v>
      </c>
      <c r="B15" s="60" t="s">
        <v>511</v>
      </c>
      <c r="C15" s="60" t="s">
        <v>512</v>
      </c>
      <c r="D15" s="60" t="str">
        <f t="shared" si="0"/>
        <v>Ofua</v>
      </c>
      <c r="F15" s="60">
        <v>13</v>
      </c>
    </row>
    <row r="16" spans="1:6">
      <c r="A16" s="60" t="s">
        <v>519</v>
      </c>
      <c r="B16" s="60" t="s">
        <v>511</v>
      </c>
      <c r="C16" s="60" t="s">
        <v>512</v>
      </c>
      <c r="D16" s="60" t="str">
        <f t="shared" si="0"/>
        <v>Pacara</v>
      </c>
      <c r="F16" s="60">
        <v>14</v>
      </c>
    </row>
    <row r="17" spans="1:6">
      <c r="A17" s="60" t="s">
        <v>520</v>
      </c>
      <c r="B17" s="60" t="s">
        <v>511</v>
      </c>
      <c r="C17" s="60" t="s">
        <v>512</v>
      </c>
      <c r="D17" s="60" t="str">
        <f t="shared" si="0"/>
        <v>Pakele</v>
      </c>
      <c r="F17" s="60">
        <v>15</v>
      </c>
    </row>
    <row r="18" spans="1:6">
      <c r="A18" s="60" t="s">
        <v>521</v>
      </c>
      <c r="B18" s="60" t="s">
        <v>511</v>
      </c>
      <c r="C18" s="60" t="s">
        <v>512</v>
      </c>
      <c r="D18" s="60" t="str">
        <f t="shared" si="0"/>
        <v>Ukusijoni</v>
      </c>
      <c r="F18" s="60">
        <v>16</v>
      </c>
    </row>
    <row r="19" spans="1:6">
      <c r="A19" s="60" t="s">
        <v>522</v>
      </c>
      <c r="B19" s="60" t="s">
        <v>523</v>
      </c>
      <c r="C19" s="60" t="s">
        <v>523</v>
      </c>
      <c r="D19" s="60" t="str">
        <f t="shared" si="0"/>
        <v>Adilang</v>
      </c>
      <c r="F19" s="60">
        <v>17</v>
      </c>
    </row>
    <row r="20" spans="1:6">
      <c r="A20" s="60" t="s">
        <v>524</v>
      </c>
      <c r="B20" s="60" t="s">
        <v>523</v>
      </c>
      <c r="C20" s="60" t="s">
        <v>523</v>
      </c>
      <c r="D20" s="60" t="str">
        <f t="shared" si="0"/>
        <v>Agago Town Council</v>
      </c>
      <c r="F20" s="60">
        <v>18</v>
      </c>
    </row>
    <row r="21" spans="1:6">
      <c r="A21" s="60" t="s">
        <v>525</v>
      </c>
      <c r="B21" s="60" t="s">
        <v>523</v>
      </c>
      <c r="C21" s="60" t="s">
        <v>523</v>
      </c>
      <c r="D21" s="60" t="str">
        <f t="shared" si="0"/>
        <v>Arum</v>
      </c>
      <c r="F21" s="60">
        <v>19</v>
      </c>
    </row>
    <row r="22" spans="1:6">
      <c r="A22" s="60" t="s">
        <v>526</v>
      </c>
      <c r="B22" s="60" t="s">
        <v>523</v>
      </c>
      <c r="C22" s="60" t="s">
        <v>523</v>
      </c>
      <c r="D22" s="60" t="str">
        <f t="shared" si="0"/>
        <v>Kalongo Town Council</v>
      </c>
      <c r="F22" s="60">
        <v>20</v>
      </c>
    </row>
    <row r="23" spans="1:6">
      <c r="A23" s="60" t="s">
        <v>527</v>
      </c>
      <c r="B23" s="60" t="s">
        <v>523</v>
      </c>
      <c r="C23" s="60" t="s">
        <v>523</v>
      </c>
      <c r="D23" s="60" t="str">
        <f t="shared" si="0"/>
        <v>Kotomol</v>
      </c>
      <c r="F23" s="60">
        <v>21</v>
      </c>
    </row>
    <row r="24" spans="1:6">
      <c r="A24" s="60" t="s">
        <v>528</v>
      </c>
      <c r="B24" s="60" t="s">
        <v>523</v>
      </c>
      <c r="C24" s="60" t="s">
        <v>523</v>
      </c>
      <c r="D24" s="60" t="str">
        <f t="shared" si="0"/>
        <v>Lamiyo</v>
      </c>
      <c r="F24" s="60">
        <v>22</v>
      </c>
    </row>
    <row r="25" spans="1:6">
      <c r="A25" s="60" t="s">
        <v>529</v>
      </c>
      <c r="B25" s="60" t="s">
        <v>523</v>
      </c>
      <c r="C25" s="60" t="s">
        <v>523</v>
      </c>
      <c r="D25" s="60" t="str">
        <f t="shared" si="0"/>
        <v>Lapono</v>
      </c>
      <c r="F25" s="60">
        <v>23</v>
      </c>
    </row>
    <row r="26" spans="1:6">
      <c r="A26" s="60" t="s">
        <v>530</v>
      </c>
      <c r="B26" s="60" t="s">
        <v>523</v>
      </c>
      <c r="C26" s="60" t="s">
        <v>523</v>
      </c>
      <c r="D26" s="60" t="str">
        <f t="shared" si="0"/>
        <v>Lira Palwo</v>
      </c>
      <c r="F26" s="60">
        <v>24</v>
      </c>
    </row>
    <row r="27" spans="1:6">
      <c r="A27" s="60" t="s">
        <v>531</v>
      </c>
      <c r="B27" s="60" t="s">
        <v>523</v>
      </c>
      <c r="C27" s="60" t="s">
        <v>523</v>
      </c>
      <c r="D27" s="60" t="str">
        <f t="shared" si="0"/>
        <v>Lokole</v>
      </c>
      <c r="F27" s="60">
        <v>25</v>
      </c>
    </row>
    <row r="28" spans="1:6">
      <c r="A28" s="60" t="s">
        <v>532</v>
      </c>
      <c r="B28" s="60" t="s">
        <v>523</v>
      </c>
      <c r="C28" s="60" t="s">
        <v>523</v>
      </c>
      <c r="D28" s="60" t="str">
        <f t="shared" si="0"/>
        <v>Omiya Pacwa</v>
      </c>
      <c r="F28" s="60">
        <v>26</v>
      </c>
    </row>
    <row r="29" spans="1:6">
      <c r="A29" s="60" t="s">
        <v>533</v>
      </c>
      <c r="B29" s="60" t="s">
        <v>523</v>
      </c>
      <c r="C29" s="60" t="s">
        <v>523</v>
      </c>
      <c r="D29" s="60" t="str">
        <f t="shared" si="0"/>
        <v>Omot</v>
      </c>
      <c r="F29" s="60">
        <v>27</v>
      </c>
    </row>
    <row r="30" spans="1:6">
      <c r="A30" s="60" t="s">
        <v>534</v>
      </c>
      <c r="B30" s="60" t="s">
        <v>523</v>
      </c>
      <c r="C30" s="60" t="s">
        <v>523</v>
      </c>
      <c r="D30" s="60" t="str">
        <f t="shared" si="0"/>
        <v>Paimol</v>
      </c>
      <c r="F30" s="60">
        <v>28</v>
      </c>
    </row>
    <row r="31" spans="1:6">
      <c r="A31" s="60" t="s">
        <v>535</v>
      </c>
      <c r="B31" s="60" t="s">
        <v>523</v>
      </c>
      <c r="C31" s="60" t="s">
        <v>523</v>
      </c>
      <c r="D31" s="60" t="str">
        <f t="shared" si="0"/>
        <v>Parabongo</v>
      </c>
      <c r="F31" s="60">
        <v>29</v>
      </c>
    </row>
    <row r="32" spans="1:6">
      <c r="A32" s="60" t="s">
        <v>536</v>
      </c>
      <c r="B32" s="60" t="s">
        <v>523</v>
      </c>
      <c r="C32" s="60" t="s">
        <v>523</v>
      </c>
      <c r="D32" s="60" t="str">
        <f t="shared" si="0"/>
        <v>Patongo</v>
      </c>
      <c r="F32" s="60">
        <v>30</v>
      </c>
    </row>
    <row r="33" spans="1:6">
      <c r="A33" s="60" t="s">
        <v>537</v>
      </c>
      <c r="B33" s="60" t="s">
        <v>523</v>
      </c>
      <c r="C33" s="60" t="s">
        <v>523</v>
      </c>
      <c r="D33" s="60" t="str">
        <f t="shared" si="0"/>
        <v>Patongo Town Council</v>
      </c>
      <c r="F33" s="60">
        <v>31</v>
      </c>
    </row>
    <row r="34" spans="1:6">
      <c r="A34" s="60" t="s">
        <v>538</v>
      </c>
      <c r="B34" s="60" t="s">
        <v>523</v>
      </c>
      <c r="C34" s="60" t="s">
        <v>523</v>
      </c>
      <c r="D34" s="60" t="str">
        <f t="shared" si="0"/>
        <v>Wol</v>
      </c>
      <c r="F34" s="60">
        <v>32</v>
      </c>
    </row>
    <row r="35" spans="1:6">
      <c r="A35" s="60" t="s">
        <v>539</v>
      </c>
      <c r="B35" s="60" t="s">
        <v>540</v>
      </c>
      <c r="C35" s="60" t="s">
        <v>541</v>
      </c>
      <c r="D35" s="60" t="str">
        <f t="shared" si="0"/>
        <v>Abako</v>
      </c>
      <c r="F35" s="60">
        <v>33</v>
      </c>
    </row>
    <row r="36" spans="1:6">
      <c r="A36" s="60" t="s">
        <v>542</v>
      </c>
      <c r="B36" s="60" t="s">
        <v>540</v>
      </c>
      <c r="C36" s="60" t="s">
        <v>541</v>
      </c>
      <c r="D36" s="60" t="str">
        <f t="shared" si="0"/>
        <v>Abia</v>
      </c>
      <c r="F36" s="60">
        <v>34</v>
      </c>
    </row>
    <row r="37" spans="1:6">
      <c r="A37" s="60" t="s">
        <v>543</v>
      </c>
      <c r="B37" s="60" t="s">
        <v>540</v>
      </c>
      <c r="C37" s="60" t="s">
        <v>541</v>
      </c>
      <c r="D37" s="60" t="str">
        <f t="shared" si="0"/>
        <v>Akura</v>
      </c>
      <c r="F37" s="60">
        <v>35</v>
      </c>
    </row>
    <row r="38" spans="1:6">
      <c r="A38" s="60" t="s">
        <v>544</v>
      </c>
      <c r="B38" s="60" t="s">
        <v>540</v>
      </c>
      <c r="C38" s="60" t="s">
        <v>541</v>
      </c>
      <c r="D38" s="60" t="str">
        <f t="shared" si="0"/>
        <v>Alebtong Town Council</v>
      </c>
      <c r="F38" s="60">
        <v>36</v>
      </c>
    </row>
    <row r="39" spans="1:6">
      <c r="A39" s="60" t="s">
        <v>545</v>
      </c>
      <c r="B39" s="60" t="s">
        <v>540</v>
      </c>
      <c r="C39" s="60" t="s">
        <v>541</v>
      </c>
      <c r="D39" s="60" t="str">
        <f t="shared" si="0"/>
        <v>Aloi</v>
      </c>
      <c r="F39" s="60">
        <v>37</v>
      </c>
    </row>
    <row r="40" spans="1:6">
      <c r="A40" s="60" t="s">
        <v>546</v>
      </c>
      <c r="B40" s="60" t="s">
        <v>540</v>
      </c>
      <c r="C40" s="60" t="s">
        <v>541</v>
      </c>
      <c r="D40" s="60" t="str">
        <f t="shared" si="0"/>
        <v>Amugu</v>
      </c>
      <c r="F40" s="60">
        <v>38</v>
      </c>
    </row>
    <row r="41" spans="1:6">
      <c r="A41" s="60" t="s">
        <v>547</v>
      </c>
      <c r="B41" s="60" t="s">
        <v>540</v>
      </c>
      <c r="C41" s="60" t="s">
        <v>541</v>
      </c>
      <c r="D41" s="60" t="str">
        <f t="shared" si="0"/>
        <v>Apala</v>
      </c>
      <c r="F41" s="60">
        <v>39</v>
      </c>
    </row>
    <row r="42" spans="1:6">
      <c r="A42" s="60" t="s">
        <v>548</v>
      </c>
      <c r="B42" s="60" t="s">
        <v>540</v>
      </c>
      <c r="C42" s="60" t="s">
        <v>541</v>
      </c>
      <c r="D42" s="60" t="str">
        <f t="shared" si="0"/>
        <v>Awei</v>
      </c>
      <c r="F42" s="60">
        <v>40</v>
      </c>
    </row>
    <row r="43" spans="1:6">
      <c r="A43" s="60" t="s">
        <v>549</v>
      </c>
      <c r="B43" s="60" t="s">
        <v>540</v>
      </c>
      <c r="C43" s="60" t="s">
        <v>541</v>
      </c>
      <c r="D43" s="60" t="str">
        <f t="shared" si="0"/>
        <v>Omoro</v>
      </c>
      <c r="F43" s="60">
        <v>41</v>
      </c>
    </row>
    <row r="44" spans="1:6">
      <c r="A44" s="60" t="s">
        <v>550</v>
      </c>
      <c r="B44" s="60" t="s">
        <v>551</v>
      </c>
      <c r="C44" s="60" t="s">
        <v>552</v>
      </c>
      <c r="D44" s="60" t="str">
        <f t="shared" si="0"/>
        <v>Agikdak</v>
      </c>
      <c r="F44" s="60">
        <v>42</v>
      </c>
    </row>
    <row r="45" spans="1:6">
      <c r="A45" s="60" t="s">
        <v>553</v>
      </c>
      <c r="B45" s="60" t="s">
        <v>551</v>
      </c>
      <c r="C45" s="60" t="s">
        <v>552</v>
      </c>
      <c r="D45" s="60" t="str">
        <f t="shared" si="0"/>
        <v>Agwingiri</v>
      </c>
      <c r="F45" s="60">
        <v>43</v>
      </c>
    </row>
    <row r="46" spans="1:6">
      <c r="A46" s="60" t="s">
        <v>554</v>
      </c>
      <c r="B46" s="60" t="s">
        <v>551</v>
      </c>
      <c r="C46" s="60" t="s">
        <v>552</v>
      </c>
      <c r="D46" s="60" t="str">
        <f t="shared" si="0"/>
        <v>Akwon</v>
      </c>
      <c r="F46" s="60">
        <v>44</v>
      </c>
    </row>
    <row r="47" spans="1:6">
      <c r="A47" s="60" t="s">
        <v>555</v>
      </c>
      <c r="B47" s="60" t="s">
        <v>551</v>
      </c>
      <c r="C47" s="60" t="s">
        <v>552</v>
      </c>
      <c r="D47" s="60" t="str">
        <f t="shared" si="0"/>
        <v>Amolatar Town Council</v>
      </c>
      <c r="F47" s="60">
        <v>45</v>
      </c>
    </row>
    <row r="48" spans="1:6">
      <c r="A48" s="60" t="s">
        <v>556</v>
      </c>
      <c r="B48" s="60" t="s">
        <v>551</v>
      </c>
      <c r="C48" s="60" t="s">
        <v>552</v>
      </c>
      <c r="D48" s="60" t="str">
        <f t="shared" si="0"/>
        <v>Aputi</v>
      </c>
      <c r="F48" s="60">
        <v>46</v>
      </c>
    </row>
    <row r="49" spans="1:6">
      <c r="A49" s="60" t="s">
        <v>557</v>
      </c>
      <c r="B49" s="60" t="s">
        <v>551</v>
      </c>
      <c r="C49" s="60" t="s">
        <v>552</v>
      </c>
      <c r="D49" s="60" t="str">
        <f t="shared" si="0"/>
        <v>Arwotcek</v>
      </c>
      <c r="F49" s="60">
        <v>47</v>
      </c>
    </row>
    <row r="50" spans="1:6">
      <c r="A50" s="60" t="s">
        <v>558</v>
      </c>
      <c r="B50" s="60" t="s">
        <v>551</v>
      </c>
      <c r="C50" s="60" t="s">
        <v>552</v>
      </c>
      <c r="D50" s="60" t="str">
        <f t="shared" si="0"/>
        <v>Awelo</v>
      </c>
      <c r="F50" s="60">
        <v>48</v>
      </c>
    </row>
    <row r="51" spans="1:6">
      <c r="A51" s="60" t="s">
        <v>559</v>
      </c>
      <c r="B51" s="60" t="s">
        <v>551</v>
      </c>
      <c r="C51" s="60" t="s">
        <v>552</v>
      </c>
      <c r="D51" s="60" t="str">
        <f t="shared" si="0"/>
        <v>Etam</v>
      </c>
      <c r="F51" s="60">
        <v>49</v>
      </c>
    </row>
    <row r="52" spans="1:6">
      <c r="A52" s="60" t="s">
        <v>560</v>
      </c>
      <c r="B52" s="60" t="s">
        <v>551</v>
      </c>
      <c r="C52" s="60" t="s">
        <v>552</v>
      </c>
      <c r="D52" s="60" t="str">
        <f t="shared" si="0"/>
        <v>Muntu</v>
      </c>
      <c r="F52" s="60">
        <v>50</v>
      </c>
    </row>
    <row r="53" spans="1:6">
      <c r="A53" s="60" t="s">
        <v>561</v>
      </c>
      <c r="B53" s="60" t="s">
        <v>551</v>
      </c>
      <c r="C53" s="60" t="s">
        <v>552</v>
      </c>
      <c r="D53" s="60" t="str">
        <f t="shared" si="0"/>
        <v>Namasale</v>
      </c>
      <c r="F53" s="60">
        <v>51</v>
      </c>
    </row>
    <row r="54" spans="1:6">
      <c r="A54" s="60" t="s">
        <v>562</v>
      </c>
      <c r="B54" s="60" t="s">
        <v>551</v>
      </c>
      <c r="C54" s="60" t="s">
        <v>552</v>
      </c>
      <c r="D54" s="60" t="str">
        <f t="shared" si="0"/>
        <v>Namasale Town Council</v>
      </c>
      <c r="F54" s="60">
        <v>52</v>
      </c>
    </row>
    <row r="55" spans="1:6">
      <c r="A55" s="60" t="s">
        <v>563</v>
      </c>
      <c r="B55" s="60" t="s">
        <v>563</v>
      </c>
      <c r="C55" s="60" t="s">
        <v>564</v>
      </c>
      <c r="D55" s="60" t="str">
        <f t="shared" si="0"/>
        <v>Amudat</v>
      </c>
      <c r="F55" s="60">
        <v>53</v>
      </c>
    </row>
    <row r="56" spans="1:6">
      <c r="A56" s="60" t="s">
        <v>565</v>
      </c>
      <c r="B56" s="60" t="s">
        <v>563</v>
      </c>
      <c r="C56" s="60" t="s">
        <v>564</v>
      </c>
      <c r="D56" s="60" t="str">
        <f t="shared" si="0"/>
        <v>Amudat Town Council</v>
      </c>
      <c r="F56" s="60">
        <v>54</v>
      </c>
    </row>
    <row r="57" spans="1:6">
      <c r="A57" s="60" t="s">
        <v>566</v>
      </c>
      <c r="B57" s="60" t="s">
        <v>563</v>
      </c>
      <c r="C57" s="60" t="s">
        <v>564</v>
      </c>
      <c r="D57" s="60" t="str">
        <f t="shared" si="0"/>
        <v>Karita</v>
      </c>
      <c r="F57" s="60">
        <v>55</v>
      </c>
    </row>
    <row r="58" spans="1:6">
      <c r="A58" s="60" t="s">
        <v>567</v>
      </c>
      <c r="B58" s="60" t="s">
        <v>563</v>
      </c>
      <c r="C58" s="60" t="s">
        <v>564</v>
      </c>
      <c r="D58" s="60" t="str">
        <f t="shared" si="0"/>
        <v>Loroo</v>
      </c>
      <c r="F58" s="60">
        <v>56</v>
      </c>
    </row>
    <row r="59" spans="1:6">
      <c r="A59" s="60" t="s">
        <v>568</v>
      </c>
      <c r="B59" s="60" t="s">
        <v>569</v>
      </c>
      <c r="C59" s="60" t="s">
        <v>569</v>
      </c>
      <c r="D59" s="60" t="str">
        <f t="shared" si="0"/>
        <v>Abarilela</v>
      </c>
      <c r="F59" s="60">
        <v>57</v>
      </c>
    </row>
    <row r="60" spans="1:6">
      <c r="A60" s="60" t="s">
        <v>570</v>
      </c>
      <c r="B60" s="60" t="s">
        <v>569</v>
      </c>
      <c r="C60" s="60" t="s">
        <v>571</v>
      </c>
      <c r="D60" s="60" t="str">
        <f t="shared" si="0"/>
        <v>Acowa</v>
      </c>
      <c r="F60" s="60">
        <v>58</v>
      </c>
    </row>
    <row r="61" spans="1:6">
      <c r="A61" s="60" t="s">
        <v>572</v>
      </c>
      <c r="B61" s="60" t="s">
        <v>569</v>
      </c>
      <c r="C61" s="60" t="s">
        <v>569</v>
      </c>
      <c r="D61" s="60" t="str">
        <f t="shared" si="0"/>
        <v>Akeriau</v>
      </c>
      <c r="F61" s="60">
        <v>59</v>
      </c>
    </row>
    <row r="62" spans="1:6">
      <c r="A62" s="60" t="s">
        <v>573</v>
      </c>
      <c r="B62" s="60" t="s">
        <v>569</v>
      </c>
      <c r="C62" s="60" t="s">
        <v>571</v>
      </c>
      <c r="D62" s="60" t="str">
        <f t="shared" si="0"/>
        <v>Akoromit</v>
      </c>
      <c r="F62" s="60">
        <v>60</v>
      </c>
    </row>
    <row r="63" spans="1:6">
      <c r="A63" s="60" t="s">
        <v>574</v>
      </c>
      <c r="B63" s="60" t="s">
        <v>569</v>
      </c>
      <c r="C63" s="60" t="s">
        <v>569</v>
      </c>
      <c r="D63" s="60" t="str">
        <f t="shared" si="0"/>
        <v>Amuria Town Council</v>
      </c>
      <c r="F63" s="60">
        <v>61</v>
      </c>
    </row>
    <row r="64" spans="1:6">
      <c r="A64" s="60" t="s">
        <v>575</v>
      </c>
      <c r="B64" s="60" t="s">
        <v>569</v>
      </c>
      <c r="C64" s="60" t="s">
        <v>569</v>
      </c>
      <c r="D64" s="60" t="str">
        <f t="shared" si="0"/>
        <v>Apeduru</v>
      </c>
      <c r="F64" s="60">
        <v>62</v>
      </c>
    </row>
    <row r="65" spans="1:6">
      <c r="A65" s="60" t="s">
        <v>576</v>
      </c>
      <c r="B65" s="60" t="s">
        <v>569</v>
      </c>
      <c r="C65" s="60" t="s">
        <v>569</v>
      </c>
      <c r="D65" s="60" t="str">
        <f t="shared" si="0"/>
        <v>Asamuk</v>
      </c>
      <c r="F65" s="60">
        <v>63</v>
      </c>
    </row>
    <row r="66" spans="1:6">
      <c r="A66" s="60" t="s">
        <v>571</v>
      </c>
      <c r="B66" s="60" t="s">
        <v>569</v>
      </c>
      <c r="C66" s="60" t="s">
        <v>571</v>
      </c>
      <c r="D66" s="60" t="str">
        <f t="shared" si="0"/>
        <v>Kapelebyong</v>
      </c>
      <c r="F66" s="60">
        <v>64</v>
      </c>
    </row>
    <row r="67" spans="1:6">
      <c r="A67" s="60" t="s">
        <v>577</v>
      </c>
      <c r="B67" s="60" t="s">
        <v>569</v>
      </c>
      <c r="C67" s="60" t="s">
        <v>569</v>
      </c>
      <c r="D67" s="60" t="str">
        <f t="shared" ref="D67:D132" si="1">A67</f>
        <v>Kuju</v>
      </c>
      <c r="F67" s="60">
        <v>65</v>
      </c>
    </row>
    <row r="68" spans="1:6">
      <c r="A68" s="60" t="s">
        <v>578</v>
      </c>
      <c r="B68" s="60" t="s">
        <v>569</v>
      </c>
      <c r="C68" s="60" t="s">
        <v>569</v>
      </c>
      <c r="D68" s="60" t="str">
        <f t="shared" si="1"/>
        <v>Morungatuny</v>
      </c>
      <c r="F68" s="60">
        <v>66</v>
      </c>
    </row>
    <row r="69" spans="1:6">
      <c r="A69" s="60" t="s">
        <v>579</v>
      </c>
      <c r="B69" s="60" t="s">
        <v>569</v>
      </c>
      <c r="C69" s="60" t="s">
        <v>571</v>
      </c>
      <c r="D69" s="60" t="str">
        <f t="shared" si="1"/>
        <v>Obalanga</v>
      </c>
      <c r="F69" s="60">
        <v>67</v>
      </c>
    </row>
    <row r="70" spans="1:6">
      <c r="A70" s="60" t="s">
        <v>580</v>
      </c>
      <c r="B70" s="60" t="s">
        <v>569</v>
      </c>
      <c r="C70" s="60" t="s">
        <v>569</v>
      </c>
      <c r="D70" s="60" t="str">
        <f t="shared" si="1"/>
        <v>Ogolai</v>
      </c>
      <c r="F70" s="60">
        <v>68</v>
      </c>
    </row>
    <row r="71" spans="1:6">
      <c r="A71" s="60" t="s">
        <v>581</v>
      </c>
      <c r="B71" s="60" t="s">
        <v>569</v>
      </c>
      <c r="C71" s="60" t="s">
        <v>571</v>
      </c>
      <c r="D71" s="60" t="str">
        <f t="shared" si="1"/>
        <v>Okungur</v>
      </c>
      <c r="F71" s="60">
        <v>69</v>
      </c>
    </row>
    <row r="72" spans="1:6">
      <c r="A72" s="60" t="s">
        <v>582</v>
      </c>
      <c r="B72" s="60" t="s">
        <v>569</v>
      </c>
      <c r="C72" s="60" t="s">
        <v>569</v>
      </c>
      <c r="D72" s="60" t="str">
        <f t="shared" si="1"/>
        <v>Orungo</v>
      </c>
      <c r="F72" s="60">
        <v>70</v>
      </c>
    </row>
    <row r="73" spans="1:6">
      <c r="A73" s="60" t="s">
        <v>583</v>
      </c>
      <c r="B73" s="60" t="s">
        <v>569</v>
      </c>
      <c r="C73" s="60" t="s">
        <v>569</v>
      </c>
      <c r="D73" s="60" t="str">
        <f t="shared" si="1"/>
        <v>Wera</v>
      </c>
      <c r="F73" s="60">
        <v>71</v>
      </c>
    </row>
    <row r="74" spans="1:6">
      <c r="A74" s="60" t="s">
        <v>584</v>
      </c>
      <c r="B74" s="60" t="s">
        <v>569</v>
      </c>
      <c r="C74" s="60" t="s">
        <v>569</v>
      </c>
      <c r="D74" s="60" t="str">
        <f t="shared" si="1"/>
        <v>Willa</v>
      </c>
      <c r="F74" s="60">
        <v>72</v>
      </c>
    </row>
    <row r="75" spans="1:6">
      <c r="A75" s="60" t="s">
        <v>585</v>
      </c>
      <c r="B75" s="60" t="s">
        <v>585</v>
      </c>
      <c r="C75" s="60" t="s">
        <v>586</v>
      </c>
      <c r="D75" s="60" t="str">
        <f t="shared" si="1"/>
        <v>Amuru</v>
      </c>
      <c r="F75" s="60">
        <v>73</v>
      </c>
    </row>
    <row r="76" spans="1:6">
      <c r="A76" s="60" t="s">
        <v>587</v>
      </c>
      <c r="B76" s="60" t="s">
        <v>585</v>
      </c>
      <c r="C76" s="60" t="s">
        <v>586</v>
      </c>
      <c r="D76" s="60" t="str">
        <f t="shared" si="1"/>
        <v>Amuru Town Council</v>
      </c>
      <c r="F76" s="60">
        <v>74</v>
      </c>
    </row>
    <row r="77" spans="1:6">
      <c r="A77" s="60" t="s">
        <v>588</v>
      </c>
      <c r="B77" s="60" t="s">
        <v>585</v>
      </c>
      <c r="C77" s="60" t="s">
        <v>586</v>
      </c>
      <c r="D77" s="60" t="str">
        <f t="shared" si="1"/>
        <v>Attiak</v>
      </c>
      <c r="F77" s="60">
        <v>75</v>
      </c>
    </row>
    <row r="78" spans="1:6">
      <c r="A78" s="60" t="s">
        <v>589</v>
      </c>
      <c r="B78" s="60" t="s">
        <v>585</v>
      </c>
      <c r="C78" s="60" t="s">
        <v>586</v>
      </c>
      <c r="D78" s="60" t="str">
        <f t="shared" si="1"/>
        <v>Lamogi</v>
      </c>
      <c r="F78" s="60">
        <v>76</v>
      </c>
    </row>
    <row r="79" spans="1:6">
      <c r="A79" s="60" t="s">
        <v>590</v>
      </c>
      <c r="B79" s="60" t="s">
        <v>585</v>
      </c>
      <c r="C79" s="60" t="s">
        <v>586</v>
      </c>
      <c r="D79" s="60" t="str">
        <f t="shared" si="1"/>
        <v>Pabo</v>
      </c>
      <c r="F79" s="60">
        <v>77</v>
      </c>
    </row>
    <row r="80" spans="1:6">
      <c r="A80" s="60" t="s">
        <v>591</v>
      </c>
      <c r="B80" s="60" t="s">
        <v>592</v>
      </c>
      <c r="C80" s="60" t="s">
        <v>593</v>
      </c>
      <c r="D80" s="60" t="str">
        <f t="shared" si="1"/>
        <v>Abongomola</v>
      </c>
      <c r="F80" s="60">
        <v>78</v>
      </c>
    </row>
    <row r="81" spans="1:6">
      <c r="A81" s="60" t="s">
        <v>594</v>
      </c>
      <c r="B81" s="60" t="s">
        <v>592</v>
      </c>
      <c r="C81" s="60" t="s">
        <v>593</v>
      </c>
      <c r="D81" s="60" t="str">
        <f t="shared" si="1"/>
        <v>Aduku</v>
      </c>
      <c r="F81" s="60">
        <v>79</v>
      </c>
    </row>
    <row r="82" spans="1:6">
      <c r="A82" s="60" t="s">
        <v>595</v>
      </c>
      <c r="B82" s="60" t="s">
        <v>592</v>
      </c>
      <c r="C82" s="60" t="s">
        <v>593</v>
      </c>
      <c r="D82" s="60" t="str">
        <f t="shared" si="1"/>
        <v>Aduku Town Council</v>
      </c>
      <c r="F82" s="60">
        <v>80</v>
      </c>
    </row>
    <row r="83" spans="1:6">
      <c r="A83" s="60" t="s">
        <v>596</v>
      </c>
      <c r="B83" s="60" t="s">
        <v>592</v>
      </c>
      <c r="C83" s="60" t="s">
        <v>597</v>
      </c>
      <c r="D83" s="60" t="str">
        <f t="shared" si="1"/>
        <v>Akokoro</v>
      </c>
      <c r="F83" s="60">
        <v>81</v>
      </c>
    </row>
    <row r="84" spans="1:6">
      <c r="A84" s="60" t="s">
        <v>598</v>
      </c>
      <c r="B84" s="60" t="s">
        <v>592</v>
      </c>
      <c r="C84" s="60" t="s">
        <v>599</v>
      </c>
      <c r="D84" s="60" t="str">
        <f t="shared" si="1"/>
        <v>Apac Muicipality</v>
      </c>
      <c r="F84" s="60">
        <v>82</v>
      </c>
    </row>
    <row r="85" spans="1:6">
      <c r="A85" s="60" t="s">
        <v>592</v>
      </c>
      <c r="D85" s="60" t="str">
        <f t="shared" si="1"/>
        <v>Apac</v>
      </c>
      <c r="F85" s="60">
        <v>82</v>
      </c>
    </row>
    <row r="86" spans="1:6">
      <c r="A86" s="60" t="s">
        <v>600</v>
      </c>
      <c r="B86" s="60" t="s">
        <v>592</v>
      </c>
      <c r="C86" s="60" t="s">
        <v>593</v>
      </c>
      <c r="D86" s="60" t="str">
        <f t="shared" si="1"/>
        <v>Chawente</v>
      </c>
      <c r="F86" s="60">
        <v>83</v>
      </c>
    </row>
    <row r="87" spans="1:6">
      <c r="A87" s="60" t="s">
        <v>601</v>
      </c>
      <c r="B87" s="60" t="s">
        <v>592</v>
      </c>
      <c r="C87" s="60" t="s">
        <v>597</v>
      </c>
      <c r="D87" s="60" t="str">
        <f t="shared" si="1"/>
        <v>Chegere</v>
      </c>
      <c r="F87" s="60">
        <v>84</v>
      </c>
    </row>
    <row r="88" spans="1:6">
      <c r="A88" s="60" t="s">
        <v>602</v>
      </c>
      <c r="B88" s="60" t="s">
        <v>592</v>
      </c>
      <c r="C88" s="60" t="s">
        <v>597</v>
      </c>
      <c r="D88" s="60" t="str">
        <f t="shared" si="1"/>
        <v>Ibuje</v>
      </c>
      <c r="F88" s="60">
        <v>85</v>
      </c>
    </row>
    <row r="89" spans="1:6">
      <c r="A89" s="60" t="s">
        <v>603</v>
      </c>
      <c r="B89" s="60" t="s">
        <v>592</v>
      </c>
      <c r="C89" s="60" t="s">
        <v>593</v>
      </c>
      <c r="D89" s="60" t="str">
        <f t="shared" si="1"/>
        <v>Inomo</v>
      </c>
      <c r="F89" s="60">
        <v>86</v>
      </c>
    </row>
    <row r="90" spans="1:6">
      <c r="A90" s="60" t="s">
        <v>604</v>
      </c>
      <c r="B90" s="60" t="s">
        <v>592</v>
      </c>
      <c r="C90" s="60" t="s">
        <v>593</v>
      </c>
      <c r="D90" s="60" t="str">
        <f t="shared" si="1"/>
        <v>Nambieso</v>
      </c>
      <c r="F90" s="60">
        <v>87</v>
      </c>
    </row>
    <row r="91" spans="1:6">
      <c r="A91" s="60" t="s">
        <v>605</v>
      </c>
      <c r="B91" s="60" t="s">
        <v>606</v>
      </c>
      <c r="C91" s="60" t="s">
        <v>607</v>
      </c>
      <c r="D91" s="60" t="str">
        <f t="shared" si="1"/>
        <v>Adumi</v>
      </c>
      <c r="F91" s="60">
        <v>88</v>
      </c>
    </row>
    <row r="92" spans="1:6">
      <c r="A92" s="60" t="s">
        <v>608</v>
      </c>
      <c r="B92" s="60" t="s">
        <v>606</v>
      </c>
      <c r="C92" s="60" t="s">
        <v>609</v>
      </c>
      <c r="D92" s="60" t="str">
        <f t="shared" si="1"/>
        <v>Aii-Vu</v>
      </c>
      <c r="F92" s="60">
        <v>89</v>
      </c>
    </row>
    <row r="93" spans="1:6">
      <c r="A93" s="60" t="s">
        <v>610</v>
      </c>
      <c r="B93" s="60" t="s">
        <v>606</v>
      </c>
      <c r="C93" s="60" t="s">
        <v>611</v>
      </c>
      <c r="D93" s="60" t="str">
        <f t="shared" si="1"/>
        <v>Ajia</v>
      </c>
      <c r="F93" s="60">
        <v>90</v>
      </c>
    </row>
    <row r="94" spans="1:6">
      <c r="A94" s="60" t="s">
        <v>612</v>
      </c>
      <c r="B94" s="60" t="s">
        <v>606</v>
      </c>
      <c r="C94" s="60" t="s">
        <v>613</v>
      </c>
      <c r="D94" s="60" t="str">
        <f t="shared" si="1"/>
        <v>Anyiribu</v>
      </c>
      <c r="F94" s="60">
        <v>91</v>
      </c>
    </row>
    <row r="95" spans="1:6">
      <c r="A95" s="60" t="s">
        <v>614</v>
      </c>
      <c r="B95" s="60" t="s">
        <v>606</v>
      </c>
      <c r="C95" s="60" t="s">
        <v>611</v>
      </c>
      <c r="D95" s="60" t="str">
        <f t="shared" si="1"/>
        <v>Arivu</v>
      </c>
      <c r="F95" s="60">
        <v>92</v>
      </c>
    </row>
    <row r="96" spans="1:6">
      <c r="A96" s="60" t="s">
        <v>615</v>
      </c>
      <c r="B96" s="60" t="s">
        <v>606</v>
      </c>
      <c r="C96" s="60" t="s">
        <v>607</v>
      </c>
      <c r="D96" s="60" t="str">
        <f t="shared" si="1"/>
        <v>Aroi</v>
      </c>
      <c r="F96" s="60">
        <v>93</v>
      </c>
    </row>
    <row r="97" spans="1:6">
      <c r="A97" s="60" t="s">
        <v>616</v>
      </c>
      <c r="B97" s="60" t="s">
        <v>606</v>
      </c>
      <c r="C97" s="60" t="s">
        <v>616</v>
      </c>
      <c r="D97" s="60" t="str">
        <f t="shared" si="1"/>
        <v>Arua Municipality</v>
      </c>
      <c r="F97" s="60">
        <v>94</v>
      </c>
    </row>
    <row r="98" spans="1:6">
      <c r="A98" s="60" t="s">
        <v>606</v>
      </c>
      <c r="D98" s="60" t="str">
        <f t="shared" si="1"/>
        <v>Arua</v>
      </c>
      <c r="F98" s="60">
        <v>94</v>
      </c>
    </row>
    <row r="99" spans="1:6">
      <c r="A99" s="60" t="s">
        <v>617</v>
      </c>
      <c r="B99" s="60" t="s">
        <v>606</v>
      </c>
      <c r="C99" s="60" t="s">
        <v>607</v>
      </c>
      <c r="D99" s="60" t="str">
        <f t="shared" si="1"/>
        <v>Ayivuni</v>
      </c>
      <c r="F99" s="60">
        <v>95</v>
      </c>
    </row>
    <row r="100" spans="1:6">
      <c r="A100" s="60" t="s">
        <v>618</v>
      </c>
      <c r="B100" s="60" t="s">
        <v>606</v>
      </c>
      <c r="C100" s="60" t="s">
        <v>609</v>
      </c>
      <c r="D100" s="60" t="str">
        <f t="shared" si="1"/>
        <v>Bileafe</v>
      </c>
      <c r="F100" s="60">
        <v>96</v>
      </c>
    </row>
    <row r="101" spans="1:6">
      <c r="A101" s="60" t="s">
        <v>619</v>
      </c>
      <c r="B101" s="60" t="s">
        <v>606</v>
      </c>
      <c r="C101" s="60" t="s">
        <v>607</v>
      </c>
      <c r="D101" s="60" t="str">
        <f t="shared" si="1"/>
        <v>Dadamu</v>
      </c>
      <c r="F101" s="60">
        <v>97</v>
      </c>
    </row>
    <row r="102" spans="1:6">
      <c r="A102" s="60" t="s">
        <v>620</v>
      </c>
      <c r="B102" s="60" t="s">
        <v>606</v>
      </c>
      <c r="C102" s="60" t="s">
        <v>613</v>
      </c>
      <c r="D102" s="60" t="str">
        <f t="shared" si="1"/>
        <v>Ewanga</v>
      </c>
      <c r="F102" s="60">
        <v>98</v>
      </c>
    </row>
    <row r="103" spans="1:6">
      <c r="A103" s="60" t="s">
        <v>621</v>
      </c>
      <c r="B103" s="60" t="s">
        <v>606</v>
      </c>
      <c r="C103" s="60" t="s">
        <v>609</v>
      </c>
      <c r="D103" s="60" t="str">
        <f t="shared" si="1"/>
        <v>Katrini</v>
      </c>
      <c r="F103" s="60">
        <v>99</v>
      </c>
    </row>
    <row r="104" spans="1:6">
      <c r="A104" s="60" t="s">
        <v>622</v>
      </c>
      <c r="B104" s="60" t="s">
        <v>606</v>
      </c>
      <c r="C104" s="60" t="s">
        <v>611</v>
      </c>
      <c r="D104" s="60" t="str">
        <f t="shared" si="1"/>
        <v>Logiri</v>
      </c>
      <c r="F104" s="60">
        <v>100</v>
      </c>
    </row>
    <row r="105" spans="1:6">
      <c r="A105" s="60" t="s">
        <v>623</v>
      </c>
      <c r="B105" s="60" t="s">
        <v>606</v>
      </c>
      <c r="C105" s="60" t="s">
        <v>607</v>
      </c>
      <c r="D105" s="60" t="str">
        <f t="shared" si="1"/>
        <v>Manibe</v>
      </c>
      <c r="F105" s="60">
        <v>101</v>
      </c>
    </row>
    <row r="106" spans="1:6">
      <c r="A106" s="60" t="s">
        <v>624</v>
      </c>
      <c r="B106" s="60" t="s">
        <v>606</v>
      </c>
      <c r="C106" s="60" t="s">
        <v>609</v>
      </c>
      <c r="D106" s="60" t="str">
        <f t="shared" si="1"/>
        <v>Odupi</v>
      </c>
      <c r="F106" s="60">
        <v>102</v>
      </c>
    </row>
    <row r="107" spans="1:6">
      <c r="A107" s="60" t="s">
        <v>625</v>
      </c>
      <c r="B107" s="60" t="s">
        <v>606</v>
      </c>
      <c r="C107" s="60" t="s">
        <v>613</v>
      </c>
      <c r="D107" s="60" t="str">
        <f t="shared" si="1"/>
        <v>Offaka</v>
      </c>
      <c r="F107" s="60">
        <v>103</v>
      </c>
    </row>
    <row r="108" spans="1:6">
      <c r="A108" s="60" t="s">
        <v>626</v>
      </c>
      <c r="B108" s="60" t="s">
        <v>606</v>
      </c>
      <c r="C108" s="60" t="s">
        <v>613</v>
      </c>
      <c r="D108" s="60" t="str">
        <f t="shared" si="1"/>
        <v>Ogoko</v>
      </c>
      <c r="F108" s="60">
        <v>104</v>
      </c>
    </row>
    <row r="109" spans="1:6">
      <c r="A109" s="60" t="s">
        <v>627</v>
      </c>
      <c r="B109" s="60" t="s">
        <v>606</v>
      </c>
      <c r="C109" s="60" t="s">
        <v>613</v>
      </c>
      <c r="D109" s="60" t="str">
        <f t="shared" si="1"/>
        <v>Okollo</v>
      </c>
      <c r="F109" s="60">
        <v>105</v>
      </c>
    </row>
    <row r="110" spans="1:6">
      <c r="A110" s="60" t="s">
        <v>628</v>
      </c>
      <c r="B110" s="60" t="s">
        <v>606</v>
      </c>
      <c r="C110" s="60" t="s">
        <v>607</v>
      </c>
      <c r="D110" s="60" t="str">
        <f t="shared" si="1"/>
        <v>Oluko</v>
      </c>
      <c r="F110" s="60">
        <v>106</v>
      </c>
    </row>
    <row r="111" spans="1:6">
      <c r="A111" s="60" t="s">
        <v>629</v>
      </c>
      <c r="B111" s="60" t="s">
        <v>606</v>
      </c>
      <c r="C111" s="60" t="s">
        <v>609</v>
      </c>
      <c r="D111" s="60" t="str">
        <f t="shared" si="1"/>
        <v>Omugo</v>
      </c>
      <c r="F111" s="60">
        <v>107</v>
      </c>
    </row>
    <row r="112" spans="1:6">
      <c r="A112" s="60" t="s">
        <v>630</v>
      </c>
      <c r="B112" s="60" t="s">
        <v>606</v>
      </c>
      <c r="C112" s="60" t="s">
        <v>607</v>
      </c>
      <c r="D112" s="60" t="str">
        <f t="shared" si="1"/>
        <v>Pajulu</v>
      </c>
      <c r="F112" s="60">
        <v>108</v>
      </c>
    </row>
    <row r="113" spans="1:6">
      <c r="A113" s="60" t="s">
        <v>631</v>
      </c>
      <c r="B113" s="60" t="s">
        <v>606</v>
      </c>
      <c r="C113" s="60" t="s">
        <v>613</v>
      </c>
      <c r="D113" s="60" t="str">
        <f t="shared" si="1"/>
        <v>Pawor</v>
      </c>
      <c r="F113" s="60">
        <v>109</v>
      </c>
    </row>
    <row r="114" spans="1:6">
      <c r="A114" s="60" t="s">
        <v>632</v>
      </c>
      <c r="B114" s="60" t="s">
        <v>606</v>
      </c>
      <c r="C114" s="60" t="s">
        <v>613</v>
      </c>
      <c r="D114" s="60" t="str">
        <f t="shared" si="1"/>
        <v>Rhino Camp</v>
      </c>
      <c r="F114" s="60">
        <v>110</v>
      </c>
    </row>
    <row r="115" spans="1:6">
      <c r="A115" s="60" t="s">
        <v>633</v>
      </c>
      <c r="B115" s="60" t="s">
        <v>606</v>
      </c>
      <c r="C115" s="60" t="s">
        <v>613</v>
      </c>
      <c r="D115" s="60" t="str">
        <f t="shared" si="1"/>
        <v>Rigbo</v>
      </c>
      <c r="F115" s="60">
        <v>111</v>
      </c>
    </row>
    <row r="116" spans="1:6">
      <c r="A116" s="60" t="s">
        <v>634</v>
      </c>
      <c r="B116" s="60" t="s">
        <v>606</v>
      </c>
      <c r="C116" s="60" t="s">
        <v>613</v>
      </c>
      <c r="D116" s="60" t="str">
        <f t="shared" si="1"/>
        <v>Uleppi</v>
      </c>
      <c r="F116" s="60">
        <v>112</v>
      </c>
    </row>
    <row r="117" spans="1:6">
      <c r="A117" s="60" t="s">
        <v>635</v>
      </c>
      <c r="B117" s="60" t="s">
        <v>606</v>
      </c>
      <c r="C117" s="60" t="s">
        <v>609</v>
      </c>
      <c r="D117" s="60" t="str">
        <f t="shared" si="1"/>
        <v>Uriama</v>
      </c>
      <c r="F117" s="60">
        <v>113</v>
      </c>
    </row>
    <row r="118" spans="1:6">
      <c r="A118" s="60" t="s">
        <v>611</v>
      </c>
      <c r="B118" s="60" t="s">
        <v>606</v>
      </c>
      <c r="C118" s="60" t="s">
        <v>611</v>
      </c>
      <c r="D118" s="60" t="str">
        <f t="shared" si="1"/>
        <v>Vurra</v>
      </c>
      <c r="F118" s="60">
        <v>114</v>
      </c>
    </row>
    <row r="119" spans="1:6">
      <c r="A119" s="60" t="s">
        <v>636</v>
      </c>
      <c r="B119" s="60" t="s">
        <v>636</v>
      </c>
      <c r="C119" s="60" t="s">
        <v>636</v>
      </c>
      <c r="D119" s="60" t="str">
        <f t="shared" si="1"/>
        <v>Budaka</v>
      </c>
      <c r="F119" s="60">
        <v>115</v>
      </c>
    </row>
    <row r="120" spans="1:6">
      <c r="A120" s="60" t="s">
        <v>637</v>
      </c>
      <c r="B120" s="60" t="s">
        <v>636</v>
      </c>
      <c r="C120" s="60" t="s">
        <v>636</v>
      </c>
      <c r="D120" s="60" t="str">
        <f t="shared" si="1"/>
        <v>Budaka Town Council</v>
      </c>
      <c r="F120" s="60">
        <v>116</v>
      </c>
    </row>
    <row r="121" spans="1:6">
      <c r="A121" s="60" t="s">
        <v>638</v>
      </c>
      <c r="B121" s="60" t="s">
        <v>636</v>
      </c>
      <c r="C121" s="60" t="s">
        <v>638</v>
      </c>
      <c r="D121" s="60" t="str">
        <f t="shared" si="1"/>
        <v>Iki-Iki</v>
      </c>
      <c r="F121" s="60">
        <v>117</v>
      </c>
    </row>
    <row r="122" spans="1:6">
      <c r="A122" s="60" t="s">
        <v>639</v>
      </c>
      <c r="B122" s="60" t="s">
        <v>636</v>
      </c>
      <c r="C122" s="60" t="s">
        <v>636</v>
      </c>
      <c r="D122" s="60" t="str">
        <f t="shared" si="1"/>
        <v>Kachomo</v>
      </c>
      <c r="F122" s="60">
        <v>118</v>
      </c>
    </row>
    <row r="123" spans="1:6">
      <c r="A123" s="60" t="s">
        <v>640</v>
      </c>
      <c r="B123" s="60" t="s">
        <v>636</v>
      </c>
      <c r="C123" s="60" t="s">
        <v>636</v>
      </c>
      <c r="D123" s="60" t="str">
        <f t="shared" si="1"/>
        <v>Kaderuna</v>
      </c>
      <c r="F123" s="60">
        <v>119</v>
      </c>
    </row>
    <row r="124" spans="1:6">
      <c r="A124" s="60" t="s">
        <v>641</v>
      </c>
      <c r="B124" s="60" t="s">
        <v>636</v>
      </c>
      <c r="C124" s="60" t="s">
        <v>636</v>
      </c>
      <c r="D124" s="60" t="str">
        <f t="shared" si="1"/>
        <v>Kakule</v>
      </c>
      <c r="F124" s="60">
        <v>120</v>
      </c>
    </row>
    <row r="125" spans="1:6">
      <c r="A125" s="60" t="s">
        <v>642</v>
      </c>
      <c r="B125" s="60" t="s">
        <v>636</v>
      </c>
      <c r="C125" s="60" t="s">
        <v>638</v>
      </c>
      <c r="D125" s="60" t="str">
        <f t="shared" si="1"/>
        <v>Kameruka</v>
      </c>
      <c r="F125" s="60">
        <v>121</v>
      </c>
    </row>
    <row r="126" spans="1:6">
      <c r="A126" s="60" t="s">
        <v>643</v>
      </c>
      <c r="B126" s="60" t="s">
        <v>636</v>
      </c>
      <c r="C126" s="60" t="s">
        <v>638</v>
      </c>
      <c r="D126" s="60" t="str">
        <f t="shared" si="1"/>
        <v>Kamonkoli</v>
      </c>
      <c r="F126" s="60">
        <v>122</v>
      </c>
    </row>
    <row r="127" spans="1:6">
      <c r="A127" s="60" t="s">
        <v>644</v>
      </c>
      <c r="B127" s="60" t="s">
        <v>636</v>
      </c>
      <c r="C127" s="60" t="s">
        <v>638</v>
      </c>
      <c r="D127" s="60" t="str">
        <f t="shared" si="1"/>
        <v>Katiira</v>
      </c>
      <c r="F127" s="60">
        <v>123</v>
      </c>
    </row>
    <row r="128" spans="1:6">
      <c r="A128" s="60" t="s">
        <v>645</v>
      </c>
      <c r="B128" s="60" t="s">
        <v>636</v>
      </c>
      <c r="C128" s="60" t="s">
        <v>636</v>
      </c>
      <c r="D128" s="60" t="str">
        <f t="shared" si="1"/>
        <v>Lyama</v>
      </c>
      <c r="F128" s="60">
        <v>124</v>
      </c>
    </row>
    <row r="129" spans="1:6">
      <c r="A129" s="60" t="s">
        <v>646</v>
      </c>
      <c r="B129" s="60" t="s">
        <v>636</v>
      </c>
      <c r="C129" s="60" t="s">
        <v>638</v>
      </c>
      <c r="D129" s="60" t="str">
        <f t="shared" si="1"/>
        <v>Mugiti</v>
      </c>
      <c r="F129" s="60">
        <v>125</v>
      </c>
    </row>
    <row r="130" spans="1:6">
      <c r="A130" s="60" t="s">
        <v>647</v>
      </c>
      <c r="B130" s="60" t="s">
        <v>636</v>
      </c>
      <c r="C130" s="60" t="s">
        <v>636</v>
      </c>
      <c r="D130" s="60" t="str">
        <f t="shared" si="1"/>
        <v>Naboa</v>
      </c>
      <c r="F130" s="60">
        <v>126</v>
      </c>
    </row>
    <row r="131" spans="1:6">
      <c r="A131" s="60" t="s">
        <v>648</v>
      </c>
      <c r="B131" s="60" t="s">
        <v>636</v>
      </c>
      <c r="C131" s="60" t="s">
        <v>636</v>
      </c>
      <c r="D131" s="60" t="str">
        <f t="shared" si="1"/>
        <v>Nansanga</v>
      </c>
      <c r="F131" s="60">
        <v>127</v>
      </c>
    </row>
    <row r="132" spans="1:6">
      <c r="A132" s="60" t="s">
        <v>649</v>
      </c>
      <c r="B132" s="60" t="s">
        <v>650</v>
      </c>
      <c r="C132" s="60" t="s">
        <v>651</v>
      </c>
      <c r="D132" s="60" t="str">
        <f t="shared" si="1"/>
        <v>Bubiita</v>
      </c>
      <c r="F132" s="60">
        <v>128</v>
      </c>
    </row>
    <row r="133" spans="1:6">
      <c r="A133" s="60" t="s">
        <v>650</v>
      </c>
      <c r="B133" s="60" t="s">
        <v>650</v>
      </c>
      <c r="C133" s="60" t="s">
        <v>651</v>
      </c>
      <c r="D133" s="60" t="str">
        <f t="shared" ref="D133:D208" si="2">A133</f>
        <v>Bududa</v>
      </c>
      <c r="F133" s="60">
        <v>129</v>
      </c>
    </row>
    <row r="134" spans="1:6">
      <c r="A134" s="60" t="s">
        <v>652</v>
      </c>
      <c r="B134" s="60" t="s">
        <v>650</v>
      </c>
      <c r="C134" s="60" t="s">
        <v>651</v>
      </c>
      <c r="D134" s="60" t="str">
        <f t="shared" si="2"/>
        <v>Bududa Town Council</v>
      </c>
      <c r="F134" s="60">
        <v>130</v>
      </c>
    </row>
    <row r="135" spans="1:6">
      <c r="A135" s="60" t="s">
        <v>653</v>
      </c>
      <c r="B135" s="60" t="s">
        <v>650</v>
      </c>
      <c r="C135" s="60" t="s">
        <v>651</v>
      </c>
      <c r="D135" s="60" t="str">
        <f t="shared" si="2"/>
        <v>Bukalasi</v>
      </c>
      <c r="F135" s="60">
        <v>131</v>
      </c>
    </row>
    <row r="136" spans="1:6">
      <c r="A136" s="60" t="s">
        <v>654</v>
      </c>
      <c r="B136" s="60" t="s">
        <v>650</v>
      </c>
      <c r="C136" s="60" t="s">
        <v>651</v>
      </c>
      <c r="D136" s="60" t="str">
        <f t="shared" si="2"/>
        <v>Bukibokolo</v>
      </c>
      <c r="F136" s="60">
        <v>132</v>
      </c>
    </row>
    <row r="137" spans="1:6">
      <c r="A137" s="60" t="s">
        <v>655</v>
      </c>
      <c r="B137" s="60" t="s">
        <v>650</v>
      </c>
      <c r="C137" s="60" t="s">
        <v>651</v>
      </c>
      <c r="D137" s="60" t="str">
        <f t="shared" si="2"/>
        <v>Bukigai</v>
      </c>
      <c r="F137" s="60">
        <v>133</v>
      </c>
    </row>
    <row r="138" spans="1:6">
      <c r="A138" s="60" t="s">
        <v>656</v>
      </c>
      <c r="B138" s="60" t="s">
        <v>650</v>
      </c>
      <c r="C138" s="60" t="s">
        <v>651</v>
      </c>
      <c r="D138" s="60" t="str">
        <f t="shared" si="2"/>
        <v>Bulucheke</v>
      </c>
      <c r="F138" s="60">
        <v>134</v>
      </c>
    </row>
    <row r="139" spans="1:6">
      <c r="A139" s="60" t="s">
        <v>657</v>
      </c>
      <c r="B139" s="60" t="s">
        <v>650</v>
      </c>
      <c r="C139" s="60" t="s">
        <v>651</v>
      </c>
      <c r="D139" s="60" t="str">
        <f t="shared" si="2"/>
        <v>Bumasheti</v>
      </c>
      <c r="F139" s="60">
        <v>135</v>
      </c>
    </row>
    <row r="140" spans="1:6">
      <c r="A140" s="60" t="s">
        <v>658</v>
      </c>
      <c r="B140" s="60" t="s">
        <v>650</v>
      </c>
      <c r="C140" s="60" t="s">
        <v>651</v>
      </c>
      <c r="D140" s="60" t="str">
        <f t="shared" si="2"/>
        <v>Bumayoka</v>
      </c>
      <c r="F140" s="60">
        <v>136</v>
      </c>
    </row>
    <row r="141" spans="1:6">
      <c r="A141" s="60" t="s">
        <v>659</v>
      </c>
      <c r="B141" s="60" t="s">
        <v>650</v>
      </c>
      <c r="C141" s="60" t="s">
        <v>651</v>
      </c>
      <c r="D141" s="60" t="str">
        <f t="shared" si="2"/>
        <v>Bushika</v>
      </c>
      <c r="F141" s="60">
        <v>137</v>
      </c>
    </row>
    <row r="142" spans="1:6">
      <c r="A142" s="60" t="s">
        <v>660</v>
      </c>
      <c r="B142" s="60" t="s">
        <v>650</v>
      </c>
      <c r="C142" s="60" t="s">
        <v>651</v>
      </c>
      <c r="D142" s="60" t="str">
        <f t="shared" si="2"/>
        <v>Bushiribo</v>
      </c>
      <c r="F142" s="60">
        <v>138</v>
      </c>
    </row>
    <row r="143" spans="1:6">
      <c r="A143" s="60" t="s">
        <v>661</v>
      </c>
      <c r="B143" s="60" t="s">
        <v>650</v>
      </c>
      <c r="C143" s="60" t="s">
        <v>651</v>
      </c>
      <c r="D143" s="60" t="str">
        <f t="shared" si="2"/>
        <v>Bushiyi</v>
      </c>
      <c r="F143" s="60">
        <v>139</v>
      </c>
    </row>
    <row r="144" spans="1:6">
      <c r="A144" s="60" t="s">
        <v>662</v>
      </c>
      <c r="B144" s="60" t="s">
        <v>650</v>
      </c>
      <c r="C144" s="60" t="s">
        <v>651</v>
      </c>
      <c r="D144" s="60" t="str">
        <f t="shared" si="2"/>
        <v>Buwali</v>
      </c>
      <c r="F144" s="60">
        <v>140</v>
      </c>
    </row>
    <row r="145" spans="1:6">
      <c r="A145" s="60" t="s">
        <v>663</v>
      </c>
      <c r="B145" s="60" t="s">
        <v>650</v>
      </c>
      <c r="C145" s="60" t="s">
        <v>651</v>
      </c>
      <c r="D145" s="60" t="str">
        <f t="shared" si="2"/>
        <v>Nabweya</v>
      </c>
      <c r="F145" s="60">
        <v>141</v>
      </c>
    </row>
    <row r="146" spans="1:6">
      <c r="A146" s="60" t="s">
        <v>664</v>
      </c>
      <c r="B146" s="60" t="s">
        <v>650</v>
      </c>
      <c r="C146" s="60" t="s">
        <v>651</v>
      </c>
      <c r="D146" s="60" t="str">
        <f t="shared" si="2"/>
        <v>Nakatsi</v>
      </c>
      <c r="F146" s="60">
        <v>142</v>
      </c>
    </row>
    <row r="147" spans="1:6">
      <c r="A147" s="60" t="s">
        <v>665</v>
      </c>
      <c r="B147" s="60" t="s">
        <v>650</v>
      </c>
      <c r="C147" s="60" t="s">
        <v>651</v>
      </c>
      <c r="D147" s="60" t="str">
        <f t="shared" si="2"/>
        <v>Nalwanza</v>
      </c>
      <c r="F147" s="60">
        <v>143</v>
      </c>
    </row>
    <row r="148" spans="1:6">
      <c r="A148" s="60" t="s">
        <v>666</v>
      </c>
      <c r="B148" s="60" t="s">
        <v>209</v>
      </c>
      <c r="C148" s="60" t="s">
        <v>667</v>
      </c>
      <c r="D148" s="60" t="str">
        <f t="shared" si="2"/>
        <v>Budhaya</v>
      </c>
      <c r="F148" s="60">
        <v>144</v>
      </c>
    </row>
    <row r="149" spans="1:6">
      <c r="A149" s="60" t="s">
        <v>668</v>
      </c>
      <c r="B149" s="60" t="s">
        <v>209</v>
      </c>
      <c r="C149" s="60" t="s">
        <v>668</v>
      </c>
      <c r="D149" s="60" t="str">
        <f t="shared" si="2"/>
        <v>Bugiri Municipality</v>
      </c>
      <c r="F149" s="60">
        <v>145</v>
      </c>
    </row>
    <row r="150" spans="1:6">
      <c r="A150" s="60" t="s">
        <v>209</v>
      </c>
      <c r="D150" s="60" t="str">
        <f t="shared" si="2"/>
        <v>Bugiri</v>
      </c>
      <c r="F150" s="60">
        <v>145</v>
      </c>
    </row>
    <row r="151" spans="1:6">
      <c r="A151" s="60" t="s">
        <v>669</v>
      </c>
      <c r="B151" s="60" t="s">
        <v>209</v>
      </c>
      <c r="C151" s="60" t="s">
        <v>667</v>
      </c>
      <c r="D151" s="60" t="str">
        <f t="shared" si="2"/>
        <v>Bulesa</v>
      </c>
      <c r="F151" s="60">
        <v>146</v>
      </c>
    </row>
    <row r="152" spans="1:6">
      <c r="A152" s="60" t="s">
        <v>670</v>
      </c>
      <c r="B152" s="60" t="s">
        <v>209</v>
      </c>
      <c r="C152" s="60" t="s">
        <v>667</v>
      </c>
      <c r="D152" s="60" t="str">
        <f t="shared" si="2"/>
        <v>Bulidha</v>
      </c>
      <c r="F152" s="60">
        <v>147</v>
      </c>
    </row>
    <row r="153" spans="1:6">
      <c r="A153" s="60" t="s">
        <v>671</v>
      </c>
      <c r="B153" s="60" t="s">
        <v>209</v>
      </c>
      <c r="C153" s="60" t="s">
        <v>667</v>
      </c>
      <c r="D153" s="60" t="str">
        <f t="shared" si="2"/>
        <v>Buluguyi</v>
      </c>
      <c r="F153" s="60">
        <v>148</v>
      </c>
    </row>
    <row r="154" spans="1:6">
      <c r="A154" s="60" t="s">
        <v>672</v>
      </c>
      <c r="B154" s="60" t="s">
        <v>209</v>
      </c>
      <c r="C154" s="60" t="s">
        <v>667</v>
      </c>
      <c r="D154" s="60" t="str">
        <f t="shared" si="2"/>
        <v>Buwunga-Bugiri</v>
      </c>
      <c r="F154" s="60">
        <v>149</v>
      </c>
    </row>
    <row r="155" spans="1:6">
      <c r="A155" s="60" t="s">
        <v>353</v>
      </c>
      <c r="D155" s="60" t="str">
        <f t="shared" si="2"/>
        <v>Busowa</v>
      </c>
      <c r="F155" s="60">
        <v>149</v>
      </c>
    </row>
    <row r="156" spans="1:6">
      <c r="A156" s="60" t="s">
        <v>673</v>
      </c>
      <c r="B156" s="60" t="s">
        <v>209</v>
      </c>
      <c r="C156" s="60" t="s">
        <v>667</v>
      </c>
      <c r="D156" s="60" t="str">
        <f t="shared" si="2"/>
        <v>Iwemba</v>
      </c>
      <c r="F156" s="60">
        <v>150</v>
      </c>
    </row>
    <row r="157" spans="1:6">
      <c r="A157" s="60" t="s">
        <v>674</v>
      </c>
      <c r="B157" s="60" t="s">
        <v>209</v>
      </c>
      <c r="C157" s="60" t="s">
        <v>667</v>
      </c>
      <c r="D157" s="60" t="str">
        <f t="shared" si="2"/>
        <v>Kapyanga</v>
      </c>
      <c r="F157" s="60">
        <v>151</v>
      </c>
    </row>
    <row r="158" spans="1:6">
      <c r="A158" s="60" t="s">
        <v>675</v>
      </c>
      <c r="B158" s="60" t="s">
        <v>209</v>
      </c>
      <c r="C158" s="60" t="s">
        <v>667</v>
      </c>
      <c r="D158" s="60" t="str">
        <f t="shared" si="2"/>
        <v>Muterere</v>
      </c>
      <c r="F158" s="60">
        <v>152</v>
      </c>
    </row>
    <row r="159" spans="1:6">
      <c r="A159" s="60" t="s">
        <v>676</v>
      </c>
      <c r="B159" s="60" t="s">
        <v>209</v>
      </c>
      <c r="C159" s="60" t="s">
        <v>667</v>
      </c>
      <c r="D159" s="60" t="str">
        <f t="shared" si="2"/>
        <v>Nabukalu</v>
      </c>
      <c r="F159" s="60">
        <v>153</v>
      </c>
    </row>
    <row r="160" spans="1:6">
      <c r="A160" s="60" t="s">
        <v>677</v>
      </c>
      <c r="B160" s="60" t="s">
        <v>209</v>
      </c>
      <c r="C160" s="60" t="s">
        <v>667</v>
      </c>
      <c r="D160" s="60" t="str">
        <f t="shared" si="2"/>
        <v>Nankoma</v>
      </c>
      <c r="F160" s="60">
        <v>154</v>
      </c>
    </row>
    <row r="161" spans="1:6">
      <c r="A161" s="60" t="s">
        <v>678</v>
      </c>
      <c r="B161" s="60" t="s">
        <v>679</v>
      </c>
      <c r="C161" s="60" t="s">
        <v>679</v>
      </c>
      <c r="D161" s="60" t="str">
        <f t="shared" si="2"/>
        <v>Bihanga-Buhweju</v>
      </c>
      <c r="F161" s="60">
        <v>155</v>
      </c>
    </row>
    <row r="162" spans="1:6">
      <c r="A162" s="60" t="s">
        <v>680</v>
      </c>
      <c r="B162" s="60" t="s">
        <v>679</v>
      </c>
      <c r="C162" s="60" t="s">
        <v>679</v>
      </c>
      <c r="D162" s="60" t="str">
        <f t="shared" si="2"/>
        <v>Bitsya</v>
      </c>
      <c r="F162" s="60">
        <v>156</v>
      </c>
    </row>
    <row r="163" spans="1:6">
      <c r="A163" s="60" t="s">
        <v>681</v>
      </c>
      <c r="B163" s="60" t="s">
        <v>679</v>
      </c>
      <c r="C163" s="60" t="s">
        <v>679</v>
      </c>
      <c r="D163" s="60" t="str">
        <f t="shared" si="2"/>
        <v>Burere</v>
      </c>
      <c r="F163" s="60">
        <v>157</v>
      </c>
    </row>
    <row r="164" spans="1:6">
      <c r="A164" s="60" t="s">
        <v>682</v>
      </c>
      <c r="B164" s="60" t="s">
        <v>679</v>
      </c>
      <c r="C164" s="60" t="s">
        <v>679</v>
      </c>
      <c r="D164" s="60" t="str">
        <f t="shared" si="2"/>
        <v>Engaju</v>
      </c>
      <c r="F164" s="60">
        <v>158</v>
      </c>
    </row>
    <row r="165" spans="1:6">
      <c r="A165" s="60" t="s">
        <v>683</v>
      </c>
      <c r="B165" s="60" t="s">
        <v>679</v>
      </c>
      <c r="C165" s="60" t="s">
        <v>679</v>
      </c>
      <c r="D165" s="60" t="str">
        <f t="shared" si="2"/>
        <v>Karungu</v>
      </c>
      <c r="F165" s="60">
        <v>159</v>
      </c>
    </row>
    <row r="166" spans="1:6">
      <c r="A166" s="60" t="s">
        <v>684</v>
      </c>
      <c r="B166" s="60" t="s">
        <v>679</v>
      </c>
      <c r="C166" s="60" t="s">
        <v>679</v>
      </c>
      <c r="D166" s="60" t="str">
        <f t="shared" si="2"/>
        <v>Nsiika Town Council</v>
      </c>
      <c r="F166" s="60">
        <v>160</v>
      </c>
    </row>
    <row r="167" spans="1:6">
      <c r="A167" s="60" t="s">
        <v>685</v>
      </c>
      <c r="B167" s="60" t="s">
        <v>679</v>
      </c>
      <c r="C167" s="60" t="s">
        <v>679</v>
      </c>
      <c r="D167" s="60" t="str">
        <f t="shared" si="2"/>
        <v>Nyakishana</v>
      </c>
      <c r="F167" s="60">
        <v>161</v>
      </c>
    </row>
    <row r="168" spans="1:6">
      <c r="A168" s="60" t="s">
        <v>686</v>
      </c>
      <c r="B168" s="60" t="s">
        <v>679</v>
      </c>
      <c r="C168" s="60" t="s">
        <v>679</v>
      </c>
      <c r="D168" s="60" t="str">
        <f t="shared" si="2"/>
        <v>Rwengwe</v>
      </c>
      <c r="F168" s="60">
        <v>162</v>
      </c>
    </row>
    <row r="169" spans="1:6">
      <c r="A169" s="60" t="s">
        <v>687</v>
      </c>
      <c r="B169" s="60" t="s">
        <v>687</v>
      </c>
      <c r="C169" s="60" t="s">
        <v>687</v>
      </c>
      <c r="D169" s="60" t="str">
        <f t="shared" si="2"/>
        <v>Buikwe</v>
      </c>
      <c r="F169" s="60">
        <v>163</v>
      </c>
    </row>
    <row r="170" spans="1:6">
      <c r="A170" s="60" t="s">
        <v>688</v>
      </c>
      <c r="B170" s="60" t="s">
        <v>687</v>
      </c>
      <c r="C170" s="60" t="s">
        <v>687</v>
      </c>
      <c r="D170" s="60" t="str">
        <f t="shared" si="2"/>
        <v>Buikwe Town Council</v>
      </c>
      <c r="F170" s="60">
        <v>164</v>
      </c>
    </row>
    <row r="171" spans="1:6">
      <c r="A171" s="60" t="s">
        <v>689</v>
      </c>
      <c r="B171" s="60" t="s">
        <v>687</v>
      </c>
      <c r="C171" s="60" t="s">
        <v>689</v>
      </c>
      <c r="D171" s="60" t="str">
        <f t="shared" si="2"/>
        <v>Lugazi Municipality</v>
      </c>
      <c r="F171" s="60">
        <v>165</v>
      </c>
    </row>
    <row r="172" spans="1:6">
      <c r="A172" s="60" t="s">
        <v>690</v>
      </c>
      <c r="D172" s="60" t="str">
        <f t="shared" si="2"/>
        <v>Lugazi</v>
      </c>
      <c r="F172" s="60">
        <v>165</v>
      </c>
    </row>
    <row r="173" spans="1:6">
      <c r="A173" s="60" t="s">
        <v>691</v>
      </c>
      <c r="F173" s="60">
        <v>165</v>
      </c>
    </row>
    <row r="174" spans="1:6">
      <c r="A174" s="60" t="s">
        <v>692</v>
      </c>
      <c r="B174" s="60" t="s">
        <v>687</v>
      </c>
      <c r="C174" s="60" t="s">
        <v>687</v>
      </c>
      <c r="D174" s="60" t="str">
        <f t="shared" si="2"/>
        <v>Najja</v>
      </c>
      <c r="F174" s="60">
        <v>166</v>
      </c>
    </row>
    <row r="175" spans="1:6">
      <c r="A175" s="60" t="s">
        <v>693</v>
      </c>
      <c r="D175" s="60" t="str">
        <f t="shared" si="2"/>
        <v>Kiyindi</v>
      </c>
      <c r="F175" s="60">
        <v>166</v>
      </c>
    </row>
    <row r="176" spans="1:6">
      <c r="A176" s="60" t="s">
        <v>694</v>
      </c>
      <c r="B176" s="60" t="s">
        <v>687</v>
      </c>
      <c r="C176" s="60" t="s">
        <v>687</v>
      </c>
      <c r="D176" s="60" t="str">
        <f t="shared" si="2"/>
        <v>Ngogwe</v>
      </c>
      <c r="F176" s="60">
        <v>167</v>
      </c>
    </row>
    <row r="177" spans="1:6">
      <c r="A177" s="60" t="s">
        <v>695</v>
      </c>
      <c r="B177" s="60" t="s">
        <v>687</v>
      </c>
      <c r="C177" s="60" t="s">
        <v>695</v>
      </c>
      <c r="D177" s="60" t="str">
        <f t="shared" si="2"/>
        <v>Njeru Municipality</v>
      </c>
      <c r="F177" s="60">
        <v>168</v>
      </c>
    </row>
    <row r="178" spans="1:6">
      <c r="A178" s="60" t="s">
        <v>696</v>
      </c>
      <c r="D178" s="60" t="str">
        <f t="shared" si="2"/>
        <v>Njeru</v>
      </c>
      <c r="F178" s="60">
        <v>168</v>
      </c>
    </row>
    <row r="179" spans="1:6">
      <c r="A179" s="60" t="s">
        <v>697</v>
      </c>
      <c r="D179" s="60" t="str">
        <f t="shared" si="2"/>
        <v>Mbiko</v>
      </c>
      <c r="F179" s="60">
        <v>168</v>
      </c>
    </row>
    <row r="180" spans="1:6">
      <c r="A180" s="60" t="s">
        <v>698</v>
      </c>
      <c r="F180" s="60">
        <v>168</v>
      </c>
    </row>
    <row r="181" spans="1:6">
      <c r="A181" s="60" t="s">
        <v>699</v>
      </c>
      <c r="D181" s="60" t="str">
        <f t="shared" si="2"/>
        <v>Nyenga</v>
      </c>
      <c r="F181" s="60">
        <v>168</v>
      </c>
    </row>
    <row r="182" spans="1:6">
      <c r="A182" s="60" t="s">
        <v>700</v>
      </c>
      <c r="D182" s="60" t="str">
        <f t="shared" si="2"/>
        <v>Nakibizi</v>
      </c>
      <c r="F182" s="60">
        <v>168</v>
      </c>
    </row>
    <row r="183" spans="1:6">
      <c r="A183" s="60" t="s">
        <v>701</v>
      </c>
      <c r="D183" s="60" t="str">
        <f t="shared" si="2"/>
        <v>Nakibizzi</v>
      </c>
      <c r="F183" s="60">
        <v>168</v>
      </c>
    </row>
    <row r="184" spans="1:6">
      <c r="A184" s="60" t="s">
        <v>702</v>
      </c>
      <c r="B184" s="60" t="s">
        <v>687</v>
      </c>
      <c r="C184" s="60" t="s">
        <v>687</v>
      </c>
      <c r="D184" s="60" t="str">
        <f t="shared" si="2"/>
        <v>Nkokonjeru Town Council</v>
      </c>
      <c r="F184" s="60">
        <v>169</v>
      </c>
    </row>
    <row r="185" spans="1:6">
      <c r="A185" s="60" t="s">
        <v>703</v>
      </c>
      <c r="B185" s="60" t="s">
        <v>687</v>
      </c>
      <c r="C185" s="60" t="s">
        <v>687</v>
      </c>
      <c r="D185" s="60" t="str">
        <f t="shared" si="2"/>
        <v>Ssi-Bukunja</v>
      </c>
      <c r="F185" s="60">
        <v>170</v>
      </c>
    </row>
    <row r="186" spans="1:6">
      <c r="A186" s="60" t="s">
        <v>704</v>
      </c>
      <c r="B186" s="60" t="s">
        <v>704</v>
      </c>
      <c r="C186" s="60" t="s">
        <v>704</v>
      </c>
      <c r="D186" s="60" t="str">
        <f t="shared" si="2"/>
        <v>Bukedea</v>
      </c>
      <c r="F186" s="60">
        <v>171</v>
      </c>
    </row>
    <row r="187" spans="1:6">
      <c r="A187" s="60" t="s">
        <v>705</v>
      </c>
      <c r="B187" s="60" t="s">
        <v>704</v>
      </c>
      <c r="C187" s="60" t="s">
        <v>704</v>
      </c>
      <c r="D187" s="60" t="str">
        <f t="shared" si="2"/>
        <v>Bukedea Town Council</v>
      </c>
      <c r="F187" s="60">
        <v>172</v>
      </c>
    </row>
    <row r="188" spans="1:6">
      <c r="A188" s="60" t="s">
        <v>706</v>
      </c>
      <c r="B188" s="60" t="s">
        <v>704</v>
      </c>
      <c r="C188" s="60" t="s">
        <v>704</v>
      </c>
      <c r="D188" s="60" t="str">
        <f t="shared" si="2"/>
        <v>Kachumbala</v>
      </c>
      <c r="F188" s="60">
        <v>173</v>
      </c>
    </row>
    <row r="189" spans="1:6">
      <c r="A189" s="60" t="s">
        <v>707</v>
      </c>
      <c r="B189" s="60" t="s">
        <v>704</v>
      </c>
      <c r="C189" s="60" t="s">
        <v>704</v>
      </c>
      <c r="D189" s="60" t="str">
        <f t="shared" si="2"/>
        <v>Kidongole</v>
      </c>
      <c r="F189" s="60">
        <v>174</v>
      </c>
    </row>
    <row r="190" spans="1:6">
      <c r="A190" s="60" t="s">
        <v>708</v>
      </c>
      <c r="B190" s="60" t="s">
        <v>704</v>
      </c>
      <c r="C190" s="60" t="s">
        <v>704</v>
      </c>
      <c r="D190" s="60" t="str">
        <f t="shared" si="2"/>
        <v>Kolir</v>
      </c>
      <c r="F190" s="60">
        <v>175</v>
      </c>
    </row>
    <row r="191" spans="1:6">
      <c r="A191" s="60" t="s">
        <v>709</v>
      </c>
      <c r="B191" s="60" t="s">
        <v>704</v>
      </c>
      <c r="C191" s="60" t="s">
        <v>704</v>
      </c>
      <c r="D191" s="60" t="str">
        <f t="shared" si="2"/>
        <v>Malera</v>
      </c>
      <c r="F191" s="60">
        <v>176</v>
      </c>
    </row>
    <row r="192" spans="1:6">
      <c r="A192" s="60" t="s">
        <v>710</v>
      </c>
      <c r="B192" s="60" t="s">
        <v>711</v>
      </c>
      <c r="C192" s="60" t="s">
        <v>711</v>
      </c>
      <c r="D192" s="60" t="str">
        <f t="shared" si="2"/>
        <v>Bigasa</v>
      </c>
      <c r="F192" s="60">
        <v>177</v>
      </c>
    </row>
    <row r="193" spans="1:6">
      <c r="A193" s="60" t="s">
        <v>712</v>
      </c>
      <c r="B193" s="60" t="s">
        <v>711</v>
      </c>
      <c r="C193" s="60" t="s">
        <v>711</v>
      </c>
      <c r="D193" s="60" t="str">
        <f t="shared" si="2"/>
        <v>Bukomansimbi Town Council</v>
      </c>
      <c r="F193" s="60">
        <v>178</v>
      </c>
    </row>
    <row r="194" spans="1:6">
      <c r="A194" s="60" t="s">
        <v>713</v>
      </c>
      <c r="F194" s="60">
        <v>178</v>
      </c>
    </row>
    <row r="195" spans="1:6">
      <c r="A195" s="60" t="s">
        <v>714</v>
      </c>
      <c r="B195" s="60" t="s">
        <v>711</v>
      </c>
      <c r="C195" s="60" t="s">
        <v>711</v>
      </c>
      <c r="D195" s="60" t="str">
        <f t="shared" si="2"/>
        <v>Butenga</v>
      </c>
      <c r="F195" s="60">
        <v>179</v>
      </c>
    </row>
    <row r="196" spans="1:6">
      <c r="A196" s="60" t="s">
        <v>715</v>
      </c>
      <c r="B196" s="60" t="s">
        <v>711</v>
      </c>
      <c r="C196" s="60" t="s">
        <v>711</v>
      </c>
      <c r="D196" s="60" t="str">
        <f t="shared" si="2"/>
        <v>Kibinge</v>
      </c>
      <c r="F196" s="60">
        <v>180</v>
      </c>
    </row>
    <row r="197" spans="1:6">
      <c r="A197" s="60" t="s">
        <v>716</v>
      </c>
      <c r="B197" s="60" t="s">
        <v>711</v>
      </c>
      <c r="C197" s="60" t="s">
        <v>711</v>
      </c>
      <c r="D197" s="60" t="str">
        <f t="shared" si="2"/>
        <v>Kitanda</v>
      </c>
      <c r="F197" s="60">
        <v>181</v>
      </c>
    </row>
    <row r="198" spans="1:6">
      <c r="A198" s="60" t="s">
        <v>717</v>
      </c>
      <c r="B198" s="60" t="s">
        <v>717</v>
      </c>
      <c r="C198" s="60" t="s">
        <v>718</v>
      </c>
      <c r="D198" s="60" t="str">
        <f t="shared" si="2"/>
        <v>Bukwo</v>
      </c>
      <c r="F198" s="60">
        <v>182</v>
      </c>
    </row>
    <row r="199" spans="1:6" ht="16.5" customHeight="1">
      <c r="A199" s="60" t="s">
        <v>719</v>
      </c>
      <c r="B199" s="60" t="s">
        <v>717</v>
      </c>
      <c r="C199" s="60" t="s">
        <v>718</v>
      </c>
      <c r="D199" s="60" t="str">
        <f t="shared" si="2"/>
        <v>Bukwo Town Council</v>
      </c>
      <c r="F199" s="60">
        <v>183</v>
      </c>
    </row>
    <row r="200" spans="1:6">
      <c r="A200" s="60" t="s">
        <v>720</v>
      </c>
      <c r="B200" s="60" t="s">
        <v>717</v>
      </c>
      <c r="C200" s="60" t="s">
        <v>718</v>
      </c>
      <c r="D200" s="60" t="str">
        <f t="shared" si="2"/>
        <v>Chepkwasta</v>
      </c>
      <c r="F200" s="60">
        <v>184</v>
      </c>
    </row>
    <row r="201" spans="1:6">
      <c r="A201" s="60" t="s">
        <v>721</v>
      </c>
      <c r="B201" s="60" t="s">
        <v>717</v>
      </c>
      <c r="C201" s="60" t="s">
        <v>718</v>
      </c>
      <c r="D201" s="60" t="str">
        <f t="shared" si="2"/>
        <v>Chesower</v>
      </c>
      <c r="F201" s="60">
        <v>185</v>
      </c>
    </row>
    <row r="202" spans="1:6">
      <c r="A202" s="60" t="s">
        <v>722</v>
      </c>
      <c r="B202" s="60" t="s">
        <v>717</v>
      </c>
      <c r="C202" s="60" t="s">
        <v>718</v>
      </c>
      <c r="D202" s="60" t="str">
        <f t="shared" si="2"/>
        <v>Kabei</v>
      </c>
      <c r="F202" s="60">
        <v>186</v>
      </c>
    </row>
    <row r="203" spans="1:6">
      <c r="A203" s="60" t="s">
        <v>723</v>
      </c>
      <c r="B203" s="60" t="s">
        <v>717</v>
      </c>
      <c r="C203" s="60" t="s">
        <v>718</v>
      </c>
      <c r="D203" s="60" t="str">
        <f t="shared" si="2"/>
        <v>Kamet</v>
      </c>
      <c r="F203" s="60">
        <v>187</v>
      </c>
    </row>
    <row r="204" spans="1:6">
      <c r="A204" s="60" t="s">
        <v>724</v>
      </c>
      <c r="B204" s="60" t="s">
        <v>717</v>
      </c>
      <c r="C204" s="60" t="s">
        <v>718</v>
      </c>
      <c r="D204" s="60" t="str">
        <f t="shared" si="2"/>
        <v>Kaptererwo</v>
      </c>
      <c r="F204" s="60">
        <v>188</v>
      </c>
    </row>
    <row r="205" spans="1:6">
      <c r="A205" s="60" t="s">
        <v>725</v>
      </c>
      <c r="B205" s="60" t="s">
        <v>717</v>
      </c>
      <c r="C205" s="60" t="s">
        <v>718</v>
      </c>
      <c r="D205" s="60" t="str">
        <f t="shared" si="2"/>
        <v>Kortek</v>
      </c>
      <c r="F205" s="60">
        <v>189</v>
      </c>
    </row>
    <row r="206" spans="1:6">
      <c r="A206" s="60" t="s">
        <v>726</v>
      </c>
      <c r="B206" s="60" t="s">
        <v>717</v>
      </c>
      <c r="C206" s="60" t="s">
        <v>718</v>
      </c>
      <c r="D206" s="60" t="str">
        <f t="shared" si="2"/>
        <v>Riwo</v>
      </c>
      <c r="F206" s="60">
        <v>190</v>
      </c>
    </row>
    <row r="207" spans="1:6">
      <c r="A207" s="60" t="s">
        <v>727</v>
      </c>
      <c r="B207" s="60" t="s">
        <v>717</v>
      </c>
      <c r="C207" s="60" t="s">
        <v>718</v>
      </c>
      <c r="D207" s="60" t="str">
        <f t="shared" si="2"/>
        <v>Senendet</v>
      </c>
      <c r="F207" s="60">
        <v>191</v>
      </c>
    </row>
    <row r="208" spans="1:6">
      <c r="A208" s="60" t="s">
        <v>728</v>
      </c>
      <c r="B208" s="60" t="s">
        <v>717</v>
      </c>
      <c r="C208" s="60" t="s">
        <v>718</v>
      </c>
      <c r="D208" s="60" t="str">
        <f t="shared" si="2"/>
        <v>Suam</v>
      </c>
      <c r="F208" s="60">
        <v>192</v>
      </c>
    </row>
    <row r="209" spans="1:6">
      <c r="A209" s="60" t="s">
        <v>729</v>
      </c>
      <c r="B209" s="60" t="s">
        <v>717</v>
      </c>
      <c r="C209" s="60" t="s">
        <v>718</v>
      </c>
      <c r="D209" s="60" t="str">
        <f t="shared" ref="D209:D275" si="3">A209</f>
        <v>Tulel</v>
      </c>
      <c r="F209" s="60">
        <v>193</v>
      </c>
    </row>
    <row r="210" spans="1:6">
      <c r="A210" s="60" t="s">
        <v>730</v>
      </c>
      <c r="B210" s="60" t="s">
        <v>731</v>
      </c>
      <c r="C210" s="60" t="s">
        <v>731</v>
      </c>
      <c r="D210" s="60" t="str">
        <f t="shared" si="3"/>
        <v>Buginyanya</v>
      </c>
      <c r="F210" s="60">
        <v>194</v>
      </c>
    </row>
    <row r="211" spans="1:6">
      <c r="A211" s="60" t="s">
        <v>732</v>
      </c>
      <c r="B211" s="60" t="s">
        <v>731</v>
      </c>
      <c r="C211" s="60" t="s">
        <v>731</v>
      </c>
      <c r="D211" s="60" t="str">
        <f t="shared" si="3"/>
        <v>Bukhalu</v>
      </c>
      <c r="F211" s="60">
        <v>195</v>
      </c>
    </row>
    <row r="212" spans="1:6">
      <c r="A212" s="60" t="s">
        <v>733</v>
      </c>
      <c r="B212" s="60" t="s">
        <v>731</v>
      </c>
      <c r="C212" s="60" t="s">
        <v>731</v>
      </c>
      <c r="D212" s="60" t="str">
        <f t="shared" si="3"/>
        <v>Bulaago</v>
      </c>
      <c r="F212" s="60">
        <v>196</v>
      </c>
    </row>
    <row r="213" spans="1:6">
      <c r="A213" s="60" t="s">
        <v>734</v>
      </c>
      <c r="B213" s="60" t="s">
        <v>731</v>
      </c>
      <c r="C213" s="60" t="s">
        <v>731</v>
      </c>
      <c r="D213" s="60" t="str">
        <f t="shared" si="3"/>
        <v>Bulambuli Town Council</v>
      </c>
      <c r="F213" s="60">
        <v>197</v>
      </c>
    </row>
    <row r="214" spans="1:6">
      <c r="A214" s="60" t="s">
        <v>735</v>
      </c>
      <c r="B214" s="60" t="s">
        <v>731</v>
      </c>
      <c r="C214" s="60" t="s">
        <v>731</v>
      </c>
      <c r="D214" s="60" t="str">
        <f t="shared" si="3"/>
        <v>Bulegeni</v>
      </c>
      <c r="F214" s="60">
        <v>198</v>
      </c>
    </row>
    <row r="215" spans="1:6">
      <c r="A215" s="60" t="s">
        <v>736</v>
      </c>
      <c r="B215" s="60" t="s">
        <v>731</v>
      </c>
      <c r="C215" s="60" t="s">
        <v>731</v>
      </c>
      <c r="D215" s="60" t="str">
        <f t="shared" si="3"/>
        <v>Bulegeni Town Council</v>
      </c>
      <c r="F215" s="60">
        <v>199</v>
      </c>
    </row>
    <row r="216" spans="1:6">
      <c r="A216" s="60" t="s">
        <v>737</v>
      </c>
      <c r="B216" s="60" t="s">
        <v>731</v>
      </c>
      <c r="C216" s="60" t="s">
        <v>731</v>
      </c>
      <c r="D216" s="60" t="str">
        <f t="shared" si="3"/>
        <v>Buluganya</v>
      </c>
      <c r="F216" s="60">
        <v>200</v>
      </c>
    </row>
    <row r="217" spans="1:6">
      <c r="A217" s="60" t="s">
        <v>738</v>
      </c>
      <c r="B217" s="60" t="s">
        <v>731</v>
      </c>
      <c r="C217" s="60" t="s">
        <v>731</v>
      </c>
      <c r="D217" s="60" t="str">
        <f t="shared" si="3"/>
        <v>Bumasobo</v>
      </c>
      <c r="F217" s="60">
        <v>201</v>
      </c>
    </row>
    <row r="218" spans="1:6">
      <c r="A218" s="60" t="s">
        <v>739</v>
      </c>
      <c r="B218" s="60" t="s">
        <v>731</v>
      </c>
      <c r="C218" s="60" t="s">
        <v>731</v>
      </c>
      <c r="D218" s="60" t="str">
        <f t="shared" si="3"/>
        <v>Bumugibole</v>
      </c>
      <c r="F218" s="60">
        <v>202</v>
      </c>
    </row>
    <row r="219" spans="1:6">
      <c r="A219" s="60" t="s">
        <v>740</v>
      </c>
      <c r="B219" s="60" t="s">
        <v>731</v>
      </c>
      <c r="C219" s="60" t="s">
        <v>731</v>
      </c>
      <c r="D219" s="60" t="str">
        <f t="shared" si="3"/>
        <v>Bunambutye</v>
      </c>
      <c r="F219" s="60">
        <v>203</v>
      </c>
    </row>
    <row r="220" spans="1:6">
      <c r="A220" s="60" t="s">
        <v>741</v>
      </c>
      <c r="B220" s="60" t="s">
        <v>731</v>
      </c>
      <c r="C220" s="60" t="s">
        <v>731</v>
      </c>
      <c r="D220" s="60" t="str">
        <f t="shared" si="3"/>
        <v>Bwikhonge</v>
      </c>
      <c r="F220" s="60">
        <v>204</v>
      </c>
    </row>
    <row r="221" spans="1:6">
      <c r="A221" s="60" t="s">
        <v>742</v>
      </c>
      <c r="B221" s="60" t="s">
        <v>731</v>
      </c>
      <c r="C221" s="60" t="s">
        <v>731</v>
      </c>
      <c r="D221" s="60" t="str">
        <f t="shared" si="3"/>
        <v>Kamu</v>
      </c>
      <c r="F221" s="60">
        <v>205</v>
      </c>
    </row>
    <row r="222" spans="1:6">
      <c r="A222" s="60" t="s">
        <v>743</v>
      </c>
      <c r="B222" s="60" t="s">
        <v>731</v>
      </c>
      <c r="C222" s="60" t="s">
        <v>731</v>
      </c>
      <c r="D222" s="60" t="str">
        <f t="shared" si="3"/>
        <v>Lusha</v>
      </c>
      <c r="F222" s="60">
        <v>206</v>
      </c>
    </row>
    <row r="223" spans="1:6">
      <c r="A223" s="60" t="s">
        <v>744</v>
      </c>
      <c r="B223" s="60" t="s">
        <v>731</v>
      </c>
      <c r="C223" s="60" t="s">
        <v>731</v>
      </c>
      <c r="D223" s="60" t="str">
        <f t="shared" si="3"/>
        <v>Masiira</v>
      </c>
      <c r="F223" s="60">
        <v>207</v>
      </c>
    </row>
    <row r="224" spans="1:6">
      <c r="A224" s="60" t="s">
        <v>745</v>
      </c>
      <c r="B224" s="60" t="s">
        <v>731</v>
      </c>
      <c r="C224" s="60" t="s">
        <v>731</v>
      </c>
      <c r="D224" s="60" t="str">
        <f t="shared" si="3"/>
        <v>Muyembe</v>
      </c>
      <c r="F224" s="60">
        <v>208</v>
      </c>
    </row>
    <row r="225" spans="1:6" ht="15" customHeight="1">
      <c r="A225" s="60" t="s">
        <v>746</v>
      </c>
      <c r="B225" s="60" t="s">
        <v>731</v>
      </c>
      <c r="C225" s="60" t="s">
        <v>731</v>
      </c>
      <c r="D225" s="60" t="str">
        <f t="shared" si="3"/>
        <v>Nabbongo</v>
      </c>
      <c r="F225" s="60">
        <v>209</v>
      </c>
    </row>
    <row r="226" spans="1:6">
      <c r="A226" s="60" t="s">
        <v>747</v>
      </c>
      <c r="B226" s="60" t="s">
        <v>731</v>
      </c>
      <c r="C226" s="60" t="s">
        <v>731</v>
      </c>
      <c r="D226" s="60" t="str">
        <f t="shared" si="3"/>
        <v>Namisuni</v>
      </c>
      <c r="F226" s="60">
        <v>210</v>
      </c>
    </row>
    <row r="227" spans="1:6">
      <c r="A227" s="60" t="s">
        <v>748</v>
      </c>
      <c r="B227" s="60" t="s">
        <v>731</v>
      </c>
      <c r="C227" s="60" t="s">
        <v>731</v>
      </c>
      <c r="D227" s="60" t="str">
        <f t="shared" si="3"/>
        <v>Simu</v>
      </c>
      <c r="F227" s="60">
        <v>211</v>
      </c>
    </row>
    <row r="228" spans="1:6">
      <c r="A228" s="60" t="s">
        <v>749</v>
      </c>
      <c r="B228" s="60" t="s">
        <v>731</v>
      </c>
      <c r="C228" s="60" t="s">
        <v>731</v>
      </c>
      <c r="D228" s="60" t="str">
        <f t="shared" si="3"/>
        <v>Sisiyi</v>
      </c>
      <c r="F228" s="60">
        <v>212</v>
      </c>
    </row>
    <row r="229" spans="1:6">
      <c r="A229" s="60" t="s">
        <v>750</v>
      </c>
      <c r="B229" s="60" t="s">
        <v>751</v>
      </c>
      <c r="C229" s="60" t="s">
        <v>751</v>
      </c>
      <c r="D229" s="60" t="str">
        <f t="shared" si="3"/>
        <v>Biiso</v>
      </c>
      <c r="F229" s="60">
        <v>213</v>
      </c>
    </row>
    <row r="230" spans="1:6">
      <c r="A230" s="60" t="s">
        <v>751</v>
      </c>
      <c r="B230" s="60" t="s">
        <v>751</v>
      </c>
      <c r="C230" s="60" t="s">
        <v>751</v>
      </c>
      <c r="D230" s="60" t="str">
        <f t="shared" si="3"/>
        <v>Buliisa</v>
      </c>
      <c r="F230" s="60">
        <v>214</v>
      </c>
    </row>
    <row r="231" spans="1:6">
      <c r="A231" s="60" t="s">
        <v>752</v>
      </c>
      <c r="B231" s="60" t="s">
        <v>751</v>
      </c>
      <c r="C231" s="60" t="s">
        <v>751</v>
      </c>
      <c r="D231" s="60" t="str">
        <f t="shared" si="3"/>
        <v>Buliisa Town Council</v>
      </c>
      <c r="F231" s="60">
        <v>215</v>
      </c>
    </row>
    <row r="232" spans="1:6">
      <c r="A232" s="60" t="s">
        <v>753</v>
      </c>
      <c r="B232" s="60" t="s">
        <v>751</v>
      </c>
      <c r="C232" s="60" t="s">
        <v>751</v>
      </c>
      <c r="D232" s="60" t="str">
        <f t="shared" si="3"/>
        <v>Butiaba</v>
      </c>
      <c r="F232" s="60">
        <v>216</v>
      </c>
    </row>
    <row r="233" spans="1:6">
      <c r="A233" s="60" t="s">
        <v>754</v>
      </c>
      <c r="B233" s="60" t="s">
        <v>751</v>
      </c>
      <c r="C233" s="60" t="s">
        <v>751</v>
      </c>
      <c r="D233" s="60" t="str">
        <f t="shared" si="3"/>
        <v>Kigwera</v>
      </c>
      <c r="F233" s="60">
        <v>217</v>
      </c>
    </row>
    <row r="234" spans="1:6">
      <c r="A234" s="60" t="s">
        <v>755</v>
      </c>
      <c r="B234" s="60" t="s">
        <v>751</v>
      </c>
      <c r="C234" s="60" t="s">
        <v>751</v>
      </c>
      <c r="D234" s="60" t="str">
        <f t="shared" si="3"/>
        <v>Kihungya</v>
      </c>
      <c r="F234" s="60">
        <v>218</v>
      </c>
    </row>
    <row r="235" spans="1:6">
      <c r="A235" s="60" t="s">
        <v>756</v>
      </c>
      <c r="B235" s="60" t="s">
        <v>751</v>
      </c>
      <c r="C235" s="60" t="s">
        <v>751</v>
      </c>
      <c r="D235" s="60" t="str">
        <f t="shared" si="3"/>
        <v>Ngwedo</v>
      </c>
      <c r="F235" s="60">
        <v>219</v>
      </c>
    </row>
    <row r="236" spans="1:6">
      <c r="A236" s="60" t="s">
        <v>757</v>
      </c>
      <c r="B236" s="60" t="s">
        <v>757</v>
      </c>
      <c r="C236" s="60" t="s">
        <v>758</v>
      </c>
      <c r="D236" s="60" t="str">
        <f t="shared" si="3"/>
        <v>Bubandi</v>
      </c>
      <c r="F236" s="60">
        <v>220</v>
      </c>
    </row>
    <row r="237" spans="1:6">
      <c r="A237" s="60" t="s">
        <v>759</v>
      </c>
      <c r="B237" s="60" t="s">
        <v>760</v>
      </c>
      <c r="C237" s="60" t="s">
        <v>758</v>
      </c>
      <c r="D237" s="60" t="str">
        <f t="shared" si="3"/>
        <v>Bubukwanga</v>
      </c>
      <c r="F237" s="60">
        <v>221</v>
      </c>
    </row>
    <row r="238" spans="1:6">
      <c r="A238" s="60" t="s">
        <v>761</v>
      </c>
      <c r="B238" s="60" t="s">
        <v>760</v>
      </c>
      <c r="C238" s="60" t="s">
        <v>762</v>
      </c>
      <c r="D238" s="60" t="str">
        <f t="shared" si="3"/>
        <v>Bukonzo</v>
      </c>
      <c r="F238" s="60">
        <v>222</v>
      </c>
    </row>
    <row r="239" spans="1:6">
      <c r="A239" s="60" t="s">
        <v>763</v>
      </c>
      <c r="B239" s="60" t="s">
        <v>760</v>
      </c>
      <c r="C239" s="60" t="s">
        <v>758</v>
      </c>
      <c r="D239" s="60" t="str">
        <f t="shared" si="3"/>
        <v>Bundibugyo Town Council</v>
      </c>
      <c r="F239" s="60">
        <v>223</v>
      </c>
    </row>
    <row r="240" spans="1:6">
      <c r="A240" s="60" t="s">
        <v>764</v>
      </c>
      <c r="F240" s="60">
        <v>223</v>
      </c>
    </row>
    <row r="241" spans="1:6">
      <c r="A241" s="60" t="s">
        <v>760</v>
      </c>
      <c r="D241" s="60" t="str">
        <f t="shared" si="3"/>
        <v>Bundibugyo</v>
      </c>
      <c r="F241" s="60">
        <v>223</v>
      </c>
    </row>
    <row r="242" spans="1:6">
      <c r="A242" s="60" t="s">
        <v>765</v>
      </c>
      <c r="B242" s="60" t="s">
        <v>760</v>
      </c>
      <c r="C242" s="60" t="s">
        <v>758</v>
      </c>
      <c r="D242" s="60" t="str">
        <f t="shared" si="3"/>
        <v>Bundingoma</v>
      </c>
      <c r="F242" s="60">
        <v>224</v>
      </c>
    </row>
    <row r="243" spans="1:6">
      <c r="A243" s="60" t="s">
        <v>766</v>
      </c>
      <c r="B243" s="60" t="s">
        <v>760</v>
      </c>
      <c r="C243" s="60" t="s">
        <v>762</v>
      </c>
      <c r="D243" s="60" t="str">
        <f t="shared" si="3"/>
        <v>Burondo</v>
      </c>
      <c r="F243" s="60">
        <v>225</v>
      </c>
    </row>
    <row r="244" spans="1:6">
      <c r="A244" s="60" t="s">
        <v>767</v>
      </c>
      <c r="B244" s="60" t="s">
        <v>760</v>
      </c>
      <c r="C244" s="60" t="s">
        <v>758</v>
      </c>
      <c r="D244" s="60" t="str">
        <f t="shared" si="3"/>
        <v>Busaru</v>
      </c>
      <c r="F244" s="60">
        <v>226</v>
      </c>
    </row>
    <row r="245" spans="1:6">
      <c r="A245" s="60" t="s">
        <v>768</v>
      </c>
      <c r="B245" s="60" t="s">
        <v>760</v>
      </c>
      <c r="C245" s="60" t="s">
        <v>762</v>
      </c>
      <c r="D245" s="60" t="str">
        <f t="shared" si="3"/>
        <v>Harugale</v>
      </c>
      <c r="F245" s="60">
        <v>227</v>
      </c>
    </row>
    <row r="246" spans="1:6">
      <c r="A246" s="60" t="s">
        <v>769</v>
      </c>
      <c r="B246" s="60" t="s">
        <v>760</v>
      </c>
      <c r="C246" s="60" t="s">
        <v>762</v>
      </c>
      <c r="D246" s="60" t="str">
        <f t="shared" si="3"/>
        <v>Kagugu</v>
      </c>
      <c r="F246" s="60">
        <v>228</v>
      </c>
    </row>
    <row r="247" spans="1:6">
      <c r="A247" s="60" t="s">
        <v>770</v>
      </c>
      <c r="B247" s="60" t="s">
        <v>760</v>
      </c>
      <c r="C247" s="60" t="s">
        <v>762</v>
      </c>
      <c r="D247" s="60" t="str">
        <f t="shared" si="3"/>
        <v>Kasitu</v>
      </c>
      <c r="F247" s="60">
        <v>229</v>
      </c>
    </row>
    <row r="248" spans="1:6">
      <c r="A248" s="60" t="s">
        <v>771</v>
      </c>
      <c r="B248" s="60" t="s">
        <v>760</v>
      </c>
      <c r="C248" s="60" t="s">
        <v>758</v>
      </c>
      <c r="D248" s="60" t="str">
        <f t="shared" si="3"/>
        <v>Kirumya</v>
      </c>
      <c r="F248" s="60">
        <v>230</v>
      </c>
    </row>
    <row r="249" spans="1:6">
      <c r="A249" s="60" t="s">
        <v>772</v>
      </c>
      <c r="B249" s="60" t="s">
        <v>760</v>
      </c>
      <c r="C249" s="60" t="s">
        <v>758</v>
      </c>
      <c r="D249" s="60" t="str">
        <f t="shared" si="3"/>
        <v>Kisubba</v>
      </c>
      <c r="F249" s="60">
        <v>231</v>
      </c>
    </row>
    <row r="250" spans="1:6">
      <c r="A250" s="60" t="s">
        <v>773</v>
      </c>
      <c r="B250" s="60" t="s">
        <v>760</v>
      </c>
      <c r="C250" s="60" t="s">
        <v>758</v>
      </c>
      <c r="D250" s="60" t="str">
        <f t="shared" si="3"/>
        <v>Mirambi</v>
      </c>
      <c r="F250" s="60">
        <v>232</v>
      </c>
    </row>
    <row r="251" spans="1:6">
      <c r="A251" s="60" t="s">
        <v>774</v>
      </c>
      <c r="B251" s="60" t="s">
        <v>760</v>
      </c>
      <c r="C251" s="60" t="s">
        <v>762</v>
      </c>
      <c r="D251" s="60" t="str">
        <f t="shared" si="3"/>
        <v>Nduguto</v>
      </c>
      <c r="F251" s="60">
        <v>233</v>
      </c>
    </row>
    <row r="252" spans="1:6">
      <c r="A252" s="60" t="s">
        <v>775</v>
      </c>
      <c r="B252" s="60" t="s">
        <v>760</v>
      </c>
      <c r="C252" s="60" t="s">
        <v>762</v>
      </c>
      <c r="D252" s="60" t="str">
        <f t="shared" si="3"/>
        <v>Ngamba</v>
      </c>
      <c r="F252" s="60">
        <v>234</v>
      </c>
    </row>
    <row r="253" spans="1:6">
      <c r="A253" s="60" t="s">
        <v>776</v>
      </c>
      <c r="B253" s="60" t="s">
        <v>760</v>
      </c>
      <c r="C253" s="60" t="s">
        <v>762</v>
      </c>
      <c r="D253" s="60" t="str">
        <f t="shared" si="3"/>
        <v>Ntandi Town Council</v>
      </c>
      <c r="F253" s="60">
        <v>235</v>
      </c>
    </row>
    <row r="254" spans="1:6">
      <c r="A254" s="60" t="s">
        <v>777</v>
      </c>
      <c r="B254" s="60" t="s">
        <v>760</v>
      </c>
      <c r="C254" s="60" t="s">
        <v>762</v>
      </c>
      <c r="D254" s="60" t="str">
        <f t="shared" si="3"/>
        <v>Ntotoro</v>
      </c>
      <c r="F254" s="60">
        <v>236</v>
      </c>
    </row>
    <row r="255" spans="1:6">
      <c r="A255" s="60" t="s">
        <v>778</v>
      </c>
      <c r="B255" s="60" t="s">
        <v>760</v>
      </c>
      <c r="C255" s="60" t="s">
        <v>758</v>
      </c>
      <c r="D255" s="60" t="str">
        <f t="shared" si="3"/>
        <v>Nyahuka Town Council</v>
      </c>
      <c r="F255" s="60">
        <v>237</v>
      </c>
    </row>
    <row r="256" spans="1:6">
      <c r="A256" s="60" t="s">
        <v>779</v>
      </c>
      <c r="B256" s="60" t="s">
        <v>760</v>
      </c>
      <c r="C256" s="60" t="s">
        <v>762</v>
      </c>
      <c r="D256" s="60" t="str">
        <f t="shared" si="3"/>
        <v>Sindila</v>
      </c>
      <c r="F256" s="60">
        <v>238</v>
      </c>
    </row>
    <row r="257" spans="1:6">
      <c r="A257" s="60" t="s">
        <v>780</v>
      </c>
      <c r="B257" s="60" t="s">
        <v>760</v>
      </c>
      <c r="C257" s="60" t="s">
        <v>758</v>
      </c>
      <c r="D257" s="60" t="str">
        <f t="shared" si="3"/>
        <v>Tokwe</v>
      </c>
      <c r="F257" s="60">
        <v>239</v>
      </c>
    </row>
    <row r="258" spans="1:6">
      <c r="A258" s="60" t="s">
        <v>781</v>
      </c>
      <c r="B258" s="60" t="s">
        <v>782</v>
      </c>
      <c r="C258" s="60" t="s">
        <v>782</v>
      </c>
      <c r="D258" s="60" t="str">
        <f t="shared" si="3"/>
        <v>Buheesi</v>
      </c>
      <c r="F258" s="60">
        <v>240</v>
      </c>
    </row>
    <row r="259" spans="1:6">
      <c r="A259" s="60" t="s">
        <v>783</v>
      </c>
      <c r="B259" s="60" t="s">
        <v>782</v>
      </c>
      <c r="C259" s="60" t="s">
        <v>782</v>
      </c>
      <c r="D259" s="60" t="str">
        <f t="shared" si="3"/>
        <v>Buheesi Town Council</v>
      </c>
      <c r="F259" s="60">
        <v>241</v>
      </c>
    </row>
    <row r="260" spans="1:6">
      <c r="A260" s="60" t="s">
        <v>784</v>
      </c>
      <c r="B260" s="60" t="s">
        <v>782</v>
      </c>
      <c r="C260" s="60" t="s">
        <v>782</v>
      </c>
      <c r="D260" s="60" t="str">
        <f t="shared" si="3"/>
        <v>Kabonero</v>
      </c>
      <c r="F260" s="60">
        <v>242</v>
      </c>
    </row>
    <row r="261" spans="1:6">
      <c r="A261" s="60" t="s">
        <v>785</v>
      </c>
      <c r="B261" s="60" t="s">
        <v>782</v>
      </c>
      <c r="C261" s="60" t="s">
        <v>782</v>
      </c>
      <c r="D261" s="60" t="str">
        <f t="shared" si="3"/>
        <v>Katebwa</v>
      </c>
      <c r="F261" s="60">
        <v>243</v>
      </c>
    </row>
    <row r="262" spans="1:6">
      <c r="A262" s="60" t="s">
        <v>786</v>
      </c>
      <c r="B262" s="60" t="s">
        <v>782</v>
      </c>
      <c r="C262" s="60" t="s">
        <v>782</v>
      </c>
      <c r="D262" s="60" t="str">
        <f t="shared" si="3"/>
        <v>Kibiito</v>
      </c>
      <c r="F262" s="60">
        <v>244</v>
      </c>
    </row>
    <row r="263" spans="1:6">
      <c r="A263" s="60" t="s">
        <v>787</v>
      </c>
      <c r="B263" s="60" t="s">
        <v>782</v>
      </c>
      <c r="C263" s="60" t="s">
        <v>782</v>
      </c>
      <c r="D263" s="60" t="str">
        <f t="shared" si="3"/>
        <v>Kibiito Town Council</v>
      </c>
      <c r="F263" s="60">
        <v>245</v>
      </c>
    </row>
    <row r="264" spans="1:6">
      <c r="A264" s="60" t="s">
        <v>788</v>
      </c>
      <c r="B264" s="60" t="s">
        <v>782</v>
      </c>
      <c r="C264" s="60" t="s">
        <v>782</v>
      </c>
      <c r="D264" s="60" t="str">
        <f t="shared" si="3"/>
        <v>Kisomoro</v>
      </c>
      <c r="F264" s="60">
        <v>246</v>
      </c>
    </row>
    <row r="265" spans="1:6">
      <c r="A265" s="60" t="s">
        <v>789</v>
      </c>
      <c r="B265" s="60" t="s">
        <v>782</v>
      </c>
      <c r="C265" s="60" t="s">
        <v>782</v>
      </c>
      <c r="D265" s="60" t="str">
        <f t="shared" si="3"/>
        <v>Kyamukube Town Council</v>
      </c>
      <c r="F265" s="60">
        <v>247</v>
      </c>
    </row>
    <row r="266" spans="1:6">
      <c r="A266" s="60" t="s">
        <v>790</v>
      </c>
      <c r="B266" s="60" t="s">
        <v>782</v>
      </c>
      <c r="C266" s="60" t="s">
        <v>782</v>
      </c>
      <c r="D266" s="60" t="str">
        <f t="shared" si="3"/>
        <v>Rubona Town Council</v>
      </c>
      <c r="F266" s="60">
        <v>248</v>
      </c>
    </row>
    <row r="267" spans="1:6">
      <c r="A267" s="60" t="s">
        <v>791</v>
      </c>
      <c r="B267" s="60" t="s">
        <v>782</v>
      </c>
      <c r="C267" s="60" t="s">
        <v>782</v>
      </c>
      <c r="D267" s="60" t="str">
        <f t="shared" si="3"/>
        <v>Rwimi</v>
      </c>
      <c r="F267" s="60">
        <v>249</v>
      </c>
    </row>
    <row r="268" spans="1:6">
      <c r="A268" s="60" t="s">
        <v>792</v>
      </c>
      <c r="B268" s="60" t="s">
        <v>782</v>
      </c>
      <c r="C268" s="60" t="s">
        <v>782</v>
      </c>
      <c r="D268" s="60" t="str">
        <f t="shared" si="3"/>
        <v>Rwimi Town Council</v>
      </c>
      <c r="F268" s="60">
        <v>250</v>
      </c>
    </row>
    <row r="269" spans="1:6">
      <c r="A269" s="60" t="s">
        <v>793</v>
      </c>
      <c r="B269" s="60" t="s">
        <v>39</v>
      </c>
      <c r="C269" s="60" t="s">
        <v>794</v>
      </c>
      <c r="D269" s="60" t="str">
        <f t="shared" si="3"/>
        <v>Bitooma</v>
      </c>
      <c r="F269" s="60">
        <v>251</v>
      </c>
    </row>
    <row r="270" spans="1:6">
      <c r="A270" s="60" t="s">
        <v>795</v>
      </c>
      <c r="B270" s="60" t="s">
        <v>39</v>
      </c>
      <c r="C270" s="60" t="s">
        <v>794</v>
      </c>
      <c r="D270" s="60" t="str">
        <f t="shared" si="3"/>
        <v>Bumbaire</v>
      </c>
      <c r="F270" s="60">
        <v>252</v>
      </c>
    </row>
    <row r="271" spans="1:6">
      <c r="A271" s="60" t="s">
        <v>796</v>
      </c>
      <c r="B271" s="60" t="s">
        <v>39</v>
      </c>
      <c r="C271" s="60" t="s">
        <v>796</v>
      </c>
      <c r="D271" s="60" t="str">
        <f t="shared" si="3"/>
        <v>Bushenyi-Ishaka Municipality</v>
      </c>
      <c r="F271" s="60">
        <v>253</v>
      </c>
    </row>
    <row r="272" spans="1:6">
      <c r="A272" s="60" t="s">
        <v>38</v>
      </c>
      <c r="D272" s="60" t="str">
        <f t="shared" si="3"/>
        <v>Ishaka</v>
      </c>
      <c r="F272" s="60">
        <v>253</v>
      </c>
    </row>
    <row r="273" spans="1:6">
      <c r="A273" s="60" t="s">
        <v>797</v>
      </c>
      <c r="B273" s="60" t="s">
        <v>39</v>
      </c>
      <c r="C273" s="60" t="s">
        <v>794</v>
      </c>
      <c r="D273" s="60" t="str">
        <f t="shared" si="3"/>
        <v>Ibaare</v>
      </c>
      <c r="F273" s="60">
        <v>254</v>
      </c>
    </row>
    <row r="274" spans="1:6">
      <c r="A274" s="60" t="s">
        <v>798</v>
      </c>
      <c r="B274" s="60" t="s">
        <v>39</v>
      </c>
      <c r="C274" s="60" t="s">
        <v>794</v>
      </c>
      <c r="D274" s="60" t="str">
        <f t="shared" si="3"/>
        <v>Kakanju</v>
      </c>
      <c r="F274" s="60">
        <v>255</v>
      </c>
    </row>
    <row r="275" spans="1:6">
      <c r="A275" s="60" t="s">
        <v>799</v>
      </c>
      <c r="B275" s="60" t="s">
        <v>39</v>
      </c>
      <c r="C275" s="60" t="s">
        <v>794</v>
      </c>
      <c r="D275" s="60" t="str">
        <f t="shared" si="3"/>
        <v>Kyabugimbi</v>
      </c>
      <c r="F275" s="60">
        <v>256</v>
      </c>
    </row>
    <row r="276" spans="1:6">
      <c r="A276" s="60" t="s">
        <v>54</v>
      </c>
      <c r="B276" s="60" t="s">
        <v>39</v>
      </c>
      <c r="C276" s="60" t="s">
        <v>794</v>
      </c>
      <c r="D276" s="60" t="str">
        <f t="shared" ref="D276:D345" si="4">A276</f>
        <v>Kyamuhunga</v>
      </c>
      <c r="F276" s="60">
        <v>257</v>
      </c>
    </row>
    <row r="277" spans="1:6">
      <c r="A277" s="60" t="s">
        <v>800</v>
      </c>
      <c r="B277" s="60" t="s">
        <v>39</v>
      </c>
      <c r="C277" s="60" t="s">
        <v>794</v>
      </c>
      <c r="D277" s="60" t="str">
        <f t="shared" si="4"/>
        <v>Kyamuhunga Town Council</v>
      </c>
      <c r="F277" s="60">
        <v>258</v>
      </c>
    </row>
    <row r="278" spans="1:6">
      <c r="A278" s="60" t="s">
        <v>801</v>
      </c>
      <c r="B278" s="60" t="s">
        <v>39</v>
      </c>
      <c r="C278" s="60" t="s">
        <v>794</v>
      </c>
      <c r="D278" s="60" t="str">
        <f t="shared" si="4"/>
        <v>Kyeizooba</v>
      </c>
      <c r="F278" s="60">
        <v>259</v>
      </c>
    </row>
    <row r="279" spans="1:6">
      <c r="A279" s="60" t="s">
        <v>802</v>
      </c>
      <c r="B279" s="60" t="s">
        <v>39</v>
      </c>
      <c r="C279" s="60" t="s">
        <v>794</v>
      </c>
      <c r="D279" s="60" t="str">
        <f t="shared" si="4"/>
        <v>Nyabubare</v>
      </c>
      <c r="F279" s="60">
        <v>260</v>
      </c>
    </row>
    <row r="280" spans="1:6">
      <c r="A280" s="60" t="s">
        <v>803</v>
      </c>
      <c r="B280" s="60" t="s">
        <v>39</v>
      </c>
      <c r="C280" s="60" t="s">
        <v>794</v>
      </c>
      <c r="D280" s="60" t="str">
        <f t="shared" si="4"/>
        <v>Ruhumuro</v>
      </c>
      <c r="F280" s="60">
        <v>261</v>
      </c>
    </row>
    <row r="281" spans="1:6">
      <c r="A281" s="60" t="s">
        <v>804</v>
      </c>
      <c r="B281" s="60" t="s">
        <v>805</v>
      </c>
      <c r="C281" s="60" t="s">
        <v>806</v>
      </c>
      <c r="D281" s="60" t="str">
        <f t="shared" si="4"/>
        <v>Buhehe</v>
      </c>
      <c r="F281" s="60">
        <v>262</v>
      </c>
    </row>
    <row r="282" spans="1:6">
      <c r="A282" s="60" t="s">
        <v>807</v>
      </c>
      <c r="B282" s="60" t="s">
        <v>805</v>
      </c>
      <c r="C282" s="60" t="s">
        <v>806</v>
      </c>
      <c r="D282" s="60" t="str">
        <f t="shared" si="4"/>
        <v>Bulumbi</v>
      </c>
      <c r="F282" s="60">
        <v>263</v>
      </c>
    </row>
    <row r="283" spans="1:6">
      <c r="A283" s="63" t="s">
        <v>808</v>
      </c>
      <c r="B283" s="60" t="s">
        <v>805</v>
      </c>
      <c r="C283" s="60" t="s">
        <v>808</v>
      </c>
      <c r="D283" s="60" t="str">
        <f t="shared" si="4"/>
        <v>Busia Municipality</v>
      </c>
      <c r="F283" s="60">
        <v>264</v>
      </c>
    </row>
    <row r="284" spans="1:6">
      <c r="A284" s="60" t="s">
        <v>809</v>
      </c>
      <c r="B284" s="60" t="s">
        <v>805</v>
      </c>
      <c r="C284" s="60" t="s">
        <v>806</v>
      </c>
      <c r="D284" s="60" t="str">
        <f t="shared" si="4"/>
        <v>Busime</v>
      </c>
      <c r="F284" s="60">
        <v>265</v>
      </c>
    </row>
    <row r="285" spans="1:6">
      <c r="A285" s="60" t="s">
        <v>810</v>
      </c>
      <c r="B285" s="60" t="s">
        <v>805</v>
      </c>
      <c r="C285" s="60" t="s">
        <v>806</v>
      </c>
      <c r="D285" s="60" t="str">
        <f t="shared" si="4"/>
        <v>Busitema</v>
      </c>
      <c r="F285" s="60">
        <v>266</v>
      </c>
    </row>
    <row r="286" spans="1:6">
      <c r="A286" s="60" t="s">
        <v>811</v>
      </c>
      <c r="B286" s="60" t="s">
        <v>805</v>
      </c>
      <c r="C286" s="60" t="s">
        <v>806</v>
      </c>
      <c r="D286" s="60" t="str">
        <f t="shared" si="4"/>
        <v>Buteba</v>
      </c>
      <c r="F286" s="60">
        <v>267</v>
      </c>
    </row>
    <row r="287" spans="1:6">
      <c r="A287" s="60" t="s">
        <v>812</v>
      </c>
      <c r="B287" s="60" t="s">
        <v>805</v>
      </c>
      <c r="C287" s="60" t="s">
        <v>806</v>
      </c>
      <c r="D287" s="60" t="str">
        <f t="shared" si="4"/>
        <v>Buyanga-Busia</v>
      </c>
      <c r="F287" s="60">
        <v>268</v>
      </c>
    </row>
    <row r="288" spans="1:6">
      <c r="A288" s="60" t="s">
        <v>813</v>
      </c>
      <c r="B288" s="60" t="s">
        <v>805</v>
      </c>
      <c r="C288" s="60" t="s">
        <v>806</v>
      </c>
      <c r="D288" s="60" t="str">
        <f t="shared" si="4"/>
        <v>Dabani</v>
      </c>
      <c r="F288" s="60">
        <v>269</v>
      </c>
    </row>
    <row r="289" spans="1:6">
      <c r="A289" s="60" t="s">
        <v>814</v>
      </c>
      <c r="B289" s="60" t="s">
        <v>805</v>
      </c>
      <c r="C289" s="60" t="s">
        <v>806</v>
      </c>
      <c r="D289" s="60" t="str">
        <f t="shared" si="4"/>
        <v>Lumino</v>
      </c>
      <c r="F289" s="60">
        <v>270</v>
      </c>
    </row>
    <row r="290" spans="1:6">
      <c r="A290" s="60" t="s">
        <v>815</v>
      </c>
      <c r="B290" s="60" t="s">
        <v>805</v>
      </c>
      <c r="C290" s="60" t="s">
        <v>806</v>
      </c>
      <c r="D290" s="60" t="str">
        <f t="shared" si="4"/>
        <v>Lunyo</v>
      </c>
      <c r="F290" s="60">
        <v>271</v>
      </c>
    </row>
    <row r="291" spans="1:6">
      <c r="A291" s="60" t="s">
        <v>816</v>
      </c>
      <c r="B291" s="60" t="s">
        <v>805</v>
      </c>
      <c r="C291" s="60" t="s">
        <v>806</v>
      </c>
      <c r="D291" s="60" t="str">
        <f t="shared" si="4"/>
        <v>Majanji</v>
      </c>
      <c r="F291" s="60">
        <v>272</v>
      </c>
    </row>
    <row r="292" spans="1:6">
      <c r="A292" s="60" t="s">
        <v>817</v>
      </c>
      <c r="B292" s="60" t="s">
        <v>805</v>
      </c>
      <c r="C292" s="60" t="s">
        <v>806</v>
      </c>
      <c r="D292" s="60" t="str">
        <f t="shared" si="4"/>
        <v>Masaba-Busia</v>
      </c>
      <c r="F292" s="60">
        <v>273</v>
      </c>
    </row>
    <row r="293" spans="1:6">
      <c r="A293" s="60" t="s">
        <v>818</v>
      </c>
      <c r="B293" s="60" t="s">
        <v>805</v>
      </c>
      <c r="C293" s="60" t="s">
        <v>806</v>
      </c>
      <c r="D293" s="60" t="str">
        <f t="shared" si="4"/>
        <v>Masafu</v>
      </c>
      <c r="F293" s="60">
        <v>274</v>
      </c>
    </row>
    <row r="294" spans="1:6">
      <c r="A294" s="60" t="s">
        <v>819</v>
      </c>
      <c r="B294" s="60" t="s">
        <v>805</v>
      </c>
      <c r="C294" s="60" t="s">
        <v>806</v>
      </c>
      <c r="D294" s="60" t="str">
        <f t="shared" si="4"/>
        <v>Masinya</v>
      </c>
      <c r="F294" s="60">
        <v>275</v>
      </c>
    </row>
    <row r="295" spans="1:6">
      <c r="A295" s="60" t="s">
        <v>820</v>
      </c>
      <c r="B295" s="60" t="s">
        <v>805</v>
      </c>
      <c r="C295" s="60" t="s">
        <v>806</v>
      </c>
      <c r="D295" s="60" t="str">
        <f t="shared" si="4"/>
        <v>Sikuda</v>
      </c>
      <c r="F295" s="60">
        <v>276</v>
      </c>
    </row>
    <row r="296" spans="1:6">
      <c r="A296" s="60" t="s">
        <v>821</v>
      </c>
      <c r="B296" s="60" t="s">
        <v>822</v>
      </c>
      <c r="C296" s="60" t="s">
        <v>823</v>
      </c>
      <c r="D296" s="60" t="str">
        <f t="shared" si="4"/>
        <v>Budumba</v>
      </c>
      <c r="F296" s="60">
        <v>277</v>
      </c>
    </row>
    <row r="297" spans="1:6">
      <c r="A297" s="60" t="s">
        <v>824</v>
      </c>
      <c r="B297" s="60" t="s">
        <v>822</v>
      </c>
      <c r="C297" s="60" t="s">
        <v>823</v>
      </c>
      <c r="D297" s="60" t="str">
        <f t="shared" si="4"/>
        <v>Busaba</v>
      </c>
      <c r="F297" s="60">
        <v>278</v>
      </c>
    </row>
    <row r="298" spans="1:6">
      <c r="A298" s="60" t="s">
        <v>825</v>
      </c>
      <c r="B298" s="60" t="s">
        <v>822</v>
      </c>
      <c r="C298" s="60" t="s">
        <v>823</v>
      </c>
      <c r="D298" s="60" t="str">
        <f t="shared" si="4"/>
        <v>Busabi</v>
      </c>
      <c r="F298" s="60">
        <v>279</v>
      </c>
    </row>
    <row r="299" spans="1:6">
      <c r="A299" s="60" t="s">
        <v>826</v>
      </c>
      <c r="B299" s="60" t="s">
        <v>822</v>
      </c>
      <c r="C299" s="60" t="s">
        <v>823</v>
      </c>
      <c r="D299" s="60" t="str">
        <f t="shared" si="4"/>
        <v>Busolwe</v>
      </c>
      <c r="F299" s="60">
        <v>280</v>
      </c>
    </row>
    <row r="300" spans="1:6">
      <c r="A300" s="60" t="s">
        <v>827</v>
      </c>
      <c r="B300" s="60" t="s">
        <v>822</v>
      </c>
      <c r="C300" s="60" t="s">
        <v>823</v>
      </c>
      <c r="D300" s="60" t="str">
        <f t="shared" si="4"/>
        <v>Busolwe Town Council</v>
      </c>
      <c r="F300" s="60">
        <v>281</v>
      </c>
    </row>
    <row r="301" spans="1:6">
      <c r="A301" s="60" t="s">
        <v>822</v>
      </c>
      <c r="B301" s="60" t="s">
        <v>822</v>
      </c>
      <c r="C301" s="60" t="s">
        <v>823</v>
      </c>
      <c r="D301" s="60" t="str">
        <f t="shared" si="4"/>
        <v>Butaleja</v>
      </c>
      <c r="F301" s="60">
        <v>282</v>
      </c>
    </row>
    <row r="302" spans="1:6">
      <c r="A302" s="60" t="s">
        <v>828</v>
      </c>
      <c r="B302" s="60" t="s">
        <v>822</v>
      </c>
      <c r="C302" s="60" t="s">
        <v>823</v>
      </c>
      <c r="D302" s="60" t="str">
        <f t="shared" si="4"/>
        <v>Butaleja Town Council</v>
      </c>
      <c r="F302" s="60">
        <v>283</v>
      </c>
    </row>
    <row r="303" spans="1:6">
      <c r="A303" s="60" t="s">
        <v>829</v>
      </c>
      <c r="B303" s="60" t="s">
        <v>822</v>
      </c>
      <c r="C303" s="60" t="s">
        <v>823</v>
      </c>
      <c r="D303" s="60" t="str">
        <f t="shared" si="4"/>
        <v>Himutu</v>
      </c>
      <c r="F303" s="60">
        <v>284</v>
      </c>
    </row>
    <row r="304" spans="1:6">
      <c r="A304" s="60" t="s">
        <v>830</v>
      </c>
      <c r="B304" s="60" t="s">
        <v>822</v>
      </c>
      <c r="C304" s="60" t="s">
        <v>823</v>
      </c>
      <c r="D304" s="60" t="str">
        <f t="shared" si="4"/>
        <v>Kachonga</v>
      </c>
      <c r="F304" s="60">
        <v>285</v>
      </c>
    </row>
    <row r="305" spans="1:6">
      <c r="A305" s="60" t="s">
        <v>831</v>
      </c>
      <c r="B305" s="60" t="s">
        <v>822</v>
      </c>
      <c r="C305" s="60" t="s">
        <v>823</v>
      </c>
      <c r="D305" s="60" t="str">
        <f t="shared" si="4"/>
        <v>Mazimasa</v>
      </c>
      <c r="F305" s="60">
        <v>286</v>
      </c>
    </row>
    <row r="306" spans="1:6">
      <c r="A306" s="60" t="s">
        <v>832</v>
      </c>
      <c r="B306" s="60" t="s">
        <v>822</v>
      </c>
      <c r="C306" s="60" t="s">
        <v>823</v>
      </c>
      <c r="D306" s="60" t="str">
        <f t="shared" si="4"/>
        <v>Nawanjofu</v>
      </c>
      <c r="F306" s="60">
        <v>287</v>
      </c>
    </row>
    <row r="307" spans="1:6">
      <c r="A307" s="60" t="s">
        <v>833</v>
      </c>
      <c r="B307" s="60" t="s">
        <v>822</v>
      </c>
      <c r="C307" s="60" t="s">
        <v>823</v>
      </c>
      <c r="D307" s="60" t="str">
        <f t="shared" si="4"/>
        <v>Naweyo</v>
      </c>
      <c r="F307" s="60">
        <v>288</v>
      </c>
    </row>
    <row r="308" spans="1:6">
      <c r="A308" s="60" t="s">
        <v>834</v>
      </c>
      <c r="B308" s="60" t="s">
        <v>835</v>
      </c>
      <c r="C308" s="60" t="s">
        <v>835</v>
      </c>
      <c r="D308" s="60" t="str">
        <f t="shared" si="4"/>
        <v>Budde</v>
      </c>
      <c r="F308" s="60">
        <v>289</v>
      </c>
    </row>
    <row r="309" spans="1:6">
      <c r="A309" s="60" t="s">
        <v>836</v>
      </c>
      <c r="F309" s="60">
        <v>289</v>
      </c>
    </row>
    <row r="310" spans="1:6">
      <c r="A310" s="60" t="s">
        <v>837</v>
      </c>
      <c r="F310" s="60">
        <v>289</v>
      </c>
    </row>
    <row r="311" spans="1:6">
      <c r="A311" s="60" t="s">
        <v>838</v>
      </c>
      <c r="B311" s="60" t="s">
        <v>835</v>
      </c>
      <c r="C311" s="60" t="s">
        <v>835</v>
      </c>
      <c r="D311" s="60" t="str">
        <f t="shared" si="4"/>
        <v>Bulo</v>
      </c>
      <c r="F311" s="60">
        <v>290</v>
      </c>
    </row>
    <row r="312" spans="1:6">
      <c r="A312" s="60" t="s">
        <v>839</v>
      </c>
      <c r="B312" s="60" t="s">
        <v>835</v>
      </c>
      <c r="C312" s="60" t="s">
        <v>835</v>
      </c>
      <c r="D312" s="60" t="str">
        <f t="shared" si="4"/>
        <v>Gombe Town Council</v>
      </c>
      <c r="F312" s="60">
        <v>291</v>
      </c>
    </row>
    <row r="313" spans="1:6">
      <c r="A313" s="60" t="s">
        <v>840</v>
      </c>
      <c r="B313" s="60" t="s">
        <v>835</v>
      </c>
      <c r="C313" s="60" t="s">
        <v>835</v>
      </c>
      <c r="D313" s="60" t="str">
        <f t="shared" si="4"/>
        <v>Kalamba</v>
      </c>
      <c r="F313" s="60">
        <v>292</v>
      </c>
    </row>
    <row r="314" spans="1:6">
      <c r="A314" s="60" t="s">
        <v>841</v>
      </c>
      <c r="B314" s="60" t="s">
        <v>835</v>
      </c>
      <c r="C314" s="60" t="s">
        <v>835</v>
      </c>
      <c r="D314" s="60" t="str">
        <f t="shared" si="4"/>
        <v>Kibibi</v>
      </c>
      <c r="F314" s="60">
        <v>293</v>
      </c>
    </row>
    <row r="315" spans="1:6">
      <c r="A315" s="60" t="s">
        <v>842</v>
      </c>
      <c r="B315" s="60" t="s">
        <v>835</v>
      </c>
      <c r="C315" s="60" t="s">
        <v>835</v>
      </c>
      <c r="D315" s="60" t="str">
        <f t="shared" si="4"/>
        <v>Ngando</v>
      </c>
      <c r="F315" s="60">
        <v>294</v>
      </c>
    </row>
    <row r="316" spans="1:6">
      <c r="A316" s="60" t="s">
        <v>843</v>
      </c>
      <c r="B316" s="60" t="s">
        <v>843</v>
      </c>
      <c r="C316" s="60" t="s">
        <v>844</v>
      </c>
      <c r="D316" s="60" t="str">
        <f t="shared" si="4"/>
        <v>Butebo</v>
      </c>
      <c r="F316" s="60">
        <v>295</v>
      </c>
    </row>
    <row r="317" spans="1:6">
      <c r="A317" s="60" t="s">
        <v>845</v>
      </c>
      <c r="B317" s="60" t="s">
        <v>843</v>
      </c>
      <c r="C317" s="60" t="s">
        <v>844</v>
      </c>
      <c r="D317" s="60" t="str">
        <f t="shared" si="4"/>
        <v>Kabwangasi</v>
      </c>
      <c r="F317" s="60">
        <v>296</v>
      </c>
    </row>
    <row r="318" spans="1:6">
      <c r="A318" s="60" t="s">
        <v>846</v>
      </c>
      <c r="B318" s="60" t="s">
        <v>843</v>
      </c>
      <c r="C318" s="60" t="s">
        <v>844</v>
      </c>
      <c r="D318" s="60" t="str">
        <f t="shared" si="4"/>
        <v>Kakoro</v>
      </c>
      <c r="F318" s="60">
        <v>297</v>
      </c>
    </row>
    <row r="319" spans="1:6">
      <c r="A319" s="60" t="s">
        <v>847</v>
      </c>
      <c r="B319" s="60" t="s">
        <v>843</v>
      </c>
      <c r="C319" s="60" t="s">
        <v>844</v>
      </c>
      <c r="D319" s="60" t="str">
        <f t="shared" si="4"/>
        <v>Kanginima</v>
      </c>
      <c r="F319" s="60">
        <v>298</v>
      </c>
    </row>
    <row r="320" spans="1:6">
      <c r="A320" s="60" t="s">
        <v>848</v>
      </c>
      <c r="B320" s="60" t="s">
        <v>843</v>
      </c>
      <c r="C320" s="60" t="s">
        <v>844</v>
      </c>
      <c r="D320" s="60" t="str">
        <f t="shared" si="4"/>
        <v>Kibale</v>
      </c>
      <c r="F320" s="60">
        <v>299</v>
      </c>
    </row>
    <row r="321" spans="1:6">
      <c r="A321" s="60" t="s">
        <v>849</v>
      </c>
      <c r="B321" s="60" t="s">
        <v>843</v>
      </c>
      <c r="C321" s="60" t="s">
        <v>844</v>
      </c>
      <c r="D321" s="60" t="str">
        <f t="shared" si="4"/>
        <v>Opwateta</v>
      </c>
      <c r="F321" s="60">
        <v>300</v>
      </c>
    </row>
    <row r="322" spans="1:6">
      <c r="A322" s="60" t="s">
        <v>850</v>
      </c>
      <c r="B322" s="60" t="s">
        <v>843</v>
      </c>
      <c r="C322" s="60" t="s">
        <v>844</v>
      </c>
      <c r="D322" s="60" t="str">
        <f t="shared" si="4"/>
        <v>Petete</v>
      </c>
      <c r="F322" s="60">
        <v>301</v>
      </c>
    </row>
    <row r="323" spans="1:6">
      <c r="A323" s="60" t="s">
        <v>851</v>
      </c>
      <c r="B323" s="60" t="s">
        <v>852</v>
      </c>
      <c r="C323" s="60" t="s">
        <v>853</v>
      </c>
      <c r="D323" s="60" t="str">
        <f t="shared" si="4"/>
        <v>Bugaya-Buvuma</v>
      </c>
      <c r="F323" s="60">
        <v>302</v>
      </c>
    </row>
    <row r="324" spans="1:6">
      <c r="A324" s="60" t="s">
        <v>854</v>
      </c>
      <c r="B324" s="60" t="s">
        <v>852</v>
      </c>
      <c r="C324" s="60" t="s">
        <v>853</v>
      </c>
      <c r="D324" s="60" t="str">
        <f t="shared" si="4"/>
        <v>Busamuzi</v>
      </c>
      <c r="F324" s="60">
        <v>303</v>
      </c>
    </row>
    <row r="325" spans="1:6">
      <c r="A325" s="60" t="s">
        <v>855</v>
      </c>
      <c r="B325" s="60" t="s">
        <v>852</v>
      </c>
      <c r="C325" s="60" t="s">
        <v>853</v>
      </c>
      <c r="D325" s="60" t="str">
        <f t="shared" si="4"/>
        <v>Buvuma Town Council</v>
      </c>
      <c r="F325" s="60">
        <v>304</v>
      </c>
    </row>
    <row r="326" spans="1:6">
      <c r="A326" s="60" t="s">
        <v>856</v>
      </c>
      <c r="B326" s="60" t="s">
        <v>852</v>
      </c>
      <c r="C326" s="60" t="s">
        <v>853</v>
      </c>
      <c r="D326" s="60" t="str">
        <f t="shared" si="4"/>
        <v>Buwooya</v>
      </c>
      <c r="F326" s="60">
        <v>305</v>
      </c>
    </row>
    <row r="327" spans="1:6">
      <c r="A327" s="60" t="s">
        <v>857</v>
      </c>
      <c r="B327" s="60" t="s">
        <v>852</v>
      </c>
      <c r="C327" s="60" t="s">
        <v>853</v>
      </c>
      <c r="D327" s="60" t="str">
        <f t="shared" si="4"/>
        <v>Bweema</v>
      </c>
      <c r="F327" s="60">
        <v>306</v>
      </c>
    </row>
    <row r="328" spans="1:6">
      <c r="A328" s="60" t="s">
        <v>858</v>
      </c>
      <c r="B328" s="60" t="s">
        <v>852</v>
      </c>
      <c r="C328" s="60" t="s">
        <v>853</v>
      </c>
      <c r="D328" s="60" t="str">
        <f t="shared" si="4"/>
        <v>Lubya</v>
      </c>
      <c r="F328" s="60">
        <v>307</v>
      </c>
    </row>
    <row r="329" spans="1:6">
      <c r="A329" s="60" t="s">
        <v>859</v>
      </c>
      <c r="B329" s="60" t="s">
        <v>852</v>
      </c>
      <c r="C329" s="60" t="s">
        <v>853</v>
      </c>
      <c r="D329" s="60" t="str">
        <f t="shared" si="4"/>
        <v>Lwajje</v>
      </c>
      <c r="F329" s="60">
        <v>308</v>
      </c>
    </row>
    <row r="330" spans="1:6">
      <c r="A330" s="60" t="s">
        <v>860</v>
      </c>
      <c r="B330" s="60" t="s">
        <v>852</v>
      </c>
      <c r="C330" s="60" t="s">
        <v>853</v>
      </c>
      <c r="D330" s="60" t="str">
        <f t="shared" si="4"/>
        <v>Lyabaana</v>
      </c>
      <c r="F330" s="60">
        <v>309</v>
      </c>
    </row>
    <row r="331" spans="1:6">
      <c r="A331" s="60" t="s">
        <v>861</v>
      </c>
      <c r="B331" s="60" t="s">
        <v>852</v>
      </c>
      <c r="C331" s="60" t="s">
        <v>853</v>
      </c>
      <c r="D331" s="60" t="str">
        <f t="shared" si="4"/>
        <v>Nairambi</v>
      </c>
      <c r="F331" s="60">
        <v>310</v>
      </c>
    </row>
    <row r="332" spans="1:6">
      <c r="A332" s="60" t="s">
        <v>862</v>
      </c>
      <c r="B332" s="60" t="s">
        <v>399</v>
      </c>
      <c r="C332" s="60" t="s">
        <v>863</v>
      </c>
      <c r="D332" s="60" t="str">
        <f t="shared" si="4"/>
        <v>Bugaya-Buyende</v>
      </c>
      <c r="F332" s="60">
        <v>311</v>
      </c>
    </row>
    <row r="333" spans="1:6">
      <c r="A333" s="60" t="s">
        <v>864</v>
      </c>
      <c r="F333" s="60">
        <v>311</v>
      </c>
    </row>
    <row r="334" spans="1:6">
      <c r="A334" s="60" t="s">
        <v>399</v>
      </c>
      <c r="B334" s="60" t="s">
        <v>399</v>
      </c>
      <c r="C334" s="60" t="s">
        <v>863</v>
      </c>
      <c r="D334" s="60" t="str">
        <f t="shared" si="4"/>
        <v>Buyende</v>
      </c>
      <c r="F334" s="60">
        <v>312</v>
      </c>
    </row>
    <row r="335" spans="1:6">
      <c r="A335" s="60" t="s">
        <v>865</v>
      </c>
      <c r="D335" s="60" t="str">
        <f t="shared" si="4"/>
        <v>Nakabira</v>
      </c>
      <c r="F335" s="60">
        <v>312</v>
      </c>
    </row>
    <row r="336" spans="1:6">
      <c r="A336" s="60" t="s">
        <v>866</v>
      </c>
      <c r="D336" s="60" t="str">
        <f t="shared" si="4"/>
        <v>Bukungu</v>
      </c>
      <c r="F336" s="60">
        <v>312</v>
      </c>
    </row>
    <row r="337" spans="1:6">
      <c r="A337" s="60" t="s">
        <v>867</v>
      </c>
      <c r="F337" s="60">
        <v>312</v>
      </c>
    </row>
    <row r="338" spans="1:6">
      <c r="A338" s="60" t="s">
        <v>868</v>
      </c>
      <c r="F338" s="60">
        <v>312</v>
      </c>
    </row>
    <row r="339" spans="1:6">
      <c r="A339" s="60" t="s">
        <v>869</v>
      </c>
      <c r="B339" s="60" t="s">
        <v>399</v>
      </c>
      <c r="C339" s="60" t="s">
        <v>863</v>
      </c>
      <c r="D339" s="60" t="str">
        <f t="shared" si="4"/>
        <v>Buyende Town Council</v>
      </c>
      <c r="F339" s="60">
        <v>313</v>
      </c>
    </row>
    <row r="340" spans="1:6">
      <c r="A340" s="60" t="s">
        <v>870</v>
      </c>
      <c r="B340" s="60" t="s">
        <v>399</v>
      </c>
      <c r="C340" s="60" t="s">
        <v>863</v>
      </c>
      <c r="D340" s="60" t="str">
        <f t="shared" si="4"/>
        <v>Kagulu</v>
      </c>
      <c r="F340" s="60">
        <v>314</v>
      </c>
    </row>
    <row r="341" spans="1:6">
      <c r="A341" s="60" t="s">
        <v>871</v>
      </c>
      <c r="B341" s="60" t="s">
        <v>399</v>
      </c>
      <c r="C341" s="60" t="s">
        <v>863</v>
      </c>
      <c r="D341" s="60" t="str">
        <f t="shared" si="4"/>
        <v>Kidera</v>
      </c>
      <c r="F341" s="60">
        <v>315</v>
      </c>
    </row>
    <row r="342" spans="1:6">
      <c r="A342" s="60" t="s">
        <v>872</v>
      </c>
      <c r="B342" s="60" t="s">
        <v>399</v>
      </c>
      <c r="C342" s="60" t="s">
        <v>863</v>
      </c>
      <c r="D342" s="60" t="str">
        <f t="shared" si="4"/>
        <v>Nkondo</v>
      </c>
      <c r="F342" s="60">
        <v>316</v>
      </c>
    </row>
    <row r="343" spans="1:6">
      <c r="A343" s="60" t="s">
        <v>873</v>
      </c>
      <c r="B343" s="60" t="s">
        <v>874</v>
      </c>
      <c r="C343" s="60" t="s">
        <v>874</v>
      </c>
      <c r="D343" s="60" t="str">
        <f t="shared" si="4"/>
        <v>Adeknino</v>
      </c>
      <c r="F343" s="60">
        <v>317</v>
      </c>
    </row>
    <row r="344" spans="1:6">
      <c r="A344" s="60" t="s">
        <v>875</v>
      </c>
      <c r="B344" s="60" t="s">
        <v>874</v>
      </c>
      <c r="C344" s="60" t="s">
        <v>874</v>
      </c>
      <c r="D344" s="60" t="str">
        <f t="shared" si="4"/>
        <v>Adok</v>
      </c>
      <c r="F344" s="60">
        <v>318</v>
      </c>
    </row>
    <row r="345" spans="1:6">
      <c r="A345" s="60" t="s">
        <v>876</v>
      </c>
      <c r="B345" s="60" t="s">
        <v>874</v>
      </c>
      <c r="C345" s="60" t="s">
        <v>874</v>
      </c>
      <c r="D345" s="60" t="str">
        <f t="shared" si="4"/>
        <v>Agwata</v>
      </c>
      <c r="F345" s="60">
        <v>319</v>
      </c>
    </row>
    <row r="346" spans="1:6">
      <c r="A346" s="60" t="s">
        <v>877</v>
      </c>
      <c r="B346" s="60" t="s">
        <v>874</v>
      </c>
      <c r="C346" s="60" t="s">
        <v>874</v>
      </c>
      <c r="D346" s="60" t="str">
        <f t="shared" ref="D346:D433" si="5">A346</f>
        <v>Amwoma</v>
      </c>
      <c r="F346" s="60">
        <v>320</v>
      </c>
    </row>
    <row r="347" spans="1:6">
      <c r="A347" s="60" t="s">
        <v>878</v>
      </c>
      <c r="B347" s="60" t="s">
        <v>874</v>
      </c>
      <c r="C347" s="60" t="s">
        <v>874</v>
      </c>
      <c r="D347" s="60" t="str">
        <f t="shared" si="5"/>
        <v>Batta</v>
      </c>
      <c r="F347" s="60">
        <v>321</v>
      </c>
    </row>
    <row r="348" spans="1:6">
      <c r="A348" s="60" t="s">
        <v>874</v>
      </c>
      <c r="B348" s="60" t="s">
        <v>874</v>
      </c>
      <c r="C348" s="60" t="s">
        <v>874</v>
      </c>
      <c r="D348" s="60" t="str">
        <f t="shared" si="5"/>
        <v>Dokolo</v>
      </c>
      <c r="F348" s="60">
        <v>322</v>
      </c>
    </row>
    <row r="349" spans="1:6">
      <c r="A349" s="60" t="s">
        <v>879</v>
      </c>
      <c r="B349" s="60" t="s">
        <v>874</v>
      </c>
      <c r="C349" s="60" t="s">
        <v>874</v>
      </c>
      <c r="D349" s="60" t="str">
        <f t="shared" si="5"/>
        <v>Dokolo Tc</v>
      </c>
      <c r="F349" s="60">
        <v>323</v>
      </c>
    </row>
    <row r="350" spans="1:6">
      <c r="A350" s="60" t="s">
        <v>880</v>
      </c>
      <c r="B350" s="60" t="s">
        <v>874</v>
      </c>
      <c r="C350" s="60" t="s">
        <v>874</v>
      </c>
      <c r="D350" s="60" t="str">
        <f t="shared" si="5"/>
        <v>Kangai</v>
      </c>
      <c r="F350" s="60">
        <v>324</v>
      </c>
    </row>
    <row r="351" spans="1:6">
      <c r="A351" s="60" t="s">
        <v>881</v>
      </c>
      <c r="B351" s="60" t="s">
        <v>874</v>
      </c>
      <c r="C351" s="60" t="s">
        <v>874</v>
      </c>
      <c r="D351" s="60" t="str">
        <f t="shared" si="5"/>
        <v>Kwera</v>
      </c>
      <c r="F351" s="60">
        <v>325</v>
      </c>
    </row>
    <row r="352" spans="1:6">
      <c r="A352" s="60" t="s">
        <v>882</v>
      </c>
      <c r="B352" s="60" t="s">
        <v>874</v>
      </c>
      <c r="C352" s="60" t="s">
        <v>874</v>
      </c>
      <c r="D352" s="60" t="str">
        <f t="shared" si="5"/>
        <v>Okwalongwen</v>
      </c>
      <c r="F352" s="60">
        <v>326</v>
      </c>
    </row>
    <row r="353" spans="1:6">
      <c r="A353" s="60" t="s">
        <v>883</v>
      </c>
      <c r="B353" s="60" t="s">
        <v>874</v>
      </c>
      <c r="C353" s="60" t="s">
        <v>874</v>
      </c>
      <c r="D353" s="60" t="str">
        <f t="shared" si="5"/>
        <v>Okwongodul</v>
      </c>
      <c r="F353" s="60">
        <v>327</v>
      </c>
    </row>
    <row r="354" spans="1:6">
      <c r="A354" s="60" t="s">
        <v>884</v>
      </c>
      <c r="B354" s="60" t="s">
        <v>885</v>
      </c>
      <c r="C354" s="60" t="s">
        <v>885</v>
      </c>
      <c r="D354" s="60" t="str">
        <f t="shared" si="5"/>
        <v>Kabulasoke</v>
      </c>
      <c r="F354" s="60">
        <v>328</v>
      </c>
    </row>
    <row r="355" spans="1:6">
      <c r="A355" s="60" t="s">
        <v>886</v>
      </c>
      <c r="F355" s="60">
        <v>328</v>
      </c>
    </row>
    <row r="356" spans="1:6">
      <c r="A356" s="60" t="s">
        <v>887</v>
      </c>
      <c r="F356" s="60">
        <v>328</v>
      </c>
    </row>
    <row r="357" spans="1:6">
      <c r="A357" s="60" t="s">
        <v>888</v>
      </c>
      <c r="B357" s="60" t="s">
        <v>885</v>
      </c>
      <c r="C357" s="60" t="s">
        <v>885</v>
      </c>
      <c r="D357" s="60" t="str">
        <f t="shared" si="5"/>
        <v>Kanoni Town Council</v>
      </c>
      <c r="F357" s="60">
        <v>329</v>
      </c>
    </row>
    <row r="358" spans="1:6">
      <c r="A358" s="60" t="s">
        <v>889</v>
      </c>
      <c r="B358" s="60" t="s">
        <v>885</v>
      </c>
      <c r="C358" s="60" t="s">
        <v>885</v>
      </c>
      <c r="D358" s="60" t="str">
        <f t="shared" si="5"/>
        <v>Kyegonza</v>
      </c>
      <c r="F358" s="60">
        <v>330</v>
      </c>
    </row>
    <row r="359" spans="1:6">
      <c r="A359" s="60" t="s">
        <v>890</v>
      </c>
      <c r="B359" s="60" t="s">
        <v>885</v>
      </c>
      <c r="C359" s="60" t="s">
        <v>885</v>
      </c>
      <c r="D359" s="60" t="str">
        <f t="shared" si="5"/>
        <v>Maddu</v>
      </c>
      <c r="F359" s="60">
        <v>331</v>
      </c>
    </row>
    <row r="360" spans="1:6">
      <c r="A360" s="60" t="s">
        <v>891</v>
      </c>
      <c r="F360" s="60">
        <v>331</v>
      </c>
    </row>
    <row r="361" spans="1:6">
      <c r="A361" s="60" t="s">
        <v>892</v>
      </c>
      <c r="B361" s="60" t="s">
        <v>885</v>
      </c>
      <c r="C361" s="60" t="s">
        <v>885</v>
      </c>
      <c r="D361" s="60" t="str">
        <f t="shared" si="5"/>
        <v>Mpenja</v>
      </c>
      <c r="F361" s="60">
        <v>332</v>
      </c>
    </row>
    <row r="362" spans="1:6">
      <c r="A362" s="60" t="s">
        <v>893</v>
      </c>
      <c r="B362" s="60" t="s">
        <v>894</v>
      </c>
      <c r="C362" s="60" t="s">
        <v>895</v>
      </c>
      <c r="D362" s="60" t="str">
        <f t="shared" si="5"/>
        <v>Awach</v>
      </c>
      <c r="F362" s="60">
        <v>333</v>
      </c>
    </row>
    <row r="363" spans="1:6">
      <c r="A363" s="60" t="s">
        <v>896</v>
      </c>
      <c r="B363" s="60" t="s">
        <v>894</v>
      </c>
      <c r="C363" s="60" t="s">
        <v>895</v>
      </c>
      <c r="D363" s="60" t="str">
        <f t="shared" si="5"/>
        <v>Bungatira</v>
      </c>
      <c r="F363" s="60">
        <v>334</v>
      </c>
    </row>
    <row r="364" spans="1:6">
      <c r="A364" s="60" t="s">
        <v>897</v>
      </c>
      <c r="B364" s="60" t="s">
        <v>894</v>
      </c>
      <c r="C364" s="60" t="s">
        <v>897</v>
      </c>
      <c r="D364" s="60" t="str">
        <f t="shared" si="5"/>
        <v>Gulu Municipality</v>
      </c>
      <c r="F364" s="60">
        <v>335</v>
      </c>
    </row>
    <row r="365" spans="1:6">
      <c r="A365" s="60" t="s">
        <v>898</v>
      </c>
      <c r="F365" s="60">
        <v>335</v>
      </c>
    </row>
    <row r="366" spans="1:6">
      <c r="A366" s="60" t="s">
        <v>899</v>
      </c>
      <c r="F366" s="60">
        <v>335</v>
      </c>
    </row>
    <row r="367" spans="1:6">
      <c r="A367" s="60" t="s">
        <v>900</v>
      </c>
      <c r="B367" s="60" t="s">
        <v>894</v>
      </c>
      <c r="C367" s="60" t="s">
        <v>895</v>
      </c>
      <c r="D367" s="60" t="str">
        <f t="shared" si="5"/>
        <v>Paicho</v>
      </c>
      <c r="F367" s="60">
        <v>336</v>
      </c>
    </row>
    <row r="368" spans="1:6">
      <c r="A368" s="60" t="s">
        <v>901</v>
      </c>
      <c r="B368" s="60" t="s">
        <v>894</v>
      </c>
      <c r="C368" s="60" t="s">
        <v>895</v>
      </c>
      <c r="D368" s="60" t="str">
        <f t="shared" si="5"/>
        <v>Unyama</v>
      </c>
      <c r="F368" s="60">
        <v>337</v>
      </c>
    </row>
    <row r="369" spans="1:6">
      <c r="A369" s="60" t="s">
        <v>902</v>
      </c>
      <c r="B369" s="60" t="s">
        <v>903</v>
      </c>
      <c r="C369" s="60" t="s">
        <v>904</v>
      </c>
      <c r="D369" s="60" t="str">
        <f t="shared" si="5"/>
        <v>Bugambe</v>
      </c>
      <c r="F369" s="60">
        <v>338</v>
      </c>
    </row>
    <row r="370" spans="1:6">
      <c r="A370" s="60" t="s">
        <v>905</v>
      </c>
      <c r="B370" s="60" t="s">
        <v>903</v>
      </c>
      <c r="C370" s="60" t="s">
        <v>906</v>
      </c>
      <c r="D370" s="60" t="str">
        <f t="shared" si="5"/>
        <v>Buhanika</v>
      </c>
      <c r="F370" s="60">
        <v>339</v>
      </c>
    </row>
    <row r="371" spans="1:6">
      <c r="A371" s="60" t="s">
        <v>907</v>
      </c>
      <c r="B371" s="60" t="s">
        <v>903</v>
      </c>
      <c r="C371" s="60" t="s">
        <v>904</v>
      </c>
      <c r="D371" s="60" t="str">
        <f t="shared" si="5"/>
        <v>Buhimba</v>
      </c>
      <c r="F371" s="60">
        <v>340</v>
      </c>
    </row>
    <row r="372" spans="1:6">
      <c r="A372" s="60" t="s">
        <v>908</v>
      </c>
      <c r="B372" s="60" t="s">
        <v>903</v>
      </c>
      <c r="C372" s="60" t="s">
        <v>908</v>
      </c>
      <c r="D372" s="60" t="str">
        <f t="shared" si="5"/>
        <v>Hoima Municipality</v>
      </c>
      <c r="F372" s="60">
        <v>341</v>
      </c>
    </row>
    <row r="373" spans="1:6">
      <c r="A373" s="60" t="s">
        <v>909</v>
      </c>
      <c r="D373" s="60" t="str">
        <f t="shared" si="5"/>
        <v>Hoima town</v>
      </c>
      <c r="F373" s="60">
        <v>341</v>
      </c>
    </row>
    <row r="374" spans="1:6">
      <c r="A374" s="60" t="s">
        <v>903</v>
      </c>
      <c r="D374" s="60" t="str">
        <f t="shared" si="5"/>
        <v>Hoima</v>
      </c>
      <c r="F374" s="60">
        <v>341</v>
      </c>
    </row>
    <row r="375" spans="1:6">
      <c r="A375" s="60" t="s">
        <v>910</v>
      </c>
      <c r="B375" s="60" t="s">
        <v>903</v>
      </c>
      <c r="C375" s="60" t="s">
        <v>904</v>
      </c>
      <c r="D375" s="60" t="str">
        <f t="shared" si="5"/>
        <v>Kabwoya</v>
      </c>
      <c r="F375" s="60">
        <v>342</v>
      </c>
    </row>
    <row r="376" spans="1:6">
      <c r="A376" s="60" t="s">
        <v>911</v>
      </c>
      <c r="B376" s="60" t="s">
        <v>903</v>
      </c>
      <c r="C376" s="60" t="s">
        <v>906</v>
      </c>
      <c r="D376" s="60" t="str">
        <f t="shared" si="5"/>
        <v>Kigorobya</v>
      </c>
      <c r="F376" s="60">
        <v>343</v>
      </c>
    </row>
    <row r="377" spans="1:6">
      <c r="A377" s="60" t="s">
        <v>912</v>
      </c>
      <c r="B377" s="60" t="s">
        <v>903</v>
      </c>
      <c r="C377" s="60" t="s">
        <v>906</v>
      </c>
      <c r="D377" s="60" t="str">
        <f t="shared" si="5"/>
        <v>Kigorobya Town Council</v>
      </c>
      <c r="F377" s="60">
        <v>344</v>
      </c>
    </row>
    <row r="378" spans="1:6">
      <c r="A378" s="60" t="s">
        <v>913</v>
      </c>
      <c r="B378" s="60" t="s">
        <v>903</v>
      </c>
      <c r="C378" s="60" t="s">
        <v>906</v>
      </c>
      <c r="D378" s="60" t="str">
        <f t="shared" si="5"/>
        <v>Kitoba</v>
      </c>
      <c r="F378" s="60">
        <v>345</v>
      </c>
    </row>
    <row r="379" spans="1:6">
      <c r="A379" s="60" t="s">
        <v>914</v>
      </c>
      <c r="B379" s="60" t="s">
        <v>903</v>
      </c>
      <c r="C379" s="60" t="s">
        <v>904</v>
      </c>
      <c r="D379" s="60" t="str">
        <f t="shared" si="5"/>
        <v>Kiziranfumbi</v>
      </c>
      <c r="F379" s="60">
        <v>346</v>
      </c>
    </row>
    <row r="380" spans="1:6">
      <c r="A380" s="60" t="s">
        <v>915</v>
      </c>
      <c r="B380" s="60" t="s">
        <v>903</v>
      </c>
      <c r="C380" s="60" t="s">
        <v>906</v>
      </c>
      <c r="D380" s="60" t="str">
        <f t="shared" si="5"/>
        <v>Kyabigambire</v>
      </c>
      <c r="F380" s="60">
        <v>347</v>
      </c>
    </row>
    <row r="381" spans="1:6">
      <c r="A381" s="60" t="s">
        <v>916</v>
      </c>
      <c r="B381" s="60" t="s">
        <v>903</v>
      </c>
      <c r="C381" s="60" t="s">
        <v>904</v>
      </c>
      <c r="D381" s="60" t="str">
        <f t="shared" si="5"/>
        <v>Kyangwali</v>
      </c>
      <c r="F381" s="60">
        <v>348</v>
      </c>
    </row>
    <row r="382" spans="1:6">
      <c r="A382" s="60" t="s">
        <v>261</v>
      </c>
      <c r="F382" s="60">
        <v>348</v>
      </c>
    </row>
    <row r="383" spans="1:6">
      <c r="A383" s="60" t="s">
        <v>917</v>
      </c>
      <c r="B383" s="60" t="s">
        <v>44</v>
      </c>
      <c r="C383" s="60" t="s">
        <v>917</v>
      </c>
      <c r="D383" s="60" t="str">
        <f t="shared" si="5"/>
        <v>Ibanda Municipality</v>
      </c>
      <c r="F383" s="60">
        <v>349</v>
      </c>
    </row>
    <row r="384" spans="1:6">
      <c r="A384" s="60" t="s">
        <v>44</v>
      </c>
      <c r="D384" s="60" t="str">
        <f t="shared" si="5"/>
        <v>Ibanda</v>
      </c>
      <c r="F384" s="60">
        <v>349</v>
      </c>
    </row>
    <row r="385" spans="1:6">
      <c r="A385" s="60" t="s">
        <v>918</v>
      </c>
      <c r="D385" s="60" t="str">
        <f t="shared" si="5"/>
        <v>Ibanda town</v>
      </c>
      <c r="F385" s="60">
        <v>349</v>
      </c>
    </row>
    <row r="386" spans="1:6">
      <c r="A386" s="60" t="s">
        <v>919</v>
      </c>
      <c r="B386" s="60" t="s">
        <v>44</v>
      </c>
      <c r="C386" s="60" t="s">
        <v>44</v>
      </c>
      <c r="D386" s="60" t="str">
        <f t="shared" si="5"/>
        <v>Igorora Town Council</v>
      </c>
      <c r="F386" s="60">
        <v>350</v>
      </c>
    </row>
    <row r="387" spans="1:6">
      <c r="A387" s="60" t="s">
        <v>920</v>
      </c>
      <c r="B387" s="60" t="s">
        <v>44</v>
      </c>
      <c r="C387" s="60" t="s">
        <v>44</v>
      </c>
      <c r="D387" s="60" t="str">
        <f t="shared" si="5"/>
        <v>Ishongororo</v>
      </c>
      <c r="F387" s="60">
        <v>351</v>
      </c>
    </row>
    <row r="388" spans="1:6">
      <c r="A388" s="60" t="s">
        <v>921</v>
      </c>
      <c r="B388" s="60" t="s">
        <v>44</v>
      </c>
      <c r="C388" s="60" t="s">
        <v>44</v>
      </c>
      <c r="D388" s="60" t="str">
        <f t="shared" si="5"/>
        <v>Ishongororo Town Council</v>
      </c>
      <c r="F388" s="60">
        <v>352</v>
      </c>
    </row>
    <row r="389" spans="1:6">
      <c r="A389" s="60" t="s">
        <v>922</v>
      </c>
      <c r="B389" s="60" t="s">
        <v>44</v>
      </c>
      <c r="C389" s="60" t="s">
        <v>917</v>
      </c>
      <c r="D389" s="60" t="str">
        <f t="shared" si="5"/>
        <v>Kagango Division-Ibanda</v>
      </c>
      <c r="F389" s="60">
        <v>353</v>
      </c>
    </row>
    <row r="390" spans="1:6">
      <c r="A390" s="60" t="s">
        <v>923</v>
      </c>
      <c r="B390" s="60" t="s">
        <v>44</v>
      </c>
      <c r="C390" s="60" t="s">
        <v>44</v>
      </c>
      <c r="D390" s="60" t="str">
        <f t="shared" si="5"/>
        <v>Keihangara</v>
      </c>
      <c r="F390" s="60">
        <v>354</v>
      </c>
    </row>
    <row r="391" spans="1:6">
      <c r="A391" s="60" t="s">
        <v>924</v>
      </c>
      <c r="B391" s="60" t="s">
        <v>44</v>
      </c>
      <c r="C391" s="60" t="s">
        <v>44</v>
      </c>
      <c r="D391" s="60" t="str">
        <f t="shared" si="5"/>
        <v>Kicuzi</v>
      </c>
      <c r="F391" s="60">
        <v>355</v>
      </c>
    </row>
    <row r="392" spans="1:6">
      <c r="A392" s="60" t="s">
        <v>925</v>
      </c>
      <c r="B392" s="60" t="s">
        <v>44</v>
      </c>
      <c r="C392" s="60" t="s">
        <v>44</v>
      </c>
      <c r="D392" s="60" t="str">
        <f t="shared" si="5"/>
        <v>Kijongo</v>
      </c>
      <c r="F392" s="60">
        <v>356</v>
      </c>
    </row>
    <row r="393" spans="1:6">
      <c r="A393" s="60" t="s">
        <v>926</v>
      </c>
      <c r="B393" s="60" t="s">
        <v>44</v>
      </c>
      <c r="C393" s="60" t="s">
        <v>44</v>
      </c>
      <c r="D393" s="60" t="str">
        <f t="shared" si="5"/>
        <v>Kikyenkye</v>
      </c>
      <c r="F393" s="60">
        <v>357</v>
      </c>
    </row>
    <row r="394" spans="1:6">
      <c r="A394" s="60" t="s">
        <v>927</v>
      </c>
      <c r="B394" s="60" t="s">
        <v>44</v>
      </c>
      <c r="C394" s="60" t="s">
        <v>44</v>
      </c>
      <c r="D394" s="60" t="str">
        <f t="shared" si="5"/>
        <v>Nyamarebe</v>
      </c>
      <c r="F394" s="60">
        <v>358</v>
      </c>
    </row>
    <row r="395" spans="1:6">
      <c r="A395" s="60" t="s">
        <v>928</v>
      </c>
      <c r="B395" s="60" t="s">
        <v>44</v>
      </c>
      <c r="C395" s="60" t="s">
        <v>44</v>
      </c>
      <c r="D395" s="60" t="str">
        <f t="shared" si="5"/>
        <v>Rukiri</v>
      </c>
      <c r="F395" s="60">
        <v>359</v>
      </c>
    </row>
    <row r="396" spans="1:6">
      <c r="A396" s="60" t="s">
        <v>929</v>
      </c>
      <c r="B396" s="60" t="s">
        <v>44</v>
      </c>
      <c r="C396" s="60" t="s">
        <v>44</v>
      </c>
      <c r="D396" s="60" t="str">
        <f t="shared" si="5"/>
        <v>Rushango Town Council</v>
      </c>
      <c r="F396" s="60">
        <v>360</v>
      </c>
    </row>
    <row r="397" spans="1:6">
      <c r="A397" s="60" t="s">
        <v>930</v>
      </c>
      <c r="B397" s="60" t="s">
        <v>154</v>
      </c>
      <c r="C397" s="60" t="s">
        <v>220</v>
      </c>
      <c r="D397" s="60" t="str">
        <f t="shared" si="5"/>
        <v>Bulamogi</v>
      </c>
      <c r="F397" s="60">
        <v>361</v>
      </c>
    </row>
    <row r="398" spans="1:6">
      <c r="A398" s="60" t="s">
        <v>931</v>
      </c>
      <c r="B398" s="60" t="s">
        <v>154</v>
      </c>
      <c r="C398" s="60" t="s">
        <v>186</v>
      </c>
      <c r="D398" s="60" t="str">
        <f t="shared" si="5"/>
        <v>Busembatia Town Council</v>
      </c>
      <c r="F398" s="60">
        <v>362</v>
      </c>
    </row>
    <row r="399" spans="1:6">
      <c r="A399" s="60" t="s">
        <v>2522</v>
      </c>
      <c r="F399" s="60">
        <v>362</v>
      </c>
    </row>
    <row r="400" spans="1:6">
      <c r="A400" s="60" t="s">
        <v>932</v>
      </c>
      <c r="B400" s="60" t="s">
        <v>154</v>
      </c>
      <c r="C400" s="60" t="s">
        <v>186</v>
      </c>
      <c r="D400" s="60" t="str">
        <f t="shared" si="5"/>
        <v>Buyanga-Iganga</v>
      </c>
      <c r="F400" s="60">
        <v>363</v>
      </c>
    </row>
    <row r="401" spans="1:6">
      <c r="A401" s="60" t="s">
        <v>933</v>
      </c>
      <c r="D401" s="60" t="str">
        <f t="shared" si="5"/>
        <v>Buwoya</v>
      </c>
      <c r="F401" s="60">
        <v>363</v>
      </c>
    </row>
    <row r="402" spans="1:6">
      <c r="A402" s="60" t="s">
        <v>934</v>
      </c>
      <c r="B402" s="60" t="s">
        <v>154</v>
      </c>
      <c r="C402" s="60" t="s">
        <v>186</v>
      </c>
      <c r="D402" s="60" t="str">
        <f t="shared" si="5"/>
        <v>Ibulanku</v>
      </c>
      <c r="F402" s="60">
        <v>364</v>
      </c>
    </row>
    <row r="403" spans="1:6">
      <c r="A403" s="60" t="s">
        <v>185</v>
      </c>
      <c r="D403" s="60" t="str">
        <f t="shared" si="5"/>
        <v>Busesa</v>
      </c>
      <c r="F403" s="60">
        <v>364</v>
      </c>
    </row>
    <row r="404" spans="1:6">
      <c r="A404" s="60" t="s">
        <v>935</v>
      </c>
      <c r="B404" s="60" t="s">
        <v>154</v>
      </c>
      <c r="C404" s="60" t="s">
        <v>935</v>
      </c>
      <c r="D404" s="60" t="str">
        <f t="shared" si="5"/>
        <v>Iganga Municipality</v>
      </c>
      <c r="F404" s="60">
        <v>365</v>
      </c>
    </row>
    <row r="405" spans="1:6">
      <c r="A405" s="60" t="s">
        <v>154</v>
      </c>
      <c r="D405" s="60" t="str">
        <f t="shared" si="5"/>
        <v>Iganga</v>
      </c>
      <c r="F405" s="60">
        <v>365</v>
      </c>
    </row>
    <row r="406" spans="1:6">
      <c r="A406" s="60" t="s">
        <v>936</v>
      </c>
      <c r="D406" s="60" t="str">
        <f t="shared" si="5"/>
        <v>Iganga town</v>
      </c>
      <c r="F406" s="60">
        <v>365</v>
      </c>
    </row>
    <row r="407" spans="1:6">
      <c r="A407" s="60" t="s">
        <v>407</v>
      </c>
      <c r="F407" s="60">
        <v>365</v>
      </c>
    </row>
    <row r="408" spans="1:6">
      <c r="A408" s="60" t="s">
        <v>179</v>
      </c>
      <c r="F408" s="60">
        <v>365</v>
      </c>
    </row>
    <row r="409" spans="1:6" ht="16.5" customHeight="1">
      <c r="A409" s="60" t="s">
        <v>937</v>
      </c>
      <c r="B409" s="60" t="s">
        <v>154</v>
      </c>
      <c r="C409" s="60" t="s">
        <v>186</v>
      </c>
      <c r="D409" s="60" t="str">
        <f t="shared" si="5"/>
        <v>Igombe</v>
      </c>
      <c r="F409" s="60">
        <v>366</v>
      </c>
    </row>
    <row r="410" spans="1:6" ht="16.5" customHeight="1">
      <c r="A410" s="60" t="s">
        <v>938</v>
      </c>
      <c r="F410" s="60">
        <v>366</v>
      </c>
    </row>
    <row r="411" spans="1:6">
      <c r="A411" s="60" t="s">
        <v>939</v>
      </c>
      <c r="B411" s="60" t="s">
        <v>154</v>
      </c>
      <c r="C411" s="60" t="s">
        <v>186</v>
      </c>
      <c r="D411" s="60" t="str">
        <f t="shared" si="5"/>
        <v>Makuutu</v>
      </c>
      <c r="F411" s="60">
        <v>367</v>
      </c>
    </row>
    <row r="412" spans="1:6">
      <c r="A412" s="60" t="s">
        <v>940</v>
      </c>
      <c r="B412" s="60" t="s">
        <v>154</v>
      </c>
      <c r="C412" s="60" t="s">
        <v>220</v>
      </c>
      <c r="D412" s="60" t="str">
        <f t="shared" si="5"/>
        <v>Nabitende</v>
      </c>
      <c r="F412" s="60">
        <v>368</v>
      </c>
    </row>
    <row r="413" spans="1:6">
      <c r="A413" s="60" t="s">
        <v>173</v>
      </c>
      <c r="F413" s="60">
        <v>368</v>
      </c>
    </row>
    <row r="414" spans="1:6">
      <c r="A414" s="60" t="s">
        <v>247</v>
      </c>
      <c r="B414" s="60" t="s">
        <v>154</v>
      </c>
      <c r="C414" s="60" t="s">
        <v>220</v>
      </c>
      <c r="D414" s="60" t="str">
        <f t="shared" si="5"/>
        <v>Nakalama</v>
      </c>
      <c r="F414" s="60">
        <v>369</v>
      </c>
    </row>
    <row r="415" spans="1:6">
      <c r="A415" s="60" t="s">
        <v>300</v>
      </c>
      <c r="D415" s="60" t="str">
        <f t="shared" si="5"/>
        <v>Bunyiro</v>
      </c>
      <c r="F415" s="60">
        <v>369</v>
      </c>
    </row>
    <row r="416" spans="1:6">
      <c r="A416" s="60" t="s">
        <v>220</v>
      </c>
      <c r="D416" s="60" t="str">
        <f t="shared" si="5"/>
        <v>Kigulu</v>
      </c>
      <c r="F416" s="60">
        <v>369</v>
      </c>
    </row>
    <row r="417" spans="1:6">
      <c r="A417" s="60" t="s">
        <v>941</v>
      </c>
      <c r="B417" s="60" t="s">
        <v>154</v>
      </c>
      <c r="C417" s="60" t="s">
        <v>220</v>
      </c>
      <c r="D417" s="60" t="str">
        <f t="shared" si="5"/>
        <v>Nakigo</v>
      </c>
      <c r="F417" s="60">
        <v>370</v>
      </c>
    </row>
    <row r="418" spans="1:6">
      <c r="A418" s="60" t="s">
        <v>942</v>
      </c>
      <c r="B418" s="60" t="s">
        <v>154</v>
      </c>
      <c r="C418" s="60" t="s">
        <v>186</v>
      </c>
      <c r="D418" s="60" t="str">
        <f t="shared" si="5"/>
        <v>Namalemba</v>
      </c>
      <c r="F418" s="60">
        <v>371</v>
      </c>
    </row>
    <row r="419" spans="1:6">
      <c r="A419" s="60" t="s">
        <v>302</v>
      </c>
      <c r="B419" s="60" t="s">
        <v>154</v>
      </c>
      <c r="C419" s="60" t="s">
        <v>220</v>
      </c>
      <c r="D419" s="60" t="str">
        <f t="shared" si="5"/>
        <v>Nambale</v>
      </c>
      <c r="F419" s="60">
        <v>372</v>
      </c>
    </row>
    <row r="420" spans="1:6">
      <c r="A420" s="60" t="s">
        <v>259</v>
      </c>
      <c r="D420" s="60" t="str">
        <f t="shared" si="5"/>
        <v>Nasuti</v>
      </c>
      <c r="F420" s="60">
        <v>372</v>
      </c>
    </row>
    <row r="421" spans="1:6">
      <c r="A421" s="60" t="s">
        <v>187</v>
      </c>
      <c r="D421" s="60" t="str">
        <f t="shared" si="5"/>
        <v>Nabitovu</v>
      </c>
      <c r="F421" s="60">
        <v>372</v>
      </c>
    </row>
    <row r="422" spans="1:6">
      <c r="A422" s="60" t="s">
        <v>943</v>
      </c>
      <c r="B422" s="60" t="s">
        <v>154</v>
      </c>
      <c r="C422" s="60" t="s">
        <v>220</v>
      </c>
      <c r="D422" s="60" t="str">
        <f t="shared" si="5"/>
        <v>Namungalwe</v>
      </c>
      <c r="F422" s="60">
        <v>373</v>
      </c>
    </row>
    <row r="423" spans="1:6">
      <c r="A423" s="60" t="s">
        <v>252</v>
      </c>
      <c r="D423" s="60" t="str">
        <f t="shared" si="5"/>
        <v>Kawete</v>
      </c>
      <c r="F423" s="60">
        <v>373</v>
      </c>
    </row>
    <row r="424" spans="1:6">
      <c r="A424" s="60" t="s">
        <v>192</v>
      </c>
      <c r="D424" s="60" t="str">
        <f t="shared" si="5"/>
        <v>Bunyiiro</v>
      </c>
      <c r="F424" s="60">
        <v>373</v>
      </c>
    </row>
    <row r="425" spans="1:6">
      <c r="A425" s="60" t="s">
        <v>331</v>
      </c>
      <c r="B425" s="60" t="s">
        <v>154</v>
      </c>
      <c r="C425" s="60" t="s">
        <v>220</v>
      </c>
      <c r="D425" s="60" t="str">
        <f t="shared" si="5"/>
        <v>Nawandala</v>
      </c>
      <c r="F425" s="60">
        <v>374</v>
      </c>
    </row>
    <row r="426" spans="1:6">
      <c r="A426" s="60" t="s">
        <v>2526</v>
      </c>
      <c r="F426" s="60">
        <v>374</v>
      </c>
    </row>
    <row r="427" spans="1:6">
      <c r="A427" s="60" t="s">
        <v>944</v>
      </c>
      <c r="B427" s="60" t="s">
        <v>154</v>
      </c>
      <c r="C427" s="60" t="s">
        <v>220</v>
      </c>
      <c r="D427" s="60" t="str">
        <f t="shared" si="5"/>
        <v>Nawanyingi</v>
      </c>
      <c r="F427" s="60">
        <v>375</v>
      </c>
    </row>
    <row r="428" spans="1:6">
      <c r="A428" s="60" t="s">
        <v>945</v>
      </c>
      <c r="B428" s="60" t="s">
        <v>51</v>
      </c>
      <c r="C428" s="60" t="s">
        <v>51</v>
      </c>
      <c r="D428" s="60" t="str">
        <f t="shared" si="5"/>
        <v>Birere</v>
      </c>
      <c r="F428" s="60">
        <v>376</v>
      </c>
    </row>
    <row r="429" spans="1:6">
      <c r="A429" s="60" t="s">
        <v>946</v>
      </c>
      <c r="B429" s="60" t="s">
        <v>51</v>
      </c>
      <c r="C429" s="60" t="s">
        <v>947</v>
      </c>
      <c r="D429" s="60" t="str">
        <f t="shared" si="5"/>
        <v>Endiinzi</v>
      </c>
      <c r="F429" s="60">
        <v>377</v>
      </c>
    </row>
    <row r="430" spans="1:6">
      <c r="A430" s="60" t="s">
        <v>948</v>
      </c>
      <c r="B430" s="60" t="s">
        <v>51</v>
      </c>
      <c r="C430" s="60" t="s">
        <v>947</v>
      </c>
      <c r="D430" s="60" t="str">
        <f t="shared" si="5"/>
        <v>Endiinzi Town Council</v>
      </c>
      <c r="F430" s="60">
        <v>378</v>
      </c>
    </row>
    <row r="431" spans="1:6">
      <c r="A431" s="60" t="s">
        <v>949</v>
      </c>
      <c r="B431" s="60" t="s">
        <v>51</v>
      </c>
      <c r="C431" s="60" t="s">
        <v>51</v>
      </c>
      <c r="D431" s="60" t="str">
        <f t="shared" si="5"/>
        <v>Isingiro Town Council</v>
      </c>
      <c r="F431" s="60">
        <v>379</v>
      </c>
    </row>
    <row r="432" spans="1:6">
      <c r="A432" s="60" t="s">
        <v>51</v>
      </c>
      <c r="F432" s="60">
        <v>379</v>
      </c>
    </row>
    <row r="433" spans="1:6">
      <c r="A433" s="60" t="s">
        <v>950</v>
      </c>
      <c r="B433" s="60" t="s">
        <v>51</v>
      </c>
      <c r="C433" s="60" t="s">
        <v>51</v>
      </c>
      <c r="D433" s="60" t="str">
        <f t="shared" si="5"/>
        <v>Kaberebere Town Council</v>
      </c>
      <c r="F433" s="60">
        <v>380</v>
      </c>
    </row>
    <row r="434" spans="1:6">
      <c r="A434" s="60" t="s">
        <v>951</v>
      </c>
      <c r="B434" s="60" t="s">
        <v>51</v>
      </c>
      <c r="C434" s="60" t="s">
        <v>51</v>
      </c>
      <c r="D434" s="60" t="str">
        <f t="shared" ref="D434:D527" si="6">A434</f>
        <v>Kabingo</v>
      </c>
      <c r="F434" s="60">
        <v>381</v>
      </c>
    </row>
    <row r="435" spans="1:6">
      <c r="A435" s="60" t="s">
        <v>952</v>
      </c>
      <c r="B435" s="60" t="s">
        <v>51</v>
      </c>
      <c r="C435" s="60" t="s">
        <v>51</v>
      </c>
      <c r="D435" s="60" t="str">
        <f t="shared" si="6"/>
        <v>Kabuyanda</v>
      </c>
      <c r="F435" s="60">
        <v>382</v>
      </c>
    </row>
    <row r="436" spans="1:6">
      <c r="A436" s="60" t="s">
        <v>953</v>
      </c>
      <c r="B436" s="60" t="s">
        <v>51</v>
      </c>
      <c r="C436" s="60" t="s">
        <v>51</v>
      </c>
      <c r="D436" s="60" t="str">
        <f t="shared" si="6"/>
        <v>Kabuyanda Town Council</v>
      </c>
      <c r="F436" s="60">
        <v>383</v>
      </c>
    </row>
    <row r="437" spans="1:6">
      <c r="A437" s="60" t="s">
        <v>954</v>
      </c>
      <c r="B437" s="60" t="s">
        <v>51</v>
      </c>
      <c r="C437" s="60" t="s">
        <v>947</v>
      </c>
      <c r="D437" s="60" t="str">
        <f t="shared" si="6"/>
        <v>Kakamba-Isingiro</v>
      </c>
      <c r="F437" s="60">
        <v>384</v>
      </c>
    </row>
    <row r="438" spans="1:6">
      <c r="A438" s="60" t="s">
        <v>955</v>
      </c>
      <c r="B438" s="60" t="s">
        <v>51</v>
      </c>
      <c r="C438" s="60" t="s">
        <v>51</v>
      </c>
      <c r="D438" s="60" t="str">
        <f t="shared" si="6"/>
        <v>Kikagate</v>
      </c>
      <c r="F438" s="60">
        <v>385</v>
      </c>
    </row>
    <row r="439" spans="1:6">
      <c r="A439" s="60" t="s">
        <v>956</v>
      </c>
      <c r="B439" s="60" t="s">
        <v>51</v>
      </c>
      <c r="C439" s="60" t="s">
        <v>51</v>
      </c>
      <c r="D439" s="60" t="str">
        <f t="shared" si="6"/>
        <v>Masha</v>
      </c>
      <c r="F439" s="60">
        <v>386</v>
      </c>
    </row>
    <row r="440" spans="1:6">
      <c r="A440" s="60" t="s">
        <v>957</v>
      </c>
      <c r="B440" s="60" t="s">
        <v>51</v>
      </c>
      <c r="C440" s="60" t="s">
        <v>947</v>
      </c>
      <c r="D440" s="60" t="str">
        <f t="shared" si="6"/>
        <v>Mbaare</v>
      </c>
      <c r="F440" s="60">
        <v>387</v>
      </c>
    </row>
    <row r="441" spans="1:6">
      <c r="A441" s="60" t="s">
        <v>958</v>
      </c>
      <c r="B441" s="60" t="s">
        <v>51</v>
      </c>
      <c r="C441" s="60" t="s">
        <v>947</v>
      </c>
      <c r="D441" s="60" t="str">
        <f t="shared" si="6"/>
        <v>Nakivale Refugee Camp</v>
      </c>
      <c r="F441" s="60">
        <v>388</v>
      </c>
    </row>
    <row r="442" spans="1:6">
      <c r="A442" s="60" t="s">
        <v>959</v>
      </c>
      <c r="B442" s="60" t="s">
        <v>51</v>
      </c>
      <c r="C442" s="60" t="s">
        <v>947</v>
      </c>
      <c r="D442" s="60" t="str">
        <f t="shared" si="6"/>
        <v>Ngarama</v>
      </c>
      <c r="F442" s="60">
        <v>389</v>
      </c>
    </row>
    <row r="443" spans="1:6">
      <c r="A443" s="60" t="s">
        <v>960</v>
      </c>
      <c r="B443" s="60" t="s">
        <v>51</v>
      </c>
      <c r="C443" s="60" t="s">
        <v>51</v>
      </c>
      <c r="D443" s="60" t="str">
        <f t="shared" si="6"/>
        <v>Nyakitunda</v>
      </c>
      <c r="F443" s="60">
        <v>390</v>
      </c>
    </row>
    <row r="444" spans="1:6">
      <c r="A444" s="60" t="s">
        <v>961</v>
      </c>
      <c r="B444" s="60" t="s">
        <v>51</v>
      </c>
      <c r="C444" s="60" t="s">
        <v>51</v>
      </c>
      <c r="D444" s="60" t="str">
        <f t="shared" si="6"/>
        <v>Nyamuyanja</v>
      </c>
      <c r="F444" s="60">
        <v>391</v>
      </c>
    </row>
    <row r="445" spans="1:6">
      <c r="A445" s="60" t="s">
        <v>962</v>
      </c>
      <c r="B445" s="60" t="s">
        <v>51</v>
      </c>
      <c r="C445" s="60" t="s">
        <v>51</v>
      </c>
      <c r="D445" s="60" t="str">
        <f t="shared" si="6"/>
        <v>Oruchinga Refugee Camp</v>
      </c>
      <c r="F445" s="60">
        <v>392</v>
      </c>
    </row>
    <row r="446" spans="1:6">
      <c r="A446" s="60" t="s">
        <v>963</v>
      </c>
      <c r="B446" s="60" t="s">
        <v>51</v>
      </c>
      <c r="C446" s="60" t="s">
        <v>51</v>
      </c>
      <c r="D446" s="60" t="str">
        <f t="shared" si="6"/>
        <v>Ruborogota</v>
      </c>
      <c r="F446" s="60">
        <v>393</v>
      </c>
    </row>
    <row r="447" spans="1:6">
      <c r="A447" s="60" t="s">
        <v>964</v>
      </c>
      <c r="B447" s="60" t="s">
        <v>51</v>
      </c>
      <c r="C447" s="60" t="s">
        <v>947</v>
      </c>
      <c r="D447" s="60" t="str">
        <f t="shared" si="6"/>
        <v>Rugaaga</v>
      </c>
      <c r="F447" s="60">
        <v>394</v>
      </c>
    </row>
    <row r="448" spans="1:6">
      <c r="A448" s="60" t="s">
        <v>965</v>
      </c>
      <c r="B448" s="60" t="s">
        <v>51</v>
      </c>
      <c r="C448" s="60" t="s">
        <v>947</v>
      </c>
      <c r="D448" s="60" t="str">
        <f t="shared" si="6"/>
        <v>Rushasha</v>
      </c>
      <c r="F448" s="60">
        <v>395</v>
      </c>
    </row>
    <row r="449" spans="1:6">
      <c r="A449" s="60" t="s">
        <v>966</v>
      </c>
      <c r="B449" s="60" t="s">
        <v>164</v>
      </c>
      <c r="C449" s="60" t="s">
        <v>967</v>
      </c>
      <c r="D449" s="60" t="str">
        <f t="shared" si="6"/>
        <v>Budondo</v>
      </c>
      <c r="F449" s="60">
        <v>396</v>
      </c>
    </row>
    <row r="450" spans="1:6">
      <c r="A450" s="60" t="s">
        <v>968</v>
      </c>
      <c r="D450" s="60" t="str">
        <f t="shared" si="6"/>
        <v>Kyomya</v>
      </c>
      <c r="F450" s="60">
        <v>396</v>
      </c>
    </row>
    <row r="451" spans="1:6">
      <c r="A451" s="60" t="s">
        <v>969</v>
      </c>
      <c r="F451" s="60">
        <v>396</v>
      </c>
    </row>
    <row r="452" spans="1:6">
      <c r="A452" s="60" t="s">
        <v>970</v>
      </c>
      <c r="F452" s="60">
        <v>396</v>
      </c>
    </row>
    <row r="453" spans="1:6">
      <c r="A453" s="60" t="s">
        <v>971</v>
      </c>
      <c r="D453" s="60" t="str">
        <f t="shared" si="6"/>
        <v>Nsube</v>
      </c>
      <c r="F453" s="60">
        <v>396</v>
      </c>
    </row>
    <row r="454" spans="1:6">
      <c r="A454" s="60" t="s">
        <v>972</v>
      </c>
      <c r="B454" s="60" t="s">
        <v>164</v>
      </c>
      <c r="C454" s="60" t="s">
        <v>973</v>
      </c>
      <c r="D454" s="60" t="str">
        <f t="shared" si="6"/>
        <v>Bugembe Town Council</v>
      </c>
      <c r="F454" s="60">
        <v>397</v>
      </c>
    </row>
    <row r="455" spans="1:6">
      <c r="A455" s="60" t="s">
        <v>974</v>
      </c>
      <c r="D455" s="60" t="str">
        <f t="shared" si="6"/>
        <v>Bugembe</v>
      </c>
      <c r="F455" s="60">
        <v>397</v>
      </c>
    </row>
    <row r="456" spans="1:6">
      <c r="A456" s="60" t="s">
        <v>975</v>
      </c>
      <c r="B456" s="60" t="s">
        <v>164</v>
      </c>
      <c r="C456" s="60" t="s">
        <v>973</v>
      </c>
      <c r="D456" s="60" t="str">
        <f t="shared" si="6"/>
        <v>Busedde</v>
      </c>
      <c r="F456" s="60">
        <v>398</v>
      </c>
    </row>
    <row r="457" spans="1:6">
      <c r="A457" s="60" t="s">
        <v>976</v>
      </c>
      <c r="F457" s="60">
        <v>398</v>
      </c>
    </row>
    <row r="458" spans="1:6">
      <c r="A458" s="60" t="s">
        <v>977</v>
      </c>
      <c r="B458" s="60" t="s">
        <v>164</v>
      </c>
      <c r="C458" s="60" t="s">
        <v>967</v>
      </c>
      <c r="D458" s="60" t="str">
        <f t="shared" si="6"/>
        <v>Butagaya</v>
      </c>
      <c r="F458" s="60">
        <v>399</v>
      </c>
    </row>
    <row r="459" spans="1:6">
      <c r="A459" s="60" t="s">
        <v>978</v>
      </c>
      <c r="B459" s="60" t="s">
        <v>164</v>
      </c>
      <c r="C459" s="60" t="s">
        <v>967</v>
      </c>
      <c r="D459" s="60" t="str">
        <f t="shared" si="6"/>
        <v>Buwenge</v>
      </c>
      <c r="F459" s="60">
        <v>400</v>
      </c>
    </row>
    <row r="460" spans="1:6">
      <c r="A460" s="60" t="s">
        <v>2528</v>
      </c>
      <c r="F460" s="60">
        <v>400</v>
      </c>
    </row>
    <row r="461" spans="1:6">
      <c r="A461" s="60" t="s">
        <v>2523</v>
      </c>
      <c r="F461" s="60">
        <v>400</v>
      </c>
    </row>
    <row r="462" spans="1:6">
      <c r="A462" s="60" t="s">
        <v>979</v>
      </c>
      <c r="F462" s="60">
        <v>400</v>
      </c>
    </row>
    <row r="463" spans="1:6">
      <c r="A463" s="60" t="s">
        <v>967</v>
      </c>
      <c r="D463" s="60" t="str">
        <f t="shared" si="6"/>
        <v>Kagoma</v>
      </c>
      <c r="F463" s="60">
        <v>400</v>
      </c>
    </row>
    <row r="464" spans="1:6">
      <c r="A464" s="60" t="s">
        <v>980</v>
      </c>
      <c r="D464" s="60" t="str">
        <f t="shared" si="6"/>
        <v>Mutai</v>
      </c>
      <c r="F464" s="60">
        <v>400</v>
      </c>
    </row>
    <row r="465" spans="1:6">
      <c r="A465" s="60" t="s">
        <v>981</v>
      </c>
      <c r="B465" s="60" t="s">
        <v>164</v>
      </c>
      <c r="C465" s="60" t="s">
        <v>967</v>
      </c>
      <c r="D465" s="60" t="str">
        <f t="shared" si="6"/>
        <v>Buwenge Town Council</v>
      </c>
      <c r="F465" s="60">
        <v>401</v>
      </c>
    </row>
    <row r="466" spans="1:6">
      <c r="A466" s="60" t="s">
        <v>982</v>
      </c>
      <c r="B466" s="60" t="s">
        <v>164</v>
      </c>
      <c r="C466" s="60" t="s">
        <v>967</v>
      </c>
      <c r="D466" s="60" t="str">
        <f t="shared" si="6"/>
        <v>Buyengo</v>
      </c>
      <c r="F466" s="60">
        <v>402</v>
      </c>
    </row>
    <row r="467" spans="1:6">
      <c r="A467" s="60" t="s">
        <v>983</v>
      </c>
      <c r="B467" s="60" t="s">
        <v>164</v>
      </c>
      <c r="C467" s="60" t="s">
        <v>983</v>
      </c>
      <c r="D467" s="60" t="str">
        <f t="shared" si="6"/>
        <v>Jinja Municipality</v>
      </c>
      <c r="F467" s="60">
        <v>403</v>
      </c>
    </row>
    <row r="468" spans="1:6">
      <c r="A468" s="60" t="s">
        <v>164</v>
      </c>
      <c r="F468" s="60">
        <v>403</v>
      </c>
    </row>
    <row r="469" spans="1:6">
      <c r="A469" s="60" t="s">
        <v>984</v>
      </c>
      <c r="F469" s="60">
        <v>403</v>
      </c>
    </row>
    <row r="470" spans="1:6">
      <c r="A470" s="60" t="s">
        <v>985</v>
      </c>
      <c r="F470" s="60">
        <v>403</v>
      </c>
    </row>
    <row r="471" spans="1:6">
      <c r="A471" s="60" t="s">
        <v>986</v>
      </c>
      <c r="F471" s="60">
        <v>403</v>
      </c>
    </row>
    <row r="472" spans="1:6">
      <c r="A472" s="60" t="s">
        <v>987</v>
      </c>
      <c r="F472" s="60">
        <v>403</v>
      </c>
    </row>
    <row r="473" spans="1:6">
      <c r="A473" s="60" t="s">
        <v>988</v>
      </c>
      <c r="B473" s="60" t="s">
        <v>164</v>
      </c>
      <c r="C473" s="60" t="s">
        <v>973</v>
      </c>
      <c r="D473" s="60" t="str">
        <f t="shared" si="6"/>
        <v>Kakira Town Council</v>
      </c>
      <c r="F473" s="60">
        <v>404</v>
      </c>
    </row>
    <row r="474" spans="1:6">
      <c r="A474" s="60" t="s">
        <v>183</v>
      </c>
      <c r="F474" s="60">
        <v>404</v>
      </c>
    </row>
    <row r="475" spans="1:6">
      <c r="A475" s="60" t="s">
        <v>989</v>
      </c>
      <c r="F475" s="60">
        <v>404</v>
      </c>
    </row>
    <row r="476" spans="1:6">
      <c r="A476" s="60" t="s">
        <v>990</v>
      </c>
      <c r="B476" s="60" t="s">
        <v>164</v>
      </c>
      <c r="C476" s="60" t="s">
        <v>973</v>
      </c>
      <c r="D476" s="60" t="str">
        <f t="shared" si="6"/>
        <v>Mafubira</v>
      </c>
      <c r="F476" s="60">
        <v>405</v>
      </c>
    </row>
    <row r="477" spans="1:6">
      <c r="A477" s="60" t="s">
        <v>991</v>
      </c>
      <c r="F477" s="60">
        <v>405</v>
      </c>
    </row>
    <row r="478" spans="1:6">
      <c r="A478" s="60" t="s">
        <v>992</v>
      </c>
      <c r="F478" s="60">
        <v>405</v>
      </c>
    </row>
    <row r="479" spans="1:6">
      <c r="A479" s="60" t="s">
        <v>993</v>
      </c>
      <c r="F479" s="60">
        <v>405</v>
      </c>
    </row>
    <row r="480" spans="1:6">
      <c r="A480" s="60" t="s">
        <v>994</v>
      </c>
      <c r="F480" s="60">
        <v>405</v>
      </c>
    </row>
    <row r="481" spans="1:6">
      <c r="A481" s="60" t="s">
        <v>995</v>
      </c>
      <c r="F481" s="60">
        <v>405</v>
      </c>
    </row>
    <row r="482" spans="1:6">
      <c r="A482" s="60" t="s">
        <v>996</v>
      </c>
      <c r="F482" s="60">
        <v>405</v>
      </c>
    </row>
    <row r="483" spans="1:6">
      <c r="A483" s="60" t="s">
        <v>997</v>
      </c>
      <c r="F483" s="60">
        <v>405</v>
      </c>
    </row>
    <row r="484" spans="1:6">
      <c r="A484" s="60" t="s">
        <v>998</v>
      </c>
      <c r="F484" s="60">
        <v>405</v>
      </c>
    </row>
    <row r="485" spans="1:6">
      <c r="A485" s="60" t="s">
        <v>999</v>
      </c>
      <c r="B485" s="60" t="s">
        <v>1000</v>
      </c>
      <c r="C485" s="60" t="s">
        <v>1001</v>
      </c>
      <c r="D485" s="60" t="str">
        <f t="shared" si="6"/>
        <v>Kaabong East</v>
      </c>
      <c r="F485" s="60">
        <v>406</v>
      </c>
    </row>
    <row r="486" spans="1:6">
      <c r="A486" s="60" t="s">
        <v>1002</v>
      </c>
      <c r="B486" s="60" t="s">
        <v>1000</v>
      </c>
      <c r="C486" s="60" t="s">
        <v>1001</v>
      </c>
      <c r="D486" s="60" t="str">
        <f t="shared" si="6"/>
        <v>Kaabong Town Council</v>
      </c>
      <c r="F486" s="60">
        <v>407</v>
      </c>
    </row>
    <row r="487" spans="1:6">
      <c r="A487" s="60" t="s">
        <v>1003</v>
      </c>
      <c r="B487" s="60" t="s">
        <v>1000</v>
      </c>
      <c r="C487" s="60" t="s">
        <v>1001</v>
      </c>
      <c r="D487" s="60" t="str">
        <f t="shared" si="6"/>
        <v>Kaabong West</v>
      </c>
      <c r="F487" s="60">
        <v>408</v>
      </c>
    </row>
    <row r="488" spans="1:6">
      <c r="A488" s="60" t="s">
        <v>1004</v>
      </c>
      <c r="B488" s="60" t="s">
        <v>1000</v>
      </c>
      <c r="C488" s="60" t="s">
        <v>1001</v>
      </c>
      <c r="D488" s="60" t="str">
        <f t="shared" si="6"/>
        <v>Kalapata</v>
      </c>
      <c r="F488" s="60">
        <v>409</v>
      </c>
    </row>
    <row r="489" spans="1:6">
      <c r="A489" s="60" t="s">
        <v>1005</v>
      </c>
      <c r="B489" s="60" t="s">
        <v>1000</v>
      </c>
      <c r="C489" s="60" t="s">
        <v>1001</v>
      </c>
      <c r="D489" s="60" t="str">
        <f t="shared" si="6"/>
        <v>Kamion</v>
      </c>
      <c r="F489" s="60">
        <v>410</v>
      </c>
    </row>
    <row r="490" spans="1:6">
      <c r="A490" s="60" t="s">
        <v>1006</v>
      </c>
      <c r="B490" s="60" t="s">
        <v>1000</v>
      </c>
      <c r="C490" s="60" t="s">
        <v>1001</v>
      </c>
      <c r="D490" s="60" t="str">
        <f t="shared" si="6"/>
        <v>Kapedo</v>
      </c>
      <c r="F490" s="60">
        <v>411</v>
      </c>
    </row>
    <row r="491" spans="1:6">
      <c r="A491" s="60" t="s">
        <v>1007</v>
      </c>
      <c r="B491" s="60" t="s">
        <v>1000</v>
      </c>
      <c r="C491" s="60" t="s">
        <v>1001</v>
      </c>
      <c r="D491" s="60" t="str">
        <f t="shared" si="6"/>
        <v>Kathile</v>
      </c>
      <c r="F491" s="60">
        <v>412</v>
      </c>
    </row>
    <row r="492" spans="1:6">
      <c r="A492" s="60" t="s">
        <v>1008</v>
      </c>
      <c r="B492" s="60" t="s">
        <v>1000</v>
      </c>
      <c r="C492" s="60" t="s">
        <v>1001</v>
      </c>
      <c r="D492" s="60" t="str">
        <f t="shared" si="6"/>
        <v>Kawalakol</v>
      </c>
      <c r="F492" s="60">
        <v>413</v>
      </c>
    </row>
    <row r="493" spans="1:6">
      <c r="A493" s="60" t="s">
        <v>1009</v>
      </c>
      <c r="B493" s="60" t="s">
        <v>1000</v>
      </c>
      <c r="C493" s="60" t="s">
        <v>1001</v>
      </c>
      <c r="D493" s="60" t="str">
        <f t="shared" si="6"/>
        <v>Lobalangit</v>
      </c>
      <c r="F493" s="60">
        <v>414</v>
      </c>
    </row>
    <row r="494" spans="1:6">
      <c r="A494" s="60" t="s">
        <v>1010</v>
      </c>
      <c r="B494" s="60" t="s">
        <v>1000</v>
      </c>
      <c r="C494" s="60" t="s">
        <v>1001</v>
      </c>
      <c r="D494" s="60" t="str">
        <f t="shared" si="6"/>
        <v>Lodiko</v>
      </c>
      <c r="F494" s="60">
        <v>415</v>
      </c>
    </row>
    <row r="495" spans="1:6">
      <c r="A495" s="60" t="s">
        <v>1011</v>
      </c>
      <c r="B495" s="60" t="s">
        <v>1000</v>
      </c>
      <c r="C495" s="60" t="s">
        <v>1001</v>
      </c>
      <c r="D495" s="60" t="str">
        <f t="shared" si="6"/>
        <v>Lolelia</v>
      </c>
      <c r="F495" s="60">
        <v>416</v>
      </c>
    </row>
    <row r="496" spans="1:6">
      <c r="A496" s="60" t="s">
        <v>1012</v>
      </c>
      <c r="B496" s="60" t="s">
        <v>1000</v>
      </c>
      <c r="C496" s="60" t="s">
        <v>1001</v>
      </c>
      <c r="D496" s="60" t="str">
        <f t="shared" si="6"/>
        <v>Loyoro</v>
      </c>
      <c r="F496" s="60">
        <v>417</v>
      </c>
    </row>
    <row r="497" spans="1:6">
      <c r="A497" s="60" t="s">
        <v>1013</v>
      </c>
      <c r="B497" s="60" t="s">
        <v>1000</v>
      </c>
      <c r="C497" s="60" t="s">
        <v>1001</v>
      </c>
      <c r="D497" s="60" t="str">
        <f t="shared" si="6"/>
        <v>Napore Karenga</v>
      </c>
      <c r="F497" s="60">
        <v>418</v>
      </c>
    </row>
    <row r="498" spans="1:6">
      <c r="A498" s="60" t="s">
        <v>1014</v>
      </c>
      <c r="B498" s="60" t="s">
        <v>1000</v>
      </c>
      <c r="C498" s="60" t="s">
        <v>1001</v>
      </c>
      <c r="D498" s="60" t="str">
        <f t="shared" si="6"/>
        <v>Sidok</v>
      </c>
      <c r="F498" s="60">
        <v>419</v>
      </c>
    </row>
    <row r="499" spans="1:6">
      <c r="A499" s="60" t="s">
        <v>1015</v>
      </c>
      <c r="B499" s="60" t="s">
        <v>1016</v>
      </c>
      <c r="C499" s="60" t="s">
        <v>1017</v>
      </c>
      <c r="D499" s="60" t="str">
        <f t="shared" si="6"/>
        <v>Buhara</v>
      </c>
      <c r="F499" s="60">
        <v>420</v>
      </c>
    </row>
    <row r="500" spans="1:6">
      <c r="A500" s="60" t="s">
        <v>1018</v>
      </c>
      <c r="B500" s="60" t="s">
        <v>1016</v>
      </c>
      <c r="C500" s="60" t="s">
        <v>1017</v>
      </c>
      <c r="D500" s="60" t="str">
        <f t="shared" si="6"/>
        <v>Butanda</v>
      </c>
      <c r="F500" s="60">
        <v>421</v>
      </c>
    </row>
    <row r="501" spans="1:6">
      <c r="A501" s="60" t="s">
        <v>1019</v>
      </c>
      <c r="B501" s="60" t="s">
        <v>1016</v>
      </c>
      <c r="C501" s="60" t="s">
        <v>1019</v>
      </c>
      <c r="D501" s="60" t="str">
        <f t="shared" si="6"/>
        <v>Kabale Municipality</v>
      </c>
      <c r="F501" s="60">
        <v>422</v>
      </c>
    </row>
    <row r="502" spans="1:6">
      <c r="A502" s="60" t="s">
        <v>1020</v>
      </c>
      <c r="F502" s="60">
        <v>422</v>
      </c>
    </row>
    <row r="503" spans="1:6">
      <c r="A503" s="60" t="s">
        <v>1016</v>
      </c>
      <c r="F503" s="60">
        <v>422</v>
      </c>
    </row>
    <row r="504" spans="1:6">
      <c r="A504" s="60" t="s">
        <v>1021</v>
      </c>
      <c r="B504" s="60" t="s">
        <v>1016</v>
      </c>
      <c r="C504" s="60" t="s">
        <v>1017</v>
      </c>
      <c r="D504" s="60" t="str">
        <f t="shared" si="6"/>
        <v>Kaharo</v>
      </c>
      <c r="F504" s="60">
        <v>423</v>
      </c>
    </row>
    <row r="505" spans="1:6">
      <c r="A505" s="60" t="s">
        <v>1022</v>
      </c>
      <c r="B505" s="60" t="s">
        <v>1016</v>
      </c>
      <c r="C505" s="60" t="s">
        <v>1017</v>
      </c>
      <c r="D505" s="60" t="str">
        <f t="shared" si="6"/>
        <v>Kamuganguzi</v>
      </c>
      <c r="F505" s="60">
        <v>424</v>
      </c>
    </row>
    <row r="506" spans="1:6">
      <c r="A506" s="60" t="s">
        <v>1023</v>
      </c>
      <c r="B506" s="60" t="s">
        <v>1016</v>
      </c>
      <c r="C506" s="60" t="s">
        <v>1017</v>
      </c>
      <c r="D506" s="60" t="str">
        <f t="shared" si="6"/>
        <v>Katuna Town Council</v>
      </c>
      <c r="F506" s="60">
        <v>425</v>
      </c>
    </row>
    <row r="507" spans="1:6">
      <c r="A507" s="60" t="s">
        <v>1024</v>
      </c>
      <c r="B507" s="60" t="s">
        <v>1016</v>
      </c>
      <c r="C507" s="60" t="s">
        <v>1017</v>
      </c>
      <c r="D507" s="60" t="str">
        <f t="shared" si="6"/>
        <v>Kitumba</v>
      </c>
      <c r="F507" s="60">
        <v>426</v>
      </c>
    </row>
    <row r="508" spans="1:6">
      <c r="A508" s="60" t="s">
        <v>1025</v>
      </c>
      <c r="B508" s="60" t="s">
        <v>1016</v>
      </c>
      <c r="C508" s="60" t="s">
        <v>1017</v>
      </c>
      <c r="D508" s="60" t="str">
        <f t="shared" si="6"/>
        <v>Kyanamira</v>
      </c>
      <c r="F508" s="60">
        <v>427</v>
      </c>
    </row>
    <row r="509" spans="1:6">
      <c r="A509" s="60" t="s">
        <v>1026</v>
      </c>
      <c r="B509" s="60" t="s">
        <v>1016</v>
      </c>
      <c r="C509" s="60" t="s">
        <v>1017</v>
      </c>
      <c r="D509" s="60" t="str">
        <f t="shared" si="6"/>
        <v>Maziba</v>
      </c>
      <c r="F509" s="60">
        <v>428</v>
      </c>
    </row>
    <row r="510" spans="1:6">
      <c r="A510" s="60" t="s">
        <v>1027</v>
      </c>
      <c r="B510" s="60" t="s">
        <v>1016</v>
      </c>
      <c r="C510" s="60" t="s">
        <v>1017</v>
      </c>
      <c r="D510" s="60" t="str">
        <f t="shared" si="6"/>
        <v>Rubaya-Kabale</v>
      </c>
      <c r="F510" s="60">
        <v>429</v>
      </c>
    </row>
    <row r="511" spans="1:6">
      <c r="A511" s="60" t="s">
        <v>1028</v>
      </c>
      <c r="B511" s="60" t="s">
        <v>1016</v>
      </c>
      <c r="C511" s="60" t="s">
        <v>1017</v>
      </c>
      <c r="D511" s="60" t="str">
        <f t="shared" si="6"/>
        <v>Ryakirimira Town Council</v>
      </c>
      <c r="F511" s="60">
        <v>430</v>
      </c>
    </row>
    <row r="512" spans="1:6">
      <c r="A512" s="60" t="s">
        <v>1029</v>
      </c>
      <c r="B512" s="60" t="s">
        <v>1030</v>
      </c>
      <c r="C512" s="60" t="s">
        <v>1031</v>
      </c>
      <c r="D512" s="60" t="str">
        <f t="shared" si="6"/>
        <v>Bukuuku</v>
      </c>
      <c r="F512" s="60">
        <v>431</v>
      </c>
    </row>
    <row r="513" spans="1:6">
      <c r="A513" s="60" t="s">
        <v>1032</v>
      </c>
      <c r="B513" s="60" t="s">
        <v>1030</v>
      </c>
      <c r="C513" s="60" t="s">
        <v>1031</v>
      </c>
      <c r="D513" s="60" t="str">
        <f t="shared" si="6"/>
        <v>Busoro</v>
      </c>
      <c r="F513" s="60">
        <v>432</v>
      </c>
    </row>
    <row r="514" spans="1:6">
      <c r="A514" s="60" t="s">
        <v>1033</v>
      </c>
      <c r="B514" s="60" t="s">
        <v>1030</v>
      </c>
      <c r="C514" s="60" t="s">
        <v>1033</v>
      </c>
      <c r="D514" s="60" t="str">
        <f t="shared" si="6"/>
        <v>Fort Portal Municipality</v>
      </c>
      <c r="F514" s="60">
        <v>433</v>
      </c>
    </row>
    <row r="515" spans="1:6">
      <c r="A515" s="60" t="s">
        <v>1034</v>
      </c>
      <c r="F515" s="60">
        <v>433</v>
      </c>
    </row>
    <row r="516" spans="1:6">
      <c r="A516" s="60" t="s">
        <v>1035</v>
      </c>
      <c r="F516" s="60">
        <v>433</v>
      </c>
    </row>
    <row r="517" spans="1:6">
      <c r="A517" s="60" t="s">
        <v>1036</v>
      </c>
      <c r="F517" s="60">
        <v>433</v>
      </c>
    </row>
    <row r="518" spans="1:6">
      <c r="A518" s="60" t="s">
        <v>1037</v>
      </c>
      <c r="F518" s="60">
        <v>433</v>
      </c>
    </row>
    <row r="519" spans="1:6">
      <c r="A519" s="60" t="s">
        <v>1038</v>
      </c>
      <c r="B519" s="60" t="s">
        <v>1030</v>
      </c>
      <c r="C519" s="60" t="s">
        <v>1031</v>
      </c>
      <c r="D519" s="60" t="str">
        <f t="shared" si="6"/>
        <v>Hakibaale</v>
      </c>
      <c r="F519" s="60">
        <v>434</v>
      </c>
    </row>
    <row r="520" spans="1:6">
      <c r="A520" s="60" t="s">
        <v>1039</v>
      </c>
      <c r="B520" s="60" t="s">
        <v>1030</v>
      </c>
      <c r="C520" s="60" t="s">
        <v>1031</v>
      </c>
      <c r="D520" s="60" t="str">
        <f t="shared" si="6"/>
        <v>Karago Town Council</v>
      </c>
      <c r="F520" s="60">
        <v>435</v>
      </c>
    </row>
    <row r="521" spans="1:6">
      <c r="A521" s="60" t="s">
        <v>1040</v>
      </c>
      <c r="B521" s="60" t="s">
        <v>1030</v>
      </c>
      <c r="C521" s="60" t="s">
        <v>1031</v>
      </c>
      <c r="D521" s="60" t="str">
        <f t="shared" si="6"/>
        <v>Karambi-Kabarole</v>
      </c>
      <c r="F521" s="60">
        <v>436</v>
      </c>
    </row>
    <row r="522" spans="1:6">
      <c r="A522" s="60" t="s">
        <v>1041</v>
      </c>
      <c r="B522" s="60" t="s">
        <v>1030</v>
      </c>
      <c r="C522" s="60" t="s">
        <v>1031</v>
      </c>
      <c r="D522" s="60" t="str">
        <f t="shared" si="6"/>
        <v>Karangura</v>
      </c>
      <c r="F522" s="60">
        <v>437</v>
      </c>
    </row>
    <row r="523" spans="1:6">
      <c r="A523" s="60" t="s">
        <v>1042</v>
      </c>
      <c r="B523" s="60" t="s">
        <v>1030</v>
      </c>
      <c r="C523" s="60" t="s">
        <v>1031</v>
      </c>
      <c r="D523" s="60" t="str">
        <f t="shared" si="6"/>
        <v>Kasenda</v>
      </c>
      <c r="F523" s="60">
        <v>438</v>
      </c>
    </row>
    <row r="524" spans="1:6">
      <c r="A524" s="60" t="s">
        <v>1043</v>
      </c>
      <c r="B524" s="60" t="s">
        <v>1030</v>
      </c>
      <c r="C524" s="60" t="s">
        <v>1031</v>
      </c>
      <c r="D524" s="60" t="str">
        <f t="shared" si="6"/>
        <v>Kicwamba</v>
      </c>
      <c r="F524" s="60">
        <v>439</v>
      </c>
    </row>
    <row r="525" spans="1:6">
      <c r="A525" s="60" t="s">
        <v>1044</v>
      </c>
      <c r="B525" s="60" t="s">
        <v>1030</v>
      </c>
      <c r="C525" s="60" t="s">
        <v>1031</v>
      </c>
      <c r="D525" s="60" t="str">
        <f t="shared" si="6"/>
        <v>Kijura Town Council</v>
      </c>
      <c r="F525" s="60">
        <v>440</v>
      </c>
    </row>
    <row r="526" spans="1:6">
      <c r="A526" s="60" t="s">
        <v>1045</v>
      </c>
      <c r="B526" s="60" t="s">
        <v>1030</v>
      </c>
      <c r="C526" s="60" t="s">
        <v>1031</v>
      </c>
      <c r="D526" s="60" t="str">
        <f t="shared" si="6"/>
        <v>Kiko Town Council</v>
      </c>
      <c r="F526" s="60">
        <v>441</v>
      </c>
    </row>
    <row r="527" spans="1:6">
      <c r="A527" s="60" t="s">
        <v>1046</v>
      </c>
      <c r="B527" s="60" t="s">
        <v>1030</v>
      </c>
      <c r="C527" s="60" t="s">
        <v>1031</v>
      </c>
      <c r="D527" s="60" t="str">
        <f t="shared" si="6"/>
        <v>Mugusu</v>
      </c>
      <c r="F527" s="60">
        <v>442</v>
      </c>
    </row>
    <row r="528" spans="1:6">
      <c r="A528" s="60" t="s">
        <v>1047</v>
      </c>
      <c r="B528" s="60" t="s">
        <v>1030</v>
      </c>
      <c r="C528" s="60" t="s">
        <v>1031</v>
      </c>
      <c r="D528" s="60" t="str">
        <f t="shared" ref="D528:D600" si="7">A528</f>
        <v>Mugusu Town Council</v>
      </c>
      <c r="F528" s="60">
        <v>443</v>
      </c>
    </row>
    <row r="529" spans="1:6">
      <c r="A529" s="60" t="s">
        <v>1048</v>
      </c>
      <c r="B529" s="60" t="s">
        <v>1030</v>
      </c>
      <c r="C529" s="60" t="s">
        <v>1031</v>
      </c>
      <c r="D529" s="60" t="str">
        <f t="shared" si="7"/>
        <v>Ruteete-Kabarole</v>
      </c>
      <c r="F529" s="60">
        <v>444</v>
      </c>
    </row>
    <row r="530" spans="1:6">
      <c r="A530" s="60" t="s">
        <v>1049</v>
      </c>
      <c r="B530" s="60" t="s">
        <v>1050</v>
      </c>
      <c r="C530" s="60" t="s">
        <v>1050</v>
      </c>
      <c r="D530" s="60" t="str">
        <f t="shared" si="7"/>
        <v>Alwa</v>
      </c>
      <c r="F530" s="60">
        <v>445</v>
      </c>
    </row>
    <row r="531" spans="1:6">
      <c r="A531" s="60" t="s">
        <v>1051</v>
      </c>
      <c r="B531" s="60" t="s">
        <v>1050</v>
      </c>
      <c r="C531" s="60" t="s">
        <v>1052</v>
      </c>
      <c r="D531" s="60" t="str">
        <f t="shared" si="7"/>
        <v>Anyara</v>
      </c>
      <c r="F531" s="60">
        <v>446</v>
      </c>
    </row>
    <row r="532" spans="1:6">
      <c r="A532" s="60" t="s">
        <v>1053</v>
      </c>
      <c r="B532" s="60" t="s">
        <v>1050</v>
      </c>
      <c r="C532" s="60" t="s">
        <v>1052</v>
      </c>
      <c r="D532" s="60" t="str">
        <f t="shared" si="7"/>
        <v>Apapai</v>
      </c>
      <c r="F532" s="60">
        <v>447</v>
      </c>
    </row>
    <row r="533" spans="1:6">
      <c r="A533" s="60" t="s">
        <v>1054</v>
      </c>
      <c r="B533" s="60" t="s">
        <v>1050</v>
      </c>
      <c r="C533" s="60" t="s">
        <v>1050</v>
      </c>
      <c r="D533" s="60" t="str">
        <f t="shared" si="7"/>
        <v>Aperkira</v>
      </c>
      <c r="F533" s="60">
        <v>448</v>
      </c>
    </row>
    <row r="534" spans="1:6">
      <c r="A534" s="60" t="s">
        <v>1055</v>
      </c>
      <c r="B534" s="60" t="s">
        <v>1050</v>
      </c>
      <c r="C534" s="60" t="s">
        <v>1052</v>
      </c>
      <c r="D534" s="60" t="str">
        <f t="shared" si="7"/>
        <v>Bululu</v>
      </c>
      <c r="F534" s="60">
        <v>449</v>
      </c>
    </row>
    <row r="535" spans="1:6">
      <c r="A535" s="60" t="s">
        <v>1050</v>
      </c>
      <c r="B535" s="60" t="s">
        <v>1050</v>
      </c>
      <c r="C535" s="60" t="s">
        <v>1050</v>
      </c>
      <c r="D535" s="60" t="str">
        <f t="shared" si="7"/>
        <v>Kaberamaido</v>
      </c>
      <c r="F535" s="60">
        <v>450</v>
      </c>
    </row>
    <row r="536" spans="1:6">
      <c r="A536" s="60" t="s">
        <v>1056</v>
      </c>
      <c r="B536" s="60" t="s">
        <v>1050</v>
      </c>
      <c r="C536" s="60" t="s">
        <v>1050</v>
      </c>
      <c r="D536" s="60" t="str">
        <f t="shared" si="7"/>
        <v>Kaberamaido Town Council</v>
      </c>
      <c r="F536" s="60">
        <v>451</v>
      </c>
    </row>
    <row r="537" spans="1:6">
      <c r="A537" s="60" t="s">
        <v>1057</v>
      </c>
      <c r="B537" s="60" t="s">
        <v>1050</v>
      </c>
      <c r="C537" s="60" t="s">
        <v>1052</v>
      </c>
      <c r="D537" s="60" t="str">
        <f t="shared" si="7"/>
        <v>Kakure</v>
      </c>
      <c r="F537" s="60">
        <v>452</v>
      </c>
    </row>
    <row r="538" spans="1:6">
      <c r="A538" s="60" t="s">
        <v>1052</v>
      </c>
      <c r="B538" s="60" t="s">
        <v>1050</v>
      </c>
      <c r="C538" s="60" t="s">
        <v>1052</v>
      </c>
      <c r="D538" s="60" t="str">
        <f t="shared" si="7"/>
        <v>Kalaki</v>
      </c>
      <c r="F538" s="60">
        <v>453</v>
      </c>
    </row>
    <row r="539" spans="1:6">
      <c r="A539" s="60" t="s">
        <v>1058</v>
      </c>
      <c r="B539" s="60" t="s">
        <v>1050</v>
      </c>
      <c r="C539" s="60" t="s">
        <v>1050</v>
      </c>
      <c r="D539" s="60" t="str">
        <f t="shared" si="7"/>
        <v>Kobulubulu</v>
      </c>
      <c r="F539" s="60">
        <v>454</v>
      </c>
    </row>
    <row r="540" spans="1:6">
      <c r="A540" s="60" t="s">
        <v>1059</v>
      </c>
      <c r="B540" s="60" t="s">
        <v>1050</v>
      </c>
      <c r="C540" s="60" t="s">
        <v>1050</v>
      </c>
      <c r="D540" s="60" t="str">
        <f t="shared" si="7"/>
        <v>Ochero</v>
      </c>
      <c r="F540" s="60">
        <v>455</v>
      </c>
    </row>
    <row r="541" spans="1:6">
      <c r="A541" s="60" t="s">
        <v>1060</v>
      </c>
      <c r="B541" s="60" t="s">
        <v>1050</v>
      </c>
      <c r="C541" s="60" t="s">
        <v>1052</v>
      </c>
      <c r="D541" s="60" t="str">
        <f t="shared" si="7"/>
        <v>Otuboi</v>
      </c>
      <c r="F541" s="60">
        <v>456</v>
      </c>
    </row>
    <row r="542" spans="1:6">
      <c r="A542" s="60" t="s">
        <v>1061</v>
      </c>
      <c r="B542" s="60" t="s">
        <v>1062</v>
      </c>
      <c r="C542" s="60" t="s">
        <v>1063</v>
      </c>
      <c r="D542" s="60" t="str">
        <f t="shared" si="7"/>
        <v>Burora</v>
      </c>
      <c r="F542" s="60">
        <v>457</v>
      </c>
    </row>
    <row r="543" spans="1:6">
      <c r="A543" s="60" t="s">
        <v>1064</v>
      </c>
      <c r="B543" s="60" t="s">
        <v>1062</v>
      </c>
      <c r="C543" s="60" t="s">
        <v>1063</v>
      </c>
      <c r="D543" s="60" t="str">
        <f t="shared" si="7"/>
        <v>Bwikara</v>
      </c>
      <c r="F543" s="60">
        <v>458</v>
      </c>
    </row>
    <row r="544" spans="1:6">
      <c r="A544" s="60" t="s">
        <v>1065</v>
      </c>
      <c r="B544" s="60" t="s">
        <v>1062</v>
      </c>
      <c r="C544" s="60" t="s">
        <v>1063</v>
      </c>
      <c r="D544" s="60" t="str">
        <f t="shared" si="7"/>
        <v>Kabamba</v>
      </c>
      <c r="F544" s="60">
        <v>459</v>
      </c>
    </row>
    <row r="545" spans="1:6">
      <c r="A545" s="60" t="s">
        <v>1062</v>
      </c>
      <c r="B545" s="60" t="s">
        <v>1062</v>
      </c>
      <c r="C545" s="60" t="s">
        <v>1063</v>
      </c>
      <c r="D545" s="60" t="str">
        <f t="shared" si="7"/>
        <v>Kagadi</v>
      </c>
      <c r="F545" s="60">
        <v>460</v>
      </c>
    </row>
    <row r="546" spans="1:6">
      <c r="A546" s="60" t="s">
        <v>1066</v>
      </c>
      <c r="B546" s="60" t="s">
        <v>1062</v>
      </c>
      <c r="C546" s="60" t="s">
        <v>1063</v>
      </c>
      <c r="D546" s="60" t="str">
        <f t="shared" si="7"/>
        <v>Kagadi Town Council</v>
      </c>
      <c r="F546" s="60">
        <v>461</v>
      </c>
    </row>
    <row r="547" spans="1:6">
      <c r="A547" s="60" t="s">
        <v>1067</v>
      </c>
      <c r="D547" s="60" t="str">
        <f t="shared" si="7"/>
        <v>Kagadi town</v>
      </c>
      <c r="F547" s="60">
        <v>461</v>
      </c>
    </row>
    <row r="548" spans="1:6">
      <c r="A548" s="60" t="s">
        <v>1068</v>
      </c>
      <c r="D548" s="60" t="str">
        <f t="shared" si="7"/>
        <v>Kagaddi</v>
      </c>
      <c r="F548" s="60">
        <v>461</v>
      </c>
    </row>
    <row r="549" spans="1:6">
      <c r="A549" s="60" t="s">
        <v>1069</v>
      </c>
      <c r="B549" s="60" t="s">
        <v>1062</v>
      </c>
      <c r="C549" s="60" t="s">
        <v>1063</v>
      </c>
      <c r="D549" s="60" t="str">
        <f t="shared" si="7"/>
        <v>Kiryanga</v>
      </c>
      <c r="F549" s="60">
        <v>462</v>
      </c>
    </row>
    <row r="550" spans="1:6">
      <c r="A550" s="60" t="s">
        <v>1070</v>
      </c>
      <c r="B550" s="60" t="s">
        <v>1062</v>
      </c>
      <c r="C550" s="60" t="s">
        <v>1063</v>
      </c>
      <c r="D550" s="60" t="str">
        <f t="shared" si="7"/>
        <v>Kyakabadiima</v>
      </c>
      <c r="F550" s="60">
        <v>463</v>
      </c>
    </row>
    <row r="551" spans="1:6">
      <c r="A551" s="60" t="s">
        <v>1071</v>
      </c>
      <c r="B551" s="60" t="s">
        <v>1062</v>
      </c>
      <c r="C551" s="60" t="s">
        <v>1063</v>
      </c>
      <c r="D551" s="60" t="str">
        <f t="shared" si="7"/>
        <v>Kyanaisoke</v>
      </c>
      <c r="F551" s="60">
        <v>464</v>
      </c>
    </row>
    <row r="552" spans="1:6">
      <c r="A552" s="60" t="s">
        <v>2529</v>
      </c>
      <c r="F552" s="60">
        <v>464</v>
      </c>
    </row>
    <row r="553" spans="1:6">
      <c r="A553" s="60" t="s">
        <v>1072</v>
      </c>
      <c r="B553" s="60" t="s">
        <v>1062</v>
      </c>
      <c r="C553" s="60" t="s">
        <v>1063</v>
      </c>
      <c r="D553" s="60" t="str">
        <f t="shared" si="7"/>
        <v>Kyaterekera</v>
      </c>
      <c r="F553" s="60">
        <v>465</v>
      </c>
    </row>
    <row r="554" spans="1:6">
      <c r="A554" s="60" t="s">
        <v>1073</v>
      </c>
      <c r="B554" s="60" t="s">
        <v>1062</v>
      </c>
      <c r="C554" s="60" t="s">
        <v>1063</v>
      </c>
      <c r="D554" s="60" t="str">
        <f t="shared" si="7"/>
        <v>Kyenzige</v>
      </c>
      <c r="F554" s="60">
        <v>466</v>
      </c>
    </row>
    <row r="555" spans="1:6">
      <c r="A555" s="60" t="s">
        <v>1074</v>
      </c>
      <c r="B555" s="60" t="s">
        <v>1062</v>
      </c>
      <c r="C555" s="60" t="s">
        <v>1063</v>
      </c>
      <c r="D555" s="60" t="str">
        <f t="shared" si="7"/>
        <v>Mabaale</v>
      </c>
      <c r="F555" s="60">
        <v>467</v>
      </c>
    </row>
    <row r="556" spans="1:6">
      <c r="A556" s="60" t="s">
        <v>1075</v>
      </c>
      <c r="B556" s="60" t="s">
        <v>1062</v>
      </c>
      <c r="C556" s="60" t="s">
        <v>1063</v>
      </c>
      <c r="D556" s="60" t="str">
        <f t="shared" si="7"/>
        <v>Mpeefu</v>
      </c>
      <c r="F556" s="60">
        <v>468</v>
      </c>
    </row>
    <row r="557" spans="1:6">
      <c r="A557" s="60" t="s">
        <v>1076</v>
      </c>
      <c r="B557" s="60" t="s">
        <v>1062</v>
      </c>
      <c r="C557" s="60" t="s">
        <v>1063</v>
      </c>
      <c r="D557" s="60" t="str">
        <f t="shared" si="7"/>
        <v>Muhorro</v>
      </c>
      <c r="F557" s="60">
        <v>469</v>
      </c>
    </row>
    <row r="558" spans="1:6">
      <c r="A558" s="60" t="s">
        <v>1077</v>
      </c>
      <c r="B558" s="60" t="s">
        <v>1062</v>
      </c>
      <c r="C558" s="60" t="s">
        <v>1063</v>
      </c>
      <c r="D558" s="60" t="str">
        <f t="shared" si="7"/>
        <v>Muhorro Town Council</v>
      </c>
      <c r="F558" s="60">
        <v>470</v>
      </c>
    </row>
    <row r="559" spans="1:6">
      <c r="A559" s="60" t="s">
        <v>1078</v>
      </c>
      <c r="B559" s="60" t="s">
        <v>1062</v>
      </c>
      <c r="C559" s="60" t="s">
        <v>1063</v>
      </c>
      <c r="D559" s="60" t="str">
        <f t="shared" si="7"/>
        <v>Ndaiga</v>
      </c>
      <c r="F559" s="60">
        <v>471</v>
      </c>
    </row>
    <row r="560" spans="1:6">
      <c r="A560" s="60" t="s">
        <v>1079</v>
      </c>
      <c r="B560" s="60" t="s">
        <v>1062</v>
      </c>
      <c r="C560" s="60" t="s">
        <v>1063</v>
      </c>
      <c r="D560" s="60" t="str">
        <f t="shared" si="7"/>
        <v>Paacwa</v>
      </c>
      <c r="F560" s="60">
        <v>472</v>
      </c>
    </row>
    <row r="561" spans="1:6">
      <c r="A561" s="60" t="s">
        <v>1080</v>
      </c>
      <c r="B561" s="60" t="s">
        <v>1062</v>
      </c>
      <c r="C561" s="60" t="s">
        <v>1063</v>
      </c>
      <c r="D561" s="60" t="str">
        <f t="shared" si="7"/>
        <v>Rugashari</v>
      </c>
      <c r="F561" s="60">
        <v>473</v>
      </c>
    </row>
    <row r="562" spans="1:6">
      <c r="A562" s="60" t="s">
        <v>1081</v>
      </c>
      <c r="B562" s="60" t="s">
        <v>1062</v>
      </c>
      <c r="C562" s="60" t="s">
        <v>1063</v>
      </c>
      <c r="D562" s="60" t="str">
        <f t="shared" si="7"/>
        <v>Ruteete-Kagadi</v>
      </c>
      <c r="F562" s="60">
        <v>474</v>
      </c>
    </row>
    <row r="563" spans="1:6">
      <c r="A563" s="60" t="s">
        <v>1082</v>
      </c>
      <c r="B563" s="60" t="s">
        <v>1083</v>
      </c>
      <c r="C563" s="60" t="s">
        <v>1084</v>
      </c>
      <c r="D563" s="60" t="str">
        <f t="shared" si="7"/>
        <v>Birembo</v>
      </c>
      <c r="F563" s="60">
        <v>475</v>
      </c>
    </row>
    <row r="564" spans="1:6">
      <c r="A564" s="60" t="s">
        <v>1085</v>
      </c>
      <c r="B564" s="60" t="s">
        <v>1083</v>
      </c>
      <c r="C564" s="60" t="s">
        <v>1084</v>
      </c>
      <c r="D564" s="60" t="str">
        <f t="shared" si="7"/>
        <v>Bwanswa</v>
      </c>
      <c r="F564" s="60">
        <v>476</v>
      </c>
    </row>
    <row r="565" spans="1:6">
      <c r="A565" s="60" t="s">
        <v>1086</v>
      </c>
      <c r="B565" s="60" t="s">
        <v>1083</v>
      </c>
      <c r="C565" s="60" t="s">
        <v>1084</v>
      </c>
      <c r="D565" s="60" t="str">
        <f t="shared" si="7"/>
        <v>Kakindo</v>
      </c>
      <c r="F565" s="60">
        <v>477</v>
      </c>
    </row>
    <row r="566" spans="1:6">
      <c r="A566" s="60" t="s">
        <v>1087</v>
      </c>
      <c r="B566" s="60" t="s">
        <v>1083</v>
      </c>
      <c r="C566" s="60" t="s">
        <v>1084</v>
      </c>
      <c r="D566" s="60" t="str">
        <f t="shared" si="7"/>
        <v>Kakumiro Town Council</v>
      </c>
      <c r="F566" s="60">
        <v>478</v>
      </c>
    </row>
    <row r="567" spans="1:6">
      <c r="A567" s="60" t="s">
        <v>1083</v>
      </c>
      <c r="D567" s="60" t="str">
        <f t="shared" si="7"/>
        <v>Kakumiro</v>
      </c>
      <c r="F567" s="60">
        <v>478</v>
      </c>
    </row>
    <row r="568" spans="1:6">
      <c r="A568" s="60" t="s">
        <v>1088</v>
      </c>
      <c r="B568" s="60" t="s">
        <v>1083</v>
      </c>
      <c r="C568" s="60" t="s">
        <v>1084</v>
      </c>
      <c r="D568" s="60" t="str">
        <f t="shared" si="7"/>
        <v>Kasambya-Kakumiro</v>
      </c>
      <c r="F568" s="60">
        <v>479</v>
      </c>
    </row>
    <row r="569" spans="1:6">
      <c r="A569" s="60" t="s">
        <v>1089</v>
      </c>
      <c r="B569" s="60" t="s">
        <v>1083</v>
      </c>
      <c r="C569" s="60" t="s">
        <v>1084</v>
      </c>
      <c r="D569" s="60" t="str">
        <f t="shared" si="7"/>
        <v>Kikwaya</v>
      </c>
      <c r="F569" s="60">
        <v>480</v>
      </c>
    </row>
    <row r="570" spans="1:6">
      <c r="A570" s="60" t="s">
        <v>1090</v>
      </c>
      <c r="B570" s="60" t="s">
        <v>1083</v>
      </c>
      <c r="C570" s="60" t="s">
        <v>1084</v>
      </c>
      <c r="D570" s="60" t="str">
        <f t="shared" si="7"/>
        <v>Kisiita</v>
      </c>
      <c r="F570" s="60">
        <v>481</v>
      </c>
    </row>
    <row r="571" spans="1:6">
      <c r="A571" s="60" t="s">
        <v>1091</v>
      </c>
      <c r="B571" s="60" t="s">
        <v>1083</v>
      </c>
      <c r="C571" s="60" t="s">
        <v>1084</v>
      </c>
      <c r="D571" s="60" t="str">
        <f t="shared" si="7"/>
        <v>Kitaihuka</v>
      </c>
      <c r="F571" s="60">
        <v>482</v>
      </c>
    </row>
    <row r="572" spans="1:6">
      <c r="A572" s="60" t="s">
        <v>1092</v>
      </c>
      <c r="B572" s="60" t="s">
        <v>1083</v>
      </c>
      <c r="C572" s="60" t="s">
        <v>1084</v>
      </c>
      <c r="D572" s="60" t="str">
        <f t="shared" si="7"/>
        <v>Mpasaana</v>
      </c>
      <c r="F572" s="60">
        <v>483</v>
      </c>
    </row>
    <row r="573" spans="1:6">
      <c r="A573" s="60" t="s">
        <v>1093</v>
      </c>
      <c r="B573" s="60" t="s">
        <v>1083</v>
      </c>
      <c r="C573" s="60" t="s">
        <v>1084</v>
      </c>
      <c r="D573" s="60" t="str">
        <f t="shared" si="7"/>
        <v>Nalweyo</v>
      </c>
      <c r="F573" s="60">
        <v>484</v>
      </c>
    </row>
    <row r="574" spans="1:6">
      <c r="A574" s="60" t="s">
        <v>1094</v>
      </c>
      <c r="B574" s="60" t="s">
        <v>1083</v>
      </c>
      <c r="C574" s="60" t="s">
        <v>1084</v>
      </c>
      <c r="D574" s="60" t="str">
        <f t="shared" si="7"/>
        <v>Nkooko</v>
      </c>
      <c r="F574" s="60">
        <v>485</v>
      </c>
    </row>
    <row r="575" spans="1:6">
      <c r="A575" s="60" t="s">
        <v>1095</v>
      </c>
      <c r="B575" s="60" t="s">
        <v>1096</v>
      </c>
      <c r="C575" s="60" t="s">
        <v>1097</v>
      </c>
      <c r="D575" s="60" t="str">
        <f t="shared" si="7"/>
        <v>Bubeke</v>
      </c>
      <c r="F575" s="60">
        <v>486</v>
      </c>
    </row>
    <row r="576" spans="1:6">
      <c r="A576" s="60" t="s">
        <v>1098</v>
      </c>
      <c r="B576" s="60" t="s">
        <v>1096</v>
      </c>
      <c r="C576" s="60" t="s">
        <v>1097</v>
      </c>
      <c r="D576" s="60" t="str">
        <f t="shared" si="7"/>
        <v>Bufumira</v>
      </c>
      <c r="F576" s="60">
        <v>487</v>
      </c>
    </row>
    <row r="577" spans="1:6">
      <c r="A577" s="60" t="s">
        <v>1099</v>
      </c>
      <c r="B577" s="60" t="s">
        <v>1096</v>
      </c>
      <c r="C577" s="60" t="s">
        <v>1099</v>
      </c>
      <c r="D577" s="60" t="str">
        <f t="shared" si="7"/>
        <v>Bujumba</v>
      </c>
      <c r="F577" s="60">
        <v>488</v>
      </c>
    </row>
    <row r="578" spans="1:6">
      <c r="A578" s="60" t="s">
        <v>1100</v>
      </c>
      <c r="B578" s="60" t="s">
        <v>1096</v>
      </c>
      <c r="C578" s="60" t="s">
        <v>1099</v>
      </c>
      <c r="D578" s="60" t="str">
        <f t="shared" si="7"/>
        <v>Kalangala Town Council</v>
      </c>
      <c r="F578" s="60">
        <v>489</v>
      </c>
    </row>
    <row r="579" spans="1:6">
      <c r="A579" s="60" t="s">
        <v>1096</v>
      </c>
      <c r="D579" s="60" t="str">
        <f t="shared" si="7"/>
        <v>Kalangala</v>
      </c>
      <c r="F579" s="60">
        <v>489</v>
      </c>
    </row>
    <row r="580" spans="1:6">
      <c r="A580" s="60" t="s">
        <v>1101</v>
      </c>
      <c r="F580" s="60">
        <v>489</v>
      </c>
    </row>
    <row r="581" spans="1:6">
      <c r="A581" s="60" t="s">
        <v>1097</v>
      </c>
      <c r="B581" s="60" t="s">
        <v>1096</v>
      </c>
      <c r="C581" s="60" t="s">
        <v>1097</v>
      </c>
      <c r="D581" s="60" t="str">
        <f t="shared" si="7"/>
        <v>Kyamuswa</v>
      </c>
      <c r="F581" s="60">
        <v>490</v>
      </c>
    </row>
    <row r="582" spans="1:6">
      <c r="A582" s="60" t="s">
        <v>1102</v>
      </c>
      <c r="B582" s="60" t="s">
        <v>1096</v>
      </c>
      <c r="C582" s="60" t="s">
        <v>1097</v>
      </c>
      <c r="D582" s="60" t="str">
        <f t="shared" si="7"/>
        <v>Mazinga</v>
      </c>
      <c r="F582" s="60">
        <v>491</v>
      </c>
    </row>
    <row r="583" spans="1:6">
      <c r="A583" s="60" t="s">
        <v>1103</v>
      </c>
      <c r="B583" s="60" t="s">
        <v>1096</v>
      </c>
      <c r="C583" s="60" t="s">
        <v>1099</v>
      </c>
      <c r="D583" s="60" t="str">
        <f t="shared" si="7"/>
        <v>Mugoye</v>
      </c>
      <c r="F583" s="60">
        <v>492</v>
      </c>
    </row>
    <row r="584" spans="1:6">
      <c r="A584" s="60" t="s">
        <v>1104</v>
      </c>
      <c r="B584" s="60" t="s">
        <v>155</v>
      </c>
      <c r="C584" s="60" t="s">
        <v>930</v>
      </c>
      <c r="D584" s="60" t="str">
        <f t="shared" si="7"/>
        <v>Budomero</v>
      </c>
      <c r="F584" s="60">
        <v>493</v>
      </c>
    </row>
    <row r="585" spans="1:6">
      <c r="A585" s="60" t="s">
        <v>1105</v>
      </c>
      <c r="B585" s="60" t="s">
        <v>155</v>
      </c>
      <c r="C585" s="60" t="s">
        <v>930</v>
      </c>
      <c r="D585" s="60" t="str">
        <f t="shared" si="7"/>
        <v>Bukamba</v>
      </c>
      <c r="F585" s="60">
        <v>494</v>
      </c>
    </row>
    <row r="586" spans="1:6">
      <c r="A586" s="60" t="s">
        <v>1106</v>
      </c>
      <c r="B586" s="60" t="s">
        <v>155</v>
      </c>
      <c r="C586" s="60" t="s">
        <v>930</v>
      </c>
      <c r="D586" s="60" t="str">
        <f t="shared" si="7"/>
        <v>Bumanya</v>
      </c>
      <c r="F586" s="60">
        <v>495</v>
      </c>
    </row>
    <row r="587" spans="1:6">
      <c r="A587" s="60" t="s">
        <v>2525</v>
      </c>
      <c r="F587" s="60">
        <v>495</v>
      </c>
    </row>
    <row r="588" spans="1:6">
      <c r="A588" s="60" t="s">
        <v>1107</v>
      </c>
      <c r="B588" s="60" t="s">
        <v>155</v>
      </c>
      <c r="C588" s="60" t="s">
        <v>930</v>
      </c>
      <c r="D588" s="60" t="str">
        <f t="shared" si="7"/>
        <v>Buyinda</v>
      </c>
      <c r="F588" s="60">
        <v>496</v>
      </c>
    </row>
    <row r="589" spans="1:6">
      <c r="A589" s="60" t="s">
        <v>257</v>
      </c>
      <c r="D589" s="60" t="str">
        <f t="shared" si="7"/>
        <v>Kirama</v>
      </c>
      <c r="F589" s="60">
        <v>496</v>
      </c>
    </row>
    <row r="590" spans="1:6">
      <c r="A590" s="60" t="s">
        <v>296</v>
      </c>
      <c r="B590" s="60" t="s">
        <v>155</v>
      </c>
      <c r="C590" s="60" t="s">
        <v>930</v>
      </c>
      <c r="D590" s="60" t="str">
        <f t="shared" si="7"/>
        <v>Gadumire</v>
      </c>
      <c r="F590" s="60">
        <v>497</v>
      </c>
    </row>
    <row r="591" spans="1:6">
      <c r="A591" s="60" t="s">
        <v>1108</v>
      </c>
      <c r="B591" s="60" t="s">
        <v>155</v>
      </c>
      <c r="C591" s="60" t="s">
        <v>930</v>
      </c>
      <c r="D591" s="60" t="str">
        <f t="shared" si="7"/>
        <v>Kaliro Town Council</v>
      </c>
      <c r="F591" s="60">
        <v>498</v>
      </c>
    </row>
    <row r="592" spans="1:6">
      <c r="A592" s="60" t="s">
        <v>155</v>
      </c>
      <c r="F592" s="60">
        <v>498</v>
      </c>
    </row>
    <row r="593" spans="1:6">
      <c r="A593" s="60" t="s">
        <v>1109</v>
      </c>
      <c r="B593" s="60" t="s">
        <v>155</v>
      </c>
      <c r="C593" s="60" t="s">
        <v>930</v>
      </c>
      <c r="D593" s="60" t="str">
        <f t="shared" si="7"/>
        <v>Kasokwe</v>
      </c>
      <c r="F593" s="60">
        <v>499</v>
      </c>
    </row>
    <row r="594" spans="1:6">
      <c r="A594" s="60" t="s">
        <v>1110</v>
      </c>
      <c r="B594" s="60" t="s">
        <v>155</v>
      </c>
      <c r="C594" s="60" t="s">
        <v>930</v>
      </c>
      <c r="D594" s="60" t="str">
        <f t="shared" si="7"/>
        <v>Kisinda</v>
      </c>
      <c r="F594" s="60">
        <v>500</v>
      </c>
    </row>
    <row r="595" spans="1:6">
      <c r="A595" s="60" t="s">
        <v>1111</v>
      </c>
      <c r="B595" s="60" t="s">
        <v>155</v>
      </c>
      <c r="C595" s="60" t="s">
        <v>930</v>
      </c>
      <c r="D595" s="60" t="str">
        <f t="shared" si="7"/>
        <v>Namugongo-Kaliro</v>
      </c>
      <c r="F595" s="60">
        <v>501</v>
      </c>
    </row>
    <row r="596" spans="1:6">
      <c r="A596" s="60" t="s">
        <v>1112</v>
      </c>
      <c r="B596" s="60" t="s">
        <v>155</v>
      </c>
      <c r="C596" s="60" t="s">
        <v>930</v>
      </c>
      <c r="D596" s="60" t="str">
        <f t="shared" si="7"/>
        <v>Namwiwa</v>
      </c>
      <c r="F596" s="60">
        <v>502</v>
      </c>
    </row>
    <row r="597" spans="1:6">
      <c r="A597" s="60" t="s">
        <v>1113</v>
      </c>
      <c r="B597" s="60" t="s">
        <v>155</v>
      </c>
      <c r="C597" s="60" t="s">
        <v>930</v>
      </c>
      <c r="D597" s="60" t="str">
        <f t="shared" si="7"/>
        <v>Nansololo</v>
      </c>
      <c r="F597" s="60">
        <v>503</v>
      </c>
    </row>
    <row r="598" spans="1:6">
      <c r="A598" s="60" t="s">
        <v>1114</v>
      </c>
      <c r="B598" s="60" t="s">
        <v>155</v>
      </c>
      <c r="C598" s="60" t="s">
        <v>930</v>
      </c>
      <c r="D598" s="60" t="str">
        <f t="shared" si="7"/>
        <v>Nawaikoke</v>
      </c>
      <c r="F598" s="60">
        <v>504</v>
      </c>
    </row>
    <row r="599" spans="1:6">
      <c r="A599" s="60" t="s">
        <v>1115</v>
      </c>
      <c r="B599" s="60" t="s">
        <v>1116</v>
      </c>
      <c r="C599" s="60" t="s">
        <v>1116</v>
      </c>
      <c r="D599" s="60" t="str">
        <f t="shared" si="7"/>
        <v>Bukulula</v>
      </c>
      <c r="F599" s="60">
        <v>505</v>
      </c>
    </row>
    <row r="600" spans="1:6">
      <c r="A600" s="60" t="s">
        <v>1116</v>
      </c>
      <c r="B600" s="60" t="s">
        <v>1116</v>
      </c>
      <c r="C600" s="60" t="s">
        <v>1116</v>
      </c>
      <c r="D600" s="60" t="str">
        <f t="shared" si="7"/>
        <v>Kalungu</v>
      </c>
      <c r="F600" s="60">
        <v>506</v>
      </c>
    </row>
    <row r="601" spans="1:6">
      <c r="A601" s="60" t="s">
        <v>1117</v>
      </c>
      <c r="B601" s="60" t="s">
        <v>1116</v>
      </c>
      <c r="C601" s="60" t="s">
        <v>1116</v>
      </c>
      <c r="D601" s="60" t="str">
        <f t="shared" ref="D601:D606" si="8">A601</f>
        <v>Kalungu Town Council</v>
      </c>
      <c r="F601" s="60">
        <v>507</v>
      </c>
    </row>
    <row r="602" spans="1:6">
      <c r="A602" s="60" t="s">
        <v>1118</v>
      </c>
      <c r="B602" s="60" t="s">
        <v>1116</v>
      </c>
      <c r="C602" s="60" t="s">
        <v>1116</v>
      </c>
      <c r="D602" s="60" t="str">
        <f t="shared" si="8"/>
        <v>Kyamulibwa</v>
      </c>
      <c r="F602" s="60">
        <v>508</v>
      </c>
    </row>
    <row r="603" spans="1:6">
      <c r="A603" s="60" t="s">
        <v>1119</v>
      </c>
      <c r="B603" s="60" t="s">
        <v>1116</v>
      </c>
      <c r="C603" s="60" t="s">
        <v>1116</v>
      </c>
      <c r="D603" s="60" t="str">
        <f t="shared" si="8"/>
        <v>Kyamulibwa Town Council</v>
      </c>
      <c r="F603" s="60">
        <v>509</v>
      </c>
    </row>
    <row r="604" spans="1:6">
      <c r="A604" s="60" t="s">
        <v>1120</v>
      </c>
      <c r="B604" s="60" t="s">
        <v>1116</v>
      </c>
      <c r="C604" s="60" t="s">
        <v>1116</v>
      </c>
      <c r="D604" s="60" t="str">
        <f t="shared" si="8"/>
        <v>Lukaya Town Council</v>
      </c>
      <c r="F604" s="60">
        <v>510</v>
      </c>
    </row>
    <row r="605" spans="1:6">
      <c r="A605" s="60" t="s">
        <v>1121</v>
      </c>
      <c r="D605" s="60" t="str">
        <f t="shared" si="8"/>
        <v>Lukaya</v>
      </c>
      <c r="F605" s="60">
        <v>510</v>
      </c>
    </row>
    <row r="606" spans="1:6">
      <c r="A606" s="60" t="s">
        <v>1122</v>
      </c>
      <c r="B606" s="60" t="s">
        <v>1116</v>
      </c>
      <c r="C606" s="60" t="s">
        <v>1116</v>
      </c>
      <c r="D606" s="60" t="str">
        <f t="shared" si="8"/>
        <v>Lwabenge</v>
      </c>
      <c r="F606" s="60">
        <v>511</v>
      </c>
    </row>
    <row r="607" spans="1:6">
      <c r="A607" s="63" t="s">
        <v>1123</v>
      </c>
      <c r="B607" s="60" t="s">
        <v>168</v>
      </c>
      <c r="C607" s="60" t="s">
        <v>1124</v>
      </c>
      <c r="D607" s="60" t="s">
        <v>1125</v>
      </c>
      <c r="E607" s="60" t="str">
        <f t="shared" ref="E607:E613" si="9">A607</f>
        <v>Banda</v>
      </c>
      <c r="F607" s="60">
        <v>512</v>
      </c>
    </row>
    <row r="608" spans="1:6">
      <c r="A608" s="63" t="s">
        <v>1126</v>
      </c>
      <c r="B608" s="60" t="s">
        <v>168</v>
      </c>
      <c r="C608" s="60" t="s">
        <v>1124</v>
      </c>
      <c r="D608" s="60" t="s">
        <v>1125</v>
      </c>
      <c r="E608" s="60" t="str">
        <f t="shared" si="9"/>
        <v>Bugolobi</v>
      </c>
      <c r="F608" s="60">
        <v>513</v>
      </c>
    </row>
    <row r="609" spans="1:6">
      <c r="A609" s="63" t="s">
        <v>1127</v>
      </c>
      <c r="F609" s="60">
        <v>513</v>
      </c>
    </row>
    <row r="610" spans="1:6">
      <c r="A610" s="63" t="s">
        <v>1128</v>
      </c>
      <c r="B610" s="60" t="s">
        <v>168</v>
      </c>
      <c r="C610" s="60" t="s">
        <v>1124</v>
      </c>
      <c r="D610" s="60" t="s">
        <v>1129</v>
      </c>
      <c r="E610" s="60" t="str">
        <f t="shared" si="9"/>
        <v>Bukasa</v>
      </c>
      <c r="F610" s="60">
        <v>514</v>
      </c>
    </row>
    <row r="611" spans="1:6">
      <c r="A611" s="60" t="s">
        <v>1130</v>
      </c>
      <c r="B611" s="60" t="s">
        <v>168</v>
      </c>
      <c r="C611" s="60" t="s">
        <v>1124</v>
      </c>
      <c r="D611" s="60" t="s">
        <v>1131</v>
      </c>
      <c r="E611" s="60" t="str">
        <f t="shared" si="9"/>
        <v>Bukesa</v>
      </c>
      <c r="F611" s="60">
        <v>515</v>
      </c>
    </row>
    <row r="612" spans="1:6">
      <c r="A612" s="63" t="s">
        <v>23</v>
      </c>
      <c r="B612" s="60" t="s">
        <v>168</v>
      </c>
      <c r="C612" s="60" t="s">
        <v>1124</v>
      </c>
      <c r="D612" s="60" t="s">
        <v>1125</v>
      </c>
      <c r="E612" s="60" t="str">
        <f t="shared" si="9"/>
        <v>Bukoto</v>
      </c>
      <c r="F612" s="60">
        <v>516</v>
      </c>
    </row>
    <row r="613" spans="1:6">
      <c r="A613" s="63" t="s">
        <v>1132</v>
      </c>
      <c r="B613" s="60" t="s">
        <v>168</v>
      </c>
      <c r="C613" s="60" t="s">
        <v>1124</v>
      </c>
      <c r="D613" s="60" t="s">
        <v>1133</v>
      </c>
      <c r="E613" s="60" t="str">
        <f t="shared" si="9"/>
        <v>Busega</v>
      </c>
      <c r="F613" s="60">
        <v>517</v>
      </c>
    </row>
    <row r="614" spans="1:6">
      <c r="A614" s="63" t="s">
        <v>1134</v>
      </c>
      <c r="F614" s="60">
        <v>517</v>
      </c>
    </row>
    <row r="615" spans="1:6">
      <c r="A615" s="63" t="s">
        <v>1135</v>
      </c>
      <c r="F615" s="60">
        <v>517</v>
      </c>
    </row>
    <row r="616" spans="1:6">
      <c r="A616" s="63" t="s">
        <v>1136</v>
      </c>
      <c r="B616" s="60" t="s">
        <v>168</v>
      </c>
      <c r="C616" s="60" t="s">
        <v>1124</v>
      </c>
      <c r="D616" s="60" t="s">
        <v>1125</v>
      </c>
      <c r="E616" s="60" t="str">
        <f t="shared" ref="E616:E621" si="10">A616</f>
        <v>Butabika</v>
      </c>
      <c r="F616" s="60">
        <v>518</v>
      </c>
    </row>
    <row r="617" spans="1:6">
      <c r="A617" s="63" t="s">
        <v>1137</v>
      </c>
      <c r="B617" s="60" t="s">
        <v>168</v>
      </c>
      <c r="C617" s="60" t="s">
        <v>1124</v>
      </c>
      <c r="D617" s="60" t="s">
        <v>1129</v>
      </c>
      <c r="E617" s="60" t="str">
        <f t="shared" si="10"/>
        <v>Buziga</v>
      </c>
      <c r="F617" s="60">
        <v>519</v>
      </c>
    </row>
    <row r="618" spans="1:6">
      <c r="A618" s="63" t="s">
        <v>1138</v>
      </c>
      <c r="E618" s="60" t="str">
        <f t="shared" si="10"/>
        <v>Kiruddu</v>
      </c>
      <c r="F618" s="60">
        <v>519</v>
      </c>
    </row>
    <row r="619" spans="1:6">
      <c r="A619" s="60" t="s">
        <v>1139</v>
      </c>
      <c r="B619" s="60" t="s">
        <v>168</v>
      </c>
      <c r="C619" s="60" t="s">
        <v>1124</v>
      </c>
      <c r="D619" s="60" t="s">
        <v>1140</v>
      </c>
      <c r="E619" s="60" t="str">
        <f t="shared" si="10"/>
        <v>Bwaise</v>
      </c>
      <c r="F619" s="60">
        <v>520</v>
      </c>
    </row>
    <row r="620" spans="1:6">
      <c r="A620" s="60" t="s">
        <v>1141</v>
      </c>
      <c r="B620" s="60" t="s">
        <v>168</v>
      </c>
      <c r="C620" s="60" t="s">
        <v>1124</v>
      </c>
      <c r="D620" s="60" t="s">
        <v>1131</v>
      </c>
      <c r="E620" s="60" t="str">
        <f t="shared" si="10"/>
        <v>Civic Centre</v>
      </c>
      <c r="F620" s="60">
        <v>521</v>
      </c>
    </row>
    <row r="621" spans="1:6">
      <c r="A621" s="60" t="s">
        <v>1142</v>
      </c>
      <c r="E621" s="60" t="str">
        <f t="shared" si="10"/>
        <v>City Center</v>
      </c>
      <c r="F621" s="60">
        <v>521</v>
      </c>
    </row>
    <row r="622" spans="1:6">
      <c r="A622" s="60" t="s">
        <v>1143</v>
      </c>
      <c r="F622" s="60">
        <v>521</v>
      </c>
    </row>
    <row r="623" spans="1:6">
      <c r="A623" s="60" t="s">
        <v>1144</v>
      </c>
      <c r="F623" s="60">
        <v>521</v>
      </c>
    </row>
    <row r="624" spans="1:6">
      <c r="A624" s="60" t="s">
        <v>1145</v>
      </c>
      <c r="F624" s="60">
        <v>521</v>
      </c>
    </row>
    <row r="625" spans="1:6">
      <c r="A625" s="60" t="s">
        <v>1146</v>
      </c>
      <c r="F625" s="60">
        <v>521</v>
      </c>
    </row>
    <row r="626" spans="1:6">
      <c r="A626" s="60" t="s">
        <v>1147</v>
      </c>
      <c r="F626" s="60">
        <v>521</v>
      </c>
    </row>
    <row r="627" spans="1:6">
      <c r="A627" s="60" t="s">
        <v>1148</v>
      </c>
      <c r="F627" s="60">
        <v>521</v>
      </c>
    </row>
    <row r="628" spans="1:6">
      <c r="A628" s="60" t="s">
        <v>1149</v>
      </c>
      <c r="F628" s="60">
        <v>521</v>
      </c>
    </row>
    <row r="629" spans="1:6">
      <c r="A629" s="60" t="s">
        <v>1150</v>
      </c>
      <c r="F629" s="60">
        <v>521</v>
      </c>
    </row>
    <row r="630" spans="1:6">
      <c r="A630" s="60" t="s">
        <v>1151</v>
      </c>
      <c r="F630" s="60">
        <v>521</v>
      </c>
    </row>
    <row r="631" spans="1:6">
      <c r="A631" s="60" t="s">
        <v>1152</v>
      </c>
      <c r="F631" s="60">
        <v>521</v>
      </c>
    </row>
    <row r="632" spans="1:6">
      <c r="A632" s="60" t="s">
        <v>1153</v>
      </c>
      <c r="F632" s="60">
        <v>521</v>
      </c>
    </row>
    <row r="633" spans="1:6">
      <c r="A633" s="60" t="s">
        <v>1154</v>
      </c>
      <c r="F633" s="60">
        <v>521</v>
      </c>
    </row>
    <row r="634" spans="1:6">
      <c r="A634" s="60" t="s">
        <v>1155</v>
      </c>
      <c r="F634" s="60">
        <v>521</v>
      </c>
    </row>
    <row r="635" spans="1:6">
      <c r="A635" s="60" t="s">
        <v>1156</v>
      </c>
      <c r="F635" s="60">
        <v>521</v>
      </c>
    </row>
    <row r="636" spans="1:6">
      <c r="A636" s="60" t="s">
        <v>1157</v>
      </c>
      <c r="F636" s="60">
        <v>521</v>
      </c>
    </row>
    <row r="637" spans="1:6">
      <c r="A637" s="60" t="s">
        <v>1158</v>
      </c>
      <c r="F637" s="60">
        <v>521</v>
      </c>
    </row>
    <row r="638" spans="1:6">
      <c r="A638" s="60" t="s">
        <v>1159</v>
      </c>
      <c r="F638" s="60">
        <v>521</v>
      </c>
    </row>
    <row r="639" spans="1:6">
      <c r="A639" s="60" t="s">
        <v>1160</v>
      </c>
      <c r="F639" s="60">
        <v>521</v>
      </c>
    </row>
    <row r="640" spans="1:6">
      <c r="A640" s="60" t="s">
        <v>1161</v>
      </c>
      <c r="F640" s="60">
        <v>521</v>
      </c>
    </row>
    <row r="641" spans="1:6">
      <c r="A641" s="60" t="s">
        <v>1162</v>
      </c>
      <c r="F641" s="60">
        <v>521</v>
      </c>
    </row>
    <row r="642" spans="1:6">
      <c r="A642" s="60" t="s">
        <v>1163</v>
      </c>
      <c r="F642" s="60">
        <v>521</v>
      </c>
    </row>
    <row r="643" spans="1:6">
      <c r="A643" s="60" t="s">
        <v>1164</v>
      </c>
      <c r="F643" s="60">
        <v>521</v>
      </c>
    </row>
    <row r="644" spans="1:6">
      <c r="A644" s="60" t="s">
        <v>1165</v>
      </c>
      <c r="F644" s="60">
        <v>521</v>
      </c>
    </row>
    <row r="645" spans="1:6">
      <c r="A645" s="60" t="s">
        <v>1166</v>
      </c>
      <c r="F645" s="60">
        <v>521</v>
      </c>
    </row>
    <row r="646" spans="1:6">
      <c r="A646" s="60" t="s">
        <v>1167</v>
      </c>
      <c r="F646" s="60">
        <v>521</v>
      </c>
    </row>
    <row r="647" spans="1:6">
      <c r="A647" s="60" t="s">
        <v>1168</v>
      </c>
      <c r="F647" s="60">
        <v>521</v>
      </c>
    </row>
    <row r="648" spans="1:6">
      <c r="A648" s="60" t="s">
        <v>1169</v>
      </c>
      <c r="F648" s="60">
        <v>521</v>
      </c>
    </row>
    <row r="649" spans="1:6">
      <c r="A649" s="60" t="s">
        <v>1170</v>
      </c>
      <c r="F649" s="60">
        <v>521</v>
      </c>
    </row>
    <row r="650" spans="1:6">
      <c r="A650" s="60" t="s">
        <v>1171</v>
      </c>
      <c r="F650" s="60">
        <v>521</v>
      </c>
    </row>
    <row r="651" spans="1:6">
      <c r="A651" s="60" t="s">
        <v>1172</v>
      </c>
      <c r="F651" s="60">
        <v>521</v>
      </c>
    </row>
    <row r="652" spans="1:6">
      <c r="A652" s="60" t="s">
        <v>1173</v>
      </c>
      <c r="F652" s="60">
        <v>521</v>
      </c>
    </row>
    <row r="653" spans="1:6">
      <c r="A653" s="60" t="s">
        <v>1174</v>
      </c>
      <c r="F653" s="60">
        <v>521</v>
      </c>
    </row>
    <row r="654" spans="1:6">
      <c r="A654" s="60" t="s">
        <v>1175</v>
      </c>
      <c r="F654" s="60">
        <v>521</v>
      </c>
    </row>
    <row r="655" spans="1:6">
      <c r="A655" s="60" t="s">
        <v>1176</v>
      </c>
      <c r="F655" s="60">
        <v>521</v>
      </c>
    </row>
    <row r="656" spans="1:6">
      <c r="A656" s="60" t="s">
        <v>1177</v>
      </c>
      <c r="F656" s="60">
        <v>521</v>
      </c>
    </row>
    <row r="657" spans="1:6">
      <c r="A657" s="60" t="s">
        <v>1178</v>
      </c>
      <c r="F657" s="60">
        <v>521</v>
      </c>
    </row>
    <row r="658" spans="1:6">
      <c r="A658" s="60" t="s">
        <v>1179</v>
      </c>
      <c r="F658" s="60">
        <v>521</v>
      </c>
    </row>
    <row r="659" spans="1:6">
      <c r="A659" s="60" t="s">
        <v>1180</v>
      </c>
      <c r="F659" s="60">
        <v>521</v>
      </c>
    </row>
    <row r="660" spans="1:6">
      <c r="A660" s="60" t="s">
        <v>1181</v>
      </c>
      <c r="F660" s="60">
        <v>521</v>
      </c>
    </row>
    <row r="661" spans="1:6">
      <c r="A661" s="60" t="s">
        <v>1182</v>
      </c>
      <c r="F661" s="60">
        <v>521</v>
      </c>
    </row>
    <row r="662" spans="1:6">
      <c r="A662" s="60" t="s">
        <v>1183</v>
      </c>
      <c r="F662" s="60">
        <v>521</v>
      </c>
    </row>
    <row r="663" spans="1:6">
      <c r="A663" s="60" t="s">
        <v>1184</v>
      </c>
      <c r="F663" s="60">
        <v>521</v>
      </c>
    </row>
    <row r="664" spans="1:6">
      <c r="A664" s="60" t="s">
        <v>1185</v>
      </c>
      <c r="F664" s="60">
        <v>521</v>
      </c>
    </row>
    <row r="665" spans="1:6">
      <c r="A665" s="60" t="s">
        <v>1186</v>
      </c>
      <c r="F665" s="60">
        <v>521</v>
      </c>
    </row>
    <row r="666" spans="1:6">
      <c r="A666" s="60" t="s">
        <v>1187</v>
      </c>
      <c r="F666" s="60">
        <v>521</v>
      </c>
    </row>
    <row r="667" spans="1:6">
      <c r="A667" s="60" t="s">
        <v>1188</v>
      </c>
      <c r="F667" s="60">
        <v>521</v>
      </c>
    </row>
    <row r="668" spans="1:6">
      <c r="A668" s="60" t="s">
        <v>1189</v>
      </c>
      <c r="F668" s="60">
        <v>521</v>
      </c>
    </row>
    <row r="669" spans="1:6">
      <c r="A669" s="60" t="s">
        <v>1190</v>
      </c>
      <c r="F669" s="60">
        <v>521</v>
      </c>
    </row>
    <row r="670" spans="1:6">
      <c r="A670" s="60" t="s">
        <v>1191</v>
      </c>
      <c r="F670" s="60">
        <v>521</v>
      </c>
    </row>
    <row r="671" spans="1:6">
      <c r="A671" s="60" t="s">
        <v>1192</v>
      </c>
      <c r="F671" s="60">
        <v>521</v>
      </c>
    </row>
    <row r="672" spans="1:6">
      <c r="A672" s="60" t="s">
        <v>1193</v>
      </c>
      <c r="F672" s="60">
        <v>521</v>
      </c>
    </row>
    <row r="673" spans="1:6">
      <c r="A673" s="60" t="s">
        <v>1194</v>
      </c>
      <c r="E673" s="60" t="str">
        <f>A673</f>
        <v>CPS</v>
      </c>
      <c r="F673" s="60">
        <v>521</v>
      </c>
    </row>
    <row r="674" spans="1:6">
      <c r="A674" s="60" t="s">
        <v>1195</v>
      </c>
      <c r="F674" s="60">
        <v>521</v>
      </c>
    </row>
    <row r="675" spans="1:6">
      <c r="A675" s="60" t="s">
        <v>1196</v>
      </c>
      <c r="F675" s="60">
        <v>521</v>
      </c>
    </row>
    <row r="676" spans="1:6">
      <c r="A676" s="60" t="s">
        <v>1197</v>
      </c>
      <c r="F676" s="60">
        <v>521</v>
      </c>
    </row>
    <row r="677" spans="1:6">
      <c r="A677" s="60" t="s">
        <v>1198</v>
      </c>
      <c r="F677" s="60">
        <v>521</v>
      </c>
    </row>
    <row r="678" spans="1:6">
      <c r="A678" s="60" t="s">
        <v>1199</v>
      </c>
      <c r="E678" s="60" t="str">
        <f>A678</f>
        <v>Owino</v>
      </c>
      <c r="F678" s="60">
        <v>521</v>
      </c>
    </row>
    <row r="679" spans="1:6">
      <c r="A679" s="60" t="s">
        <v>1200</v>
      </c>
      <c r="F679" s="60">
        <v>521</v>
      </c>
    </row>
    <row r="680" spans="1:6">
      <c r="A680" s="60" t="s">
        <v>1201</v>
      </c>
      <c r="F680" s="60">
        <v>521</v>
      </c>
    </row>
    <row r="681" spans="1:6">
      <c r="A681" s="60" t="s">
        <v>1202</v>
      </c>
      <c r="E681" s="60" t="str">
        <f>A681</f>
        <v>Kiseka</v>
      </c>
      <c r="F681" s="60">
        <v>521</v>
      </c>
    </row>
    <row r="682" spans="1:6">
      <c r="A682" s="60" t="s">
        <v>1203</v>
      </c>
      <c r="F682" s="60">
        <v>521</v>
      </c>
    </row>
    <row r="683" spans="1:6">
      <c r="A683" s="60" t="s">
        <v>1204</v>
      </c>
      <c r="F683" s="60">
        <v>521</v>
      </c>
    </row>
    <row r="684" spans="1:6">
      <c r="A684" s="60" t="s">
        <v>1205</v>
      </c>
      <c r="F684" s="60">
        <v>521</v>
      </c>
    </row>
    <row r="685" spans="1:6">
      <c r="A685" s="60" t="s">
        <v>1206</v>
      </c>
      <c r="F685" s="60">
        <v>521</v>
      </c>
    </row>
    <row r="686" spans="1:6">
      <c r="A686" s="60" t="s">
        <v>1207</v>
      </c>
      <c r="F686" s="60">
        <v>521</v>
      </c>
    </row>
    <row r="687" spans="1:6">
      <c r="A687" s="60" t="s">
        <v>1208</v>
      </c>
      <c r="F687" s="60">
        <v>521</v>
      </c>
    </row>
    <row r="688" spans="1:6">
      <c r="A688" s="60" t="s">
        <v>1209</v>
      </c>
      <c r="F688" s="60">
        <v>521</v>
      </c>
    </row>
    <row r="689" spans="1:6">
      <c r="A689" s="60" t="s">
        <v>1210</v>
      </c>
      <c r="F689" s="60">
        <v>521</v>
      </c>
    </row>
    <row r="690" spans="1:6">
      <c r="A690" s="60" t="s">
        <v>1211</v>
      </c>
      <c r="F690" s="60">
        <v>521</v>
      </c>
    </row>
    <row r="691" spans="1:6">
      <c r="A691" s="60" t="s">
        <v>1212</v>
      </c>
      <c r="E691" s="60" t="str">
        <f>A691</f>
        <v>Parliamentary Avenue</v>
      </c>
      <c r="F691" s="60">
        <v>521</v>
      </c>
    </row>
    <row r="692" spans="1:6">
      <c r="A692" s="60" t="s">
        <v>1213</v>
      </c>
      <c r="F692" s="60">
        <v>521</v>
      </c>
    </row>
    <row r="693" spans="1:6">
      <c r="A693" s="60" t="s">
        <v>1214</v>
      </c>
      <c r="F693" s="60">
        <v>521</v>
      </c>
    </row>
    <row r="694" spans="1:6">
      <c r="A694" s="60" t="s">
        <v>1215</v>
      </c>
      <c r="F694" s="60">
        <v>521</v>
      </c>
    </row>
    <row r="695" spans="1:6">
      <c r="A695" s="60" t="s">
        <v>1216</v>
      </c>
      <c r="F695" s="60">
        <v>521</v>
      </c>
    </row>
    <row r="696" spans="1:6">
      <c r="A696" s="60" t="s">
        <v>1217</v>
      </c>
      <c r="F696" s="60">
        <v>521</v>
      </c>
    </row>
    <row r="697" spans="1:6">
      <c r="A697" s="60" t="s">
        <v>1218</v>
      </c>
      <c r="F697" s="60">
        <v>521</v>
      </c>
    </row>
    <row r="698" spans="1:6">
      <c r="A698" s="60" t="s">
        <v>1219</v>
      </c>
      <c r="F698" s="60">
        <v>521</v>
      </c>
    </row>
    <row r="699" spans="1:6">
      <c r="A699" s="60" t="s">
        <v>1220</v>
      </c>
      <c r="F699" s="60">
        <v>521</v>
      </c>
    </row>
    <row r="700" spans="1:6">
      <c r="A700" s="60" t="s">
        <v>1221</v>
      </c>
      <c r="F700" s="60">
        <v>521</v>
      </c>
    </row>
    <row r="701" spans="1:6">
      <c r="A701" s="60" t="s">
        <v>1222</v>
      </c>
      <c r="F701" s="60">
        <v>521</v>
      </c>
    </row>
    <row r="702" spans="1:6">
      <c r="A702" s="60" t="s">
        <v>1223</v>
      </c>
      <c r="F702" s="60">
        <v>521</v>
      </c>
    </row>
    <row r="703" spans="1:6">
      <c r="A703" s="60" t="s">
        <v>1224</v>
      </c>
      <c r="F703" s="60">
        <v>521</v>
      </c>
    </row>
    <row r="704" spans="1:6">
      <c r="A704" s="60" t="s">
        <v>1225</v>
      </c>
      <c r="E704" s="60" t="str">
        <f>A704</f>
        <v>Old Taxi Park</v>
      </c>
      <c r="F704" s="60">
        <v>521</v>
      </c>
    </row>
    <row r="705" spans="1:6">
      <c r="A705" s="60" t="s">
        <v>1226</v>
      </c>
      <c r="F705" s="60">
        <v>521</v>
      </c>
    </row>
    <row r="706" spans="1:6">
      <c r="A706" s="60" t="s">
        <v>1227</v>
      </c>
      <c r="E706" s="60" t="str">
        <f>A706</f>
        <v>New Taxi Park</v>
      </c>
      <c r="F706" s="60">
        <v>521</v>
      </c>
    </row>
    <row r="707" spans="1:6">
      <c r="A707" s="60" t="s">
        <v>1228</v>
      </c>
      <c r="F707" s="60">
        <v>521</v>
      </c>
    </row>
    <row r="708" spans="1:6">
      <c r="A708" s="60" t="s">
        <v>1229</v>
      </c>
      <c r="F708" s="60">
        <v>521</v>
      </c>
    </row>
    <row r="709" spans="1:6">
      <c r="A709" s="60" t="s">
        <v>1230</v>
      </c>
      <c r="F709" s="60">
        <v>521</v>
      </c>
    </row>
    <row r="710" spans="1:6">
      <c r="A710" s="60" t="s">
        <v>1231</v>
      </c>
      <c r="F710" s="60">
        <v>521</v>
      </c>
    </row>
    <row r="711" spans="1:6">
      <c r="A711" s="60" t="s">
        <v>1232</v>
      </c>
      <c r="F711" s="60">
        <v>521</v>
      </c>
    </row>
    <row r="712" spans="1:6">
      <c r="A712" s="60" t="s">
        <v>1233</v>
      </c>
      <c r="F712" s="60">
        <v>521</v>
      </c>
    </row>
    <row r="713" spans="1:6">
      <c r="A713" s="60" t="s">
        <v>1234</v>
      </c>
      <c r="F713" s="60">
        <v>521</v>
      </c>
    </row>
    <row r="714" spans="1:6">
      <c r="A714" s="60" t="s">
        <v>1235</v>
      </c>
      <c r="F714" s="60">
        <v>521</v>
      </c>
    </row>
    <row r="715" spans="1:6">
      <c r="A715" s="60" t="s">
        <v>1236</v>
      </c>
      <c r="F715" s="60">
        <v>521</v>
      </c>
    </row>
    <row r="716" spans="1:6">
      <c r="A716" s="60" t="s">
        <v>1237</v>
      </c>
      <c r="F716" s="60">
        <v>521</v>
      </c>
    </row>
    <row r="717" spans="1:6">
      <c r="A717" s="60" t="s">
        <v>1238</v>
      </c>
      <c r="F717" s="60">
        <v>521</v>
      </c>
    </row>
    <row r="718" spans="1:6">
      <c r="A718" s="60" t="s">
        <v>1239</v>
      </c>
      <c r="F718" s="60">
        <v>521</v>
      </c>
    </row>
    <row r="719" spans="1:6">
      <c r="A719" s="60" t="s">
        <v>1240</v>
      </c>
      <c r="F719" s="60">
        <v>521</v>
      </c>
    </row>
    <row r="720" spans="1:6">
      <c r="A720" s="60" t="s">
        <v>1241</v>
      </c>
      <c r="E720" s="60" t="str">
        <f t="shared" ref="E720:E726" si="11">A720</f>
        <v>Jinja Road</v>
      </c>
      <c r="F720" s="60">
        <v>521</v>
      </c>
    </row>
    <row r="721" spans="1:6">
      <c r="A721" s="60" t="s">
        <v>168</v>
      </c>
      <c r="D721" s="60" t="s">
        <v>1131</v>
      </c>
      <c r="E721" s="60" t="str">
        <f t="shared" si="11"/>
        <v>Kampala</v>
      </c>
      <c r="F721" s="60">
        <v>521</v>
      </c>
    </row>
    <row r="722" spans="1:6">
      <c r="A722" s="63" t="s">
        <v>1242</v>
      </c>
      <c r="D722" s="60" t="s">
        <v>1129</v>
      </c>
      <c r="E722" s="60" t="str">
        <f t="shared" si="11"/>
        <v>Gaba</v>
      </c>
      <c r="F722" s="60">
        <v>522</v>
      </c>
    </row>
    <row r="723" spans="1:6">
      <c r="A723" s="63" t="s">
        <v>1243</v>
      </c>
      <c r="D723" s="60" t="s">
        <v>1129</v>
      </c>
      <c r="E723" s="60" t="str">
        <f t="shared" si="11"/>
        <v>Munyonyo</v>
      </c>
      <c r="F723" s="60">
        <v>522</v>
      </c>
    </row>
    <row r="724" spans="1:6">
      <c r="A724" s="63" t="s">
        <v>1244</v>
      </c>
      <c r="E724" s="60" t="str">
        <f t="shared" si="11"/>
        <v>Mulungu</v>
      </c>
      <c r="F724" s="60">
        <v>522</v>
      </c>
    </row>
    <row r="725" spans="1:6">
      <c r="A725" s="63" t="s">
        <v>1245</v>
      </c>
      <c r="E725" s="60" t="str">
        <f t="shared" si="11"/>
        <v>Busabala</v>
      </c>
      <c r="F725" s="60">
        <v>522</v>
      </c>
    </row>
    <row r="726" spans="1:6">
      <c r="A726" s="63" t="s">
        <v>1246</v>
      </c>
      <c r="E726" s="60" t="str">
        <f t="shared" si="11"/>
        <v>GGANGU</v>
      </c>
      <c r="F726" s="60">
        <v>522</v>
      </c>
    </row>
    <row r="727" spans="1:6">
      <c r="A727" s="63" t="s">
        <v>1247</v>
      </c>
      <c r="F727" s="60">
        <v>522</v>
      </c>
    </row>
    <row r="728" spans="1:6">
      <c r="A728" s="63" t="s">
        <v>1248</v>
      </c>
      <c r="B728" s="60" t="s">
        <v>168</v>
      </c>
      <c r="C728" s="60" t="s">
        <v>1124</v>
      </c>
      <c r="D728" s="60" t="s">
        <v>1129</v>
      </c>
      <c r="E728" s="60" t="str">
        <f>A728</f>
        <v>Ggaba</v>
      </c>
      <c r="F728" s="60">
        <v>522</v>
      </c>
    </row>
    <row r="729" spans="1:6">
      <c r="A729" s="63" t="s">
        <v>1249</v>
      </c>
      <c r="E729" s="60" t="str">
        <f>A729</f>
        <v>Bunga</v>
      </c>
      <c r="F729" s="60">
        <v>522</v>
      </c>
    </row>
    <row r="730" spans="1:6">
      <c r="A730" s="63" t="s">
        <v>1250</v>
      </c>
      <c r="F730" s="60">
        <v>522</v>
      </c>
    </row>
    <row r="731" spans="1:6">
      <c r="A731" s="63" t="s">
        <v>1251</v>
      </c>
      <c r="F731" s="60">
        <v>522</v>
      </c>
    </row>
    <row r="732" spans="1:6">
      <c r="A732" s="63" t="s">
        <v>1252</v>
      </c>
      <c r="E732" s="60" t="str">
        <f>A732</f>
        <v>KK Beach</v>
      </c>
      <c r="F732" s="60">
        <v>522</v>
      </c>
    </row>
    <row r="733" spans="1:6">
      <c r="A733" s="60" t="s">
        <v>1253</v>
      </c>
      <c r="B733" s="60" t="s">
        <v>168</v>
      </c>
      <c r="C733" s="60" t="s">
        <v>1124</v>
      </c>
      <c r="D733" s="60" t="s">
        <v>1131</v>
      </c>
      <c r="E733" s="60" t="str">
        <f>A733</f>
        <v>Industrial Area</v>
      </c>
      <c r="F733" s="60">
        <v>523</v>
      </c>
    </row>
    <row r="734" spans="1:6">
      <c r="A734" s="60" t="s">
        <v>1254</v>
      </c>
      <c r="E734" s="60" t="str">
        <f>A734</f>
        <v>6th Street</v>
      </c>
      <c r="F734" s="60">
        <v>523</v>
      </c>
    </row>
    <row r="735" spans="1:6">
      <c r="A735" s="60" t="s">
        <v>1255</v>
      </c>
      <c r="E735" s="60" t="str">
        <f>A735</f>
        <v>7th Street</v>
      </c>
      <c r="F735" s="60">
        <v>523</v>
      </c>
    </row>
    <row r="736" spans="1:6">
      <c r="A736" s="60" t="s">
        <v>1256</v>
      </c>
      <c r="F736" s="60">
        <v>523</v>
      </c>
    </row>
    <row r="737" spans="1:6">
      <c r="A737" s="60" t="s">
        <v>1257</v>
      </c>
      <c r="E737" s="60" t="str">
        <f>A737</f>
        <v>Namuwongo</v>
      </c>
      <c r="F737" s="60">
        <v>523</v>
      </c>
    </row>
    <row r="738" spans="1:6">
      <c r="A738" s="60" t="s">
        <v>1258</v>
      </c>
      <c r="F738" s="60">
        <v>523</v>
      </c>
    </row>
    <row r="739" spans="1:6">
      <c r="A739" s="60" t="s">
        <v>1259</v>
      </c>
      <c r="F739" s="60">
        <v>523</v>
      </c>
    </row>
    <row r="740" spans="1:6">
      <c r="A740" s="60" t="s">
        <v>1260</v>
      </c>
      <c r="F740" s="60">
        <v>523</v>
      </c>
    </row>
    <row r="741" spans="1:6">
      <c r="A741" s="63" t="s">
        <v>1261</v>
      </c>
      <c r="B741" s="60" t="s">
        <v>168</v>
      </c>
      <c r="C741" s="60" t="s">
        <v>1124</v>
      </c>
      <c r="D741" s="60" t="s">
        <v>1125</v>
      </c>
      <c r="E741" s="60" t="str">
        <f t="shared" ref="E741:E849" si="12">A741</f>
        <v>Itek</v>
      </c>
      <c r="F741" s="60">
        <v>524</v>
      </c>
    </row>
    <row r="742" spans="1:6">
      <c r="A742" s="63" t="s">
        <v>1262</v>
      </c>
      <c r="B742" s="60" t="s">
        <v>168</v>
      </c>
      <c r="C742" s="60" t="s">
        <v>1124</v>
      </c>
      <c r="D742" s="60" t="s">
        <v>1129</v>
      </c>
      <c r="E742" s="60" t="str">
        <f t="shared" si="12"/>
        <v>Kabalagala</v>
      </c>
      <c r="F742" s="60">
        <v>525</v>
      </c>
    </row>
    <row r="743" spans="1:6">
      <c r="A743" s="63" t="s">
        <v>1263</v>
      </c>
      <c r="F743" s="60">
        <v>525</v>
      </c>
    </row>
    <row r="744" spans="1:6">
      <c r="A744" s="63" t="s">
        <v>1264</v>
      </c>
      <c r="E744" s="60" t="str">
        <f t="shared" si="12"/>
        <v>Muyenga</v>
      </c>
      <c r="F744" s="60">
        <v>525</v>
      </c>
    </row>
    <row r="745" spans="1:6">
      <c r="A745" s="63" t="s">
        <v>1265</v>
      </c>
      <c r="F745" s="60">
        <v>525</v>
      </c>
    </row>
    <row r="746" spans="1:6">
      <c r="A746" s="63" t="s">
        <v>1266</v>
      </c>
      <c r="F746" s="60">
        <v>525</v>
      </c>
    </row>
    <row r="747" spans="1:6">
      <c r="A747" s="63" t="s">
        <v>1267</v>
      </c>
      <c r="F747" s="60">
        <v>525</v>
      </c>
    </row>
    <row r="748" spans="1:6">
      <c r="A748" s="63" t="s">
        <v>1268</v>
      </c>
      <c r="B748" s="60" t="s">
        <v>168</v>
      </c>
      <c r="C748" s="60" t="s">
        <v>1124</v>
      </c>
      <c r="D748" s="60" t="s">
        <v>1133</v>
      </c>
      <c r="E748" s="60" t="str">
        <f t="shared" si="12"/>
        <v>Kabowa</v>
      </c>
      <c r="F748" s="60">
        <v>526</v>
      </c>
    </row>
    <row r="749" spans="1:6">
      <c r="A749" s="63" t="s">
        <v>1269</v>
      </c>
      <c r="E749" s="60" t="str">
        <f t="shared" si="12"/>
        <v>Wankulukuku</v>
      </c>
      <c r="F749" s="60">
        <v>526</v>
      </c>
    </row>
    <row r="750" spans="1:6">
      <c r="A750" s="60" t="s">
        <v>1270</v>
      </c>
      <c r="B750" s="60" t="s">
        <v>168</v>
      </c>
      <c r="C750" s="60" t="s">
        <v>1124</v>
      </c>
      <c r="D750" s="60" t="s">
        <v>1131</v>
      </c>
      <c r="E750" s="60" t="str">
        <f t="shared" si="12"/>
        <v>Kagugube</v>
      </c>
      <c r="F750" s="60">
        <v>527</v>
      </c>
    </row>
    <row r="751" spans="1:6">
      <c r="A751" s="64" t="s">
        <v>1271</v>
      </c>
      <c r="B751" s="60" t="s">
        <v>168</v>
      </c>
      <c r="C751" s="60" t="s">
        <v>1124</v>
      </c>
      <c r="D751" s="60" t="s">
        <v>1131</v>
      </c>
      <c r="E751" s="60" t="str">
        <f t="shared" si="12"/>
        <v>Kamwokya</v>
      </c>
      <c r="F751" s="60">
        <v>528</v>
      </c>
    </row>
    <row r="752" spans="1:6">
      <c r="A752" s="64" t="s">
        <v>1272</v>
      </c>
      <c r="F752" s="60">
        <v>528</v>
      </c>
    </row>
    <row r="753" spans="1:6">
      <c r="A753" s="64" t="s">
        <v>1273</v>
      </c>
      <c r="F753" s="60">
        <v>528</v>
      </c>
    </row>
    <row r="754" spans="1:6">
      <c r="A754" s="64" t="s">
        <v>1274</v>
      </c>
      <c r="F754" s="60">
        <v>528</v>
      </c>
    </row>
    <row r="755" spans="1:6">
      <c r="A755" s="63" t="s">
        <v>1275</v>
      </c>
      <c r="B755" s="60" t="s">
        <v>168</v>
      </c>
      <c r="C755" s="60" t="s">
        <v>1124</v>
      </c>
      <c r="D755" s="60" t="s">
        <v>1129</v>
      </c>
      <c r="E755" s="60" t="str">
        <f t="shared" si="12"/>
        <v>Kansanga</v>
      </c>
      <c r="F755" s="60">
        <v>529</v>
      </c>
    </row>
    <row r="756" spans="1:6">
      <c r="A756" s="63" t="s">
        <v>1276</v>
      </c>
      <c r="F756" s="60">
        <v>529</v>
      </c>
    </row>
    <row r="757" spans="1:6">
      <c r="A757" s="63" t="s">
        <v>1277</v>
      </c>
      <c r="F757" s="60">
        <v>529</v>
      </c>
    </row>
    <row r="758" spans="1:6">
      <c r="A758" s="60" t="s">
        <v>1278</v>
      </c>
      <c r="B758" s="60" t="s">
        <v>168</v>
      </c>
      <c r="C758" s="60" t="s">
        <v>1124</v>
      </c>
      <c r="D758" s="60" t="s">
        <v>1140</v>
      </c>
      <c r="E758" s="60" t="str">
        <f t="shared" si="12"/>
        <v>Kanyanya</v>
      </c>
      <c r="F758" s="60">
        <v>530</v>
      </c>
    </row>
    <row r="759" spans="1:6">
      <c r="A759" s="63" t="s">
        <v>1279</v>
      </c>
      <c r="B759" s="60" t="s">
        <v>168</v>
      </c>
      <c r="C759" s="60" t="s">
        <v>1124</v>
      </c>
      <c r="D759" s="60" t="s">
        <v>1133</v>
      </c>
      <c r="E759" s="60" t="str">
        <f t="shared" si="12"/>
        <v>Kasubi</v>
      </c>
      <c r="F759" s="60">
        <v>531</v>
      </c>
    </row>
    <row r="760" spans="1:6">
      <c r="A760" s="63" t="s">
        <v>1280</v>
      </c>
      <c r="F760" s="60">
        <v>531</v>
      </c>
    </row>
    <row r="761" spans="1:6">
      <c r="A761" s="63" t="s">
        <v>1281</v>
      </c>
      <c r="B761" s="60" t="s">
        <v>168</v>
      </c>
      <c r="C761" s="60" t="s">
        <v>1124</v>
      </c>
      <c r="D761" s="60" t="s">
        <v>1129</v>
      </c>
      <c r="E761" s="60" t="str">
        <f t="shared" si="12"/>
        <v>Katwe</v>
      </c>
      <c r="F761" s="60">
        <v>532</v>
      </c>
    </row>
    <row r="762" spans="1:6">
      <c r="A762" s="60" t="s">
        <v>1282</v>
      </c>
      <c r="B762" s="60" t="s">
        <v>168</v>
      </c>
      <c r="C762" s="60" t="s">
        <v>1124</v>
      </c>
      <c r="D762" s="60" t="s">
        <v>1140</v>
      </c>
      <c r="E762" s="60" t="str">
        <f t="shared" si="12"/>
        <v>Kawempe</v>
      </c>
      <c r="F762" s="60">
        <v>533</v>
      </c>
    </row>
    <row r="763" spans="1:6">
      <c r="A763" s="60" t="s">
        <v>1283</v>
      </c>
      <c r="B763" s="60" t="s">
        <v>168</v>
      </c>
      <c r="C763" s="60" t="s">
        <v>1124</v>
      </c>
      <c r="D763" s="60" t="s">
        <v>1140</v>
      </c>
      <c r="E763" s="60" t="str">
        <f t="shared" si="12"/>
        <v>Kazo Angola</v>
      </c>
      <c r="F763" s="60">
        <v>534</v>
      </c>
    </row>
    <row r="764" spans="1:6">
      <c r="A764" s="63" t="s">
        <v>1284</v>
      </c>
      <c r="B764" s="60" t="s">
        <v>168</v>
      </c>
      <c r="C764" s="60" t="s">
        <v>1124</v>
      </c>
      <c r="D764" s="60" t="s">
        <v>1129</v>
      </c>
      <c r="E764" s="60" t="str">
        <f t="shared" si="12"/>
        <v>Kibuli</v>
      </c>
      <c r="F764" s="60">
        <v>535</v>
      </c>
    </row>
    <row r="765" spans="1:6">
      <c r="A765" s="63" t="s">
        <v>1285</v>
      </c>
      <c r="F765" s="60">
        <v>535</v>
      </c>
    </row>
    <row r="766" spans="1:6">
      <c r="A766" s="63" t="s">
        <v>1286</v>
      </c>
      <c r="F766" s="60">
        <v>535</v>
      </c>
    </row>
    <row r="767" spans="1:6">
      <c r="A767" s="63" t="s">
        <v>1287</v>
      </c>
      <c r="F767" s="60">
        <v>535</v>
      </c>
    </row>
    <row r="768" spans="1:6">
      <c r="A768" s="63" t="s">
        <v>1288</v>
      </c>
      <c r="B768" s="60" t="s">
        <v>168</v>
      </c>
      <c r="C768" s="60" t="s">
        <v>1124</v>
      </c>
      <c r="D768" s="60" t="s">
        <v>1129</v>
      </c>
      <c r="E768" s="60" t="str">
        <f t="shared" si="12"/>
        <v>Kibuye</v>
      </c>
      <c r="F768" s="60">
        <v>536</v>
      </c>
    </row>
    <row r="769" spans="1:6">
      <c r="A769" s="60" t="s">
        <v>1289</v>
      </c>
      <c r="B769" s="60" t="s">
        <v>168</v>
      </c>
      <c r="C769" s="60" t="s">
        <v>1124</v>
      </c>
      <c r="D769" s="60" t="s">
        <v>1140</v>
      </c>
      <c r="E769" s="60" t="str">
        <f t="shared" si="12"/>
        <v>Kikaaya</v>
      </c>
      <c r="F769" s="60">
        <v>537</v>
      </c>
    </row>
    <row r="770" spans="1:6">
      <c r="A770" s="60" t="s">
        <v>1290</v>
      </c>
      <c r="F770" s="60">
        <v>537</v>
      </c>
    </row>
    <row r="771" spans="1:6">
      <c r="A771" s="64" t="s">
        <v>1291</v>
      </c>
      <c r="B771" s="60" t="s">
        <v>168</v>
      </c>
      <c r="C771" s="60" t="s">
        <v>1124</v>
      </c>
      <c r="D771" s="60" t="s">
        <v>1131</v>
      </c>
      <c r="E771" s="60" t="str">
        <f t="shared" si="12"/>
        <v xml:space="preserve">Kisenyi </v>
      </c>
      <c r="F771" s="60">
        <v>538</v>
      </c>
    </row>
    <row r="772" spans="1:6">
      <c r="A772" s="64" t="s">
        <v>1292</v>
      </c>
      <c r="F772" s="60">
        <v>538</v>
      </c>
    </row>
    <row r="773" spans="1:6">
      <c r="A773" s="64" t="s">
        <v>1293</v>
      </c>
      <c r="F773" s="60">
        <v>538</v>
      </c>
    </row>
    <row r="774" spans="1:6">
      <c r="A774" s="64" t="s">
        <v>1294</v>
      </c>
      <c r="F774" s="60">
        <v>538</v>
      </c>
    </row>
    <row r="775" spans="1:6">
      <c r="A775" s="64" t="s">
        <v>1295</v>
      </c>
      <c r="F775" s="60">
        <v>538</v>
      </c>
    </row>
    <row r="776" spans="1:6">
      <c r="A776" s="63" t="s">
        <v>1296</v>
      </c>
      <c r="B776" s="60" t="s">
        <v>168</v>
      </c>
      <c r="C776" s="60" t="s">
        <v>1124</v>
      </c>
      <c r="D776" s="60" t="s">
        <v>1129</v>
      </c>
      <c r="E776" s="60" t="str">
        <f t="shared" si="12"/>
        <v>Kisugu</v>
      </c>
      <c r="F776" s="60">
        <v>539</v>
      </c>
    </row>
    <row r="777" spans="1:6">
      <c r="A777" s="63" t="s">
        <v>1297</v>
      </c>
      <c r="B777" s="60" t="s">
        <v>168</v>
      </c>
      <c r="C777" s="60" t="s">
        <v>1124</v>
      </c>
      <c r="D777" s="60" t="s">
        <v>1125</v>
      </c>
      <c r="E777" s="60" t="str">
        <f t="shared" si="12"/>
        <v>Kiswa</v>
      </c>
      <c r="F777" s="60">
        <v>540</v>
      </c>
    </row>
    <row r="778" spans="1:6">
      <c r="A778" s="63" t="s">
        <v>1298</v>
      </c>
      <c r="B778" s="60" t="s">
        <v>168</v>
      </c>
      <c r="C778" s="60" t="s">
        <v>1124</v>
      </c>
      <c r="D778" s="60" t="s">
        <v>1125</v>
      </c>
      <c r="E778" s="60" t="str">
        <f t="shared" si="12"/>
        <v>Kiwatule</v>
      </c>
      <c r="F778" s="60">
        <v>541</v>
      </c>
    </row>
    <row r="779" spans="1:6">
      <c r="A779" s="64" t="s">
        <v>1299</v>
      </c>
      <c r="B779" s="60" t="s">
        <v>168</v>
      </c>
      <c r="C779" s="60" t="s">
        <v>1124</v>
      </c>
      <c r="D779" s="60" t="s">
        <v>1131</v>
      </c>
      <c r="E779" s="60" t="str">
        <f t="shared" si="12"/>
        <v>Kololo</v>
      </c>
      <c r="F779" s="60">
        <v>542</v>
      </c>
    </row>
    <row r="780" spans="1:6">
      <c r="A780" s="64" t="s">
        <v>1300</v>
      </c>
      <c r="F780" s="60">
        <v>542</v>
      </c>
    </row>
    <row r="781" spans="1:6">
      <c r="A781" s="60" t="s">
        <v>1301</v>
      </c>
      <c r="B781" s="60" t="s">
        <v>168</v>
      </c>
      <c r="C781" s="60" t="s">
        <v>1124</v>
      </c>
      <c r="D781" s="60" t="s">
        <v>1140</v>
      </c>
      <c r="E781" s="60" t="str">
        <f t="shared" si="12"/>
        <v>Komamboga</v>
      </c>
      <c r="F781" s="60">
        <v>543</v>
      </c>
    </row>
    <row r="782" spans="1:6">
      <c r="A782" s="63" t="s">
        <v>1302</v>
      </c>
      <c r="B782" s="60" t="s">
        <v>168</v>
      </c>
      <c r="C782" s="60" t="s">
        <v>1124</v>
      </c>
      <c r="D782" s="60" t="s">
        <v>1125</v>
      </c>
      <c r="E782" s="60" t="str">
        <f t="shared" si="12"/>
        <v>Kyambogo</v>
      </c>
      <c r="F782" s="60">
        <v>544</v>
      </c>
    </row>
    <row r="783" spans="1:6">
      <c r="A783" s="63" t="s">
        <v>1303</v>
      </c>
      <c r="B783" s="60" t="s">
        <v>168</v>
      </c>
      <c r="C783" s="60" t="s">
        <v>1124</v>
      </c>
      <c r="D783" s="60" t="s">
        <v>1125</v>
      </c>
      <c r="E783" s="60" t="str">
        <f t="shared" si="12"/>
        <v>Kyanja</v>
      </c>
      <c r="F783" s="60">
        <v>545</v>
      </c>
    </row>
    <row r="784" spans="1:6">
      <c r="A784" s="63" t="s">
        <v>1304</v>
      </c>
      <c r="F784" s="60">
        <v>545</v>
      </c>
    </row>
    <row r="785" spans="1:6">
      <c r="A785" s="63" t="s">
        <v>1305</v>
      </c>
      <c r="F785" s="60">
        <v>545</v>
      </c>
    </row>
    <row r="786" spans="1:6">
      <c r="A786" s="60" t="s">
        <v>1306</v>
      </c>
      <c r="B786" s="60" t="s">
        <v>168</v>
      </c>
      <c r="C786" s="60" t="s">
        <v>1124</v>
      </c>
      <c r="D786" s="60" t="s">
        <v>1140</v>
      </c>
      <c r="E786" s="60" t="str">
        <f t="shared" si="12"/>
        <v>Kyebando</v>
      </c>
      <c r="F786" s="60">
        <v>546</v>
      </c>
    </row>
    <row r="787" spans="1:6">
      <c r="A787" s="60" t="s">
        <v>1307</v>
      </c>
      <c r="F787" s="60">
        <v>546</v>
      </c>
    </row>
    <row r="788" spans="1:6">
      <c r="A788" s="60" t="s">
        <v>1308</v>
      </c>
      <c r="F788" s="60">
        <v>546</v>
      </c>
    </row>
    <row r="789" spans="1:6">
      <c r="A789" s="63" t="s">
        <v>1309</v>
      </c>
      <c r="B789" s="60" t="s">
        <v>168</v>
      </c>
      <c r="C789" s="60" t="s">
        <v>1124</v>
      </c>
      <c r="D789" s="60" t="s">
        <v>1133</v>
      </c>
      <c r="E789" s="60" t="str">
        <f t="shared" si="12"/>
        <v>Lubaga</v>
      </c>
      <c r="F789" s="60">
        <v>547</v>
      </c>
    </row>
    <row r="790" spans="1:6">
      <c r="A790" s="63" t="s">
        <v>1310</v>
      </c>
      <c r="E790" s="60" t="str">
        <f t="shared" si="12"/>
        <v>Rubaga</v>
      </c>
      <c r="F790" s="60">
        <v>547</v>
      </c>
    </row>
    <row r="791" spans="1:6">
      <c r="A791" s="63" t="s">
        <v>1311</v>
      </c>
      <c r="F791" s="60">
        <v>547</v>
      </c>
    </row>
    <row r="792" spans="1:6">
      <c r="A792" s="63" t="s">
        <v>1312</v>
      </c>
      <c r="E792" s="60" t="str">
        <f t="shared" si="12"/>
        <v>Nalukolongo</v>
      </c>
      <c r="F792" s="60">
        <v>547</v>
      </c>
    </row>
    <row r="793" spans="1:6">
      <c r="A793" s="63" t="s">
        <v>1313</v>
      </c>
      <c r="F793" s="60">
        <v>547</v>
      </c>
    </row>
    <row r="794" spans="1:6">
      <c r="A794" s="63" t="s">
        <v>1314</v>
      </c>
      <c r="F794" s="60">
        <v>547</v>
      </c>
    </row>
    <row r="795" spans="1:6">
      <c r="A795" s="63" t="s">
        <v>1315</v>
      </c>
      <c r="F795" s="60">
        <v>547</v>
      </c>
    </row>
    <row r="796" spans="1:6" ht="25.5">
      <c r="A796" s="63" t="s">
        <v>1316</v>
      </c>
      <c r="F796" s="60">
        <v>547</v>
      </c>
    </row>
    <row r="797" spans="1:6">
      <c r="A797" s="63" t="s">
        <v>1317</v>
      </c>
      <c r="F797" s="60">
        <v>547</v>
      </c>
    </row>
    <row r="798" spans="1:6">
      <c r="A798" s="63" t="s">
        <v>1318</v>
      </c>
      <c r="E798" s="60" t="str">
        <f t="shared" si="12"/>
        <v>Namungona</v>
      </c>
      <c r="F798" s="60">
        <v>547</v>
      </c>
    </row>
    <row r="799" spans="1:6">
      <c r="A799" s="63" t="s">
        <v>1319</v>
      </c>
      <c r="F799" s="60">
        <v>547</v>
      </c>
    </row>
    <row r="800" spans="1:6">
      <c r="A800" s="63" t="s">
        <v>858</v>
      </c>
      <c r="B800" s="60" t="s">
        <v>168</v>
      </c>
      <c r="C800" s="60" t="s">
        <v>1124</v>
      </c>
      <c r="D800" s="60" t="s">
        <v>858</v>
      </c>
      <c r="E800" s="60" t="str">
        <f t="shared" si="12"/>
        <v>Lubya</v>
      </c>
      <c r="F800" s="60">
        <v>548</v>
      </c>
    </row>
    <row r="801" spans="1:6">
      <c r="A801" s="63" t="s">
        <v>1320</v>
      </c>
      <c r="E801" s="60" t="str">
        <f t="shared" si="12"/>
        <v>Lugala</v>
      </c>
      <c r="F801" s="60">
        <v>548</v>
      </c>
    </row>
    <row r="802" spans="1:6">
      <c r="A802" s="63" t="s">
        <v>1321</v>
      </c>
      <c r="E802" s="60" t="str">
        <f t="shared" si="12"/>
        <v>Masanafu</v>
      </c>
      <c r="F802" s="60">
        <v>548</v>
      </c>
    </row>
    <row r="803" spans="1:6">
      <c r="A803" s="63" t="s">
        <v>1322</v>
      </c>
      <c r="E803" s="60" t="str">
        <f t="shared" si="12"/>
        <v>Lusaze</v>
      </c>
      <c r="F803" s="60">
        <v>548</v>
      </c>
    </row>
    <row r="804" spans="1:6">
      <c r="A804" s="63" t="s">
        <v>1323</v>
      </c>
      <c r="B804" s="60" t="s">
        <v>168</v>
      </c>
      <c r="C804" s="60" t="s">
        <v>1124</v>
      </c>
      <c r="D804" s="60" t="s">
        <v>1129</v>
      </c>
      <c r="E804" s="60" t="str">
        <f t="shared" si="12"/>
        <v>Lukuli</v>
      </c>
      <c r="F804" s="60">
        <v>549</v>
      </c>
    </row>
    <row r="805" spans="1:6">
      <c r="A805" s="63" t="s">
        <v>1324</v>
      </c>
      <c r="B805" s="60" t="s">
        <v>168</v>
      </c>
      <c r="C805" s="60" t="s">
        <v>1124</v>
      </c>
      <c r="D805" s="60" t="s">
        <v>1133</v>
      </c>
      <c r="E805" s="60" t="str">
        <f t="shared" si="12"/>
        <v>Lungujja</v>
      </c>
      <c r="F805" s="60">
        <v>550</v>
      </c>
    </row>
    <row r="806" spans="1:6">
      <c r="A806" s="63" t="s">
        <v>1325</v>
      </c>
      <c r="F806" s="60">
        <v>550</v>
      </c>
    </row>
    <row r="807" spans="1:6">
      <c r="A807" s="63" t="s">
        <v>1326</v>
      </c>
      <c r="E807" s="60" t="str">
        <f t="shared" si="12"/>
        <v>Wakaliga</v>
      </c>
      <c r="F807" s="60">
        <v>550</v>
      </c>
    </row>
    <row r="808" spans="1:6">
      <c r="A808" s="63" t="s">
        <v>1327</v>
      </c>
      <c r="B808" s="60" t="s">
        <v>168</v>
      </c>
      <c r="C808" s="60" t="s">
        <v>1124</v>
      </c>
      <c r="D808" s="60" t="s">
        <v>1129</v>
      </c>
      <c r="E808" s="60" t="str">
        <f t="shared" si="12"/>
        <v>Luwafu</v>
      </c>
      <c r="F808" s="60">
        <v>551</v>
      </c>
    </row>
    <row r="809" spans="1:6">
      <c r="A809" s="63" t="s">
        <v>1328</v>
      </c>
      <c r="B809" s="60" t="s">
        <v>168</v>
      </c>
      <c r="C809" s="60" t="s">
        <v>1124</v>
      </c>
      <c r="D809" s="60" t="s">
        <v>1125</v>
      </c>
      <c r="E809" s="60" t="str">
        <f t="shared" si="12"/>
        <v>Luzira</v>
      </c>
      <c r="F809" s="60">
        <v>552</v>
      </c>
    </row>
    <row r="810" spans="1:6">
      <c r="A810" s="63" t="s">
        <v>1329</v>
      </c>
      <c r="B810" s="60" t="s">
        <v>168</v>
      </c>
      <c r="C810" s="60" t="s">
        <v>1124</v>
      </c>
      <c r="D810" s="60" t="s">
        <v>1125</v>
      </c>
      <c r="E810" s="60" t="str">
        <f t="shared" si="12"/>
        <v>Luzira Prisons</v>
      </c>
      <c r="F810" s="60">
        <v>553</v>
      </c>
    </row>
    <row r="811" spans="1:6">
      <c r="A811" s="60" t="s">
        <v>1330</v>
      </c>
      <c r="B811" s="60" t="s">
        <v>168</v>
      </c>
      <c r="C811" s="60" t="s">
        <v>1124</v>
      </c>
      <c r="D811" s="60" t="s">
        <v>1140</v>
      </c>
      <c r="E811" s="60" t="str">
        <f t="shared" si="12"/>
        <v>Makerere</v>
      </c>
      <c r="F811" s="60">
        <v>554</v>
      </c>
    </row>
    <row r="812" spans="1:6">
      <c r="A812" s="60" t="s">
        <v>1331</v>
      </c>
      <c r="E812" s="60" t="str">
        <f t="shared" si="12"/>
        <v>Kikoni</v>
      </c>
      <c r="F812" s="60">
        <v>554</v>
      </c>
    </row>
    <row r="813" spans="1:6">
      <c r="A813" s="60" t="s">
        <v>1332</v>
      </c>
      <c r="E813" s="60" t="str">
        <f t="shared" si="12"/>
        <v>KUBIRI</v>
      </c>
      <c r="F813" s="60">
        <v>554</v>
      </c>
    </row>
    <row r="814" spans="1:6">
      <c r="A814" s="60" t="s">
        <v>1333</v>
      </c>
      <c r="E814" s="60" t="str">
        <f t="shared" si="12"/>
        <v>Kavule</v>
      </c>
      <c r="F814" s="60">
        <v>554</v>
      </c>
    </row>
    <row r="815" spans="1:6">
      <c r="A815" s="60" t="s">
        <v>1334</v>
      </c>
      <c r="E815" s="60" t="str">
        <f t="shared" si="12"/>
        <v>Biira</v>
      </c>
      <c r="F815" s="60">
        <v>554</v>
      </c>
    </row>
    <row r="816" spans="1:6">
      <c r="A816" s="60" t="s">
        <v>1335</v>
      </c>
      <c r="E816" s="60" t="str">
        <f t="shared" si="12"/>
        <v>Bira</v>
      </c>
      <c r="F816" s="60">
        <v>554</v>
      </c>
    </row>
    <row r="817" spans="1:6">
      <c r="A817" s="60" t="s">
        <v>1336</v>
      </c>
      <c r="F817" s="60">
        <v>554</v>
      </c>
    </row>
    <row r="818" spans="1:6">
      <c r="A818" s="60" t="s">
        <v>1337</v>
      </c>
      <c r="F818" s="60">
        <v>554</v>
      </c>
    </row>
    <row r="819" spans="1:6">
      <c r="A819" s="60" t="s">
        <v>1338</v>
      </c>
      <c r="B819" s="60" t="s">
        <v>168</v>
      </c>
      <c r="C819" s="60" t="s">
        <v>1124</v>
      </c>
      <c r="D819" s="60" t="s">
        <v>1140</v>
      </c>
      <c r="E819" s="60" t="str">
        <f t="shared" si="12"/>
        <v>Makerere University</v>
      </c>
      <c r="F819" s="60">
        <v>555</v>
      </c>
    </row>
    <row r="820" spans="1:6">
      <c r="A820" s="63" t="s">
        <v>1339</v>
      </c>
      <c r="B820" s="60" t="s">
        <v>168</v>
      </c>
      <c r="C820" s="60" t="s">
        <v>1124</v>
      </c>
      <c r="D820" s="60" t="s">
        <v>1129</v>
      </c>
      <c r="E820" s="60" t="str">
        <f t="shared" si="12"/>
        <v>Makindye</v>
      </c>
      <c r="F820" s="60">
        <v>556</v>
      </c>
    </row>
    <row r="821" spans="1:6">
      <c r="A821" s="63" t="s">
        <v>1340</v>
      </c>
      <c r="F821" s="60">
        <v>556</v>
      </c>
    </row>
    <row r="822" spans="1:6">
      <c r="A822" s="63" t="s">
        <v>1341</v>
      </c>
      <c r="F822" s="60">
        <v>556</v>
      </c>
    </row>
    <row r="823" spans="1:6" ht="25.5">
      <c r="A823" s="63" t="s">
        <v>1342</v>
      </c>
      <c r="F823" s="60">
        <v>556</v>
      </c>
    </row>
    <row r="824" spans="1:6">
      <c r="A824" s="63" t="s">
        <v>1343</v>
      </c>
      <c r="F824" s="60">
        <v>556</v>
      </c>
    </row>
    <row r="825" spans="1:6">
      <c r="A825" s="63" t="s">
        <v>1344</v>
      </c>
      <c r="F825" s="60">
        <v>556</v>
      </c>
    </row>
    <row r="826" spans="1:6">
      <c r="A826" s="63" t="s">
        <v>1345</v>
      </c>
      <c r="F826" s="60">
        <v>556</v>
      </c>
    </row>
    <row r="827" spans="1:6">
      <c r="A827" s="63" t="s">
        <v>1346</v>
      </c>
      <c r="B827" s="60" t="s">
        <v>168</v>
      </c>
      <c r="C827" s="60" t="s">
        <v>1124</v>
      </c>
      <c r="D827" s="60" t="s">
        <v>1125</v>
      </c>
      <c r="E827" s="60" t="str">
        <f t="shared" si="12"/>
        <v>Mbuya</v>
      </c>
      <c r="F827" s="60">
        <v>557</v>
      </c>
    </row>
    <row r="828" spans="1:6">
      <c r="A828" s="60" t="s">
        <v>1347</v>
      </c>
      <c r="B828" s="60" t="s">
        <v>168</v>
      </c>
      <c r="C828" s="60" t="s">
        <v>1124</v>
      </c>
      <c r="D828" s="60" t="s">
        <v>1131</v>
      </c>
      <c r="E828" s="60" t="str">
        <f t="shared" si="12"/>
        <v>Mengo</v>
      </c>
      <c r="F828" s="60">
        <v>558</v>
      </c>
    </row>
    <row r="829" spans="1:6">
      <c r="A829" s="60" t="s">
        <v>1348</v>
      </c>
      <c r="F829" s="60">
        <v>558</v>
      </c>
    </row>
    <row r="830" spans="1:6">
      <c r="A830" s="60" t="s">
        <v>1349</v>
      </c>
      <c r="F830" s="60">
        <v>558</v>
      </c>
    </row>
    <row r="831" spans="1:6">
      <c r="A831" s="60" t="s">
        <v>1350</v>
      </c>
      <c r="F831" s="60">
        <v>558</v>
      </c>
    </row>
    <row r="832" spans="1:6">
      <c r="A832" s="60" t="s">
        <v>1351</v>
      </c>
      <c r="B832" s="60" t="s">
        <v>168</v>
      </c>
      <c r="C832" s="60" t="s">
        <v>1124</v>
      </c>
      <c r="D832" s="60" t="s">
        <v>1140</v>
      </c>
      <c r="E832" s="60" t="str">
        <f t="shared" si="12"/>
        <v>Mpererwe</v>
      </c>
      <c r="F832" s="60">
        <v>559</v>
      </c>
    </row>
    <row r="833" spans="1:6">
      <c r="A833" s="60" t="s">
        <v>1352</v>
      </c>
      <c r="F833" s="60">
        <v>559</v>
      </c>
    </row>
    <row r="834" spans="1:6">
      <c r="A834" s="60" t="s">
        <v>1353</v>
      </c>
      <c r="F834" s="60">
        <v>559</v>
      </c>
    </row>
    <row r="835" spans="1:6">
      <c r="A835" s="60" t="s">
        <v>1354</v>
      </c>
      <c r="B835" s="60" t="s">
        <v>168</v>
      </c>
      <c r="C835" s="60" t="s">
        <v>1124</v>
      </c>
      <c r="D835" s="60" t="s">
        <v>1140</v>
      </c>
      <c r="E835" s="60" t="str">
        <f t="shared" si="12"/>
        <v>Mulago</v>
      </c>
      <c r="F835" s="60">
        <v>560</v>
      </c>
    </row>
    <row r="836" spans="1:6">
      <c r="A836" s="63" t="s">
        <v>1355</v>
      </c>
      <c r="B836" s="60" t="s">
        <v>168</v>
      </c>
      <c r="C836" s="60" t="s">
        <v>1124</v>
      </c>
      <c r="D836" s="60" t="s">
        <v>1133</v>
      </c>
      <c r="E836" s="60" t="str">
        <f t="shared" si="12"/>
        <v>Mutundwe</v>
      </c>
      <c r="F836" s="60">
        <v>561</v>
      </c>
    </row>
    <row r="837" spans="1:6">
      <c r="A837" s="63" t="s">
        <v>1356</v>
      </c>
      <c r="F837" s="60">
        <v>561</v>
      </c>
    </row>
    <row r="838" spans="1:6">
      <c r="A838" s="63" t="s">
        <v>1357</v>
      </c>
      <c r="F838" s="60">
        <v>561</v>
      </c>
    </row>
    <row r="839" spans="1:6">
      <c r="A839" s="63" t="s">
        <v>1358</v>
      </c>
      <c r="E839" s="60" t="str">
        <f t="shared" si="12"/>
        <v>Nyanama</v>
      </c>
      <c r="F839" s="60">
        <v>561</v>
      </c>
    </row>
    <row r="840" spans="1:6">
      <c r="A840" s="63" t="s">
        <v>1359</v>
      </c>
      <c r="F840" s="60">
        <v>561</v>
      </c>
    </row>
    <row r="841" spans="1:6">
      <c r="A841" s="63" t="s">
        <v>1360</v>
      </c>
      <c r="B841" s="60" t="s">
        <v>168</v>
      </c>
      <c r="C841" s="60" t="s">
        <v>1124</v>
      </c>
      <c r="D841" s="60" t="s">
        <v>1125</v>
      </c>
      <c r="E841" s="60" t="str">
        <f t="shared" si="12"/>
        <v>Mutungo</v>
      </c>
      <c r="F841" s="60">
        <v>562</v>
      </c>
    </row>
    <row r="842" spans="1:6">
      <c r="A842" s="63" t="s">
        <v>1361</v>
      </c>
      <c r="F842" s="60">
        <v>562</v>
      </c>
    </row>
    <row r="843" spans="1:6">
      <c r="A843" s="63" t="s">
        <v>1362</v>
      </c>
      <c r="B843" s="60" t="s">
        <v>168</v>
      </c>
      <c r="C843" s="60" t="s">
        <v>1124</v>
      </c>
      <c r="D843" s="60" t="s">
        <v>1125</v>
      </c>
      <c r="E843" s="60" t="str">
        <f t="shared" si="12"/>
        <v>Nabisunsa</v>
      </c>
      <c r="F843" s="60">
        <v>563</v>
      </c>
    </row>
    <row r="844" spans="1:6">
      <c r="A844" s="63" t="s">
        <v>1363</v>
      </c>
      <c r="B844" s="60" t="s">
        <v>168</v>
      </c>
      <c r="C844" s="60" t="s">
        <v>1124</v>
      </c>
      <c r="D844" s="60" t="s">
        <v>1125</v>
      </c>
      <c r="E844" s="60" t="str">
        <f t="shared" si="12"/>
        <v>Naguru</v>
      </c>
      <c r="F844" s="60">
        <v>564</v>
      </c>
    </row>
    <row r="845" spans="1:6">
      <c r="A845" s="63" t="s">
        <v>1364</v>
      </c>
      <c r="B845" s="60" t="s">
        <v>168</v>
      </c>
      <c r="C845" s="60" t="s">
        <v>1124</v>
      </c>
      <c r="D845" s="60" t="s">
        <v>1133</v>
      </c>
      <c r="E845" s="60" t="str">
        <f t="shared" si="12"/>
        <v>Najjanankumbi</v>
      </c>
      <c r="F845" s="60">
        <v>565</v>
      </c>
    </row>
    <row r="846" spans="1:6">
      <c r="A846" s="63" t="s">
        <v>1365</v>
      </c>
      <c r="F846" s="60">
        <v>565</v>
      </c>
    </row>
    <row r="847" spans="1:6">
      <c r="A847" s="63" t="s">
        <v>1366</v>
      </c>
      <c r="E847" s="60" t="str">
        <f t="shared" si="12"/>
        <v>Zana</v>
      </c>
      <c r="F847" s="60">
        <v>565</v>
      </c>
    </row>
    <row r="848" spans="1:6">
      <c r="A848" s="63" t="s">
        <v>1367</v>
      </c>
      <c r="E848" s="60" t="str">
        <f t="shared" si="12"/>
        <v>ZZANA</v>
      </c>
      <c r="F848" s="60">
        <v>565</v>
      </c>
    </row>
    <row r="849" spans="1:6">
      <c r="A849" s="64" t="s">
        <v>1368</v>
      </c>
      <c r="B849" s="60" t="s">
        <v>168</v>
      </c>
      <c r="C849" s="60" t="s">
        <v>1124</v>
      </c>
      <c r="D849" s="60" t="s">
        <v>1131</v>
      </c>
      <c r="E849" s="60" t="str">
        <f t="shared" si="12"/>
        <v>Nakasero</v>
      </c>
      <c r="F849" s="60">
        <v>566</v>
      </c>
    </row>
    <row r="850" spans="1:6">
      <c r="A850" s="64" t="s">
        <v>1369</v>
      </c>
      <c r="F850" s="60">
        <v>566</v>
      </c>
    </row>
    <row r="851" spans="1:6">
      <c r="A851" s="63" t="s">
        <v>1370</v>
      </c>
      <c r="B851" s="60" t="s">
        <v>168</v>
      </c>
      <c r="C851" s="60" t="s">
        <v>1124</v>
      </c>
      <c r="D851" s="60" t="s">
        <v>1125</v>
      </c>
      <c r="E851" s="60" t="str">
        <f t="shared" ref="E851:E861" si="13">A851</f>
        <v>Nakawa</v>
      </c>
      <c r="F851" s="60">
        <v>567</v>
      </c>
    </row>
    <row r="852" spans="1:6">
      <c r="A852" s="63" t="s">
        <v>1371</v>
      </c>
      <c r="B852" s="60" t="s">
        <v>168</v>
      </c>
      <c r="C852" s="60" t="s">
        <v>1124</v>
      </c>
      <c r="D852" s="60" t="s">
        <v>1125</v>
      </c>
      <c r="E852" s="60" t="str">
        <f t="shared" si="13"/>
        <v>Nakawa Institute</v>
      </c>
      <c r="F852" s="60">
        <v>568</v>
      </c>
    </row>
    <row r="853" spans="1:6">
      <c r="A853" s="60" t="s">
        <v>1372</v>
      </c>
      <c r="B853" s="60" t="s">
        <v>168</v>
      </c>
      <c r="C853" s="60" t="s">
        <v>1124</v>
      </c>
      <c r="D853" s="60" t="s">
        <v>1131</v>
      </c>
      <c r="E853" s="60" t="str">
        <f t="shared" si="13"/>
        <v>Nakivubo Shauriyaako</v>
      </c>
      <c r="F853" s="60">
        <v>569</v>
      </c>
    </row>
    <row r="854" spans="1:6">
      <c r="A854" s="63" t="s">
        <v>1373</v>
      </c>
      <c r="B854" s="60" t="s">
        <v>168</v>
      </c>
      <c r="C854" s="60" t="s">
        <v>1124</v>
      </c>
      <c r="D854" s="60" t="s">
        <v>1133</v>
      </c>
      <c r="E854" s="60" t="str">
        <f t="shared" si="13"/>
        <v>Namirembe</v>
      </c>
      <c r="F854" s="60">
        <v>570</v>
      </c>
    </row>
    <row r="855" spans="1:6">
      <c r="A855" s="63" t="s">
        <v>1374</v>
      </c>
      <c r="F855" s="60">
        <v>570</v>
      </c>
    </row>
    <row r="856" spans="1:6">
      <c r="A856" s="63" t="s">
        <v>1375</v>
      </c>
      <c r="E856" s="60" t="str">
        <f t="shared" si="13"/>
        <v>Martin Road</v>
      </c>
      <c r="F856" s="60">
        <v>570</v>
      </c>
    </row>
    <row r="857" spans="1:6">
      <c r="A857" s="63" t="s">
        <v>1376</v>
      </c>
      <c r="E857" s="60" t="str">
        <f t="shared" si="13"/>
        <v>Bakuli</v>
      </c>
      <c r="F857" s="60">
        <v>570</v>
      </c>
    </row>
    <row r="858" spans="1:6">
      <c r="A858" s="63" t="s">
        <v>1377</v>
      </c>
      <c r="B858" s="60" t="s">
        <v>168</v>
      </c>
      <c r="C858" s="60" t="s">
        <v>1124</v>
      </c>
      <c r="D858" s="60" t="s">
        <v>1133</v>
      </c>
      <c r="E858" s="60" t="str">
        <f t="shared" si="13"/>
        <v>Nankulabye</v>
      </c>
      <c r="F858" s="60">
        <v>571</v>
      </c>
    </row>
    <row r="859" spans="1:6">
      <c r="A859" s="63" t="s">
        <v>1378</v>
      </c>
      <c r="E859" s="60" t="str">
        <f t="shared" si="13"/>
        <v>Nakulabye</v>
      </c>
      <c r="F859" s="60">
        <v>571</v>
      </c>
    </row>
    <row r="860" spans="1:6">
      <c r="A860" s="63" t="s">
        <v>1379</v>
      </c>
      <c r="B860" s="60" t="s">
        <v>168</v>
      </c>
      <c r="C860" s="60" t="s">
        <v>1124</v>
      </c>
      <c r="D860" s="60" t="s">
        <v>1133</v>
      </c>
      <c r="E860" s="60" t="str">
        <f t="shared" si="13"/>
        <v>Nateete</v>
      </c>
      <c r="F860" s="60">
        <v>572</v>
      </c>
    </row>
    <row r="861" spans="1:6">
      <c r="A861" s="63" t="s">
        <v>1380</v>
      </c>
      <c r="E861" s="60" t="str">
        <f t="shared" si="13"/>
        <v>Natete</v>
      </c>
      <c r="F861" s="60">
        <v>572</v>
      </c>
    </row>
    <row r="862" spans="1:6">
      <c r="A862" s="63" t="s">
        <v>1381</v>
      </c>
      <c r="F862" s="60">
        <v>572</v>
      </c>
    </row>
    <row r="863" spans="1:6">
      <c r="A863" s="63" t="s">
        <v>1382</v>
      </c>
      <c r="F863" s="60">
        <v>572</v>
      </c>
    </row>
    <row r="864" spans="1:6">
      <c r="A864" s="63" t="s">
        <v>1383</v>
      </c>
      <c r="B864" s="60" t="s">
        <v>168</v>
      </c>
      <c r="C864" s="60" t="s">
        <v>1124</v>
      </c>
      <c r="D864" s="60" t="s">
        <v>1133</v>
      </c>
      <c r="E864" s="60" t="str">
        <f>A864</f>
        <v>Ndeeba</v>
      </c>
      <c r="F864" s="60">
        <v>573</v>
      </c>
    </row>
    <row r="865" spans="1:6">
      <c r="A865" s="63" t="s">
        <v>1384</v>
      </c>
      <c r="F865" s="60">
        <v>573</v>
      </c>
    </row>
    <row r="866" spans="1:6">
      <c r="A866" s="63" t="s">
        <v>1385</v>
      </c>
      <c r="F866" s="60">
        <v>573</v>
      </c>
    </row>
    <row r="867" spans="1:6">
      <c r="A867" s="63" t="s">
        <v>1386</v>
      </c>
      <c r="B867" s="60" t="s">
        <v>168</v>
      </c>
      <c r="C867" s="60" t="s">
        <v>1124</v>
      </c>
      <c r="D867" s="60" t="s">
        <v>1129</v>
      </c>
      <c r="E867" s="60" t="str">
        <f>A867</f>
        <v>Nsambya</v>
      </c>
      <c r="F867" s="60">
        <v>574</v>
      </c>
    </row>
    <row r="868" spans="1:6">
      <c r="A868" s="63" t="s">
        <v>1387</v>
      </c>
      <c r="F868" s="60">
        <v>574</v>
      </c>
    </row>
    <row r="869" spans="1:6" ht="25.5">
      <c r="A869" s="63" t="s">
        <v>1388</v>
      </c>
      <c r="F869" s="60">
        <v>574</v>
      </c>
    </row>
    <row r="870" spans="1:6">
      <c r="A870" s="63" t="s">
        <v>1389</v>
      </c>
      <c r="F870" s="60">
        <v>574</v>
      </c>
    </row>
    <row r="871" spans="1:6">
      <c r="A871" s="63" t="s">
        <v>1390</v>
      </c>
      <c r="F871" s="60">
        <v>574</v>
      </c>
    </row>
    <row r="872" spans="1:6">
      <c r="A872" s="63" t="s">
        <v>1391</v>
      </c>
      <c r="F872" s="60">
        <v>574</v>
      </c>
    </row>
    <row r="873" spans="1:6">
      <c r="A873" s="63" t="s">
        <v>1392</v>
      </c>
      <c r="F873" s="60">
        <v>574</v>
      </c>
    </row>
    <row r="874" spans="1:6">
      <c r="A874" s="63" t="s">
        <v>1393</v>
      </c>
      <c r="F874" s="60">
        <v>574</v>
      </c>
    </row>
    <row r="875" spans="1:6">
      <c r="A875" s="63" t="s">
        <v>1394</v>
      </c>
      <c r="F875" s="60">
        <v>574</v>
      </c>
    </row>
    <row r="876" spans="1:6">
      <c r="A876" s="63" t="s">
        <v>1395</v>
      </c>
      <c r="B876" s="60" t="s">
        <v>168</v>
      </c>
      <c r="C876" s="60" t="s">
        <v>1124</v>
      </c>
      <c r="D876" s="60" t="s">
        <v>1129</v>
      </c>
      <c r="E876" s="60" t="str">
        <f>A876</f>
        <v>Nsambya Police Barracks</v>
      </c>
      <c r="F876" s="60">
        <v>575</v>
      </c>
    </row>
    <row r="877" spans="1:6">
      <c r="A877" s="63" t="s">
        <v>1396</v>
      </c>
      <c r="B877" s="60" t="s">
        <v>168</v>
      </c>
      <c r="C877" s="60" t="s">
        <v>1124</v>
      </c>
      <c r="D877" s="60" t="s">
        <v>1129</v>
      </c>
      <c r="E877" s="60" t="str">
        <f>A877</f>
        <v>Nsambya Railway</v>
      </c>
      <c r="F877" s="60">
        <v>576</v>
      </c>
    </row>
    <row r="878" spans="1:6">
      <c r="A878" s="63" t="s">
        <v>1397</v>
      </c>
      <c r="F878" s="60">
        <v>576</v>
      </c>
    </row>
    <row r="879" spans="1:6">
      <c r="A879" s="63" t="s">
        <v>1398</v>
      </c>
      <c r="F879" s="60">
        <v>576</v>
      </c>
    </row>
    <row r="880" spans="1:6">
      <c r="A880" s="63" t="s">
        <v>294</v>
      </c>
      <c r="B880" s="60" t="s">
        <v>168</v>
      </c>
      <c r="C880" s="60" t="s">
        <v>1124</v>
      </c>
      <c r="D880" s="60" t="s">
        <v>1125</v>
      </c>
      <c r="E880" s="60" t="str">
        <f>A880</f>
        <v>Ntinda</v>
      </c>
      <c r="F880" s="60">
        <v>577</v>
      </c>
    </row>
    <row r="881" spans="1:6">
      <c r="A881" s="60" t="s">
        <v>1399</v>
      </c>
      <c r="B881" s="60" t="s">
        <v>168</v>
      </c>
      <c r="C881" s="60" t="s">
        <v>1124</v>
      </c>
      <c r="D881" s="60" t="s">
        <v>1131</v>
      </c>
      <c r="E881" s="60" t="str">
        <f>A881</f>
        <v>Old Kampala</v>
      </c>
      <c r="F881" s="60">
        <v>578</v>
      </c>
    </row>
    <row r="882" spans="1:6">
      <c r="A882" s="60" t="s">
        <v>1400</v>
      </c>
      <c r="F882" s="60">
        <v>578</v>
      </c>
    </row>
    <row r="883" spans="1:6">
      <c r="A883" s="63" t="s">
        <v>1401</v>
      </c>
      <c r="B883" s="60" t="s">
        <v>168</v>
      </c>
      <c r="C883" s="60" t="s">
        <v>1124</v>
      </c>
      <c r="D883" s="60" t="s">
        <v>1129</v>
      </c>
      <c r="E883" s="60" t="str">
        <f t="shared" ref="E883:E892" si="14">A883</f>
        <v>Salaama</v>
      </c>
      <c r="F883" s="60">
        <v>579</v>
      </c>
    </row>
    <row r="884" spans="1:6">
      <c r="A884" s="63" t="s">
        <v>1402</v>
      </c>
      <c r="F884" s="60">
        <v>579</v>
      </c>
    </row>
    <row r="885" spans="1:6">
      <c r="A885" s="63" t="s">
        <v>1403</v>
      </c>
      <c r="F885" s="60">
        <v>579</v>
      </c>
    </row>
    <row r="886" spans="1:6">
      <c r="A886" s="63" t="s">
        <v>1404</v>
      </c>
      <c r="F886" s="60">
        <v>579</v>
      </c>
    </row>
    <row r="887" spans="1:6">
      <c r="A887" s="63" t="s">
        <v>1405</v>
      </c>
      <c r="E887" s="60" t="str">
        <f t="shared" si="14"/>
        <v>Kosovo</v>
      </c>
      <c r="F887" s="60">
        <v>579</v>
      </c>
    </row>
    <row r="888" spans="1:6">
      <c r="A888" s="63" t="s">
        <v>1406</v>
      </c>
      <c r="E888" s="60" t="str">
        <f t="shared" si="14"/>
        <v>Salama</v>
      </c>
      <c r="F888" s="60">
        <v>579</v>
      </c>
    </row>
    <row r="889" spans="1:6">
      <c r="A889" s="63" t="s">
        <v>1407</v>
      </c>
      <c r="B889" s="60" t="s">
        <v>168</v>
      </c>
      <c r="C889" s="60" t="s">
        <v>1124</v>
      </c>
      <c r="D889" s="60" t="s">
        <v>1125</v>
      </c>
      <c r="E889" s="60" t="str">
        <f t="shared" si="14"/>
        <v>Upk</v>
      </c>
      <c r="F889" s="60">
        <v>580</v>
      </c>
    </row>
    <row r="890" spans="1:6">
      <c r="A890" s="63" t="s">
        <v>1408</v>
      </c>
      <c r="B890" s="60" t="s">
        <v>168</v>
      </c>
      <c r="C890" s="60" t="s">
        <v>1124</v>
      </c>
      <c r="D890" s="60" t="s">
        <v>1125</v>
      </c>
      <c r="E890" s="60" t="str">
        <f t="shared" si="14"/>
        <v>Upper Estate</v>
      </c>
      <c r="F890" s="60">
        <v>581</v>
      </c>
    </row>
    <row r="891" spans="1:6">
      <c r="A891" s="63" t="s">
        <v>1409</v>
      </c>
      <c r="B891" s="60" t="s">
        <v>168</v>
      </c>
      <c r="C891" s="60" t="s">
        <v>1124</v>
      </c>
      <c r="D891" s="60" t="s">
        <v>1129</v>
      </c>
      <c r="E891" s="60" t="str">
        <f t="shared" si="14"/>
        <v>Wabigalo</v>
      </c>
      <c r="F891" s="60">
        <v>582</v>
      </c>
    </row>
    <row r="892" spans="1:6">
      <c r="A892" s="60" t="s">
        <v>1410</v>
      </c>
      <c r="B892" s="60" t="s">
        <v>168</v>
      </c>
      <c r="C892" s="60" t="s">
        <v>1124</v>
      </c>
      <c r="D892" s="60" t="s">
        <v>1140</v>
      </c>
      <c r="E892" s="60" t="str">
        <f t="shared" si="14"/>
        <v>Wandegeya</v>
      </c>
      <c r="F892" s="60">
        <v>583</v>
      </c>
    </row>
    <row r="893" spans="1:6">
      <c r="A893" s="60" t="s">
        <v>1411</v>
      </c>
      <c r="B893" s="60" t="s">
        <v>1412</v>
      </c>
      <c r="C893" s="60" t="s">
        <v>1413</v>
      </c>
      <c r="D893" s="60" t="str">
        <f t="shared" ref="D893:D973" si="15">A893</f>
        <v>Balawoli</v>
      </c>
      <c r="F893" s="60">
        <v>584</v>
      </c>
    </row>
    <row r="894" spans="1:6">
      <c r="A894" s="60" t="s">
        <v>1414</v>
      </c>
      <c r="F894" s="60">
        <v>584</v>
      </c>
    </row>
    <row r="895" spans="1:6">
      <c r="A895" s="60" t="s">
        <v>1415</v>
      </c>
      <c r="F895" s="60">
        <v>584</v>
      </c>
    </row>
    <row r="896" spans="1:6">
      <c r="A896" s="60" t="s">
        <v>1416</v>
      </c>
      <c r="B896" s="60" t="s">
        <v>1412</v>
      </c>
      <c r="C896" s="60" t="s">
        <v>1417</v>
      </c>
      <c r="D896" s="60" t="str">
        <f t="shared" si="15"/>
        <v>Bugulumbya</v>
      </c>
      <c r="F896" s="60">
        <v>585</v>
      </c>
    </row>
    <row r="897" spans="1:6">
      <c r="A897" s="60" t="s">
        <v>1418</v>
      </c>
      <c r="F897" s="60">
        <v>585</v>
      </c>
    </row>
    <row r="898" spans="1:6">
      <c r="A898" s="60" t="s">
        <v>1419</v>
      </c>
      <c r="F898" s="60">
        <v>585</v>
      </c>
    </row>
    <row r="899" spans="1:6">
      <c r="A899" s="60" t="s">
        <v>1420</v>
      </c>
      <c r="B899" s="60" t="s">
        <v>1412</v>
      </c>
      <c r="C899" s="60" t="s">
        <v>1413</v>
      </c>
      <c r="D899" s="60" t="str">
        <f t="shared" si="15"/>
        <v>Bulopa</v>
      </c>
      <c r="F899" s="60">
        <v>586</v>
      </c>
    </row>
    <row r="900" spans="1:6">
      <c r="A900" s="60" t="s">
        <v>1421</v>
      </c>
      <c r="B900" s="60" t="s">
        <v>1412</v>
      </c>
      <c r="C900" s="60" t="s">
        <v>1413</v>
      </c>
      <c r="D900" s="60" t="str">
        <f t="shared" si="15"/>
        <v>Butansi</v>
      </c>
      <c r="F900" s="60">
        <v>587</v>
      </c>
    </row>
    <row r="901" spans="1:6">
      <c r="A901" s="60" t="s">
        <v>1422</v>
      </c>
      <c r="B901" s="60" t="s">
        <v>1412</v>
      </c>
      <c r="C901" s="60" t="s">
        <v>1422</v>
      </c>
      <c r="D901" s="60" t="str">
        <f t="shared" si="15"/>
        <v>Kamuli Municipality</v>
      </c>
      <c r="F901" s="60">
        <v>588</v>
      </c>
    </row>
    <row r="902" spans="1:6">
      <c r="A902" s="60" t="s">
        <v>1412</v>
      </c>
      <c r="D902" s="60" t="str">
        <f t="shared" si="15"/>
        <v>Kamuli</v>
      </c>
      <c r="F902" s="60">
        <v>588</v>
      </c>
    </row>
    <row r="903" spans="1:6">
      <c r="A903" s="60" t="s">
        <v>1423</v>
      </c>
      <c r="F903" s="60">
        <v>588</v>
      </c>
    </row>
    <row r="904" spans="1:6">
      <c r="A904" s="60" t="s">
        <v>1424</v>
      </c>
      <c r="D904" s="60" t="str">
        <f t="shared" si="15"/>
        <v>Kamuli town</v>
      </c>
      <c r="F904" s="60">
        <v>588</v>
      </c>
    </row>
    <row r="905" spans="1:6">
      <c r="A905" s="60" t="s">
        <v>1425</v>
      </c>
      <c r="B905" s="60" t="s">
        <v>1412</v>
      </c>
      <c r="C905" s="60" t="s">
        <v>1417</v>
      </c>
      <c r="D905" s="60" t="str">
        <f t="shared" si="15"/>
        <v>Kisozi</v>
      </c>
      <c r="F905" s="60">
        <v>589</v>
      </c>
    </row>
    <row r="906" spans="1:6">
      <c r="A906" s="60" t="s">
        <v>1426</v>
      </c>
      <c r="B906" s="60" t="s">
        <v>1412</v>
      </c>
      <c r="C906" s="60" t="s">
        <v>1413</v>
      </c>
      <c r="D906" s="60" t="str">
        <f t="shared" si="15"/>
        <v>Kitayunjwa</v>
      </c>
      <c r="F906" s="60">
        <v>590</v>
      </c>
    </row>
    <row r="907" spans="1:6">
      <c r="A907" s="60" t="s">
        <v>1427</v>
      </c>
      <c r="D907" s="60" t="str">
        <f t="shared" si="15"/>
        <v>Namaganda</v>
      </c>
      <c r="F907" s="60">
        <v>590</v>
      </c>
    </row>
    <row r="908" spans="1:6">
      <c r="A908" s="60" t="s">
        <v>1428</v>
      </c>
      <c r="F908" s="60">
        <v>590</v>
      </c>
    </row>
    <row r="909" spans="1:6">
      <c r="A909" s="60" t="s">
        <v>1429</v>
      </c>
      <c r="F909" s="60">
        <v>590</v>
      </c>
    </row>
    <row r="910" spans="1:6">
      <c r="A910" s="60" t="s">
        <v>1430</v>
      </c>
      <c r="F910" s="60">
        <v>590</v>
      </c>
    </row>
    <row r="911" spans="1:6">
      <c r="A911" s="60" t="s">
        <v>1431</v>
      </c>
      <c r="B911" s="60" t="s">
        <v>1412</v>
      </c>
      <c r="C911" s="60" t="s">
        <v>1417</v>
      </c>
      <c r="D911" s="60" t="str">
        <f t="shared" si="15"/>
        <v>Mbulamuti</v>
      </c>
      <c r="F911" s="60">
        <v>591</v>
      </c>
    </row>
    <row r="912" spans="1:6">
      <c r="A912" s="60" t="s">
        <v>1432</v>
      </c>
      <c r="B912" s="60" t="s">
        <v>1412</v>
      </c>
      <c r="C912" s="60" t="s">
        <v>1413</v>
      </c>
      <c r="D912" s="60" t="str">
        <f t="shared" si="15"/>
        <v>Nabwigulu</v>
      </c>
      <c r="F912" s="60">
        <v>592</v>
      </c>
    </row>
    <row r="913" spans="1:6">
      <c r="A913" s="60" t="s">
        <v>1433</v>
      </c>
      <c r="D913" s="60" t="str">
        <f t="shared" si="15"/>
        <v>Nabirumba</v>
      </c>
      <c r="F913" s="60">
        <v>592</v>
      </c>
    </row>
    <row r="914" spans="1:6">
      <c r="A914" s="60" t="s">
        <v>1434</v>
      </c>
      <c r="B914" s="60" t="s">
        <v>1412</v>
      </c>
      <c r="C914" s="60" t="s">
        <v>1413</v>
      </c>
      <c r="D914" s="60" t="str">
        <f t="shared" si="15"/>
        <v>Namasagali</v>
      </c>
      <c r="F914" s="60">
        <v>593</v>
      </c>
    </row>
    <row r="915" spans="1:6">
      <c r="A915" s="60" t="s">
        <v>1435</v>
      </c>
      <c r="B915" s="60" t="s">
        <v>1412</v>
      </c>
      <c r="C915" s="60" t="s">
        <v>1413</v>
      </c>
      <c r="D915" s="60" t="str">
        <f t="shared" si="15"/>
        <v>Namwendwa</v>
      </c>
      <c r="F915" s="60">
        <v>594</v>
      </c>
    </row>
    <row r="916" spans="1:6">
      <c r="A916" s="60" t="s">
        <v>2524</v>
      </c>
      <c r="D916" s="60" t="str">
        <f t="shared" si="15"/>
        <v>Buwolomera</v>
      </c>
      <c r="F916" s="60">
        <v>594</v>
      </c>
    </row>
    <row r="917" spans="1:6">
      <c r="A917" s="60" t="s">
        <v>1436</v>
      </c>
      <c r="B917" s="60" t="s">
        <v>1412</v>
      </c>
      <c r="C917" s="60" t="s">
        <v>1417</v>
      </c>
      <c r="D917" s="60" t="str">
        <f t="shared" si="15"/>
        <v>Nawanyago</v>
      </c>
      <c r="F917" s="60">
        <v>595</v>
      </c>
    </row>
    <row r="918" spans="1:6">
      <c r="A918" s="60" t="s">
        <v>1437</v>
      </c>
      <c r="B918" s="60" t="s">
        <v>1412</v>
      </c>
      <c r="C918" s="60" t="s">
        <v>1417</v>
      </c>
      <c r="D918" s="60" t="str">
        <f t="shared" si="15"/>
        <v>Wankole</v>
      </c>
      <c r="F918" s="60">
        <v>596</v>
      </c>
    </row>
    <row r="919" spans="1:6">
      <c r="A919" s="60" t="s">
        <v>1438</v>
      </c>
      <c r="D919" s="60" t="str">
        <f t="shared" si="15"/>
        <v>Luzinga</v>
      </c>
      <c r="F919" s="60">
        <v>596</v>
      </c>
    </row>
    <row r="920" spans="1:6">
      <c r="A920" s="60" t="s">
        <v>1439</v>
      </c>
      <c r="B920" s="60" t="s">
        <v>48</v>
      </c>
      <c r="C920" s="60" t="s">
        <v>848</v>
      </c>
      <c r="D920" s="60" t="str">
        <f t="shared" si="15"/>
        <v>Biguli</v>
      </c>
      <c r="F920" s="60">
        <v>597</v>
      </c>
    </row>
    <row r="921" spans="1:6">
      <c r="A921" s="60" t="s">
        <v>1440</v>
      </c>
      <c r="B921" s="60" t="s">
        <v>48</v>
      </c>
      <c r="C921" s="60" t="s">
        <v>848</v>
      </c>
      <c r="D921" s="60" t="str">
        <f t="shared" si="15"/>
        <v>Bihanga-Kamwenge</v>
      </c>
      <c r="F921" s="60">
        <v>598</v>
      </c>
    </row>
    <row r="922" spans="1:6">
      <c r="A922" s="60" t="s">
        <v>1441</v>
      </c>
      <c r="B922" s="60" t="s">
        <v>48</v>
      </c>
      <c r="C922" s="60" t="s">
        <v>1442</v>
      </c>
      <c r="D922" s="60" t="str">
        <f t="shared" si="15"/>
        <v>Buhanda</v>
      </c>
      <c r="F922" s="60">
        <v>599</v>
      </c>
    </row>
    <row r="923" spans="1:6">
      <c r="A923" s="60" t="s">
        <v>1443</v>
      </c>
      <c r="B923" s="60" t="s">
        <v>48</v>
      </c>
      <c r="C923" s="60" t="s">
        <v>848</v>
      </c>
      <c r="D923" s="60" t="str">
        <f t="shared" si="15"/>
        <v>Busiriba</v>
      </c>
      <c r="F923" s="60">
        <v>600</v>
      </c>
    </row>
    <row r="924" spans="1:6">
      <c r="A924" s="60" t="s">
        <v>1444</v>
      </c>
      <c r="B924" s="60" t="s">
        <v>48</v>
      </c>
      <c r="C924" s="60" t="s">
        <v>848</v>
      </c>
      <c r="D924" s="60" t="str">
        <f t="shared" si="15"/>
        <v>Bwizi</v>
      </c>
      <c r="F924" s="60">
        <v>601</v>
      </c>
    </row>
    <row r="925" spans="1:6">
      <c r="A925" s="60" t="s">
        <v>1445</v>
      </c>
      <c r="B925" s="60" t="s">
        <v>48</v>
      </c>
      <c r="C925" s="60" t="s">
        <v>848</v>
      </c>
      <c r="D925" s="60" t="str">
        <f t="shared" si="15"/>
        <v>Kabambiro</v>
      </c>
      <c r="F925" s="60">
        <v>602</v>
      </c>
    </row>
    <row r="926" spans="1:6">
      <c r="A926" s="60" t="s">
        <v>1446</v>
      </c>
      <c r="B926" s="60" t="s">
        <v>48</v>
      </c>
      <c r="C926" s="60" t="s">
        <v>848</v>
      </c>
      <c r="D926" s="60" t="str">
        <f t="shared" si="15"/>
        <v>Kahunge</v>
      </c>
      <c r="F926" s="60">
        <v>603</v>
      </c>
    </row>
    <row r="927" spans="1:6">
      <c r="A927" s="60" t="s">
        <v>48</v>
      </c>
      <c r="B927" s="60" t="s">
        <v>48</v>
      </c>
      <c r="C927" s="60" t="s">
        <v>848</v>
      </c>
      <c r="D927" s="60" t="str">
        <f t="shared" si="15"/>
        <v>Kamwenge</v>
      </c>
      <c r="F927" s="60">
        <v>604</v>
      </c>
    </row>
    <row r="928" spans="1:6">
      <c r="A928" s="60" t="s">
        <v>1447</v>
      </c>
      <c r="F928" s="60">
        <v>604</v>
      </c>
    </row>
    <row r="929" spans="1:6">
      <c r="A929" s="60" t="s">
        <v>1448</v>
      </c>
      <c r="B929" s="60" t="s">
        <v>48</v>
      </c>
      <c r="C929" s="60" t="s">
        <v>848</v>
      </c>
      <c r="D929" s="60" t="str">
        <f t="shared" si="15"/>
        <v>Kamwenge Town Council</v>
      </c>
      <c r="F929" s="60">
        <v>605</v>
      </c>
    </row>
    <row r="930" spans="1:6">
      <c r="A930" s="60" t="s">
        <v>1449</v>
      </c>
      <c r="B930" s="60" t="s">
        <v>48</v>
      </c>
      <c r="C930" s="60" t="s">
        <v>1442</v>
      </c>
      <c r="D930" s="60" t="str">
        <f t="shared" si="15"/>
        <v>Kanara-Kamwenge</v>
      </c>
      <c r="F930" s="60">
        <v>606</v>
      </c>
    </row>
    <row r="931" spans="1:6">
      <c r="A931" s="60" t="s">
        <v>1450</v>
      </c>
      <c r="B931" s="60" t="s">
        <v>48</v>
      </c>
      <c r="C931" s="60" t="s">
        <v>1442</v>
      </c>
      <c r="D931" s="60" t="str">
        <f t="shared" si="15"/>
        <v>Kicheche</v>
      </c>
      <c r="F931" s="60">
        <v>607</v>
      </c>
    </row>
    <row r="932" spans="1:6">
      <c r="A932" s="60" t="s">
        <v>1451</v>
      </c>
      <c r="B932" s="60" t="s">
        <v>48</v>
      </c>
      <c r="C932" s="60" t="s">
        <v>1442</v>
      </c>
      <c r="D932" s="60" t="str">
        <f t="shared" si="15"/>
        <v>Mahyoro</v>
      </c>
      <c r="F932" s="60">
        <v>608</v>
      </c>
    </row>
    <row r="933" spans="1:6">
      <c r="A933" s="60" t="s">
        <v>1452</v>
      </c>
      <c r="B933" s="60" t="s">
        <v>48</v>
      </c>
      <c r="C933" s="60" t="s">
        <v>848</v>
      </c>
      <c r="D933" s="60" t="str">
        <f t="shared" si="15"/>
        <v>Nkoma</v>
      </c>
      <c r="F933" s="60">
        <v>609</v>
      </c>
    </row>
    <row r="934" spans="1:6">
      <c r="A934" s="60" t="s">
        <v>1453</v>
      </c>
      <c r="B934" s="60" t="s">
        <v>48</v>
      </c>
      <c r="C934" s="60" t="s">
        <v>1442</v>
      </c>
      <c r="D934" s="60" t="str">
        <f t="shared" si="15"/>
        <v>Ntara</v>
      </c>
      <c r="F934" s="60">
        <v>610</v>
      </c>
    </row>
    <row r="935" spans="1:6">
      <c r="A935" s="60" t="s">
        <v>1454</v>
      </c>
      <c r="B935" s="60" t="s">
        <v>48</v>
      </c>
      <c r="C935" s="60" t="s">
        <v>1442</v>
      </c>
      <c r="D935" s="60" t="str">
        <f t="shared" si="15"/>
        <v>Nyabbani</v>
      </c>
      <c r="F935" s="60">
        <v>611</v>
      </c>
    </row>
    <row r="936" spans="1:6">
      <c r="A936" s="60" t="s">
        <v>1455</v>
      </c>
      <c r="B936" s="60" t="s">
        <v>48</v>
      </c>
      <c r="C936" s="60" t="s">
        <v>848</v>
      </c>
      <c r="D936" s="60" t="str">
        <f t="shared" si="15"/>
        <v>Rwamwanja Refugee Camp</v>
      </c>
      <c r="F936" s="60">
        <v>612</v>
      </c>
    </row>
    <row r="937" spans="1:6">
      <c r="A937" s="60" t="s">
        <v>1456</v>
      </c>
      <c r="B937" s="60" t="s">
        <v>1457</v>
      </c>
      <c r="C937" s="60" t="s">
        <v>1458</v>
      </c>
      <c r="D937" s="60" t="str">
        <f t="shared" si="15"/>
        <v>Butogota Town Council</v>
      </c>
      <c r="F937" s="60">
        <v>613</v>
      </c>
    </row>
    <row r="938" spans="1:6">
      <c r="A938" s="60" t="s">
        <v>1459</v>
      </c>
      <c r="B938" s="60" t="s">
        <v>1457</v>
      </c>
      <c r="C938" s="60" t="s">
        <v>1458</v>
      </c>
      <c r="D938" s="60" t="str">
        <f t="shared" si="15"/>
        <v>Kambuga</v>
      </c>
      <c r="F938" s="60">
        <v>614</v>
      </c>
    </row>
    <row r="939" spans="1:6">
      <c r="A939" s="60" t="s">
        <v>1460</v>
      </c>
      <c r="B939" s="60" t="s">
        <v>1457</v>
      </c>
      <c r="C939" s="60" t="s">
        <v>1458</v>
      </c>
      <c r="D939" s="60" t="str">
        <f t="shared" si="15"/>
        <v>Kambuga Town Council</v>
      </c>
      <c r="F939" s="60">
        <v>615</v>
      </c>
    </row>
    <row r="940" spans="1:6">
      <c r="A940" s="60" t="s">
        <v>1461</v>
      </c>
      <c r="B940" s="60" t="s">
        <v>1457</v>
      </c>
      <c r="C940" s="60" t="s">
        <v>1458</v>
      </c>
      <c r="D940" s="60" t="str">
        <f t="shared" si="15"/>
        <v>Kanungu Town Council</v>
      </c>
      <c r="F940" s="60">
        <v>616</v>
      </c>
    </row>
    <row r="941" spans="1:6">
      <c r="A941" s="60" t="s">
        <v>1462</v>
      </c>
      <c r="B941" s="60" t="s">
        <v>1457</v>
      </c>
      <c r="C941" s="60" t="s">
        <v>1458</v>
      </c>
      <c r="D941" s="60" t="str">
        <f t="shared" si="15"/>
        <v>Kanyantorogo</v>
      </c>
      <c r="F941" s="60">
        <v>617</v>
      </c>
    </row>
    <row r="942" spans="1:6">
      <c r="A942" s="60" t="s">
        <v>1463</v>
      </c>
      <c r="B942" s="60" t="s">
        <v>1457</v>
      </c>
      <c r="C942" s="60" t="s">
        <v>1458</v>
      </c>
      <c r="D942" s="60" t="str">
        <f t="shared" si="15"/>
        <v>Katete</v>
      </c>
      <c r="F942" s="60">
        <v>618</v>
      </c>
    </row>
    <row r="943" spans="1:6">
      <c r="A943" s="60" t="s">
        <v>1464</v>
      </c>
      <c r="B943" s="60" t="s">
        <v>1457</v>
      </c>
      <c r="C943" s="60" t="s">
        <v>1458</v>
      </c>
      <c r="D943" s="60" t="str">
        <f t="shared" si="15"/>
        <v>Kayonza-Kanungu</v>
      </c>
      <c r="F943" s="60">
        <v>619</v>
      </c>
    </row>
    <row r="944" spans="1:6">
      <c r="A944" s="60" t="s">
        <v>1465</v>
      </c>
      <c r="B944" s="60" t="s">
        <v>1457</v>
      </c>
      <c r="C944" s="60" t="s">
        <v>1458</v>
      </c>
      <c r="D944" s="60" t="str">
        <f t="shared" si="15"/>
        <v>Kihihi</v>
      </c>
      <c r="F944" s="60">
        <v>620</v>
      </c>
    </row>
    <row r="945" spans="1:6">
      <c r="A945" s="60" t="s">
        <v>1466</v>
      </c>
      <c r="B945" s="60" t="s">
        <v>1457</v>
      </c>
      <c r="C945" s="60" t="s">
        <v>1458</v>
      </c>
      <c r="D945" s="60" t="str">
        <f t="shared" si="15"/>
        <v>Kihiihi Town Council</v>
      </c>
      <c r="F945" s="60">
        <v>621</v>
      </c>
    </row>
    <row r="946" spans="1:6">
      <c r="A946" s="60" t="s">
        <v>1467</v>
      </c>
      <c r="B946" s="60" t="s">
        <v>1457</v>
      </c>
      <c r="C946" s="60" t="s">
        <v>1458</v>
      </c>
      <c r="D946" s="60" t="str">
        <f t="shared" si="15"/>
        <v>Kinaaba</v>
      </c>
      <c r="F946" s="60">
        <v>622</v>
      </c>
    </row>
    <row r="947" spans="1:6">
      <c r="A947" s="60" t="s">
        <v>1468</v>
      </c>
      <c r="B947" s="60" t="s">
        <v>1457</v>
      </c>
      <c r="C947" s="60" t="s">
        <v>1458</v>
      </c>
      <c r="D947" s="60" t="str">
        <f t="shared" si="15"/>
        <v>Kirima</v>
      </c>
      <c r="F947" s="60">
        <v>623</v>
      </c>
    </row>
    <row r="948" spans="1:6">
      <c r="A948" s="60" t="s">
        <v>1469</v>
      </c>
      <c r="B948" s="60" t="s">
        <v>1457</v>
      </c>
      <c r="C948" s="60" t="s">
        <v>1458</v>
      </c>
      <c r="D948" s="60" t="str">
        <f t="shared" si="15"/>
        <v>Mpungu</v>
      </c>
      <c r="F948" s="60">
        <v>624</v>
      </c>
    </row>
    <row r="949" spans="1:6">
      <c r="A949" s="60" t="s">
        <v>1470</v>
      </c>
      <c r="B949" s="60" t="s">
        <v>1457</v>
      </c>
      <c r="C949" s="60" t="s">
        <v>1458</v>
      </c>
      <c r="D949" s="60" t="str">
        <f t="shared" si="15"/>
        <v>Nyakinoni</v>
      </c>
      <c r="F949" s="60">
        <v>625</v>
      </c>
    </row>
    <row r="950" spans="1:6">
      <c r="A950" s="60" t="s">
        <v>1471</v>
      </c>
      <c r="B950" s="60" t="s">
        <v>1457</v>
      </c>
      <c r="C950" s="60" t="s">
        <v>1458</v>
      </c>
      <c r="D950" s="60" t="str">
        <f t="shared" si="15"/>
        <v>Nyamirama</v>
      </c>
      <c r="F950" s="60">
        <v>626</v>
      </c>
    </row>
    <row r="951" spans="1:6">
      <c r="A951" s="60" t="s">
        <v>1472</v>
      </c>
      <c r="B951" s="60" t="s">
        <v>1457</v>
      </c>
      <c r="C951" s="60" t="s">
        <v>1458</v>
      </c>
      <c r="D951" s="60" t="str">
        <f t="shared" si="15"/>
        <v>Nyanga</v>
      </c>
      <c r="F951" s="60">
        <v>627</v>
      </c>
    </row>
    <row r="952" spans="1:6">
      <c r="A952" s="60" t="s">
        <v>1473</v>
      </c>
      <c r="B952" s="60" t="s">
        <v>1457</v>
      </c>
      <c r="C952" s="60" t="s">
        <v>1458</v>
      </c>
      <c r="D952" s="60" t="str">
        <f t="shared" si="15"/>
        <v>Rugyeyo</v>
      </c>
      <c r="F952" s="60">
        <v>628</v>
      </c>
    </row>
    <row r="953" spans="1:6">
      <c r="A953" s="60" t="s">
        <v>1474</v>
      </c>
      <c r="B953" s="60" t="s">
        <v>1457</v>
      </c>
      <c r="C953" s="60" t="s">
        <v>1458</v>
      </c>
      <c r="D953" s="60" t="str">
        <f t="shared" si="15"/>
        <v>Rutenga</v>
      </c>
      <c r="F953" s="60">
        <v>629</v>
      </c>
    </row>
    <row r="954" spans="1:6">
      <c r="A954" s="60" t="s">
        <v>1475</v>
      </c>
      <c r="B954" s="60" t="s">
        <v>1476</v>
      </c>
      <c r="C954" s="60" t="s">
        <v>1477</v>
      </c>
      <c r="D954" s="60" t="str">
        <f t="shared" si="15"/>
        <v>Amukol</v>
      </c>
      <c r="F954" s="60">
        <v>630</v>
      </c>
    </row>
    <row r="955" spans="1:6">
      <c r="A955" s="60" t="s">
        <v>1478</v>
      </c>
      <c r="B955" s="60" t="s">
        <v>1476</v>
      </c>
      <c r="C955" s="60" t="s">
        <v>1477</v>
      </c>
      <c r="D955" s="60" t="str">
        <f t="shared" si="15"/>
        <v>Chema</v>
      </c>
      <c r="F955" s="60">
        <v>631</v>
      </c>
    </row>
    <row r="956" spans="1:6">
      <c r="A956" s="60" t="s">
        <v>1479</v>
      </c>
      <c r="B956" s="60" t="s">
        <v>1476</v>
      </c>
      <c r="C956" s="60" t="s">
        <v>1477</v>
      </c>
      <c r="D956" s="60" t="str">
        <f t="shared" si="15"/>
        <v>Chepterech</v>
      </c>
      <c r="F956" s="60">
        <v>632</v>
      </c>
    </row>
    <row r="957" spans="1:6">
      <c r="A957" s="60" t="s">
        <v>1480</v>
      </c>
      <c r="B957" s="60" t="s">
        <v>1476</v>
      </c>
      <c r="C957" s="60" t="s">
        <v>1477</v>
      </c>
      <c r="D957" s="60" t="str">
        <f t="shared" si="15"/>
        <v>Gamogo</v>
      </c>
      <c r="F957" s="60">
        <v>633</v>
      </c>
    </row>
    <row r="958" spans="1:6">
      <c r="A958" s="60" t="s">
        <v>1481</v>
      </c>
      <c r="B958" s="60" t="s">
        <v>1476</v>
      </c>
      <c r="C958" s="60" t="s">
        <v>1477</v>
      </c>
      <c r="D958" s="60" t="str">
        <f t="shared" si="15"/>
        <v>Kabeywa</v>
      </c>
      <c r="F958" s="60">
        <v>634</v>
      </c>
    </row>
    <row r="959" spans="1:6">
      <c r="A959" s="60" t="s">
        <v>1482</v>
      </c>
      <c r="B959" s="60" t="s">
        <v>1476</v>
      </c>
      <c r="C959" s="60" t="s">
        <v>1482</v>
      </c>
      <c r="D959" s="60" t="str">
        <f t="shared" si="15"/>
        <v>Kapchorwa Municipality</v>
      </c>
      <c r="F959" s="60">
        <v>635</v>
      </c>
    </row>
    <row r="960" spans="1:6">
      <c r="A960" s="60" t="s">
        <v>1483</v>
      </c>
      <c r="B960" s="60" t="s">
        <v>1476</v>
      </c>
      <c r="C960" s="60" t="s">
        <v>1477</v>
      </c>
      <c r="D960" s="60" t="str">
        <f t="shared" si="15"/>
        <v>Kapsinda</v>
      </c>
      <c r="F960" s="60">
        <v>636</v>
      </c>
    </row>
    <row r="961" spans="1:6">
      <c r="A961" s="60" t="s">
        <v>1484</v>
      </c>
      <c r="B961" s="60" t="s">
        <v>1476</v>
      </c>
      <c r="C961" s="60" t="s">
        <v>1477</v>
      </c>
      <c r="D961" s="60" t="str">
        <f t="shared" si="15"/>
        <v>Kaptanya</v>
      </c>
      <c r="F961" s="60">
        <v>637</v>
      </c>
    </row>
    <row r="962" spans="1:6">
      <c r="A962" s="60" t="s">
        <v>1485</v>
      </c>
      <c r="B962" s="60" t="s">
        <v>1476</v>
      </c>
      <c r="C962" s="60" t="s">
        <v>1477</v>
      </c>
      <c r="D962" s="60" t="str">
        <f t="shared" si="15"/>
        <v>Kaserem</v>
      </c>
      <c r="F962" s="60">
        <v>638</v>
      </c>
    </row>
    <row r="963" spans="1:6">
      <c r="A963" s="60" t="s">
        <v>1486</v>
      </c>
      <c r="B963" s="60" t="s">
        <v>1476</v>
      </c>
      <c r="C963" s="60" t="s">
        <v>1477</v>
      </c>
      <c r="D963" s="60" t="str">
        <f t="shared" si="15"/>
        <v>Kawowo</v>
      </c>
      <c r="F963" s="60">
        <v>639</v>
      </c>
    </row>
    <row r="964" spans="1:6">
      <c r="A964" s="60" t="s">
        <v>1487</v>
      </c>
      <c r="B964" s="60" t="s">
        <v>1476</v>
      </c>
      <c r="C964" s="60" t="s">
        <v>1477</v>
      </c>
      <c r="D964" s="60" t="str">
        <f t="shared" si="15"/>
        <v>Munarya</v>
      </c>
      <c r="F964" s="60">
        <v>640</v>
      </c>
    </row>
    <row r="965" spans="1:6">
      <c r="A965" s="60" t="s">
        <v>1488</v>
      </c>
      <c r="B965" s="60" t="s">
        <v>1476</v>
      </c>
      <c r="C965" s="60" t="s">
        <v>1477</v>
      </c>
      <c r="D965" s="60" t="str">
        <f t="shared" si="15"/>
        <v>Sipi</v>
      </c>
      <c r="F965" s="60">
        <v>641</v>
      </c>
    </row>
    <row r="966" spans="1:6">
      <c r="A966" s="60" t="s">
        <v>1489</v>
      </c>
      <c r="B966" s="60" t="s">
        <v>36</v>
      </c>
      <c r="C966" s="60" t="s">
        <v>1490</v>
      </c>
      <c r="D966" s="60" t="str">
        <f t="shared" si="15"/>
        <v>Bugoye</v>
      </c>
      <c r="F966" s="60">
        <v>642</v>
      </c>
    </row>
    <row r="967" spans="1:6">
      <c r="A967" s="60" t="s">
        <v>1491</v>
      </c>
      <c r="B967" s="60" t="s">
        <v>36</v>
      </c>
      <c r="C967" s="60" t="s">
        <v>1490</v>
      </c>
      <c r="D967" s="60" t="str">
        <f t="shared" si="15"/>
        <v>Buhuhira</v>
      </c>
      <c r="F967" s="60">
        <v>643</v>
      </c>
    </row>
    <row r="968" spans="1:6">
      <c r="A968" s="60" t="s">
        <v>37</v>
      </c>
      <c r="B968" s="60" t="s">
        <v>36</v>
      </c>
      <c r="C968" s="60" t="s">
        <v>761</v>
      </c>
      <c r="D968" s="60" t="str">
        <f t="shared" si="15"/>
        <v>Bwera</v>
      </c>
      <c r="F968" s="60">
        <v>644</v>
      </c>
    </row>
    <row r="969" spans="1:6">
      <c r="A969" s="60" t="s">
        <v>1492</v>
      </c>
      <c r="D969" s="60" t="str">
        <f t="shared" si="15"/>
        <v>Bweera</v>
      </c>
      <c r="F969" s="60">
        <v>644</v>
      </c>
    </row>
    <row r="970" spans="1:6">
      <c r="A970" s="60" t="s">
        <v>1493</v>
      </c>
      <c r="B970" s="60" t="s">
        <v>36</v>
      </c>
      <c r="C970" s="60" t="s">
        <v>1490</v>
      </c>
      <c r="D970" s="60" t="str">
        <f t="shared" si="15"/>
        <v>Bwesumbu</v>
      </c>
      <c r="F970" s="60">
        <v>645</v>
      </c>
    </row>
    <row r="971" spans="1:6">
      <c r="A971" s="60" t="s">
        <v>1494</v>
      </c>
      <c r="B971" s="60" t="s">
        <v>36</v>
      </c>
      <c r="C971" s="60" t="s">
        <v>1490</v>
      </c>
      <c r="D971" s="60" t="str">
        <f t="shared" si="15"/>
        <v>Hima Town Council</v>
      </c>
      <c r="F971" s="60">
        <v>646</v>
      </c>
    </row>
    <row r="972" spans="1:6">
      <c r="A972" s="60" t="s">
        <v>47</v>
      </c>
      <c r="D972" s="60" t="str">
        <f t="shared" si="15"/>
        <v>Hima</v>
      </c>
      <c r="F972" s="60">
        <v>646</v>
      </c>
    </row>
    <row r="973" spans="1:6">
      <c r="A973" s="60" t="s">
        <v>1495</v>
      </c>
      <c r="B973" s="60" t="s">
        <v>36</v>
      </c>
      <c r="C973" s="60" t="s">
        <v>761</v>
      </c>
      <c r="D973" s="60" t="str">
        <f t="shared" si="15"/>
        <v>Ihandiro</v>
      </c>
      <c r="F973" s="60">
        <v>647</v>
      </c>
    </row>
    <row r="974" spans="1:6">
      <c r="A974" s="60" t="s">
        <v>1496</v>
      </c>
      <c r="B974" s="60" t="s">
        <v>36</v>
      </c>
      <c r="C974" s="60" t="s">
        <v>761</v>
      </c>
      <c r="D974" s="60" t="str">
        <f t="shared" ref="D974:D1042" si="16">A974</f>
        <v>Isango</v>
      </c>
      <c r="F974" s="60">
        <v>648</v>
      </c>
    </row>
    <row r="975" spans="1:6">
      <c r="A975" s="60" t="s">
        <v>1497</v>
      </c>
      <c r="B975" s="60" t="s">
        <v>36</v>
      </c>
      <c r="C975" s="60" t="s">
        <v>761</v>
      </c>
      <c r="D975" s="60" t="str">
        <f t="shared" si="16"/>
        <v>Karambi-Kasese</v>
      </c>
      <c r="F975" s="60">
        <v>649</v>
      </c>
    </row>
    <row r="976" spans="1:6">
      <c r="A976" s="60" t="s">
        <v>1498</v>
      </c>
      <c r="B976" s="60" t="s">
        <v>36</v>
      </c>
      <c r="C976" s="60" t="s">
        <v>1490</v>
      </c>
      <c r="D976" s="60" t="str">
        <f t="shared" si="16"/>
        <v>Karusandara</v>
      </c>
      <c r="F976" s="60">
        <v>650</v>
      </c>
    </row>
    <row r="977" spans="1:6">
      <c r="A977" s="60" t="s">
        <v>1499</v>
      </c>
      <c r="B977" s="60" t="s">
        <v>36</v>
      </c>
      <c r="C977" s="60" t="s">
        <v>1499</v>
      </c>
      <c r="D977" s="60" t="str">
        <f t="shared" si="16"/>
        <v>Kasese Municipality</v>
      </c>
      <c r="F977" s="60">
        <v>651</v>
      </c>
    </row>
    <row r="978" spans="1:6">
      <c r="A978" s="60" t="s">
        <v>36</v>
      </c>
      <c r="D978" s="60" t="str">
        <f t="shared" si="16"/>
        <v>Kasese</v>
      </c>
      <c r="F978" s="60">
        <v>651</v>
      </c>
    </row>
    <row r="979" spans="1:6">
      <c r="A979" s="60" t="s">
        <v>1500</v>
      </c>
      <c r="F979" s="60">
        <v>651</v>
      </c>
    </row>
    <row r="980" spans="1:6">
      <c r="A980" s="60" t="s">
        <v>1501</v>
      </c>
      <c r="B980" s="60" t="s">
        <v>36</v>
      </c>
      <c r="C980" s="60" t="s">
        <v>1490</v>
      </c>
      <c r="D980" s="60" t="str">
        <f t="shared" si="16"/>
        <v>Katwe Kabatoro Town Council</v>
      </c>
      <c r="F980" s="60">
        <v>652</v>
      </c>
    </row>
    <row r="981" spans="1:6">
      <c r="A981" s="60" t="s">
        <v>1502</v>
      </c>
      <c r="B981" s="60" t="s">
        <v>36</v>
      </c>
      <c r="C981" s="60" t="s">
        <v>1490</v>
      </c>
      <c r="D981" s="60" t="str">
        <f t="shared" si="16"/>
        <v>Kilembe</v>
      </c>
      <c r="F981" s="60">
        <v>653</v>
      </c>
    </row>
    <row r="982" spans="1:6">
      <c r="A982" s="60" t="s">
        <v>1503</v>
      </c>
      <c r="B982" s="60" t="s">
        <v>36</v>
      </c>
      <c r="C982" s="60" t="s">
        <v>761</v>
      </c>
      <c r="D982" s="60" t="str">
        <f t="shared" si="16"/>
        <v>Kisinga</v>
      </c>
      <c r="F982" s="60">
        <v>654</v>
      </c>
    </row>
    <row r="983" spans="1:6">
      <c r="A983" s="60" t="s">
        <v>1504</v>
      </c>
      <c r="B983" s="60" t="s">
        <v>36</v>
      </c>
      <c r="C983" s="60" t="s">
        <v>761</v>
      </c>
      <c r="D983" s="60" t="str">
        <f t="shared" si="16"/>
        <v>Kisinga Town Council</v>
      </c>
      <c r="F983" s="60">
        <v>655</v>
      </c>
    </row>
    <row r="984" spans="1:6">
      <c r="A984" s="60" t="s">
        <v>1505</v>
      </c>
      <c r="B984" s="60" t="s">
        <v>36</v>
      </c>
      <c r="C984" s="60" t="s">
        <v>761</v>
      </c>
      <c r="D984" s="60" t="str">
        <f t="shared" si="16"/>
        <v>Kitholhu</v>
      </c>
      <c r="F984" s="60">
        <v>656</v>
      </c>
    </row>
    <row r="985" spans="1:6">
      <c r="A985" s="60" t="s">
        <v>1506</v>
      </c>
      <c r="B985" s="60" t="s">
        <v>36</v>
      </c>
      <c r="C985" s="60" t="s">
        <v>1490</v>
      </c>
      <c r="D985" s="60" t="str">
        <f t="shared" si="16"/>
        <v>Kitswamba</v>
      </c>
      <c r="F985" s="60">
        <v>657</v>
      </c>
    </row>
    <row r="986" spans="1:6">
      <c r="A986" s="60" t="s">
        <v>1507</v>
      </c>
      <c r="B986" s="60" t="s">
        <v>36</v>
      </c>
      <c r="C986" s="60" t="s">
        <v>1490</v>
      </c>
      <c r="D986" s="60" t="str">
        <f t="shared" si="16"/>
        <v>Kyabarungira</v>
      </c>
      <c r="F986" s="60">
        <v>658</v>
      </c>
    </row>
    <row r="987" spans="1:6">
      <c r="A987" s="60" t="s">
        <v>1508</v>
      </c>
      <c r="B987" s="60" t="s">
        <v>36</v>
      </c>
      <c r="C987" s="60" t="s">
        <v>761</v>
      </c>
      <c r="D987" s="60" t="str">
        <f t="shared" si="16"/>
        <v>Kyarumba</v>
      </c>
      <c r="F987" s="60">
        <v>659</v>
      </c>
    </row>
    <row r="988" spans="1:6">
      <c r="A988" s="60" t="s">
        <v>1509</v>
      </c>
      <c r="B988" s="60" t="s">
        <v>36</v>
      </c>
      <c r="C988" s="60" t="s">
        <v>761</v>
      </c>
      <c r="D988" s="60" t="str">
        <f t="shared" si="16"/>
        <v>Kyondo</v>
      </c>
      <c r="F988" s="60">
        <v>660</v>
      </c>
    </row>
    <row r="989" spans="1:6">
      <c r="A989" s="60" t="s">
        <v>1510</v>
      </c>
      <c r="B989" s="60" t="s">
        <v>36</v>
      </c>
      <c r="C989" s="60" t="s">
        <v>1490</v>
      </c>
      <c r="D989" s="60" t="str">
        <f t="shared" si="16"/>
        <v>Lake Katwe</v>
      </c>
      <c r="F989" s="60">
        <v>661</v>
      </c>
    </row>
    <row r="990" spans="1:6">
      <c r="A990" s="60" t="s">
        <v>1511</v>
      </c>
      <c r="B990" s="60" t="s">
        <v>36</v>
      </c>
      <c r="C990" s="60" t="s">
        <v>761</v>
      </c>
      <c r="D990" s="60" t="str">
        <f t="shared" si="16"/>
        <v>Mahango</v>
      </c>
      <c r="F990" s="60">
        <v>662</v>
      </c>
    </row>
    <row r="991" spans="1:6">
      <c r="A991" s="60" t="s">
        <v>1512</v>
      </c>
      <c r="B991" s="60" t="s">
        <v>36</v>
      </c>
      <c r="C991" s="60" t="s">
        <v>1490</v>
      </c>
      <c r="D991" s="60" t="str">
        <f t="shared" si="16"/>
        <v>Maliba</v>
      </c>
      <c r="F991" s="60">
        <v>663</v>
      </c>
    </row>
    <row r="992" spans="1:6">
      <c r="A992" s="60" t="s">
        <v>1513</v>
      </c>
      <c r="B992" s="60" t="s">
        <v>36</v>
      </c>
      <c r="C992" s="60" t="s">
        <v>761</v>
      </c>
      <c r="D992" s="60" t="str">
        <f t="shared" si="16"/>
        <v>Mpondwe-Lhubiriha</v>
      </c>
      <c r="F992" s="60">
        <v>664</v>
      </c>
    </row>
    <row r="993" spans="1:6">
      <c r="A993" s="60" t="s">
        <v>1514</v>
      </c>
      <c r="B993" s="60" t="s">
        <v>36</v>
      </c>
      <c r="C993" s="60" t="s">
        <v>1490</v>
      </c>
      <c r="D993" s="60" t="str">
        <f t="shared" si="16"/>
        <v>Muhokya</v>
      </c>
      <c r="F993" s="60">
        <v>665</v>
      </c>
    </row>
    <row r="994" spans="1:6">
      <c r="A994" s="60" t="s">
        <v>1515</v>
      </c>
      <c r="B994" s="60" t="s">
        <v>36</v>
      </c>
      <c r="C994" s="60" t="s">
        <v>761</v>
      </c>
      <c r="D994" s="60" t="str">
        <f t="shared" si="16"/>
        <v>Munkunyu</v>
      </c>
      <c r="F994" s="60">
        <v>666</v>
      </c>
    </row>
    <row r="995" spans="1:6">
      <c r="A995" s="60" t="s">
        <v>1516</v>
      </c>
      <c r="B995" s="60" t="s">
        <v>36</v>
      </c>
      <c r="C995" s="60" t="s">
        <v>761</v>
      </c>
      <c r="D995" s="60" t="str">
        <f t="shared" si="16"/>
        <v>Nyakatonzi</v>
      </c>
      <c r="F995" s="60">
        <v>667</v>
      </c>
    </row>
    <row r="996" spans="1:6">
      <c r="A996" s="60" t="s">
        <v>1517</v>
      </c>
      <c r="B996" s="60" t="s">
        <v>36</v>
      </c>
      <c r="C996" s="60" t="s">
        <v>761</v>
      </c>
      <c r="D996" s="60" t="str">
        <f t="shared" si="16"/>
        <v>Nyakiyumbu</v>
      </c>
      <c r="F996" s="60">
        <v>668</v>
      </c>
    </row>
    <row r="997" spans="1:6">
      <c r="A997" s="60" t="s">
        <v>1518</v>
      </c>
      <c r="B997" s="60" t="s">
        <v>36</v>
      </c>
      <c r="C997" s="60" t="s">
        <v>1490</v>
      </c>
      <c r="D997" s="60" t="str">
        <f t="shared" si="16"/>
        <v>Rukoki</v>
      </c>
      <c r="F997" s="60">
        <v>669</v>
      </c>
    </row>
    <row r="998" spans="1:6">
      <c r="A998" s="60" t="s">
        <v>1519</v>
      </c>
      <c r="B998" s="60" t="s">
        <v>1520</v>
      </c>
      <c r="C998" s="60" t="s">
        <v>1521</v>
      </c>
      <c r="D998" s="60" t="str">
        <f t="shared" si="16"/>
        <v>Kapujan</v>
      </c>
      <c r="F998" s="60">
        <v>670</v>
      </c>
    </row>
    <row r="999" spans="1:6">
      <c r="A999" s="60" t="s">
        <v>1520</v>
      </c>
      <c r="B999" s="60" t="s">
        <v>1520</v>
      </c>
      <c r="C999" s="60" t="s">
        <v>1522</v>
      </c>
      <c r="D999" s="60" t="str">
        <f t="shared" si="16"/>
        <v>Katakwi</v>
      </c>
      <c r="F999" s="60">
        <v>671</v>
      </c>
    </row>
    <row r="1000" spans="1:6">
      <c r="A1000" s="60" t="s">
        <v>1523</v>
      </c>
      <c r="B1000" s="60" t="s">
        <v>1520</v>
      </c>
      <c r="C1000" s="60" t="s">
        <v>1522</v>
      </c>
      <c r="D1000" s="60" t="str">
        <f t="shared" si="16"/>
        <v>Katakwi Town Council</v>
      </c>
      <c r="F1000" s="60">
        <v>672</v>
      </c>
    </row>
    <row r="1001" spans="1:6">
      <c r="A1001" s="60" t="s">
        <v>1524</v>
      </c>
      <c r="B1001" s="60" t="s">
        <v>1520</v>
      </c>
      <c r="C1001" s="60" t="s">
        <v>1521</v>
      </c>
      <c r="D1001" s="60" t="str">
        <f t="shared" si="16"/>
        <v>Magoro</v>
      </c>
      <c r="F1001" s="60">
        <v>673</v>
      </c>
    </row>
    <row r="1002" spans="1:6">
      <c r="A1002" s="60" t="s">
        <v>1525</v>
      </c>
      <c r="B1002" s="60" t="s">
        <v>1520</v>
      </c>
      <c r="C1002" s="60" t="s">
        <v>1522</v>
      </c>
      <c r="D1002" s="60" t="str">
        <f t="shared" si="16"/>
        <v>Ngariam</v>
      </c>
      <c r="F1002" s="60">
        <v>674</v>
      </c>
    </row>
    <row r="1003" spans="1:6">
      <c r="A1003" s="60" t="s">
        <v>1526</v>
      </c>
      <c r="B1003" s="60" t="s">
        <v>1520</v>
      </c>
      <c r="C1003" s="60" t="s">
        <v>1521</v>
      </c>
      <c r="D1003" s="60" t="str">
        <f t="shared" si="16"/>
        <v>Omodoi</v>
      </c>
      <c r="F1003" s="60">
        <v>675</v>
      </c>
    </row>
    <row r="1004" spans="1:6">
      <c r="A1004" s="60" t="s">
        <v>1527</v>
      </c>
      <c r="B1004" s="60" t="s">
        <v>1520</v>
      </c>
      <c r="C1004" s="60" t="s">
        <v>1522</v>
      </c>
      <c r="D1004" s="60" t="str">
        <f t="shared" si="16"/>
        <v>Ongongoja</v>
      </c>
      <c r="F1004" s="60">
        <v>676</v>
      </c>
    </row>
    <row r="1005" spans="1:6">
      <c r="A1005" s="60" t="s">
        <v>1528</v>
      </c>
      <c r="B1005" s="60" t="s">
        <v>1520</v>
      </c>
      <c r="C1005" s="60" t="s">
        <v>1522</v>
      </c>
      <c r="D1005" s="60" t="str">
        <f t="shared" si="16"/>
        <v>Palam</v>
      </c>
      <c r="F1005" s="60">
        <v>677</v>
      </c>
    </row>
    <row r="1006" spans="1:6">
      <c r="A1006" s="60" t="s">
        <v>1521</v>
      </c>
      <c r="B1006" s="60" t="s">
        <v>1520</v>
      </c>
      <c r="C1006" s="60" t="s">
        <v>1521</v>
      </c>
      <c r="D1006" s="60" t="str">
        <f t="shared" si="16"/>
        <v>Toroma</v>
      </c>
      <c r="F1006" s="60">
        <v>678</v>
      </c>
    </row>
    <row r="1007" spans="1:6">
      <c r="A1007" s="60" t="s">
        <v>1522</v>
      </c>
      <c r="B1007" s="60" t="s">
        <v>1520</v>
      </c>
      <c r="C1007" s="60" t="s">
        <v>1522</v>
      </c>
      <c r="D1007" s="60" t="str">
        <f t="shared" si="16"/>
        <v>Usuk</v>
      </c>
      <c r="F1007" s="60">
        <v>679</v>
      </c>
    </row>
    <row r="1008" spans="1:6">
      <c r="A1008" s="60" t="s">
        <v>1529</v>
      </c>
      <c r="B1008" s="60" t="s">
        <v>200</v>
      </c>
      <c r="C1008" s="60" t="s">
        <v>1529</v>
      </c>
      <c r="D1008" s="60" t="str">
        <f t="shared" si="16"/>
        <v>Bbaale</v>
      </c>
      <c r="F1008" s="60">
        <v>680</v>
      </c>
    </row>
    <row r="1009" spans="1:6">
      <c r="A1009" s="60" t="s">
        <v>1530</v>
      </c>
      <c r="B1009" s="60" t="s">
        <v>200</v>
      </c>
      <c r="C1009" s="60" t="s">
        <v>1531</v>
      </c>
      <c r="D1009" s="60" t="str">
        <f t="shared" si="16"/>
        <v>Busaana</v>
      </c>
      <c r="F1009" s="60">
        <v>681</v>
      </c>
    </row>
    <row r="1010" spans="1:6">
      <c r="A1010" s="60" t="s">
        <v>1532</v>
      </c>
      <c r="B1010" s="60" t="s">
        <v>200</v>
      </c>
      <c r="C1010" s="60" t="s">
        <v>1529</v>
      </c>
      <c r="D1010" s="60" t="str">
        <f t="shared" si="16"/>
        <v>Galiraya</v>
      </c>
      <c r="F1010" s="60">
        <v>682</v>
      </c>
    </row>
    <row r="1011" spans="1:6">
      <c r="A1011" s="60" t="s">
        <v>1533</v>
      </c>
      <c r="B1011" s="60" t="s">
        <v>200</v>
      </c>
      <c r="C1011" s="60" t="s">
        <v>1531</v>
      </c>
      <c r="D1011" s="60" t="str">
        <f t="shared" si="16"/>
        <v>Kangulumira</v>
      </c>
      <c r="F1011" s="60">
        <v>683</v>
      </c>
    </row>
    <row r="1012" spans="1:6">
      <c r="A1012" s="60" t="s">
        <v>1534</v>
      </c>
      <c r="B1012" s="60" t="s">
        <v>200</v>
      </c>
      <c r="C1012" s="60" t="s">
        <v>1529</v>
      </c>
      <c r="D1012" s="60" t="str">
        <f t="shared" si="16"/>
        <v>Kayonza-Kayunga</v>
      </c>
      <c r="F1012" s="60">
        <v>684</v>
      </c>
    </row>
    <row r="1013" spans="1:6">
      <c r="A1013" s="60" t="s">
        <v>200</v>
      </c>
      <c r="B1013" s="60" t="s">
        <v>200</v>
      </c>
      <c r="C1013" s="60" t="s">
        <v>1531</v>
      </c>
      <c r="D1013" s="60" t="str">
        <f t="shared" si="16"/>
        <v>Kayunga</v>
      </c>
      <c r="F1013" s="60">
        <v>685</v>
      </c>
    </row>
    <row r="1014" spans="1:6">
      <c r="A1014" s="60" t="s">
        <v>1535</v>
      </c>
      <c r="B1014" s="60" t="s">
        <v>200</v>
      </c>
      <c r="C1014" s="60" t="s">
        <v>1531</v>
      </c>
      <c r="D1014" s="60" t="str">
        <f t="shared" si="16"/>
        <v>Kayunga Town Council</v>
      </c>
      <c r="F1014" s="60">
        <v>686</v>
      </c>
    </row>
    <row r="1015" spans="1:6">
      <c r="A1015" s="60" t="s">
        <v>1536</v>
      </c>
      <c r="B1015" s="60" t="s">
        <v>200</v>
      </c>
      <c r="C1015" s="60" t="s">
        <v>1529</v>
      </c>
      <c r="D1015" s="60" t="str">
        <f t="shared" si="16"/>
        <v>Kitimbwa</v>
      </c>
      <c r="F1015" s="60">
        <v>687</v>
      </c>
    </row>
    <row r="1016" spans="1:6">
      <c r="A1016" s="60" t="s">
        <v>1537</v>
      </c>
      <c r="B1016" s="60" t="s">
        <v>200</v>
      </c>
      <c r="C1016" s="60" t="s">
        <v>1531</v>
      </c>
      <c r="D1016" s="60" t="str">
        <f t="shared" si="16"/>
        <v>Nazigo</v>
      </c>
      <c r="F1016" s="60">
        <v>688</v>
      </c>
    </row>
    <row r="1017" spans="1:6">
      <c r="A1017" s="60" t="s">
        <v>1538</v>
      </c>
      <c r="B1017" s="60" t="s">
        <v>1539</v>
      </c>
      <c r="C1017" s="60" t="s">
        <v>1540</v>
      </c>
      <c r="D1017" s="60" t="str">
        <f t="shared" si="16"/>
        <v>Bubango</v>
      </c>
      <c r="F1017" s="60">
        <v>689</v>
      </c>
    </row>
    <row r="1018" spans="1:6">
      <c r="A1018" s="60" t="s">
        <v>1541</v>
      </c>
      <c r="B1018" s="60" t="s">
        <v>1539</v>
      </c>
      <c r="C1018" s="60" t="s">
        <v>1540</v>
      </c>
      <c r="D1018" s="60" t="str">
        <f t="shared" si="16"/>
        <v>Bwamiramira</v>
      </c>
      <c r="F1018" s="60">
        <v>690</v>
      </c>
    </row>
    <row r="1019" spans="1:6">
      <c r="A1019" s="60" t="s">
        <v>1542</v>
      </c>
      <c r="B1019" s="60" t="s">
        <v>1539</v>
      </c>
      <c r="C1019" s="60" t="s">
        <v>1540</v>
      </c>
      <c r="D1019" s="60" t="str">
        <f t="shared" si="16"/>
        <v>Kabasekende</v>
      </c>
      <c r="F1019" s="60">
        <v>691</v>
      </c>
    </row>
    <row r="1020" spans="1:6">
      <c r="A1020" s="60" t="s">
        <v>1543</v>
      </c>
      <c r="B1020" s="60" t="s">
        <v>1539</v>
      </c>
      <c r="C1020" s="60" t="s">
        <v>1540</v>
      </c>
      <c r="D1020" s="60" t="str">
        <f t="shared" si="16"/>
        <v>Kasimbi</v>
      </c>
      <c r="F1020" s="60">
        <v>692</v>
      </c>
    </row>
    <row r="1021" spans="1:6">
      <c r="A1021" s="60" t="s">
        <v>1544</v>
      </c>
      <c r="B1021" s="60" t="s">
        <v>1539</v>
      </c>
      <c r="C1021" s="60" t="s">
        <v>1540</v>
      </c>
      <c r="D1021" s="60" t="str">
        <f t="shared" si="16"/>
        <v>Kibaale Town Council</v>
      </c>
      <c r="F1021" s="60">
        <v>693</v>
      </c>
    </row>
    <row r="1022" spans="1:6">
      <c r="A1022" s="60" t="s">
        <v>201</v>
      </c>
      <c r="F1022" s="60">
        <v>693</v>
      </c>
    </row>
    <row r="1023" spans="1:6">
      <c r="A1023" s="60" t="s">
        <v>1306</v>
      </c>
      <c r="B1023" s="60" t="s">
        <v>1539</v>
      </c>
      <c r="C1023" s="60" t="s">
        <v>1540</v>
      </c>
      <c r="D1023" s="60" t="str">
        <f t="shared" si="16"/>
        <v>Kyebando</v>
      </c>
      <c r="F1023" s="60">
        <v>694</v>
      </c>
    </row>
    <row r="1024" spans="1:6">
      <c r="A1024" s="60" t="s">
        <v>1545</v>
      </c>
      <c r="B1024" s="60" t="s">
        <v>1539</v>
      </c>
      <c r="C1024" s="60" t="s">
        <v>1540</v>
      </c>
      <c r="D1024" s="60" t="str">
        <f t="shared" si="16"/>
        <v>Matale</v>
      </c>
      <c r="F1024" s="60">
        <v>695</v>
      </c>
    </row>
    <row r="1025" spans="1:6">
      <c r="A1025" s="60" t="s">
        <v>1546</v>
      </c>
      <c r="B1025" s="60" t="s">
        <v>1539</v>
      </c>
      <c r="C1025" s="60" t="s">
        <v>1540</v>
      </c>
      <c r="D1025" s="60" t="str">
        <f t="shared" si="16"/>
        <v>Mugarama</v>
      </c>
      <c r="F1025" s="60">
        <v>696</v>
      </c>
    </row>
    <row r="1026" spans="1:6">
      <c r="A1026" s="60" t="s">
        <v>1547</v>
      </c>
      <c r="B1026" s="60" t="s">
        <v>1539</v>
      </c>
      <c r="C1026" s="60" t="s">
        <v>1540</v>
      </c>
      <c r="D1026" s="60" t="str">
        <f t="shared" si="16"/>
        <v>Nyamarunda</v>
      </c>
      <c r="F1026" s="60">
        <v>697</v>
      </c>
    </row>
    <row r="1027" spans="1:6">
      <c r="A1027" s="60" t="s">
        <v>1548</v>
      </c>
      <c r="B1027" s="60" t="s">
        <v>1539</v>
      </c>
      <c r="C1027" s="60" t="s">
        <v>1540</v>
      </c>
      <c r="D1027" s="60" t="str">
        <f t="shared" si="16"/>
        <v>Nyamarwa</v>
      </c>
      <c r="F1027" s="60">
        <v>698</v>
      </c>
    </row>
    <row r="1028" spans="1:6">
      <c r="A1028" s="60" t="s">
        <v>1549</v>
      </c>
      <c r="B1028" s="60" t="s">
        <v>1550</v>
      </c>
      <c r="C1028" s="60" t="s">
        <v>1550</v>
      </c>
      <c r="D1028" s="60" t="str">
        <f t="shared" si="16"/>
        <v>Bukomero</v>
      </c>
      <c r="F1028" s="60">
        <v>699</v>
      </c>
    </row>
    <row r="1029" spans="1:6">
      <c r="A1029" s="60" t="s">
        <v>1551</v>
      </c>
      <c r="B1029" s="60" t="s">
        <v>1550</v>
      </c>
      <c r="C1029" s="60" t="s">
        <v>1550</v>
      </c>
      <c r="D1029" s="60" t="str">
        <f t="shared" si="16"/>
        <v>Bukomero Town Council</v>
      </c>
      <c r="F1029" s="60">
        <v>700</v>
      </c>
    </row>
    <row r="1030" spans="1:6">
      <c r="A1030" s="60" t="s">
        <v>1552</v>
      </c>
      <c r="B1030" s="60" t="s">
        <v>1550</v>
      </c>
      <c r="C1030" s="60" t="s">
        <v>1550</v>
      </c>
      <c r="D1030" s="60" t="str">
        <f t="shared" si="16"/>
        <v>Ddwaniro-Kiboga</v>
      </c>
      <c r="F1030" s="60">
        <v>701</v>
      </c>
    </row>
    <row r="1031" spans="1:6">
      <c r="A1031" s="60" t="s">
        <v>1553</v>
      </c>
      <c r="B1031" s="60" t="s">
        <v>1550</v>
      </c>
      <c r="C1031" s="60" t="s">
        <v>1550</v>
      </c>
      <c r="D1031" s="60" t="str">
        <f t="shared" si="16"/>
        <v>Kapeke</v>
      </c>
      <c r="F1031" s="60">
        <v>702</v>
      </c>
    </row>
    <row r="1032" spans="1:6">
      <c r="A1032" s="60" t="s">
        <v>1554</v>
      </c>
      <c r="B1032" s="60" t="s">
        <v>1550</v>
      </c>
      <c r="C1032" s="60" t="s">
        <v>1550</v>
      </c>
      <c r="D1032" s="60" t="str">
        <f t="shared" si="16"/>
        <v>Kibiga</v>
      </c>
      <c r="F1032" s="60">
        <v>703</v>
      </c>
    </row>
    <row r="1033" spans="1:6">
      <c r="A1033" s="60" t="s">
        <v>1555</v>
      </c>
      <c r="B1033" s="60" t="s">
        <v>1550</v>
      </c>
      <c r="C1033" s="60" t="s">
        <v>1550</v>
      </c>
      <c r="D1033" s="60" t="str">
        <f t="shared" si="16"/>
        <v>Kiboga Town Council</v>
      </c>
      <c r="F1033" s="60">
        <v>704</v>
      </c>
    </row>
    <row r="1034" spans="1:6">
      <c r="A1034" s="60" t="s">
        <v>1556</v>
      </c>
      <c r="D1034" s="60" t="str">
        <f t="shared" si="16"/>
        <v>Kiboga town</v>
      </c>
      <c r="F1034" s="60">
        <v>704</v>
      </c>
    </row>
    <row r="1035" spans="1:6">
      <c r="A1035" s="60" t="s">
        <v>1550</v>
      </c>
      <c r="D1035" s="60" t="str">
        <f t="shared" si="16"/>
        <v>Kiboga</v>
      </c>
      <c r="F1035" s="60">
        <v>704</v>
      </c>
    </row>
    <row r="1036" spans="1:6">
      <c r="A1036" s="60" t="s">
        <v>1557</v>
      </c>
      <c r="B1036" s="60" t="s">
        <v>1550</v>
      </c>
      <c r="C1036" s="60" t="s">
        <v>1550</v>
      </c>
      <c r="D1036" s="60" t="str">
        <f t="shared" si="16"/>
        <v>Lwamata</v>
      </c>
      <c r="F1036" s="60">
        <v>705</v>
      </c>
    </row>
    <row r="1037" spans="1:6">
      <c r="A1037" s="60" t="s">
        <v>1558</v>
      </c>
      <c r="B1037" s="60" t="s">
        <v>1550</v>
      </c>
      <c r="C1037" s="60" t="s">
        <v>1550</v>
      </c>
      <c r="D1037" s="60" t="str">
        <f t="shared" si="16"/>
        <v>Muwanga</v>
      </c>
      <c r="F1037" s="60">
        <v>706</v>
      </c>
    </row>
    <row r="1038" spans="1:6">
      <c r="A1038" s="60" t="s">
        <v>1559</v>
      </c>
      <c r="B1038" s="60" t="s">
        <v>1560</v>
      </c>
      <c r="C1038" s="60" t="s">
        <v>1560</v>
      </c>
      <c r="D1038" s="60" t="str">
        <f t="shared" si="16"/>
        <v>Bulangira</v>
      </c>
      <c r="F1038" s="60">
        <v>707</v>
      </c>
    </row>
    <row r="1039" spans="1:6">
      <c r="A1039" s="60" t="s">
        <v>1561</v>
      </c>
      <c r="B1039" s="60" t="s">
        <v>1560</v>
      </c>
      <c r="C1039" s="60" t="s">
        <v>1560</v>
      </c>
      <c r="D1039" s="60" t="str">
        <f t="shared" si="16"/>
        <v>Buseta</v>
      </c>
      <c r="F1039" s="60">
        <v>708</v>
      </c>
    </row>
    <row r="1040" spans="1:6">
      <c r="A1040" s="60" t="s">
        <v>1562</v>
      </c>
      <c r="B1040" s="60" t="s">
        <v>1560</v>
      </c>
      <c r="C1040" s="60" t="s">
        <v>1560</v>
      </c>
      <c r="D1040" s="60" t="str">
        <f t="shared" si="16"/>
        <v>Kabweri</v>
      </c>
      <c r="F1040" s="60">
        <v>709</v>
      </c>
    </row>
    <row r="1041" spans="1:6">
      <c r="A1041" s="60" t="s">
        <v>1563</v>
      </c>
      <c r="B1041" s="60" t="s">
        <v>1560</v>
      </c>
      <c r="C1041" s="60" t="s">
        <v>1560</v>
      </c>
      <c r="D1041" s="60" t="str">
        <f t="shared" si="16"/>
        <v>Kadama</v>
      </c>
      <c r="F1041" s="60">
        <v>710</v>
      </c>
    </row>
    <row r="1042" spans="1:6">
      <c r="A1042" s="60" t="s">
        <v>1564</v>
      </c>
      <c r="B1042" s="60" t="s">
        <v>1560</v>
      </c>
      <c r="C1042" s="60" t="s">
        <v>1560</v>
      </c>
      <c r="D1042" s="60" t="str">
        <f t="shared" si="16"/>
        <v>Kagumu</v>
      </c>
      <c r="F1042" s="60">
        <v>711</v>
      </c>
    </row>
    <row r="1043" spans="1:6">
      <c r="A1043" s="60" t="s">
        <v>1565</v>
      </c>
      <c r="B1043" s="60" t="s">
        <v>1560</v>
      </c>
      <c r="C1043" s="60" t="s">
        <v>1560</v>
      </c>
      <c r="D1043" s="60" t="str">
        <f t="shared" ref="D1043:D1109" si="17">A1043</f>
        <v>Kasasira</v>
      </c>
      <c r="F1043" s="60">
        <v>712</v>
      </c>
    </row>
    <row r="1044" spans="1:6">
      <c r="A1044" s="60" t="s">
        <v>1560</v>
      </c>
      <c r="B1044" s="60" t="s">
        <v>1560</v>
      </c>
      <c r="C1044" s="60" t="s">
        <v>1560</v>
      </c>
      <c r="D1044" s="60" t="str">
        <f t="shared" si="17"/>
        <v>Kibuku</v>
      </c>
      <c r="F1044" s="60">
        <v>713</v>
      </c>
    </row>
    <row r="1045" spans="1:6">
      <c r="A1045" s="60" t="s">
        <v>1566</v>
      </c>
      <c r="B1045" s="60" t="s">
        <v>1560</v>
      </c>
      <c r="C1045" s="60" t="s">
        <v>1560</v>
      </c>
      <c r="D1045" s="60" t="str">
        <f t="shared" si="17"/>
        <v>Kibuku Town Council</v>
      </c>
      <c r="F1045" s="60">
        <v>714</v>
      </c>
    </row>
    <row r="1046" spans="1:6">
      <c r="A1046" s="60" t="s">
        <v>1567</v>
      </c>
      <c r="B1046" s="60" t="s">
        <v>1560</v>
      </c>
      <c r="C1046" s="60" t="s">
        <v>1560</v>
      </c>
      <c r="D1046" s="60" t="str">
        <f t="shared" si="17"/>
        <v>Kirika</v>
      </c>
      <c r="F1046" s="60">
        <v>715</v>
      </c>
    </row>
    <row r="1047" spans="1:6">
      <c r="A1047" s="60" t="s">
        <v>1568</v>
      </c>
      <c r="B1047" s="60" t="s">
        <v>1560</v>
      </c>
      <c r="C1047" s="60" t="s">
        <v>1560</v>
      </c>
      <c r="D1047" s="60" t="str">
        <f t="shared" si="17"/>
        <v>Tirinyi</v>
      </c>
      <c r="F1047" s="60">
        <v>716</v>
      </c>
    </row>
    <row r="1048" spans="1:6">
      <c r="A1048" s="60" t="s">
        <v>1569</v>
      </c>
      <c r="B1048" s="60" t="s">
        <v>1570</v>
      </c>
      <c r="C1048" s="60" t="s">
        <v>1571</v>
      </c>
      <c r="D1048" s="60" t="str">
        <f t="shared" si="17"/>
        <v>Buremba</v>
      </c>
      <c r="F1048" s="60">
        <v>717</v>
      </c>
    </row>
    <row r="1049" spans="1:6">
      <c r="A1049" s="60" t="s">
        <v>1572</v>
      </c>
      <c r="B1049" s="60" t="s">
        <v>1570</v>
      </c>
      <c r="C1049" s="60" t="s">
        <v>1571</v>
      </c>
      <c r="D1049" s="60" t="str">
        <f t="shared" si="17"/>
        <v>Burunga</v>
      </c>
      <c r="F1049" s="60">
        <v>718</v>
      </c>
    </row>
    <row r="1050" spans="1:6">
      <c r="A1050" s="60" t="s">
        <v>1573</v>
      </c>
      <c r="B1050" s="60" t="s">
        <v>1570</v>
      </c>
      <c r="C1050" s="60" t="s">
        <v>1571</v>
      </c>
      <c r="D1050" s="60" t="str">
        <f t="shared" si="17"/>
        <v>Engari</v>
      </c>
      <c r="F1050" s="60">
        <v>719</v>
      </c>
    </row>
    <row r="1051" spans="1:6">
      <c r="A1051" s="60" t="s">
        <v>1574</v>
      </c>
      <c r="B1051" s="60" t="s">
        <v>1570</v>
      </c>
      <c r="C1051" s="60" t="s">
        <v>1571</v>
      </c>
      <c r="D1051" s="60" t="str">
        <f t="shared" si="17"/>
        <v>Kanoni</v>
      </c>
      <c r="F1051" s="60">
        <v>720</v>
      </c>
    </row>
    <row r="1052" spans="1:6">
      <c r="A1052" s="60" t="s">
        <v>1575</v>
      </c>
      <c r="B1052" s="60" t="s">
        <v>1570</v>
      </c>
      <c r="C1052" s="60" t="s">
        <v>1576</v>
      </c>
      <c r="D1052" s="60" t="str">
        <f t="shared" si="17"/>
        <v>Kanyaryeru</v>
      </c>
      <c r="F1052" s="60">
        <v>721</v>
      </c>
    </row>
    <row r="1053" spans="1:6">
      <c r="A1053" s="60" t="s">
        <v>1577</v>
      </c>
      <c r="B1053" s="60" t="s">
        <v>1570</v>
      </c>
      <c r="C1053" s="60" t="s">
        <v>1576</v>
      </c>
      <c r="D1053" s="60" t="str">
        <f t="shared" si="17"/>
        <v>Kashongi</v>
      </c>
      <c r="F1053" s="60">
        <v>722</v>
      </c>
    </row>
    <row r="1054" spans="1:6">
      <c r="A1054" s="60" t="s">
        <v>1571</v>
      </c>
      <c r="B1054" s="60" t="s">
        <v>1570</v>
      </c>
      <c r="C1054" s="60" t="s">
        <v>1571</v>
      </c>
      <c r="D1054" s="60" t="str">
        <f t="shared" si="17"/>
        <v>Kazo</v>
      </c>
      <c r="F1054" s="60">
        <v>723</v>
      </c>
    </row>
    <row r="1055" spans="1:6">
      <c r="A1055" s="60" t="s">
        <v>1578</v>
      </c>
      <c r="B1055" s="60" t="s">
        <v>1570</v>
      </c>
      <c r="C1055" s="60" t="s">
        <v>1571</v>
      </c>
      <c r="D1055" s="60" t="str">
        <f t="shared" si="17"/>
        <v>Kazo Town Council</v>
      </c>
      <c r="F1055" s="60">
        <v>724</v>
      </c>
    </row>
    <row r="1056" spans="1:6">
      <c r="A1056" s="60" t="s">
        <v>1579</v>
      </c>
      <c r="B1056" s="60" t="s">
        <v>1570</v>
      </c>
      <c r="C1056" s="60" t="s">
        <v>1576</v>
      </c>
      <c r="D1056" s="60" t="str">
        <f t="shared" si="17"/>
        <v>Kenshunga</v>
      </c>
      <c r="F1056" s="60">
        <v>725</v>
      </c>
    </row>
    <row r="1057" spans="1:6">
      <c r="A1057" s="60" t="s">
        <v>1580</v>
      </c>
      <c r="B1057" s="60" t="s">
        <v>1570</v>
      </c>
      <c r="C1057" s="60" t="s">
        <v>1576</v>
      </c>
      <c r="D1057" s="60" t="str">
        <f t="shared" si="17"/>
        <v>Kikaatsi</v>
      </c>
      <c r="F1057" s="60">
        <v>726</v>
      </c>
    </row>
    <row r="1058" spans="1:6">
      <c r="A1058" s="60" t="s">
        <v>1581</v>
      </c>
      <c r="B1058" s="60" t="s">
        <v>1570</v>
      </c>
      <c r="C1058" s="60" t="s">
        <v>1576</v>
      </c>
      <c r="D1058" s="60" t="str">
        <f t="shared" si="17"/>
        <v>Kinoni-Kiruhura</v>
      </c>
      <c r="F1058" s="60">
        <v>727</v>
      </c>
    </row>
    <row r="1059" spans="1:6">
      <c r="A1059" s="60" t="s">
        <v>1582</v>
      </c>
      <c r="B1059" s="60" t="s">
        <v>1570</v>
      </c>
      <c r="C1059" s="60" t="s">
        <v>1576</v>
      </c>
      <c r="D1059" s="60" t="str">
        <f t="shared" si="17"/>
        <v>Kiruhura Town Council</v>
      </c>
      <c r="F1059" s="60">
        <v>728</v>
      </c>
    </row>
    <row r="1060" spans="1:6">
      <c r="A1060" s="60" t="s">
        <v>1570</v>
      </c>
      <c r="D1060" s="60" t="str">
        <f t="shared" si="17"/>
        <v>Kiruhura</v>
      </c>
      <c r="F1060" s="60">
        <v>728</v>
      </c>
    </row>
    <row r="1061" spans="1:6">
      <c r="A1061" s="60" t="s">
        <v>1583</v>
      </c>
      <c r="B1061" s="60" t="s">
        <v>1570</v>
      </c>
      <c r="C1061" s="60" t="s">
        <v>1576</v>
      </c>
      <c r="D1061" s="60" t="str">
        <f t="shared" si="17"/>
        <v>Kitura</v>
      </c>
      <c r="F1061" s="60">
        <v>729</v>
      </c>
    </row>
    <row r="1062" spans="1:6">
      <c r="A1062" s="60" t="s">
        <v>1584</v>
      </c>
      <c r="B1062" s="60" t="s">
        <v>1570</v>
      </c>
      <c r="C1062" s="60" t="s">
        <v>1571</v>
      </c>
      <c r="D1062" s="60" t="str">
        <f t="shared" si="17"/>
        <v>Nkungu</v>
      </c>
      <c r="F1062" s="60">
        <v>730</v>
      </c>
    </row>
    <row r="1063" spans="1:6">
      <c r="A1063" s="60" t="s">
        <v>1585</v>
      </c>
      <c r="B1063" s="60" t="s">
        <v>1570</v>
      </c>
      <c r="C1063" s="60" t="s">
        <v>1576</v>
      </c>
      <c r="D1063" s="60" t="str">
        <f t="shared" si="17"/>
        <v>Nyakashashara</v>
      </c>
      <c r="F1063" s="60">
        <v>731</v>
      </c>
    </row>
    <row r="1064" spans="1:6">
      <c r="A1064" s="60" t="s">
        <v>1586</v>
      </c>
      <c r="B1064" s="60" t="s">
        <v>1570</v>
      </c>
      <c r="C1064" s="60" t="s">
        <v>1571</v>
      </c>
      <c r="D1064" s="60" t="str">
        <f t="shared" si="17"/>
        <v>Rwemikoma</v>
      </c>
      <c r="F1064" s="60">
        <v>732</v>
      </c>
    </row>
    <row r="1065" spans="1:6">
      <c r="A1065" s="60" t="s">
        <v>1587</v>
      </c>
      <c r="B1065" s="60" t="s">
        <v>1570</v>
      </c>
      <c r="C1065" s="60" t="s">
        <v>1576</v>
      </c>
      <c r="D1065" s="60" t="str">
        <f t="shared" si="17"/>
        <v>Sanga</v>
      </c>
      <c r="F1065" s="60">
        <v>733</v>
      </c>
    </row>
    <row r="1066" spans="1:6">
      <c r="A1066" s="60" t="s">
        <v>1588</v>
      </c>
      <c r="D1066" s="60" t="str">
        <f t="shared" si="17"/>
        <v>Lake Mburo</v>
      </c>
      <c r="F1066" s="60">
        <v>733</v>
      </c>
    </row>
    <row r="1067" spans="1:6">
      <c r="A1067" s="60" t="s">
        <v>1589</v>
      </c>
      <c r="B1067" s="60" t="s">
        <v>1570</v>
      </c>
      <c r="C1067" s="60" t="s">
        <v>1576</v>
      </c>
      <c r="D1067" s="60" t="str">
        <f t="shared" si="17"/>
        <v>Sanga Town Council</v>
      </c>
      <c r="F1067" s="60">
        <v>734</v>
      </c>
    </row>
    <row r="1068" spans="1:6">
      <c r="A1068" s="60" t="s">
        <v>1590</v>
      </c>
      <c r="B1068" s="60" t="s">
        <v>1591</v>
      </c>
      <c r="C1068" s="60" t="s">
        <v>1592</v>
      </c>
      <c r="D1068" s="60" t="str">
        <f t="shared" si="17"/>
        <v>Bweyale Town Council</v>
      </c>
      <c r="F1068" s="60">
        <v>735</v>
      </c>
    </row>
    <row r="1069" spans="1:6">
      <c r="A1069" s="60" t="s">
        <v>1593</v>
      </c>
      <c r="B1069" s="60" t="s">
        <v>1591</v>
      </c>
      <c r="C1069" s="60" t="s">
        <v>1592</v>
      </c>
      <c r="D1069" s="60" t="str">
        <f t="shared" si="17"/>
        <v>Kigumba</v>
      </c>
      <c r="F1069" s="60">
        <v>736</v>
      </c>
    </row>
    <row r="1070" spans="1:6">
      <c r="A1070" s="60" t="s">
        <v>1594</v>
      </c>
      <c r="B1070" s="60" t="s">
        <v>1591</v>
      </c>
      <c r="C1070" s="60" t="s">
        <v>1592</v>
      </c>
      <c r="D1070" s="60" t="str">
        <f t="shared" si="17"/>
        <v>Kigumba Town Council</v>
      </c>
      <c r="F1070" s="60">
        <v>737</v>
      </c>
    </row>
    <row r="1071" spans="1:6">
      <c r="A1071" s="60" t="s">
        <v>1591</v>
      </c>
      <c r="B1071" s="60" t="s">
        <v>1591</v>
      </c>
      <c r="C1071" s="60" t="s">
        <v>1592</v>
      </c>
      <c r="D1071" s="60" t="str">
        <f t="shared" si="17"/>
        <v>Kiryandongo</v>
      </c>
      <c r="F1071" s="60">
        <v>738</v>
      </c>
    </row>
    <row r="1072" spans="1:6">
      <c r="A1072" s="60" t="s">
        <v>1595</v>
      </c>
      <c r="B1072" s="60" t="s">
        <v>1591</v>
      </c>
      <c r="C1072" s="60" t="s">
        <v>1592</v>
      </c>
      <c r="D1072" s="60" t="str">
        <f t="shared" si="17"/>
        <v>Kiryandongo Refugee Camp</v>
      </c>
      <c r="F1072" s="60">
        <v>739</v>
      </c>
    </row>
    <row r="1073" spans="1:6">
      <c r="A1073" s="60" t="s">
        <v>1596</v>
      </c>
      <c r="B1073" s="60" t="s">
        <v>1591</v>
      </c>
      <c r="C1073" s="60" t="s">
        <v>1592</v>
      </c>
      <c r="D1073" s="60" t="str">
        <f t="shared" si="17"/>
        <v>Kiryandongo Town Council</v>
      </c>
      <c r="F1073" s="60">
        <v>740</v>
      </c>
    </row>
    <row r="1074" spans="1:6">
      <c r="A1074" s="60" t="s">
        <v>1597</v>
      </c>
      <c r="B1074" s="60" t="s">
        <v>1591</v>
      </c>
      <c r="C1074" s="60" t="s">
        <v>1592</v>
      </c>
      <c r="D1074" s="60" t="str">
        <f t="shared" si="17"/>
        <v>Masindi Port</v>
      </c>
      <c r="F1074" s="60">
        <v>741</v>
      </c>
    </row>
    <row r="1075" spans="1:6">
      <c r="A1075" s="60" t="s">
        <v>1598</v>
      </c>
      <c r="B1075" s="60" t="s">
        <v>1591</v>
      </c>
      <c r="C1075" s="60" t="s">
        <v>1592</v>
      </c>
      <c r="D1075" s="60" t="str">
        <f t="shared" si="17"/>
        <v>Mutunda</v>
      </c>
      <c r="F1075" s="60">
        <v>742</v>
      </c>
    </row>
    <row r="1076" spans="1:6">
      <c r="A1076" s="60" t="s">
        <v>1599</v>
      </c>
      <c r="B1076" s="60" t="s">
        <v>1600</v>
      </c>
      <c r="C1076" s="60" t="s">
        <v>1601</v>
      </c>
      <c r="D1076" s="60" t="str">
        <f t="shared" si="17"/>
        <v>Bukimbiri</v>
      </c>
      <c r="F1076" s="60">
        <v>743</v>
      </c>
    </row>
    <row r="1077" spans="1:6">
      <c r="A1077" s="60" t="s">
        <v>1602</v>
      </c>
      <c r="B1077" s="60" t="s">
        <v>1600</v>
      </c>
      <c r="C1077" s="60" t="s">
        <v>1601</v>
      </c>
      <c r="D1077" s="60" t="str">
        <f t="shared" si="17"/>
        <v>Busanza</v>
      </c>
      <c r="F1077" s="60">
        <v>744</v>
      </c>
    </row>
    <row r="1078" spans="1:6">
      <c r="A1078" s="60" t="s">
        <v>1603</v>
      </c>
      <c r="B1078" s="60" t="s">
        <v>1600</v>
      </c>
      <c r="C1078" s="60" t="s">
        <v>1601</v>
      </c>
      <c r="D1078" s="60" t="str">
        <f t="shared" si="17"/>
        <v>Chahi</v>
      </c>
      <c r="F1078" s="60">
        <v>745</v>
      </c>
    </row>
    <row r="1079" spans="1:6">
      <c r="A1079" s="60" t="s">
        <v>1604</v>
      </c>
      <c r="B1079" s="60" t="s">
        <v>1600</v>
      </c>
      <c r="C1079" s="60" t="s">
        <v>1601</v>
      </c>
      <c r="D1079" s="60" t="str">
        <f t="shared" si="17"/>
        <v>Kanaba</v>
      </c>
      <c r="F1079" s="60">
        <v>746</v>
      </c>
    </row>
    <row r="1080" spans="1:6">
      <c r="A1080" s="60" t="s">
        <v>1605</v>
      </c>
      <c r="B1080" s="60" t="s">
        <v>1600</v>
      </c>
      <c r="C1080" s="60" t="s">
        <v>1601</v>
      </c>
      <c r="D1080" s="60" t="str">
        <f t="shared" si="17"/>
        <v>Kirundo</v>
      </c>
      <c r="F1080" s="60">
        <v>747</v>
      </c>
    </row>
    <row r="1081" spans="1:6">
      <c r="A1081" s="60" t="s">
        <v>1606</v>
      </c>
      <c r="B1081" s="60" t="s">
        <v>1600</v>
      </c>
      <c r="C1081" s="60" t="s">
        <v>1606</v>
      </c>
      <c r="D1081" s="60" t="str">
        <f t="shared" si="17"/>
        <v>Kisoro Municipality</v>
      </c>
      <c r="F1081" s="60">
        <v>748</v>
      </c>
    </row>
    <row r="1082" spans="1:6">
      <c r="A1082" s="60" t="s">
        <v>1607</v>
      </c>
      <c r="D1082" s="60" t="str">
        <f t="shared" si="17"/>
        <v>Kisoro town</v>
      </c>
      <c r="F1082" s="60">
        <v>748</v>
      </c>
    </row>
    <row r="1083" spans="1:6">
      <c r="A1083" s="60" t="s">
        <v>1600</v>
      </c>
      <c r="D1083" s="60" t="str">
        <f t="shared" si="17"/>
        <v>Kisoro</v>
      </c>
      <c r="F1083" s="60">
        <v>748</v>
      </c>
    </row>
    <row r="1084" spans="1:6">
      <c r="A1084" s="60" t="s">
        <v>1608</v>
      </c>
      <c r="B1084" s="60" t="s">
        <v>1600</v>
      </c>
      <c r="C1084" s="60" t="s">
        <v>1601</v>
      </c>
      <c r="D1084" s="60" t="str">
        <f t="shared" si="17"/>
        <v>Muramba</v>
      </c>
      <c r="F1084" s="60">
        <v>749</v>
      </c>
    </row>
    <row r="1085" spans="1:6">
      <c r="A1085" s="60" t="s">
        <v>1609</v>
      </c>
      <c r="B1085" s="60" t="s">
        <v>1600</v>
      </c>
      <c r="C1085" s="60" t="s">
        <v>1601</v>
      </c>
      <c r="D1085" s="60" t="str">
        <f t="shared" si="17"/>
        <v>Murora</v>
      </c>
      <c r="F1085" s="60">
        <v>750</v>
      </c>
    </row>
    <row r="1086" spans="1:6">
      <c r="A1086" s="60" t="s">
        <v>1610</v>
      </c>
      <c r="B1086" s="60" t="s">
        <v>1600</v>
      </c>
      <c r="C1086" s="60" t="s">
        <v>1601</v>
      </c>
      <c r="D1086" s="60" t="str">
        <f t="shared" si="17"/>
        <v>Nyabwishenya</v>
      </c>
      <c r="F1086" s="60">
        <v>751</v>
      </c>
    </row>
    <row r="1087" spans="1:6">
      <c r="A1087" s="60" t="s">
        <v>1611</v>
      </c>
      <c r="B1087" s="60" t="s">
        <v>1600</v>
      </c>
      <c r="C1087" s="60" t="s">
        <v>1601</v>
      </c>
      <c r="D1087" s="60" t="str">
        <f t="shared" si="17"/>
        <v>Nyakabande</v>
      </c>
      <c r="F1087" s="60">
        <v>752</v>
      </c>
    </row>
    <row r="1088" spans="1:6">
      <c r="A1088" s="60" t="s">
        <v>1612</v>
      </c>
      <c r="B1088" s="60" t="s">
        <v>1600</v>
      </c>
      <c r="C1088" s="60" t="s">
        <v>1601</v>
      </c>
      <c r="D1088" s="60" t="str">
        <f t="shared" si="17"/>
        <v>Nyakinama</v>
      </c>
      <c r="F1088" s="60">
        <v>753</v>
      </c>
    </row>
    <row r="1089" spans="1:6">
      <c r="A1089" s="60" t="s">
        <v>1613</v>
      </c>
      <c r="B1089" s="60" t="s">
        <v>1600</v>
      </c>
      <c r="C1089" s="60" t="s">
        <v>1601</v>
      </c>
      <c r="D1089" s="60" t="str">
        <f t="shared" si="17"/>
        <v>Nyarubuye</v>
      </c>
      <c r="F1089" s="60">
        <v>754</v>
      </c>
    </row>
    <row r="1090" spans="1:6">
      <c r="A1090" s="60" t="s">
        <v>1614</v>
      </c>
      <c r="B1090" s="60" t="s">
        <v>1600</v>
      </c>
      <c r="C1090" s="60" t="s">
        <v>1601</v>
      </c>
      <c r="D1090" s="60" t="str">
        <f t="shared" si="17"/>
        <v>Nyarusiza</v>
      </c>
      <c r="F1090" s="60">
        <v>755</v>
      </c>
    </row>
    <row r="1091" spans="1:6">
      <c r="A1091" s="60" t="s">
        <v>1615</v>
      </c>
      <c r="B1091" s="60" t="s">
        <v>1600</v>
      </c>
      <c r="C1091" s="60" t="s">
        <v>1601</v>
      </c>
      <c r="D1091" s="60" t="str">
        <f t="shared" si="17"/>
        <v>Nyundo</v>
      </c>
      <c r="F1091" s="60">
        <v>756</v>
      </c>
    </row>
    <row r="1092" spans="1:6">
      <c r="A1092" s="60" t="s">
        <v>1616</v>
      </c>
      <c r="B1092" s="60" t="s">
        <v>1600</v>
      </c>
      <c r="C1092" s="60" t="s">
        <v>1601</v>
      </c>
      <c r="D1092" s="60" t="str">
        <f t="shared" si="17"/>
        <v>Rubuguri Town Council</v>
      </c>
      <c r="F1092" s="60">
        <v>757</v>
      </c>
    </row>
    <row r="1093" spans="1:6">
      <c r="A1093" s="60" t="s">
        <v>1617</v>
      </c>
      <c r="B1093" s="60" t="s">
        <v>1618</v>
      </c>
      <c r="C1093" s="60" t="s">
        <v>1619</v>
      </c>
      <c r="D1093" s="60" t="str">
        <f t="shared" si="17"/>
        <v>Kitgum Matidi</v>
      </c>
      <c r="F1093" s="60">
        <v>758</v>
      </c>
    </row>
    <row r="1094" spans="1:6">
      <c r="A1094" s="60" t="s">
        <v>1620</v>
      </c>
      <c r="B1094" s="60" t="s">
        <v>1618</v>
      </c>
      <c r="C1094" s="60" t="s">
        <v>1620</v>
      </c>
      <c r="D1094" s="60" t="str">
        <f t="shared" si="17"/>
        <v>Kitgum Municipality</v>
      </c>
      <c r="F1094" s="60">
        <v>759</v>
      </c>
    </row>
    <row r="1095" spans="1:6">
      <c r="A1095" s="60" t="s">
        <v>1621</v>
      </c>
      <c r="B1095" s="60" t="s">
        <v>1618</v>
      </c>
      <c r="C1095" s="60" t="s">
        <v>1619</v>
      </c>
      <c r="D1095" s="60" t="str">
        <f t="shared" si="17"/>
        <v>Labongo Akwang</v>
      </c>
      <c r="F1095" s="60">
        <v>760</v>
      </c>
    </row>
    <row r="1096" spans="1:6">
      <c r="A1096" s="60" t="s">
        <v>1622</v>
      </c>
      <c r="B1096" s="60" t="s">
        <v>1618</v>
      </c>
      <c r="C1096" s="60" t="s">
        <v>1619</v>
      </c>
      <c r="D1096" s="60" t="str">
        <f t="shared" si="17"/>
        <v>Labongo Amida</v>
      </c>
      <c r="F1096" s="60">
        <v>761</v>
      </c>
    </row>
    <row r="1097" spans="1:6">
      <c r="A1097" s="60" t="s">
        <v>1623</v>
      </c>
      <c r="B1097" s="60" t="s">
        <v>1618</v>
      </c>
      <c r="C1097" s="60" t="s">
        <v>1619</v>
      </c>
      <c r="D1097" s="60" t="str">
        <f t="shared" si="17"/>
        <v>Labongo Layamo</v>
      </c>
      <c r="F1097" s="60">
        <v>762</v>
      </c>
    </row>
    <row r="1098" spans="1:6">
      <c r="A1098" s="60" t="s">
        <v>1624</v>
      </c>
      <c r="B1098" s="60" t="s">
        <v>1618</v>
      </c>
      <c r="C1098" s="60" t="s">
        <v>1619</v>
      </c>
      <c r="D1098" s="60" t="str">
        <f t="shared" si="17"/>
        <v>Lagoro</v>
      </c>
      <c r="F1098" s="60">
        <v>763</v>
      </c>
    </row>
    <row r="1099" spans="1:6">
      <c r="A1099" s="60" t="s">
        <v>1625</v>
      </c>
      <c r="B1099" s="60" t="s">
        <v>1618</v>
      </c>
      <c r="C1099" s="60" t="s">
        <v>1619</v>
      </c>
      <c r="D1099" s="60" t="str">
        <f t="shared" si="17"/>
        <v>Mucwini</v>
      </c>
      <c r="F1099" s="60">
        <v>764</v>
      </c>
    </row>
    <row r="1100" spans="1:6">
      <c r="A1100" s="60" t="s">
        <v>1626</v>
      </c>
      <c r="B1100" s="60" t="s">
        <v>1618</v>
      </c>
      <c r="C1100" s="60" t="s">
        <v>1619</v>
      </c>
      <c r="D1100" s="60" t="str">
        <f t="shared" si="17"/>
        <v>Namokora</v>
      </c>
      <c r="F1100" s="60">
        <v>765</v>
      </c>
    </row>
    <row r="1101" spans="1:6">
      <c r="A1101" s="60" t="s">
        <v>1627</v>
      </c>
      <c r="B1101" s="60" t="s">
        <v>1618</v>
      </c>
      <c r="C1101" s="60" t="s">
        <v>1619</v>
      </c>
      <c r="D1101" s="60" t="str">
        <f t="shared" si="17"/>
        <v>Omiya Anyima</v>
      </c>
      <c r="F1101" s="60">
        <v>766</v>
      </c>
    </row>
    <row r="1102" spans="1:6">
      <c r="A1102" s="60" t="s">
        <v>1628</v>
      </c>
      <c r="B1102" s="60" t="s">
        <v>1618</v>
      </c>
      <c r="C1102" s="60" t="s">
        <v>1619</v>
      </c>
      <c r="D1102" s="60" t="str">
        <f t="shared" si="17"/>
        <v>Orom</v>
      </c>
      <c r="F1102" s="60">
        <v>767</v>
      </c>
    </row>
    <row r="1103" spans="1:6">
      <c r="A1103" s="60" t="s">
        <v>1629</v>
      </c>
      <c r="B1103" s="60" t="s">
        <v>1630</v>
      </c>
      <c r="C1103" s="60" t="s">
        <v>1630</v>
      </c>
      <c r="D1103" s="60" t="str">
        <f t="shared" si="17"/>
        <v>Abuku</v>
      </c>
      <c r="F1103" s="60">
        <v>768</v>
      </c>
    </row>
    <row r="1104" spans="1:6">
      <c r="A1104" s="60" t="s">
        <v>1631</v>
      </c>
      <c r="B1104" s="60" t="s">
        <v>1630</v>
      </c>
      <c r="C1104" s="60" t="s">
        <v>1630</v>
      </c>
      <c r="D1104" s="60" t="str">
        <f t="shared" si="17"/>
        <v>Dranya</v>
      </c>
      <c r="F1104" s="60">
        <v>769</v>
      </c>
    </row>
    <row r="1105" spans="1:6">
      <c r="A1105" s="60" t="s">
        <v>1632</v>
      </c>
      <c r="B1105" s="60" t="s">
        <v>1630</v>
      </c>
      <c r="C1105" s="60" t="s">
        <v>1632</v>
      </c>
      <c r="D1105" s="60" t="str">
        <f t="shared" si="17"/>
        <v>Koboko Municipality</v>
      </c>
      <c r="F1105" s="60">
        <v>770</v>
      </c>
    </row>
    <row r="1106" spans="1:6">
      <c r="A1106" s="60" t="s">
        <v>1633</v>
      </c>
      <c r="B1106" s="60" t="s">
        <v>1630</v>
      </c>
      <c r="C1106" s="60" t="s">
        <v>1630</v>
      </c>
      <c r="D1106" s="60" t="str">
        <f t="shared" si="17"/>
        <v>Kuluba</v>
      </c>
      <c r="F1106" s="60">
        <v>771</v>
      </c>
    </row>
    <row r="1107" spans="1:6">
      <c r="A1107" s="60" t="s">
        <v>1634</v>
      </c>
      <c r="B1107" s="60" t="s">
        <v>1630</v>
      </c>
      <c r="C1107" s="60" t="s">
        <v>1630</v>
      </c>
      <c r="D1107" s="60" t="str">
        <f t="shared" si="17"/>
        <v>Lobule</v>
      </c>
      <c r="F1107" s="60">
        <v>772</v>
      </c>
    </row>
    <row r="1108" spans="1:6">
      <c r="A1108" s="60" t="s">
        <v>1635</v>
      </c>
      <c r="B1108" s="60" t="s">
        <v>1630</v>
      </c>
      <c r="C1108" s="60" t="s">
        <v>1630</v>
      </c>
      <c r="D1108" s="60" t="str">
        <f t="shared" si="17"/>
        <v>Ludara</v>
      </c>
      <c r="F1108" s="60">
        <v>773</v>
      </c>
    </row>
    <row r="1109" spans="1:6">
      <c r="A1109" s="60" t="s">
        <v>1636</v>
      </c>
      <c r="B1109" s="60" t="s">
        <v>1630</v>
      </c>
      <c r="C1109" s="60" t="s">
        <v>1630</v>
      </c>
      <c r="D1109" s="60" t="str">
        <f t="shared" si="17"/>
        <v>Midia</v>
      </c>
      <c r="F1109" s="60">
        <v>774</v>
      </c>
    </row>
    <row r="1110" spans="1:6">
      <c r="A1110" s="60" t="s">
        <v>1637</v>
      </c>
      <c r="B1110" s="60" t="s">
        <v>1638</v>
      </c>
      <c r="C1110" s="60" t="s">
        <v>1638</v>
      </c>
      <c r="D1110" s="60" t="str">
        <f t="shared" ref="D1110:D1177" si="18">A1110</f>
        <v>Aboke</v>
      </c>
      <c r="F1110" s="60">
        <v>775</v>
      </c>
    </row>
    <row r="1111" spans="1:6">
      <c r="A1111" s="60" t="s">
        <v>1639</v>
      </c>
      <c r="B1111" s="60" t="s">
        <v>1638</v>
      </c>
      <c r="C1111" s="60" t="s">
        <v>1638</v>
      </c>
      <c r="D1111" s="60" t="str">
        <f t="shared" si="18"/>
        <v>Akalo</v>
      </c>
      <c r="F1111" s="60">
        <v>776</v>
      </c>
    </row>
    <row r="1112" spans="1:6">
      <c r="A1112" s="60" t="s">
        <v>1640</v>
      </c>
      <c r="B1112" s="60" t="s">
        <v>1638</v>
      </c>
      <c r="C1112" s="60" t="s">
        <v>1638</v>
      </c>
      <c r="D1112" s="60" t="str">
        <f t="shared" si="18"/>
        <v>Alito</v>
      </c>
      <c r="F1112" s="60">
        <v>777</v>
      </c>
    </row>
    <row r="1113" spans="1:6">
      <c r="A1113" s="60" t="s">
        <v>1641</v>
      </c>
      <c r="B1113" s="60" t="s">
        <v>1638</v>
      </c>
      <c r="C1113" s="60" t="s">
        <v>1638</v>
      </c>
      <c r="D1113" s="60" t="str">
        <f t="shared" si="18"/>
        <v>Ayer</v>
      </c>
      <c r="F1113" s="60">
        <v>778</v>
      </c>
    </row>
    <row r="1114" spans="1:6">
      <c r="A1114" s="60" t="s">
        <v>1642</v>
      </c>
      <c r="B1114" s="60" t="s">
        <v>1638</v>
      </c>
      <c r="C1114" s="60" t="s">
        <v>1638</v>
      </c>
      <c r="D1114" s="60" t="str">
        <f t="shared" si="18"/>
        <v>Bala</v>
      </c>
      <c r="F1114" s="60">
        <v>779</v>
      </c>
    </row>
    <row r="1115" spans="1:6">
      <c r="A1115" s="60" t="s">
        <v>1643</v>
      </c>
      <c r="B1115" s="60" t="s">
        <v>1638</v>
      </c>
      <c r="C1115" s="60" t="s">
        <v>1638</v>
      </c>
      <c r="D1115" s="60" t="str">
        <f t="shared" si="18"/>
        <v>Kole Town Council</v>
      </c>
      <c r="F1115" s="60">
        <v>780</v>
      </c>
    </row>
    <row r="1116" spans="1:6">
      <c r="A1116" s="60" t="s">
        <v>1644</v>
      </c>
      <c r="B1116" s="60" t="s">
        <v>1638</v>
      </c>
      <c r="C1116" s="60" t="s">
        <v>1638</v>
      </c>
      <c r="D1116" s="60" t="str">
        <f t="shared" si="18"/>
        <v>Okwerodot</v>
      </c>
      <c r="F1116" s="60">
        <v>781</v>
      </c>
    </row>
    <row r="1117" spans="1:6">
      <c r="A1117" s="60" t="s">
        <v>1645</v>
      </c>
      <c r="B1117" s="60" t="s">
        <v>1646</v>
      </c>
      <c r="C1117" s="60" t="s">
        <v>1647</v>
      </c>
      <c r="D1117" s="60" t="str">
        <f t="shared" si="18"/>
        <v>Kacheri</v>
      </c>
      <c r="F1117" s="60">
        <v>782</v>
      </c>
    </row>
    <row r="1118" spans="1:6">
      <c r="A1118" s="60" t="s">
        <v>1646</v>
      </c>
      <c r="B1118" s="60" t="s">
        <v>1646</v>
      </c>
      <c r="C1118" s="60" t="s">
        <v>1647</v>
      </c>
      <c r="D1118" s="60" t="str">
        <f t="shared" si="18"/>
        <v>Kotido</v>
      </c>
      <c r="F1118" s="60">
        <v>783</v>
      </c>
    </row>
    <row r="1119" spans="1:6">
      <c r="A1119" s="60" t="s">
        <v>1648</v>
      </c>
      <c r="B1119" s="60" t="s">
        <v>1646</v>
      </c>
      <c r="C1119" s="60" t="s">
        <v>1648</v>
      </c>
      <c r="D1119" s="60" t="str">
        <f t="shared" si="18"/>
        <v>Kotido Municipality</v>
      </c>
      <c r="F1119" s="60">
        <v>784</v>
      </c>
    </row>
    <row r="1120" spans="1:6">
      <c r="A1120" s="60" t="s">
        <v>1649</v>
      </c>
      <c r="B1120" s="60" t="s">
        <v>1646</v>
      </c>
      <c r="C1120" s="60" t="s">
        <v>1647</v>
      </c>
      <c r="D1120" s="60" t="str">
        <f t="shared" si="18"/>
        <v>Nakapelimoru</v>
      </c>
      <c r="F1120" s="60">
        <v>785</v>
      </c>
    </row>
    <row r="1121" spans="1:6">
      <c r="A1121" s="60" t="s">
        <v>1650</v>
      </c>
      <c r="B1121" s="60" t="s">
        <v>1646</v>
      </c>
      <c r="C1121" s="60" t="s">
        <v>1647</v>
      </c>
      <c r="D1121" s="60" t="str">
        <f t="shared" si="18"/>
        <v>Panyangara</v>
      </c>
      <c r="F1121" s="60">
        <v>786</v>
      </c>
    </row>
    <row r="1122" spans="1:6">
      <c r="A1122" s="60" t="s">
        <v>1651</v>
      </c>
      <c r="B1122" s="60" t="s">
        <v>1646</v>
      </c>
      <c r="C1122" s="60" t="s">
        <v>1647</v>
      </c>
      <c r="D1122" s="60" t="str">
        <f t="shared" si="18"/>
        <v>Rengen</v>
      </c>
      <c r="F1122" s="60">
        <v>787</v>
      </c>
    </row>
    <row r="1123" spans="1:6">
      <c r="A1123" s="60" t="s">
        <v>1652</v>
      </c>
      <c r="B1123" s="60" t="s">
        <v>1653</v>
      </c>
      <c r="C1123" s="60" t="s">
        <v>1653</v>
      </c>
      <c r="D1123" s="60" t="str">
        <f t="shared" si="18"/>
        <v>Atutur</v>
      </c>
      <c r="F1123" s="60">
        <v>788</v>
      </c>
    </row>
    <row r="1124" spans="1:6">
      <c r="A1124" s="60" t="s">
        <v>1654</v>
      </c>
      <c r="B1124" s="60" t="s">
        <v>1653</v>
      </c>
      <c r="C1124" s="60" t="s">
        <v>1653</v>
      </c>
      <c r="D1124" s="60" t="str">
        <f t="shared" si="18"/>
        <v>Kanyum</v>
      </c>
      <c r="F1124" s="60">
        <v>789</v>
      </c>
    </row>
    <row r="1125" spans="1:6">
      <c r="A1125" s="60" t="s">
        <v>1653</v>
      </c>
      <c r="B1125" s="60" t="s">
        <v>1653</v>
      </c>
      <c r="C1125" s="60" t="s">
        <v>1653</v>
      </c>
      <c r="D1125" s="60" t="str">
        <f t="shared" si="18"/>
        <v>Kumi</v>
      </c>
      <c r="F1125" s="60">
        <v>790</v>
      </c>
    </row>
    <row r="1126" spans="1:6">
      <c r="A1126" s="60" t="s">
        <v>1655</v>
      </c>
      <c r="B1126" s="60" t="s">
        <v>1653</v>
      </c>
      <c r="C1126" s="60" t="s">
        <v>1655</v>
      </c>
      <c r="D1126" s="60" t="str">
        <f t="shared" si="18"/>
        <v>Kumi Municipality</v>
      </c>
      <c r="F1126" s="60">
        <v>791</v>
      </c>
    </row>
    <row r="1127" spans="1:6">
      <c r="A1127" s="60" t="s">
        <v>1656</v>
      </c>
      <c r="B1127" s="60" t="s">
        <v>1653</v>
      </c>
      <c r="C1127" s="60" t="s">
        <v>1653</v>
      </c>
      <c r="D1127" s="60" t="str">
        <f t="shared" si="18"/>
        <v>Mukongoro</v>
      </c>
      <c r="F1127" s="60">
        <v>792</v>
      </c>
    </row>
    <row r="1128" spans="1:6">
      <c r="A1128" s="60" t="s">
        <v>1657</v>
      </c>
      <c r="B1128" s="60" t="s">
        <v>1653</v>
      </c>
      <c r="C1128" s="60" t="s">
        <v>1653</v>
      </c>
      <c r="D1128" s="60" t="str">
        <f t="shared" si="18"/>
        <v>Nyero</v>
      </c>
      <c r="F1128" s="60">
        <v>793</v>
      </c>
    </row>
    <row r="1129" spans="1:6">
      <c r="A1129" s="60" t="s">
        <v>1658</v>
      </c>
      <c r="B1129" s="60" t="s">
        <v>1653</v>
      </c>
      <c r="C1129" s="60" t="s">
        <v>1653</v>
      </c>
      <c r="D1129" s="60" t="str">
        <f t="shared" si="18"/>
        <v>Ongino</v>
      </c>
      <c r="F1129" s="60">
        <v>794</v>
      </c>
    </row>
    <row r="1130" spans="1:6">
      <c r="A1130" s="60" t="s">
        <v>1659</v>
      </c>
      <c r="B1130" s="60" t="s">
        <v>1660</v>
      </c>
      <c r="C1130" s="60" t="s">
        <v>1660</v>
      </c>
      <c r="D1130" s="60" t="str">
        <f t="shared" si="18"/>
        <v>Benet</v>
      </c>
      <c r="F1130" s="60">
        <v>795</v>
      </c>
    </row>
    <row r="1131" spans="1:6">
      <c r="A1131" s="60" t="s">
        <v>1661</v>
      </c>
      <c r="B1131" s="60" t="s">
        <v>1660</v>
      </c>
      <c r="C1131" s="60" t="s">
        <v>1660</v>
      </c>
      <c r="D1131" s="60" t="str">
        <f t="shared" si="18"/>
        <v>Binyiny</v>
      </c>
      <c r="F1131" s="60">
        <v>796</v>
      </c>
    </row>
    <row r="1132" spans="1:6">
      <c r="A1132" s="60" t="s">
        <v>1662</v>
      </c>
      <c r="B1132" s="60" t="s">
        <v>1660</v>
      </c>
      <c r="C1132" s="60" t="s">
        <v>1660</v>
      </c>
      <c r="D1132" s="60" t="str">
        <f t="shared" si="18"/>
        <v>Binyiny Town Council</v>
      </c>
      <c r="F1132" s="60">
        <v>797</v>
      </c>
    </row>
    <row r="1133" spans="1:6">
      <c r="A1133" s="60" t="s">
        <v>1663</v>
      </c>
      <c r="B1133" s="60" t="s">
        <v>1660</v>
      </c>
      <c r="C1133" s="60" t="s">
        <v>1660</v>
      </c>
      <c r="D1133" s="60" t="str">
        <f t="shared" si="18"/>
        <v>Kaproron</v>
      </c>
      <c r="F1133" s="60">
        <v>798</v>
      </c>
    </row>
    <row r="1134" spans="1:6">
      <c r="A1134" s="60" t="s">
        <v>1664</v>
      </c>
      <c r="B1134" s="60" t="s">
        <v>1660</v>
      </c>
      <c r="C1134" s="60" t="s">
        <v>1660</v>
      </c>
      <c r="D1134" s="60" t="str">
        <f t="shared" si="18"/>
        <v>Kaptoyoy</v>
      </c>
      <c r="F1134" s="60">
        <v>799</v>
      </c>
    </row>
    <row r="1135" spans="1:6">
      <c r="A1135" s="60" t="s">
        <v>1665</v>
      </c>
      <c r="B1135" s="60" t="s">
        <v>1660</v>
      </c>
      <c r="C1135" s="60" t="s">
        <v>1660</v>
      </c>
      <c r="D1135" s="60" t="str">
        <f t="shared" si="18"/>
        <v>Kaptum</v>
      </c>
      <c r="F1135" s="60">
        <v>800</v>
      </c>
    </row>
    <row r="1136" spans="1:6">
      <c r="A1136" s="60" t="s">
        <v>1666</v>
      </c>
      <c r="B1136" s="60" t="s">
        <v>1660</v>
      </c>
      <c r="C1136" s="60" t="s">
        <v>1660</v>
      </c>
      <c r="D1136" s="60" t="str">
        <f t="shared" si="18"/>
        <v>Kiriki</v>
      </c>
      <c r="F1136" s="60">
        <v>801</v>
      </c>
    </row>
    <row r="1137" spans="1:6">
      <c r="A1137" s="60" t="s">
        <v>1667</v>
      </c>
      <c r="B1137" s="60" t="s">
        <v>1660</v>
      </c>
      <c r="C1137" s="60" t="s">
        <v>1660</v>
      </c>
      <c r="D1137" s="60" t="str">
        <f t="shared" si="18"/>
        <v>Kitawoi</v>
      </c>
      <c r="F1137" s="60">
        <v>802</v>
      </c>
    </row>
    <row r="1138" spans="1:6">
      <c r="A1138" s="60" t="s">
        <v>1668</v>
      </c>
      <c r="B1138" s="60" t="s">
        <v>1660</v>
      </c>
      <c r="C1138" s="60" t="s">
        <v>1660</v>
      </c>
      <c r="D1138" s="60" t="str">
        <f t="shared" si="18"/>
        <v>Kwanyiy</v>
      </c>
      <c r="F1138" s="60">
        <v>803</v>
      </c>
    </row>
    <row r="1139" spans="1:6">
      <c r="A1139" s="60" t="s">
        <v>1669</v>
      </c>
      <c r="B1139" s="60" t="s">
        <v>1660</v>
      </c>
      <c r="C1139" s="60" t="s">
        <v>1660</v>
      </c>
      <c r="D1139" s="60" t="str">
        <f t="shared" si="18"/>
        <v>Kwosir</v>
      </c>
      <c r="F1139" s="60">
        <v>804</v>
      </c>
    </row>
    <row r="1140" spans="1:6">
      <c r="A1140" s="60" t="s">
        <v>1670</v>
      </c>
      <c r="B1140" s="60" t="s">
        <v>1660</v>
      </c>
      <c r="C1140" s="60" t="s">
        <v>1660</v>
      </c>
      <c r="D1140" s="60" t="str">
        <f t="shared" si="18"/>
        <v>Moyok</v>
      </c>
      <c r="F1140" s="60">
        <v>805</v>
      </c>
    </row>
    <row r="1141" spans="1:6">
      <c r="A1141" s="60" t="s">
        <v>1671</v>
      </c>
      <c r="B1141" s="60" t="s">
        <v>1660</v>
      </c>
      <c r="C1141" s="60" t="s">
        <v>1660</v>
      </c>
      <c r="D1141" s="60" t="str">
        <f t="shared" si="18"/>
        <v>Ngenge</v>
      </c>
      <c r="F1141" s="60">
        <v>806</v>
      </c>
    </row>
    <row r="1142" spans="1:6">
      <c r="A1142" s="60" t="s">
        <v>1672</v>
      </c>
      <c r="B1142" s="60" t="s">
        <v>1673</v>
      </c>
      <c r="C1142" s="60" t="s">
        <v>1550</v>
      </c>
      <c r="D1142" s="60" t="str">
        <f t="shared" si="18"/>
        <v>Bananywa</v>
      </c>
      <c r="F1142" s="60">
        <v>807</v>
      </c>
    </row>
    <row r="1143" spans="1:6">
      <c r="A1143" s="60" t="s">
        <v>1674</v>
      </c>
      <c r="B1143" s="60" t="s">
        <v>1673</v>
      </c>
      <c r="C1143" s="60" t="s">
        <v>1550</v>
      </c>
      <c r="D1143" s="60" t="str">
        <f t="shared" si="18"/>
        <v>Butemba</v>
      </c>
      <c r="F1143" s="60">
        <v>808</v>
      </c>
    </row>
    <row r="1144" spans="1:6">
      <c r="A1144" s="60" t="s">
        <v>1675</v>
      </c>
      <c r="B1144" s="60" t="s">
        <v>1673</v>
      </c>
      <c r="C1144" s="60" t="s">
        <v>1550</v>
      </c>
      <c r="D1144" s="60" t="str">
        <f t="shared" si="18"/>
        <v>Butemba Town Council</v>
      </c>
      <c r="F1144" s="60">
        <v>809</v>
      </c>
    </row>
    <row r="1145" spans="1:6">
      <c r="A1145" s="60" t="s">
        <v>1676</v>
      </c>
      <c r="B1145" s="60" t="s">
        <v>1673</v>
      </c>
      <c r="C1145" s="60" t="s">
        <v>1550</v>
      </c>
      <c r="D1145" s="60" t="str">
        <f t="shared" si="18"/>
        <v>Byerima</v>
      </c>
      <c r="F1145" s="60">
        <v>810</v>
      </c>
    </row>
    <row r="1146" spans="1:6">
      <c r="A1146" s="60" t="s">
        <v>1677</v>
      </c>
      <c r="B1146" s="60" t="s">
        <v>1673</v>
      </c>
      <c r="C1146" s="60" t="s">
        <v>1550</v>
      </c>
      <c r="D1146" s="60" t="str">
        <f t="shared" si="18"/>
        <v>Gayaza</v>
      </c>
      <c r="F1146" s="60">
        <v>811</v>
      </c>
    </row>
    <row r="1147" spans="1:6">
      <c r="A1147" s="60" t="s">
        <v>1673</v>
      </c>
      <c r="B1147" s="60" t="s">
        <v>1673</v>
      </c>
      <c r="C1147" s="60" t="s">
        <v>1550</v>
      </c>
      <c r="D1147" s="60" t="str">
        <f t="shared" si="18"/>
        <v>Kyankwanzi</v>
      </c>
      <c r="F1147" s="60">
        <v>812</v>
      </c>
    </row>
    <row r="1148" spans="1:6">
      <c r="A1148" s="60" t="s">
        <v>1678</v>
      </c>
      <c r="B1148" s="60" t="s">
        <v>1673</v>
      </c>
      <c r="C1148" s="60" t="s">
        <v>1550</v>
      </c>
      <c r="D1148" s="60" t="str">
        <f t="shared" si="18"/>
        <v>Kyankwanzi Town Council</v>
      </c>
      <c r="F1148" s="60">
        <v>813</v>
      </c>
    </row>
    <row r="1149" spans="1:6">
      <c r="A1149" s="60" t="s">
        <v>1679</v>
      </c>
      <c r="B1149" s="60" t="s">
        <v>1673</v>
      </c>
      <c r="C1149" s="60" t="s">
        <v>1550</v>
      </c>
      <c r="D1149" s="60" t="str">
        <f t="shared" si="18"/>
        <v>Mulagi</v>
      </c>
      <c r="F1149" s="60">
        <v>814</v>
      </c>
    </row>
    <row r="1150" spans="1:6">
      <c r="A1150" s="60" t="s">
        <v>1680</v>
      </c>
      <c r="B1150" s="60" t="s">
        <v>1673</v>
      </c>
      <c r="C1150" s="60" t="s">
        <v>1550</v>
      </c>
      <c r="D1150" s="60" t="str">
        <f t="shared" si="18"/>
        <v>Nkandwa</v>
      </c>
      <c r="F1150" s="60">
        <v>815</v>
      </c>
    </row>
    <row r="1151" spans="1:6">
      <c r="A1151" s="60" t="s">
        <v>1386</v>
      </c>
      <c r="B1151" s="60" t="s">
        <v>1673</v>
      </c>
      <c r="C1151" s="60" t="s">
        <v>1550</v>
      </c>
      <c r="D1151" s="60" t="str">
        <f t="shared" si="18"/>
        <v>Nsambya</v>
      </c>
      <c r="F1151" s="60">
        <v>816</v>
      </c>
    </row>
    <row r="1152" spans="1:6">
      <c r="A1152" s="60" t="s">
        <v>1681</v>
      </c>
      <c r="B1152" s="60" t="s">
        <v>1673</v>
      </c>
      <c r="C1152" s="60" t="s">
        <v>1550</v>
      </c>
      <c r="D1152" s="60" t="str">
        <f t="shared" si="18"/>
        <v>Ntwetwe</v>
      </c>
      <c r="F1152" s="60">
        <v>817</v>
      </c>
    </row>
    <row r="1153" spans="1:6">
      <c r="A1153" s="60" t="s">
        <v>1682</v>
      </c>
      <c r="B1153" s="60" t="s">
        <v>1673</v>
      </c>
      <c r="C1153" s="60" t="s">
        <v>1550</v>
      </c>
      <c r="D1153" s="60" t="str">
        <f t="shared" si="18"/>
        <v>Ntwetwe Town Council</v>
      </c>
      <c r="F1153" s="60">
        <v>818</v>
      </c>
    </row>
    <row r="1154" spans="1:6">
      <c r="A1154" s="60" t="s">
        <v>1683</v>
      </c>
      <c r="B1154" s="60" t="s">
        <v>1673</v>
      </c>
      <c r="C1154" s="60" t="s">
        <v>1550</v>
      </c>
      <c r="D1154" s="60" t="str">
        <f t="shared" si="18"/>
        <v>Wattuba</v>
      </c>
      <c r="F1154" s="60">
        <v>819</v>
      </c>
    </row>
    <row r="1155" spans="1:6">
      <c r="A1155" s="60" t="s">
        <v>1684</v>
      </c>
      <c r="B1155" s="60" t="s">
        <v>1685</v>
      </c>
      <c r="C1155" s="60" t="s">
        <v>1686</v>
      </c>
      <c r="D1155" s="60" t="str">
        <f t="shared" si="18"/>
        <v>Hapuuyo</v>
      </c>
      <c r="F1155" s="60">
        <v>820</v>
      </c>
    </row>
    <row r="1156" spans="1:6">
      <c r="A1156" s="60" t="s">
        <v>1687</v>
      </c>
      <c r="B1156" s="60" t="s">
        <v>1685</v>
      </c>
      <c r="C1156" s="60" t="s">
        <v>1686</v>
      </c>
      <c r="D1156" s="60" t="str">
        <f t="shared" si="18"/>
        <v>Kabweza Kyegegwa</v>
      </c>
      <c r="F1156" s="60">
        <v>821</v>
      </c>
    </row>
    <row r="1157" spans="1:6">
      <c r="A1157" s="60" t="s">
        <v>1688</v>
      </c>
      <c r="B1157" s="60" t="s">
        <v>1685</v>
      </c>
      <c r="C1157" s="60" t="s">
        <v>1686</v>
      </c>
      <c r="D1157" s="60" t="str">
        <f t="shared" si="18"/>
        <v>Kakabara</v>
      </c>
      <c r="F1157" s="60">
        <v>822</v>
      </c>
    </row>
    <row r="1158" spans="1:6">
      <c r="A1158" s="60" t="s">
        <v>1689</v>
      </c>
      <c r="F1158" s="60">
        <v>822</v>
      </c>
    </row>
    <row r="1159" spans="1:6">
      <c r="A1159" s="60" t="s">
        <v>1690</v>
      </c>
      <c r="B1159" s="60" t="s">
        <v>1685</v>
      </c>
      <c r="C1159" s="60" t="s">
        <v>1686</v>
      </c>
      <c r="D1159" s="60" t="str">
        <f t="shared" si="18"/>
        <v>Kasule</v>
      </c>
      <c r="F1159" s="60">
        <v>823</v>
      </c>
    </row>
    <row r="1160" spans="1:6">
      <c r="A1160" s="60" t="s">
        <v>1691</v>
      </c>
      <c r="B1160" s="60" t="s">
        <v>1685</v>
      </c>
      <c r="C1160" s="60" t="s">
        <v>1686</v>
      </c>
      <c r="D1160" s="60" t="str">
        <f t="shared" si="18"/>
        <v>Kyaka Ii Refugee Camp</v>
      </c>
      <c r="F1160" s="60">
        <v>824</v>
      </c>
    </row>
    <row r="1161" spans="1:6">
      <c r="A1161" s="60" t="s">
        <v>1692</v>
      </c>
      <c r="B1161" s="60" t="s">
        <v>1685</v>
      </c>
      <c r="C1161" s="60" t="s">
        <v>1686</v>
      </c>
      <c r="D1161" s="60" t="str">
        <f t="shared" si="18"/>
        <v>Kyegegwa Town Council</v>
      </c>
      <c r="F1161" s="60">
        <v>825</v>
      </c>
    </row>
    <row r="1162" spans="1:6">
      <c r="A1162" s="60" t="s">
        <v>1685</v>
      </c>
      <c r="D1162" s="60" t="str">
        <f t="shared" si="18"/>
        <v>Kyegegwa</v>
      </c>
      <c r="F1162" s="60">
        <v>825</v>
      </c>
    </row>
    <row r="1163" spans="1:6">
      <c r="A1163" s="60" t="s">
        <v>1693</v>
      </c>
      <c r="F1163" s="60">
        <v>825</v>
      </c>
    </row>
    <row r="1164" spans="1:6">
      <c r="A1164" s="60" t="s">
        <v>1694</v>
      </c>
      <c r="B1164" s="60" t="s">
        <v>1685</v>
      </c>
      <c r="C1164" s="60" t="s">
        <v>1686</v>
      </c>
      <c r="D1164" s="60" t="str">
        <f t="shared" si="18"/>
        <v>Mpara</v>
      </c>
      <c r="F1164" s="60">
        <v>826</v>
      </c>
    </row>
    <row r="1165" spans="1:6">
      <c r="A1165" s="60" t="s">
        <v>1695</v>
      </c>
      <c r="B1165" s="60" t="s">
        <v>1685</v>
      </c>
      <c r="C1165" s="60" t="s">
        <v>1686</v>
      </c>
      <c r="D1165" s="60" t="str">
        <f t="shared" si="18"/>
        <v>Ruyonza</v>
      </c>
      <c r="F1165" s="60">
        <v>827</v>
      </c>
    </row>
    <row r="1166" spans="1:6">
      <c r="A1166" s="60" t="s">
        <v>1696</v>
      </c>
      <c r="B1166" s="60" t="s">
        <v>1685</v>
      </c>
      <c r="C1166" s="60" t="s">
        <v>1686</v>
      </c>
      <c r="D1166" s="60" t="str">
        <f t="shared" si="18"/>
        <v>Rwentuha</v>
      </c>
      <c r="F1166" s="60">
        <v>828</v>
      </c>
    </row>
    <row r="1167" spans="1:6">
      <c r="A1167" s="60" t="s">
        <v>1697</v>
      </c>
      <c r="B1167" s="60" t="s">
        <v>1698</v>
      </c>
      <c r="C1167" s="60" t="s">
        <v>1699</v>
      </c>
      <c r="D1167" s="60" t="str">
        <f t="shared" si="18"/>
        <v>Bufunjo</v>
      </c>
      <c r="F1167" s="60">
        <v>829</v>
      </c>
    </row>
    <row r="1168" spans="1:6">
      <c r="A1168" s="60" t="s">
        <v>1700</v>
      </c>
      <c r="B1168" s="60" t="s">
        <v>1698</v>
      </c>
      <c r="C1168" s="60" t="s">
        <v>1699</v>
      </c>
      <c r="D1168" s="60" t="str">
        <f t="shared" si="18"/>
        <v>Bugaaki</v>
      </c>
      <c r="F1168" s="60">
        <v>830</v>
      </c>
    </row>
    <row r="1169" spans="1:6">
      <c r="A1169" s="60" t="s">
        <v>1701</v>
      </c>
      <c r="B1169" s="60" t="s">
        <v>1698</v>
      </c>
      <c r="C1169" s="60" t="s">
        <v>1699</v>
      </c>
      <c r="D1169" s="60" t="str">
        <f t="shared" si="18"/>
        <v>Butiiti</v>
      </c>
      <c r="F1169" s="60">
        <v>831</v>
      </c>
    </row>
    <row r="1170" spans="1:6">
      <c r="A1170" s="60" t="s">
        <v>1702</v>
      </c>
      <c r="B1170" s="60" t="s">
        <v>1698</v>
      </c>
      <c r="C1170" s="60" t="s">
        <v>1699</v>
      </c>
      <c r="D1170" s="60" t="str">
        <f t="shared" si="18"/>
        <v>Butunduzi</v>
      </c>
      <c r="F1170" s="60">
        <v>832</v>
      </c>
    </row>
    <row r="1171" spans="1:6">
      <c r="A1171" s="60" t="s">
        <v>1703</v>
      </c>
      <c r="B1171" s="60" t="s">
        <v>1698</v>
      </c>
      <c r="C1171" s="60" t="s">
        <v>1699</v>
      </c>
      <c r="D1171" s="60" t="str">
        <f t="shared" si="18"/>
        <v>Butunduzi Town Council</v>
      </c>
      <c r="F1171" s="60">
        <v>833</v>
      </c>
    </row>
    <row r="1172" spans="1:6">
      <c r="A1172" s="60" t="s">
        <v>1704</v>
      </c>
      <c r="B1172" s="60" t="s">
        <v>1698</v>
      </c>
      <c r="C1172" s="60" t="s">
        <v>1699</v>
      </c>
      <c r="D1172" s="60" t="str">
        <f t="shared" si="18"/>
        <v>Katooke</v>
      </c>
      <c r="F1172" s="60">
        <v>834</v>
      </c>
    </row>
    <row r="1173" spans="1:6">
      <c r="A1173" s="60" t="s">
        <v>1705</v>
      </c>
      <c r="D1173" s="60" t="str">
        <f t="shared" si="18"/>
        <v>Katoke</v>
      </c>
      <c r="F1173" s="60">
        <v>834</v>
      </c>
    </row>
    <row r="1174" spans="1:6">
      <c r="A1174" s="60" t="s">
        <v>1706</v>
      </c>
      <c r="B1174" s="60" t="s">
        <v>1698</v>
      </c>
      <c r="C1174" s="60" t="s">
        <v>1699</v>
      </c>
      <c r="D1174" s="60" t="str">
        <f t="shared" si="18"/>
        <v>Katooke Town Council</v>
      </c>
      <c r="F1174" s="60">
        <v>835</v>
      </c>
    </row>
    <row r="1175" spans="1:6">
      <c r="A1175" s="60" t="s">
        <v>1707</v>
      </c>
      <c r="B1175" s="60" t="s">
        <v>1698</v>
      </c>
      <c r="C1175" s="60" t="s">
        <v>1699</v>
      </c>
      <c r="D1175" s="60" t="str">
        <f t="shared" si="18"/>
        <v>Kigaraale</v>
      </c>
      <c r="F1175" s="60">
        <v>836</v>
      </c>
    </row>
    <row r="1176" spans="1:6">
      <c r="A1176" s="60" t="s">
        <v>1708</v>
      </c>
      <c r="B1176" s="60" t="s">
        <v>1698</v>
      </c>
      <c r="C1176" s="60" t="s">
        <v>1699</v>
      </c>
      <c r="D1176" s="60" t="str">
        <f t="shared" si="18"/>
        <v>Kihuura</v>
      </c>
      <c r="F1176" s="60">
        <v>837</v>
      </c>
    </row>
    <row r="1177" spans="1:6">
      <c r="A1177" s="60" t="s">
        <v>1709</v>
      </c>
      <c r="B1177" s="60" t="s">
        <v>1698</v>
      </c>
      <c r="C1177" s="60" t="s">
        <v>1699</v>
      </c>
      <c r="D1177" s="60" t="str">
        <f t="shared" si="18"/>
        <v>Kisojo</v>
      </c>
      <c r="F1177" s="60">
        <v>838</v>
      </c>
    </row>
    <row r="1178" spans="1:6">
      <c r="A1178" s="60" t="s">
        <v>1710</v>
      </c>
      <c r="B1178" s="60" t="s">
        <v>1698</v>
      </c>
      <c r="C1178" s="60" t="s">
        <v>1699</v>
      </c>
      <c r="D1178" s="60" t="str">
        <f t="shared" ref="D1178:D1253" si="19">A1178</f>
        <v>Kyarusozi</v>
      </c>
      <c r="F1178" s="60">
        <v>839</v>
      </c>
    </row>
    <row r="1179" spans="1:6">
      <c r="A1179" s="60" t="s">
        <v>1711</v>
      </c>
      <c r="B1179" s="60" t="s">
        <v>1698</v>
      </c>
      <c r="C1179" s="60" t="s">
        <v>1699</v>
      </c>
      <c r="D1179" s="60" t="str">
        <f t="shared" si="19"/>
        <v>Kyarusozi Town Council</v>
      </c>
      <c r="F1179" s="60">
        <v>840</v>
      </c>
    </row>
    <row r="1180" spans="1:6">
      <c r="A1180" s="60" t="s">
        <v>1712</v>
      </c>
      <c r="B1180" s="60" t="s">
        <v>1698</v>
      </c>
      <c r="C1180" s="60" t="s">
        <v>1699</v>
      </c>
      <c r="D1180" s="60" t="str">
        <f t="shared" si="19"/>
        <v>Kyenjojo Town Council</v>
      </c>
      <c r="F1180" s="60">
        <v>841</v>
      </c>
    </row>
    <row r="1181" spans="1:6">
      <c r="A1181" s="60" t="s">
        <v>1698</v>
      </c>
      <c r="D1181" s="60" t="str">
        <f t="shared" si="19"/>
        <v>Kyenjojo</v>
      </c>
      <c r="F1181" s="60">
        <v>841</v>
      </c>
    </row>
    <row r="1182" spans="1:6">
      <c r="A1182" s="60" t="s">
        <v>1713</v>
      </c>
      <c r="D1182" s="60" t="str">
        <f t="shared" si="19"/>
        <v>Kyenjojo town</v>
      </c>
      <c r="F1182" s="60">
        <v>841</v>
      </c>
    </row>
    <row r="1183" spans="1:6">
      <c r="A1183" s="60" t="s">
        <v>1714</v>
      </c>
      <c r="B1183" s="60" t="s">
        <v>1698</v>
      </c>
      <c r="C1183" s="60" t="s">
        <v>1699</v>
      </c>
      <c r="D1183" s="60" t="str">
        <f t="shared" si="19"/>
        <v>Nyabuharwa</v>
      </c>
      <c r="F1183" s="60">
        <v>842</v>
      </c>
    </row>
    <row r="1184" spans="1:6">
      <c r="A1184" s="60" t="s">
        <v>1715</v>
      </c>
      <c r="B1184" s="60" t="s">
        <v>1698</v>
      </c>
      <c r="C1184" s="60" t="s">
        <v>1699</v>
      </c>
      <c r="D1184" s="60" t="str">
        <f t="shared" si="19"/>
        <v>Nyankwanzi</v>
      </c>
      <c r="F1184" s="60">
        <v>843</v>
      </c>
    </row>
    <row r="1185" spans="1:6">
      <c r="A1185" s="60" t="s">
        <v>1716</v>
      </c>
      <c r="B1185" s="60" t="s">
        <v>1698</v>
      </c>
      <c r="C1185" s="60" t="s">
        <v>1699</v>
      </c>
      <c r="D1185" s="60" t="str">
        <f t="shared" si="19"/>
        <v>Nyantungo</v>
      </c>
      <c r="F1185" s="60">
        <v>844</v>
      </c>
    </row>
    <row r="1186" spans="1:6">
      <c r="A1186" s="60" t="s">
        <v>161</v>
      </c>
      <c r="B1186" s="60" t="s">
        <v>1717</v>
      </c>
      <c r="C1186" s="60" t="s">
        <v>1717</v>
      </c>
      <c r="D1186" s="60" t="str">
        <f t="shared" si="19"/>
        <v>Kabira</v>
      </c>
      <c r="F1186" s="60">
        <v>845</v>
      </c>
    </row>
    <row r="1187" spans="1:6">
      <c r="A1187" s="60" t="s">
        <v>1718</v>
      </c>
      <c r="B1187" s="60" t="s">
        <v>1717</v>
      </c>
      <c r="C1187" s="60" t="s">
        <v>1717</v>
      </c>
      <c r="D1187" s="60" t="str">
        <f t="shared" si="19"/>
        <v>Kalisizo</v>
      </c>
      <c r="F1187" s="60">
        <v>846</v>
      </c>
    </row>
    <row r="1188" spans="1:6">
      <c r="A1188" s="60" t="s">
        <v>1719</v>
      </c>
      <c r="F1188" s="60">
        <v>846</v>
      </c>
    </row>
    <row r="1189" spans="1:6">
      <c r="A1189" s="60" t="s">
        <v>1720</v>
      </c>
      <c r="B1189" s="60" t="s">
        <v>1717</v>
      </c>
      <c r="C1189" s="60" t="s">
        <v>1717</v>
      </c>
      <c r="D1189" s="60" t="str">
        <f t="shared" si="19"/>
        <v>Kalisizo Town Council</v>
      </c>
      <c r="F1189" s="60">
        <v>847</v>
      </c>
    </row>
    <row r="1190" spans="1:6">
      <c r="A1190" s="60" t="s">
        <v>1721</v>
      </c>
      <c r="B1190" s="60" t="s">
        <v>1717</v>
      </c>
      <c r="C1190" s="60" t="s">
        <v>1722</v>
      </c>
      <c r="D1190" s="60" t="str">
        <f t="shared" si="19"/>
        <v>Kasasa</v>
      </c>
      <c r="F1190" s="60">
        <v>848</v>
      </c>
    </row>
    <row r="1191" spans="1:6">
      <c r="A1191" s="60" t="s">
        <v>1592</v>
      </c>
      <c r="B1191" s="60" t="s">
        <v>1717</v>
      </c>
      <c r="C1191" s="60" t="s">
        <v>1722</v>
      </c>
      <c r="D1191" s="60" t="str">
        <f t="shared" si="19"/>
        <v>Kibanda</v>
      </c>
      <c r="F1191" s="60">
        <v>849</v>
      </c>
    </row>
    <row r="1192" spans="1:6">
      <c r="A1192" s="60" t="s">
        <v>1723</v>
      </c>
      <c r="B1192" s="60" t="s">
        <v>1717</v>
      </c>
      <c r="C1192" s="60" t="s">
        <v>1717</v>
      </c>
      <c r="D1192" s="60" t="str">
        <f t="shared" si="19"/>
        <v>Kirumba</v>
      </c>
      <c r="F1192" s="60">
        <v>850</v>
      </c>
    </row>
    <row r="1193" spans="1:6">
      <c r="A1193" s="60" t="s">
        <v>1724</v>
      </c>
      <c r="B1193" s="60" t="s">
        <v>1717</v>
      </c>
      <c r="C1193" s="60" t="s">
        <v>1722</v>
      </c>
      <c r="D1193" s="60" t="str">
        <f t="shared" si="19"/>
        <v>Kyebe</v>
      </c>
      <c r="F1193" s="60">
        <v>851</v>
      </c>
    </row>
    <row r="1194" spans="1:6">
      <c r="A1194" s="60" t="s">
        <v>1725</v>
      </c>
      <c r="B1194" s="60" t="s">
        <v>1717</v>
      </c>
      <c r="C1194" s="60" t="s">
        <v>1717</v>
      </c>
      <c r="D1194" s="60" t="str">
        <f t="shared" si="19"/>
        <v>Kyotera Town Council</v>
      </c>
      <c r="F1194" s="60">
        <v>852</v>
      </c>
    </row>
    <row r="1195" spans="1:6">
      <c r="A1195" s="60" t="s">
        <v>1717</v>
      </c>
      <c r="D1195" s="60" t="str">
        <f t="shared" si="19"/>
        <v>Kyotera</v>
      </c>
      <c r="F1195" s="60">
        <v>852</v>
      </c>
    </row>
    <row r="1196" spans="1:6">
      <c r="A1196" s="60" t="s">
        <v>1726</v>
      </c>
      <c r="D1196" s="60" t="str">
        <f t="shared" si="19"/>
        <v>Kyotera town</v>
      </c>
      <c r="F1196" s="60">
        <v>852</v>
      </c>
    </row>
    <row r="1197" spans="1:6">
      <c r="A1197" s="60" t="s">
        <v>1727</v>
      </c>
      <c r="B1197" s="60" t="s">
        <v>1717</v>
      </c>
      <c r="C1197" s="60" t="s">
        <v>1717</v>
      </c>
      <c r="D1197" s="60" t="str">
        <f t="shared" si="19"/>
        <v>Lwankoni</v>
      </c>
      <c r="F1197" s="60">
        <v>853</v>
      </c>
    </row>
    <row r="1198" spans="1:6">
      <c r="A1198" s="60" t="s">
        <v>1728</v>
      </c>
      <c r="B1198" s="60" t="s">
        <v>1717</v>
      </c>
      <c r="C1198" s="60" t="s">
        <v>1717</v>
      </c>
      <c r="D1198" s="60" t="str">
        <f t="shared" si="19"/>
        <v>Nabigasa</v>
      </c>
      <c r="F1198" s="60">
        <v>854</v>
      </c>
    </row>
    <row r="1199" spans="1:6">
      <c r="A1199" s="60" t="s">
        <v>1729</v>
      </c>
      <c r="B1199" s="60" t="s">
        <v>1730</v>
      </c>
      <c r="C1199" s="60" t="s">
        <v>1730</v>
      </c>
      <c r="D1199" s="60" t="str">
        <f t="shared" si="19"/>
        <v>Agoro</v>
      </c>
      <c r="F1199" s="60">
        <v>855</v>
      </c>
    </row>
    <row r="1200" spans="1:6">
      <c r="A1200" s="60" t="s">
        <v>1731</v>
      </c>
      <c r="B1200" s="60" t="s">
        <v>1730</v>
      </c>
      <c r="C1200" s="60" t="s">
        <v>1730</v>
      </c>
      <c r="D1200" s="60" t="str">
        <f t="shared" si="19"/>
        <v>Lamwo Town Council</v>
      </c>
      <c r="F1200" s="60">
        <v>856</v>
      </c>
    </row>
    <row r="1201" spans="1:6">
      <c r="A1201" s="60" t="s">
        <v>1732</v>
      </c>
      <c r="B1201" s="60" t="s">
        <v>1730</v>
      </c>
      <c r="C1201" s="60" t="s">
        <v>1730</v>
      </c>
      <c r="D1201" s="60" t="str">
        <f t="shared" si="19"/>
        <v>Lokung</v>
      </c>
      <c r="F1201" s="60">
        <v>857</v>
      </c>
    </row>
    <row r="1202" spans="1:6">
      <c r="A1202" s="60" t="s">
        <v>1733</v>
      </c>
      <c r="B1202" s="60" t="s">
        <v>1730</v>
      </c>
      <c r="C1202" s="60" t="s">
        <v>1730</v>
      </c>
      <c r="D1202" s="60" t="str">
        <f t="shared" si="19"/>
        <v>Madi Opei</v>
      </c>
      <c r="F1202" s="60">
        <v>858</v>
      </c>
    </row>
    <row r="1203" spans="1:6">
      <c r="A1203" s="63" t="s">
        <v>1734</v>
      </c>
      <c r="B1203" s="60" t="s">
        <v>1730</v>
      </c>
      <c r="C1203" s="60" t="s">
        <v>1730</v>
      </c>
      <c r="D1203" s="60" t="str">
        <f t="shared" si="19"/>
        <v>Padibe</v>
      </c>
      <c r="F1203" s="60">
        <v>859</v>
      </c>
    </row>
    <row r="1204" spans="1:6">
      <c r="A1204" s="63" t="s">
        <v>1735</v>
      </c>
      <c r="B1204" s="60" t="s">
        <v>1730</v>
      </c>
      <c r="C1204" s="60" t="s">
        <v>1730</v>
      </c>
      <c r="D1204" s="60" t="str">
        <f t="shared" si="19"/>
        <v>Palabek</v>
      </c>
      <c r="F1204" s="60">
        <v>860</v>
      </c>
    </row>
    <row r="1205" spans="1:6">
      <c r="A1205" s="60" t="s">
        <v>1736</v>
      </c>
      <c r="B1205" s="60" t="s">
        <v>1730</v>
      </c>
      <c r="C1205" s="60" t="s">
        <v>1730</v>
      </c>
      <c r="D1205" s="60" t="str">
        <f t="shared" si="19"/>
        <v>Paloga</v>
      </c>
      <c r="F1205" s="60">
        <v>861</v>
      </c>
    </row>
    <row r="1206" spans="1:6">
      <c r="A1206" s="60" t="s">
        <v>1737</v>
      </c>
      <c r="B1206" s="60" t="s">
        <v>1738</v>
      </c>
      <c r="C1206" s="60" t="s">
        <v>1739</v>
      </c>
      <c r="D1206" s="60" t="str">
        <f t="shared" si="19"/>
        <v>Adekokwok</v>
      </c>
      <c r="F1206" s="60">
        <v>862</v>
      </c>
    </row>
    <row r="1207" spans="1:6">
      <c r="A1207" s="60" t="s">
        <v>1740</v>
      </c>
      <c r="B1207" s="60" t="s">
        <v>1738</v>
      </c>
      <c r="C1207" s="60" t="s">
        <v>1739</v>
      </c>
      <c r="D1207" s="60" t="str">
        <f t="shared" si="19"/>
        <v>Agali</v>
      </c>
      <c r="F1207" s="60">
        <v>863</v>
      </c>
    </row>
    <row r="1208" spans="1:6">
      <c r="A1208" s="60" t="s">
        <v>1741</v>
      </c>
      <c r="B1208" s="60" t="s">
        <v>1738</v>
      </c>
      <c r="C1208" s="60" t="s">
        <v>1739</v>
      </c>
      <c r="D1208" s="60" t="str">
        <f t="shared" si="19"/>
        <v>Agweng</v>
      </c>
      <c r="F1208" s="60">
        <v>864</v>
      </c>
    </row>
    <row r="1209" spans="1:6">
      <c r="A1209" s="60" t="s">
        <v>1742</v>
      </c>
      <c r="B1209" s="60" t="s">
        <v>1738</v>
      </c>
      <c r="C1209" s="60" t="s">
        <v>1739</v>
      </c>
      <c r="D1209" s="60" t="str">
        <f t="shared" si="19"/>
        <v>Amach</v>
      </c>
      <c r="F1209" s="60">
        <v>865</v>
      </c>
    </row>
    <row r="1210" spans="1:6">
      <c r="A1210" s="60" t="s">
        <v>1743</v>
      </c>
      <c r="B1210" s="60" t="s">
        <v>1738</v>
      </c>
      <c r="C1210" s="60" t="s">
        <v>1739</v>
      </c>
      <c r="D1210" s="60" t="str">
        <f t="shared" si="19"/>
        <v>Aromo</v>
      </c>
      <c r="F1210" s="60">
        <v>866</v>
      </c>
    </row>
    <row r="1211" spans="1:6">
      <c r="A1211" s="60" t="s">
        <v>1744</v>
      </c>
      <c r="B1211" s="60" t="s">
        <v>1738</v>
      </c>
      <c r="C1211" s="60" t="s">
        <v>1739</v>
      </c>
      <c r="D1211" s="60" t="str">
        <f t="shared" si="19"/>
        <v>Barr</v>
      </c>
      <c r="F1211" s="60">
        <v>867</v>
      </c>
    </row>
    <row r="1212" spans="1:6">
      <c r="A1212" s="60" t="s">
        <v>1738</v>
      </c>
      <c r="B1212" s="60" t="s">
        <v>1738</v>
      </c>
      <c r="C1212" s="60" t="s">
        <v>1739</v>
      </c>
      <c r="D1212" s="60" t="str">
        <f t="shared" si="19"/>
        <v>Lira</v>
      </c>
      <c r="F1212" s="60">
        <v>868</v>
      </c>
    </row>
    <row r="1213" spans="1:6">
      <c r="A1213" s="60" t="s">
        <v>1745</v>
      </c>
      <c r="B1213" s="60" t="s">
        <v>1738</v>
      </c>
      <c r="C1213" s="60" t="s">
        <v>1745</v>
      </c>
      <c r="D1213" s="60" t="str">
        <f t="shared" si="19"/>
        <v>Lira Municipality</v>
      </c>
      <c r="F1213" s="60">
        <v>869</v>
      </c>
    </row>
    <row r="1214" spans="1:6">
      <c r="A1214" s="60" t="s">
        <v>1746</v>
      </c>
      <c r="B1214" s="60" t="s">
        <v>1738</v>
      </c>
      <c r="C1214" s="60" t="s">
        <v>1739</v>
      </c>
      <c r="D1214" s="60" t="str">
        <f t="shared" si="19"/>
        <v>Ngetta</v>
      </c>
      <c r="F1214" s="60">
        <v>870</v>
      </c>
    </row>
    <row r="1215" spans="1:6">
      <c r="A1215" s="60" t="s">
        <v>1747</v>
      </c>
      <c r="B1215" s="60" t="s">
        <v>1738</v>
      </c>
      <c r="C1215" s="60" t="s">
        <v>1739</v>
      </c>
      <c r="D1215" s="60" t="str">
        <f t="shared" si="19"/>
        <v>Ogur</v>
      </c>
      <c r="F1215" s="60">
        <v>871</v>
      </c>
    </row>
    <row r="1216" spans="1:6">
      <c r="A1216" s="60" t="s">
        <v>947</v>
      </c>
      <c r="B1216" s="60" t="s">
        <v>1748</v>
      </c>
      <c r="C1216" s="60" t="s">
        <v>1748</v>
      </c>
      <c r="D1216" s="60" t="str">
        <f t="shared" si="19"/>
        <v>Bukanga</v>
      </c>
      <c r="F1216" s="60">
        <v>872</v>
      </c>
    </row>
    <row r="1217" spans="1:6">
      <c r="A1217" s="60" t="s">
        <v>1749</v>
      </c>
      <c r="F1217" s="60">
        <v>872</v>
      </c>
    </row>
    <row r="1218" spans="1:6">
      <c r="A1218" s="60" t="s">
        <v>1750</v>
      </c>
      <c r="B1218" s="60" t="s">
        <v>1748</v>
      </c>
      <c r="C1218" s="60" t="s">
        <v>1748</v>
      </c>
      <c r="D1218" s="60" t="str">
        <f t="shared" si="19"/>
        <v>Bukooma</v>
      </c>
      <c r="F1218" s="60">
        <v>873</v>
      </c>
    </row>
    <row r="1219" spans="1:6">
      <c r="A1219" s="60" t="s">
        <v>1751</v>
      </c>
      <c r="B1219" s="60" t="s">
        <v>1748</v>
      </c>
      <c r="C1219" s="60" t="s">
        <v>1748</v>
      </c>
      <c r="D1219" s="60" t="str">
        <f t="shared" si="19"/>
        <v>Bulongo</v>
      </c>
      <c r="F1219" s="60">
        <v>874</v>
      </c>
    </row>
    <row r="1220" spans="1:6">
      <c r="A1220" s="60" t="s">
        <v>1752</v>
      </c>
      <c r="B1220" s="60" t="s">
        <v>1748</v>
      </c>
      <c r="C1220" s="60" t="s">
        <v>1748</v>
      </c>
      <c r="D1220" s="60" t="str">
        <f t="shared" si="19"/>
        <v>Ikumbya</v>
      </c>
      <c r="F1220" s="60">
        <v>875</v>
      </c>
    </row>
    <row r="1221" spans="1:6">
      <c r="A1221" s="60" t="s">
        <v>1753</v>
      </c>
      <c r="B1221" s="60" t="s">
        <v>1748</v>
      </c>
      <c r="C1221" s="60" t="s">
        <v>1748</v>
      </c>
      <c r="D1221" s="60" t="str">
        <f t="shared" si="19"/>
        <v>Irongo</v>
      </c>
      <c r="F1221" s="60">
        <v>876</v>
      </c>
    </row>
    <row r="1222" spans="1:6">
      <c r="A1222" s="60" t="s">
        <v>1754</v>
      </c>
      <c r="B1222" s="60" t="s">
        <v>1748</v>
      </c>
      <c r="C1222" s="60" t="s">
        <v>1748</v>
      </c>
      <c r="D1222" s="60" t="str">
        <f t="shared" si="19"/>
        <v>Luuka Town Council</v>
      </c>
      <c r="F1222" s="60">
        <v>877</v>
      </c>
    </row>
    <row r="1223" spans="1:6">
      <c r="A1223" s="60" t="s">
        <v>1748</v>
      </c>
      <c r="D1223" s="60" t="str">
        <f t="shared" si="19"/>
        <v>Luuka</v>
      </c>
      <c r="F1223" s="60">
        <v>877</v>
      </c>
    </row>
    <row r="1224" spans="1:6">
      <c r="A1224" s="60" t="s">
        <v>1755</v>
      </c>
      <c r="B1224" s="60" t="s">
        <v>1748</v>
      </c>
      <c r="C1224" s="60" t="s">
        <v>1748</v>
      </c>
      <c r="D1224" s="60" t="str">
        <f t="shared" si="19"/>
        <v>Nawampiti</v>
      </c>
      <c r="F1224" s="60">
        <v>878</v>
      </c>
    </row>
    <row r="1225" spans="1:6">
      <c r="A1225" s="60" t="s">
        <v>1756</v>
      </c>
      <c r="B1225" s="60" t="s">
        <v>1748</v>
      </c>
      <c r="C1225" s="60" t="s">
        <v>1748</v>
      </c>
      <c r="D1225" s="60" t="str">
        <f t="shared" si="19"/>
        <v>Waibuga</v>
      </c>
      <c r="F1225" s="60">
        <v>879</v>
      </c>
    </row>
    <row r="1226" spans="1:6">
      <c r="A1226" s="60" t="s">
        <v>1757</v>
      </c>
      <c r="B1226" s="60" t="s">
        <v>1758</v>
      </c>
      <c r="C1226" s="60" t="s">
        <v>1757</v>
      </c>
      <c r="D1226" s="60" t="str">
        <f t="shared" si="19"/>
        <v>Bamunanika</v>
      </c>
      <c r="F1226" s="60">
        <v>880</v>
      </c>
    </row>
    <row r="1227" spans="1:6">
      <c r="A1227" s="60" t="s">
        <v>1759</v>
      </c>
      <c r="B1227" s="60" t="s">
        <v>1758</v>
      </c>
      <c r="C1227" s="60" t="s">
        <v>1760</v>
      </c>
      <c r="D1227" s="60" t="str">
        <f t="shared" si="19"/>
        <v>Bombo Town Council</v>
      </c>
      <c r="F1227" s="60">
        <v>881</v>
      </c>
    </row>
    <row r="1228" spans="1:6">
      <c r="A1228" s="60" t="s">
        <v>1761</v>
      </c>
      <c r="D1228" s="60" t="str">
        <f t="shared" si="19"/>
        <v>Bombo</v>
      </c>
      <c r="F1228" s="60">
        <v>881</v>
      </c>
    </row>
    <row r="1229" spans="1:6">
      <c r="A1229" s="60" t="s">
        <v>1762</v>
      </c>
      <c r="B1229" s="60" t="s">
        <v>1758</v>
      </c>
      <c r="C1229" s="60" t="s">
        <v>1760</v>
      </c>
      <c r="D1229" s="60" t="str">
        <f t="shared" si="19"/>
        <v>Butuntumula</v>
      </c>
      <c r="F1229" s="60">
        <v>882</v>
      </c>
    </row>
    <row r="1230" spans="1:6">
      <c r="A1230" s="60" t="s">
        <v>1763</v>
      </c>
      <c r="B1230" s="60" t="s">
        <v>1758</v>
      </c>
      <c r="C1230" s="60" t="s">
        <v>1757</v>
      </c>
      <c r="D1230" s="60" t="str">
        <f t="shared" si="19"/>
        <v>Kalagala</v>
      </c>
      <c r="F1230" s="60">
        <v>883</v>
      </c>
    </row>
    <row r="1231" spans="1:6">
      <c r="A1231" s="60" t="s">
        <v>1764</v>
      </c>
      <c r="B1231" s="60" t="s">
        <v>1758</v>
      </c>
      <c r="C1231" s="60" t="s">
        <v>1757</v>
      </c>
      <c r="D1231" s="60" t="str">
        <f t="shared" si="19"/>
        <v>Kamira</v>
      </c>
      <c r="F1231" s="60">
        <v>884</v>
      </c>
    </row>
    <row r="1232" spans="1:6">
      <c r="A1232" s="60" t="s">
        <v>1760</v>
      </c>
      <c r="B1232" s="60" t="s">
        <v>1758</v>
      </c>
      <c r="C1232" s="60" t="s">
        <v>1760</v>
      </c>
      <c r="D1232" s="60" t="str">
        <f t="shared" si="19"/>
        <v>Katikamu</v>
      </c>
      <c r="F1232" s="60">
        <v>885</v>
      </c>
    </row>
    <row r="1233" spans="1:6">
      <c r="A1233" s="60" t="s">
        <v>1765</v>
      </c>
      <c r="B1233" s="60" t="s">
        <v>1758</v>
      </c>
      <c r="C1233" s="60" t="s">
        <v>1757</v>
      </c>
      <c r="D1233" s="60" t="str">
        <f t="shared" si="19"/>
        <v>Kikyusa</v>
      </c>
      <c r="F1233" s="60">
        <v>886</v>
      </c>
    </row>
    <row r="1234" spans="1:6">
      <c r="A1234" s="60" t="s">
        <v>1758</v>
      </c>
      <c r="B1234" s="60" t="s">
        <v>1758</v>
      </c>
      <c r="C1234" s="60" t="s">
        <v>1760</v>
      </c>
      <c r="D1234" s="60" t="str">
        <f t="shared" si="19"/>
        <v>Luwero</v>
      </c>
      <c r="F1234" s="60">
        <v>887</v>
      </c>
    </row>
    <row r="1235" spans="1:6">
      <c r="A1235" s="60" t="s">
        <v>1766</v>
      </c>
      <c r="D1235" s="60" t="str">
        <f t="shared" si="19"/>
        <v>Luweero</v>
      </c>
      <c r="F1235" s="60">
        <v>887</v>
      </c>
    </row>
    <row r="1236" spans="1:6">
      <c r="A1236" s="60" t="s">
        <v>1767</v>
      </c>
      <c r="B1236" s="60" t="s">
        <v>1758</v>
      </c>
      <c r="C1236" s="60" t="s">
        <v>1760</v>
      </c>
      <c r="D1236" s="60" t="str">
        <f t="shared" si="19"/>
        <v>Luwero Town Council</v>
      </c>
      <c r="F1236" s="60">
        <v>888</v>
      </c>
    </row>
    <row r="1237" spans="1:6">
      <c r="A1237" s="60" t="s">
        <v>1768</v>
      </c>
      <c r="B1237" s="60" t="s">
        <v>1758</v>
      </c>
      <c r="C1237" s="60" t="s">
        <v>1760</v>
      </c>
      <c r="D1237" s="60" t="str">
        <f t="shared" si="19"/>
        <v>Makulubita</v>
      </c>
      <c r="F1237" s="60">
        <v>889</v>
      </c>
    </row>
    <row r="1238" spans="1:6">
      <c r="A1238" s="60" t="s">
        <v>1769</v>
      </c>
      <c r="B1238" s="60" t="s">
        <v>1758</v>
      </c>
      <c r="C1238" s="60" t="s">
        <v>1760</v>
      </c>
      <c r="D1238" s="60" t="str">
        <f t="shared" si="19"/>
        <v>Nyimbwa</v>
      </c>
      <c r="F1238" s="60">
        <v>890</v>
      </c>
    </row>
    <row r="1239" spans="1:6">
      <c r="A1239" s="60" t="s">
        <v>1770</v>
      </c>
      <c r="B1239" s="60" t="s">
        <v>1758</v>
      </c>
      <c r="C1239" s="60" t="s">
        <v>1760</v>
      </c>
      <c r="D1239" s="60" t="str">
        <f t="shared" si="19"/>
        <v>Wobulenzi Town Council</v>
      </c>
      <c r="F1239" s="60">
        <v>891</v>
      </c>
    </row>
    <row r="1240" spans="1:6">
      <c r="A1240" s="60" t="s">
        <v>1771</v>
      </c>
      <c r="D1240" s="60" t="str">
        <f t="shared" si="19"/>
        <v>Wobulenzi</v>
      </c>
      <c r="F1240" s="60">
        <v>891</v>
      </c>
    </row>
    <row r="1241" spans="1:6">
      <c r="A1241" s="60" t="s">
        <v>1772</v>
      </c>
      <c r="B1241" s="60" t="s">
        <v>1758</v>
      </c>
      <c r="C1241" s="60" t="s">
        <v>1757</v>
      </c>
      <c r="D1241" s="60" t="str">
        <f t="shared" si="19"/>
        <v>Zirobwe</v>
      </c>
      <c r="F1241" s="60">
        <v>892</v>
      </c>
    </row>
    <row r="1242" spans="1:6">
      <c r="A1242" s="60" t="s">
        <v>1773</v>
      </c>
      <c r="B1242" s="60" t="s">
        <v>1774</v>
      </c>
      <c r="C1242" s="60" t="s">
        <v>23</v>
      </c>
      <c r="D1242" s="60" t="str">
        <f t="shared" si="19"/>
        <v>Kisekka</v>
      </c>
      <c r="F1242" s="60">
        <v>893</v>
      </c>
    </row>
    <row r="1243" spans="1:6">
      <c r="A1243" s="60" t="s">
        <v>1775</v>
      </c>
      <c r="B1243" s="60" t="s">
        <v>1774</v>
      </c>
      <c r="C1243" s="60" t="s">
        <v>23</v>
      </c>
      <c r="D1243" s="60" t="str">
        <f t="shared" si="19"/>
        <v>Kkingo</v>
      </c>
      <c r="F1243" s="60">
        <v>894</v>
      </c>
    </row>
    <row r="1244" spans="1:6">
      <c r="A1244" s="60" t="s">
        <v>1776</v>
      </c>
      <c r="D1244" s="60" t="str">
        <f t="shared" si="19"/>
        <v>Nabyewanga</v>
      </c>
      <c r="F1244" s="60">
        <v>894</v>
      </c>
    </row>
    <row r="1245" spans="1:6">
      <c r="A1245" s="60" t="s">
        <v>1777</v>
      </c>
      <c r="B1245" s="60" t="s">
        <v>1774</v>
      </c>
      <c r="C1245" s="60" t="s">
        <v>23</v>
      </c>
      <c r="D1245" s="60" t="str">
        <f t="shared" si="19"/>
        <v>Kyazanga</v>
      </c>
      <c r="F1245" s="60">
        <v>895</v>
      </c>
    </row>
    <row r="1246" spans="1:6">
      <c r="A1246" s="60" t="s">
        <v>1778</v>
      </c>
      <c r="D1246" s="60" t="str">
        <f t="shared" si="19"/>
        <v>Lwera</v>
      </c>
      <c r="F1246" s="60">
        <v>895</v>
      </c>
    </row>
    <row r="1247" spans="1:6">
      <c r="A1247" s="60" t="s">
        <v>1779</v>
      </c>
      <c r="F1247" s="60">
        <v>895</v>
      </c>
    </row>
    <row r="1248" spans="1:6">
      <c r="A1248" s="60" t="s">
        <v>1780</v>
      </c>
      <c r="B1248" s="60" t="s">
        <v>1774</v>
      </c>
      <c r="C1248" s="60" t="s">
        <v>23</v>
      </c>
      <c r="D1248" s="60" t="str">
        <f t="shared" si="19"/>
        <v>Kyazanga Town Council</v>
      </c>
      <c r="F1248" s="60">
        <v>896</v>
      </c>
    </row>
    <row r="1249" spans="1:6">
      <c r="A1249" s="60" t="s">
        <v>1774</v>
      </c>
      <c r="B1249" s="60" t="s">
        <v>1774</v>
      </c>
      <c r="C1249" s="60" t="s">
        <v>23</v>
      </c>
      <c r="D1249" s="60" t="str">
        <f t="shared" si="19"/>
        <v>Lwengo</v>
      </c>
      <c r="F1249" s="60">
        <v>897</v>
      </c>
    </row>
    <row r="1250" spans="1:6">
      <c r="A1250" s="60" t="s">
        <v>1781</v>
      </c>
      <c r="B1250" s="60" t="s">
        <v>1774</v>
      </c>
      <c r="C1250" s="60" t="s">
        <v>23</v>
      </c>
      <c r="D1250" s="60" t="str">
        <f t="shared" si="19"/>
        <v>Lwengo Town Council</v>
      </c>
      <c r="F1250" s="60">
        <v>898</v>
      </c>
    </row>
    <row r="1251" spans="1:6">
      <c r="A1251" s="60" t="s">
        <v>1782</v>
      </c>
      <c r="B1251" s="60" t="s">
        <v>1774</v>
      </c>
      <c r="C1251" s="60" t="s">
        <v>23</v>
      </c>
      <c r="D1251" s="60" t="str">
        <f t="shared" si="19"/>
        <v>Malongo-Lwengo</v>
      </c>
      <c r="F1251" s="60">
        <v>899</v>
      </c>
    </row>
    <row r="1252" spans="1:6">
      <c r="A1252" s="60" t="s">
        <v>1783</v>
      </c>
      <c r="B1252" s="60" t="s">
        <v>1774</v>
      </c>
      <c r="C1252" s="60" t="s">
        <v>23</v>
      </c>
      <c r="D1252" s="60" t="str">
        <f t="shared" si="19"/>
        <v>Ndagwe</v>
      </c>
      <c r="F1252" s="60">
        <v>900</v>
      </c>
    </row>
    <row r="1253" spans="1:6">
      <c r="A1253" s="60" t="s">
        <v>1784</v>
      </c>
      <c r="B1253" s="60" t="s">
        <v>1785</v>
      </c>
      <c r="C1253" s="60" t="s">
        <v>1786</v>
      </c>
      <c r="D1253" s="60" t="str">
        <f t="shared" si="19"/>
        <v>Kaliiro</v>
      </c>
      <c r="F1253" s="60">
        <v>901</v>
      </c>
    </row>
    <row r="1254" spans="1:6">
      <c r="A1254" s="60" t="s">
        <v>1787</v>
      </c>
      <c r="B1254" s="60" t="s">
        <v>1785</v>
      </c>
      <c r="C1254" s="60" t="s">
        <v>1786</v>
      </c>
      <c r="D1254" s="60" t="str">
        <f t="shared" ref="D1254:D1326" si="20">A1254</f>
        <v>Kasagama</v>
      </c>
      <c r="F1254" s="60">
        <v>902</v>
      </c>
    </row>
    <row r="1255" spans="1:6">
      <c r="A1255" s="60" t="s">
        <v>1788</v>
      </c>
      <c r="B1255" s="60" t="s">
        <v>1785</v>
      </c>
      <c r="C1255" s="60" t="s">
        <v>1786</v>
      </c>
      <c r="D1255" s="60" t="str">
        <f t="shared" si="20"/>
        <v>Kinuuka</v>
      </c>
      <c r="F1255" s="60">
        <v>903</v>
      </c>
    </row>
    <row r="1256" spans="1:6">
      <c r="A1256" s="60" t="s">
        <v>1785</v>
      </c>
      <c r="B1256" s="60" t="s">
        <v>1785</v>
      </c>
      <c r="C1256" s="60" t="s">
        <v>1786</v>
      </c>
      <c r="D1256" s="60" t="str">
        <f t="shared" si="20"/>
        <v>Lyantonde</v>
      </c>
      <c r="F1256" s="60">
        <v>904</v>
      </c>
    </row>
    <row r="1257" spans="1:6">
      <c r="A1257" s="60" t="s">
        <v>1789</v>
      </c>
      <c r="B1257" s="60" t="s">
        <v>1785</v>
      </c>
      <c r="C1257" s="60" t="s">
        <v>1786</v>
      </c>
      <c r="D1257" s="60" t="str">
        <f t="shared" si="20"/>
        <v>Lyantonde Town Council</v>
      </c>
      <c r="F1257" s="60">
        <v>905</v>
      </c>
    </row>
    <row r="1258" spans="1:6">
      <c r="A1258" s="60" t="s">
        <v>1790</v>
      </c>
      <c r="F1258" s="60">
        <v>905</v>
      </c>
    </row>
    <row r="1259" spans="1:6">
      <c r="A1259" s="60" t="s">
        <v>1791</v>
      </c>
      <c r="B1259" s="60" t="s">
        <v>1785</v>
      </c>
      <c r="C1259" s="60" t="s">
        <v>1786</v>
      </c>
      <c r="D1259" s="60" t="str">
        <f t="shared" si="20"/>
        <v>Mpumudde-Lyantonde</v>
      </c>
      <c r="F1259" s="60">
        <v>906</v>
      </c>
    </row>
    <row r="1260" spans="1:6">
      <c r="A1260" s="60" t="s">
        <v>1792</v>
      </c>
      <c r="B1260" s="60" t="s">
        <v>1793</v>
      </c>
      <c r="C1260" s="60" t="s">
        <v>1794</v>
      </c>
      <c r="D1260" s="60" t="str">
        <f t="shared" si="20"/>
        <v>Bugobero</v>
      </c>
      <c r="F1260" s="60">
        <v>907</v>
      </c>
    </row>
    <row r="1261" spans="1:6">
      <c r="A1261" s="60" t="s">
        <v>1795</v>
      </c>
      <c r="B1261" s="60" t="s">
        <v>1793</v>
      </c>
      <c r="C1261" s="60" t="s">
        <v>1794</v>
      </c>
      <c r="D1261" s="60" t="str">
        <f t="shared" si="20"/>
        <v>Bukhofu</v>
      </c>
      <c r="F1261" s="60">
        <v>908</v>
      </c>
    </row>
    <row r="1262" spans="1:6">
      <c r="A1262" s="60" t="s">
        <v>1796</v>
      </c>
      <c r="B1262" s="60" t="s">
        <v>1793</v>
      </c>
      <c r="C1262" s="60" t="s">
        <v>1794</v>
      </c>
      <c r="D1262" s="60" t="str">
        <f t="shared" si="20"/>
        <v>Bukusu</v>
      </c>
      <c r="F1262" s="60">
        <v>909</v>
      </c>
    </row>
    <row r="1263" spans="1:6">
      <c r="A1263" s="60" t="s">
        <v>1797</v>
      </c>
      <c r="B1263" s="60" t="s">
        <v>1793</v>
      </c>
      <c r="C1263" s="60" t="s">
        <v>1794</v>
      </c>
      <c r="D1263" s="60" t="str">
        <f t="shared" si="20"/>
        <v>Bunabwana</v>
      </c>
      <c r="F1263" s="60">
        <v>910</v>
      </c>
    </row>
    <row r="1264" spans="1:6">
      <c r="A1264" s="60" t="s">
        <v>1798</v>
      </c>
      <c r="B1264" s="60" t="s">
        <v>1793</v>
      </c>
      <c r="C1264" s="60" t="s">
        <v>1794</v>
      </c>
      <c r="D1264" s="60" t="str">
        <f t="shared" si="20"/>
        <v>Bunyinza Town Council</v>
      </c>
      <c r="F1264" s="60">
        <v>911</v>
      </c>
    </row>
    <row r="1265" spans="1:6">
      <c r="A1265" s="60" t="s">
        <v>1799</v>
      </c>
      <c r="B1265" s="60" t="s">
        <v>1793</v>
      </c>
      <c r="C1265" s="60" t="s">
        <v>1794</v>
      </c>
      <c r="D1265" s="60" t="str">
        <f t="shared" si="20"/>
        <v>Busukuya</v>
      </c>
      <c r="F1265" s="60">
        <v>912</v>
      </c>
    </row>
    <row r="1266" spans="1:6">
      <c r="A1266" s="60" t="s">
        <v>1800</v>
      </c>
      <c r="B1266" s="60" t="s">
        <v>1793</v>
      </c>
      <c r="C1266" s="60" t="s">
        <v>1794</v>
      </c>
      <c r="D1266" s="60" t="str">
        <f t="shared" si="20"/>
        <v>Butiru</v>
      </c>
      <c r="F1266" s="60">
        <v>913</v>
      </c>
    </row>
    <row r="1267" spans="1:6">
      <c r="A1267" s="60" t="s">
        <v>1801</v>
      </c>
      <c r="B1267" s="60" t="s">
        <v>1793</v>
      </c>
      <c r="C1267" s="60" t="s">
        <v>1794</v>
      </c>
      <c r="D1267" s="60" t="str">
        <f t="shared" si="20"/>
        <v>Butta</v>
      </c>
      <c r="F1267" s="60">
        <v>914</v>
      </c>
    </row>
    <row r="1268" spans="1:6">
      <c r="A1268" s="60" t="s">
        <v>1802</v>
      </c>
      <c r="B1268" s="60" t="s">
        <v>1793</v>
      </c>
      <c r="C1268" s="60" t="s">
        <v>1794</v>
      </c>
      <c r="D1268" s="60" t="str">
        <f t="shared" si="20"/>
        <v>Buwagogo</v>
      </c>
      <c r="F1268" s="60">
        <v>915</v>
      </c>
    </row>
    <row r="1269" spans="1:6">
      <c r="A1269" s="60" t="s">
        <v>1803</v>
      </c>
      <c r="B1269" s="60" t="s">
        <v>1793</v>
      </c>
      <c r="C1269" s="60" t="s">
        <v>1794</v>
      </c>
      <c r="D1269" s="60" t="str">
        <f t="shared" si="20"/>
        <v>Buwangani Town Council</v>
      </c>
      <c r="F1269" s="60">
        <v>916</v>
      </c>
    </row>
    <row r="1270" spans="1:6">
      <c r="A1270" s="60" t="s">
        <v>1804</v>
      </c>
      <c r="B1270" s="60" t="s">
        <v>1793</v>
      </c>
      <c r="C1270" s="60" t="s">
        <v>1794</v>
      </c>
      <c r="D1270" s="60" t="str">
        <f t="shared" si="20"/>
        <v>Kaato</v>
      </c>
      <c r="F1270" s="60">
        <v>917</v>
      </c>
    </row>
    <row r="1271" spans="1:6">
      <c r="A1271" s="60" t="s">
        <v>1805</v>
      </c>
      <c r="B1271" s="60" t="s">
        <v>1793</v>
      </c>
      <c r="C1271" s="60" t="s">
        <v>1794</v>
      </c>
      <c r="D1271" s="60" t="str">
        <f t="shared" si="20"/>
        <v>Khabutoola</v>
      </c>
      <c r="F1271" s="60">
        <v>918</v>
      </c>
    </row>
    <row r="1272" spans="1:6">
      <c r="A1272" s="60" t="s">
        <v>1806</v>
      </c>
      <c r="B1272" s="60" t="s">
        <v>1793</v>
      </c>
      <c r="C1272" s="60" t="s">
        <v>1794</v>
      </c>
      <c r="D1272" s="60" t="str">
        <f t="shared" si="20"/>
        <v>Manafwa Town Council</v>
      </c>
      <c r="F1272" s="60">
        <v>919</v>
      </c>
    </row>
    <row r="1273" spans="1:6">
      <c r="A1273" s="60" t="s">
        <v>1807</v>
      </c>
      <c r="B1273" s="60" t="s">
        <v>1793</v>
      </c>
      <c r="C1273" s="60" t="s">
        <v>1794</v>
      </c>
      <c r="D1273" s="60" t="str">
        <f t="shared" si="20"/>
        <v>Nalondo</v>
      </c>
      <c r="F1273" s="60">
        <v>920</v>
      </c>
    </row>
    <row r="1274" spans="1:6">
      <c r="A1274" s="60" t="s">
        <v>1808</v>
      </c>
      <c r="B1274" s="60" t="s">
        <v>1793</v>
      </c>
      <c r="C1274" s="60" t="s">
        <v>1794</v>
      </c>
      <c r="D1274" s="60" t="str">
        <f t="shared" si="20"/>
        <v>Sibanga</v>
      </c>
      <c r="F1274" s="60">
        <v>921</v>
      </c>
    </row>
    <row r="1275" spans="1:6">
      <c r="A1275" s="60" t="s">
        <v>1809</v>
      </c>
      <c r="B1275" s="60" t="s">
        <v>1793</v>
      </c>
      <c r="C1275" s="60" t="s">
        <v>1794</v>
      </c>
      <c r="D1275" s="60" t="str">
        <f t="shared" si="20"/>
        <v>Sisuni</v>
      </c>
      <c r="F1275" s="60">
        <v>922</v>
      </c>
    </row>
    <row r="1276" spans="1:6">
      <c r="A1276" s="60" t="s">
        <v>1810</v>
      </c>
      <c r="B1276" s="60" t="s">
        <v>1793</v>
      </c>
      <c r="C1276" s="60" t="s">
        <v>1794</v>
      </c>
      <c r="D1276" s="60" t="str">
        <f t="shared" si="20"/>
        <v>Weswa</v>
      </c>
      <c r="F1276" s="60">
        <v>923</v>
      </c>
    </row>
    <row r="1277" spans="1:6">
      <c r="A1277" s="60" t="s">
        <v>1811</v>
      </c>
      <c r="B1277" s="60" t="s">
        <v>1812</v>
      </c>
      <c r="C1277" s="60" t="s">
        <v>1812</v>
      </c>
      <c r="D1277" s="60" t="str">
        <f t="shared" si="20"/>
        <v>Kijomoro</v>
      </c>
      <c r="F1277" s="60">
        <v>924</v>
      </c>
    </row>
    <row r="1278" spans="1:6">
      <c r="A1278" s="60" t="s">
        <v>1813</v>
      </c>
      <c r="B1278" s="60" t="s">
        <v>1812</v>
      </c>
      <c r="C1278" s="60" t="s">
        <v>1812</v>
      </c>
      <c r="D1278" s="60" t="str">
        <f t="shared" si="20"/>
        <v>Maracha Town Council</v>
      </c>
      <c r="F1278" s="60">
        <v>925</v>
      </c>
    </row>
    <row r="1279" spans="1:6">
      <c r="A1279" s="60" t="s">
        <v>1814</v>
      </c>
      <c r="B1279" s="60" t="s">
        <v>1812</v>
      </c>
      <c r="C1279" s="60" t="s">
        <v>1812</v>
      </c>
      <c r="D1279" s="60" t="str">
        <f t="shared" si="20"/>
        <v>Nyadri</v>
      </c>
      <c r="F1279" s="60">
        <v>926</v>
      </c>
    </row>
    <row r="1280" spans="1:6">
      <c r="A1280" s="60" t="s">
        <v>1815</v>
      </c>
      <c r="B1280" s="60" t="s">
        <v>1812</v>
      </c>
      <c r="C1280" s="60" t="s">
        <v>1812</v>
      </c>
      <c r="D1280" s="60" t="str">
        <f t="shared" si="20"/>
        <v>Oleba</v>
      </c>
      <c r="F1280" s="60">
        <v>927</v>
      </c>
    </row>
    <row r="1281" spans="1:6">
      <c r="A1281" s="60" t="s">
        <v>1816</v>
      </c>
      <c r="B1281" s="60" t="s">
        <v>1812</v>
      </c>
      <c r="C1281" s="60" t="s">
        <v>1812</v>
      </c>
      <c r="D1281" s="60" t="str">
        <f t="shared" si="20"/>
        <v>Oluffe</v>
      </c>
      <c r="F1281" s="60">
        <v>928</v>
      </c>
    </row>
    <row r="1282" spans="1:6">
      <c r="A1282" s="60" t="s">
        <v>1817</v>
      </c>
      <c r="B1282" s="60" t="s">
        <v>1812</v>
      </c>
      <c r="C1282" s="60" t="s">
        <v>1812</v>
      </c>
      <c r="D1282" s="60" t="str">
        <f t="shared" si="20"/>
        <v>Oluvu</v>
      </c>
      <c r="F1282" s="60">
        <v>929</v>
      </c>
    </row>
    <row r="1283" spans="1:6">
      <c r="A1283" s="60" t="s">
        <v>1818</v>
      </c>
      <c r="B1283" s="60" t="s">
        <v>1812</v>
      </c>
      <c r="C1283" s="60" t="s">
        <v>1812</v>
      </c>
      <c r="D1283" s="60" t="str">
        <f t="shared" si="20"/>
        <v>Tara</v>
      </c>
      <c r="F1283" s="60">
        <v>930</v>
      </c>
    </row>
    <row r="1284" spans="1:6">
      <c r="A1284" s="60" t="s">
        <v>1819</v>
      </c>
      <c r="B1284" s="60" t="s">
        <v>1812</v>
      </c>
      <c r="C1284" s="60" t="s">
        <v>1812</v>
      </c>
      <c r="D1284" s="60" t="str">
        <f t="shared" si="20"/>
        <v>Yivu</v>
      </c>
      <c r="F1284" s="60">
        <v>931</v>
      </c>
    </row>
    <row r="1285" spans="1:6">
      <c r="A1285" s="60" t="s">
        <v>1820</v>
      </c>
      <c r="B1285" s="60" t="s">
        <v>40</v>
      </c>
      <c r="C1285" s="60" t="s">
        <v>23</v>
      </c>
      <c r="D1285" s="60" t="str">
        <f t="shared" si="20"/>
        <v>Bukakata</v>
      </c>
      <c r="F1285" s="60">
        <v>932</v>
      </c>
    </row>
    <row r="1286" spans="1:6">
      <c r="A1286" s="60" t="s">
        <v>1821</v>
      </c>
      <c r="B1286" s="60" t="s">
        <v>40</v>
      </c>
      <c r="C1286" s="60" t="s">
        <v>23</v>
      </c>
      <c r="D1286" s="60" t="str">
        <f t="shared" si="20"/>
        <v>Buwunga-Masaka</v>
      </c>
      <c r="F1286" s="60">
        <v>933</v>
      </c>
    </row>
    <row r="1287" spans="1:6">
      <c r="A1287" s="60" t="s">
        <v>1822</v>
      </c>
      <c r="B1287" s="60" t="s">
        <v>40</v>
      </c>
      <c r="C1287" s="60" t="s">
        <v>23</v>
      </c>
      <c r="D1287" s="60" t="str">
        <f t="shared" si="20"/>
        <v>Kabonera</v>
      </c>
      <c r="F1287" s="60">
        <v>934</v>
      </c>
    </row>
    <row r="1288" spans="1:6">
      <c r="A1288" s="60" t="s">
        <v>1823</v>
      </c>
      <c r="B1288" s="60" t="s">
        <v>40</v>
      </c>
      <c r="C1288" s="60" t="s">
        <v>23</v>
      </c>
      <c r="D1288" s="60" t="str">
        <f t="shared" si="20"/>
        <v>Kyanamukaaka</v>
      </c>
      <c r="F1288" s="60">
        <v>935</v>
      </c>
    </row>
    <row r="1289" spans="1:6">
      <c r="A1289" s="60" t="s">
        <v>1824</v>
      </c>
      <c r="B1289" s="60" t="s">
        <v>40</v>
      </c>
      <c r="C1289" s="60" t="s">
        <v>23</v>
      </c>
      <c r="D1289" s="60" t="str">
        <f t="shared" si="20"/>
        <v>Kyesiiga</v>
      </c>
      <c r="F1289" s="60">
        <v>936</v>
      </c>
    </row>
    <row r="1290" spans="1:6">
      <c r="A1290" s="60" t="s">
        <v>1825</v>
      </c>
      <c r="B1290" s="60" t="s">
        <v>40</v>
      </c>
      <c r="C1290" s="60" t="s">
        <v>1825</v>
      </c>
      <c r="D1290" s="60" t="str">
        <f t="shared" si="20"/>
        <v>Masaka Municipality</v>
      </c>
      <c r="F1290" s="60">
        <v>937</v>
      </c>
    </row>
    <row r="1291" spans="1:6">
      <c r="A1291" s="60" t="s">
        <v>1826</v>
      </c>
      <c r="D1291" s="60" t="str">
        <f t="shared" si="20"/>
        <v>masaka</v>
      </c>
      <c r="F1291" s="60">
        <v>937</v>
      </c>
    </row>
    <row r="1292" spans="1:6">
      <c r="A1292" s="60" t="s">
        <v>1827</v>
      </c>
      <c r="F1292" s="60">
        <v>937</v>
      </c>
    </row>
    <row r="1293" spans="1:6">
      <c r="A1293" s="60" t="s">
        <v>1828</v>
      </c>
      <c r="F1293" s="60">
        <v>937</v>
      </c>
    </row>
    <row r="1294" spans="1:6">
      <c r="A1294" s="60" t="s">
        <v>1829</v>
      </c>
      <c r="F1294" s="60">
        <v>937</v>
      </c>
    </row>
    <row r="1295" spans="1:6">
      <c r="A1295" s="60" t="s">
        <v>1830</v>
      </c>
      <c r="B1295" s="60" t="s">
        <v>40</v>
      </c>
      <c r="C1295" s="60" t="s">
        <v>23</v>
      </c>
      <c r="D1295" s="60" t="str">
        <f t="shared" si="20"/>
        <v>Mukungwe</v>
      </c>
      <c r="F1295" s="60">
        <v>938</v>
      </c>
    </row>
    <row r="1296" spans="1:6">
      <c r="A1296" s="60" t="s">
        <v>1831</v>
      </c>
      <c r="F1296" s="60">
        <v>938</v>
      </c>
    </row>
    <row r="1297" spans="1:6">
      <c r="A1297" s="60" t="s">
        <v>1832</v>
      </c>
      <c r="B1297" s="60" t="s">
        <v>1833</v>
      </c>
      <c r="C1297" s="60" t="s">
        <v>1834</v>
      </c>
      <c r="D1297" s="60" t="str">
        <f t="shared" si="20"/>
        <v>Budongo</v>
      </c>
      <c r="F1297" s="60">
        <v>939</v>
      </c>
    </row>
    <row r="1298" spans="1:6">
      <c r="A1298" s="60" t="s">
        <v>1835</v>
      </c>
      <c r="B1298" s="60" t="s">
        <v>1833</v>
      </c>
      <c r="C1298" s="60" t="s">
        <v>1834</v>
      </c>
      <c r="D1298" s="60" t="str">
        <f t="shared" si="20"/>
        <v>Bwijanga</v>
      </c>
      <c r="F1298" s="60">
        <v>940</v>
      </c>
    </row>
    <row r="1299" spans="1:6">
      <c r="A1299" s="60" t="s">
        <v>1836</v>
      </c>
      <c r="B1299" s="60" t="s">
        <v>1833</v>
      </c>
      <c r="C1299" s="60" t="s">
        <v>1837</v>
      </c>
      <c r="D1299" s="60" t="str">
        <f t="shared" si="20"/>
        <v>Kimengo</v>
      </c>
      <c r="F1299" s="60">
        <v>941</v>
      </c>
    </row>
    <row r="1300" spans="1:6">
      <c r="A1300" s="60" t="s">
        <v>1838</v>
      </c>
      <c r="B1300" s="60" t="s">
        <v>1833</v>
      </c>
      <c r="C1300" s="60" t="s">
        <v>1838</v>
      </c>
      <c r="D1300" s="60" t="str">
        <f t="shared" si="20"/>
        <v>Masindi Municipality</v>
      </c>
      <c r="F1300" s="60">
        <v>942</v>
      </c>
    </row>
    <row r="1301" spans="1:6">
      <c r="A1301" s="60" t="s">
        <v>1833</v>
      </c>
      <c r="D1301" s="60" t="str">
        <f t="shared" si="20"/>
        <v>Masindi</v>
      </c>
      <c r="F1301" s="60">
        <v>942</v>
      </c>
    </row>
    <row r="1302" spans="1:6">
      <c r="A1302" s="60" t="s">
        <v>1839</v>
      </c>
      <c r="B1302" s="60" t="s">
        <v>1833</v>
      </c>
      <c r="C1302" s="60" t="s">
        <v>1837</v>
      </c>
      <c r="D1302" s="60" t="str">
        <f t="shared" si="20"/>
        <v>Miirya</v>
      </c>
      <c r="F1302" s="60">
        <v>943</v>
      </c>
    </row>
    <row r="1303" spans="1:6">
      <c r="A1303" s="60" t="s">
        <v>1840</v>
      </c>
      <c r="B1303" s="60" t="s">
        <v>1833</v>
      </c>
      <c r="C1303" s="60" t="s">
        <v>1837</v>
      </c>
      <c r="D1303" s="60" t="str">
        <f t="shared" si="20"/>
        <v>Pakanyi</v>
      </c>
      <c r="F1303" s="60">
        <v>944</v>
      </c>
    </row>
    <row r="1304" spans="1:6">
      <c r="A1304" s="60" t="s">
        <v>1841</v>
      </c>
      <c r="B1304" s="60" t="s">
        <v>243</v>
      </c>
      <c r="C1304" s="60" t="s">
        <v>1842</v>
      </c>
      <c r="D1304" s="60" t="str">
        <f t="shared" si="20"/>
        <v>Baitambogwe</v>
      </c>
      <c r="F1304" s="60">
        <v>945</v>
      </c>
    </row>
    <row r="1305" spans="1:6">
      <c r="A1305" s="60" t="s">
        <v>1843</v>
      </c>
      <c r="B1305" s="60" t="s">
        <v>243</v>
      </c>
      <c r="C1305" s="60" t="s">
        <v>1842</v>
      </c>
      <c r="D1305" s="60" t="str">
        <f t="shared" si="20"/>
        <v>Bukabooli</v>
      </c>
      <c r="F1305" s="60">
        <v>946</v>
      </c>
    </row>
    <row r="1306" spans="1:6">
      <c r="A1306" s="60" t="s">
        <v>1844</v>
      </c>
      <c r="B1306" s="60" t="s">
        <v>243</v>
      </c>
      <c r="C1306" s="60" t="s">
        <v>1842</v>
      </c>
      <c r="D1306" s="60" t="str">
        <f t="shared" si="20"/>
        <v>Bukatube</v>
      </c>
      <c r="F1306" s="60">
        <v>947</v>
      </c>
    </row>
    <row r="1307" spans="1:6">
      <c r="A1307" s="60" t="s">
        <v>1845</v>
      </c>
      <c r="B1307" s="60" t="s">
        <v>243</v>
      </c>
      <c r="C1307" s="60" t="s">
        <v>1842</v>
      </c>
      <c r="D1307" s="60" t="str">
        <f t="shared" si="20"/>
        <v>Busakira</v>
      </c>
      <c r="F1307" s="60">
        <v>948</v>
      </c>
    </row>
    <row r="1308" spans="1:6">
      <c r="A1308" s="60" t="s">
        <v>1846</v>
      </c>
      <c r="B1308" s="60" t="s">
        <v>243</v>
      </c>
      <c r="C1308" s="60" t="s">
        <v>1842</v>
      </c>
      <c r="D1308" s="60" t="str">
        <f t="shared" si="20"/>
        <v>Buwaaya</v>
      </c>
      <c r="F1308" s="60">
        <v>949</v>
      </c>
    </row>
    <row r="1309" spans="1:6">
      <c r="A1309" s="60" t="s">
        <v>1847</v>
      </c>
      <c r="B1309" s="60" t="s">
        <v>243</v>
      </c>
      <c r="C1309" s="60" t="s">
        <v>1842</v>
      </c>
      <c r="D1309" s="60" t="str">
        <f t="shared" si="20"/>
        <v>Imanyiro</v>
      </c>
      <c r="F1309" s="60">
        <v>950</v>
      </c>
    </row>
    <row r="1310" spans="1:6">
      <c r="A1310" s="60" t="s">
        <v>1848</v>
      </c>
      <c r="B1310" s="60" t="s">
        <v>243</v>
      </c>
      <c r="C1310" s="60" t="s">
        <v>1842</v>
      </c>
      <c r="D1310" s="60" t="str">
        <f t="shared" si="20"/>
        <v>Jaguzi</v>
      </c>
      <c r="F1310" s="60">
        <v>951</v>
      </c>
    </row>
    <row r="1311" spans="1:6">
      <c r="A1311" s="60" t="s">
        <v>1849</v>
      </c>
      <c r="B1311" s="60" t="s">
        <v>243</v>
      </c>
      <c r="C1311" s="60" t="s">
        <v>1842</v>
      </c>
      <c r="D1311" s="60" t="str">
        <f t="shared" si="20"/>
        <v>Kigandalo</v>
      </c>
      <c r="F1311" s="60">
        <v>952</v>
      </c>
    </row>
    <row r="1312" spans="1:6">
      <c r="A1312" s="60" t="s">
        <v>1850</v>
      </c>
      <c r="B1312" s="60" t="s">
        <v>243</v>
      </c>
      <c r="C1312" s="60" t="s">
        <v>1842</v>
      </c>
      <c r="D1312" s="60" t="str">
        <f t="shared" si="20"/>
        <v>Kityerera</v>
      </c>
      <c r="F1312" s="60">
        <v>953</v>
      </c>
    </row>
    <row r="1313" spans="1:6">
      <c r="A1313" s="60" t="s">
        <v>1851</v>
      </c>
      <c r="B1313" s="60" t="s">
        <v>243</v>
      </c>
      <c r="C1313" s="60" t="s">
        <v>1842</v>
      </c>
      <c r="D1313" s="60" t="str">
        <f t="shared" si="20"/>
        <v>Magamaga Town Council</v>
      </c>
      <c r="F1313" s="60">
        <v>954</v>
      </c>
    </row>
    <row r="1314" spans="1:6">
      <c r="A1314" s="60" t="s">
        <v>1852</v>
      </c>
      <c r="F1314" s="60">
        <v>954</v>
      </c>
    </row>
    <row r="1315" spans="1:6">
      <c r="A1315" s="60" t="s">
        <v>1853</v>
      </c>
      <c r="F1315" s="60">
        <v>954</v>
      </c>
    </row>
    <row r="1316" spans="1:6">
      <c r="A1316" s="60" t="s">
        <v>1854</v>
      </c>
      <c r="B1316" s="60" t="s">
        <v>243</v>
      </c>
      <c r="C1316" s="60" t="s">
        <v>1842</v>
      </c>
      <c r="D1316" s="60" t="str">
        <f t="shared" si="20"/>
        <v>Malongo-Mayuge</v>
      </c>
      <c r="F1316" s="60">
        <v>955</v>
      </c>
    </row>
    <row r="1317" spans="1:6">
      <c r="A1317" s="60" t="s">
        <v>1855</v>
      </c>
      <c r="B1317" s="60" t="s">
        <v>243</v>
      </c>
      <c r="C1317" s="60" t="s">
        <v>1842</v>
      </c>
      <c r="D1317" s="60" t="str">
        <f t="shared" si="20"/>
        <v>Mayuge Town Council</v>
      </c>
      <c r="F1317" s="60">
        <v>956</v>
      </c>
    </row>
    <row r="1318" spans="1:6">
      <c r="A1318" s="60" t="s">
        <v>243</v>
      </c>
      <c r="F1318" s="60">
        <v>956</v>
      </c>
    </row>
    <row r="1319" spans="1:6">
      <c r="A1319" s="60" t="s">
        <v>1856</v>
      </c>
      <c r="B1319" s="60" t="s">
        <v>243</v>
      </c>
      <c r="C1319" s="60" t="s">
        <v>1842</v>
      </c>
      <c r="D1319" s="60" t="str">
        <f t="shared" si="20"/>
        <v>Mpungwe</v>
      </c>
      <c r="F1319" s="60">
        <v>957</v>
      </c>
    </row>
    <row r="1320" spans="1:6">
      <c r="A1320" s="60" t="s">
        <v>1857</v>
      </c>
      <c r="B1320" s="60" t="s">
        <v>243</v>
      </c>
      <c r="C1320" s="60" t="s">
        <v>1842</v>
      </c>
      <c r="D1320" s="60" t="str">
        <f t="shared" si="20"/>
        <v>Wairasa</v>
      </c>
      <c r="F1320" s="60">
        <v>958</v>
      </c>
    </row>
    <row r="1321" spans="1:6">
      <c r="A1321" s="60" t="s">
        <v>1858</v>
      </c>
      <c r="B1321" s="60" t="s">
        <v>1859</v>
      </c>
      <c r="C1321" s="60" t="s">
        <v>1860</v>
      </c>
      <c r="D1321" s="60" t="str">
        <f t="shared" si="20"/>
        <v>Bubyangu</v>
      </c>
      <c r="F1321" s="60">
        <v>959</v>
      </c>
    </row>
    <row r="1322" spans="1:6">
      <c r="A1322" s="60" t="s">
        <v>1861</v>
      </c>
      <c r="B1322" s="60" t="s">
        <v>1859</v>
      </c>
      <c r="C1322" s="60" t="s">
        <v>1860</v>
      </c>
      <c r="D1322" s="60" t="str">
        <f t="shared" si="20"/>
        <v>Budwale</v>
      </c>
      <c r="F1322" s="60">
        <v>960</v>
      </c>
    </row>
    <row r="1323" spans="1:6">
      <c r="A1323" s="60" t="s">
        <v>1862</v>
      </c>
      <c r="B1323" s="60" t="s">
        <v>1859</v>
      </c>
      <c r="C1323" s="60" t="s">
        <v>1860</v>
      </c>
      <c r="D1323" s="60" t="str">
        <f t="shared" si="20"/>
        <v>Bufumbo</v>
      </c>
      <c r="F1323" s="60">
        <v>961</v>
      </c>
    </row>
    <row r="1324" spans="1:6">
      <c r="A1324" s="60" t="s">
        <v>1863</v>
      </c>
      <c r="B1324" s="60" t="s">
        <v>1859</v>
      </c>
      <c r="C1324" s="60" t="s">
        <v>1860</v>
      </c>
      <c r="D1324" s="60" t="str">
        <f t="shared" si="20"/>
        <v>Bukasakya</v>
      </c>
      <c r="F1324" s="60">
        <v>962</v>
      </c>
    </row>
    <row r="1325" spans="1:6">
      <c r="A1325" s="60" t="s">
        <v>1864</v>
      </c>
      <c r="B1325" s="60" t="s">
        <v>1859</v>
      </c>
      <c r="C1325" s="60" t="s">
        <v>1860</v>
      </c>
      <c r="D1325" s="60" t="str">
        <f t="shared" si="20"/>
        <v>Bukiende</v>
      </c>
      <c r="F1325" s="60">
        <v>963</v>
      </c>
    </row>
    <row r="1326" spans="1:6">
      <c r="A1326" s="60" t="s">
        <v>1865</v>
      </c>
      <c r="B1326" s="60" t="s">
        <v>1859</v>
      </c>
      <c r="C1326" s="60" t="s">
        <v>1860</v>
      </c>
      <c r="D1326" s="60" t="str">
        <f t="shared" si="20"/>
        <v>Bukonde</v>
      </c>
      <c r="F1326" s="60">
        <v>964</v>
      </c>
    </row>
    <row r="1327" spans="1:6">
      <c r="A1327" s="60" t="s">
        <v>1866</v>
      </c>
      <c r="B1327" s="60" t="s">
        <v>1859</v>
      </c>
      <c r="C1327" s="60" t="s">
        <v>1860</v>
      </c>
      <c r="D1327" s="60" t="str">
        <f t="shared" ref="D1327:D1405" si="21">A1327</f>
        <v>Bumasikye</v>
      </c>
      <c r="F1327" s="60">
        <v>965</v>
      </c>
    </row>
    <row r="1328" spans="1:6">
      <c r="A1328" s="60" t="s">
        <v>1867</v>
      </c>
      <c r="B1328" s="60" t="s">
        <v>1859</v>
      </c>
      <c r="C1328" s="60" t="s">
        <v>1860</v>
      </c>
      <c r="D1328" s="60" t="str">
        <f t="shared" si="21"/>
        <v>Bumbobi</v>
      </c>
      <c r="F1328" s="60">
        <v>966</v>
      </c>
    </row>
    <row r="1329" spans="1:6">
      <c r="A1329" s="60" t="s">
        <v>1860</v>
      </c>
      <c r="B1329" s="60" t="s">
        <v>1859</v>
      </c>
      <c r="C1329" s="60" t="s">
        <v>1860</v>
      </c>
      <c r="D1329" s="60" t="str">
        <f t="shared" si="21"/>
        <v>Bungokho</v>
      </c>
      <c r="F1329" s="60">
        <v>967</v>
      </c>
    </row>
    <row r="1330" spans="1:6">
      <c r="A1330" s="60" t="s">
        <v>1868</v>
      </c>
      <c r="B1330" s="60" t="s">
        <v>1859</v>
      </c>
      <c r="C1330" s="60" t="s">
        <v>1860</v>
      </c>
      <c r="D1330" s="60" t="str">
        <f t="shared" si="21"/>
        <v>Bungokho Mutoto</v>
      </c>
      <c r="F1330" s="60">
        <v>968</v>
      </c>
    </row>
    <row r="1331" spans="1:6">
      <c r="A1331" s="60" t="s">
        <v>1869</v>
      </c>
      <c r="B1331" s="60" t="s">
        <v>1859</v>
      </c>
      <c r="C1331" s="60" t="s">
        <v>1860</v>
      </c>
      <c r="D1331" s="60" t="str">
        <f t="shared" si="21"/>
        <v>Busano</v>
      </c>
      <c r="F1331" s="60">
        <v>969</v>
      </c>
    </row>
    <row r="1332" spans="1:6">
      <c r="A1332" s="60" t="s">
        <v>1870</v>
      </c>
      <c r="B1332" s="60" t="s">
        <v>1859</v>
      </c>
      <c r="C1332" s="60" t="s">
        <v>1860</v>
      </c>
      <c r="D1332" s="60" t="str">
        <f t="shared" si="21"/>
        <v>Busiu</v>
      </c>
      <c r="F1332" s="60">
        <v>970</v>
      </c>
    </row>
    <row r="1333" spans="1:6">
      <c r="A1333" s="60" t="s">
        <v>1871</v>
      </c>
      <c r="B1333" s="60" t="s">
        <v>1859</v>
      </c>
      <c r="C1333" s="60" t="s">
        <v>1860</v>
      </c>
      <c r="D1333" s="60" t="str">
        <f t="shared" si="21"/>
        <v>Busiu Town Council</v>
      </c>
      <c r="F1333" s="60">
        <v>971</v>
      </c>
    </row>
    <row r="1334" spans="1:6">
      <c r="A1334" s="60" t="s">
        <v>1872</v>
      </c>
      <c r="B1334" s="60" t="s">
        <v>1859</v>
      </c>
      <c r="C1334" s="60" t="s">
        <v>1860</v>
      </c>
      <c r="D1334" s="60" t="str">
        <f t="shared" si="21"/>
        <v>Busoba</v>
      </c>
      <c r="F1334" s="60">
        <v>972</v>
      </c>
    </row>
    <row r="1335" spans="1:6">
      <c r="A1335" s="60" t="s">
        <v>1873</v>
      </c>
      <c r="B1335" s="60" t="s">
        <v>1859</v>
      </c>
      <c r="C1335" s="60" t="s">
        <v>1860</v>
      </c>
      <c r="D1335" s="60" t="str">
        <f t="shared" si="21"/>
        <v>Lukhonge</v>
      </c>
      <c r="F1335" s="60">
        <v>973</v>
      </c>
    </row>
    <row r="1336" spans="1:6">
      <c r="A1336" s="60" t="s">
        <v>1874</v>
      </c>
      <c r="B1336" s="60" t="s">
        <v>1859</v>
      </c>
      <c r="C1336" s="60" t="s">
        <v>1860</v>
      </c>
      <c r="D1336" s="60" t="str">
        <f t="shared" si="21"/>
        <v>Lwasso</v>
      </c>
      <c r="F1336" s="60">
        <v>974</v>
      </c>
    </row>
    <row r="1337" spans="1:6">
      <c r="A1337" s="60" t="s">
        <v>1875</v>
      </c>
      <c r="B1337" s="60" t="s">
        <v>1859</v>
      </c>
      <c r="C1337" s="60" t="s">
        <v>1875</v>
      </c>
      <c r="D1337" s="60" t="str">
        <f t="shared" si="21"/>
        <v>Mbale Municipality</v>
      </c>
      <c r="F1337" s="60">
        <v>975</v>
      </c>
    </row>
    <row r="1338" spans="1:6">
      <c r="A1338" s="60" t="s">
        <v>1876</v>
      </c>
      <c r="D1338" s="60" t="str">
        <f t="shared" si="21"/>
        <v>Mbale town</v>
      </c>
      <c r="F1338" s="60">
        <v>975</v>
      </c>
    </row>
    <row r="1339" spans="1:6">
      <c r="A1339" s="60" t="s">
        <v>1859</v>
      </c>
      <c r="D1339" s="60" t="str">
        <f t="shared" si="21"/>
        <v>Mbale</v>
      </c>
      <c r="F1339" s="60">
        <v>975</v>
      </c>
    </row>
    <row r="1340" spans="1:6">
      <c r="A1340" s="60" t="s">
        <v>1877</v>
      </c>
      <c r="B1340" s="60" t="s">
        <v>1859</v>
      </c>
      <c r="C1340" s="60" t="s">
        <v>1860</v>
      </c>
      <c r="D1340" s="60" t="str">
        <f t="shared" si="21"/>
        <v>Nabumali Town Council</v>
      </c>
      <c r="F1340" s="60">
        <v>976</v>
      </c>
    </row>
    <row r="1341" spans="1:6">
      <c r="A1341" s="60" t="s">
        <v>1878</v>
      </c>
      <c r="B1341" s="60" t="s">
        <v>1859</v>
      </c>
      <c r="C1341" s="60" t="s">
        <v>1860</v>
      </c>
      <c r="D1341" s="60" t="str">
        <f t="shared" si="21"/>
        <v>Nakaloke</v>
      </c>
      <c r="F1341" s="60">
        <v>977</v>
      </c>
    </row>
    <row r="1342" spans="1:6">
      <c r="A1342" s="60" t="s">
        <v>1879</v>
      </c>
      <c r="B1342" s="60" t="s">
        <v>1859</v>
      </c>
      <c r="C1342" s="60" t="s">
        <v>1860</v>
      </c>
      <c r="D1342" s="60" t="str">
        <f t="shared" si="21"/>
        <v>Nakaloke Town Council</v>
      </c>
      <c r="F1342" s="60">
        <v>978</v>
      </c>
    </row>
    <row r="1343" spans="1:6">
      <c r="A1343" s="60" t="s">
        <v>1880</v>
      </c>
      <c r="B1343" s="60" t="s">
        <v>1859</v>
      </c>
      <c r="C1343" s="60" t="s">
        <v>1860</v>
      </c>
      <c r="D1343" s="60" t="str">
        <f t="shared" si="21"/>
        <v>Namanyonyi</v>
      </c>
      <c r="F1343" s="60">
        <v>979</v>
      </c>
    </row>
    <row r="1344" spans="1:6">
      <c r="A1344" s="60" t="s">
        <v>1881</v>
      </c>
      <c r="B1344" s="60" t="s">
        <v>1859</v>
      </c>
      <c r="C1344" s="60" t="s">
        <v>1860</v>
      </c>
      <c r="D1344" s="60" t="str">
        <f t="shared" si="21"/>
        <v>Nyondo</v>
      </c>
      <c r="F1344" s="60">
        <v>980</v>
      </c>
    </row>
    <row r="1345" spans="1:6">
      <c r="A1345" s="60" t="s">
        <v>1882</v>
      </c>
      <c r="B1345" s="60" t="s">
        <v>1859</v>
      </c>
      <c r="C1345" s="60" t="s">
        <v>1860</v>
      </c>
      <c r="D1345" s="60" t="str">
        <f t="shared" si="21"/>
        <v>Wanale</v>
      </c>
      <c r="F1345" s="60">
        <v>981</v>
      </c>
    </row>
    <row r="1346" spans="1:6">
      <c r="A1346" s="60" t="s">
        <v>1883</v>
      </c>
      <c r="B1346" s="60" t="s">
        <v>422</v>
      </c>
      <c r="C1346" s="60" t="s">
        <v>1884</v>
      </c>
      <c r="D1346" s="60" t="str">
        <f t="shared" si="21"/>
        <v>Bubaare-Mbarara</v>
      </c>
      <c r="F1346" s="60">
        <v>982</v>
      </c>
    </row>
    <row r="1347" spans="1:6">
      <c r="A1347" s="60" t="s">
        <v>1885</v>
      </c>
      <c r="B1347" s="60" t="s">
        <v>422</v>
      </c>
      <c r="C1347" s="60" t="s">
        <v>1886</v>
      </c>
      <c r="D1347" s="60" t="str">
        <f t="shared" si="21"/>
        <v>Bugamba</v>
      </c>
      <c r="F1347" s="60">
        <v>983</v>
      </c>
    </row>
    <row r="1348" spans="1:6">
      <c r="A1348" s="60" t="s">
        <v>1887</v>
      </c>
      <c r="B1348" s="60" t="s">
        <v>422</v>
      </c>
      <c r="C1348" s="60" t="s">
        <v>1884</v>
      </c>
      <c r="D1348" s="60" t="str">
        <f t="shared" si="21"/>
        <v>Bukiro</v>
      </c>
      <c r="F1348" s="60">
        <v>984</v>
      </c>
    </row>
    <row r="1349" spans="1:6">
      <c r="A1349" s="60" t="s">
        <v>1888</v>
      </c>
      <c r="B1349" s="60" t="s">
        <v>422</v>
      </c>
      <c r="C1349" s="60" t="s">
        <v>1884</v>
      </c>
      <c r="D1349" s="60" t="str">
        <f t="shared" si="21"/>
        <v>Kagongi</v>
      </c>
      <c r="F1349" s="60">
        <v>985</v>
      </c>
    </row>
    <row r="1350" spans="1:6">
      <c r="A1350" s="60" t="s">
        <v>1889</v>
      </c>
      <c r="B1350" s="60" t="s">
        <v>422</v>
      </c>
      <c r="C1350" s="60" t="s">
        <v>1884</v>
      </c>
      <c r="D1350" s="60" t="str">
        <f t="shared" si="21"/>
        <v>Kashare</v>
      </c>
      <c r="F1350" s="60">
        <v>986</v>
      </c>
    </row>
    <row r="1351" spans="1:6">
      <c r="A1351" s="60" t="s">
        <v>1890</v>
      </c>
      <c r="B1351" s="60" t="s">
        <v>422</v>
      </c>
      <c r="C1351" s="60" t="s">
        <v>1890</v>
      </c>
      <c r="D1351" s="60" t="str">
        <f t="shared" si="21"/>
        <v>Mbarara Municipality</v>
      </c>
      <c r="F1351" s="60">
        <v>987</v>
      </c>
    </row>
    <row r="1352" spans="1:6">
      <c r="A1352" s="60" t="s">
        <v>1891</v>
      </c>
      <c r="F1352" s="60">
        <v>987</v>
      </c>
    </row>
    <row r="1353" spans="1:6">
      <c r="A1353" s="60" t="s">
        <v>1892</v>
      </c>
      <c r="F1353" s="60">
        <v>987</v>
      </c>
    </row>
    <row r="1354" spans="1:6">
      <c r="A1354" s="60" t="s">
        <v>422</v>
      </c>
      <c r="D1354" s="60" t="str">
        <f t="shared" si="21"/>
        <v>Mbarara</v>
      </c>
      <c r="F1354" s="60">
        <v>987</v>
      </c>
    </row>
    <row r="1355" spans="1:6">
      <c r="A1355" s="60" t="s">
        <v>1893</v>
      </c>
      <c r="B1355" s="60" t="s">
        <v>422</v>
      </c>
      <c r="C1355" s="60" t="s">
        <v>1886</v>
      </c>
      <c r="D1355" s="60" t="str">
        <f t="shared" si="21"/>
        <v>Mwizi</v>
      </c>
      <c r="F1355" s="60">
        <v>988</v>
      </c>
    </row>
    <row r="1356" spans="1:6">
      <c r="A1356" s="60" t="s">
        <v>1894</v>
      </c>
      <c r="B1356" s="60" t="s">
        <v>422</v>
      </c>
      <c r="C1356" s="60" t="s">
        <v>1886</v>
      </c>
      <c r="D1356" s="60" t="str">
        <f t="shared" si="21"/>
        <v>Ndeija</v>
      </c>
      <c r="F1356" s="60">
        <v>989</v>
      </c>
    </row>
    <row r="1357" spans="1:6">
      <c r="A1357" s="60" t="s">
        <v>1895</v>
      </c>
      <c r="B1357" s="60" t="s">
        <v>422</v>
      </c>
      <c r="C1357" s="60" t="s">
        <v>1884</v>
      </c>
      <c r="D1357" s="60" t="str">
        <f t="shared" si="21"/>
        <v>Rubaya-Mbarara</v>
      </c>
      <c r="F1357" s="60">
        <v>990</v>
      </c>
    </row>
    <row r="1358" spans="1:6">
      <c r="A1358" s="60" t="s">
        <v>1896</v>
      </c>
      <c r="B1358" s="60" t="s">
        <v>422</v>
      </c>
      <c r="C1358" s="60" t="s">
        <v>1884</v>
      </c>
      <c r="D1358" s="60" t="str">
        <f t="shared" si="21"/>
        <v>Rubindi</v>
      </c>
      <c r="F1358" s="60">
        <v>991</v>
      </c>
    </row>
    <row r="1359" spans="1:6">
      <c r="A1359" s="60" t="s">
        <v>1897</v>
      </c>
      <c r="B1359" s="60" t="s">
        <v>422</v>
      </c>
      <c r="C1359" s="60" t="s">
        <v>1886</v>
      </c>
      <c r="D1359" s="60" t="str">
        <f t="shared" si="21"/>
        <v>Rugando</v>
      </c>
      <c r="F1359" s="60">
        <v>992</v>
      </c>
    </row>
    <row r="1360" spans="1:6">
      <c r="A1360" s="60" t="s">
        <v>1898</v>
      </c>
      <c r="B1360" s="60" t="s">
        <v>422</v>
      </c>
      <c r="C1360" s="60" t="s">
        <v>1884</v>
      </c>
      <c r="D1360" s="60" t="str">
        <f t="shared" si="21"/>
        <v>Rwanyamahembe</v>
      </c>
      <c r="F1360" s="60">
        <v>993</v>
      </c>
    </row>
    <row r="1361" spans="1:6">
      <c r="A1361" s="60" t="s">
        <v>1886</v>
      </c>
      <c r="D1361" s="60" t="str">
        <f t="shared" si="21"/>
        <v>Rwampara</v>
      </c>
      <c r="F1361" s="60">
        <v>993</v>
      </c>
    </row>
    <row r="1362" spans="1:6">
      <c r="A1362" s="60" t="s">
        <v>1899</v>
      </c>
      <c r="B1362" s="60" t="s">
        <v>49</v>
      </c>
      <c r="C1362" s="60" t="s">
        <v>1900</v>
      </c>
      <c r="D1362" s="60" t="str">
        <f t="shared" si="21"/>
        <v>Bitereko</v>
      </c>
      <c r="F1362" s="60">
        <v>994</v>
      </c>
    </row>
    <row r="1363" spans="1:6">
      <c r="A1363" s="60" t="s">
        <v>161</v>
      </c>
      <c r="B1363" s="60" t="s">
        <v>49</v>
      </c>
      <c r="C1363" s="60" t="s">
        <v>1900</v>
      </c>
      <c r="D1363" s="60" t="str">
        <f t="shared" si="21"/>
        <v>Kabira</v>
      </c>
      <c r="F1363" s="60">
        <v>995</v>
      </c>
    </row>
    <row r="1364" spans="1:6">
      <c r="A1364" s="60" t="s">
        <v>1901</v>
      </c>
      <c r="B1364" s="60" t="s">
        <v>49</v>
      </c>
      <c r="C1364" s="60" t="s">
        <v>1900</v>
      </c>
      <c r="D1364" s="60" t="str">
        <f t="shared" si="21"/>
        <v>Kanyabwanga</v>
      </c>
      <c r="F1364" s="60">
        <v>996</v>
      </c>
    </row>
    <row r="1365" spans="1:6">
      <c r="A1365" s="60" t="s">
        <v>1902</v>
      </c>
      <c r="B1365" s="60" t="s">
        <v>49</v>
      </c>
      <c r="C1365" s="60" t="s">
        <v>1900</v>
      </c>
      <c r="D1365" s="60" t="str">
        <f t="shared" si="21"/>
        <v>Kashenshero</v>
      </c>
      <c r="F1365" s="60">
        <v>997</v>
      </c>
    </row>
    <row r="1366" spans="1:6">
      <c r="A1366" s="60" t="s">
        <v>1903</v>
      </c>
      <c r="B1366" s="60" t="s">
        <v>49</v>
      </c>
      <c r="C1366" s="60" t="s">
        <v>1900</v>
      </c>
      <c r="D1366" s="60" t="str">
        <f t="shared" si="21"/>
        <v>Kashenshero Town Council</v>
      </c>
      <c r="F1366" s="60">
        <v>998</v>
      </c>
    </row>
    <row r="1367" spans="1:6">
      <c r="A1367" s="60" t="s">
        <v>1904</v>
      </c>
      <c r="B1367" s="60" t="s">
        <v>49</v>
      </c>
      <c r="C1367" s="60" t="s">
        <v>1900</v>
      </c>
      <c r="D1367" s="60" t="str">
        <f t="shared" si="21"/>
        <v>Katenga</v>
      </c>
      <c r="F1367" s="60">
        <v>999</v>
      </c>
    </row>
    <row r="1368" spans="1:6">
      <c r="A1368" s="60" t="s">
        <v>1905</v>
      </c>
      <c r="B1368" s="60" t="s">
        <v>49</v>
      </c>
      <c r="C1368" s="60" t="s">
        <v>1900</v>
      </c>
      <c r="D1368" s="60" t="str">
        <f t="shared" si="21"/>
        <v>Kiyanga</v>
      </c>
      <c r="F1368" s="60">
        <v>1000</v>
      </c>
    </row>
    <row r="1369" spans="1:6">
      <c r="A1369" s="60" t="s">
        <v>1906</v>
      </c>
      <c r="B1369" s="60" t="s">
        <v>49</v>
      </c>
      <c r="C1369" s="60" t="s">
        <v>1900</v>
      </c>
      <c r="D1369" s="60" t="str">
        <f t="shared" si="21"/>
        <v>Mayanga</v>
      </c>
      <c r="F1369" s="60">
        <v>1001</v>
      </c>
    </row>
    <row r="1370" spans="1:6">
      <c r="A1370" s="60" t="s">
        <v>49</v>
      </c>
      <c r="B1370" s="60" t="s">
        <v>49</v>
      </c>
      <c r="C1370" s="60" t="s">
        <v>1900</v>
      </c>
      <c r="D1370" s="60" t="str">
        <f t="shared" si="21"/>
        <v>Mitooma</v>
      </c>
      <c r="F1370" s="60">
        <v>1002</v>
      </c>
    </row>
    <row r="1371" spans="1:6">
      <c r="A1371" s="60" t="s">
        <v>1907</v>
      </c>
      <c r="B1371" s="60" t="s">
        <v>49</v>
      </c>
      <c r="C1371" s="60" t="s">
        <v>1900</v>
      </c>
      <c r="D1371" s="60" t="str">
        <f t="shared" si="21"/>
        <v>Mitooma Town Council</v>
      </c>
      <c r="F1371" s="60">
        <v>1003</v>
      </c>
    </row>
    <row r="1372" spans="1:6">
      <c r="A1372" s="60" t="s">
        <v>1908</v>
      </c>
      <c r="B1372" s="60" t="s">
        <v>49</v>
      </c>
      <c r="C1372" s="60" t="s">
        <v>1900</v>
      </c>
      <c r="D1372" s="60" t="str">
        <f t="shared" si="21"/>
        <v>Mutara</v>
      </c>
      <c r="F1372" s="60">
        <v>1004</v>
      </c>
    </row>
    <row r="1373" spans="1:6">
      <c r="A1373" s="60" t="s">
        <v>1909</v>
      </c>
      <c r="B1373" s="60" t="s">
        <v>49</v>
      </c>
      <c r="C1373" s="60" t="s">
        <v>1900</v>
      </c>
      <c r="D1373" s="60" t="str">
        <f t="shared" si="21"/>
        <v>Rurehe</v>
      </c>
      <c r="F1373" s="60">
        <v>1005</v>
      </c>
    </row>
    <row r="1374" spans="1:6">
      <c r="A1374" s="60" t="s">
        <v>1910</v>
      </c>
      <c r="B1374" s="60" t="s">
        <v>1910</v>
      </c>
      <c r="C1374" s="60" t="s">
        <v>1911</v>
      </c>
      <c r="D1374" s="60" t="str">
        <f t="shared" si="21"/>
        <v>Bbanda</v>
      </c>
      <c r="F1374" s="60">
        <v>1006</v>
      </c>
    </row>
    <row r="1375" spans="1:6">
      <c r="A1375" s="60" t="s">
        <v>1912</v>
      </c>
      <c r="B1375" s="60" t="s">
        <v>1913</v>
      </c>
      <c r="C1375" s="60" t="s">
        <v>1913</v>
      </c>
      <c r="D1375" s="60" t="str">
        <f t="shared" si="21"/>
        <v>Bulera</v>
      </c>
      <c r="F1375" s="60">
        <v>1007</v>
      </c>
    </row>
    <row r="1376" spans="1:6">
      <c r="A1376" s="60" t="s">
        <v>1914</v>
      </c>
      <c r="B1376" s="60" t="s">
        <v>1913</v>
      </c>
      <c r="C1376" s="60" t="s">
        <v>1915</v>
      </c>
      <c r="D1376" s="60" t="str">
        <f t="shared" si="21"/>
        <v>Busimbi Division</v>
      </c>
      <c r="F1376" s="60">
        <v>1008</v>
      </c>
    </row>
    <row r="1377" spans="1:6">
      <c r="A1377" s="60" t="s">
        <v>1916</v>
      </c>
      <c r="B1377" s="60" t="s">
        <v>1913</v>
      </c>
      <c r="C1377" s="60" t="s">
        <v>1913</v>
      </c>
      <c r="D1377" s="60" t="str">
        <f t="shared" si="21"/>
        <v>Busunju Town Council</v>
      </c>
      <c r="F1377" s="60">
        <v>1009</v>
      </c>
    </row>
    <row r="1378" spans="1:6">
      <c r="A1378" s="60" t="s">
        <v>1917</v>
      </c>
      <c r="F1378" s="60">
        <v>1009</v>
      </c>
    </row>
    <row r="1379" spans="1:6">
      <c r="A1379" s="60" t="s">
        <v>1918</v>
      </c>
      <c r="B1379" s="60" t="s">
        <v>1913</v>
      </c>
      <c r="C1379" s="60" t="s">
        <v>1911</v>
      </c>
      <c r="D1379" s="60" t="str">
        <f t="shared" si="21"/>
        <v>Butayunja</v>
      </c>
      <c r="F1379" s="60">
        <v>1010</v>
      </c>
    </row>
    <row r="1380" spans="1:6">
      <c r="A1380" s="60" t="s">
        <v>1919</v>
      </c>
      <c r="B1380" s="60" t="s">
        <v>1913</v>
      </c>
      <c r="C1380" s="60" t="s">
        <v>1911</v>
      </c>
      <c r="D1380" s="60" t="str">
        <f t="shared" si="21"/>
        <v>Kakindu</v>
      </c>
      <c r="F1380" s="60">
        <v>1011</v>
      </c>
    </row>
    <row r="1381" spans="1:6">
      <c r="A1381" s="60" t="s">
        <v>1920</v>
      </c>
      <c r="B1381" s="60" t="s">
        <v>1913</v>
      </c>
      <c r="C1381" s="60" t="s">
        <v>1913</v>
      </c>
      <c r="D1381" s="60" t="str">
        <f t="shared" si="21"/>
        <v>Kalangaalo</v>
      </c>
      <c r="F1381" s="60">
        <v>1012</v>
      </c>
    </row>
    <row r="1382" spans="1:6">
      <c r="A1382" s="60" t="s">
        <v>1921</v>
      </c>
      <c r="B1382" s="60" t="s">
        <v>1913</v>
      </c>
      <c r="C1382" s="60" t="s">
        <v>1913</v>
      </c>
      <c r="D1382" s="60" t="str">
        <f t="shared" si="21"/>
        <v>Kikandwa</v>
      </c>
      <c r="F1382" s="60">
        <v>1013</v>
      </c>
    </row>
    <row r="1383" spans="1:6">
      <c r="A1383" s="60" t="s">
        <v>1922</v>
      </c>
      <c r="B1383" s="60" t="s">
        <v>1913</v>
      </c>
      <c r="C1383" s="60" t="s">
        <v>1911</v>
      </c>
      <c r="D1383" s="60" t="str">
        <f t="shared" si="21"/>
        <v>Maanyi</v>
      </c>
      <c r="F1383" s="60">
        <v>1014</v>
      </c>
    </row>
    <row r="1384" spans="1:6">
      <c r="A1384" s="60" t="s">
        <v>1923</v>
      </c>
      <c r="B1384" s="60" t="s">
        <v>1913</v>
      </c>
      <c r="C1384" s="60" t="s">
        <v>1911</v>
      </c>
      <c r="D1384" s="60" t="str">
        <f t="shared" si="21"/>
        <v>Malangala</v>
      </c>
      <c r="F1384" s="60">
        <v>1015</v>
      </c>
    </row>
    <row r="1385" spans="1:6">
      <c r="A1385" s="60" t="s">
        <v>1924</v>
      </c>
      <c r="D1385" s="60" t="str">
        <f t="shared" si="21"/>
        <v>Zigoti</v>
      </c>
      <c r="F1385" s="60">
        <v>1015</v>
      </c>
    </row>
    <row r="1386" spans="1:6">
      <c r="A1386" s="60" t="s">
        <v>1925</v>
      </c>
      <c r="D1386" s="60" t="str">
        <f t="shared" si="21"/>
        <v>Kiwawu</v>
      </c>
      <c r="F1386" s="60">
        <v>1015</v>
      </c>
    </row>
    <row r="1387" spans="1:6">
      <c r="A1387" s="60" t="s">
        <v>1915</v>
      </c>
      <c r="B1387" s="60" t="s">
        <v>1913</v>
      </c>
      <c r="C1387" s="60" t="s">
        <v>1915</v>
      </c>
      <c r="D1387" s="60" t="str">
        <f t="shared" si="21"/>
        <v>Mityana Municipality</v>
      </c>
      <c r="F1387" s="60">
        <v>1016</v>
      </c>
    </row>
    <row r="1388" spans="1:6">
      <c r="A1388" s="60" t="s">
        <v>1913</v>
      </c>
      <c r="D1388" s="60" t="str">
        <f t="shared" si="21"/>
        <v>Mityana</v>
      </c>
      <c r="F1388" s="60">
        <v>1016</v>
      </c>
    </row>
    <row r="1389" spans="1:6">
      <c r="A1389" s="60" t="s">
        <v>1926</v>
      </c>
      <c r="F1389" s="60">
        <v>1016</v>
      </c>
    </row>
    <row r="1390" spans="1:6">
      <c r="A1390" s="60" t="s">
        <v>1927</v>
      </c>
      <c r="F1390" s="60">
        <v>1016</v>
      </c>
    </row>
    <row r="1391" spans="1:6">
      <c r="A1391" s="60" t="s">
        <v>1928</v>
      </c>
      <c r="D1391" s="60" t="str">
        <f t="shared" si="21"/>
        <v>Jezza</v>
      </c>
      <c r="F1391" s="60">
        <v>1016</v>
      </c>
    </row>
    <row r="1392" spans="1:6">
      <c r="A1392" s="60" t="s">
        <v>1929</v>
      </c>
      <c r="F1392" s="60">
        <v>1016</v>
      </c>
    </row>
    <row r="1393" spans="1:6">
      <c r="A1393" s="60" t="s">
        <v>1930</v>
      </c>
      <c r="F1393" s="60">
        <v>1016</v>
      </c>
    </row>
    <row r="1394" spans="1:6">
      <c r="A1394" s="60" t="s">
        <v>1931</v>
      </c>
      <c r="B1394" s="60" t="s">
        <v>1913</v>
      </c>
      <c r="C1394" s="60" t="s">
        <v>1913</v>
      </c>
      <c r="D1394" s="60" t="str">
        <f t="shared" si="21"/>
        <v>Namungo</v>
      </c>
      <c r="F1394" s="60">
        <v>1017</v>
      </c>
    </row>
    <row r="1395" spans="1:6">
      <c r="A1395" s="60" t="s">
        <v>1932</v>
      </c>
      <c r="B1395" s="60" t="s">
        <v>1913</v>
      </c>
      <c r="C1395" s="60" t="s">
        <v>1913</v>
      </c>
      <c r="D1395" s="60" t="str">
        <f t="shared" si="21"/>
        <v>Ssekanyonyi</v>
      </c>
      <c r="F1395" s="60">
        <v>1018</v>
      </c>
    </row>
    <row r="1396" spans="1:6">
      <c r="A1396" s="60" t="s">
        <v>1933</v>
      </c>
      <c r="D1396" s="60" t="str">
        <f t="shared" si="21"/>
        <v>Buwalula</v>
      </c>
      <c r="F1396" s="60">
        <v>1018</v>
      </c>
    </row>
    <row r="1397" spans="1:6">
      <c r="A1397" s="60" t="s">
        <v>1934</v>
      </c>
      <c r="D1397" s="60" t="str">
        <f t="shared" si="21"/>
        <v>Kikonge</v>
      </c>
      <c r="F1397" s="60">
        <v>1018</v>
      </c>
    </row>
    <row r="1398" spans="1:6">
      <c r="A1398" s="60" t="s">
        <v>1935</v>
      </c>
      <c r="B1398" s="60" t="s">
        <v>541</v>
      </c>
      <c r="C1398" s="60" t="s">
        <v>1936</v>
      </c>
      <c r="D1398" s="60" t="str">
        <f t="shared" si="21"/>
        <v>Katikekile</v>
      </c>
      <c r="F1398" s="60">
        <v>1019</v>
      </c>
    </row>
    <row r="1399" spans="1:6">
      <c r="A1399" s="60" t="s">
        <v>1937</v>
      </c>
      <c r="B1399" s="60" t="s">
        <v>541</v>
      </c>
      <c r="C1399" s="60" t="s">
        <v>1937</v>
      </c>
      <c r="D1399" s="60" t="str">
        <f t="shared" si="21"/>
        <v>Moroto Municipality</v>
      </c>
      <c r="F1399" s="60">
        <v>1020</v>
      </c>
    </row>
    <row r="1400" spans="1:6">
      <c r="A1400" s="60" t="s">
        <v>1938</v>
      </c>
      <c r="B1400" s="60" t="s">
        <v>541</v>
      </c>
      <c r="C1400" s="60" t="s">
        <v>1936</v>
      </c>
      <c r="D1400" s="60" t="str">
        <f t="shared" si="21"/>
        <v>Nadunget</v>
      </c>
      <c r="F1400" s="60">
        <v>1021</v>
      </c>
    </row>
    <row r="1401" spans="1:6">
      <c r="A1401" s="60" t="s">
        <v>1939</v>
      </c>
      <c r="B1401" s="60" t="s">
        <v>541</v>
      </c>
      <c r="C1401" s="60" t="s">
        <v>1936</v>
      </c>
      <c r="D1401" s="60" t="str">
        <f t="shared" si="21"/>
        <v>Rupa</v>
      </c>
      <c r="F1401" s="60">
        <v>1022</v>
      </c>
    </row>
    <row r="1402" spans="1:6">
      <c r="A1402" s="60" t="s">
        <v>1940</v>
      </c>
      <c r="B1402" s="60" t="s">
        <v>541</v>
      </c>
      <c r="C1402" s="60" t="s">
        <v>1936</v>
      </c>
      <c r="D1402" s="60" t="str">
        <f t="shared" si="21"/>
        <v>Tapac</v>
      </c>
      <c r="F1402" s="60">
        <v>1023</v>
      </c>
    </row>
    <row r="1403" spans="1:6">
      <c r="A1403" s="60" t="s">
        <v>1941</v>
      </c>
      <c r="B1403" s="60" t="s">
        <v>1942</v>
      </c>
      <c r="C1403" s="60" t="s">
        <v>1943</v>
      </c>
      <c r="D1403" s="60" t="str">
        <f t="shared" si="21"/>
        <v>Aliba</v>
      </c>
      <c r="F1403" s="60">
        <v>1024</v>
      </c>
    </row>
    <row r="1404" spans="1:6">
      <c r="A1404" s="60" t="s">
        <v>1944</v>
      </c>
      <c r="B1404" s="60" t="s">
        <v>1942</v>
      </c>
      <c r="C1404" s="60" t="s">
        <v>1945</v>
      </c>
      <c r="D1404" s="60" t="str">
        <f t="shared" si="21"/>
        <v>Difule</v>
      </c>
      <c r="F1404" s="60">
        <v>1025</v>
      </c>
    </row>
    <row r="1405" spans="1:6">
      <c r="A1405" s="60" t="s">
        <v>1946</v>
      </c>
      <c r="B1405" s="60" t="s">
        <v>1942</v>
      </c>
      <c r="C1405" s="60" t="s">
        <v>1943</v>
      </c>
      <c r="D1405" s="60" t="str">
        <f t="shared" si="21"/>
        <v>Gimara</v>
      </c>
      <c r="F1405" s="60">
        <v>1026</v>
      </c>
    </row>
    <row r="1406" spans="1:6">
      <c r="A1406" s="60" t="s">
        <v>1947</v>
      </c>
      <c r="B1406" s="60" t="s">
        <v>1942</v>
      </c>
      <c r="C1406" s="60" t="s">
        <v>1943</v>
      </c>
      <c r="D1406" s="60" t="str">
        <f t="shared" ref="D1406:D1494" si="22">A1406</f>
        <v>Itula</v>
      </c>
      <c r="F1406" s="60">
        <v>1027</v>
      </c>
    </row>
    <row r="1407" spans="1:6">
      <c r="A1407" s="60" t="s">
        <v>1948</v>
      </c>
      <c r="B1407" s="60" t="s">
        <v>1942</v>
      </c>
      <c r="C1407" s="60" t="s">
        <v>1945</v>
      </c>
      <c r="D1407" s="60" t="str">
        <f t="shared" si="22"/>
        <v>Laropi</v>
      </c>
      <c r="F1407" s="60">
        <v>1028</v>
      </c>
    </row>
    <row r="1408" spans="1:6">
      <c r="A1408" s="60" t="s">
        <v>1949</v>
      </c>
      <c r="B1408" s="60" t="s">
        <v>1942</v>
      </c>
      <c r="C1408" s="60" t="s">
        <v>1945</v>
      </c>
      <c r="D1408" s="60" t="str">
        <f t="shared" si="22"/>
        <v>Lefori</v>
      </c>
      <c r="F1408" s="60">
        <v>1029</v>
      </c>
    </row>
    <row r="1409" spans="1:6">
      <c r="A1409" s="60" t="s">
        <v>1950</v>
      </c>
      <c r="B1409" s="60" t="s">
        <v>1942</v>
      </c>
      <c r="C1409" s="60" t="s">
        <v>1945</v>
      </c>
      <c r="D1409" s="60" t="str">
        <f t="shared" si="22"/>
        <v>Metu</v>
      </c>
      <c r="F1409" s="60">
        <v>1030</v>
      </c>
    </row>
    <row r="1410" spans="1:6">
      <c r="A1410" s="60" t="s">
        <v>1942</v>
      </c>
      <c r="B1410" s="60" t="s">
        <v>1942</v>
      </c>
      <c r="C1410" s="60" t="s">
        <v>1945</v>
      </c>
      <c r="D1410" s="60" t="str">
        <f t="shared" si="22"/>
        <v>Moyo</v>
      </c>
      <c r="F1410" s="60">
        <v>1031</v>
      </c>
    </row>
    <row r="1411" spans="1:6">
      <c r="A1411" s="60" t="s">
        <v>1951</v>
      </c>
      <c r="B1411" s="60" t="s">
        <v>1942</v>
      </c>
      <c r="C1411" s="60" t="s">
        <v>1945</v>
      </c>
      <c r="D1411" s="60" t="str">
        <f t="shared" si="22"/>
        <v>Moyo Town Council</v>
      </c>
      <c r="F1411" s="60">
        <v>1032</v>
      </c>
    </row>
    <row r="1412" spans="1:6">
      <c r="A1412" s="60" t="s">
        <v>1952</v>
      </c>
      <c r="B1412" s="60" t="s">
        <v>1953</v>
      </c>
      <c r="C1412" s="60" t="s">
        <v>1954</v>
      </c>
      <c r="D1412" s="60" t="str">
        <f t="shared" si="22"/>
        <v>Buwama</v>
      </c>
      <c r="F1412" s="60">
        <v>1033</v>
      </c>
    </row>
    <row r="1413" spans="1:6">
      <c r="A1413" s="60" t="s">
        <v>1955</v>
      </c>
      <c r="B1413" s="60" t="s">
        <v>1953</v>
      </c>
      <c r="C1413" s="60" t="s">
        <v>1954</v>
      </c>
      <c r="D1413" s="60" t="str">
        <f t="shared" si="22"/>
        <v>Kammengo</v>
      </c>
      <c r="F1413" s="60">
        <v>1034</v>
      </c>
    </row>
    <row r="1414" spans="1:6">
      <c r="A1414" s="60" t="s">
        <v>1956</v>
      </c>
      <c r="D1414" s="60" t="str">
        <f t="shared" si="22"/>
        <v>Kamengo</v>
      </c>
      <c r="F1414" s="60">
        <v>1034</v>
      </c>
    </row>
    <row r="1415" spans="1:6">
      <c r="A1415" s="60" t="s">
        <v>1957</v>
      </c>
      <c r="B1415" s="60" t="s">
        <v>1953</v>
      </c>
      <c r="C1415" s="60" t="s">
        <v>1954</v>
      </c>
      <c r="D1415" s="60" t="str">
        <f t="shared" si="22"/>
        <v>Kiringente</v>
      </c>
      <c r="F1415" s="60">
        <v>1035</v>
      </c>
    </row>
    <row r="1416" spans="1:6">
      <c r="A1416" s="60" t="s">
        <v>1958</v>
      </c>
      <c r="D1416" s="60" t="str">
        <f t="shared" si="22"/>
        <v>Nakirebe</v>
      </c>
      <c r="F1416" s="60">
        <v>1035</v>
      </c>
    </row>
    <row r="1417" spans="1:6">
      <c r="A1417" s="60" t="s">
        <v>1959</v>
      </c>
      <c r="D1417" s="60" t="str">
        <f t="shared" si="22"/>
        <v>Nakilebe</v>
      </c>
      <c r="F1417" s="60">
        <v>1035</v>
      </c>
    </row>
    <row r="1418" spans="1:6">
      <c r="A1418" s="60" t="s">
        <v>1960</v>
      </c>
      <c r="B1418" s="60" t="s">
        <v>1953</v>
      </c>
      <c r="C1418" s="60" t="s">
        <v>1954</v>
      </c>
      <c r="D1418" s="60" t="str">
        <f t="shared" si="22"/>
        <v>Kituntu</v>
      </c>
      <c r="F1418" s="60">
        <v>1036</v>
      </c>
    </row>
    <row r="1419" spans="1:6">
      <c r="A1419" s="60" t="s">
        <v>1961</v>
      </c>
      <c r="B1419" s="60" t="s">
        <v>1953</v>
      </c>
      <c r="C1419" s="60" t="s">
        <v>1954</v>
      </c>
      <c r="D1419" s="60" t="str">
        <f t="shared" si="22"/>
        <v>Mpigi Town Council</v>
      </c>
      <c r="F1419" s="60">
        <v>1037</v>
      </c>
    </row>
    <row r="1420" spans="1:6">
      <c r="A1420" s="60" t="s">
        <v>1953</v>
      </c>
      <c r="D1420" s="60" t="str">
        <f t="shared" si="22"/>
        <v>Mpigi</v>
      </c>
      <c r="F1420" s="60">
        <v>1037</v>
      </c>
    </row>
    <row r="1421" spans="1:6">
      <c r="A1421" s="60" t="s">
        <v>1962</v>
      </c>
      <c r="D1421" s="60" t="str">
        <f t="shared" si="22"/>
        <v>Mpigi town</v>
      </c>
      <c r="F1421" s="60">
        <v>1037</v>
      </c>
    </row>
    <row r="1422" spans="1:6">
      <c r="A1422" s="60" t="s">
        <v>1963</v>
      </c>
      <c r="F1422" s="60">
        <v>1037</v>
      </c>
    </row>
    <row r="1423" spans="1:6">
      <c r="A1423" s="60" t="s">
        <v>1964</v>
      </c>
      <c r="F1423" s="60">
        <v>1037</v>
      </c>
    </row>
    <row r="1424" spans="1:6">
      <c r="A1424" s="60" t="s">
        <v>1965</v>
      </c>
      <c r="F1424" s="60">
        <v>1037</v>
      </c>
    </row>
    <row r="1425" spans="1:6">
      <c r="A1425" s="60" t="s">
        <v>1966</v>
      </c>
      <c r="B1425" s="60" t="s">
        <v>1953</v>
      </c>
      <c r="C1425" s="60" t="s">
        <v>1954</v>
      </c>
      <c r="D1425" s="60" t="str">
        <f t="shared" si="22"/>
        <v>Muduuma</v>
      </c>
      <c r="F1425" s="60">
        <v>1038</v>
      </c>
    </row>
    <row r="1426" spans="1:6">
      <c r="A1426" s="60" t="s">
        <v>1967</v>
      </c>
      <c r="B1426" s="60" t="s">
        <v>1953</v>
      </c>
      <c r="C1426" s="60" t="s">
        <v>1954</v>
      </c>
      <c r="D1426" s="60" t="str">
        <f t="shared" si="22"/>
        <v>Nkozi</v>
      </c>
      <c r="F1426" s="60">
        <v>1039</v>
      </c>
    </row>
    <row r="1427" spans="1:6">
      <c r="A1427" s="60" t="s">
        <v>1968</v>
      </c>
      <c r="F1427" s="60">
        <v>1039</v>
      </c>
    </row>
    <row r="1428" spans="1:6">
      <c r="A1428" s="60" t="s">
        <v>1969</v>
      </c>
      <c r="D1428" s="60" t="str">
        <f t="shared" si="22"/>
        <v>Kayabwe</v>
      </c>
      <c r="F1428" s="60">
        <v>1039</v>
      </c>
    </row>
    <row r="1429" spans="1:6">
      <c r="A1429" s="60" t="s">
        <v>1970</v>
      </c>
      <c r="B1429" s="60" t="s">
        <v>1971</v>
      </c>
      <c r="C1429" s="60" t="s">
        <v>1972</v>
      </c>
      <c r="D1429" s="60" t="str">
        <f t="shared" si="22"/>
        <v>Bagezza</v>
      </c>
      <c r="F1429" s="60">
        <v>1040</v>
      </c>
    </row>
    <row r="1430" spans="1:6">
      <c r="A1430" s="60" t="s">
        <v>1973</v>
      </c>
      <c r="B1430" s="60" t="s">
        <v>1971</v>
      </c>
      <c r="C1430" s="60" t="s">
        <v>1974</v>
      </c>
      <c r="D1430" s="60" t="str">
        <f t="shared" si="22"/>
        <v>Bukuya</v>
      </c>
      <c r="F1430" s="60">
        <v>1041</v>
      </c>
    </row>
    <row r="1431" spans="1:6">
      <c r="A1431" s="60" t="s">
        <v>1975</v>
      </c>
      <c r="B1431" s="60" t="s">
        <v>1971</v>
      </c>
      <c r="C1431" s="60" t="s">
        <v>1976</v>
      </c>
      <c r="D1431" s="60" t="str">
        <f t="shared" si="22"/>
        <v>Butoloogo</v>
      </c>
      <c r="F1431" s="60">
        <v>1042</v>
      </c>
    </row>
    <row r="1432" spans="1:6">
      <c r="A1432" s="60" t="s">
        <v>1977</v>
      </c>
      <c r="B1432" s="60" t="s">
        <v>1971</v>
      </c>
      <c r="C1432" s="60" t="s">
        <v>1974</v>
      </c>
      <c r="D1432" s="60" t="str">
        <f t="shared" si="22"/>
        <v>Kalwana</v>
      </c>
      <c r="F1432" s="60">
        <v>1043</v>
      </c>
    </row>
    <row r="1433" spans="1:6">
      <c r="A1433" s="60" t="s">
        <v>1978</v>
      </c>
      <c r="B1433" s="60" t="s">
        <v>1971</v>
      </c>
      <c r="C1433" s="60" t="s">
        <v>1972</v>
      </c>
      <c r="D1433" s="60" t="str">
        <f t="shared" si="22"/>
        <v>Kasambya-Mubende</v>
      </c>
      <c r="F1433" s="60">
        <v>1044</v>
      </c>
    </row>
    <row r="1434" spans="1:6">
      <c r="A1434" s="60" t="s">
        <v>1972</v>
      </c>
      <c r="D1434" s="60" t="str">
        <f t="shared" si="22"/>
        <v>Kasambya</v>
      </c>
      <c r="F1434" s="60">
        <v>1044</v>
      </c>
    </row>
    <row r="1435" spans="1:6">
      <c r="A1435" s="60" t="s">
        <v>1974</v>
      </c>
      <c r="B1435" s="60" t="s">
        <v>1971</v>
      </c>
      <c r="C1435" s="60" t="s">
        <v>1974</v>
      </c>
      <c r="D1435" s="60" t="str">
        <f t="shared" si="22"/>
        <v>Kassanda</v>
      </c>
      <c r="F1435" s="60">
        <v>1045</v>
      </c>
    </row>
    <row r="1436" spans="1:6">
      <c r="A1436" s="60" t="s">
        <v>1979</v>
      </c>
      <c r="F1436" s="60">
        <v>1045</v>
      </c>
    </row>
    <row r="1437" spans="1:6">
      <c r="A1437" s="60" t="s">
        <v>1980</v>
      </c>
      <c r="F1437" s="60">
        <v>1045</v>
      </c>
    </row>
    <row r="1438" spans="1:6">
      <c r="A1438" s="60" t="s">
        <v>1981</v>
      </c>
      <c r="B1438" s="60" t="s">
        <v>1971</v>
      </c>
      <c r="C1438" s="60" t="s">
        <v>1972</v>
      </c>
      <c r="D1438" s="60" t="str">
        <f t="shared" si="22"/>
        <v>Kibalinga</v>
      </c>
      <c r="F1438" s="60">
        <v>1046</v>
      </c>
    </row>
    <row r="1439" spans="1:6">
      <c r="A1439" s="60" t="s">
        <v>1982</v>
      </c>
      <c r="B1439" s="60" t="s">
        <v>1971</v>
      </c>
      <c r="C1439" s="60" t="s">
        <v>1974</v>
      </c>
      <c r="D1439" s="60" t="str">
        <f t="shared" si="22"/>
        <v>Kiganda</v>
      </c>
      <c r="F1439" s="60">
        <v>1047</v>
      </c>
    </row>
    <row r="1440" spans="1:6">
      <c r="A1440" s="60" t="s">
        <v>1983</v>
      </c>
      <c r="B1440" s="60" t="s">
        <v>1971</v>
      </c>
      <c r="C1440" s="60" t="s">
        <v>1972</v>
      </c>
      <c r="D1440" s="60" t="str">
        <f t="shared" si="22"/>
        <v>Kigando</v>
      </c>
      <c r="F1440" s="60">
        <v>1048</v>
      </c>
    </row>
    <row r="1441" spans="1:6">
      <c r="A1441" s="60" t="s">
        <v>1984</v>
      </c>
      <c r="B1441" s="60" t="s">
        <v>1971</v>
      </c>
      <c r="C1441" s="60" t="s">
        <v>1976</v>
      </c>
      <c r="D1441" s="60" t="str">
        <f t="shared" si="22"/>
        <v>Kitenga</v>
      </c>
      <c r="F1441" s="60">
        <v>1049</v>
      </c>
    </row>
    <row r="1442" spans="1:6">
      <c r="A1442" s="60" t="s">
        <v>1985</v>
      </c>
      <c r="F1442" s="60">
        <v>1049</v>
      </c>
    </row>
    <row r="1443" spans="1:6">
      <c r="A1443" s="60" t="s">
        <v>1986</v>
      </c>
      <c r="B1443" s="60" t="s">
        <v>1971</v>
      </c>
      <c r="C1443" s="60" t="s">
        <v>1974</v>
      </c>
      <c r="D1443" s="60" t="str">
        <f t="shared" si="22"/>
        <v>Kitumbi</v>
      </c>
      <c r="F1443" s="60">
        <v>1050</v>
      </c>
    </row>
    <row r="1444" spans="1:6">
      <c r="A1444" s="60" t="s">
        <v>1987</v>
      </c>
      <c r="B1444" s="60" t="s">
        <v>1971</v>
      </c>
      <c r="C1444" s="60" t="s">
        <v>1976</v>
      </c>
      <c r="D1444" s="60" t="str">
        <f t="shared" si="22"/>
        <v>Kiyuni</v>
      </c>
      <c r="F1444" s="60">
        <v>1051</v>
      </c>
    </row>
    <row r="1445" spans="1:6">
      <c r="A1445" s="60" t="s">
        <v>1988</v>
      </c>
      <c r="B1445" s="60" t="s">
        <v>1971</v>
      </c>
      <c r="C1445" s="60" t="s">
        <v>1976</v>
      </c>
      <c r="D1445" s="60" t="str">
        <f t="shared" si="22"/>
        <v>Madudu</v>
      </c>
      <c r="F1445" s="60">
        <v>1052</v>
      </c>
    </row>
    <row r="1446" spans="1:6">
      <c r="A1446" s="60" t="s">
        <v>1989</v>
      </c>
      <c r="B1446" s="60" t="s">
        <v>1971</v>
      </c>
      <c r="C1446" s="60" t="s">
        <v>1974</v>
      </c>
      <c r="D1446" s="60" t="str">
        <f t="shared" si="22"/>
        <v>Makokoto</v>
      </c>
      <c r="F1446" s="60">
        <v>1053</v>
      </c>
    </row>
    <row r="1447" spans="1:6">
      <c r="A1447" s="60" t="s">
        <v>1990</v>
      </c>
      <c r="B1447" s="60" t="s">
        <v>1971</v>
      </c>
      <c r="C1447" s="60" t="s">
        <v>1974</v>
      </c>
      <c r="D1447" s="60" t="str">
        <f t="shared" si="22"/>
        <v>Manyogaseka</v>
      </c>
      <c r="F1447" s="60">
        <v>1054</v>
      </c>
    </row>
    <row r="1448" spans="1:6">
      <c r="A1448" s="60" t="s">
        <v>1991</v>
      </c>
      <c r="B1448" s="60" t="s">
        <v>1971</v>
      </c>
      <c r="C1448" s="60" t="s">
        <v>1991</v>
      </c>
      <c r="D1448" s="60" t="str">
        <f t="shared" si="22"/>
        <v>Mubende Municipality</v>
      </c>
      <c r="F1448" s="60">
        <v>1055</v>
      </c>
    </row>
    <row r="1449" spans="1:6">
      <c r="A1449" s="60" t="s">
        <v>1992</v>
      </c>
      <c r="F1449" s="60">
        <v>1055</v>
      </c>
    </row>
    <row r="1450" spans="1:6">
      <c r="A1450" s="60" t="s">
        <v>1993</v>
      </c>
      <c r="F1450" s="60">
        <v>1055</v>
      </c>
    </row>
    <row r="1451" spans="1:6">
      <c r="A1451" s="60" t="s">
        <v>1994</v>
      </c>
      <c r="F1451" s="60">
        <v>1055</v>
      </c>
    </row>
    <row r="1452" spans="1:6">
      <c r="A1452" s="60" t="s">
        <v>1971</v>
      </c>
      <c r="F1452" s="60">
        <v>1055</v>
      </c>
    </row>
    <row r="1453" spans="1:6">
      <c r="A1453" s="60" t="s">
        <v>1995</v>
      </c>
      <c r="B1453" s="60" t="s">
        <v>1971</v>
      </c>
      <c r="C1453" s="60" t="s">
        <v>1972</v>
      </c>
      <c r="D1453" s="60" t="str">
        <f t="shared" si="22"/>
        <v>Nabingoola</v>
      </c>
      <c r="F1453" s="60">
        <v>1057</v>
      </c>
    </row>
    <row r="1454" spans="1:6">
      <c r="A1454" s="60" t="s">
        <v>1996</v>
      </c>
      <c r="B1454" s="60" t="s">
        <v>166</v>
      </c>
      <c r="C1454" s="60" t="s">
        <v>1997</v>
      </c>
      <c r="D1454" s="60" t="str">
        <f t="shared" si="22"/>
        <v>Kasawo</v>
      </c>
      <c r="F1454" s="60">
        <v>1058</v>
      </c>
    </row>
    <row r="1455" spans="1:6">
      <c r="A1455" s="60" t="s">
        <v>1998</v>
      </c>
      <c r="B1455" s="60" t="s">
        <v>166</v>
      </c>
      <c r="C1455" s="60" t="s">
        <v>1997</v>
      </c>
      <c r="D1455" s="60" t="str">
        <f t="shared" si="22"/>
        <v>Kimenyedde</v>
      </c>
      <c r="F1455" s="60">
        <v>1059</v>
      </c>
    </row>
    <row r="1456" spans="1:6">
      <c r="A1456" s="60" t="s">
        <v>1999</v>
      </c>
      <c r="B1456" s="60" t="s">
        <v>166</v>
      </c>
      <c r="C1456" s="60" t="s">
        <v>166</v>
      </c>
      <c r="D1456" s="60" t="str">
        <f t="shared" si="22"/>
        <v>Koome Island</v>
      </c>
      <c r="F1456" s="60">
        <v>1060</v>
      </c>
    </row>
    <row r="1457" spans="1:6">
      <c r="A1457" s="60" t="s">
        <v>2000</v>
      </c>
      <c r="B1457" s="60" t="s">
        <v>166</v>
      </c>
      <c r="C1457" s="60" t="s">
        <v>166</v>
      </c>
      <c r="D1457" s="60" t="str">
        <f t="shared" si="22"/>
        <v>Kyampisi</v>
      </c>
      <c r="F1457" s="60">
        <v>1061</v>
      </c>
    </row>
    <row r="1458" spans="1:6">
      <c r="A1458" s="60" t="s">
        <v>2001</v>
      </c>
      <c r="D1458" s="60" t="str">
        <f t="shared" si="22"/>
        <v>Kabembe</v>
      </c>
      <c r="F1458" s="60">
        <v>1061</v>
      </c>
    </row>
    <row r="1459" spans="1:6">
      <c r="A1459" s="60" t="s">
        <v>2002</v>
      </c>
      <c r="D1459" s="60" t="str">
        <f t="shared" si="22"/>
        <v>Kalagi</v>
      </c>
      <c r="F1459" s="60">
        <v>1061</v>
      </c>
    </row>
    <row r="1460" spans="1:6">
      <c r="A1460" s="60" t="s">
        <v>2003</v>
      </c>
      <c r="B1460" s="60" t="s">
        <v>166</v>
      </c>
      <c r="C1460" s="60" t="s">
        <v>166</v>
      </c>
      <c r="D1460" s="60" t="str">
        <f t="shared" si="22"/>
        <v>Mpatta</v>
      </c>
      <c r="F1460" s="60">
        <v>1062</v>
      </c>
    </row>
    <row r="1461" spans="1:6">
      <c r="A1461" s="60" t="s">
        <v>2004</v>
      </c>
      <c r="B1461" s="60" t="s">
        <v>166</v>
      </c>
      <c r="C1461" s="60" t="s">
        <v>166</v>
      </c>
      <c r="D1461" s="60" t="str">
        <f t="shared" si="22"/>
        <v>Mpunge</v>
      </c>
      <c r="F1461" s="60">
        <v>1063</v>
      </c>
    </row>
    <row r="1462" spans="1:6">
      <c r="A1462" s="60" t="s">
        <v>2005</v>
      </c>
      <c r="B1462" s="60" t="s">
        <v>166</v>
      </c>
      <c r="C1462" s="60" t="s">
        <v>2005</v>
      </c>
      <c r="D1462" s="60" t="str">
        <f t="shared" si="22"/>
        <v>Mukono Municipality</v>
      </c>
      <c r="F1462" s="60">
        <v>1064</v>
      </c>
    </row>
    <row r="1463" spans="1:6">
      <c r="A1463" s="60" t="s">
        <v>166</v>
      </c>
      <c r="D1463" s="60" t="str">
        <f t="shared" si="22"/>
        <v>Mukono</v>
      </c>
      <c r="F1463" s="60">
        <v>1064</v>
      </c>
    </row>
    <row r="1464" spans="1:6">
      <c r="A1464" s="60" t="s">
        <v>2006</v>
      </c>
      <c r="F1464" s="60">
        <v>1064</v>
      </c>
    </row>
    <row r="1465" spans="1:6">
      <c r="A1465" s="60" t="s">
        <v>1997</v>
      </c>
      <c r="F1465" s="60">
        <v>1064</v>
      </c>
    </row>
    <row r="1466" spans="1:6">
      <c r="A1466" s="60" t="s">
        <v>214</v>
      </c>
      <c r="F1466" s="60">
        <v>1064</v>
      </c>
    </row>
    <row r="1467" spans="1:6">
      <c r="A1467" s="60" t="s">
        <v>2007</v>
      </c>
      <c r="B1467" s="60" t="s">
        <v>166</v>
      </c>
      <c r="C1467" s="60" t="s">
        <v>1997</v>
      </c>
      <c r="D1467" s="60" t="str">
        <f t="shared" si="22"/>
        <v>Nabbaale</v>
      </c>
      <c r="F1467" s="60">
        <v>1065</v>
      </c>
    </row>
    <row r="1468" spans="1:6">
      <c r="A1468" s="60" t="s">
        <v>2008</v>
      </c>
      <c r="B1468" s="60" t="s">
        <v>166</v>
      </c>
      <c r="C1468" s="60" t="s">
        <v>1997</v>
      </c>
      <c r="D1468" s="60" t="str">
        <f t="shared" si="22"/>
        <v>Nagojje</v>
      </c>
      <c r="F1468" s="60">
        <v>1066</v>
      </c>
    </row>
    <row r="1469" spans="1:6">
      <c r="A1469" s="60" t="s">
        <v>2009</v>
      </c>
      <c r="F1469" s="60">
        <v>1066</v>
      </c>
    </row>
    <row r="1470" spans="1:6">
      <c r="A1470" s="60" t="s">
        <v>2010</v>
      </c>
      <c r="B1470" s="60" t="s">
        <v>166</v>
      </c>
      <c r="C1470" s="60" t="s">
        <v>166</v>
      </c>
      <c r="D1470" s="60" t="str">
        <f t="shared" si="22"/>
        <v>Nakisunga</v>
      </c>
      <c r="F1470" s="60">
        <v>1067</v>
      </c>
    </row>
    <row r="1471" spans="1:6">
      <c r="A1471" s="60" t="s">
        <v>2011</v>
      </c>
      <c r="B1471" s="60" t="s">
        <v>166</v>
      </c>
      <c r="C1471" s="60" t="s">
        <v>166</v>
      </c>
      <c r="D1471" s="60" t="str">
        <f t="shared" si="22"/>
        <v>Nama</v>
      </c>
      <c r="F1471" s="60">
        <v>1068</v>
      </c>
    </row>
    <row r="1472" spans="1:6">
      <c r="A1472" s="60" t="s">
        <v>1531</v>
      </c>
      <c r="B1472" s="60" t="s">
        <v>166</v>
      </c>
      <c r="C1472" s="60" t="s">
        <v>166</v>
      </c>
      <c r="D1472" s="60" t="str">
        <f t="shared" si="22"/>
        <v>Ntenjeru</v>
      </c>
      <c r="F1472" s="60">
        <v>1069</v>
      </c>
    </row>
    <row r="1473" spans="1:6">
      <c r="A1473" s="60" t="s">
        <v>2012</v>
      </c>
      <c r="D1473" s="60" t="str">
        <f t="shared" si="22"/>
        <v>Katosi</v>
      </c>
      <c r="F1473" s="60">
        <v>1069</v>
      </c>
    </row>
    <row r="1474" spans="1:6">
      <c r="A1474" s="60" t="s">
        <v>2013</v>
      </c>
      <c r="B1474" s="60" t="s">
        <v>166</v>
      </c>
      <c r="C1474" s="60" t="s">
        <v>1997</v>
      </c>
      <c r="D1474" s="60" t="str">
        <f t="shared" si="22"/>
        <v>Ntunda</v>
      </c>
      <c r="F1474" s="60">
        <v>1070</v>
      </c>
    </row>
    <row r="1475" spans="1:6">
      <c r="A1475" s="60" t="s">
        <v>2014</v>
      </c>
      <c r="B1475" s="60" t="s">
        <v>166</v>
      </c>
      <c r="C1475" s="60" t="s">
        <v>1997</v>
      </c>
      <c r="D1475" s="60" t="str">
        <f t="shared" si="22"/>
        <v>Seeta Namuganga</v>
      </c>
      <c r="F1475" s="60">
        <v>1071</v>
      </c>
    </row>
    <row r="1476" spans="1:6">
      <c r="A1476" s="60" t="s">
        <v>2015</v>
      </c>
      <c r="D1476" s="60" t="str">
        <f t="shared" si="22"/>
        <v>Namanve</v>
      </c>
      <c r="F1476" s="60">
        <v>1071</v>
      </c>
    </row>
    <row r="1477" spans="1:6">
      <c r="A1477" s="60" t="s">
        <v>2016</v>
      </c>
      <c r="D1477" s="60" t="str">
        <f t="shared" si="22"/>
        <v>Seeta</v>
      </c>
      <c r="F1477" s="60">
        <v>1071</v>
      </c>
    </row>
    <row r="1478" spans="1:6">
      <c r="A1478" s="60" t="s">
        <v>2017</v>
      </c>
      <c r="B1478" s="60" t="s">
        <v>2018</v>
      </c>
      <c r="C1478" s="60" t="s">
        <v>2019</v>
      </c>
      <c r="D1478" s="60" t="str">
        <f t="shared" si="22"/>
        <v>Kakomongole</v>
      </c>
      <c r="F1478" s="60">
        <v>1072</v>
      </c>
    </row>
    <row r="1479" spans="1:6">
      <c r="A1479" s="60" t="s">
        <v>2020</v>
      </c>
      <c r="B1479" s="60" t="s">
        <v>2018</v>
      </c>
      <c r="C1479" s="60" t="s">
        <v>2021</v>
      </c>
      <c r="D1479" s="60" t="str">
        <f t="shared" si="22"/>
        <v>Lolachat</v>
      </c>
      <c r="F1479" s="60">
        <v>1073</v>
      </c>
    </row>
    <row r="1480" spans="1:6">
      <c r="A1480" s="60" t="s">
        <v>2022</v>
      </c>
      <c r="B1480" s="60" t="s">
        <v>2018</v>
      </c>
      <c r="C1480" s="60" t="s">
        <v>2019</v>
      </c>
      <c r="D1480" s="60" t="str">
        <f t="shared" si="22"/>
        <v>Loregae</v>
      </c>
      <c r="F1480" s="60">
        <v>1074</v>
      </c>
    </row>
    <row r="1481" spans="1:6">
      <c r="A1481" s="60" t="s">
        <v>2023</v>
      </c>
      <c r="B1481" s="60" t="s">
        <v>2018</v>
      </c>
      <c r="C1481" s="60" t="s">
        <v>2021</v>
      </c>
      <c r="D1481" s="60" t="str">
        <f t="shared" si="22"/>
        <v>Lorengedwat</v>
      </c>
      <c r="F1481" s="60">
        <v>1075</v>
      </c>
    </row>
    <row r="1482" spans="1:6">
      <c r="A1482" s="60" t="s">
        <v>2024</v>
      </c>
      <c r="B1482" s="60" t="s">
        <v>2018</v>
      </c>
      <c r="C1482" s="60" t="s">
        <v>2019</v>
      </c>
      <c r="D1482" s="60" t="str">
        <f t="shared" si="22"/>
        <v>Moruita</v>
      </c>
      <c r="F1482" s="60">
        <v>1076</v>
      </c>
    </row>
    <row r="1483" spans="1:6">
      <c r="A1483" s="60" t="s">
        <v>2025</v>
      </c>
      <c r="B1483" s="60" t="s">
        <v>2018</v>
      </c>
      <c r="C1483" s="60" t="s">
        <v>2021</v>
      </c>
      <c r="D1483" s="60" t="str">
        <f t="shared" si="22"/>
        <v>Nabilatuk</v>
      </c>
      <c r="F1483" s="60">
        <v>1077</v>
      </c>
    </row>
    <row r="1484" spans="1:6">
      <c r="A1484" s="60" t="s">
        <v>2026</v>
      </c>
      <c r="B1484" s="60" t="s">
        <v>2018</v>
      </c>
      <c r="C1484" s="60" t="s">
        <v>2019</v>
      </c>
      <c r="D1484" s="60" t="str">
        <f t="shared" si="22"/>
        <v>Nakapiripirit Town Council</v>
      </c>
      <c r="F1484" s="60">
        <v>1078</v>
      </c>
    </row>
    <row r="1485" spans="1:6">
      <c r="A1485" s="60" t="s">
        <v>2027</v>
      </c>
      <c r="B1485" s="60" t="s">
        <v>2018</v>
      </c>
      <c r="C1485" s="60" t="s">
        <v>2019</v>
      </c>
      <c r="D1485" s="60" t="str">
        <f t="shared" si="22"/>
        <v>Namalu</v>
      </c>
      <c r="F1485" s="60">
        <v>1079</v>
      </c>
    </row>
    <row r="1486" spans="1:6">
      <c r="A1486" s="60" t="s">
        <v>2028</v>
      </c>
      <c r="B1486" s="60" t="s">
        <v>2029</v>
      </c>
      <c r="C1486" s="60" t="s">
        <v>2029</v>
      </c>
      <c r="D1486" s="60" t="str">
        <f t="shared" si="22"/>
        <v>Butalangu Town Council</v>
      </c>
      <c r="F1486" s="60">
        <v>1080</v>
      </c>
    </row>
    <row r="1487" spans="1:6">
      <c r="A1487" s="60" t="s">
        <v>2030</v>
      </c>
      <c r="B1487" s="60" t="s">
        <v>2029</v>
      </c>
      <c r="C1487" s="60" t="s">
        <v>2029</v>
      </c>
      <c r="D1487" s="60" t="str">
        <f t="shared" si="22"/>
        <v>Kapeeka</v>
      </c>
      <c r="F1487" s="60">
        <v>1081</v>
      </c>
    </row>
    <row r="1488" spans="1:6">
      <c r="A1488" s="60" t="s">
        <v>2031</v>
      </c>
      <c r="D1488" s="60" t="str">
        <f t="shared" si="22"/>
        <v>Kapeka</v>
      </c>
      <c r="F1488" s="60">
        <v>1081</v>
      </c>
    </row>
    <row r="1489" spans="1:6">
      <c r="A1489" s="60" t="s">
        <v>2032</v>
      </c>
      <c r="B1489" s="60" t="s">
        <v>2029</v>
      </c>
      <c r="C1489" s="60" t="s">
        <v>2029</v>
      </c>
      <c r="D1489" s="60" t="str">
        <f t="shared" si="22"/>
        <v>Kasangombe</v>
      </c>
      <c r="F1489" s="60">
        <v>1082</v>
      </c>
    </row>
    <row r="1490" spans="1:6">
      <c r="A1490" s="60" t="s">
        <v>2033</v>
      </c>
      <c r="B1490" s="60" t="s">
        <v>2029</v>
      </c>
      <c r="C1490" s="60" t="s">
        <v>2029</v>
      </c>
      <c r="D1490" s="60" t="str">
        <f t="shared" si="22"/>
        <v>Kikamulo</v>
      </c>
      <c r="F1490" s="60">
        <v>1083</v>
      </c>
    </row>
    <row r="1491" spans="1:6">
      <c r="A1491" s="60" t="s">
        <v>2034</v>
      </c>
      <c r="D1491" s="60" t="str">
        <f t="shared" si="22"/>
        <v>Magoma</v>
      </c>
      <c r="F1491" s="60">
        <v>1083</v>
      </c>
    </row>
    <row r="1492" spans="1:6">
      <c r="A1492" s="60" t="s">
        <v>2035</v>
      </c>
      <c r="B1492" s="60" t="s">
        <v>2029</v>
      </c>
      <c r="C1492" s="60" t="s">
        <v>2029</v>
      </c>
      <c r="D1492" s="60" t="str">
        <f t="shared" si="22"/>
        <v>Kinoni-Nakaseke</v>
      </c>
      <c r="F1492" s="60">
        <v>1084</v>
      </c>
    </row>
    <row r="1493" spans="1:6">
      <c r="A1493" s="60" t="s">
        <v>2036</v>
      </c>
      <c r="B1493" s="60" t="s">
        <v>2029</v>
      </c>
      <c r="C1493" s="60" t="s">
        <v>2029</v>
      </c>
      <c r="D1493" s="60" t="str">
        <f t="shared" si="22"/>
        <v>Kinyogoga</v>
      </c>
      <c r="F1493" s="60">
        <v>1085</v>
      </c>
    </row>
    <row r="1494" spans="1:6">
      <c r="A1494" s="60" t="s">
        <v>2037</v>
      </c>
      <c r="B1494" s="60" t="s">
        <v>2029</v>
      </c>
      <c r="C1494" s="60" t="s">
        <v>2029</v>
      </c>
      <c r="D1494" s="60" t="str">
        <f t="shared" si="22"/>
        <v>Kito</v>
      </c>
      <c r="F1494" s="60">
        <v>1086</v>
      </c>
    </row>
    <row r="1495" spans="1:6">
      <c r="A1495" s="60" t="s">
        <v>2038</v>
      </c>
      <c r="B1495" s="60" t="s">
        <v>2029</v>
      </c>
      <c r="C1495" s="60" t="s">
        <v>2029</v>
      </c>
      <c r="D1495" s="60" t="str">
        <f t="shared" ref="D1495:D1562" si="23">A1495</f>
        <v>Kiwoko Town Council</v>
      </c>
      <c r="F1495" s="60">
        <v>1087</v>
      </c>
    </row>
    <row r="1496" spans="1:6">
      <c r="A1496" s="60" t="s">
        <v>2029</v>
      </c>
      <c r="B1496" s="60" t="s">
        <v>2029</v>
      </c>
      <c r="C1496" s="60" t="s">
        <v>2029</v>
      </c>
      <c r="D1496" s="60" t="str">
        <f t="shared" si="23"/>
        <v>Nakaseke</v>
      </c>
      <c r="F1496" s="60">
        <v>1088</v>
      </c>
    </row>
    <row r="1497" spans="1:6">
      <c r="A1497" s="60" t="s">
        <v>2039</v>
      </c>
      <c r="B1497" s="60" t="s">
        <v>2029</v>
      </c>
      <c r="C1497" s="60" t="s">
        <v>2029</v>
      </c>
      <c r="D1497" s="60" t="str">
        <f t="shared" si="23"/>
        <v>Nakaseke Town Council</v>
      </c>
      <c r="F1497" s="60">
        <v>1089</v>
      </c>
    </row>
    <row r="1498" spans="1:6">
      <c r="A1498" s="60" t="s">
        <v>2040</v>
      </c>
      <c r="B1498" s="60" t="s">
        <v>2029</v>
      </c>
      <c r="C1498" s="60" t="s">
        <v>2029</v>
      </c>
      <c r="D1498" s="60" t="str">
        <f t="shared" si="23"/>
        <v>Ngoma Town Council</v>
      </c>
      <c r="F1498" s="60">
        <v>1090</v>
      </c>
    </row>
    <row r="1499" spans="1:6">
      <c r="A1499" s="60" t="s">
        <v>2041</v>
      </c>
      <c r="B1499" s="60" t="s">
        <v>2029</v>
      </c>
      <c r="C1499" s="60" t="s">
        <v>2029</v>
      </c>
      <c r="D1499" s="60" t="str">
        <f t="shared" si="23"/>
        <v>Ngoma-Nakaseke</v>
      </c>
      <c r="F1499" s="60">
        <v>1091</v>
      </c>
    </row>
    <row r="1500" spans="1:6">
      <c r="A1500" s="60" t="s">
        <v>2042</v>
      </c>
      <c r="B1500" s="60" t="s">
        <v>2029</v>
      </c>
      <c r="C1500" s="60" t="s">
        <v>2029</v>
      </c>
      <c r="D1500" s="60" t="str">
        <f t="shared" si="23"/>
        <v>Semuto</v>
      </c>
      <c r="F1500" s="60">
        <v>1092</v>
      </c>
    </row>
    <row r="1501" spans="1:6">
      <c r="A1501" s="60" t="s">
        <v>2043</v>
      </c>
      <c r="B1501" s="60" t="s">
        <v>2029</v>
      </c>
      <c r="C1501" s="60" t="s">
        <v>2029</v>
      </c>
      <c r="D1501" s="60" t="str">
        <f t="shared" si="23"/>
        <v>Semuto Town Council</v>
      </c>
      <c r="F1501" s="60">
        <v>1093</v>
      </c>
    </row>
    <row r="1502" spans="1:6">
      <c r="A1502" s="60" t="s">
        <v>2044</v>
      </c>
      <c r="B1502" s="60" t="s">
        <v>2029</v>
      </c>
      <c r="C1502" s="60" t="s">
        <v>2029</v>
      </c>
      <c r="D1502" s="60" t="str">
        <f t="shared" si="23"/>
        <v>Wakyato</v>
      </c>
      <c r="F1502" s="60">
        <v>1094</v>
      </c>
    </row>
    <row r="1503" spans="1:6">
      <c r="A1503" s="60" t="s">
        <v>2045</v>
      </c>
      <c r="B1503" s="60" t="s">
        <v>2046</v>
      </c>
      <c r="C1503" s="60" t="s">
        <v>1837</v>
      </c>
      <c r="D1503" s="60" t="str">
        <f t="shared" si="23"/>
        <v>Kakooge</v>
      </c>
      <c r="F1503" s="60">
        <v>1095</v>
      </c>
    </row>
    <row r="1504" spans="1:6">
      <c r="A1504" s="60" t="s">
        <v>2047</v>
      </c>
      <c r="B1504" s="60" t="s">
        <v>2046</v>
      </c>
      <c r="C1504" s="60" t="s">
        <v>1837</v>
      </c>
      <c r="D1504" s="60" t="str">
        <f t="shared" si="23"/>
        <v>Kakooge Town Council</v>
      </c>
      <c r="F1504" s="60">
        <v>1096</v>
      </c>
    </row>
    <row r="1505" spans="1:6">
      <c r="A1505" s="60" t="s">
        <v>2048</v>
      </c>
      <c r="B1505" s="60" t="s">
        <v>2046</v>
      </c>
      <c r="C1505" s="60" t="s">
        <v>1837</v>
      </c>
      <c r="D1505" s="60" t="str">
        <f t="shared" si="23"/>
        <v>Kalongo</v>
      </c>
      <c r="F1505" s="60">
        <v>1097</v>
      </c>
    </row>
    <row r="1506" spans="1:6">
      <c r="A1506" s="60" t="s">
        <v>2049</v>
      </c>
      <c r="B1506" s="60" t="s">
        <v>2046</v>
      </c>
      <c r="C1506" s="60" t="s">
        <v>1837</v>
      </c>
      <c r="D1506" s="60" t="str">
        <f t="shared" si="23"/>
        <v>Kalungi</v>
      </c>
      <c r="F1506" s="60">
        <v>1098</v>
      </c>
    </row>
    <row r="1507" spans="1:6">
      <c r="A1507" s="60" t="s">
        <v>2050</v>
      </c>
      <c r="B1507" s="60" t="s">
        <v>2046</v>
      </c>
      <c r="C1507" s="60" t="s">
        <v>1837</v>
      </c>
      <c r="D1507" s="60" t="str">
        <f t="shared" si="23"/>
        <v>Lwabiyata</v>
      </c>
      <c r="F1507" s="60">
        <v>1099</v>
      </c>
    </row>
    <row r="1508" spans="1:6">
      <c r="A1508" s="60" t="s">
        <v>2051</v>
      </c>
      <c r="B1508" s="60" t="s">
        <v>2046</v>
      </c>
      <c r="C1508" s="60" t="s">
        <v>1837</v>
      </c>
      <c r="D1508" s="60" t="str">
        <f t="shared" si="23"/>
        <v>Lwampanga</v>
      </c>
      <c r="F1508" s="60">
        <v>1100</v>
      </c>
    </row>
    <row r="1509" spans="1:6">
      <c r="A1509" s="60" t="s">
        <v>2052</v>
      </c>
      <c r="B1509" s="60" t="s">
        <v>2046</v>
      </c>
      <c r="C1509" s="60" t="s">
        <v>1837</v>
      </c>
      <c r="D1509" s="60" t="str">
        <f t="shared" si="23"/>
        <v>Migeera Town Council</v>
      </c>
      <c r="F1509" s="60">
        <v>1101</v>
      </c>
    </row>
    <row r="1510" spans="1:6">
      <c r="A1510" s="60" t="s">
        <v>2053</v>
      </c>
      <c r="B1510" s="60" t="s">
        <v>2046</v>
      </c>
      <c r="C1510" s="60" t="s">
        <v>1837</v>
      </c>
      <c r="D1510" s="60" t="str">
        <f t="shared" si="23"/>
        <v>Nabisweera</v>
      </c>
      <c r="F1510" s="60">
        <v>1102</v>
      </c>
    </row>
    <row r="1511" spans="1:6">
      <c r="A1511" s="60" t="s">
        <v>2054</v>
      </c>
      <c r="B1511" s="60" t="s">
        <v>2046</v>
      </c>
      <c r="C1511" s="60" t="s">
        <v>1837</v>
      </c>
      <c r="D1511" s="60" t="str">
        <f t="shared" si="23"/>
        <v>Nakasongola Town Council</v>
      </c>
      <c r="F1511" s="60">
        <v>1103</v>
      </c>
    </row>
    <row r="1512" spans="1:6">
      <c r="A1512" s="60" t="s">
        <v>2055</v>
      </c>
      <c r="F1512" s="60">
        <v>1103</v>
      </c>
    </row>
    <row r="1513" spans="1:6">
      <c r="A1513" s="60" t="s">
        <v>2056</v>
      </c>
      <c r="B1513" s="60" t="s">
        <v>2046</v>
      </c>
      <c r="C1513" s="60" t="s">
        <v>1837</v>
      </c>
      <c r="D1513" s="60" t="str">
        <f t="shared" si="23"/>
        <v>Nakitoma</v>
      </c>
      <c r="F1513" s="60">
        <v>1104</v>
      </c>
    </row>
    <row r="1514" spans="1:6">
      <c r="A1514" s="60" t="s">
        <v>2057</v>
      </c>
      <c r="B1514" s="60" t="s">
        <v>2046</v>
      </c>
      <c r="C1514" s="60" t="s">
        <v>1837</v>
      </c>
      <c r="D1514" s="60" t="str">
        <f t="shared" si="23"/>
        <v>Wabinyonyi</v>
      </c>
      <c r="F1514" s="60">
        <v>1105</v>
      </c>
    </row>
    <row r="1515" spans="1:6">
      <c r="A1515" s="60" t="s">
        <v>1123</v>
      </c>
      <c r="B1515" s="60" t="s">
        <v>2058</v>
      </c>
      <c r="C1515" s="60" t="s">
        <v>2059</v>
      </c>
      <c r="D1515" s="60" t="str">
        <f t="shared" si="23"/>
        <v>Banda</v>
      </c>
      <c r="F1515" s="60">
        <v>1106</v>
      </c>
    </row>
    <row r="1516" spans="1:6">
      <c r="A1516" s="60" t="s">
        <v>2060</v>
      </c>
      <c r="B1516" s="60" t="s">
        <v>2058</v>
      </c>
      <c r="C1516" s="60" t="s">
        <v>2059</v>
      </c>
      <c r="D1516" s="60" t="str">
        <f t="shared" si="23"/>
        <v>Buhemba</v>
      </c>
      <c r="F1516" s="60">
        <v>1107</v>
      </c>
    </row>
    <row r="1517" spans="1:6">
      <c r="A1517" s="60" t="s">
        <v>2061</v>
      </c>
      <c r="B1517" s="60" t="s">
        <v>2058</v>
      </c>
      <c r="C1517" s="60" t="s">
        <v>2059</v>
      </c>
      <c r="D1517" s="60" t="str">
        <f t="shared" si="23"/>
        <v>Bukana</v>
      </c>
      <c r="F1517" s="60">
        <v>1108</v>
      </c>
    </row>
    <row r="1518" spans="1:6">
      <c r="A1518" s="60" t="s">
        <v>2062</v>
      </c>
      <c r="B1518" s="60" t="s">
        <v>2058</v>
      </c>
      <c r="C1518" s="60" t="s">
        <v>2059</v>
      </c>
      <c r="D1518" s="60" t="str">
        <f t="shared" si="23"/>
        <v>Buswale</v>
      </c>
      <c r="F1518" s="60">
        <v>1109</v>
      </c>
    </row>
    <row r="1519" spans="1:6">
      <c r="A1519" s="60" t="s">
        <v>2063</v>
      </c>
      <c r="B1519" s="60" t="s">
        <v>2058</v>
      </c>
      <c r="C1519" s="60" t="s">
        <v>2059</v>
      </c>
      <c r="D1519" s="60" t="str">
        <f t="shared" si="23"/>
        <v>Buyinja</v>
      </c>
      <c r="F1519" s="60">
        <v>1110</v>
      </c>
    </row>
    <row r="1520" spans="1:6">
      <c r="A1520" s="60" t="s">
        <v>239</v>
      </c>
      <c r="D1520" s="60" t="str">
        <f t="shared" si="23"/>
        <v>Buboko</v>
      </c>
      <c r="F1520" s="60">
        <v>1110</v>
      </c>
    </row>
    <row r="1521" spans="1:6">
      <c r="A1521" s="60" t="s">
        <v>2064</v>
      </c>
      <c r="B1521" s="60" t="s">
        <v>2058</v>
      </c>
      <c r="C1521" s="60" t="s">
        <v>2059</v>
      </c>
      <c r="D1521" s="60" t="str">
        <f t="shared" si="23"/>
        <v>Lolwe</v>
      </c>
      <c r="F1521" s="60">
        <v>1111</v>
      </c>
    </row>
    <row r="1522" spans="1:6">
      <c r="A1522" s="60" t="s">
        <v>2065</v>
      </c>
      <c r="B1522" s="60" t="s">
        <v>2058</v>
      </c>
      <c r="C1522" s="60" t="s">
        <v>2059</v>
      </c>
      <c r="D1522" s="60" t="str">
        <f t="shared" si="23"/>
        <v>Mutumba</v>
      </c>
      <c r="F1522" s="60">
        <v>1112</v>
      </c>
    </row>
    <row r="1523" spans="1:6">
      <c r="A1523" s="60" t="s">
        <v>2066</v>
      </c>
      <c r="D1523" s="60" t="str">
        <f t="shared" si="23"/>
        <v>BUMERU-NAMAYINGO</v>
      </c>
      <c r="F1523" s="60">
        <v>1112</v>
      </c>
    </row>
    <row r="1524" spans="1:6">
      <c r="A1524" s="60" t="s">
        <v>2067</v>
      </c>
      <c r="B1524" s="60" t="s">
        <v>2058</v>
      </c>
      <c r="C1524" s="60" t="s">
        <v>2059</v>
      </c>
      <c r="D1524" s="60" t="str">
        <f t="shared" si="23"/>
        <v>Namayingo Town Council</v>
      </c>
      <c r="F1524" s="60">
        <v>1113</v>
      </c>
    </row>
    <row r="1525" spans="1:6">
      <c r="A1525" s="60" t="s">
        <v>2068</v>
      </c>
      <c r="B1525" s="60" t="s">
        <v>2058</v>
      </c>
      <c r="C1525" s="60" t="s">
        <v>2059</v>
      </c>
      <c r="D1525" s="60" t="str">
        <f t="shared" si="23"/>
        <v>Sigulu Island</v>
      </c>
      <c r="F1525" s="60">
        <v>1114</v>
      </c>
    </row>
    <row r="1526" spans="1:6">
      <c r="A1526" s="60" t="s">
        <v>2069</v>
      </c>
      <c r="B1526" s="60" t="s">
        <v>2070</v>
      </c>
      <c r="C1526" s="60" t="s">
        <v>2070</v>
      </c>
      <c r="D1526" s="60" t="str">
        <f t="shared" si="23"/>
        <v>Bubutu</v>
      </c>
      <c r="F1526" s="60">
        <v>1115</v>
      </c>
    </row>
    <row r="1527" spans="1:6">
      <c r="A1527" s="60" t="s">
        <v>2071</v>
      </c>
      <c r="B1527" s="60" t="s">
        <v>2070</v>
      </c>
      <c r="C1527" s="60" t="s">
        <v>2070</v>
      </c>
      <c r="D1527" s="60" t="str">
        <f t="shared" si="23"/>
        <v>Bukhabusi</v>
      </c>
      <c r="F1527" s="60">
        <v>1116</v>
      </c>
    </row>
    <row r="1528" spans="1:6">
      <c r="A1528" s="60" t="s">
        <v>2072</v>
      </c>
      <c r="B1528" s="60" t="s">
        <v>2070</v>
      </c>
      <c r="C1528" s="60" t="s">
        <v>2070</v>
      </c>
      <c r="D1528" s="60" t="str">
        <f t="shared" si="23"/>
        <v>Bukhaweka</v>
      </c>
      <c r="F1528" s="60">
        <v>1117</v>
      </c>
    </row>
    <row r="1529" spans="1:6">
      <c r="A1529" s="60" t="s">
        <v>2073</v>
      </c>
      <c r="B1529" s="60" t="s">
        <v>2070</v>
      </c>
      <c r="C1529" s="60" t="s">
        <v>2070</v>
      </c>
      <c r="D1529" s="60" t="str">
        <f t="shared" si="23"/>
        <v>Bukiabi</v>
      </c>
      <c r="F1529" s="60">
        <v>1118</v>
      </c>
    </row>
    <row r="1530" spans="1:6">
      <c r="A1530" s="60" t="s">
        <v>2074</v>
      </c>
      <c r="B1530" s="60" t="s">
        <v>2070</v>
      </c>
      <c r="C1530" s="60" t="s">
        <v>2070</v>
      </c>
      <c r="D1530" s="60" t="str">
        <f t="shared" si="23"/>
        <v>Bukokho</v>
      </c>
      <c r="F1530" s="60">
        <v>1119</v>
      </c>
    </row>
    <row r="1531" spans="1:6">
      <c r="A1531" s="60" t="s">
        <v>2075</v>
      </c>
      <c r="B1531" s="60" t="s">
        <v>2070</v>
      </c>
      <c r="C1531" s="60" t="s">
        <v>2070</v>
      </c>
      <c r="D1531" s="60" t="str">
        <f t="shared" si="23"/>
        <v>Bumbo</v>
      </c>
      <c r="F1531" s="60">
        <v>1120</v>
      </c>
    </row>
    <row r="1532" spans="1:6">
      <c r="A1532" s="60" t="s">
        <v>2076</v>
      </c>
      <c r="B1532" s="60" t="s">
        <v>2070</v>
      </c>
      <c r="C1532" s="60" t="s">
        <v>2070</v>
      </c>
      <c r="D1532" s="60" t="str">
        <f t="shared" si="23"/>
        <v>Bumwoni</v>
      </c>
      <c r="F1532" s="60">
        <v>1121</v>
      </c>
    </row>
    <row r="1533" spans="1:6">
      <c r="A1533" s="60" t="s">
        <v>2077</v>
      </c>
      <c r="B1533" s="60" t="s">
        <v>2070</v>
      </c>
      <c r="C1533" s="60" t="s">
        <v>2070</v>
      </c>
      <c r="D1533" s="60" t="str">
        <f t="shared" si="23"/>
        <v>Bupoto</v>
      </c>
      <c r="F1533" s="60">
        <v>1122</v>
      </c>
    </row>
    <row r="1534" spans="1:6">
      <c r="A1534" s="60" t="s">
        <v>2078</v>
      </c>
      <c r="B1534" s="60" t="s">
        <v>2070</v>
      </c>
      <c r="C1534" s="60" t="s">
        <v>2070</v>
      </c>
      <c r="D1534" s="60" t="str">
        <f t="shared" si="23"/>
        <v>Buwabwala</v>
      </c>
      <c r="F1534" s="60">
        <v>1123</v>
      </c>
    </row>
    <row r="1535" spans="1:6">
      <c r="A1535" s="60" t="s">
        <v>2079</v>
      </c>
      <c r="B1535" s="60" t="s">
        <v>2070</v>
      </c>
      <c r="C1535" s="60" t="s">
        <v>2070</v>
      </c>
      <c r="D1535" s="60" t="str">
        <f t="shared" si="23"/>
        <v>Lwakhakha Town Council</v>
      </c>
      <c r="F1535" s="60">
        <v>1124</v>
      </c>
    </row>
    <row r="1536" spans="1:6">
      <c r="A1536" s="60" t="s">
        <v>2080</v>
      </c>
      <c r="B1536" s="60" t="s">
        <v>2070</v>
      </c>
      <c r="C1536" s="60" t="s">
        <v>2070</v>
      </c>
      <c r="D1536" s="60" t="str">
        <f t="shared" si="23"/>
        <v>Magale</v>
      </c>
      <c r="F1536" s="60">
        <v>1125</v>
      </c>
    </row>
    <row r="1537" spans="1:6">
      <c r="A1537" s="60" t="s">
        <v>2081</v>
      </c>
      <c r="B1537" s="60" t="s">
        <v>2070</v>
      </c>
      <c r="C1537" s="60" t="s">
        <v>2070</v>
      </c>
      <c r="D1537" s="60" t="str">
        <f t="shared" si="23"/>
        <v>Magale Town Council</v>
      </c>
      <c r="F1537" s="60">
        <v>1126</v>
      </c>
    </row>
    <row r="1538" spans="1:6">
      <c r="A1538" s="60" t="s">
        <v>2082</v>
      </c>
      <c r="B1538" s="60" t="s">
        <v>2070</v>
      </c>
      <c r="C1538" s="60" t="s">
        <v>2070</v>
      </c>
      <c r="D1538" s="60" t="str">
        <f t="shared" si="23"/>
        <v>Mukoto</v>
      </c>
      <c r="F1538" s="60">
        <v>1127</v>
      </c>
    </row>
    <row r="1539" spans="1:6">
      <c r="A1539" s="60" t="s">
        <v>2083</v>
      </c>
      <c r="B1539" s="60" t="s">
        <v>2070</v>
      </c>
      <c r="C1539" s="60" t="s">
        <v>2070</v>
      </c>
      <c r="D1539" s="60" t="str">
        <f t="shared" si="23"/>
        <v>Namabya</v>
      </c>
      <c r="F1539" s="60">
        <v>1128</v>
      </c>
    </row>
    <row r="1540" spans="1:6">
      <c r="A1540" s="60" t="s">
        <v>2084</v>
      </c>
      <c r="B1540" s="60" t="s">
        <v>2070</v>
      </c>
      <c r="C1540" s="60" t="s">
        <v>2070</v>
      </c>
      <c r="D1540" s="60" t="str">
        <f t="shared" si="23"/>
        <v>Namboko</v>
      </c>
      <c r="F1540" s="60">
        <v>1129</v>
      </c>
    </row>
    <row r="1541" spans="1:6">
      <c r="A1541" s="60" t="s">
        <v>2085</v>
      </c>
      <c r="B1541" s="60" t="s">
        <v>2070</v>
      </c>
      <c r="C1541" s="60" t="s">
        <v>2070</v>
      </c>
      <c r="D1541" s="60" t="str">
        <f t="shared" si="23"/>
        <v>Namisindwa Town Council</v>
      </c>
      <c r="F1541" s="60">
        <v>1130</v>
      </c>
    </row>
    <row r="1542" spans="1:6">
      <c r="A1542" s="60" t="s">
        <v>2086</v>
      </c>
      <c r="B1542" s="60" t="s">
        <v>2070</v>
      </c>
      <c r="C1542" s="60" t="s">
        <v>2070</v>
      </c>
      <c r="D1542" s="60" t="str">
        <f t="shared" si="23"/>
        <v>Tsekululu</v>
      </c>
      <c r="F1542" s="60">
        <v>1131</v>
      </c>
    </row>
    <row r="1543" spans="1:6">
      <c r="A1543" s="60" t="s">
        <v>2087</v>
      </c>
      <c r="B1543" s="60" t="s">
        <v>2088</v>
      </c>
      <c r="C1543" s="60" t="s">
        <v>2089</v>
      </c>
      <c r="D1543" s="60" t="str">
        <f t="shared" si="23"/>
        <v>Bulange</v>
      </c>
      <c r="F1543" s="60">
        <v>1132</v>
      </c>
    </row>
    <row r="1544" spans="1:6">
      <c r="A1544" s="60" t="s">
        <v>2090</v>
      </c>
      <c r="B1544" s="60" t="s">
        <v>2088</v>
      </c>
      <c r="C1544" s="60" t="s">
        <v>2089</v>
      </c>
      <c r="D1544" s="60" t="str">
        <f t="shared" si="23"/>
        <v>Ivukula</v>
      </c>
      <c r="F1544" s="60">
        <v>1133</v>
      </c>
    </row>
    <row r="1545" spans="1:6">
      <c r="A1545" s="60" t="s">
        <v>1539</v>
      </c>
      <c r="B1545" s="60" t="s">
        <v>2088</v>
      </c>
      <c r="C1545" s="60" t="s">
        <v>2089</v>
      </c>
      <c r="D1545" s="60" t="str">
        <f t="shared" si="23"/>
        <v>Kibaale</v>
      </c>
      <c r="F1545" s="60">
        <v>1134</v>
      </c>
    </row>
    <row r="1546" spans="1:6">
      <c r="A1546" s="60" t="s">
        <v>2091</v>
      </c>
      <c r="B1546" s="60" t="s">
        <v>2088</v>
      </c>
      <c r="C1546" s="60" t="s">
        <v>2089</v>
      </c>
      <c r="D1546" s="60" t="str">
        <f t="shared" si="23"/>
        <v>Magada</v>
      </c>
      <c r="F1546" s="60">
        <v>1135</v>
      </c>
    </row>
    <row r="1547" spans="1:6">
      <c r="A1547" s="60" t="s">
        <v>2527</v>
      </c>
      <c r="F1547" s="60">
        <v>1135</v>
      </c>
    </row>
    <row r="1548" spans="1:6">
      <c r="A1548" s="60" t="s">
        <v>2092</v>
      </c>
      <c r="B1548" s="60" t="s">
        <v>2088</v>
      </c>
      <c r="C1548" s="60" t="s">
        <v>2089</v>
      </c>
      <c r="D1548" s="60" t="str">
        <f t="shared" si="23"/>
        <v>Nabweyo</v>
      </c>
      <c r="F1548" s="60">
        <v>1136</v>
      </c>
    </row>
    <row r="1549" spans="1:6">
      <c r="A1549" s="60" t="s">
        <v>2088</v>
      </c>
      <c r="B1549" s="60" t="s">
        <v>2088</v>
      </c>
      <c r="C1549" s="60" t="s">
        <v>2089</v>
      </c>
      <c r="D1549" s="60" t="str">
        <f t="shared" si="23"/>
        <v>Namutumba</v>
      </c>
      <c r="F1549" s="60">
        <v>1137</v>
      </c>
    </row>
    <row r="1550" spans="1:6">
      <c r="A1550" s="60" t="s">
        <v>2093</v>
      </c>
      <c r="B1550" s="60" t="s">
        <v>2088</v>
      </c>
      <c r="C1550" s="60" t="s">
        <v>2089</v>
      </c>
      <c r="D1550" s="60" t="str">
        <f t="shared" si="23"/>
        <v>Namutumba Town Council</v>
      </c>
      <c r="F1550" s="60">
        <v>1138</v>
      </c>
    </row>
    <row r="1551" spans="1:6">
      <c r="A1551" s="60" t="s">
        <v>2094</v>
      </c>
      <c r="B1551" s="60" t="s">
        <v>2088</v>
      </c>
      <c r="C1551" s="60" t="s">
        <v>2089</v>
      </c>
      <c r="D1551" s="60" t="str">
        <f t="shared" si="23"/>
        <v>Nangonde</v>
      </c>
      <c r="F1551" s="60">
        <v>1139</v>
      </c>
    </row>
    <row r="1552" spans="1:6">
      <c r="A1552" s="60" t="s">
        <v>2095</v>
      </c>
      <c r="B1552" s="60" t="s">
        <v>2088</v>
      </c>
      <c r="C1552" s="60" t="s">
        <v>2089</v>
      </c>
      <c r="D1552" s="60" t="str">
        <f t="shared" si="23"/>
        <v>Nsinze</v>
      </c>
      <c r="F1552" s="60">
        <v>1140</v>
      </c>
    </row>
    <row r="1553" spans="1:6">
      <c r="A1553" s="60" t="s">
        <v>2096</v>
      </c>
      <c r="B1553" s="60" t="s">
        <v>2097</v>
      </c>
      <c r="C1553" s="60" t="s">
        <v>2098</v>
      </c>
      <c r="D1553" s="60" t="str">
        <f t="shared" si="23"/>
        <v>Iriiri</v>
      </c>
      <c r="F1553" s="60">
        <v>1141</v>
      </c>
    </row>
    <row r="1554" spans="1:6">
      <c r="A1554" s="60" t="s">
        <v>2099</v>
      </c>
      <c r="B1554" s="60" t="s">
        <v>2097</v>
      </c>
      <c r="C1554" s="60" t="s">
        <v>2098</v>
      </c>
      <c r="D1554" s="60" t="str">
        <f t="shared" si="23"/>
        <v>Lokopo</v>
      </c>
      <c r="F1554" s="60">
        <v>1142</v>
      </c>
    </row>
    <row r="1555" spans="1:6">
      <c r="A1555" s="60" t="s">
        <v>2100</v>
      </c>
      <c r="B1555" s="60" t="s">
        <v>2097</v>
      </c>
      <c r="C1555" s="60" t="s">
        <v>2098</v>
      </c>
      <c r="D1555" s="60" t="str">
        <f t="shared" si="23"/>
        <v>Lopeei</v>
      </c>
      <c r="F1555" s="60">
        <v>1143</v>
      </c>
    </row>
    <row r="1556" spans="1:6">
      <c r="A1556" s="60" t="s">
        <v>2101</v>
      </c>
      <c r="B1556" s="60" t="s">
        <v>2097</v>
      </c>
      <c r="C1556" s="60" t="s">
        <v>2098</v>
      </c>
      <c r="D1556" s="60" t="str">
        <f t="shared" si="23"/>
        <v>Lorengecora</v>
      </c>
      <c r="F1556" s="60">
        <v>1144</v>
      </c>
    </row>
    <row r="1557" spans="1:6">
      <c r="A1557" s="60" t="s">
        <v>2102</v>
      </c>
      <c r="B1557" s="60" t="s">
        <v>2097</v>
      </c>
      <c r="C1557" s="60" t="s">
        <v>2098</v>
      </c>
      <c r="D1557" s="60" t="str">
        <f t="shared" si="23"/>
        <v>Lotome</v>
      </c>
      <c r="F1557" s="60">
        <v>1145</v>
      </c>
    </row>
    <row r="1558" spans="1:6">
      <c r="A1558" s="60" t="s">
        <v>2103</v>
      </c>
      <c r="B1558" s="60" t="s">
        <v>2097</v>
      </c>
      <c r="C1558" s="60" t="s">
        <v>2098</v>
      </c>
      <c r="D1558" s="60" t="str">
        <f t="shared" si="23"/>
        <v>Matany</v>
      </c>
      <c r="F1558" s="60">
        <v>1146</v>
      </c>
    </row>
    <row r="1559" spans="1:6">
      <c r="A1559" s="60" t="s">
        <v>2104</v>
      </c>
      <c r="B1559" s="60" t="s">
        <v>2097</v>
      </c>
      <c r="C1559" s="60" t="s">
        <v>2098</v>
      </c>
      <c r="D1559" s="60" t="str">
        <f t="shared" si="23"/>
        <v>Napak Town Council</v>
      </c>
      <c r="F1559" s="60">
        <v>1147</v>
      </c>
    </row>
    <row r="1560" spans="1:6">
      <c r="A1560" s="60" t="s">
        <v>2105</v>
      </c>
      <c r="B1560" s="60" t="s">
        <v>2097</v>
      </c>
      <c r="C1560" s="60" t="s">
        <v>2098</v>
      </c>
      <c r="D1560" s="60" t="str">
        <f t="shared" si="23"/>
        <v>Ngoleriet</v>
      </c>
      <c r="F1560" s="60">
        <v>1148</v>
      </c>
    </row>
    <row r="1561" spans="1:6">
      <c r="A1561" s="60" t="s">
        <v>2106</v>
      </c>
      <c r="B1561" s="60" t="s">
        <v>2107</v>
      </c>
      <c r="C1561" s="60" t="s">
        <v>2108</v>
      </c>
      <c r="D1561" s="60" t="str">
        <f t="shared" si="23"/>
        <v>Akworo</v>
      </c>
      <c r="F1561" s="60">
        <v>1149</v>
      </c>
    </row>
    <row r="1562" spans="1:6">
      <c r="A1562" s="60" t="s">
        <v>2109</v>
      </c>
      <c r="B1562" s="60" t="s">
        <v>2107</v>
      </c>
      <c r="C1562" s="60" t="s">
        <v>2108</v>
      </c>
      <c r="D1562" s="60" t="str">
        <f t="shared" si="23"/>
        <v>Atego</v>
      </c>
      <c r="F1562" s="60">
        <v>1150</v>
      </c>
    </row>
    <row r="1563" spans="1:6">
      <c r="A1563" s="60" t="s">
        <v>2110</v>
      </c>
      <c r="B1563" s="60" t="s">
        <v>2107</v>
      </c>
      <c r="C1563" s="60" t="s">
        <v>2108</v>
      </c>
      <c r="D1563" s="60" t="str">
        <f t="shared" ref="D1563:D1626" si="24">A1563</f>
        <v>Erussi</v>
      </c>
      <c r="F1563" s="60">
        <v>1151</v>
      </c>
    </row>
    <row r="1564" spans="1:6">
      <c r="A1564" s="60" t="s">
        <v>2111</v>
      </c>
      <c r="B1564" s="60" t="s">
        <v>2107</v>
      </c>
      <c r="C1564" s="60" t="s">
        <v>2108</v>
      </c>
      <c r="D1564" s="60" t="str">
        <f t="shared" si="24"/>
        <v>Kucwiny</v>
      </c>
      <c r="F1564" s="60">
        <v>1152</v>
      </c>
    </row>
    <row r="1565" spans="1:6">
      <c r="A1565" s="60" t="s">
        <v>2112</v>
      </c>
      <c r="B1565" s="60" t="s">
        <v>2107</v>
      </c>
      <c r="C1565" s="60" t="s">
        <v>2108</v>
      </c>
      <c r="D1565" s="60" t="str">
        <f t="shared" si="24"/>
        <v>Ndhew</v>
      </c>
      <c r="F1565" s="60">
        <v>1153</v>
      </c>
    </row>
    <row r="1566" spans="1:6">
      <c r="A1566" s="60" t="s">
        <v>2107</v>
      </c>
      <c r="B1566" s="60" t="s">
        <v>2107</v>
      </c>
      <c r="C1566" s="60" t="s">
        <v>2108</v>
      </c>
      <c r="D1566" s="60" t="str">
        <f t="shared" si="24"/>
        <v>Nebbi</v>
      </c>
      <c r="F1566" s="60">
        <v>1154</v>
      </c>
    </row>
    <row r="1567" spans="1:6">
      <c r="A1567" s="60" t="s">
        <v>2113</v>
      </c>
      <c r="B1567" s="60" t="s">
        <v>2107</v>
      </c>
      <c r="C1567" s="60" t="s">
        <v>2113</v>
      </c>
      <c r="D1567" s="60" t="str">
        <f t="shared" si="24"/>
        <v>Nebbi Municipality</v>
      </c>
      <c r="F1567" s="60">
        <v>1155</v>
      </c>
    </row>
    <row r="1568" spans="1:6">
      <c r="A1568" s="60" t="s">
        <v>2114</v>
      </c>
      <c r="B1568" s="60" t="s">
        <v>2107</v>
      </c>
      <c r="C1568" s="60" t="s">
        <v>2108</v>
      </c>
      <c r="D1568" s="60" t="str">
        <f t="shared" si="24"/>
        <v>Nyaravur</v>
      </c>
      <c r="F1568" s="60">
        <v>1156</v>
      </c>
    </row>
    <row r="1569" spans="1:6">
      <c r="A1569" s="60" t="s">
        <v>2115</v>
      </c>
      <c r="B1569" s="60" t="s">
        <v>2107</v>
      </c>
      <c r="C1569" s="60" t="s">
        <v>2108</v>
      </c>
      <c r="D1569" s="60" t="str">
        <f t="shared" si="24"/>
        <v>Parombo</v>
      </c>
      <c r="F1569" s="60">
        <v>1157</v>
      </c>
    </row>
    <row r="1570" spans="1:6">
      <c r="A1570" s="60" t="s">
        <v>2116</v>
      </c>
      <c r="B1570" s="60" t="s">
        <v>2117</v>
      </c>
      <c r="C1570" s="60" t="s">
        <v>2117</v>
      </c>
      <c r="D1570" s="60" t="str">
        <f t="shared" si="24"/>
        <v>Kapir</v>
      </c>
      <c r="F1570" s="60">
        <v>1158</v>
      </c>
    </row>
    <row r="1571" spans="1:6">
      <c r="A1571" s="60" t="s">
        <v>2118</v>
      </c>
      <c r="B1571" s="60" t="s">
        <v>2117</v>
      </c>
      <c r="C1571" s="60" t="s">
        <v>2117</v>
      </c>
      <c r="D1571" s="60" t="str">
        <f t="shared" si="24"/>
        <v>Kobwin</v>
      </c>
      <c r="F1571" s="60">
        <v>1159</v>
      </c>
    </row>
    <row r="1572" spans="1:6">
      <c r="A1572" s="60" t="s">
        <v>2119</v>
      </c>
      <c r="B1572" s="60" t="s">
        <v>2117</v>
      </c>
      <c r="C1572" s="60" t="s">
        <v>2117</v>
      </c>
      <c r="D1572" s="60" t="str">
        <f t="shared" si="24"/>
        <v>Mukura</v>
      </c>
      <c r="F1572" s="60">
        <v>1160</v>
      </c>
    </row>
    <row r="1573" spans="1:6">
      <c r="A1573" s="60" t="s">
        <v>2117</v>
      </c>
      <c r="B1573" s="60" t="s">
        <v>2117</v>
      </c>
      <c r="C1573" s="60" t="s">
        <v>2117</v>
      </c>
      <c r="D1573" s="60" t="str">
        <f t="shared" si="24"/>
        <v>Ngora</v>
      </c>
      <c r="F1573" s="60">
        <v>1161</v>
      </c>
    </row>
    <row r="1574" spans="1:6">
      <c r="A1574" s="60" t="s">
        <v>2120</v>
      </c>
      <c r="B1574" s="60" t="s">
        <v>2117</v>
      </c>
      <c r="C1574" s="60" t="s">
        <v>2117</v>
      </c>
      <c r="D1574" s="60" t="str">
        <f t="shared" si="24"/>
        <v>Ngora Town Council</v>
      </c>
      <c r="F1574" s="60">
        <v>1162</v>
      </c>
    </row>
    <row r="1575" spans="1:6">
      <c r="A1575" s="60" t="s">
        <v>2121</v>
      </c>
      <c r="B1575" s="60" t="s">
        <v>2122</v>
      </c>
      <c r="C1575" s="60" t="s">
        <v>2122</v>
      </c>
      <c r="D1575" s="60" t="str">
        <f t="shared" si="24"/>
        <v>Butungama</v>
      </c>
      <c r="F1575" s="60">
        <v>1163</v>
      </c>
    </row>
    <row r="1576" spans="1:6">
      <c r="A1576" s="60" t="s">
        <v>2123</v>
      </c>
      <c r="B1576" s="60" t="s">
        <v>2122</v>
      </c>
      <c r="C1576" s="60" t="s">
        <v>2122</v>
      </c>
      <c r="D1576" s="60" t="str">
        <f t="shared" si="24"/>
        <v>Bweramule</v>
      </c>
      <c r="F1576" s="60">
        <v>1164</v>
      </c>
    </row>
    <row r="1577" spans="1:6">
      <c r="A1577" s="60" t="s">
        <v>2124</v>
      </c>
      <c r="B1577" s="60" t="s">
        <v>2122</v>
      </c>
      <c r="C1577" s="60" t="s">
        <v>2122</v>
      </c>
      <c r="D1577" s="60" t="str">
        <f t="shared" si="24"/>
        <v>Kanara Town Council</v>
      </c>
      <c r="F1577" s="60">
        <v>1165</v>
      </c>
    </row>
    <row r="1578" spans="1:6">
      <c r="A1578" s="60" t="s">
        <v>2125</v>
      </c>
      <c r="B1578" s="60" t="s">
        <v>2122</v>
      </c>
      <c r="C1578" s="60" t="s">
        <v>2122</v>
      </c>
      <c r="D1578" s="60" t="str">
        <f t="shared" si="24"/>
        <v>Kanara-Ntoroko</v>
      </c>
      <c r="F1578" s="60">
        <v>1166</v>
      </c>
    </row>
    <row r="1579" spans="1:6">
      <c r="A1579" s="60" t="s">
        <v>2126</v>
      </c>
      <c r="B1579" s="60" t="s">
        <v>2122</v>
      </c>
      <c r="C1579" s="60" t="s">
        <v>2122</v>
      </c>
      <c r="D1579" s="60" t="str">
        <f t="shared" si="24"/>
        <v>Karugutu</v>
      </c>
      <c r="F1579" s="60">
        <v>1167</v>
      </c>
    </row>
    <row r="1580" spans="1:6">
      <c r="A1580" s="60" t="s">
        <v>2127</v>
      </c>
      <c r="B1580" s="60" t="s">
        <v>2122</v>
      </c>
      <c r="C1580" s="60" t="s">
        <v>2122</v>
      </c>
      <c r="D1580" s="60" t="str">
        <f t="shared" si="24"/>
        <v>Karugutu Town Council</v>
      </c>
      <c r="F1580" s="60">
        <v>1168</v>
      </c>
    </row>
    <row r="1581" spans="1:6">
      <c r="A1581" s="60" t="s">
        <v>2128</v>
      </c>
      <c r="B1581" s="60" t="s">
        <v>2122</v>
      </c>
      <c r="C1581" s="60" t="s">
        <v>2122</v>
      </c>
      <c r="D1581" s="60" t="str">
        <f t="shared" si="24"/>
        <v>Kibuuku Town Council</v>
      </c>
      <c r="F1581" s="60">
        <v>1169</v>
      </c>
    </row>
    <row r="1582" spans="1:6">
      <c r="A1582" s="60" t="s">
        <v>2129</v>
      </c>
      <c r="B1582" s="60" t="s">
        <v>2122</v>
      </c>
      <c r="C1582" s="60" t="s">
        <v>2122</v>
      </c>
      <c r="D1582" s="60" t="str">
        <f t="shared" si="24"/>
        <v>Nombe</v>
      </c>
      <c r="F1582" s="60">
        <v>1170</v>
      </c>
    </row>
    <row r="1583" spans="1:6">
      <c r="A1583" s="60" t="s">
        <v>2130</v>
      </c>
      <c r="B1583" s="60" t="s">
        <v>2122</v>
      </c>
      <c r="C1583" s="60" t="s">
        <v>2122</v>
      </c>
      <c r="D1583" s="60" t="str">
        <f t="shared" si="24"/>
        <v>Rwebisengo</v>
      </c>
      <c r="F1583" s="60">
        <v>1171</v>
      </c>
    </row>
    <row r="1584" spans="1:6">
      <c r="A1584" s="60" t="s">
        <v>2131</v>
      </c>
      <c r="B1584" s="60" t="s">
        <v>2122</v>
      </c>
      <c r="C1584" s="60" t="s">
        <v>2122</v>
      </c>
      <c r="D1584" s="60" t="str">
        <f t="shared" si="24"/>
        <v>Rwebisengo Town Council</v>
      </c>
      <c r="F1584" s="60">
        <v>1172</v>
      </c>
    </row>
    <row r="1585" spans="1:6">
      <c r="A1585" s="60" t="s">
        <v>2132</v>
      </c>
      <c r="B1585" s="60" t="s">
        <v>50</v>
      </c>
      <c r="C1585" s="60" t="s">
        <v>2133</v>
      </c>
      <c r="D1585" s="60" t="str">
        <f t="shared" si="24"/>
        <v>Bwongyera</v>
      </c>
      <c r="F1585" s="60">
        <v>1173</v>
      </c>
    </row>
    <row r="1586" spans="1:6">
      <c r="A1586" s="60" t="s">
        <v>2134</v>
      </c>
      <c r="B1586" s="60" t="s">
        <v>50</v>
      </c>
      <c r="C1586" s="60" t="s">
        <v>2133</v>
      </c>
      <c r="D1586" s="60" t="str">
        <f t="shared" si="24"/>
        <v>Ihunga</v>
      </c>
      <c r="F1586" s="60">
        <v>1174</v>
      </c>
    </row>
    <row r="1587" spans="1:6">
      <c r="A1587" s="60" t="s">
        <v>2135</v>
      </c>
      <c r="B1587" s="60" t="s">
        <v>50</v>
      </c>
      <c r="C1587" s="60" t="s">
        <v>2136</v>
      </c>
      <c r="D1587" s="60" t="str">
        <f t="shared" si="24"/>
        <v>Itojo</v>
      </c>
      <c r="F1587" s="60">
        <v>1175</v>
      </c>
    </row>
    <row r="1588" spans="1:6">
      <c r="A1588" s="60" t="s">
        <v>2137</v>
      </c>
      <c r="B1588" s="60" t="s">
        <v>50</v>
      </c>
      <c r="C1588" s="60" t="s">
        <v>2133</v>
      </c>
      <c r="D1588" s="60" t="str">
        <f t="shared" si="24"/>
        <v>Kagarama Town Council</v>
      </c>
      <c r="F1588" s="60">
        <v>1176</v>
      </c>
    </row>
    <row r="1589" spans="1:6">
      <c r="A1589" s="60" t="s">
        <v>2138</v>
      </c>
      <c r="B1589" s="60" t="s">
        <v>50</v>
      </c>
      <c r="C1589" s="60" t="s">
        <v>2139</v>
      </c>
      <c r="D1589" s="60" t="str">
        <f t="shared" si="24"/>
        <v>Kayonza-Ntungamo</v>
      </c>
      <c r="F1589" s="60">
        <v>1177</v>
      </c>
    </row>
    <row r="1590" spans="1:6">
      <c r="A1590" s="60" t="s">
        <v>2140</v>
      </c>
      <c r="B1590" s="60" t="s">
        <v>50</v>
      </c>
      <c r="C1590" s="60" t="s">
        <v>2133</v>
      </c>
      <c r="D1590" s="60" t="str">
        <f t="shared" si="24"/>
        <v>Kibatsi</v>
      </c>
      <c r="F1590" s="60">
        <v>1178</v>
      </c>
    </row>
    <row r="1591" spans="1:6">
      <c r="A1591" s="60" t="s">
        <v>2141</v>
      </c>
      <c r="B1591" s="60" t="s">
        <v>50</v>
      </c>
      <c r="C1591" s="60" t="s">
        <v>2136</v>
      </c>
      <c r="D1591" s="60" t="str">
        <f t="shared" si="24"/>
        <v>Kitwe Town Council</v>
      </c>
      <c r="F1591" s="60">
        <v>1179</v>
      </c>
    </row>
    <row r="1592" spans="1:6">
      <c r="A1592" s="60" t="s">
        <v>2142</v>
      </c>
      <c r="B1592" s="60" t="s">
        <v>50</v>
      </c>
      <c r="C1592" s="60" t="s">
        <v>2139</v>
      </c>
      <c r="D1592" s="60" t="str">
        <f t="shared" si="24"/>
        <v>Ngoma-Ntungamo</v>
      </c>
      <c r="F1592" s="60">
        <v>1180</v>
      </c>
    </row>
    <row r="1593" spans="1:6">
      <c r="A1593" s="60" t="s">
        <v>50</v>
      </c>
      <c r="B1593" s="60" t="s">
        <v>50</v>
      </c>
      <c r="C1593" s="60" t="s">
        <v>2136</v>
      </c>
      <c r="D1593" s="60" t="str">
        <f t="shared" si="24"/>
        <v>Ntungamo</v>
      </c>
      <c r="F1593" s="60">
        <v>1181</v>
      </c>
    </row>
    <row r="1594" spans="1:6">
      <c r="A1594" s="60" t="s">
        <v>2143</v>
      </c>
      <c r="B1594" s="60" t="s">
        <v>50</v>
      </c>
      <c r="C1594" s="60" t="s">
        <v>2143</v>
      </c>
      <c r="D1594" s="60" t="str">
        <f t="shared" si="24"/>
        <v>Ntungamo Municipality</v>
      </c>
      <c r="F1594" s="60">
        <v>1182</v>
      </c>
    </row>
    <row r="1595" spans="1:6">
      <c r="A1595" s="60" t="s">
        <v>2144</v>
      </c>
      <c r="B1595" s="60" t="s">
        <v>50</v>
      </c>
      <c r="C1595" s="60" t="s">
        <v>2133</v>
      </c>
      <c r="D1595" s="60" t="str">
        <f t="shared" si="24"/>
        <v>Nyabihoko</v>
      </c>
      <c r="F1595" s="60">
        <v>1183</v>
      </c>
    </row>
    <row r="1596" spans="1:6">
      <c r="A1596" s="60" t="s">
        <v>2145</v>
      </c>
      <c r="B1596" s="60" t="s">
        <v>50</v>
      </c>
      <c r="C1596" s="60" t="s">
        <v>2136</v>
      </c>
      <c r="D1596" s="60" t="str">
        <f t="shared" si="24"/>
        <v>Nyakyera</v>
      </c>
      <c r="F1596" s="60">
        <v>1184</v>
      </c>
    </row>
    <row r="1597" spans="1:6">
      <c r="A1597" s="60" t="s">
        <v>59</v>
      </c>
      <c r="B1597" s="60" t="s">
        <v>50</v>
      </c>
      <c r="C1597" s="60" t="s">
        <v>2139</v>
      </c>
      <c r="D1597" s="60" t="str">
        <f t="shared" si="24"/>
        <v>Rubaare</v>
      </c>
      <c r="F1597" s="60">
        <v>1185</v>
      </c>
    </row>
    <row r="1598" spans="1:6">
      <c r="A1598" s="60" t="s">
        <v>2146</v>
      </c>
      <c r="B1598" s="60" t="s">
        <v>50</v>
      </c>
      <c r="C1598" s="60" t="s">
        <v>2139</v>
      </c>
      <c r="D1598" s="60" t="str">
        <f t="shared" si="24"/>
        <v>Rubaare Town Council</v>
      </c>
      <c r="F1598" s="60">
        <v>1186</v>
      </c>
    </row>
    <row r="1599" spans="1:6">
      <c r="A1599" s="60" t="s">
        <v>2147</v>
      </c>
      <c r="B1599" s="60" t="s">
        <v>50</v>
      </c>
      <c r="C1599" s="60" t="s">
        <v>2139</v>
      </c>
      <c r="D1599" s="60" t="str">
        <f t="shared" si="24"/>
        <v>Rugarama-Ntungamo</v>
      </c>
      <c r="F1599" s="60">
        <v>1187</v>
      </c>
    </row>
    <row r="1600" spans="1:6">
      <c r="A1600" s="60" t="s">
        <v>2136</v>
      </c>
      <c r="B1600" s="60" t="s">
        <v>50</v>
      </c>
      <c r="C1600" s="60" t="s">
        <v>2136</v>
      </c>
      <c r="D1600" s="60" t="str">
        <f t="shared" si="24"/>
        <v>Ruhaama</v>
      </c>
      <c r="F1600" s="60">
        <v>1188</v>
      </c>
    </row>
    <row r="1601" spans="1:6">
      <c r="A1601" s="60" t="s">
        <v>2148</v>
      </c>
      <c r="B1601" s="60" t="s">
        <v>50</v>
      </c>
      <c r="C1601" s="60" t="s">
        <v>2136</v>
      </c>
      <c r="D1601" s="60" t="str">
        <f t="shared" si="24"/>
        <v>Rukoni East</v>
      </c>
      <c r="F1601" s="60">
        <v>1189</v>
      </c>
    </row>
    <row r="1602" spans="1:6">
      <c r="A1602" s="60" t="s">
        <v>2149</v>
      </c>
      <c r="B1602" s="60" t="s">
        <v>50</v>
      </c>
      <c r="C1602" s="60" t="s">
        <v>2136</v>
      </c>
      <c r="D1602" s="60" t="str">
        <f t="shared" si="24"/>
        <v>Rukoni West</v>
      </c>
      <c r="F1602" s="60">
        <v>1190</v>
      </c>
    </row>
    <row r="1603" spans="1:6">
      <c r="A1603" s="60" t="s">
        <v>2150</v>
      </c>
      <c r="B1603" s="60" t="s">
        <v>50</v>
      </c>
      <c r="C1603" s="60" t="s">
        <v>2133</v>
      </c>
      <c r="D1603" s="60" t="str">
        <f t="shared" si="24"/>
        <v>Rwashamaire Town Council</v>
      </c>
      <c r="F1603" s="60">
        <v>1191</v>
      </c>
    </row>
    <row r="1604" spans="1:6">
      <c r="A1604" s="60" t="s">
        <v>2151</v>
      </c>
      <c r="B1604" s="60" t="s">
        <v>50</v>
      </c>
      <c r="C1604" s="60" t="s">
        <v>2136</v>
      </c>
      <c r="D1604" s="60" t="str">
        <f t="shared" si="24"/>
        <v>Rweikiniro</v>
      </c>
      <c r="F1604" s="60">
        <v>1192</v>
      </c>
    </row>
    <row r="1605" spans="1:6">
      <c r="A1605" s="60" t="s">
        <v>2152</v>
      </c>
      <c r="B1605" s="60" t="s">
        <v>2153</v>
      </c>
      <c r="C1605" s="60" t="s">
        <v>2153</v>
      </c>
      <c r="D1605" s="60" t="str">
        <f t="shared" si="24"/>
        <v>Alero</v>
      </c>
      <c r="F1605" s="60">
        <v>1193</v>
      </c>
    </row>
    <row r="1606" spans="1:6">
      <c r="A1606" s="60" t="s">
        <v>2154</v>
      </c>
      <c r="B1606" s="60" t="s">
        <v>2153</v>
      </c>
      <c r="C1606" s="60" t="s">
        <v>2153</v>
      </c>
      <c r="D1606" s="60" t="str">
        <f t="shared" si="24"/>
        <v>Anaka Payira</v>
      </c>
      <c r="F1606" s="60">
        <v>1194</v>
      </c>
    </row>
    <row r="1607" spans="1:6">
      <c r="A1607" s="60" t="s">
        <v>2155</v>
      </c>
      <c r="B1607" s="60" t="s">
        <v>2153</v>
      </c>
      <c r="C1607" s="60" t="s">
        <v>2153</v>
      </c>
      <c r="D1607" s="60" t="str">
        <f t="shared" si="24"/>
        <v>Anaka Town Council</v>
      </c>
      <c r="F1607" s="60">
        <v>1195</v>
      </c>
    </row>
    <row r="1608" spans="1:6">
      <c r="A1608" s="60" t="s">
        <v>2156</v>
      </c>
      <c r="B1608" s="60" t="s">
        <v>2153</v>
      </c>
      <c r="C1608" s="60" t="s">
        <v>2153</v>
      </c>
      <c r="D1608" s="60" t="str">
        <f t="shared" si="24"/>
        <v>Koch-Goma</v>
      </c>
      <c r="F1608" s="60">
        <v>1196</v>
      </c>
    </row>
    <row r="1609" spans="1:6">
      <c r="A1609" s="60" t="s">
        <v>2157</v>
      </c>
      <c r="B1609" s="60" t="s">
        <v>2153</v>
      </c>
      <c r="C1609" s="60" t="s">
        <v>2153</v>
      </c>
      <c r="D1609" s="60" t="str">
        <f t="shared" si="24"/>
        <v>Purongo</v>
      </c>
      <c r="F1609" s="60">
        <v>1197</v>
      </c>
    </row>
    <row r="1610" spans="1:6">
      <c r="A1610" s="60" t="s">
        <v>2158</v>
      </c>
      <c r="B1610" s="60" t="s">
        <v>549</v>
      </c>
      <c r="C1610" s="60" t="s">
        <v>549</v>
      </c>
      <c r="D1610" s="60" t="str">
        <f t="shared" si="24"/>
        <v>Bobi</v>
      </c>
      <c r="F1610" s="60">
        <v>1198</v>
      </c>
    </row>
    <row r="1611" spans="1:6">
      <c r="A1611" s="60" t="s">
        <v>2159</v>
      </c>
      <c r="B1611" s="60" t="s">
        <v>549</v>
      </c>
      <c r="C1611" s="60" t="s">
        <v>549</v>
      </c>
      <c r="D1611" s="60" t="str">
        <f t="shared" si="24"/>
        <v>Koro</v>
      </c>
      <c r="F1611" s="60">
        <v>1199</v>
      </c>
    </row>
    <row r="1612" spans="1:6">
      <c r="A1612" s="60" t="s">
        <v>2160</v>
      </c>
      <c r="B1612" s="60" t="s">
        <v>549</v>
      </c>
      <c r="C1612" s="60" t="s">
        <v>549</v>
      </c>
      <c r="D1612" s="60" t="str">
        <f t="shared" si="24"/>
        <v>Lakwana</v>
      </c>
      <c r="F1612" s="60">
        <v>1200</v>
      </c>
    </row>
    <row r="1613" spans="1:6">
      <c r="A1613" s="60" t="s">
        <v>2161</v>
      </c>
      <c r="B1613" s="60" t="s">
        <v>549</v>
      </c>
      <c r="C1613" s="60" t="s">
        <v>549</v>
      </c>
      <c r="D1613" s="60" t="str">
        <f t="shared" si="24"/>
        <v>Lalogi</v>
      </c>
      <c r="F1613" s="60">
        <v>1201</v>
      </c>
    </row>
    <row r="1614" spans="1:6">
      <c r="A1614" s="60" t="s">
        <v>2162</v>
      </c>
      <c r="B1614" s="60" t="s">
        <v>549</v>
      </c>
      <c r="C1614" s="60" t="s">
        <v>549</v>
      </c>
      <c r="D1614" s="60" t="str">
        <f t="shared" si="24"/>
        <v>Odek</v>
      </c>
      <c r="F1614" s="60">
        <v>1202</v>
      </c>
    </row>
    <row r="1615" spans="1:6">
      <c r="A1615" s="60" t="s">
        <v>2163</v>
      </c>
      <c r="B1615" s="60" t="s">
        <v>549</v>
      </c>
      <c r="C1615" s="60" t="s">
        <v>549</v>
      </c>
      <c r="D1615" s="60" t="str">
        <f t="shared" si="24"/>
        <v>Omoro Town Council</v>
      </c>
      <c r="F1615" s="60">
        <v>1203</v>
      </c>
    </row>
    <row r="1616" spans="1:6">
      <c r="A1616" s="60" t="s">
        <v>2164</v>
      </c>
      <c r="B1616" s="60" t="s">
        <v>549</v>
      </c>
      <c r="C1616" s="60" t="s">
        <v>549</v>
      </c>
      <c r="D1616" s="60" t="str">
        <f t="shared" si="24"/>
        <v>Ongako</v>
      </c>
      <c r="F1616" s="60">
        <v>1204</v>
      </c>
    </row>
    <row r="1617" spans="1:6">
      <c r="A1617" s="60" t="s">
        <v>2165</v>
      </c>
      <c r="B1617" s="60" t="s">
        <v>2166</v>
      </c>
      <c r="C1617" s="60" t="s">
        <v>2166</v>
      </c>
      <c r="D1617" s="60" t="str">
        <f t="shared" si="24"/>
        <v>Adwari</v>
      </c>
      <c r="F1617" s="60">
        <v>1205</v>
      </c>
    </row>
    <row r="1618" spans="1:6">
      <c r="A1618" s="60" t="s">
        <v>2167</v>
      </c>
      <c r="B1618" s="60" t="s">
        <v>2166</v>
      </c>
      <c r="C1618" s="60" t="s">
        <v>2166</v>
      </c>
      <c r="D1618" s="60" t="str">
        <f t="shared" si="24"/>
        <v>Alango</v>
      </c>
      <c r="F1618" s="60">
        <v>1206</v>
      </c>
    </row>
    <row r="1619" spans="1:6">
      <c r="A1619" s="60" t="s">
        <v>2168</v>
      </c>
      <c r="B1619" s="60" t="s">
        <v>2166</v>
      </c>
      <c r="C1619" s="60" t="s">
        <v>2166</v>
      </c>
      <c r="D1619" s="60" t="str">
        <f t="shared" si="24"/>
        <v>Ogor</v>
      </c>
      <c r="F1619" s="60">
        <v>1207</v>
      </c>
    </row>
    <row r="1620" spans="1:6">
      <c r="A1620" s="60" t="s">
        <v>2169</v>
      </c>
      <c r="B1620" s="60" t="s">
        <v>2166</v>
      </c>
      <c r="C1620" s="60" t="s">
        <v>2166</v>
      </c>
      <c r="D1620" s="60" t="str">
        <f t="shared" si="24"/>
        <v>Ogwette</v>
      </c>
      <c r="F1620" s="60">
        <v>1208</v>
      </c>
    </row>
    <row r="1621" spans="1:6">
      <c r="A1621" s="60" t="s">
        <v>2170</v>
      </c>
      <c r="B1621" s="60" t="s">
        <v>2166</v>
      </c>
      <c r="C1621" s="60" t="s">
        <v>2166</v>
      </c>
      <c r="D1621" s="60" t="str">
        <f t="shared" si="24"/>
        <v>Okwang</v>
      </c>
      <c r="F1621" s="60">
        <v>1209</v>
      </c>
    </row>
    <row r="1622" spans="1:6">
      <c r="A1622" s="60" t="s">
        <v>2171</v>
      </c>
      <c r="B1622" s="60" t="s">
        <v>2166</v>
      </c>
      <c r="C1622" s="60" t="s">
        <v>2166</v>
      </c>
      <c r="D1622" s="60" t="str">
        <f t="shared" si="24"/>
        <v>Olilim</v>
      </c>
      <c r="F1622" s="60">
        <v>1210</v>
      </c>
    </row>
    <row r="1623" spans="1:6">
      <c r="A1623" s="60" t="s">
        <v>2172</v>
      </c>
      <c r="B1623" s="60" t="s">
        <v>2166</v>
      </c>
      <c r="C1623" s="60" t="s">
        <v>2166</v>
      </c>
      <c r="D1623" s="60" t="str">
        <f t="shared" si="24"/>
        <v>Orum</v>
      </c>
      <c r="F1623" s="60">
        <v>1211</v>
      </c>
    </row>
    <row r="1624" spans="1:6">
      <c r="A1624" s="60" t="s">
        <v>2173</v>
      </c>
      <c r="B1624" s="60" t="s">
        <v>2166</v>
      </c>
      <c r="C1624" s="60" t="s">
        <v>2166</v>
      </c>
      <c r="D1624" s="60" t="str">
        <f t="shared" si="24"/>
        <v>Otuke Town Council</v>
      </c>
      <c r="F1624" s="60">
        <v>1212</v>
      </c>
    </row>
    <row r="1625" spans="1:6">
      <c r="A1625" s="60" t="s">
        <v>2174</v>
      </c>
      <c r="B1625" s="60" t="s">
        <v>2175</v>
      </c>
      <c r="C1625" s="60" t="s">
        <v>2175</v>
      </c>
      <c r="D1625" s="60" t="str">
        <f t="shared" si="24"/>
        <v>Aber</v>
      </c>
      <c r="F1625" s="60">
        <v>1213</v>
      </c>
    </row>
    <row r="1626" spans="1:6">
      <c r="A1626" s="60" t="s">
        <v>2176</v>
      </c>
      <c r="B1626" s="60" t="s">
        <v>2175</v>
      </c>
      <c r="C1626" s="60" t="s">
        <v>2175</v>
      </c>
      <c r="D1626" s="60" t="str">
        <f t="shared" si="24"/>
        <v>Abok</v>
      </c>
      <c r="F1626" s="60">
        <v>1214</v>
      </c>
    </row>
    <row r="1627" spans="1:6">
      <c r="A1627" s="60" t="s">
        <v>2177</v>
      </c>
      <c r="B1627" s="60" t="s">
        <v>2175</v>
      </c>
      <c r="C1627" s="60" t="s">
        <v>2175</v>
      </c>
      <c r="D1627" s="60" t="str">
        <f t="shared" ref="D1627:D1690" si="25">A1627</f>
        <v>Acaba</v>
      </c>
      <c r="F1627" s="60">
        <v>1215</v>
      </c>
    </row>
    <row r="1628" spans="1:6">
      <c r="A1628" s="60" t="s">
        <v>2178</v>
      </c>
      <c r="B1628" s="60" t="s">
        <v>2175</v>
      </c>
      <c r="C1628" s="60" t="s">
        <v>2175</v>
      </c>
      <c r="D1628" s="60" t="str">
        <f t="shared" si="25"/>
        <v>Aleka</v>
      </c>
      <c r="F1628" s="60">
        <v>1216</v>
      </c>
    </row>
    <row r="1629" spans="1:6">
      <c r="A1629" s="60" t="s">
        <v>2179</v>
      </c>
      <c r="B1629" s="60" t="s">
        <v>2175</v>
      </c>
      <c r="C1629" s="60" t="s">
        <v>2175</v>
      </c>
      <c r="D1629" s="60" t="str">
        <f t="shared" si="25"/>
        <v>Iceme</v>
      </c>
      <c r="F1629" s="60">
        <v>1217</v>
      </c>
    </row>
    <row r="1630" spans="1:6">
      <c r="A1630" s="60" t="s">
        <v>2180</v>
      </c>
      <c r="B1630" s="60" t="s">
        <v>2175</v>
      </c>
      <c r="C1630" s="60" t="s">
        <v>2175</v>
      </c>
      <c r="D1630" s="60" t="str">
        <f t="shared" si="25"/>
        <v>Kamdini</v>
      </c>
      <c r="F1630" s="60">
        <v>1218</v>
      </c>
    </row>
    <row r="1631" spans="1:6">
      <c r="A1631" s="60" t="s">
        <v>2181</v>
      </c>
      <c r="B1631" s="60" t="s">
        <v>2175</v>
      </c>
      <c r="C1631" s="60" t="s">
        <v>2175</v>
      </c>
      <c r="D1631" s="60" t="str">
        <f t="shared" si="25"/>
        <v>Loro</v>
      </c>
      <c r="F1631" s="60">
        <v>1219</v>
      </c>
    </row>
    <row r="1632" spans="1:6">
      <c r="A1632" s="60" t="s">
        <v>2182</v>
      </c>
      <c r="B1632" s="60" t="s">
        <v>2175</v>
      </c>
      <c r="C1632" s="60" t="s">
        <v>2175</v>
      </c>
      <c r="D1632" s="60" t="str">
        <f t="shared" si="25"/>
        <v>Minakulu</v>
      </c>
      <c r="F1632" s="60">
        <v>1220</v>
      </c>
    </row>
    <row r="1633" spans="1:6">
      <c r="A1633" s="60" t="s">
        <v>2183</v>
      </c>
      <c r="B1633" s="60" t="s">
        <v>2175</v>
      </c>
      <c r="C1633" s="60" t="s">
        <v>2175</v>
      </c>
      <c r="D1633" s="60" t="str">
        <f t="shared" si="25"/>
        <v>Myene</v>
      </c>
      <c r="F1633" s="60">
        <v>1221</v>
      </c>
    </row>
    <row r="1634" spans="1:6">
      <c r="A1634" s="60" t="s">
        <v>2184</v>
      </c>
      <c r="B1634" s="60" t="s">
        <v>2175</v>
      </c>
      <c r="C1634" s="60" t="s">
        <v>2175</v>
      </c>
      <c r="D1634" s="60" t="str">
        <f t="shared" si="25"/>
        <v>Ngai</v>
      </c>
      <c r="F1634" s="60">
        <v>1222</v>
      </c>
    </row>
    <row r="1635" spans="1:6">
      <c r="A1635" s="60" t="s">
        <v>2185</v>
      </c>
      <c r="B1635" s="60" t="s">
        <v>2175</v>
      </c>
      <c r="C1635" s="60" t="s">
        <v>2175</v>
      </c>
      <c r="D1635" s="60" t="str">
        <f t="shared" si="25"/>
        <v>Otwal</v>
      </c>
      <c r="F1635" s="60">
        <v>1223</v>
      </c>
    </row>
    <row r="1636" spans="1:6">
      <c r="A1636" s="60" t="s">
        <v>2186</v>
      </c>
      <c r="B1636" s="60" t="s">
        <v>2175</v>
      </c>
      <c r="C1636" s="60" t="s">
        <v>2175</v>
      </c>
      <c r="D1636" s="60" t="str">
        <f t="shared" si="25"/>
        <v>Oyam Town Council</v>
      </c>
      <c r="F1636" s="60">
        <v>1224</v>
      </c>
    </row>
    <row r="1637" spans="1:6">
      <c r="A1637" s="60" t="s">
        <v>2187</v>
      </c>
      <c r="B1637" s="60" t="s">
        <v>2188</v>
      </c>
      <c r="C1637" s="60" t="s">
        <v>2189</v>
      </c>
      <c r="D1637" s="60" t="str">
        <f t="shared" si="25"/>
        <v>Acholibur</v>
      </c>
      <c r="F1637" s="60">
        <v>1225</v>
      </c>
    </row>
    <row r="1638" spans="1:6">
      <c r="A1638" s="60" t="s">
        <v>2190</v>
      </c>
      <c r="B1638" s="60" t="s">
        <v>2188</v>
      </c>
      <c r="C1638" s="60" t="s">
        <v>2189</v>
      </c>
      <c r="D1638" s="60" t="str">
        <f t="shared" si="25"/>
        <v>Angagura</v>
      </c>
      <c r="F1638" s="60">
        <v>1226</v>
      </c>
    </row>
    <row r="1639" spans="1:6">
      <c r="A1639" s="60" t="s">
        <v>2191</v>
      </c>
      <c r="B1639" s="60" t="s">
        <v>2188</v>
      </c>
      <c r="C1639" s="60" t="s">
        <v>2189</v>
      </c>
      <c r="D1639" s="60" t="str">
        <f t="shared" si="25"/>
        <v>Atanga</v>
      </c>
      <c r="F1639" s="60">
        <v>1227</v>
      </c>
    </row>
    <row r="1640" spans="1:6">
      <c r="A1640" s="60" t="s">
        <v>2192</v>
      </c>
      <c r="B1640" s="60" t="s">
        <v>2188</v>
      </c>
      <c r="C1640" s="60" t="s">
        <v>2189</v>
      </c>
      <c r="D1640" s="60" t="str">
        <f t="shared" si="25"/>
        <v>Awere</v>
      </c>
      <c r="F1640" s="60">
        <v>1228</v>
      </c>
    </row>
    <row r="1641" spans="1:6">
      <c r="A1641" s="60" t="s">
        <v>2193</v>
      </c>
      <c r="B1641" s="60" t="s">
        <v>2188</v>
      </c>
      <c r="C1641" s="60" t="s">
        <v>2189</v>
      </c>
      <c r="D1641" s="60" t="str">
        <f t="shared" si="25"/>
        <v>Laguti</v>
      </c>
      <c r="F1641" s="60">
        <v>1229</v>
      </c>
    </row>
    <row r="1642" spans="1:6">
      <c r="A1642" s="60" t="s">
        <v>2194</v>
      </c>
      <c r="B1642" s="60" t="s">
        <v>2188</v>
      </c>
      <c r="C1642" s="60" t="s">
        <v>2189</v>
      </c>
      <c r="D1642" s="60" t="str">
        <f t="shared" si="25"/>
        <v>Lapul</v>
      </c>
      <c r="F1642" s="60">
        <v>1230</v>
      </c>
    </row>
    <row r="1643" spans="1:6">
      <c r="A1643" s="60" t="s">
        <v>2195</v>
      </c>
      <c r="B1643" s="60" t="s">
        <v>2188</v>
      </c>
      <c r="C1643" s="60" t="s">
        <v>2189</v>
      </c>
      <c r="D1643" s="60" t="str">
        <f t="shared" si="25"/>
        <v>Latanya</v>
      </c>
      <c r="F1643" s="60">
        <v>1231</v>
      </c>
    </row>
    <row r="1644" spans="1:6">
      <c r="A1644" s="60" t="s">
        <v>2196</v>
      </c>
      <c r="B1644" s="60" t="s">
        <v>2188</v>
      </c>
      <c r="C1644" s="60" t="s">
        <v>2189</v>
      </c>
      <c r="D1644" s="60" t="str">
        <f t="shared" si="25"/>
        <v>Ogom</v>
      </c>
      <c r="F1644" s="60">
        <v>1232</v>
      </c>
    </row>
    <row r="1645" spans="1:6">
      <c r="A1645" s="60" t="s">
        <v>2188</v>
      </c>
      <c r="B1645" s="60" t="s">
        <v>2188</v>
      </c>
      <c r="C1645" s="60" t="s">
        <v>2189</v>
      </c>
      <c r="D1645" s="60" t="str">
        <f t="shared" si="25"/>
        <v>Pader</v>
      </c>
      <c r="F1645" s="60">
        <v>1233</v>
      </c>
    </row>
    <row r="1646" spans="1:6">
      <c r="A1646" s="60" t="s">
        <v>2197</v>
      </c>
      <c r="B1646" s="60" t="s">
        <v>2188</v>
      </c>
      <c r="C1646" s="60" t="s">
        <v>2189</v>
      </c>
      <c r="D1646" s="60" t="str">
        <f t="shared" si="25"/>
        <v>Pader Town Council</v>
      </c>
      <c r="F1646" s="60">
        <v>1234</v>
      </c>
    </row>
    <row r="1647" spans="1:6">
      <c r="A1647" s="60" t="s">
        <v>2198</v>
      </c>
      <c r="B1647" s="60" t="s">
        <v>2188</v>
      </c>
      <c r="C1647" s="60" t="s">
        <v>2189</v>
      </c>
      <c r="D1647" s="60" t="str">
        <f t="shared" si="25"/>
        <v>Pajule</v>
      </c>
      <c r="F1647" s="60">
        <v>1235</v>
      </c>
    </row>
    <row r="1648" spans="1:6">
      <c r="A1648" s="60" t="s">
        <v>2199</v>
      </c>
      <c r="B1648" s="60" t="s">
        <v>2188</v>
      </c>
      <c r="C1648" s="60" t="s">
        <v>2189</v>
      </c>
      <c r="D1648" s="60" t="str">
        <f t="shared" si="25"/>
        <v>Puranga</v>
      </c>
      <c r="F1648" s="60">
        <v>1236</v>
      </c>
    </row>
    <row r="1649" spans="1:6">
      <c r="A1649" s="60" t="s">
        <v>2200</v>
      </c>
      <c r="B1649" s="60" t="s">
        <v>2201</v>
      </c>
      <c r="C1649" s="60" t="s">
        <v>2202</v>
      </c>
      <c r="D1649" s="60" t="str">
        <f t="shared" si="25"/>
        <v>Alwi</v>
      </c>
      <c r="F1649" s="60">
        <v>1237</v>
      </c>
    </row>
    <row r="1650" spans="1:6">
      <c r="A1650" s="60" t="s">
        <v>2201</v>
      </c>
      <c r="B1650" s="60" t="s">
        <v>2201</v>
      </c>
      <c r="C1650" s="60" t="s">
        <v>2202</v>
      </c>
      <c r="D1650" s="60" t="str">
        <f t="shared" si="25"/>
        <v>Pakwach</v>
      </c>
      <c r="F1650" s="60">
        <v>1238</v>
      </c>
    </row>
    <row r="1651" spans="1:6">
      <c r="A1651" s="60" t="s">
        <v>2203</v>
      </c>
      <c r="B1651" s="60" t="s">
        <v>2201</v>
      </c>
      <c r="C1651" s="60" t="s">
        <v>2202</v>
      </c>
      <c r="D1651" s="60" t="str">
        <f t="shared" si="25"/>
        <v>Pakwach Town Council</v>
      </c>
      <c r="F1651" s="60">
        <v>1239</v>
      </c>
    </row>
    <row r="1652" spans="1:6">
      <c r="A1652" s="60" t="s">
        <v>2204</v>
      </c>
      <c r="B1652" s="60" t="s">
        <v>2201</v>
      </c>
      <c r="C1652" s="60" t="s">
        <v>2202</v>
      </c>
      <c r="D1652" s="60" t="str">
        <f t="shared" si="25"/>
        <v>Panyango</v>
      </c>
      <c r="F1652" s="60">
        <v>1240</v>
      </c>
    </row>
    <row r="1653" spans="1:6">
      <c r="A1653" s="60" t="s">
        <v>2205</v>
      </c>
      <c r="B1653" s="60" t="s">
        <v>2201</v>
      </c>
      <c r="C1653" s="60" t="s">
        <v>2202</v>
      </c>
      <c r="D1653" s="60" t="str">
        <f t="shared" si="25"/>
        <v>Panyimur</v>
      </c>
      <c r="F1653" s="60">
        <v>1241</v>
      </c>
    </row>
    <row r="1654" spans="1:6">
      <c r="A1654" s="60" t="s">
        <v>2206</v>
      </c>
      <c r="B1654" s="60" t="s">
        <v>2201</v>
      </c>
      <c r="C1654" s="60" t="s">
        <v>2202</v>
      </c>
      <c r="D1654" s="60" t="str">
        <f t="shared" si="25"/>
        <v>Wadelai</v>
      </c>
      <c r="F1654" s="60">
        <v>1242</v>
      </c>
    </row>
    <row r="1655" spans="1:6">
      <c r="A1655" s="60" t="s">
        <v>2207</v>
      </c>
      <c r="B1655" s="60" t="s">
        <v>284</v>
      </c>
      <c r="C1655" s="60" t="s">
        <v>2207</v>
      </c>
      <c r="D1655" s="60" t="str">
        <f t="shared" si="25"/>
        <v>Agule</v>
      </c>
      <c r="F1655" s="60">
        <v>1243</v>
      </c>
    </row>
    <row r="1656" spans="1:6">
      <c r="A1656" s="60" t="s">
        <v>2208</v>
      </c>
      <c r="B1656" s="60" t="s">
        <v>284</v>
      </c>
      <c r="C1656" s="60" t="s">
        <v>2207</v>
      </c>
      <c r="D1656" s="60" t="str">
        <f t="shared" si="25"/>
        <v>Akisim</v>
      </c>
      <c r="F1656" s="60">
        <v>1244</v>
      </c>
    </row>
    <row r="1657" spans="1:6">
      <c r="A1657" s="60" t="s">
        <v>2209</v>
      </c>
      <c r="B1657" s="60" t="s">
        <v>284</v>
      </c>
      <c r="C1657" s="60" t="s">
        <v>2207</v>
      </c>
      <c r="D1657" s="60" t="str">
        <f t="shared" si="25"/>
        <v>Apopong</v>
      </c>
      <c r="F1657" s="60">
        <v>1245</v>
      </c>
    </row>
    <row r="1658" spans="1:6">
      <c r="A1658" s="60" t="s">
        <v>2210</v>
      </c>
      <c r="B1658" s="60" t="s">
        <v>284</v>
      </c>
      <c r="C1658" s="60" t="s">
        <v>2207</v>
      </c>
      <c r="D1658" s="60" t="str">
        <f t="shared" si="25"/>
        <v>Chelekura</v>
      </c>
      <c r="F1658" s="60">
        <v>1246</v>
      </c>
    </row>
    <row r="1659" spans="1:6">
      <c r="A1659" s="60" t="s">
        <v>2211</v>
      </c>
      <c r="B1659" s="60" t="s">
        <v>284</v>
      </c>
      <c r="C1659" s="60" t="s">
        <v>2207</v>
      </c>
      <c r="D1659" s="60" t="str">
        <f t="shared" si="25"/>
        <v>Gogonyo</v>
      </c>
      <c r="F1659" s="60">
        <v>1247</v>
      </c>
    </row>
    <row r="1660" spans="1:6">
      <c r="A1660" s="60" t="s">
        <v>2212</v>
      </c>
      <c r="B1660" s="60" t="s">
        <v>284</v>
      </c>
      <c r="C1660" s="60" t="s">
        <v>2207</v>
      </c>
      <c r="D1660" s="60" t="str">
        <f t="shared" si="25"/>
        <v>Kameke</v>
      </c>
      <c r="F1660" s="60">
        <v>1248</v>
      </c>
    </row>
    <row r="1661" spans="1:6">
      <c r="A1661" s="60" t="s">
        <v>2213</v>
      </c>
      <c r="B1661" s="60" t="s">
        <v>284</v>
      </c>
      <c r="C1661" s="60" t="s">
        <v>284</v>
      </c>
      <c r="D1661" s="60" t="str">
        <f t="shared" si="25"/>
        <v>Kamuge</v>
      </c>
      <c r="F1661" s="60">
        <v>1249</v>
      </c>
    </row>
    <row r="1662" spans="1:6">
      <c r="A1662" s="60" t="s">
        <v>2214</v>
      </c>
      <c r="B1662" s="60" t="s">
        <v>284</v>
      </c>
      <c r="C1662" s="60" t="s">
        <v>284</v>
      </c>
      <c r="D1662" s="60" t="str">
        <f t="shared" si="25"/>
        <v>Kasodo</v>
      </c>
      <c r="F1662" s="60">
        <v>1250</v>
      </c>
    </row>
    <row r="1663" spans="1:6">
      <c r="A1663" s="60" t="s">
        <v>2215</v>
      </c>
      <c r="B1663" s="60" t="s">
        <v>284</v>
      </c>
      <c r="C1663" s="60" t="s">
        <v>284</v>
      </c>
      <c r="D1663" s="60" t="str">
        <f t="shared" si="25"/>
        <v>Olok</v>
      </c>
      <c r="F1663" s="60">
        <v>1251</v>
      </c>
    </row>
    <row r="1664" spans="1:6">
      <c r="A1664" s="60" t="s">
        <v>284</v>
      </c>
      <c r="B1664" s="60" t="s">
        <v>284</v>
      </c>
      <c r="C1664" s="60" t="s">
        <v>284</v>
      </c>
      <c r="D1664" s="60" t="str">
        <f t="shared" si="25"/>
        <v>Pallisa</v>
      </c>
      <c r="F1664" s="60">
        <v>1252</v>
      </c>
    </row>
    <row r="1665" spans="1:6">
      <c r="A1665" s="60" t="s">
        <v>2216</v>
      </c>
      <c r="B1665" s="60" t="s">
        <v>284</v>
      </c>
      <c r="C1665" s="60" t="s">
        <v>284</v>
      </c>
      <c r="D1665" s="60" t="str">
        <f t="shared" si="25"/>
        <v>Pallisa Town Council</v>
      </c>
      <c r="F1665" s="60">
        <v>1253</v>
      </c>
    </row>
    <row r="1666" spans="1:6">
      <c r="A1666" s="60" t="s">
        <v>2217</v>
      </c>
      <c r="B1666" s="60" t="s">
        <v>284</v>
      </c>
      <c r="C1666" s="60" t="s">
        <v>284</v>
      </c>
      <c r="D1666" s="60" t="str">
        <f t="shared" si="25"/>
        <v>Puti-Puti</v>
      </c>
      <c r="F1666" s="60">
        <v>1254</v>
      </c>
    </row>
    <row r="1667" spans="1:6">
      <c r="A1667" s="60" t="s">
        <v>2218</v>
      </c>
      <c r="B1667" s="60" t="s">
        <v>2219</v>
      </c>
      <c r="C1667" s="60" t="s">
        <v>1722</v>
      </c>
      <c r="D1667" s="60" t="str">
        <f t="shared" si="25"/>
        <v>Byakabanda</v>
      </c>
      <c r="F1667" s="60">
        <v>1255</v>
      </c>
    </row>
    <row r="1668" spans="1:6">
      <c r="A1668" s="60" t="s">
        <v>2220</v>
      </c>
      <c r="B1668" s="60" t="s">
        <v>2219</v>
      </c>
      <c r="C1668" s="60" t="s">
        <v>1722</v>
      </c>
      <c r="D1668" s="60" t="str">
        <f t="shared" si="25"/>
        <v>Ddwaniro-Rakai</v>
      </c>
      <c r="F1668" s="60">
        <v>1256</v>
      </c>
    </row>
    <row r="1669" spans="1:6">
      <c r="A1669" s="60" t="s">
        <v>2221</v>
      </c>
      <c r="B1669" s="60" t="s">
        <v>2219</v>
      </c>
      <c r="C1669" s="60" t="s">
        <v>1722</v>
      </c>
      <c r="D1669" s="60" t="str">
        <f t="shared" si="25"/>
        <v>Kacheera</v>
      </c>
      <c r="F1669" s="60">
        <v>1257</v>
      </c>
    </row>
    <row r="1670" spans="1:6">
      <c r="A1670" s="60" t="s">
        <v>2222</v>
      </c>
      <c r="B1670" s="60" t="s">
        <v>2219</v>
      </c>
      <c r="C1670" s="60" t="s">
        <v>1722</v>
      </c>
      <c r="D1670" s="60" t="str">
        <f t="shared" si="25"/>
        <v>Kagamba</v>
      </c>
      <c r="F1670" s="60">
        <v>1258</v>
      </c>
    </row>
    <row r="1671" spans="1:6">
      <c r="A1671" s="60" t="s">
        <v>2223</v>
      </c>
      <c r="B1671" s="60" t="s">
        <v>2219</v>
      </c>
      <c r="C1671" s="60" t="s">
        <v>2223</v>
      </c>
      <c r="D1671" s="60" t="str">
        <f t="shared" si="25"/>
        <v>Kakuuto</v>
      </c>
      <c r="F1671" s="60">
        <v>1259</v>
      </c>
    </row>
    <row r="1672" spans="1:6">
      <c r="A1672" s="60" t="s">
        <v>2224</v>
      </c>
      <c r="B1672" s="60" t="s">
        <v>2219</v>
      </c>
      <c r="C1672" s="60" t="s">
        <v>2223</v>
      </c>
      <c r="D1672" s="60" t="str">
        <f t="shared" si="25"/>
        <v>Kifamba</v>
      </c>
      <c r="F1672" s="60">
        <v>1260</v>
      </c>
    </row>
    <row r="1673" spans="1:6">
      <c r="A1673" s="60" t="s">
        <v>2225</v>
      </c>
      <c r="B1673" s="60" t="s">
        <v>2219</v>
      </c>
      <c r="C1673" s="60" t="s">
        <v>1722</v>
      </c>
      <c r="D1673" s="60" t="str">
        <f t="shared" si="25"/>
        <v>Kiziba</v>
      </c>
      <c r="F1673" s="60">
        <v>1261</v>
      </c>
    </row>
    <row r="1674" spans="1:6">
      <c r="A1674" s="60" t="s">
        <v>2226</v>
      </c>
      <c r="B1674" s="60" t="s">
        <v>2219</v>
      </c>
      <c r="C1674" s="60" t="s">
        <v>1722</v>
      </c>
      <c r="D1674" s="60" t="str">
        <f t="shared" si="25"/>
        <v>Kyalulangira</v>
      </c>
      <c r="F1674" s="60">
        <v>1262</v>
      </c>
    </row>
    <row r="1675" spans="1:6">
      <c r="A1675" s="60" t="s">
        <v>2227</v>
      </c>
      <c r="B1675" s="60" t="s">
        <v>2219</v>
      </c>
      <c r="C1675" s="60" t="s">
        <v>1722</v>
      </c>
      <c r="D1675" s="60" t="str">
        <f t="shared" si="25"/>
        <v>Lwamaggwa</v>
      </c>
      <c r="F1675" s="60">
        <v>1263</v>
      </c>
    </row>
    <row r="1676" spans="1:6">
      <c r="A1676" s="60" t="s">
        <v>2228</v>
      </c>
      <c r="B1676" s="60" t="s">
        <v>2219</v>
      </c>
      <c r="C1676" s="60" t="s">
        <v>1722</v>
      </c>
      <c r="D1676" s="60" t="str">
        <f t="shared" si="25"/>
        <v>Lwanda</v>
      </c>
      <c r="F1676" s="60">
        <v>1264</v>
      </c>
    </row>
    <row r="1677" spans="1:6">
      <c r="A1677" s="60" t="s">
        <v>2229</v>
      </c>
      <c r="B1677" s="60" t="s">
        <v>2219</v>
      </c>
      <c r="C1677" s="60" t="s">
        <v>1722</v>
      </c>
      <c r="D1677" s="60" t="str">
        <f t="shared" si="25"/>
        <v>Rakai Town Council</v>
      </c>
      <c r="F1677" s="60">
        <v>1265</v>
      </c>
    </row>
    <row r="1678" spans="1:6">
      <c r="A1678" s="60" t="s">
        <v>2219</v>
      </c>
      <c r="D1678" s="60" t="str">
        <f t="shared" si="25"/>
        <v>Rakai</v>
      </c>
      <c r="F1678" s="60">
        <v>1265</v>
      </c>
    </row>
    <row r="1679" spans="1:6">
      <c r="A1679" s="60" t="s">
        <v>2230</v>
      </c>
      <c r="B1679" s="60" t="s">
        <v>2231</v>
      </c>
      <c r="C1679" s="60" t="s">
        <v>2231</v>
      </c>
      <c r="D1679" s="60" t="str">
        <f t="shared" si="25"/>
        <v>Bubaare-Rubanda</v>
      </c>
      <c r="F1679" s="60">
        <v>1266</v>
      </c>
    </row>
    <row r="1680" spans="1:6">
      <c r="A1680" s="60" t="s">
        <v>2232</v>
      </c>
      <c r="B1680" s="60" t="s">
        <v>2231</v>
      </c>
      <c r="C1680" s="60" t="s">
        <v>2231</v>
      </c>
      <c r="D1680" s="60" t="str">
        <f t="shared" si="25"/>
        <v>Bufundi</v>
      </c>
      <c r="F1680" s="60">
        <v>1267</v>
      </c>
    </row>
    <row r="1681" spans="1:6">
      <c r="A1681" s="60" t="s">
        <v>2233</v>
      </c>
      <c r="B1681" s="60" t="s">
        <v>2231</v>
      </c>
      <c r="C1681" s="60" t="s">
        <v>2231</v>
      </c>
      <c r="D1681" s="60" t="str">
        <f t="shared" si="25"/>
        <v>Hamurwa</v>
      </c>
      <c r="F1681" s="60">
        <v>1268</v>
      </c>
    </row>
    <row r="1682" spans="1:6">
      <c r="A1682" s="60" t="s">
        <v>2234</v>
      </c>
      <c r="B1682" s="60" t="s">
        <v>2231</v>
      </c>
      <c r="C1682" s="60" t="s">
        <v>2231</v>
      </c>
      <c r="D1682" s="60" t="str">
        <f t="shared" si="25"/>
        <v>Hamurwa Town Council</v>
      </c>
      <c r="F1682" s="60">
        <v>1269</v>
      </c>
    </row>
    <row r="1683" spans="1:6">
      <c r="A1683" s="60" t="s">
        <v>2235</v>
      </c>
      <c r="B1683" s="60" t="s">
        <v>2231</v>
      </c>
      <c r="C1683" s="60" t="s">
        <v>2231</v>
      </c>
      <c r="D1683" s="60" t="str">
        <f t="shared" si="25"/>
        <v>Ikumba</v>
      </c>
      <c r="F1683" s="60">
        <v>1270</v>
      </c>
    </row>
    <row r="1684" spans="1:6">
      <c r="A1684" s="60" t="s">
        <v>2236</v>
      </c>
      <c r="B1684" s="60" t="s">
        <v>2231</v>
      </c>
      <c r="C1684" s="60" t="s">
        <v>2231</v>
      </c>
      <c r="D1684" s="60" t="str">
        <f t="shared" si="25"/>
        <v>Muko</v>
      </c>
      <c r="F1684" s="60">
        <v>1271</v>
      </c>
    </row>
    <row r="1685" spans="1:6">
      <c r="A1685" s="60" t="s">
        <v>2237</v>
      </c>
      <c r="B1685" s="60" t="s">
        <v>2231</v>
      </c>
      <c r="C1685" s="60" t="s">
        <v>2231</v>
      </c>
      <c r="D1685" s="60" t="str">
        <f t="shared" si="25"/>
        <v>Nyamweru</v>
      </c>
      <c r="F1685" s="60">
        <v>1272</v>
      </c>
    </row>
    <row r="1686" spans="1:6">
      <c r="A1686" s="60" t="s">
        <v>2238</v>
      </c>
      <c r="B1686" s="60" t="s">
        <v>2231</v>
      </c>
      <c r="C1686" s="60" t="s">
        <v>2231</v>
      </c>
      <c r="D1686" s="60" t="str">
        <f t="shared" si="25"/>
        <v>Rubanda Town Council</v>
      </c>
      <c r="F1686" s="60">
        <v>1273</v>
      </c>
    </row>
    <row r="1687" spans="1:6">
      <c r="A1687" s="60" t="s">
        <v>2239</v>
      </c>
      <c r="B1687" s="60" t="s">
        <v>2231</v>
      </c>
      <c r="C1687" s="60" t="s">
        <v>2231</v>
      </c>
      <c r="D1687" s="60" t="str">
        <f t="shared" si="25"/>
        <v>Ruhija</v>
      </c>
      <c r="F1687" s="60">
        <v>1274</v>
      </c>
    </row>
    <row r="1688" spans="1:6">
      <c r="A1688" s="60" t="s">
        <v>2240</v>
      </c>
      <c r="B1688" s="60" t="s">
        <v>2241</v>
      </c>
      <c r="C1688" s="60" t="s">
        <v>2242</v>
      </c>
      <c r="D1688" s="60" t="str">
        <f t="shared" si="25"/>
        <v>Katanda</v>
      </c>
      <c r="F1688" s="60">
        <v>1275</v>
      </c>
    </row>
    <row r="1689" spans="1:6">
      <c r="A1689" s="60" t="s">
        <v>2242</v>
      </c>
      <c r="B1689" s="60" t="s">
        <v>2241</v>
      </c>
      <c r="C1689" s="60" t="s">
        <v>2242</v>
      </c>
      <c r="D1689" s="60" t="str">
        <f t="shared" si="25"/>
        <v>Katerera</v>
      </c>
      <c r="F1689" s="60">
        <v>1276</v>
      </c>
    </row>
    <row r="1690" spans="1:6">
      <c r="A1690" s="60" t="s">
        <v>2243</v>
      </c>
      <c r="B1690" s="60" t="s">
        <v>2241</v>
      </c>
      <c r="C1690" s="60" t="s">
        <v>2242</v>
      </c>
      <c r="D1690" s="60" t="str">
        <f t="shared" si="25"/>
        <v>Katerera Town Council</v>
      </c>
      <c r="F1690" s="60">
        <v>1277</v>
      </c>
    </row>
    <row r="1691" spans="1:6">
      <c r="A1691" s="60" t="s">
        <v>2244</v>
      </c>
      <c r="B1691" s="60" t="s">
        <v>2241</v>
      </c>
      <c r="C1691" s="60" t="s">
        <v>52</v>
      </c>
      <c r="D1691" s="60" t="str">
        <f t="shared" ref="D1691:D1757" si="26">A1691</f>
        <v>Katunguru</v>
      </c>
      <c r="F1691" s="60">
        <v>1278</v>
      </c>
    </row>
    <row r="1692" spans="1:6">
      <c r="A1692" s="60" t="s">
        <v>55</v>
      </c>
      <c r="B1692" s="60" t="s">
        <v>2241</v>
      </c>
      <c r="C1692" s="60" t="s">
        <v>52</v>
      </c>
      <c r="D1692" s="60" t="str">
        <f t="shared" si="26"/>
        <v>Kichwamba</v>
      </c>
      <c r="F1692" s="60">
        <v>1279</v>
      </c>
    </row>
    <row r="1693" spans="1:6">
      <c r="A1693" s="60" t="s">
        <v>2245</v>
      </c>
      <c r="B1693" s="60" t="s">
        <v>2241</v>
      </c>
      <c r="C1693" s="60" t="s">
        <v>2242</v>
      </c>
      <c r="D1693" s="60" t="str">
        <f t="shared" si="26"/>
        <v>Kirugu</v>
      </c>
      <c r="F1693" s="60">
        <v>1280</v>
      </c>
    </row>
    <row r="1694" spans="1:6">
      <c r="A1694" s="60" t="s">
        <v>2246</v>
      </c>
      <c r="B1694" s="60" t="s">
        <v>2241</v>
      </c>
      <c r="C1694" s="60" t="s">
        <v>2242</v>
      </c>
      <c r="D1694" s="60" t="str">
        <f t="shared" si="26"/>
        <v>Kyabakara</v>
      </c>
      <c r="F1694" s="60">
        <v>1281</v>
      </c>
    </row>
    <row r="1695" spans="1:6">
      <c r="A1695" s="60" t="s">
        <v>2247</v>
      </c>
      <c r="B1695" s="60" t="s">
        <v>2241</v>
      </c>
      <c r="C1695" s="60" t="s">
        <v>52</v>
      </c>
      <c r="D1695" s="60" t="str">
        <f t="shared" si="26"/>
        <v>Magambo</v>
      </c>
      <c r="F1695" s="60">
        <v>1282</v>
      </c>
    </row>
    <row r="1696" spans="1:6">
      <c r="A1696" s="60" t="s">
        <v>2248</v>
      </c>
      <c r="B1696" s="60" t="s">
        <v>2241</v>
      </c>
      <c r="C1696" s="60" t="s">
        <v>52</v>
      </c>
      <c r="D1696" s="60" t="str">
        <f t="shared" si="26"/>
        <v>Rubiriziri Town Council</v>
      </c>
      <c r="F1696" s="60">
        <v>1283</v>
      </c>
    </row>
    <row r="1697" spans="1:6">
      <c r="A1697" s="60" t="s">
        <v>2249</v>
      </c>
      <c r="B1697" s="60" t="s">
        <v>2241</v>
      </c>
      <c r="C1697" s="60" t="s">
        <v>52</v>
      </c>
      <c r="D1697" s="60" t="str">
        <f t="shared" si="26"/>
        <v>Rutoto</v>
      </c>
      <c r="F1697" s="60">
        <v>1284</v>
      </c>
    </row>
    <row r="1698" spans="1:6">
      <c r="A1698" s="60" t="s">
        <v>2250</v>
      </c>
      <c r="B1698" s="60" t="s">
        <v>2241</v>
      </c>
      <c r="C1698" s="60" t="s">
        <v>52</v>
      </c>
      <c r="D1698" s="60" t="str">
        <f t="shared" si="26"/>
        <v>Ryeru</v>
      </c>
      <c r="F1698" s="60">
        <v>1285</v>
      </c>
    </row>
    <row r="1699" spans="1:6">
      <c r="A1699" s="60" t="s">
        <v>2251</v>
      </c>
      <c r="B1699" s="60" t="s">
        <v>2252</v>
      </c>
      <c r="C1699" s="60" t="s">
        <v>2252</v>
      </c>
      <c r="D1699" s="60" t="str">
        <f t="shared" si="26"/>
        <v>Bukinda</v>
      </c>
      <c r="F1699" s="60">
        <v>1286</v>
      </c>
    </row>
    <row r="1700" spans="1:6">
      <c r="A1700" s="60" t="s">
        <v>2253</v>
      </c>
      <c r="B1700" s="60" t="s">
        <v>2252</v>
      </c>
      <c r="C1700" s="60" t="s">
        <v>2252</v>
      </c>
      <c r="D1700" s="60" t="str">
        <f t="shared" si="26"/>
        <v>Kamwezi</v>
      </c>
      <c r="F1700" s="60">
        <v>1287</v>
      </c>
    </row>
    <row r="1701" spans="1:6">
      <c r="A1701" s="60" t="s">
        <v>2254</v>
      </c>
      <c r="B1701" s="60" t="s">
        <v>2252</v>
      </c>
      <c r="C1701" s="60" t="s">
        <v>2252</v>
      </c>
      <c r="D1701" s="60" t="str">
        <f t="shared" si="26"/>
        <v>Kashambya</v>
      </c>
      <c r="F1701" s="60">
        <v>1288</v>
      </c>
    </row>
    <row r="1702" spans="1:6">
      <c r="A1702" s="60" t="s">
        <v>2255</v>
      </c>
      <c r="B1702" s="60" t="s">
        <v>2252</v>
      </c>
      <c r="C1702" s="60" t="s">
        <v>2252</v>
      </c>
      <c r="D1702" s="60" t="str">
        <f t="shared" si="26"/>
        <v>Mparo Town Council</v>
      </c>
      <c r="F1702" s="60">
        <v>1289</v>
      </c>
    </row>
    <row r="1703" spans="1:6">
      <c r="A1703" s="60" t="s">
        <v>2256</v>
      </c>
      <c r="B1703" s="60" t="s">
        <v>2252</v>
      </c>
      <c r="C1703" s="60" t="s">
        <v>2252</v>
      </c>
      <c r="D1703" s="60" t="str">
        <f t="shared" si="26"/>
        <v>Muhanga Town Council</v>
      </c>
      <c r="F1703" s="60">
        <v>1290</v>
      </c>
    </row>
    <row r="1704" spans="1:6">
      <c r="A1704" s="60" t="s">
        <v>2257</v>
      </c>
      <c r="B1704" s="60" t="s">
        <v>2252</v>
      </c>
      <c r="C1704" s="60" t="s">
        <v>2252</v>
      </c>
      <c r="D1704" s="60" t="str">
        <f t="shared" si="26"/>
        <v>Rwamucucu</v>
      </c>
      <c r="F1704" s="60">
        <v>1291</v>
      </c>
    </row>
    <row r="1705" spans="1:6">
      <c r="A1705" s="60" t="s">
        <v>2258</v>
      </c>
      <c r="B1705" s="60" t="s">
        <v>41</v>
      </c>
      <c r="C1705" s="60" t="s">
        <v>2259</v>
      </c>
      <c r="D1705" s="60" t="str">
        <f t="shared" si="26"/>
        <v>Bugangari</v>
      </c>
      <c r="F1705" s="60">
        <v>1292</v>
      </c>
    </row>
    <row r="1706" spans="1:6">
      <c r="A1706" s="60" t="s">
        <v>2260</v>
      </c>
      <c r="B1706" s="60" t="s">
        <v>41</v>
      </c>
      <c r="C1706" s="60" t="s">
        <v>2259</v>
      </c>
      <c r="D1706" s="60" t="str">
        <f t="shared" si="26"/>
        <v>Buhunga</v>
      </c>
      <c r="F1706" s="60">
        <v>1293</v>
      </c>
    </row>
    <row r="1707" spans="1:6">
      <c r="A1707" s="60" t="s">
        <v>1540</v>
      </c>
      <c r="B1707" s="60" t="s">
        <v>41</v>
      </c>
      <c r="C1707" s="60" t="s">
        <v>2261</v>
      </c>
      <c r="D1707" s="60" t="str">
        <f t="shared" si="26"/>
        <v>Buyanja</v>
      </c>
      <c r="F1707" s="60">
        <v>1294</v>
      </c>
    </row>
    <row r="1708" spans="1:6">
      <c r="A1708" s="60" t="s">
        <v>2262</v>
      </c>
      <c r="B1708" s="60" t="s">
        <v>41</v>
      </c>
      <c r="C1708" s="60" t="s">
        <v>2261</v>
      </c>
      <c r="D1708" s="60" t="str">
        <f t="shared" si="26"/>
        <v>Buyanja Town Council</v>
      </c>
      <c r="F1708" s="60">
        <v>1295</v>
      </c>
    </row>
    <row r="1709" spans="1:6">
      <c r="A1709" s="60" t="s">
        <v>2263</v>
      </c>
      <c r="B1709" s="60" t="s">
        <v>41</v>
      </c>
      <c r="C1709" s="60" t="s">
        <v>2259</v>
      </c>
      <c r="D1709" s="60" t="str">
        <f t="shared" si="26"/>
        <v>Bwambara</v>
      </c>
      <c r="F1709" s="60">
        <v>1296</v>
      </c>
    </row>
    <row r="1710" spans="1:6">
      <c r="A1710" s="60" t="s">
        <v>2264</v>
      </c>
      <c r="B1710" s="60" t="s">
        <v>41</v>
      </c>
      <c r="C1710" s="60" t="s">
        <v>2261</v>
      </c>
      <c r="D1710" s="60" t="str">
        <f t="shared" si="26"/>
        <v>Kebisoni</v>
      </c>
      <c r="F1710" s="60">
        <v>1297</v>
      </c>
    </row>
    <row r="1711" spans="1:6">
      <c r="A1711" s="60" t="s">
        <v>2265</v>
      </c>
      <c r="B1711" s="60" t="s">
        <v>41</v>
      </c>
      <c r="C1711" s="60" t="s">
        <v>2261</v>
      </c>
      <c r="D1711" s="60" t="str">
        <f t="shared" si="26"/>
        <v>Kebisoni Town Council</v>
      </c>
      <c r="F1711" s="60">
        <v>1298</v>
      </c>
    </row>
    <row r="1712" spans="1:6">
      <c r="A1712" s="60" t="s">
        <v>2266</v>
      </c>
      <c r="B1712" s="60" t="s">
        <v>41</v>
      </c>
      <c r="C1712" s="60" t="s">
        <v>2259</v>
      </c>
      <c r="D1712" s="60" t="str">
        <f t="shared" si="26"/>
        <v>Nyakagyeme</v>
      </c>
      <c r="F1712" s="60">
        <v>1299</v>
      </c>
    </row>
    <row r="1713" spans="1:6">
      <c r="A1713" s="60" t="s">
        <v>2267</v>
      </c>
      <c r="B1713" s="60" t="s">
        <v>41</v>
      </c>
      <c r="C1713" s="60" t="s">
        <v>2261</v>
      </c>
      <c r="D1713" s="60" t="str">
        <f t="shared" si="26"/>
        <v>Nyakishenyi</v>
      </c>
      <c r="F1713" s="60">
        <v>1300</v>
      </c>
    </row>
    <row r="1714" spans="1:6">
      <c r="A1714" s="60" t="s">
        <v>2268</v>
      </c>
      <c r="B1714" s="60" t="s">
        <v>41</v>
      </c>
      <c r="C1714" s="60" t="s">
        <v>2261</v>
      </c>
      <c r="D1714" s="60" t="str">
        <f t="shared" si="26"/>
        <v>Nyarushanje</v>
      </c>
      <c r="F1714" s="60">
        <v>1301</v>
      </c>
    </row>
    <row r="1715" spans="1:6">
      <c r="A1715" s="60" t="s">
        <v>1900</v>
      </c>
      <c r="B1715" s="60" t="s">
        <v>41</v>
      </c>
      <c r="C1715" s="60" t="s">
        <v>2259</v>
      </c>
      <c r="D1715" s="60" t="str">
        <f t="shared" si="26"/>
        <v>Ruhinda</v>
      </c>
      <c r="F1715" s="60">
        <v>1302</v>
      </c>
    </row>
    <row r="1716" spans="1:6">
      <c r="A1716" s="60" t="s">
        <v>2269</v>
      </c>
      <c r="B1716" s="60" t="s">
        <v>41</v>
      </c>
      <c r="C1716" s="60" t="s">
        <v>2269</v>
      </c>
      <c r="D1716" s="60" t="str">
        <f t="shared" si="26"/>
        <v>Rukungiri Municipality</v>
      </c>
      <c r="F1716" s="60">
        <v>1303</v>
      </c>
    </row>
    <row r="1717" spans="1:6">
      <c r="A1717" s="60" t="s">
        <v>41</v>
      </c>
      <c r="D1717" s="60" t="str">
        <f t="shared" si="26"/>
        <v>Rukungiri</v>
      </c>
      <c r="F1717" s="60">
        <v>1303</v>
      </c>
    </row>
    <row r="1718" spans="1:6">
      <c r="A1718" s="60" t="s">
        <v>2270</v>
      </c>
      <c r="B1718" s="60" t="s">
        <v>2271</v>
      </c>
      <c r="C1718" s="60" t="s">
        <v>2271</v>
      </c>
      <c r="D1718" s="60" t="str">
        <f t="shared" si="26"/>
        <v>Atiira</v>
      </c>
      <c r="F1718" s="60">
        <v>1304</v>
      </c>
    </row>
    <row r="1719" spans="1:6">
      <c r="A1719" s="60" t="s">
        <v>2272</v>
      </c>
      <c r="B1719" s="60" t="s">
        <v>2271</v>
      </c>
      <c r="C1719" s="60" t="s">
        <v>2273</v>
      </c>
      <c r="D1719" s="60" t="str">
        <f t="shared" si="26"/>
        <v>Bugondo</v>
      </c>
      <c r="F1719" s="60">
        <v>1305</v>
      </c>
    </row>
    <row r="1720" spans="1:6">
      <c r="A1720" s="60" t="s">
        <v>2274</v>
      </c>
      <c r="B1720" s="60" t="s">
        <v>2271</v>
      </c>
      <c r="C1720" s="60" t="s">
        <v>2273</v>
      </c>
      <c r="D1720" s="60" t="str">
        <f t="shared" si="26"/>
        <v>Kadungulu</v>
      </c>
      <c r="F1720" s="60">
        <v>1306</v>
      </c>
    </row>
    <row r="1721" spans="1:6">
      <c r="A1721" s="60" t="s">
        <v>2275</v>
      </c>
      <c r="B1721" s="60" t="s">
        <v>2271</v>
      </c>
      <c r="C1721" s="60" t="s">
        <v>2273</v>
      </c>
      <c r="D1721" s="60" t="str">
        <f t="shared" si="26"/>
        <v>Kasilo Town Council</v>
      </c>
      <c r="F1721" s="60">
        <v>1307</v>
      </c>
    </row>
    <row r="1722" spans="1:6">
      <c r="A1722" s="60" t="s">
        <v>2276</v>
      </c>
      <c r="B1722" s="60" t="s">
        <v>2271</v>
      </c>
      <c r="C1722" s="60" t="s">
        <v>2271</v>
      </c>
      <c r="D1722" s="60" t="str">
        <f t="shared" si="26"/>
        <v>Kateta</v>
      </c>
      <c r="F1722" s="60">
        <v>1308</v>
      </c>
    </row>
    <row r="1723" spans="1:6">
      <c r="A1723" s="60" t="s">
        <v>2277</v>
      </c>
      <c r="B1723" s="60" t="s">
        <v>2271</v>
      </c>
      <c r="C1723" s="60" t="s">
        <v>2271</v>
      </c>
      <c r="D1723" s="60" t="str">
        <f t="shared" si="26"/>
        <v>Kyere</v>
      </c>
      <c r="F1723" s="60">
        <v>1309</v>
      </c>
    </row>
    <row r="1724" spans="1:6">
      <c r="A1724" s="60" t="s">
        <v>2278</v>
      </c>
      <c r="B1724" s="60" t="s">
        <v>2271</v>
      </c>
      <c r="C1724" s="60" t="s">
        <v>2273</v>
      </c>
      <c r="D1724" s="60" t="str">
        <f t="shared" si="26"/>
        <v>Labori</v>
      </c>
      <c r="F1724" s="60">
        <v>1310</v>
      </c>
    </row>
    <row r="1725" spans="1:6">
      <c r="A1725" s="60" t="s">
        <v>2279</v>
      </c>
      <c r="B1725" s="60" t="s">
        <v>2271</v>
      </c>
      <c r="C1725" s="60" t="s">
        <v>2271</v>
      </c>
      <c r="D1725" s="60" t="str">
        <f t="shared" si="26"/>
        <v>Olio</v>
      </c>
      <c r="F1725" s="60">
        <v>1311</v>
      </c>
    </row>
    <row r="1726" spans="1:6">
      <c r="A1726" s="60" t="s">
        <v>2280</v>
      </c>
      <c r="B1726" s="60" t="s">
        <v>2271</v>
      </c>
      <c r="C1726" s="60" t="s">
        <v>2273</v>
      </c>
      <c r="D1726" s="60" t="str">
        <f t="shared" si="26"/>
        <v>Pingire</v>
      </c>
      <c r="F1726" s="60">
        <v>1312</v>
      </c>
    </row>
    <row r="1727" spans="1:6">
      <c r="A1727" s="60" t="s">
        <v>2281</v>
      </c>
      <c r="B1727" s="60" t="s">
        <v>2271</v>
      </c>
      <c r="C1727" s="60" t="s">
        <v>2271</v>
      </c>
      <c r="D1727" s="60" t="str">
        <f t="shared" si="26"/>
        <v>Serere Town Council</v>
      </c>
      <c r="F1727" s="60">
        <v>1313</v>
      </c>
    </row>
    <row r="1728" spans="1:6">
      <c r="A1728" s="60" t="s">
        <v>2282</v>
      </c>
      <c r="B1728" s="60" t="s">
        <v>42</v>
      </c>
      <c r="C1728" s="60" t="s">
        <v>42</v>
      </c>
      <c r="D1728" s="60" t="str">
        <f t="shared" si="26"/>
        <v>Bugongi Town Council</v>
      </c>
      <c r="F1728" s="60">
        <v>1314</v>
      </c>
    </row>
    <row r="1729" spans="1:6">
      <c r="A1729" s="60" t="s">
        <v>2283</v>
      </c>
      <c r="B1729" s="60" t="s">
        <v>42</v>
      </c>
      <c r="C1729" s="60" t="s">
        <v>2284</v>
      </c>
      <c r="D1729" s="60" t="str">
        <f t="shared" si="26"/>
        <v>Kagango Division-Sheema</v>
      </c>
      <c r="F1729" s="60">
        <v>1315</v>
      </c>
    </row>
    <row r="1730" spans="1:6">
      <c r="A1730" s="60" t="s">
        <v>2285</v>
      </c>
      <c r="B1730" s="60" t="s">
        <v>42</v>
      </c>
      <c r="C1730" s="60" t="s">
        <v>42</v>
      </c>
      <c r="D1730" s="60" t="str">
        <f t="shared" si="26"/>
        <v>Kakindo Town Council</v>
      </c>
      <c r="F1730" s="60">
        <v>1316</v>
      </c>
    </row>
    <row r="1731" spans="1:6">
      <c r="A1731" s="60" t="s">
        <v>2286</v>
      </c>
      <c r="B1731" s="60" t="s">
        <v>42</v>
      </c>
      <c r="C1731" s="60" t="s">
        <v>42</v>
      </c>
      <c r="D1731" s="60" t="str">
        <f t="shared" si="26"/>
        <v>Kasaana</v>
      </c>
      <c r="F1731" s="60">
        <v>1317</v>
      </c>
    </row>
    <row r="1732" spans="1:6">
      <c r="A1732" s="60" t="s">
        <v>2287</v>
      </c>
      <c r="B1732" s="60" t="s">
        <v>42</v>
      </c>
      <c r="C1732" s="60" t="s">
        <v>42</v>
      </c>
      <c r="D1732" s="60" t="str">
        <f t="shared" si="26"/>
        <v>Kigarama</v>
      </c>
      <c r="F1732" s="60">
        <v>1318</v>
      </c>
    </row>
    <row r="1733" spans="1:6">
      <c r="A1733" s="60" t="s">
        <v>2288</v>
      </c>
      <c r="B1733" s="60" t="s">
        <v>42</v>
      </c>
      <c r="C1733" s="60" t="s">
        <v>42</v>
      </c>
      <c r="D1733" s="60" t="str">
        <f t="shared" si="26"/>
        <v>Kitagata</v>
      </c>
      <c r="F1733" s="60">
        <v>1319</v>
      </c>
    </row>
    <row r="1734" spans="1:6">
      <c r="A1734" s="60" t="s">
        <v>2289</v>
      </c>
      <c r="B1734" s="60" t="s">
        <v>42</v>
      </c>
      <c r="C1734" s="60" t="s">
        <v>42</v>
      </c>
      <c r="D1734" s="60" t="str">
        <f t="shared" si="26"/>
        <v>Kyangyenyi</v>
      </c>
      <c r="F1734" s="60">
        <v>1320</v>
      </c>
    </row>
    <row r="1735" spans="1:6">
      <c r="A1735" s="60" t="s">
        <v>2290</v>
      </c>
      <c r="B1735" s="60" t="s">
        <v>42</v>
      </c>
      <c r="C1735" s="60" t="s">
        <v>42</v>
      </c>
      <c r="D1735" s="60" t="str">
        <f t="shared" si="26"/>
        <v>Masheruka</v>
      </c>
      <c r="F1735" s="60">
        <v>1321</v>
      </c>
    </row>
    <row r="1736" spans="1:6">
      <c r="A1736" s="60" t="s">
        <v>2291</v>
      </c>
      <c r="B1736" s="60" t="s">
        <v>42</v>
      </c>
      <c r="C1736" s="60" t="s">
        <v>42</v>
      </c>
      <c r="D1736" s="60" t="str">
        <f t="shared" si="26"/>
        <v>Rugarama-Sheema</v>
      </c>
      <c r="F1736" s="60">
        <v>1322</v>
      </c>
    </row>
    <row r="1737" spans="1:6">
      <c r="A1737" s="60" t="s">
        <v>2284</v>
      </c>
      <c r="B1737" s="60" t="s">
        <v>42</v>
      </c>
      <c r="C1737" s="60" t="s">
        <v>2284</v>
      </c>
      <c r="D1737" s="60" t="str">
        <f t="shared" si="26"/>
        <v>Sheema Municipality</v>
      </c>
      <c r="F1737" s="60">
        <v>1323</v>
      </c>
    </row>
    <row r="1738" spans="1:6">
      <c r="A1738" s="60" t="s">
        <v>42</v>
      </c>
      <c r="D1738" s="60" t="str">
        <f t="shared" si="26"/>
        <v>Sheema</v>
      </c>
      <c r="F1738" s="60">
        <v>1323</v>
      </c>
    </row>
    <row r="1739" spans="1:6">
      <c r="A1739" s="60" t="s">
        <v>2292</v>
      </c>
      <c r="B1739" s="60" t="s">
        <v>42</v>
      </c>
      <c r="C1739" s="60" t="s">
        <v>42</v>
      </c>
      <c r="D1739" s="60" t="str">
        <f t="shared" si="26"/>
        <v>Shuuku</v>
      </c>
      <c r="F1739" s="60">
        <v>1324</v>
      </c>
    </row>
    <row r="1740" spans="1:6">
      <c r="A1740" s="60" t="s">
        <v>2293</v>
      </c>
      <c r="B1740" s="60" t="s">
        <v>42</v>
      </c>
      <c r="C1740" s="60" t="s">
        <v>42</v>
      </c>
      <c r="D1740" s="60" t="str">
        <f t="shared" si="26"/>
        <v>Shuuku Town Council</v>
      </c>
      <c r="F1740" s="60">
        <v>1325</v>
      </c>
    </row>
    <row r="1741" spans="1:6">
      <c r="A1741" s="60" t="s">
        <v>2294</v>
      </c>
      <c r="B1741" s="60" t="s">
        <v>2295</v>
      </c>
      <c r="C1741" s="60" t="s">
        <v>2296</v>
      </c>
      <c r="D1741" s="60" t="str">
        <f t="shared" si="26"/>
        <v>Budadiri Town Council</v>
      </c>
      <c r="F1741" s="60">
        <v>1326</v>
      </c>
    </row>
    <row r="1742" spans="1:6">
      <c r="A1742" s="60" t="s">
        <v>2297</v>
      </c>
      <c r="B1742" s="60" t="s">
        <v>2295</v>
      </c>
      <c r="C1742" s="60" t="s">
        <v>2296</v>
      </c>
      <c r="D1742" s="60" t="str">
        <f t="shared" si="26"/>
        <v>Bugitimwa</v>
      </c>
      <c r="F1742" s="60">
        <v>1327</v>
      </c>
    </row>
    <row r="1743" spans="1:6">
      <c r="A1743" s="60" t="s">
        <v>2298</v>
      </c>
      <c r="B1743" s="60" t="s">
        <v>2295</v>
      </c>
      <c r="C1743" s="60" t="s">
        <v>2296</v>
      </c>
      <c r="D1743" s="60" t="str">
        <f t="shared" si="26"/>
        <v>Buhugu</v>
      </c>
      <c r="F1743" s="60">
        <v>1328</v>
      </c>
    </row>
    <row r="1744" spans="1:6">
      <c r="A1744" s="60" t="s">
        <v>2299</v>
      </c>
      <c r="B1744" s="60" t="s">
        <v>2295</v>
      </c>
      <c r="C1744" s="60" t="s">
        <v>2296</v>
      </c>
      <c r="D1744" s="60" t="str">
        <f t="shared" si="26"/>
        <v>Bukhulo</v>
      </c>
      <c r="F1744" s="60">
        <v>1329</v>
      </c>
    </row>
    <row r="1745" spans="1:6">
      <c r="A1745" s="60" t="s">
        <v>2300</v>
      </c>
      <c r="B1745" s="60" t="s">
        <v>2295</v>
      </c>
      <c r="C1745" s="60" t="s">
        <v>2296</v>
      </c>
      <c r="D1745" s="60" t="str">
        <f t="shared" si="26"/>
        <v>Bukiise</v>
      </c>
      <c r="F1745" s="60">
        <v>1330</v>
      </c>
    </row>
    <row r="1746" spans="1:6">
      <c r="A1746" s="60" t="s">
        <v>2301</v>
      </c>
      <c r="B1746" s="60" t="s">
        <v>2295</v>
      </c>
      <c r="C1746" s="60" t="s">
        <v>2296</v>
      </c>
      <c r="D1746" s="60" t="str">
        <f t="shared" si="26"/>
        <v>Bukiyi</v>
      </c>
      <c r="F1746" s="60">
        <v>1331</v>
      </c>
    </row>
    <row r="1747" spans="1:6">
      <c r="A1747" s="60" t="s">
        <v>2302</v>
      </c>
      <c r="B1747" s="60" t="s">
        <v>2295</v>
      </c>
      <c r="C1747" s="60" t="s">
        <v>2296</v>
      </c>
      <c r="D1747" s="60" t="str">
        <f t="shared" si="26"/>
        <v>Bukyabo</v>
      </c>
      <c r="F1747" s="60">
        <v>1332</v>
      </c>
    </row>
    <row r="1748" spans="1:6">
      <c r="A1748" s="60" t="s">
        <v>2303</v>
      </c>
      <c r="B1748" s="60" t="s">
        <v>2295</v>
      </c>
      <c r="C1748" s="60" t="s">
        <v>2296</v>
      </c>
      <c r="D1748" s="60" t="str">
        <f t="shared" si="26"/>
        <v>Bukyambi</v>
      </c>
      <c r="F1748" s="60">
        <v>1333</v>
      </c>
    </row>
    <row r="1749" spans="1:6">
      <c r="A1749" s="60" t="s">
        <v>2304</v>
      </c>
      <c r="B1749" s="60" t="s">
        <v>2295</v>
      </c>
      <c r="C1749" s="60" t="s">
        <v>2296</v>
      </c>
      <c r="D1749" s="60" t="str">
        <f t="shared" si="26"/>
        <v>Bumalimba</v>
      </c>
      <c r="F1749" s="60">
        <v>1334</v>
      </c>
    </row>
    <row r="1750" spans="1:6">
      <c r="A1750" s="60" t="s">
        <v>2305</v>
      </c>
      <c r="B1750" s="60" t="s">
        <v>2295</v>
      </c>
      <c r="C1750" s="60" t="s">
        <v>2296</v>
      </c>
      <c r="D1750" s="60" t="str">
        <f t="shared" si="26"/>
        <v>Bumasifwa</v>
      </c>
      <c r="F1750" s="60">
        <v>1335</v>
      </c>
    </row>
    <row r="1751" spans="1:6">
      <c r="A1751" s="60" t="s">
        <v>2306</v>
      </c>
      <c r="B1751" s="60" t="s">
        <v>2295</v>
      </c>
      <c r="C1751" s="60" t="s">
        <v>2296</v>
      </c>
      <c r="D1751" s="60" t="str">
        <f t="shared" si="26"/>
        <v>Bunyafa</v>
      </c>
      <c r="F1751" s="60">
        <v>1336</v>
      </c>
    </row>
    <row r="1752" spans="1:6">
      <c r="A1752" s="60" t="s">
        <v>2307</v>
      </c>
      <c r="B1752" s="60" t="s">
        <v>2295</v>
      </c>
      <c r="C1752" s="60" t="s">
        <v>2296</v>
      </c>
      <c r="D1752" s="60" t="str">
        <f t="shared" si="26"/>
        <v>Busulani</v>
      </c>
      <c r="F1752" s="60">
        <v>1337</v>
      </c>
    </row>
    <row r="1753" spans="1:6">
      <c r="A1753" s="60" t="s">
        <v>2308</v>
      </c>
      <c r="B1753" s="60" t="s">
        <v>2295</v>
      </c>
      <c r="C1753" s="60" t="s">
        <v>2296</v>
      </c>
      <c r="D1753" s="60" t="str">
        <f t="shared" si="26"/>
        <v>Butandiga</v>
      </c>
      <c r="F1753" s="60">
        <v>1338</v>
      </c>
    </row>
    <row r="1754" spans="1:6">
      <c r="A1754" s="60" t="s">
        <v>432</v>
      </c>
      <c r="F1754" s="60">
        <v>1338</v>
      </c>
    </row>
    <row r="1755" spans="1:6">
      <c r="A1755" s="60" t="s">
        <v>2309</v>
      </c>
      <c r="B1755" s="60" t="s">
        <v>2295</v>
      </c>
      <c r="C1755" s="60" t="s">
        <v>2296</v>
      </c>
      <c r="D1755" s="60" t="str">
        <f t="shared" si="26"/>
        <v>Buteza</v>
      </c>
      <c r="F1755" s="60">
        <v>1339</v>
      </c>
    </row>
    <row r="1756" spans="1:6">
      <c r="A1756" s="60" t="s">
        <v>2310</v>
      </c>
      <c r="B1756" s="60" t="s">
        <v>2295</v>
      </c>
      <c r="C1756" s="60" t="s">
        <v>2296</v>
      </c>
      <c r="D1756" s="60" t="str">
        <f t="shared" si="26"/>
        <v>Buwalasi</v>
      </c>
      <c r="F1756" s="60">
        <v>1340</v>
      </c>
    </row>
    <row r="1757" spans="1:6">
      <c r="A1757" s="60" t="s">
        <v>2311</v>
      </c>
      <c r="B1757" s="60" t="s">
        <v>2295</v>
      </c>
      <c r="C1757" s="60" t="s">
        <v>2296</v>
      </c>
      <c r="D1757" s="60" t="str">
        <f t="shared" si="26"/>
        <v>Buwasa</v>
      </c>
      <c r="F1757" s="60">
        <v>1341</v>
      </c>
    </row>
    <row r="1758" spans="1:6">
      <c r="A1758" s="60" t="s">
        <v>2312</v>
      </c>
      <c r="B1758" s="60" t="s">
        <v>2295</v>
      </c>
      <c r="C1758" s="60" t="s">
        <v>2296</v>
      </c>
      <c r="D1758" s="60" t="str">
        <f t="shared" ref="D1758:D1888" si="27">A1758</f>
        <v>Buyobo</v>
      </c>
      <c r="F1758" s="60">
        <v>1342</v>
      </c>
    </row>
    <row r="1759" spans="1:6">
      <c r="A1759" s="60" t="s">
        <v>2313</v>
      </c>
      <c r="B1759" s="60" t="s">
        <v>2295</v>
      </c>
      <c r="C1759" s="60" t="s">
        <v>2296</v>
      </c>
      <c r="D1759" s="60" t="str">
        <f t="shared" si="27"/>
        <v>Masaba-Sironko</v>
      </c>
      <c r="F1759" s="60">
        <v>1343</v>
      </c>
    </row>
    <row r="1760" spans="1:6">
      <c r="A1760" s="60" t="s">
        <v>2314</v>
      </c>
      <c r="B1760" s="60" t="s">
        <v>2295</v>
      </c>
      <c r="C1760" s="60" t="s">
        <v>2296</v>
      </c>
      <c r="D1760" s="60" t="str">
        <f t="shared" si="27"/>
        <v>Nalusala</v>
      </c>
      <c r="F1760" s="60">
        <v>1344</v>
      </c>
    </row>
    <row r="1761" spans="1:6">
      <c r="A1761" s="60" t="s">
        <v>2315</v>
      </c>
      <c r="B1761" s="60" t="s">
        <v>2295</v>
      </c>
      <c r="C1761" s="60" t="s">
        <v>2296</v>
      </c>
      <c r="D1761" s="60" t="str">
        <f t="shared" si="27"/>
        <v>Sironko Town Council</v>
      </c>
      <c r="F1761" s="60">
        <v>1345</v>
      </c>
    </row>
    <row r="1762" spans="1:6">
      <c r="A1762" s="60" t="s">
        <v>2316</v>
      </c>
      <c r="B1762" s="60" t="s">
        <v>2295</v>
      </c>
      <c r="C1762" s="60" t="s">
        <v>2296</v>
      </c>
      <c r="D1762" s="60" t="str">
        <f t="shared" si="27"/>
        <v>Zesui</v>
      </c>
      <c r="F1762" s="60">
        <v>1346</v>
      </c>
    </row>
    <row r="1763" spans="1:6">
      <c r="A1763" s="60" t="s">
        <v>2317</v>
      </c>
      <c r="B1763" s="60" t="s">
        <v>2318</v>
      </c>
      <c r="C1763" s="60" t="s">
        <v>2318</v>
      </c>
      <c r="D1763" s="60" t="str">
        <f t="shared" si="27"/>
        <v>Arapai</v>
      </c>
      <c r="F1763" s="60">
        <v>1347</v>
      </c>
    </row>
    <row r="1764" spans="1:6">
      <c r="A1764" s="60" t="s">
        <v>2319</v>
      </c>
      <c r="B1764" s="60" t="s">
        <v>2318</v>
      </c>
      <c r="C1764" s="60" t="s">
        <v>2318</v>
      </c>
      <c r="D1764" s="60" t="str">
        <f t="shared" si="27"/>
        <v>Asuret</v>
      </c>
      <c r="F1764" s="60">
        <v>1348</v>
      </c>
    </row>
    <row r="1765" spans="1:6">
      <c r="A1765" s="60" t="s">
        <v>2320</v>
      </c>
      <c r="B1765" s="60" t="s">
        <v>2318</v>
      </c>
      <c r="C1765" s="60" t="s">
        <v>2318</v>
      </c>
      <c r="D1765" s="60" t="str">
        <f t="shared" si="27"/>
        <v>Gweri</v>
      </c>
      <c r="F1765" s="60">
        <v>1349</v>
      </c>
    </row>
    <row r="1766" spans="1:6">
      <c r="A1766" s="60" t="s">
        <v>2321</v>
      </c>
      <c r="B1766" s="60" t="s">
        <v>2318</v>
      </c>
      <c r="C1766" s="60" t="s">
        <v>2318</v>
      </c>
      <c r="D1766" s="60" t="str">
        <f t="shared" si="27"/>
        <v>Kamuda</v>
      </c>
      <c r="F1766" s="60">
        <v>1350</v>
      </c>
    </row>
    <row r="1767" spans="1:6">
      <c r="A1767" s="60" t="s">
        <v>2322</v>
      </c>
      <c r="B1767" s="60" t="s">
        <v>2318</v>
      </c>
      <c r="C1767" s="60" t="s">
        <v>2318</v>
      </c>
      <c r="D1767" s="60" t="str">
        <f t="shared" si="27"/>
        <v>Katine</v>
      </c>
      <c r="F1767" s="60">
        <v>1351</v>
      </c>
    </row>
    <row r="1768" spans="1:6">
      <c r="A1768" s="60" t="s">
        <v>2318</v>
      </c>
      <c r="B1768" s="60" t="s">
        <v>2318</v>
      </c>
      <c r="C1768" s="60" t="s">
        <v>2318</v>
      </c>
      <c r="D1768" s="60" t="str">
        <f t="shared" si="27"/>
        <v>Soroti</v>
      </c>
      <c r="F1768" s="60">
        <v>1352</v>
      </c>
    </row>
    <row r="1769" spans="1:6">
      <c r="A1769" s="60" t="s">
        <v>2323</v>
      </c>
      <c r="D1769" s="60" t="str">
        <f t="shared" si="27"/>
        <v>Soroti town</v>
      </c>
      <c r="F1769" s="60">
        <v>1352</v>
      </c>
    </row>
    <row r="1770" spans="1:6">
      <c r="A1770" s="60" t="s">
        <v>2324</v>
      </c>
      <c r="B1770" s="60" t="s">
        <v>2318</v>
      </c>
      <c r="C1770" s="60" t="s">
        <v>2324</v>
      </c>
      <c r="D1770" s="60" t="str">
        <f t="shared" si="27"/>
        <v>Soroti Municipality</v>
      </c>
      <c r="F1770" s="60">
        <v>1353</v>
      </c>
    </row>
    <row r="1771" spans="1:6">
      <c r="A1771" s="60" t="s">
        <v>2325</v>
      </c>
      <c r="B1771" s="60" t="s">
        <v>2318</v>
      </c>
      <c r="C1771" s="60" t="s">
        <v>2318</v>
      </c>
      <c r="D1771" s="60" t="str">
        <f t="shared" si="27"/>
        <v>Tubur</v>
      </c>
      <c r="F1771" s="60">
        <v>1354</v>
      </c>
    </row>
    <row r="1772" spans="1:6">
      <c r="A1772" s="60" t="s">
        <v>2326</v>
      </c>
      <c r="B1772" s="60" t="s">
        <v>2327</v>
      </c>
      <c r="C1772" s="60" t="s">
        <v>2328</v>
      </c>
      <c r="D1772" s="60" t="str">
        <f t="shared" si="27"/>
        <v>Lugusulu</v>
      </c>
      <c r="F1772" s="60">
        <v>1355</v>
      </c>
    </row>
    <row r="1773" spans="1:6">
      <c r="A1773" s="60" t="s">
        <v>2329</v>
      </c>
      <c r="B1773" s="60" t="s">
        <v>2327</v>
      </c>
      <c r="C1773" s="60" t="s">
        <v>2328</v>
      </c>
      <c r="D1773" s="60" t="str">
        <f t="shared" si="27"/>
        <v>Lwebitakuli</v>
      </c>
      <c r="F1773" s="60">
        <v>1356</v>
      </c>
    </row>
    <row r="1774" spans="1:6">
      <c r="A1774" s="60" t="s">
        <v>2330</v>
      </c>
      <c r="B1774" s="60" t="s">
        <v>2327</v>
      </c>
      <c r="C1774" s="60" t="s">
        <v>2330</v>
      </c>
      <c r="D1774" s="60" t="str">
        <f t="shared" si="27"/>
        <v>Lwemiyaga</v>
      </c>
      <c r="F1774" s="60">
        <v>1357</v>
      </c>
    </row>
    <row r="1775" spans="1:6">
      <c r="A1775" s="60" t="s">
        <v>2331</v>
      </c>
      <c r="B1775" s="60" t="s">
        <v>2327</v>
      </c>
      <c r="C1775" s="60" t="s">
        <v>2328</v>
      </c>
      <c r="D1775" s="60" t="str">
        <f t="shared" si="27"/>
        <v>Mateete</v>
      </c>
      <c r="F1775" s="60">
        <v>1358</v>
      </c>
    </row>
    <row r="1776" spans="1:6">
      <c r="A1776" s="60" t="s">
        <v>2332</v>
      </c>
      <c r="B1776" s="60" t="s">
        <v>2327</v>
      </c>
      <c r="C1776" s="60" t="s">
        <v>2328</v>
      </c>
      <c r="D1776" s="60" t="str">
        <f t="shared" si="27"/>
        <v>Mateete Town Council</v>
      </c>
      <c r="F1776" s="60">
        <v>1359</v>
      </c>
    </row>
    <row r="1777" spans="1:6">
      <c r="A1777" s="60" t="s">
        <v>2333</v>
      </c>
      <c r="B1777" s="60" t="s">
        <v>2327</v>
      </c>
      <c r="C1777" s="60" t="s">
        <v>2328</v>
      </c>
      <c r="D1777" s="60" t="str">
        <f t="shared" si="27"/>
        <v>Mijwala</v>
      </c>
      <c r="F1777" s="60">
        <v>1360</v>
      </c>
    </row>
    <row r="1778" spans="1:6">
      <c r="A1778" s="60" t="s">
        <v>2334</v>
      </c>
      <c r="B1778" s="60" t="s">
        <v>2327</v>
      </c>
      <c r="C1778" s="60" t="s">
        <v>2330</v>
      </c>
      <c r="D1778" s="60" t="str">
        <f t="shared" si="27"/>
        <v>Ntuusi</v>
      </c>
      <c r="F1778" s="60">
        <v>1361</v>
      </c>
    </row>
    <row r="1779" spans="1:6">
      <c r="A1779" s="60" t="s">
        <v>2335</v>
      </c>
      <c r="B1779" s="60" t="s">
        <v>2327</v>
      </c>
      <c r="C1779" s="60" t="s">
        <v>2328</v>
      </c>
      <c r="D1779" s="60" t="str">
        <f t="shared" si="27"/>
        <v>Sembabule Town Council</v>
      </c>
      <c r="F1779" s="60">
        <v>1362</v>
      </c>
    </row>
    <row r="1780" spans="1:6">
      <c r="A1780" s="60" t="s">
        <v>2336</v>
      </c>
      <c r="F1780" s="60">
        <v>1362</v>
      </c>
    </row>
    <row r="1781" spans="1:6">
      <c r="A1781" s="60" t="s">
        <v>2337</v>
      </c>
      <c r="B1781" s="60" t="s">
        <v>2338</v>
      </c>
      <c r="C1781" s="60" t="s">
        <v>2339</v>
      </c>
      <c r="D1781" s="60" t="str">
        <f t="shared" si="27"/>
        <v>Iyolwa</v>
      </c>
      <c r="F1781" s="60">
        <v>1363</v>
      </c>
    </row>
    <row r="1782" spans="1:6">
      <c r="A1782" s="60" t="s">
        <v>2340</v>
      </c>
      <c r="B1782" s="60" t="s">
        <v>2338</v>
      </c>
      <c r="C1782" s="60" t="s">
        <v>2339</v>
      </c>
      <c r="D1782" s="60" t="str">
        <f t="shared" si="27"/>
        <v>Kirewa</v>
      </c>
      <c r="F1782" s="60">
        <v>1364</v>
      </c>
    </row>
    <row r="1783" spans="1:6">
      <c r="A1783" s="60" t="s">
        <v>2341</v>
      </c>
      <c r="B1783" s="60" t="s">
        <v>2338</v>
      </c>
      <c r="C1783" s="60" t="s">
        <v>2339</v>
      </c>
      <c r="D1783" s="60" t="str">
        <f t="shared" si="27"/>
        <v>Kisoko</v>
      </c>
      <c r="F1783" s="60">
        <v>1365</v>
      </c>
    </row>
    <row r="1784" spans="1:6">
      <c r="A1784" s="60" t="s">
        <v>2342</v>
      </c>
      <c r="B1784" s="60" t="s">
        <v>2338</v>
      </c>
      <c r="C1784" s="60" t="s">
        <v>2338</v>
      </c>
      <c r="D1784" s="60" t="str">
        <f t="shared" si="27"/>
        <v>Kwapa</v>
      </c>
      <c r="F1784" s="60">
        <v>1366</v>
      </c>
    </row>
    <row r="1785" spans="1:6">
      <c r="A1785" s="60" t="s">
        <v>2343</v>
      </c>
      <c r="B1785" s="60" t="s">
        <v>2338</v>
      </c>
      <c r="C1785" s="60" t="s">
        <v>2339</v>
      </c>
      <c r="D1785" s="60" t="str">
        <f t="shared" si="27"/>
        <v>Magola</v>
      </c>
      <c r="F1785" s="60">
        <v>1367</v>
      </c>
    </row>
    <row r="1786" spans="1:6">
      <c r="A1786" s="60" t="s">
        <v>2344</v>
      </c>
      <c r="B1786" s="60" t="s">
        <v>2338</v>
      </c>
      <c r="C1786" s="60" t="s">
        <v>2338</v>
      </c>
      <c r="D1786" s="60" t="str">
        <f t="shared" si="27"/>
        <v>Malaba Town Council</v>
      </c>
      <c r="F1786" s="60">
        <v>1368</v>
      </c>
    </row>
    <row r="1787" spans="1:6">
      <c r="A1787" s="60" t="s">
        <v>2345</v>
      </c>
      <c r="D1787" s="60" t="str">
        <f t="shared" si="27"/>
        <v>Malaba</v>
      </c>
      <c r="F1787" s="60">
        <v>1368</v>
      </c>
    </row>
    <row r="1788" spans="1:6">
      <c r="A1788" s="60" t="s">
        <v>2346</v>
      </c>
      <c r="B1788" s="60" t="s">
        <v>2338</v>
      </c>
      <c r="C1788" s="60" t="s">
        <v>2338</v>
      </c>
      <c r="D1788" s="60" t="str">
        <f t="shared" si="27"/>
        <v>Mella</v>
      </c>
      <c r="F1788" s="60">
        <v>1369</v>
      </c>
    </row>
    <row r="1789" spans="1:6">
      <c r="A1789" s="60" t="s">
        <v>2347</v>
      </c>
      <c r="B1789" s="60" t="s">
        <v>2338</v>
      </c>
      <c r="C1789" s="60" t="s">
        <v>2338</v>
      </c>
      <c r="D1789" s="60" t="str">
        <f t="shared" si="27"/>
        <v>Merikit</v>
      </c>
      <c r="F1789" s="60">
        <v>1370</v>
      </c>
    </row>
    <row r="1790" spans="1:6">
      <c r="A1790" s="60" t="s">
        <v>2348</v>
      </c>
      <c r="B1790" s="60" t="s">
        <v>2338</v>
      </c>
      <c r="C1790" s="60" t="s">
        <v>2338</v>
      </c>
      <c r="D1790" s="60" t="str">
        <f t="shared" si="27"/>
        <v>Molo</v>
      </c>
      <c r="F1790" s="60">
        <v>1371</v>
      </c>
    </row>
    <row r="1791" spans="1:6">
      <c r="A1791" s="60" t="s">
        <v>2349</v>
      </c>
      <c r="B1791" s="60" t="s">
        <v>2338</v>
      </c>
      <c r="C1791" s="60" t="s">
        <v>2338</v>
      </c>
      <c r="D1791" s="60" t="str">
        <f t="shared" si="27"/>
        <v>Mukuju</v>
      </c>
      <c r="F1791" s="60">
        <v>1372</v>
      </c>
    </row>
    <row r="1792" spans="1:6">
      <c r="A1792" s="60" t="s">
        <v>2350</v>
      </c>
      <c r="B1792" s="60" t="s">
        <v>2338</v>
      </c>
      <c r="C1792" s="60" t="s">
        <v>2339</v>
      </c>
      <c r="D1792" s="60" t="str">
        <f t="shared" si="27"/>
        <v>Mulanda</v>
      </c>
      <c r="F1792" s="60">
        <v>1373</v>
      </c>
    </row>
    <row r="1793" spans="1:6">
      <c r="A1793" s="60" t="s">
        <v>2351</v>
      </c>
      <c r="B1793" s="60" t="s">
        <v>2338</v>
      </c>
      <c r="C1793" s="60" t="s">
        <v>2339</v>
      </c>
      <c r="D1793" s="60" t="str">
        <f t="shared" si="27"/>
        <v>Nabuyoga</v>
      </c>
      <c r="F1793" s="60">
        <v>1374</v>
      </c>
    </row>
    <row r="1794" spans="1:6">
      <c r="A1794" s="60" t="s">
        <v>2352</v>
      </c>
      <c r="B1794" s="60" t="s">
        <v>2338</v>
      </c>
      <c r="C1794" s="60" t="s">
        <v>2339</v>
      </c>
      <c r="D1794" s="60" t="str">
        <f t="shared" si="27"/>
        <v>Nagongera</v>
      </c>
      <c r="F1794" s="60">
        <v>1375</v>
      </c>
    </row>
    <row r="1795" spans="1:6">
      <c r="A1795" s="60" t="s">
        <v>2353</v>
      </c>
      <c r="B1795" s="60" t="s">
        <v>2338</v>
      </c>
      <c r="C1795" s="60" t="s">
        <v>2339</v>
      </c>
      <c r="D1795" s="60" t="str">
        <f t="shared" si="27"/>
        <v>Nagongera Town Council</v>
      </c>
      <c r="F1795" s="60">
        <v>1376</v>
      </c>
    </row>
    <row r="1796" spans="1:6">
      <c r="A1796" s="60" t="s">
        <v>2354</v>
      </c>
      <c r="B1796" s="60" t="s">
        <v>2338</v>
      </c>
      <c r="C1796" s="60" t="s">
        <v>2338</v>
      </c>
      <c r="D1796" s="60" t="str">
        <f t="shared" si="27"/>
        <v>Osukuru</v>
      </c>
      <c r="F1796" s="60">
        <v>1377</v>
      </c>
    </row>
    <row r="1797" spans="1:6">
      <c r="A1797" s="60" t="s">
        <v>2355</v>
      </c>
      <c r="B1797" s="60" t="s">
        <v>2338</v>
      </c>
      <c r="C1797" s="60" t="s">
        <v>2339</v>
      </c>
      <c r="D1797" s="60" t="str">
        <f t="shared" si="27"/>
        <v>Paya</v>
      </c>
      <c r="F1797" s="60">
        <v>1378</v>
      </c>
    </row>
    <row r="1798" spans="1:6">
      <c r="A1798" s="60" t="s">
        <v>2356</v>
      </c>
      <c r="B1798" s="60" t="s">
        <v>2338</v>
      </c>
      <c r="C1798" s="60" t="s">
        <v>2339</v>
      </c>
      <c r="D1798" s="60" t="str">
        <f t="shared" si="27"/>
        <v>Petta</v>
      </c>
      <c r="F1798" s="60">
        <v>1379</v>
      </c>
    </row>
    <row r="1799" spans="1:6">
      <c r="A1799" s="60" t="s">
        <v>2357</v>
      </c>
      <c r="B1799" s="60" t="s">
        <v>2338</v>
      </c>
      <c r="C1799" s="60" t="s">
        <v>2339</v>
      </c>
      <c r="D1799" s="60" t="str">
        <f t="shared" si="27"/>
        <v>Rubongi</v>
      </c>
      <c r="F1799" s="60">
        <v>1380</v>
      </c>
    </row>
    <row r="1800" spans="1:6">
      <c r="A1800" s="60" t="s">
        <v>2358</v>
      </c>
      <c r="B1800" s="60" t="s">
        <v>2338</v>
      </c>
      <c r="C1800" s="60" t="s">
        <v>2339</v>
      </c>
      <c r="D1800" s="60" t="str">
        <f t="shared" si="27"/>
        <v>Sop-Sop</v>
      </c>
      <c r="F1800" s="60">
        <v>1381</v>
      </c>
    </row>
    <row r="1801" spans="1:6">
      <c r="A1801" s="60" t="s">
        <v>2359</v>
      </c>
      <c r="B1801" s="60" t="s">
        <v>2338</v>
      </c>
      <c r="C1801" s="60" t="s">
        <v>2359</v>
      </c>
      <c r="D1801" s="60" t="str">
        <f t="shared" si="27"/>
        <v>Tororo Municipality</v>
      </c>
      <c r="F1801" s="60">
        <v>1382</v>
      </c>
    </row>
    <row r="1802" spans="1:6">
      <c r="A1802" s="60" t="s">
        <v>2338</v>
      </c>
      <c r="D1802" s="60" t="str">
        <f t="shared" si="27"/>
        <v>Tororo</v>
      </c>
      <c r="F1802" s="60">
        <v>1382</v>
      </c>
    </row>
    <row r="1803" spans="1:6">
      <c r="A1803" s="60" t="s">
        <v>2360</v>
      </c>
      <c r="F1803" s="60">
        <v>1382</v>
      </c>
    </row>
    <row r="1804" spans="1:6">
      <c r="A1804" s="60" t="s">
        <v>2361</v>
      </c>
      <c r="F1804" s="60">
        <v>1382</v>
      </c>
    </row>
    <row r="1805" spans="1:6">
      <c r="A1805" s="60" t="s">
        <v>2362</v>
      </c>
      <c r="B1805" s="60" t="s">
        <v>159</v>
      </c>
      <c r="C1805" s="60" t="s">
        <v>2363</v>
      </c>
      <c r="D1805" s="60" t="str">
        <f t="shared" si="27"/>
        <v>Bunamwaya</v>
      </c>
      <c r="F1805" s="60">
        <v>1383</v>
      </c>
    </row>
    <row r="1806" spans="1:6">
      <c r="A1806" s="60" t="s">
        <v>2364</v>
      </c>
      <c r="F1806" s="60">
        <v>1383</v>
      </c>
    </row>
    <row r="1807" spans="1:6">
      <c r="A1807" s="60" t="s">
        <v>2365</v>
      </c>
      <c r="B1807" s="60" t="s">
        <v>159</v>
      </c>
      <c r="C1807" s="60" t="s">
        <v>2366</v>
      </c>
      <c r="D1807" s="60" t="str">
        <f t="shared" si="27"/>
        <v>Bussi</v>
      </c>
      <c r="F1807" s="60">
        <v>1384</v>
      </c>
    </row>
    <row r="1808" spans="1:6">
      <c r="A1808" s="60" t="s">
        <v>2367</v>
      </c>
      <c r="F1808" s="60">
        <v>1384</v>
      </c>
    </row>
    <row r="1809" spans="1:6">
      <c r="A1809" s="60" t="s">
        <v>2368</v>
      </c>
      <c r="B1809" s="60" t="s">
        <v>159</v>
      </c>
      <c r="C1809" s="60" t="s">
        <v>2369</v>
      </c>
      <c r="D1809" s="60" t="str">
        <f t="shared" si="27"/>
        <v>Busukuma</v>
      </c>
      <c r="F1809" s="60">
        <v>1385</v>
      </c>
    </row>
    <row r="1810" spans="1:6">
      <c r="A1810" s="60" t="s">
        <v>28</v>
      </c>
      <c r="B1810" s="60" t="s">
        <v>159</v>
      </c>
      <c r="C1810" s="60" t="s">
        <v>2370</v>
      </c>
      <c r="D1810" s="60" t="str">
        <f t="shared" si="27"/>
        <v>Bweyogerere</v>
      </c>
      <c r="F1810" s="60">
        <v>1386</v>
      </c>
    </row>
    <row r="1811" spans="1:6">
      <c r="A1811" s="60" t="s">
        <v>2371</v>
      </c>
      <c r="D1811" s="60" t="str">
        <f t="shared" si="27"/>
        <v>Namboole</v>
      </c>
      <c r="F1811" s="60">
        <v>1386</v>
      </c>
    </row>
    <row r="1812" spans="1:6">
      <c r="A1812" s="60" t="s">
        <v>2372</v>
      </c>
      <c r="D1812" s="60" t="str">
        <f t="shared" si="27"/>
        <v>Kazinga</v>
      </c>
      <c r="F1812" s="60">
        <v>1386</v>
      </c>
    </row>
    <row r="1813" spans="1:6">
      <c r="A1813" s="60" t="s">
        <v>2373</v>
      </c>
      <c r="B1813" s="60" t="s">
        <v>159</v>
      </c>
      <c r="C1813" s="60" t="s">
        <v>2374</v>
      </c>
      <c r="D1813" s="60" t="str">
        <f t="shared" si="27"/>
        <v>Entebbe Airport</v>
      </c>
      <c r="F1813" s="60">
        <v>1387</v>
      </c>
    </row>
    <row r="1814" spans="1:6">
      <c r="A1814" s="60" t="s">
        <v>2375</v>
      </c>
      <c r="D1814" s="60" t="str">
        <f t="shared" si="27"/>
        <v>Airport</v>
      </c>
      <c r="F1814" s="60">
        <v>1387</v>
      </c>
    </row>
    <row r="1815" spans="1:6">
      <c r="A1815" s="60" t="s">
        <v>2374</v>
      </c>
      <c r="B1815" s="60" t="s">
        <v>159</v>
      </c>
      <c r="C1815" s="60" t="s">
        <v>2374</v>
      </c>
      <c r="D1815" s="60" t="str">
        <f t="shared" si="27"/>
        <v>Entebbe Municipality</v>
      </c>
      <c r="F1815" s="60">
        <v>1388</v>
      </c>
    </row>
    <row r="1816" spans="1:6">
      <c r="A1816" s="60" t="s">
        <v>30</v>
      </c>
      <c r="D1816" s="60" t="str">
        <f t="shared" si="27"/>
        <v>Entebbe</v>
      </c>
      <c r="F1816" s="60">
        <v>1388</v>
      </c>
    </row>
    <row r="1817" spans="1:6">
      <c r="A1817" s="60" t="s">
        <v>2376</v>
      </c>
      <c r="D1817" s="60" t="str">
        <f t="shared" si="27"/>
        <v>Garuga</v>
      </c>
      <c r="F1817" s="60">
        <v>1388</v>
      </c>
    </row>
    <row r="1818" spans="1:6">
      <c r="A1818" s="60" t="s">
        <v>2377</v>
      </c>
      <c r="F1818" s="60">
        <v>1388</v>
      </c>
    </row>
    <row r="1819" spans="1:6">
      <c r="A1819" s="60" t="s">
        <v>2378</v>
      </c>
      <c r="F1819" s="60">
        <v>1388</v>
      </c>
    </row>
    <row r="1820" spans="1:6">
      <c r="A1820" s="60" t="s">
        <v>2379</v>
      </c>
      <c r="F1820" s="60">
        <v>1388</v>
      </c>
    </row>
    <row r="1821" spans="1:6">
      <c r="A1821" s="60" t="s">
        <v>2380</v>
      </c>
      <c r="F1821" s="60">
        <v>1388</v>
      </c>
    </row>
    <row r="1822" spans="1:6">
      <c r="A1822" s="60" t="s">
        <v>2381</v>
      </c>
      <c r="F1822" s="60">
        <v>1388</v>
      </c>
    </row>
    <row r="1823" spans="1:6">
      <c r="A1823" s="60" t="s">
        <v>2382</v>
      </c>
      <c r="F1823" s="60">
        <v>1388</v>
      </c>
    </row>
    <row r="1824" spans="1:6">
      <c r="A1824" s="60" t="s">
        <v>2383</v>
      </c>
      <c r="D1824" s="60" t="str">
        <f t="shared" si="27"/>
        <v>Kawuku</v>
      </c>
      <c r="F1824" s="60">
        <v>1388</v>
      </c>
    </row>
    <row r="1825" spans="1:6">
      <c r="A1825" s="60" t="s">
        <v>2384</v>
      </c>
      <c r="F1825" s="60">
        <v>1388</v>
      </c>
    </row>
    <row r="1826" spans="1:6">
      <c r="A1826" s="60" t="s">
        <v>2385</v>
      </c>
      <c r="F1826" s="60">
        <v>1388</v>
      </c>
    </row>
    <row r="1827" spans="1:6">
      <c r="A1827" s="60" t="s">
        <v>2386</v>
      </c>
      <c r="B1827" s="60" t="s">
        <v>159</v>
      </c>
      <c r="C1827" s="60" t="s">
        <v>2369</v>
      </c>
      <c r="D1827" s="60" t="str">
        <f t="shared" si="27"/>
        <v>Gombe</v>
      </c>
      <c r="F1827" s="60">
        <v>1389</v>
      </c>
    </row>
    <row r="1828" spans="1:6">
      <c r="A1828" s="60" t="s">
        <v>2387</v>
      </c>
      <c r="D1828" s="60" t="str">
        <f t="shared" si="27"/>
        <v>Katende</v>
      </c>
      <c r="F1828" s="60">
        <v>1389</v>
      </c>
    </row>
    <row r="1829" spans="1:6">
      <c r="A1829" s="60" t="s">
        <v>2388</v>
      </c>
      <c r="D1829" s="60" t="s">
        <v>771</v>
      </c>
      <c r="F1829" s="60">
        <v>1389</v>
      </c>
    </row>
    <row r="1830" spans="1:6">
      <c r="A1830" s="60" t="s">
        <v>2389</v>
      </c>
      <c r="D1830" s="60" t="str">
        <f>A1830</f>
        <v>Nabbingo</v>
      </c>
      <c r="F1830" s="60">
        <v>1389</v>
      </c>
    </row>
    <row r="1831" spans="1:6">
      <c r="A1831" s="60" t="s">
        <v>2390</v>
      </c>
      <c r="F1831" s="60">
        <v>1389</v>
      </c>
    </row>
    <row r="1832" spans="1:6">
      <c r="A1832" s="60" t="s">
        <v>2391</v>
      </c>
      <c r="D1832" s="60" t="str">
        <f>A1832</f>
        <v>Mugongo</v>
      </c>
      <c r="F1832" s="60">
        <v>1389</v>
      </c>
    </row>
    <row r="1833" spans="1:6">
      <c r="A1833" s="60" t="s">
        <v>2392</v>
      </c>
      <c r="B1833" s="60" t="s">
        <v>159</v>
      </c>
      <c r="C1833" s="60" t="s">
        <v>2366</v>
      </c>
      <c r="D1833" s="60" t="str">
        <f t="shared" si="27"/>
        <v>Kajjansi Town Council</v>
      </c>
      <c r="F1833" s="60">
        <v>1390</v>
      </c>
    </row>
    <row r="1834" spans="1:6">
      <c r="A1834" s="60" t="s">
        <v>2393</v>
      </c>
      <c r="F1834" s="60">
        <v>1390</v>
      </c>
    </row>
    <row r="1835" spans="1:6">
      <c r="A1835" s="60" t="s">
        <v>2394</v>
      </c>
      <c r="F1835" s="60">
        <v>1390</v>
      </c>
    </row>
    <row r="1836" spans="1:6">
      <c r="A1836" s="60" t="s">
        <v>2395</v>
      </c>
      <c r="F1836" s="60">
        <v>1390</v>
      </c>
    </row>
    <row r="1837" spans="1:6">
      <c r="A1837" s="60" t="s">
        <v>2396</v>
      </c>
      <c r="F1837" s="60">
        <v>1390</v>
      </c>
    </row>
    <row r="1838" spans="1:6">
      <c r="A1838" s="60" t="s">
        <v>2397</v>
      </c>
      <c r="B1838" s="60" t="s">
        <v>159</v>
      </c>
      <c r="C1838" s="60" t="s">
        <v>2366</v>
      </c>
      <c r="D1838" s="60" t="str">
        <f t="shared" si="27"/>
        <v>Kakiri</v>
      </c>
      <c r="F1838" s="60">
        <v>1391</v>
      </c>
    </row>
    <row r="1839" spans="1:6">
      <c r="A1839" s="60" t="s">
        <v>2398</v>
      </c>
      <c r="F1839" s="60">
        <v>1391</v>
      </c>
    </row>
    <row r="1840" spans="1:6">
      <c r="A1840" s="60" t="s">
        <v>2399</v>
      </c>
      <c r="F1840" s="60">
        <v>1391</v>
      </c>
    </row>
    <row r="1841" spans="1:6">
      <c r="A1841" s="60" t="s">
        <v>2400</v>
      </c>
      <c r="B1841" s="60" t="s">
        <v>159</v>
      </c>
      <c r="C1841" s="60" t="s">
        <v>2366</v>
      </c>
      <c r="D1841" s="60" t="str">
        <f t="shared" si="27"/>
        <v>Kakiri Town Council</v>
      </c>
      <c r="F1841" s="60">
        <v>1392</v>
      </c>
    </row>
    <row r="1842" spans="1:6">
      <c r="A1842" s="60" t="s">
        <v>2401</v>
      </c>
      <c r="B1842" s="60" t="s">
        <v>159</v>
      </c>
      <c r="C1842" s="60" t="s">
        <v>2402</v>
      </c>
      <c r="D1842" s="60" t="str">
        <f t="shared" si="27"/>
        <v>Kasangati Town Council</v>
      </c>
      <c r="F1842" s="60">
        <v>1393</v>
      </c>
    </row>
    <row r="1843" spans="1:6">
      <c r="A1843" s="60" t="s">
        <v>2403</v>
      </c>
      <c r="D1843" s="60" t="str">
        <f t="shared" si="27"/>
        <v>Kasangati</v>
      </c>
      <c r="F1843" s="60">
        <v>1393</v>
      </c>
    </row>
    <row r="1844" spans="1:6">
      <c r="A1844" s="60" t="s">
        <v>2404</v>
      </c>
      <c r="D1844" s="60" t="str">
        <f t="shared" si="27"/>
        <v>Matugga</v>
      </c>
      <c r="F1844" s="60">
        <v>1393</v>
      </c>
    </row>
    <row r="1845" spans="1:6">
      <c r="A1845" s="60" t="s">
        <v>2405</v>
      </c>
      <c r="D1845" s="60" t="str">
        <f t="shared" si="27"/>
        <v>Lweeza</v>
      </c>
      <c r="F1845" s="60">
        <v>1393</v>
      </c>
    </row>
    <row r="1846" spans="1:6">
      <c r="A1846" s="60" t="s">
        <v>2406</v>
      </c>
      <c r="F1846" s="60">
        <v>1393</v>
      </c>
    </row>
    <row r="1847" spans="1:6">
      <c r="A1847" s="60" t="s">
        <v>2407</v>
      </c>
      <c r="F1847" s="60">
        <v>1393</v>
      </c>
    </row>
    <row r="1848" spans="1:6">
      <c r="A1848" s="60" t="s">
        <v>2408</v>
      </c>
      <c r="D1848" s="60" t="str">
        <f t="shared" si="27"/>
        <v>Kiteezi</v>
      </c>
      <c r="F1848" s="60">
        <v>1393</v>
      </c>
    </row>
    <row r="1849" spans="1:6">
      <c r="A1849" s="60" t="s">
        <v>2409</v>
      </c>
      <c r="B1849" s="60" t="s">
        <v>159</v>
      </c>
      <c r="C1849" s="60" t="s">
        <v>2366</v>
      </c>
      <c r="D1849" s="60" t="str">
        <f t="shared" si="27"/>
        <v>Kasanje</v>
      </c>
      <c r="F1849" s="60">
        <v>1394</v>
      </c>
    </row>
    <row r="1850" spans="1:6">
      <c r="A1850" s="60" t="s">
        <v>2410</v>
      </c>
      <c r="B1850" s="60" t="s">
        <v>159</v>
      </c>
      <c r="C1850" s="60" t="s">
        <v>2366</v>
      </c>
      <c r="D1850" s="60" t="str">
        <f t="shared" si="27"/>
        <v>Katabi Town Council</v>
      </c>
      <c r="F1850" s="60">
        <v>1395</v>
      </c>
    </row>
    <row r="1851" spans="1:6">
      <c r="A1851" s="60" t="s">
        <v>2411</v>
      </c>
      <c r="F1851" s="60">
        <v>1395</v>
      </c>
    </row>
    <row r="1852" spans="1:6">
      <c r="A1852" s="60" t="s">
        <v>2412</v>
      </c>
      <c r="F1852" s="60">
        <v>1395</v>
      </c>
    </row>
    <row r="1853" spans="1:6">
      <c r="A1853" s="60" t="s">
        <v>2413</v>
      </c>
      <c r="B1853" s="60" t="s">
        <v>159</v>
      </c>
      <c r="C1853" s="60" t="s">
        <v>2370</v>
      </c>
      <c r="D1853" s="60" t="str">
        <f t="shared" si="27"/>
        <v>Kira</v>
      </c>
      <c r="F1853" s="60">
        <v>1396</v>
      </c>
    </row>
    <row r="1854" spans="1:6">
      <c r="A1854" s="60" t="s">
        <v>2414</v>
      </c>
      <c r="D1854" s="60" t="str">
        <f t="shared" si="27"/>
        <v>Kiira</v>
      </c>
      <c r="F1854" s="60">
        <v>1396</v>
      </c>
    </row>
    <row r="1855" spans="1:6">
      <c r="A1855" s="60" t="s">
        <v>2415</v>
      </c>
      <c r="F1855" s="60">
        <v>1396</v>
      </c>
    </row>
    <row r="1856" spans="1:6">
      <c r="A1856" s="60" t="s">
        <v>2416</v>
      </c>
      <c r="F1856" s="60">
        <v>1396</v>
      </c>
    </row>
    <row r="1857" spans="1:6">
      <c r="A1857" s="60" t="s">
        <v>2417</v>
      </c>
      <c r="F1857" s="60">
        <v>1396</v>
      </c>
    </row>
    <row r="1858" spans="1:6">
      <c r="A1858" s="60" t="s">
        <v>2418</v>
      </c>
      <c r="F1858" s="60">
        <v>1396</v>
      </c>
    </row>
    <row r="1859" spans="1:6">
      <c r="A1859" s="60" t="s">
        <v>2419</v>
      </c>
      <c r="D1859" s="60" t="str">
        <f t="shared" si="27"/>
        <v>Kireka</v>
      </c>
      <c r="F1859" s="60">
        <v>1396</v>
      </c>
    </row>
    <row r="1860" spans="1:6">
      <c r="A1860" s="60" t="s">
        <v>2420</v>
      </c>
      <c r="B1860" s="60" t="s">
        <v>159</v>
      </c>
      <c r="C1860" s="60" t="s">
        <v>2366</v>
      </c>
      <c r="D1860" s="60" t="str">
        <f t="shared" si="27"/>
        <v>Kyengera Town Council</v>
      </c>
      <c r="F1860" s="60">
        <v>1397</v>
      </c>
    </row>
    <row r="1861" spans="1:6">
      <c r="A1861" s="60" t="s">
        <v>2421</v>
      </c>
      <c r="F1861" s="60">
        <v>1397</v>
      </c>
    </row>
    <row r="1862" spans="1:6">
      <c r="A1862" s="60" t="s">
        <v>2422</v>
      </c>
      <c r="F1862" s="60">
        <v>1397</v>
      </c>
    </row>
    <row r="1863" spans="1:6">
      <c r="A1863" s="60" t="s">
        <v>2423</v>
      </c>
      <c r="F1863" s="60">
        <v>1397</v>
      </c>
    </row>
    <row r="1864" spans="1:6">
      <c r="A1864" s="60" t="s">
        <v>2424</v>
      </c>
      <c r="F1864" s="60">
        <v>1397</v>
      </c>
    </row>
    <row r="1865" spans="1:6">
      <c r="A1865" s="60" t="s">
        <v>2425</v>
      </c>
      <c r="F1865" s="60">
        <v>1397</v>
      </c>
    </row>
    <row r="1866" spans="1:6">
      <c r="A1866" s="60" t="s">
        <v>2426</v>
      </c>
      <c r="D1866" s="60" t="str">
        <f t="shared" si="27"/>
        <v>Kyengera</v>
      </c>
      <c r="F1866" s="60">
        <v>1397</v>
      </c>
    </row>
    <row r="1867" spans="1:6">
      <c r="A1867" s="60" t="s">
        <v>2427</v>
      </c>
      <c r="F1867" s="60">
        <v>1397</v>
      </c>
    </row>
    <row r="1868" spans="1:6">
      <c r="A1868" s="60" t="s">
        <v>2428</v>
      </c>
      <c r="F1868" s="60">
        <v>1397</v>
      </c>
    </row>
    <row r="1869" spans="1:6">
      <c r="A1869" s="60" t="s">
        <v>2429</v>
      </c>
      <c r="F1869" s="60">
        <v>1397</v>
      </c>
    </row>
    <row r="1870" spans="1:6">
      <c r="A1870" s="60" t="s">
        <v>2430</v>
      </c>
      <c r="F1870" s="60">
        <v>1397</v>
      </c>
    </row>
    <row r="1871" spans="1:6">
      <c r="A1871" s="60" t="s">
        <v>2431</v>
      </c>
      <c r="F1871" s="60">
        <v>1397</v>
      </c>
    </row>
    <row r="1872" spans="1:6">
      <c r="A1872" s="60" t="s">
        <v>2432</v>
      </c>
      <c r="F1872" s="60">
        <v>1397</v>
      </c>
    </row>
    <row r="1873" spans="1:6">
      <c r="A1873" s="60" t="s">
        <v>2433</v>
      </c>
      <c r="F1873" s="60">
        <v>1397</v>
      </c>
    </row>
    <row r="1874" spans="1:6">
      <c r="A1874" s="60" t="s">
        <v>2434</v>
      </c>
      <c r="F1874" s="60">
        <v>1397</v>
      </c>
    </row>
    <row r="1875" spans="1:6">
      <c r="A1875" s="60" t="s">
        <v>2435</v>
      </c>
      <c r="F1875" s="60">
        <v>1397</v>
      </c>
    </row>
    <row r="1876" spans="1:6">
      <c r="A1876" s="60" t="s">
        <v>2436</v>
      </c>
      <c r="F1876" s="60">
        <v>1397</v>
      </c>
    </row>
    <row r="1877" spans="1:6">
      <c r="A1877" s="60" t="s">
        <v>2437</v>
      </c>
      <c r="F1877" s="60">
        <v>1397</v>
      </c>
    </row>
    <row r="1878" spans="1:6">
      <c r="A1878" s="60" t="s">
        <v>2438</v>
      </c>
      <c r="F1878" s="60">
        <v>1397</v>
      </c>
    </row>
    <row r="1879" spans="1:6">
      <c r="A1879" s="60" t="s">
        <v>2439</v>
      </c>
      <c r="F1879" s="60">
        <v>1397</v>
      </c>
    </row>
    <row r="1880" spans="1:6">
      <c r="A1880" s="60" t="s">
        <v>2440</v>
      </c>
      <c r="F1880" s="60">
        <v>1397</v>
      </c>
    </row>
    <row r="1881" spans="1:6">
      <c r="A1881" s="60" t="s">
        <v>2441</v>
      </c>
      <c r="F1881" s="60">
        <v>1397</v>
      </c>
    </row>
    <row r="1882" spans="1:6">
      <c r="A1882" s="60" t="s">
        <v>2442</v>
      </c>
      <c r="B1882" s="60" t="s">
        <v>159</v>
      </c>
      <c r="C1882" s="60" t="s">
        <v>2363</v>
      </c>
      <c r="D1882" s="60" t="str">
        <f t="shared" si="27"/>
        <v>Masajja</v>
      </c>
      <c r="F1882" s="60">
        <v>1398</v>
      </c>
    </row>
    <row r="1883" spans="1:6">
      <c r="A1883" s="60" t="s">
        <v>2443</v>
      </c>
      <c r="F1883" s="60">
        <v>1398</v>
      </c>
    </row>
    <row r="1884" spans="1:6">
      <c r="A1884" s="60" t="s">
        <v>2444</v>
      </c>
      <c r="F1884" s="60">
        <v>1398</v>
      </c>
    </row>
    <row r="1885" spans="1:6">
      <c r="A1885" s="60" t="s">
        <v>2445</v>
      </c>
      <c r="F1885" s="60">
        <v>1398</v>
      </c>
    </row>
    <row r="1886" spans="1:6">
      <c r="A1886" s="60" t="s">
        <v>2446</v>
      </c>
      <c r="B1886" s="60" t="s">
        <v>159</v>
      </c>
      <c r="C1886" s="60" t="s">
        <v>2366</v>
      </c>
      <c r="D1886" s="60" t="str">
        <f t="shared" si="27"/>
        <v>Masuliita</v>
      </c>
      <c r="F1886" s="60">
        <v>1399</v>
      </c>
    </row>
    <row r="1887" spans="1:6">
      <c r="A1887" s="60" t="s">
        <v>2447</v>
      </c>
      <c r="F1887" s="60">
        <v>1399</v>
      </c>
    </row>
    <row r="1888" spans="1:6">
      <c r="A1888" s="60" t="s">
        <v>2448</v>
      </c>
      <c r="B1888" s="60" t="s">
        <v>159</v>
      </c>
      <c r="C1888" s="60" t="s">
        <v>2366</v>
      </c>
      <c r="D1888" s="60" t="str">
        <f t="shared" si="27"/>
        <v>Masulita Town Council</v>
      </c>
      <c r="F1888" s="60">
        <v>1400</v>
      </c>
    </row>
    <row r="1889" spans="1:6">
      <c r="A1889" s="60" t="s">
        <v>2449</v>
      </c>
      <c r="B1889" s="60" t="s">
        <v>159</v>
      </c>
      <c r="C1889" s="60" t="s">
        <v>2366</v>
      </c>
      <c r="D1889" s="60" t="str">
        <f t="shared" ref="D1889:D1938" si="28">A1889</f>
        <v>Mende</v>
      </c>
      <c r="F1889" s="60">
        <v>1401</v>
      </c>
    </row>
    <row r="1890" spans="1:6">
      <c r="A1890" s="60" t="s">
        <v>2450</v>
      </c>
      <c r="B1890" s="60" t="s">
        <v>159</v>
      </c>
      <c r="C1890" s="60" t="s">
        <v>2369</v>
      </c>
      <c r="D1890" s="60" t="str">
        <f t="shared" si="28"/>
        <v>Nabweru</v>
      </c>
      <c r="F1890" s="60">
        <v>1402</v>
      </c>
    </row>
    <row r="1891" spans="1:6">
      <c r="A1891" s="60" t="s">
        <v>2451</v>
      </c>
      <c r="D1891" s="60" t="str">
        <f t="shared" si="28"/>
        <v>Maganjo</v>
      </c>
      <c r="F1891" s="60">
        <v>1402</v>
      </c>
    </row>
    <row r="1892" spans="1:6">
      <c r="A1892" s="60" t="s">
        <v>2452</v>
      </c>
      <c r="D1892" s="60" t="str">
        <f t="shared" si="28"/>
        <v>Kawanda</v>
      </c>
      <c r="F1892" s="60">
        <v>1402</v>
      </c>
    </row>
    <row r="1893" spans="1:6">
      <c r="A1893" s="60" t="s">
        <v>967</v>
      </c>
      <c r="D1893" s="60" t="str">
        <f t="shared" si="28"/>
        <v>Kagoma</v>
      </c>
      <c r="F1893" s="60">
        <v>1402</v>
      </c>
    </row>
    <row r="1894" spans="1:6">
      <c r="A1894" s="60" t="s">
        <v>2453</v>
      </c>
      <c r="B1894" s="60" t="s">
        <v>159</v>
      </c>
      <c r="C1894" s="60" t="s">
        <v>2366</v>
      </c>
      <c r="D1894" s="60" t="str">
        <f t="shared" si="28"/>
        <v>Namayumba</v>
      </c>
      <c r="F1894" s="60">
        <v>1403</v>
      </c>
    </row>
    <row r="1895" spans="1:6">
      <c r="A1895" s="60" t="s">
        <v>2454</v>
      </c>
      <c r="D1895" s="60" t="str">
        <f t="shared" si="28"/>
        <v>Kyasa</v>
      </c>
      <c r="F1895" s="60">
        <v>1403</v>
      </c>
    </row>
    <row r="1896" spans="1:6">
      <c r="A1896" s="60" t="s">
        <v>2455</v>
      </c>
      <c r="B1896" s="60" t="s">
        <v>159</v>
      </c>
      <c r="C1896" s="60" t="s">
        <v>2366</v>
      </c>
      <c r="D1896" s="60" t="str">
        <f t="shared" si="28"/>
        <v>Namayumba Town Council</v>
      </c>
      <c r="F1896" s="60">
        <v>1404</v>
      </c>
    </row>
    <row r="1897" spans="1:6">
      <c r="A1897" s="60" t="s">
        <v>2456</v>
      </c>
      <c r="B1897" s="60" t="s">
        <v>159</v>
      </c>
      <c r="C1897" s="60" t="s">
        <v>2370</v>
      </c>
      <c r="D1897" s="60" t="str">
        <f t="shared" si="28"/>
        <v>Namugongo</v>
      </c>
      <c r="F1897" s="60">
        <v>1405</v>
      </c>
    </row>
    <row r="1898" spans="1:6">
      <c r="A1898" s="60" t="s">
        <v>2457</v>
      </c>
      <c r="D1898" s="60" t="str">
        <f t="shared" si="28"/>
        <v>Sonde</v>
      </c>
      <c r="F1898" s="60">
        <v>1405</v>
      </c>
    </row>
    <row r="1899" spans="1:6">
      <c r="A1899" s="63" t="s">
        <v>2458</v>
      </c>
      <c r="B1899" s="60" t="s">
        <v>159</v>
      </c>
      <c r="C1899" s="60" t="s">
        <v>2369</v>
      </c>
      <c r="D1899" s="60" t="str">
        <f t="shared" si="28"/>
        <v>Nansana</v>
      </c>
      <c r="F1899" s="60">
        <v>1406</v>
      </c>
    </row>
    <row r="1900" spans="1:6">
      <c r="A1900" s="63" t="s">
        <v>2459</v>
      </c>
      <c r="D1900" s="60" t="str">
        <f t="shared" si="28"/>
        <v>Ganda</v>
      </c>
      <c r="F1900" s="60">
        <v>1406</v>
      </c>
    </row>
    <row r="1901" spans="1:6">
      <c r="A1901" s="63" t="s">
        <v>2460</v>
      </c>
      <c r="F1901" s="60">
        <v>1406</v>
      </c>
    </row>
    <row r="1902" spans="1:6">
      <c r="A1902" s="60" t="s">
        <v>2461</v>
      </c>
      <c r="B1902" s="60" t="s">
        <v>159</v>
      </c>
      <c r="C1902" s="60" t="s">
        <v>2363</v>
      </c>
      <c r="D1902" s="60" t="str">
        <f t="shared" si="28"/>
        <v>Ndejje</v>
      </c>
      <c r="F1902" s="60">
        <v>1407</v>
      </c>
    </row>
    <row r="1903" spans="1:6">
      <c r="A1903" s="60" t="s">
        <v>159</v>
      </c>
      <c r="B1903" s="60" t="s">
        <v>159</v>
      </c>
      <c r="C1903" s="60" t="s">
        <v>2366</v>
      </c>
      <c r="D1903" s="60" t="str">
        <f t="shared" si="28"/>
        <v>Wakiso</v>
      </c>
      <c r="F1903" s="60">
        <v>1408</v>
      </c>
    </row>
    <row r="1904" spans="1:6">
      <c r="A1904" s="60" t="s">
        <v>2462</v>
      </c>
      <c r="F1904" s="60">
        <v>1408</v>
      </c>
    </row>
    <row r="1905" spans="1:6">
      <c r="A1905" s="60" t="s">
        <v>2463</v>
      </c>
      <c r="D1905" s="60" t="str">
        <f>A1905</f>
        <v>Wakiso town</v>
      </c>
      <c r="F1905" s="60">
        <v>1408</v>
      </c>
    </row>
    <row r="1906" spans="1:6">
      <c r="A1906" s="60" t="s">
        <v>2464</v>
      </c>
      <c r="F1906" s="60">
        <v>1408</v>
      </c>
    </row>
    <row r="1907" spans="1:6">
      <c r="A1907" s="60" t="s">
        <v>2465</v>
      </c>
      <c r="F1907" s="60">
        <v>1408</v>
      </c>
    </row>
    <row r="1908" spans="1:6">
      <c r="A1908" s="60" t="s">
        <v>2466</v>
      </c>
      <c r="B1908" s="60" t="s">
        <v>159</v>
      </c>
      <c r="C1908" s="60" t="s">
        <v>2366</v>
      </c>
      <c r="D1908" s="60" t="str">
        <f t="shared" si="28"/>
        <v>Bulenga</v>
      </c>
      <c r="F1908" s="60">
        <v>1408</v>
      </c>
    </row>
    <row r="1909" spans="1:6">
      <c r="A1909" s="60" t="s">
        <v>2467</v>
      </c>
      <c r="F1909" s="60">
        <v>1408</v>
      </c>
    </row>
    <row r="1910" spans="1:6">
      <c r="A1910" s="60" t="s">
        <v>2468</v>
      </c>
      <c r="B1910" s="60" t="s">
        <v>159</v>
      </c>
      <c r="C1910" s="60" t="s">
        <v>2366</v>
      </c>
      <c r="D1910" s="60" t="str">
        <f t="shared" si="28"/>
        <v>Buloba</v>
      </c>
      <c r="F1910" s="60">
        <v>1408</v>
      </c>
    </row>
    <row r="1911" spans="1:6">
      <c r="A1911" s="60" t="s">
        <v>2469</v>
      </c>
      <c r="F1911" s="60">
        <v>1408</v>
      </c>
    </row>
    <row r="1912" spans="1:6">
      <c r="A1912" s="60" t="s">
        <v>2470</v>
      </c>
      <c r="D1912" s="60" t="str">
        <f t="shared" si="28"/>
        <v>BUJJUKO</v>
      </c>
      <c r="F1912" s="60">
        <v>1408</v>
      </c>
    </row>
    <row r="1913" spans="1:6">
      <c r="A1913" s="60" t="s">
        <v>2471</v>
      </c>
      <c r="F1913" s="60">
        <v>1408</v>
      </c>
    </row>
    <row r="1914" spans="1:6">
      <c r="A1914" s="60" t="s">
        <v>2472</v>
      </c>
      <c r="D1914" s="60" t="str">
        <f t="shared" si="28"/>
        <v>Forest Park</v>
      </c>
      <c r="F1914" s="60">
        <v>1408</v>
      </c>
    </row>
    <row r="1915" spans="1:6">
      <c r="A1915" s="60" t="s">
        <v>2473</v>
      </c>
      <c r="B1915" s="60" t="s">
        <v>159</v>
      </c>
      <c r="C1915" s="60" t="s">
        <v>2366</v>
      </c>
      <c r="D1915" s="60" t="str">
        <f t="shared" si="28"/>
        <v>Wakiso Town Council</v>
      </c>
      <c r="F1915" s="60">
        <v>1409</v>
      </c>
    </row>
    <row r="1916" spans="1:6">
      <c r="A1916" s="60" t="s">
        <v>2474</v>
      </c>
      <c r="B1916" s="60" t="s">
        <v>2475</v>
      </c>
      <c r="C1916" s="60" t="s">
        <v>2476</v>
      </c>
      <c r="D1916" s="60" t="str">
        <f t="shared" si="28"/>
        <v>Apo</v>
      </c>
      <c r="F1916" s="60">
        <v>1410</v>
      </c>
    </row>
    <row r="1917" spans="1:6">
      <c r="A1917" s="60" t="s">
        <v>2477</v>
      </c>
      <c r="B1917" s="60" t="s">
        <v>2475</v>
      </c>
      <c r="C1917" s="60" t="s">
        <v>2476</v>
      </c>
      <c r="D1917" s="60" t="str">
        <f t="shared" si="28"/>
        <v>Ariwa</v>
      </c>
      <c r="F1917" s="60">
        <v>1411</v>
      </c>
    </row>
    <row r="1918" spans="1:6">
      <c r="A1918" s="60" t="s">
        <v>2478</v>
      </c>
      <c r="B1918" s="60" t="s">
        <v>2475</v>
      </c>
      <c r="C1918" s="60" t="s">
        <v>2476</v>
      </c>
      <c r="D1918" s="60" t="str">
        <f t="shared" si="28"/>
        <v>Drajini</v>
      </c>
      <c r="F1918" s="60">
        <v>1412</v>
      </c>
    </row>
    <row r="1919" spans="1:6">
      <c r="A1919" s="60" t="s">
        <v>2479</v>
      </c>
      <c r="B1919" s="60" t="s">
        <v>2475</v>
      </c>
      <c r="C1919" s="60" t="s">
        <v>2476</v>
      </c>
      <c r="D1919" s="60" t="str">
        <f t="shared" si="28"/>
        <v>Kei</v>
      </c>
      <c r="F1919" s="60">
        <v>1413</v>
      </c>
    </row>
    <row r="1920" spans="1:6">
      <c r="A1920" s="60" t="s">
        <v>2480</v>
      </c>
      <c r="B1920" s="60" t="s">
        <v>2475</v>
      </c>
      <c r="C1920" s="60" t="s">
        <v>2476</v>
      </c>
      <c r="D1920" s="60" t="str">
        <f t="shared" si="28"/>
        <v>Kerwa</v>
      </c>
      <c r="F1920" s="60">
        <v>1414</v>
      </c>
    </row>
    <row r="1921" spans="1:6">
      <c r="A1921" s="60" t="s">
        <v>2481</v>
      </c>
      <c r="B1921" s="60" t="s">
        <v>2475</v>
      </c>
      <c r="C1921" s="60" t="s">
        <v>2476</v>
      </c>
      <c r="D1921" s="60" t="str">
        <f t="shared" si="28"/>
        <v>Kochi</v>
      </c>
      <c r="F1921" s="60">
        <v>1415</v>
      </c>
    </row>
    <row r="1922" spans="1:6">
      <c r="A1922" s="60" t="s">
        <v>2482</v>
      </c>
      <c r="B1922" s="60" t="s">
        <v>2475</v>
      </c>
      <c r="C1922" s="60" t="s">
        <v>2476</v>
      </c>
      <c r="D1922" s="60" t="str">
        <f t="shared" si="28"/>
        <v>Kululu</v>
      </c>
      <c r="F1922" s="60">
        <v>1416</v>
      </c>
    </row>
    <row r="1923" spans="1:6">
      <c r="A1923" s="60" t="s">
        <v>2483</v>
      </c>
      <c r="B1923" s="60" t="s">
        <v>2475</v>
      </c>
      <c r="C1923" s="60" t="s">
        <v>2476</v>
      </c>
      <c r="D1923" s="60" t="str">
        <f t="shared" si="28"/>
        <v>Kuru</v>
      </c>
      <c r="F1923" s="60">
        <v>1417</v>
      </c>
    </row>
    <row r="1924" spans="1:6">
      <c r="A1924" s="60" t="s">
        <v>2484</v>
      </c>
      <c r="B1924" s="60" t="s">
        <v>2475</v>
      </c>
      <c r="C1924" s="60" t="s">
        <v>2476</v>
      </c>
      <c r="D1924" s="60" t="str">
        <f t="shared" si="28"/>
        <v>Lodonga</v>
      </c>
      <c r="F1924" s="60">
        <v>1418</v>
      </c>
    </row>
    <row r="1925" spans="1:6">
      <c r="A1925" s="60" t="s">
        <v>2485</v>
      </c>
      <c r="B1925" s="60" t="s">
        <v>2475</v>
      </c>
      <c r="C1925" s="60" t="s">
        <v>2476</v>
      </c>
      <c r="D1925" s="60" t="str">
        <f t="shared" si="28"/>
        <v>Midigo</v>
      </c>
      <c r="F1925" s="60">
        <v>1419</v>
      </c>
    </row>
    <row r="1926" spans="1:6">
      <c r="A1926" s="60" t="s">
        <v>2486</v>
      </c>
      <c r="B1926" s="60" t="s">
        <v>2475</v>
      </c>
      <c r="C1926" s="60" t="s">
        <v>2476</v>
      </c>
      <c r="D1926" s="60" t="str">
        <f t="shared" si="28"/>
        <v>Odravu</v>
      </c>
      <c r="F1926" s="60">
        <v>1420</v>
      </c>
    </row>
    <row r="1927" spans="1:6">
      <c r="A1927" s="60" t="s">
        <v>2487</v>
      </c>
      <c r="B1927" s="60" t="s">
        <v>2475</v>
      </c>
      <c r="C1927" s="60" t="s">
        <v>2476</v>
      </c>
      <c r="D1927" s="60" t="str">
        <f t="shared" si="28"/>
        <v>Romogi</v>
      </c>
      <c r="F1927" s="60">
        <v>1421</v>
      </c>
    </row>
    <row r="1928" spans="1:6">
      <c r="A1928" s="60" t="s">
        <v>2488</v>
      </c>
      <c r="B1928" s="60" t="s">
        <v>2475</v>
      </c>
      <c r="C1928" s="60" t="s">
        <v>2476</v>
      </c>
      <c r="D1928" s="60" t="str">
        <f t="shared" si="28"/>
        <v>Yumbe Town Council</v>
      </c>
      <c r="F1928" s="60">
        <v>1422</v>
      </c>
    </row>
    <row r="1929" spans="1:6">
      <c r="A1929" s="60" t="s">
        <v>2489</v>
      </c>
      <c r="B1929" s="60" t="s">
        <v>2490</v>
      </c>
      <c r="C1929" s="60" t="s">
        <v>2491</v>
      </c>
      <c r="D1929" s="60" t="str">
        <f t="shared" si="28"/>
        <v>Abanga</v>
      </c>
      <c r="F1929" s="60">
        <v>1423</v>
      </c>
    </row>
    <row r="1930" spans="1:6">
      <c r="A1930" s="60" t="s">
        <v>2492</v>
      </c>
      <c r="B1930" s="60" t="s">
        <v>2490</v>
      </c>
      <c r="C1930" s="60" t="s">
        <v>2491</v>
      </c>
      <c r="D1930" s="60" t="str">
        <f t="shared" si="28"/>
        <v>Atyak</v>
      </c>
      <c r="F1930" s="60">
        <v>1424</v>
      </c>
    </row>
    <row r="1931" spans="1:6">
      <c r="A1931" s="60" t="s">
        <v>2493</v>
      </c>
      <c r="B1931" s="60" t="s">
        <v>2490</v>
      </c>
      <c r="C1931" s="60" t="s">
        <v>2491</v>
      </c>
      <c r="D1931" s="60" t="str">
        <f t="shared" si="28"/>
        <v>Jangokoro</v>
      </c>
      <c r="F1931" s="60">
        <v>1425</v>
      </c>
    </row>
    <row r="1932" spans="1:6">
      <c r="A1932" s="60" t="s">
        <v>2494</v>
      </c>
      <c r="B1932" s="60" t="s">
        <v>2490</v>
      </c>
      <c r="C1932" s="60" t="s">
        <v>2491</v>
      </c>
      <c r="D1932" s="60" t="str">
        <f t="shared" si="28"/>
        <v>Kango</v>
      </c>
      <c r="F1932" s="60">
        <v>1426</v>
      </c>
    </row>
    <row r="1933" spans="1:6">
      <c r="A1933" s="60" t="s">
        <v>2495</v>
      </c>
      <c r="B1933" s="60" t="s">
        <v>2490</v>
      </c>
      <c r="C1933" s="60" t="s">
        <v>2491</v>
      </c>
      <c r="D1933" s="60" t="str">
        <f t="shared" si="28"/>
        <v>Nyapea</v>
      </c>
      <c r="F1933" s="60">
        <v>1427</v>
      </c>
    </row>
    <row r="1934" spans="1:6">
      <c r="A1934" s="60" t="s">
        <v>2496</v>
      </c>
      <c r="B1934" s="60" t="s">
        <v>2490</v>
      </c>
      <c r="C1934" s="60" t="s">
        <v>2491</v>
      </c>
      <c r="D1934" s="60" t="str">
        <f t="shared" si="28"/>
        <v>Paidha</v>
      </c>
      <c r="F1934" s="60">
        <v>1428</v>
      </c>
    </row>
    <row r="1935" spans="1:6">
      <c r="A1935" s="60" t="s">
        <v>2497</v>
      </c>
      <c r="B1935" s="60" t="s">
        <v>2490</v>
      </c>
      <c r="C1935" s="60" t="s">
        <v>2491</v>
      </c>
      <c r="D1935" s="60" t="str">
        <f t="shared" si="28"/>
        <v>Paidha Town Council</v>
      </c>
      <c r="F1935" s="60">
        <v>1429</v>
      </c>
    </row>
    <row r="1936" spans="1:6">
      <c r="A1936" s="60" t="s">
        <v>2498</v>
      </c>
      <c r="B1936" s="60" t="s">
        <v>2490</v>
      </c>
      <c r="C1936" s="60" t="s">
        <v>2491</v>
      </c>
      <c r="D1936" s="60" t="str">
        <f t="shared" si="28"/>
        <v>Warr</v>
      </c>
      <c r="F1936" s="60">
        <v>1430</v>
      </c>
    </row>
    <row r="1937" spans="1:6">
      <c r="A1937" s="60" t="s">
        <v>2499</v>
      </c>
      <c r="B1937" s="60" t="s">
        <v>2490</v>
      </c>
      <c r="C1937" s="60" t="s">
        <v>2491</v>
      </c>
      <c r="D1937" s="60" t="str">
        <f t="shared" si="28"/>
        <v>Zeu</v>
      </c>
      <c r="F1937" s="60">
        <v>1431</v>
      </c>
    </row>
    <row r="1938" spans="1:6">
      <c r="A1938" s="60" t="s">
        <v>2500</v>
      </c>
      <c r="B1938" s="60" t="s">
        <v>2490</v>
      </c>
      <c r="C1938" s="60" t="s">
        <v>2491</v>
      </c>
      <c r="D1938" s="60" t="str">
        <f t="shared" si="28"/>
        <v>Zombo Town Council</v>
      </c>
      <c r="F1938" s="60">
        <v>1432</v>
      </c>
    </row>
    <row r="1939" spans="1:6" s="65" customFormat="1">
      <c r="A1939" s="66" t="s">
        <v>2501</v>
      </c>
      <c r="B1939" s="67"/>
      <c r="C1939" s="67"/>
      <c r="D1939" s="67"/>
      <c r="E1939" s="67"/>
      <c r="F1939" s="67"/>
    </row>
    <row r="1940" spans="1:6">
      <c r="A1940" s="60" t="s">
        <v>2502</v>
      </c>
      <c r="B1940" s="60" t="s">
        <v>2338</v>
      </c>
      <c r="C1940" s="60" t="s">
        <v>53</v>
      </c>
      <c r="D1940" s="60" t="s">
        <v>2338</v>
      </c>
      <c r="F1940" s="60">
        <v>1433</v>
      </c>
    </row>
    <row r="1941" spans="1:6">
      <c r="A1941" s="60" t="s">
        <v>805</v>
      </c>
      <c r="B1941" s="60" t="s">
        <v>805</v>
      </c>
      <c r="C1941" s="60" t="s">
        <v>53</v>
      </c>
      <c r="D1941" s="60" t="s">
        <v>805</v>
      </c>
      <c r="F1941" s="60">
        <v>1434</v>
      </c>
    </row>
    <row r="1942" spans="1:6">
      <c r="A1942" s="60" t="s">
        <v>2503</v>
      </c>
      <c r="F1942" s="60">
        <v>1434</v>
      </c>
    </row>
    <row r="1943" spans="1:6">
      <c r="A1943" s="60" t="s">
        <v>53</v>
      </c>
      <c r="F1943" s="60">
        <v>1434</v>
      </c>
    </row>
    <row r="1944" spans="1:6">
      <c r="A1944" s="60" t="s">
        <v>2504</v>
      </c>
      <c r="F1944" s="60">
        <v>1434</v>
      </c>
    </row>
    <row r="1945" spans="1:6">
      <c r="A1945" s="60" t="s">
        <v>2505</v>
      </c>
      <c r="F1945" s="60">
        <v>1434</v>
      </c>
    </row>
    <row r="1946" spans="1:6">
      <c r="A1946" s="60" t="s">
        <v>2506</v>
      </c>
      <c r="F1946" s="60">
        <v>1434</v>
      </c>
    </row>
    <row r="1947" spans="1:6">
      <c r="A1947" s="60" t="s">
        <v>2507</v>
      </c>
      <c r="B1947" s="60" t="s">
        <v>1717</v>
      </c>
      <c r="C1947" s="60" t="s">
        <v>56</v>
      </c>
      <c r="D1947" s="60" t="s">
        <v>1717</v>
      </c>
      <c r="F1947" s="60">
        <v>1435</v>
      </c>
    </row>
    <row r="1948" spans="1:6">
      <c r="A1948" s="60" t="s">
        <v>2508</v>
      </c>
      <c r="F1948" s="60">
        <v>1435</v>
      </c>
    </row>
    <row r="1949" spans="1:6">
      <c r="A1949" s="60" t="s">
        <v>56</v>
      </c>
      <c r="F1949" s="60">
        <v>1435</v>
      </c>
    </row>
    <row r="1950" spans="1:6">
      <c r="A1950" s="60" t="s">
        <v>2509</v>
      </c>
      <c r="B1950" s="60" t="s">
        <v>1016</v>
      </c>
      <c r="C1950" s="60" t="s">
        <v>43</v>
      </c>
      <c r="D1950" s="60" t="s">
        <v>1016</v>
      </c>
      <c r="F1950" s="60">
        <v>1436</v>
      </c>
    </row>
    <row r="1951" spans="1:6">
      <c r="A1951" s="60" t="s">
        <v>2510</v>
      </c>
      <c r="B1951" s="60" t="s">
        <v>1600</v>
      </c>
      <c r="C1951" s="60" t="s">
        <v>43</v>
      </c>
      <c r="D1951" s="60" t="s">
        <v>1600</v>
      </c>
      <c r="F1951" s="60">
        <v>1437</v>
      </c>
    </row>
    <row r="1952" spans="1:6">
      <c r="A1952" s="60" t="s">
        <v>45</v>
      </c>
      <c r="F1952" s="60">
        <v>1437</v>
      </c>
    </row>
    <row r="1953" spans="1:6">
      <c r="A1953" s="60" t="s">
        <v>43</v>
      </c>
      <c r="F1953" s="60">
        <v>1437</v>
      </c>
    </row>
    <row r="1954" spans="1:6">
      <c r="A1954" s="60" t="s">
        <v>2511</v>
      </c>
      <c r="B1954" s="60" t="s">
        <v>1600</v>
      </c>
      <c r="C1954" s="60" t="s">
        <v>57</v>
      </c>
      <c r="D1954" s="60" t="s">
        <v>1600</v>
      </c>
      <c r="F1954" s="60">
        <v>1438</v>
      </c>
    </row>
    <row r="1955" spans="1:6">
      <c r="A1955" s="60" t="s">
        <v>58</v>
      </c>
      <c r="B1955" s="60" t="s">
        <v>1457</v>
      </c>
      <c r="C1955" s="60" t="s">
        <v>57</v>
      </c>
      <c r="D1955" s="60" t="s">
        <v>1457</v>
      </c>
      <c r="F1955" s="60">
        <v>1439</v>
      </c>
    </row>
    <row r="1956" spans="1:6">
      <c r="A1956" s="60" t="s">
        <v>46</v>
      </c>
      <c r="F1956" s="60">
        <v>1439</v>
      </c>
    </row>
    <row r="1957" spans="1:6">
      <c r="A1957" s="60" t="s">
        <v>2512</v>
      </c>
      <c r="F1957" s="60">
        <v>1439</v>
      </c>
    </row>
    <row r="1958" spans="1:6">
      <c r="A1958" s="60" t="s">
        <v>2513</v>
      </c>
      <c r="F1958" s="60">
        <v>1439</v>
      </c>
    </row>
    <row r="1959" spans="1:6">
      <c r="A1959" s="60" t="s">
        <v>2514</v>
      </c>
      <c r="B1959" s="60" t="s">
        <v>36</v>
      </c>
      <c r="C1959" s="60" t="s">
        <v>57</v>
      </c>
      <c r="D1959" s="60" t="s">
        <v>36</v>
      </c>
      <c r="F1959" s="60">
        <v>1440</v>
      </c>
    </row>
    <row r="1960" spans="1:6">
      <c r="A1960" s="60" t="s">
        <v>2515</v>
      </c>
      <c r="B1960" s="60" t="s">
        <v>2107</v>
      </c>
      <c r="C1960" s="60" t="s">
        <v>57</v>
      </c>
      <c r="D1960" s="60" t="s">
        <v>2107</v>
      </c>
      <c r="F1960" s="60">
        <v>1441</v>
      </c>
    </row>
    <row r="1961" spans="1:6">
      <c r="A1961" s="60" t="s">
        <v>728</v>
      </c>
      <c r="B1961" s="60" t="s">
        <v>717</v>
      </c>
      <c r="C1961" s="60" t="s">
        <v>53</v>
      </c>
      <c r="D1961" s="60" t="s">
        <v>717</v>
      </c>
      <c r="F1961" s="60">
        <v>1442</v>
      </c>
    </row>
    <row r="1962" spans="1:6">
      <c r="A1962" s="60" t="s">
        <v>2516</v>
      </c>
      <c r="B1962" s="60" t="s">
        <v>585</v>
      </c>
      <c r="C1962" s="60" t="s">
        <v>2517</v>
      </c>
      <c r="D1962" s="60" t="s">
        <v>585</v>
      </c>
      <c r="F1962" s="60">
        <v>1443</v>
      </c>
    </row>
    <row r="1963" spans="1:6">
      <c r="A1963" s="60" t="s">
        <v>2518</v>
      </c>
      <c r="B1963" s="60" t="s">
        <v>585</v>
      </c>
      <c r="C1963" s="60" t="s">
        <v>2517</v>
      </c>
      <c r="D1963" s="60" t="s">
        <v>585</v>
      </c>
      <c r="F1963" s="60">
        <v>1443</v>
      </c>
    </row>
    <row r="1964" spans="1:6">
      <c r="A1964" s="60" t="s">
        <v>2519</v>
      </c>
      <c r="B1964" s="60" t="s">
        <v>50</v>
      </c>
      <c r="C1964" s="60" t="s">
        <v>43</v>
      </c>
      <c r="D1964" s="60" t="s">
        <v>50</v>
      </c>
      <c r="F1964" s="60">
        <v>1444</v>
      </c>
    </row>
    <row r="1965" spans="1:6">
      <c r="A1965" s="60" t="s">
        <v>2520</v>
      </c>
      <c r="B1965" s="60" t="s">
        <v>1630</v>
      </c>
      <c r="C1965" s="60" t="s">
        <v>2517</v>
      </c>
      <c r="D1965" s="60" t="s">
        <v>1630</v>
      </c>
      <c r="F1965" s="60">
        <v>1445</v>
      </c>
    </row>
    <row r="1966" spans="1:6">
      <c r="A1966" s="60" t="s">
        <v>2521</v>
      </c>
      <c r="B1966" s="60" t="s">
        <v>2490</v>
      </c>
      <c r="C1966" s="60" t="s">
        <v>57</v>
      </c>
      <c r="D1966" s="60" t="s">
        <v>2490</v>
      </c>
      <c r="F1966" s="60">
        <v>1446</v>
      </c>
    </row>
    <row r="1967" spans="1:6">
      <c r="A1967" s="60" t="s">
        <v>611</v>
      </c>
      <c r="B1967" s="60" t="s">
        <v>606</v>
      </c>
      <c r="C1967" s="60" t="s">
        <v>57</v>
      </c>
      <c r="D1967" s="60" t="s">
        <v>606</v>
      </c>
      <c r="F1967" s="60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63"/>
  <sheetViews>
    <sheetView topLeftCell="A43" zoomScale="75" zoomScaleNormal="75" zoomScaleSheetLayoutView="80" workbookViewId="0">
      <selection activeCell="E30" sqref="E3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3" t="s">
        <v>134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6"/>
      <c r="AD1" s="6"/>
      <c r="AE1" s="6"/>
      <c r="AF1" s="6"/>
      <c r="AG1" s="6"/>
      <c r="AH1" s="6"/>
      <c r="AI1" s="6"/>
    </row>
    <row r="2" spans="2:35" ht="15">
      <c r="B2" s="113" t="s">
        <v>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0" t="s">
        <v>152</v>
      </c>
      <c r="E4" s="1" t="s">
        <v>69</v>
      </c>
      <c r="F4" s="114" t="s">
        <v>153</v>
      </c>
      <c r="G4" s="115"/>
      <c r="I4" s="27" t="s">
        <v>70</v>
      </c>
      <c r="J4" s="5"/>
      <c r="K4" s="5"/>
      <c r="L4" s="51" t="s">
        <v>154</v>
      </c>
      <c r="M4" s="2"/>
      <c r="N4" s="1" t="s">
        <v>72</v>
      </c>
      <c r="O4" s="116" t="s">
        <v>156</v>
      </c>
      <c r="P4" s="117"/>
      <c r="Q4" s="117"/>
      <c r="R4" s="117"/>
      <c r="S4" s="117"/>
      <c r="T4" s="117"/>
      <c r="V4" s="1" t="s">
        <v>73</v>
      </c>
      <c r="W4" s="43" t="s">
        <v>74</v>
      </c>
      <c r="Y4" s="27" t="s">
        <v>6</v>
      </c>
      <c r="Z4" s="53" t="s">
        <v>157</v>
      </c>
      <c r="AA4" s="32" t="s">
        <v>7</v>
      </c>
      <c r="AB4" s="53" t="s">
        <v>75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71</v>
      </c>
      <c r="J5" s="2"/>
      <c r="K5" s="2"/>
      <c r="L5" s="52" t="s">
        <v>155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8" t="s">
        <v>34</v>
      </c>
      <c r="C7" s="104" t="s">
        <v>60</v>
      </c>
      <c r="D7" s="106" t="s">
        <v>9</v>
      </c>
      <c r="E7" s="104" t="s">
        <v>35</v>
      </c>
      <c r="F7" s="121" t="s">
        <v>12</v>
      </c>
      <c r="G7" s="122"/>
      <c r="H7" s="123"/>
      <c r="I7" s="106" t="s">
        <v>63</v>
      </c>
      <c r="J7" s="104" t="s">
        <v>15</v>
      </c>
      <c r="K7" s="104" t="s">
        <v>135</v>
      </c>
      <c r="L7" s="121" t="s">
        <v>17</v>
      </c>
      <c r="M7" s="122"/>
      <c r="N7" s="123"/>
      <c r="O7" s="106" t="s">
        <v>64</v>
      </c>
      <c r="P7" s="104" t="s">
        <v>18</v>
      </c>
      <c r="Q7" s="104" t="s">
        <v>136</v>
      </c>
      <c r="R7" s="104" t="s">
        <v>137</v>
      </c>
      <c r="S7" s="104" t="s">
        <v>139</v>
      </c>
      <c r="T7" s="104" t="s">
        <v>138</v>
      </c>
      <c r="U7" s="104" t="s">
        <v>65</v>
      </c>
      <c r="V7" s="110" t="s">
        <v>68</v>
      </c>
      <c r="W7" s="111"/>
      <c r="X7" s="112"/>
      <c r="Y7" s="104" t="s">
        <v>67</v>
      </c>
      <c r="Z7" s="104" t="s">
        <v>142</v>
      </c>
      <c r="AA7" s="106" t="s">
        <v>20</v>
      </c>
      <c r="AB7" s="108" t="s">
        <v>21</v>
      </c>
      <c r="AD7" s="19"/>
    </row>
    <row r="8" spans="2:35" ht="38.25" customHeight="1">
      <c r="B8" s="119"/>
      <c r="C8" s="105"/>
      <c r="D8" s="107"/>
      <c r="E8" s="120"/>
      <c r="F8" s="23" t="s">
        <v>76</v>
      </c>
      <c r="G8" s="23" t="s">
        <v>61</v>
      </c>
      <c r="H8" s="24" t="s">
        <v>62</v>
      </c>
      <c r="I8" s="107"/>
      <c r="J8" s="105"/>
      <c r="K8" s="105"/>
      <c r="L8" s="23" t="s">
        <v>76</v>
      </c>
      <c r="M8" s="23" t="s">
        <v>61</v>
      </c>
      <c r="N8" s="23" t="s">
        <v>62</v>
      </c>
      <c r="O8" s="107"/>
      <c r="P8" s="105"/>
      <c r="Q8" s="105"/>
      <c r="R8" s="105"/>
      <c r="S8" s="105"/>
      <c r="T8" s="105"/>
      <c r="U8" s="105"/>
      <c r="V8" s="29" t="s">
        <v>66</v>
      </c>
      <c r="W8" s="30" t="s">
        <v>140</v>
      </c>
      <c r="X8" s="30" t="s">
        <v>141</v>
      </c>
      <c r="Y8" s="105"/>
      <c r="Z8" s="105"/>
      <c r="AA8" s="107"/>
      <c r="AB8" s="109"/>
    </row>
    <row r="9" spans="2:35" s="19" customFormat="1">
      <c r="B9" s="40">
        <v>0.4368055555555555</v>
      </c>
      <c r="C9" s="40" t="s">
        <v>158</v>
      </c>
      <c r="D9" s="41">
        <v>1</v>
      </c>
      <c r="E9" s="42">
        <v>1</v>
      </c>
      <c r="F9" s="42" t="s">
        <v>30</v>
      </c>
      <c r="G9" s="43" t="s">
        <v>159</v>
      </c>
      <c r="H9" s="42" t="s">
        <v>160</v>
      </c>
      <c r="I9" s="43">
        <v>16</v>
      </c>
      <c r="J9" s="43">
        <v>8</v>
      </c>
      <c r="K9" s="25" t="str">
        <f>VLOOKUP(J9,Key!$E$2:$F$9,2,FALSE)</f>
        <v>Others</v>
      </c>
      <c r="L9" s="42" t="s">
        <v>161</v>
      </c>
      <c r="M9" s="43" t="s">
        <v>154</v>
      </c>
      <c r="N9" s="42" t="s">
        <v>160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Others-Home</v>
      </c>
      <c r="S9" s="47">
        <v>27</v>
      </c>
      <c r="T9" s="47">
        <v>1</v>
      </c>
      <c r="U9" s="43">
        <v>2</v>
      </c>
      <c r="V9" s="43"/>
      <c r="W9" s="47"/>
      <c r="X9" s="47"/>
      <c r="Y9" s="48" t="s">
        <v>162</v>
      </c>
      <c r="Z9" s="49"/>
      <c r="AA9" s="25"/>
      <c r="AB9" s="25"/>
    </row>
    <row r="10" spans="2:35">
      <c r="B10" s="40">
        <v>0.43055555555555558</v>
      </c>
      <c r="C10" s="40" t="s">
        <v>163</v>
      </c>
      <c r="D10" s="41">
        <v>1</v>
      </c>
      <c r="E10" s="42">
        <v>2</v>
      </c>
      <c r="F10" s="42" t="s">
        <v>164</v>
      </c>
      <c r="G10" s="43" t="s">
        <v>164</v>
      </c>
      <c r="H10" s="42" t="s">
        <v>160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155</v>
      </c>
      <c r="M10" s="43" t="s">
        <v>154</v>
      </c>
      <c r="N10" s="42" t="s">
        <v>160</v>
      </c>
      <c r="O10" s="43">
        <v>3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47">
        <v>1</v>
      </c>
      <c r="T10" s="47">
        <v>1</v>
      </c>
      <c r="U10" s="43">
        <v>2</v>
      </c>
      <c r="V10" s="43"/>
      <c r="W10" s="47"/>
      <c r="X10" s="47"/>
      <c r="Y10" s="48" t="s">
        <v>162</v>
      </c>
      <c r="Z10" s="49"/>
      <c r="AA10" s="25"/>
      <c r="AB10" s="25"/>
    </row>
    <row r="11" spans="2:35">
      <c r="B11" s="40">
        <v>2.013888888888889E-2</v>
      </c>
      <c r="C11" s="40" t="s">
        <v>165</v>
      </c>
      <c r="D11" s="41">
        <v>1</v>
      </c>
      <c r="E11" s="42">
        <v>4</v>
      </c>
      <c r="F11" s="42" t="s">
        <v>166</v>
      </c>
      <c r="G11" s="43" t="s">
        <v>166</v>
      </c>
      <c r="H11" s="42" t="s">
        <v>160</v>
      </c>
      <c r="I11" s="43">
        <v>1</v>
      </c>
      <c r="J11" s="43">
        <v>1</v>
      </c>
      <c r="K11" s="25" t="str">
        <f>VLOOKUP(J11,Key!$E$2:$F$9,2,FALSE)</f>
        <v>Home</v>
      </c>
      <c r="L11" s="42" t="s">
        <v>155</v>
      </c>
      <c r="M11" s="43" t="s">
        <v>154</v>
      </c>
      <c r="N11" s="42" t="s">
        <v>160</v>
      </c>
      <c r="O11" s="43">
        <v>10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47">
        <v>5</v>
      </c>
      <c r="T11" s="47">
        <v>1</v>
      </c>
      <c r="U11" s="43">
        <v>2</v>
      </c>
      <c r="V11" s="43"/>
      <c r="W11" s="47"/>
      <c r="X11" s="47"/>
      <c r="Y11" s="48" t="s">
        <v>162</v>
      </c>
      <c r="Z11" s="49"/>
      <c r="AA11" s="25"/>
      <c r="AB11" s="25"/>
    </row>
    <row r="12" spans="2:35">
      <c r="B12" s="40">
        <v>0.48472222222222222</v>
      </c>
      <c r="C12" s="40" t="s">
        <v>167</v>
      </c>
      <c r="D12" s="41">
        <v>1</v>
      </c>
      <c r="E12" s="42">
        <v>1</v>
      </c>
      <c r="F12" s="42" t="s">
        <v>168</v>
      </c>
      <c r="G12" s="43" t="s">
        <v>168</v>
      </c>
      <c r="H12" s="42" t="s">
        <v>160</v>
      </c>
      <c r="I12" s="43">
        <v>1</v>
      </c>
      <c r="J12" s="43">
        <v>1</v>
      </c>
      <c r="K12" s="25" t="str">
        <f>VLOOKUP(J12,Key!$E$2:$F$9,2,FALSE)</f>
        <v>Home</v>
      </c>
      <c r="L12" s="42" t="s">
        <v>169</v>
      </c>
      <c r="M12" s="43" t="s">
        <v>154</v>
      </c>
      <c r="N12" s="42" t="s">
        <v>160</v>
      </c>
      <c r="O12" s="43">
        <v>16</v>
      </c>
      <c r="P12" s="43">
        <v>8</v>
      </c>
      <c r="Q12" s="25" t="str">
        <f>VLOOKUP(P12,Key!$E$2:$F$9,2,FALSE)</f>
        <v>Others</v>
      </c>
      <c r="R12" s="25" t="str">
        <f t="shared" si="0"/>
        <v>Home-Others</v>
      </c>
      <c r="S12" s="47">
        <v>160</v>
      </c>
      <c r="T12" s="47">
        <v>4</v>
      </c>
      <c r="U12" s="43">
        <v>2</v>
      </c>
      <c r="V12" s="43"/>
      <c r="W12" s="47"/>
      <c r="X12" s="47"/>
      <c r="Y12" s="48" t="s">
        <v>162</v>
      </c>
      <c r="Z12" s="49"/>
      <c r="AA12" s="25"/>
      <c r="AB12" s="25"/>
    </row>
    <row r="13" spans="2:35">
      <c r="B13" s="40">
        <v>0.4777777777777778</v>
      </c>
      <c r="C13" s="40" t="s">
        <v>170</v>
      </c>
      <c r="D13" s="41">
        <v>4</v>
      </c>
      <c r="E13" s="42">
        <v>14</v>
      </c>
      <c r="F13" s="42" t="s">
        <v>154</v>
      </c>
      <c r="G13" s="43" t="s">
        <v>154</v>
      </c>
      <c r="H13" s="42" t="s">
        <v>160</v>
      </c>
      <c r="I13" s="43">
        <v>6</v>
      </c>
      <c r="J13" s="43">
        <v>2</v>
      </c>
      <c r="K13" s="25" t="str">
        <f>VLOOKUP(J13,Key!$E$2:$F$9,2,FALSE)</f>
        <v>Work</v>
      </c>
      <c r="L13" s="42" t="s">
        <v>155</v>
      </c>
      <c r="M13" s="43" t="s">
        <v>154</v>
      </c>
      <c r="N13" s="42" t="s">
        <v>160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7">
        <v>15</v>
      </c>
      <c r="T13" s="47">
        <v>2</v>
      </c>
      <c r="U13" s="43">
        <v>2</v>
      </c>
      <c r="V13" s="43"/>
      <c r="W13" s="47"/>
      <c r="X13" s="47"/>
      <c r="Y13" s="48" t="s">
        <v>162</v>
      </c>
      <c r="Z13" s="49"/>
      <c r="AA13" s="25"/>
      <c r="AB13" s="25"/>
    </row>
    <row r="14" spans="2:35">
      <c r="B14" s="40">
        <v>0.48055555555555557</v>
      </c>
      <c r="C14" s="40" t="s">
        <v>171</v>
      </c>
      <c r="D14" s="41">
        <v>3</v>
      </c>
      <c r="E14" s="42">
        <v>6</v>
      </c>
      <c r="F14" s="42" t="s">
        <v>172</v>
      </c>
      <c r="G14" s="43" t="s">
        <v>154</v>
      </c>
      <c r="H14" s="42" t="s">
        <v>160</v>
      </c>
      <c r="I14" s="43">
        <v>1</v>
      </c>
      <c r="J14" s="43">
        <v>1</v>
      </c>
      <c r="K14" s="25" t="str">
        <f>VLOOKUP(J14,Key!$E$2:$F$9,2,FALSE)</f>
        <v>Home</v>
      </c>
      <c r="L14" s="42" t="s">
        <v>173</v>
      </c>
      <c r="M14" s="43" t="s">
        <v>154</v>
      </c>
      <c r="N14" s="42" t="s">
        <v>160</v>
      </c>
      <c r="O14" s="43">
        <v>16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47">
        <v>10</v>
      </c>
      <c r="T14" s="47">
        <v>0.3</v>
      </c>
      <c r="U14" s="43">
        <v>2</v>
      </c>
      <c r="V14" s="43"/>
      <c r="W14" s="47"/>
      <c r="X14" s="47"/>
      <c r="Y14" s="48" t="s">
        <v>162</v>
      </c>
      <c r="Z14" s="49"/>
      <c r="AA14" s="25"/>
      <c r="AB14" s="25"/>
    </row>
    <row r="15" spans="2:35">
      <c r="B15" s="40">
        <v>0.43402777777777773</v>
      </c>
      <c r="C15" s="40" t="s">
        <v>174</v>
      </c>
      <c r="D15" s="41">
        <v>8</v>
      </c>
      <c r="E15" s="42">
        <v>1</v>
      </c>
      <c r="F15" s="42" t="s">
        <v>154</v>
      </c>
      <c r="G15" s="43" t="s">
        <v>154</v>
      </c>
      <c r="H15" s="42" t="s">
        <v>160</v>
      </c>
      <c r="I15" s="43">
        <v>1</v>
      </c>
      <c r="J15" s="43">
        <v>1</v>
      </c>
      <c r="K15" s="25" t="str">
        <f>VLOOKUP(J15,Key!$E$2:$F$9,2,FALSE)</f>
        <v>Home</v>
      </c>
      <c r="L15" s="42" t="s">
        <v>173</v>
      </c>
      <c r="M15" s="43" t="s">
        <v>154</v>
      </c>
      <c r="N15" s="42" t="s">
        <v>160</v>
      </c>
      <c r="O15" s="43">
        <v>16</v>
      </c>
      <c r="P15" s="43">
        <v>8</v>
      </c>
      <c r="Q15" s="25" t="str">
        <f>VLOOKUP(P15,Key!$E$2:$F$9,2,FALSE)</f>
        <v>Others</v>
      </c>
      <c r="R15" s="25" t="str">
        <f t="shared" si="0"/>
        <v>Home-Others</v>
      </c>
      <c r="S15" s="47">
        <v>16</v>
      </c>
      <c r="T15" s="47">
        <v>0.5</v>
      </c>
      <c r="U15" s="43">
        <v>2</v>
      </c>
      <c r="V15" s="43"/>
      <c r="W15" s="47"/>
      <c r="X15" s="47"/>
      <c r="Y15" s="48" t="s">
        <v>162</v>
      </c>
      <c r="Z15" s="49"/>
      <c r="AA15" s="25"/>
      <c r="AB15" s="25"/>
    </row>
    <row r="16" spans="2:35">
      <c r="B16" s="40">
        <v>0.47638888888888892</v>
      </c>
      <c r="C16" s="40" t="s">
        <v>175</v>
      </c>
      <c r="D16" s="41">
        <v>8</v>
      </c>
      <c r="E16" s="42">
        <v>3</v>
      </c>
      <c r="F16" s="42" t="s">
        <v>154</v>
      </c>
      <c r="G16" s="43" t="s">
        <v>154</v>
      </c>
      <c r="H16" s="42" t="s">
        <v>160</v>
      </c>
      <c r="I16" s="43">
        <v>1</v>
      </c>
      <c r="J16" s="43">
        <v>1</v>
      </c>
      <c r="K16" s="25" t="str">
        <f>VLOOKUP(J16,Key!$E$2:$F$9,2,FALSE)</f>
        <v>Home</v>
      </c>
      <c r="L16" s="42" t="s">
        <v>176</v>
      </c>
      <c r="M16" s="43" t="s">
        <v>154</v>
      </c>
      <c r="N16" s="42" t="s">
        <v>160</v>
      </c>
      <c r="O16" s="43">
        <v>10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47"/>
      <c r="T16" s="47">
        <v>0.5</v>
      </c>
      <c r="U16" s="43">
        <v>2</v>
      </c>
      <c r="V16" s="43"/>
      <c r="W16" s="47"/>
      <c r="X16" s="47"/>
      <c r="Y16" s="48" t="s">
        <v>162</v>
      </c>
      <c r="Z16" s="49"/>
      <c r="AA16" s="25"/>
      <c r="AB16" s="25"/>
    </row>
    <row r="17" spans="2:28">
      <c r="B17" s="40">
        <v>0.41319444444444442</v>
      </c>
      <c r="C17" s="40" t="s">
        <v>177</v>
      </c>
      <c r="D17" s="41">
        <v>3</v>
      </c>
      <c r="E17" s="42">
        <v>4</v>
      </c>
      <c r="F17" s="42" t="s">
        <v>154</v>
      </c>
      <c r="G17" s="43" t="s">
        <v>154</v>
      </c>
      <c r="H17" s="42" t="s">
        <v>160</v>
      </c>
      <c r="I17" s="43">
        <v>1</v>
      </c>
      <c r="J17" s="43">
        <v>1</v>
      </c>
      <c r="K17" s="25" t="str">
        <f>VLOOKUP(J17,Key!$E$2:$F$9,2,FALSE)</f>
        <v>Home</v>
      </c>
      <c r="L17" s="42" t="s">
        <v>173</v>
      </c>
      <c r="M17" s="43" t="s">
        <v>154</v>
      </c>
      <c r="N17" s="42" t="s">
        <v>160</v>
      </c>
      <c r="O17" s="43">
        <v>16</v>
      </c>
      <c r="P17" s="43">
        <v>8</v>
      </c>
      <c r="Q17" s="25" t="str">
        <f>VLOOKUP(P17,Key!$E$2:$F$9,2,FALSE)</f>
        <v>Others</v>
      </c>
      <c r="R17" s="25" t="str">
        <f t="shared" si="0"/>
        <v>Home-Others</v>
      </c>
      <c r="S17" s="47">
        <v>10</v>
      </c>
      <c r="T17" s="47">
        <v>0.5</v>
      </c>
      <c r="U17" s="43">
        <v>2</v>
      </c>
      <c r="V17" s="43"/>
      <c r="W17" s="47"/>
      <c r="X17" s="47"/>
      <c r="Y17" s="48" t="s">
        <v>162</v>
      </c>
      <c r="Z17" s="49"/>
      <c r="AA17" s="25"/>
      <c r="AB17" s="25"/>
    </row>
    <row r="18" spans="2:28">
      <c r="B18" s="40">
        <v>0.40833333333333338</v>
      </c>
      <c r="C18" s="40" t="s">
        <v>178</v>
      </c>
      <c r="D18" s="41">
        <v>8</v>
      </c>
      <c r="E18" s="42">
        <v>3</v>
      </c>
      <c r="F18" s="42" t="s">
        <v>154</v>
      </c>
      <c r="G18" s="43" t="s">
        <v>154</v>
      </c>
      <c r="H18" s="42" t="s">
        <v>160</v>
      </c>
      <c r="I18" s="43">
        <v>16</v>
      </c>
      <c r="J18" s="43">
        <v>8</v>
      </c>
      <c r="K18" s="25" t="str">
        <f>VLOOKUP(J18,Key!$E$2:$F$9,2,FALSE)</f>
        <v>Others</v>
      </c>
      <c r="L18" s="42" t="s">
        <v>179</v>
      </c>
      <c r="M18" s="43" t="s">
        <v>154</v>
      </c>
      <c r="N18" s="42" t="s">
        <v>160</v>
      </c>
      <c r="O18" s="43">
        <v>16</v>
      </c>
      <c r="P18" s="43">
        <v>8</v>
      </c>
      <c r="Q18" s="25" t="str">
        <f>VLOOKUP(P18,Key!$E$2:$F$9,2,FALSE)</f>
        <v>Others</v>
      </c>
      <c r="R18" s="25" t="str">
        <f t="shared" si="0"/>
        <v>Others-Others</v>
      </c>
      <c r="S18" s="47">
        <v>85</v>
      </c>
      <c r="T18" s="47">
        <v>2</v>
      </c>
      <c r="U18" s="43">
        <v>2</v>
      </c>
      <c r="V18" s="43"/>
      <c r="W18" s="47"/>
      <c r="X18" s="47"/>
      <c r="Y18" s="48" t="s">
        <v>162</v>
      </c>
      <c r="Z18" s="49"/>
      <c r="AA18" s="25"/>
      <c r="AB18" s="25"/>
    </row>
    <row r="19" spans="2:28">
      <c r="B19" s="40">
        <v>0.42638888888888887</v>
      </c>
      <c r="C19" s="40" t="s">
        <v>180</v>
      </c>
      <c r="D19" s="41">
        <v>1</v>
      </c>
      <c r="E19" s="42">
        <v>4</v>
      </c>
      <c r="F19" s="42" t="s">
        <v>164</v>
      </c>
      <c r="G19" s="43" t="s">
        <v>164</v>
      </c>
      <c r="H19" s="42" t="s">
        <v>160</v>
      </c>
      <c r="I19" s="43">
        <v>1</v>
      </c>
      <c r="J19" s="43">
        <v>1</v>
      </c>
      <c r="K19" s="25" t="str">
        <f>VLOOKUP(J19,Key!$E$2:$F$9,2,FALSE)</f>
        <v>Home</v>
      </c>
      <c r="L19" s="42" t="s">
        <v>155</v>
      </c>
      <c r="M19" s="43" t="s">
        <v>154</v>
      </c>
      <c r="N19" s="42" t="s">
        <v>160</v>
      </c>
      <c r="O19" s="43">
        <v>4</v>
      </c>
      <c r="P19" s="43">
        <v>3</v>
      </c>
      <c r="Q19" s="25" t="str">
        <f>VLOOKUP(P19,Key!$E$2:$F$9,2,FALSE)</f>
        <v>Study</v>
      </c>
      <c r="R19" s="25" t="str">
        <f t="shared" si="0"/>
        <v>Home-Study</v>
      </c>
      <c r="S19" s="47"/>
      <c r="T19" s="47">
        <v>0.5</v>
      </c>
      <c r="U19" s="43">
        <v>2</v>
      </c>
      <c r="V19" s="43"/>
      <c r="W19" s="47"/>
      <c r="X19" s="47"/>
      <c r="Y19" s="48" t="s">
        <v>162</v>
      </c>
      <c r="Z19" s="49"/>
      <c r="AA19" s="25"/>
      <c r="AB19" s="25"/>
    </row>
    <row r="20" spans="2:28">
      <c r="B20" s="40">
        <v>0.42499999999999999</v>
      </c>
      <c r="C20" s="40" t="s">
        <v>181</v>
      </c>
      <c r="D20" s="41">
        <v>5</v>
      </c>
      <c r="E20" s="42">
        <v>28</v>
      </c>
      <c r="F20" s="42" t="s">
        <v>164</v>
      </c>
      <c r="G20" s="43" t="s">
        <v>164</v>
      </c>
      <c r="H20" s="42" t="s">
        <v>160</v>
      </c>
      <c r="I20" s="43">
        <v>6</v>
      </c>
      <c r="J20" s="43">
        <v>2</v>
      </c>
      <c r="K20" s="25" t="str">
        <f>VLOOKUP(J20,Key!$E$2:$F$9,2,FALSE)</f>
        <v>Work</v>
      </c>
      <c r="L20" s="42" t="s">
        <v>155</v>
      </c>
      <c r="M20" s="43" t="s">
        <v>154</v>
      </c>
      <c r="N20" s="42" t="s">
        <v>160</v>
      </c>
      <c r="O20" s="43">
        <v>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7">
        <v>30</v>
      </c>
      <c r="T20" s="47">
        <v>3</v>
      </c>
      <c r="U20" s="43">
        <v>6</v>
      </c>
      <c r="V20" s="43"/>
      <c r="W20" s="47"/>
      <c r="X20" s="47"/>
      <c r="Y20" s="48" t="s">
        <v>162</v>
      </c>
      <c r="Z20" s="49"/>
      <c r="AA20" s="25"/>
      <c r="AB20" s="25"/>
    </row>
    <row r="21" spans="2:28">
      <c r="B21" s="40">
        <v>0.4375</v>
      </c>
      <c r="C21" s="40" t="s">
        <v>182</v>
      </c>
      <c r="D21" s="41">
        <v>8</v>
      </c>
      <c r="E21" s="42">
        <v>3</v>
      </c>
      <c r="F21" s="42" t="s">
        <v>183</v>
      </c>
      <c r="G21" s="43" t="s">
        <v>154</v>
      </c>
      <c r="H21" s="42" t="s">
        <v>160</v>
      </c>
      <c r="I21" s="43">
        <v>3</v>
      </c>
      <c r="J21" s="43">
        <v>2</v>
      </c>
      <c r="K21" s="25" t="str">
        <f>VLOOKUP(J21,Key!$E$2:$F$9,2,FALSE)</f>
        <v>Work</v>
      </c>
      <c r="L21" s="42" t="s">
        <v>155</v>
      </c>
      <c r="M21" s="43" t="s">
        <v>154</v>
      </c>
      <c r="N21" s="42" t="s">
        <v>160</v>
      </c>
      <c r="O21" s="43">
        <v>16</v>
      </c>
      <c r="P21" s="43">
        <v>8</v>
      </c>
      <c r="Q21" s="25" t="str">
        <f>VLOOKUP(P21,Key!$E$2:$F$9,2,FALSE)</f>
        <v>Others</v>
      </c>
      <c r="R21" s="25" t="str">
        <f t="shared" si="0"/>
        <v>Work-Others</v>
      </c>
      <c r="S21" s="47"/>
      <c r="T21" s="47">
        <v>0.7</v>
      </c>
      <c r="U21" s="43">
        <v>4</v>
      </c>
      <c r="V21" s="43"/>
      <c r="W21" s="47"/>
      <c r="X21" s="47"/>
      <c r="Y21" s="48" t="s">
        <v>162</v>
      </c>
      <c r="Z21" s="49"/>
      <c r="AA21" s="25"/>
      <c r="AB21" s="25"/>
    </row>
    <row r="22" spans="2:28">
      <c r="B22" s="40">
        <v>0.4381944444444445</v>
      </c>
      <c r="C22" s="40" t="s">
        <v>184</v>
      </c>
      <c r="D22" s="41">
        <v>1</v>
      </c>
      <c r="E22" s="42">
        <v>2</v>
      </c>
      <c r="F22" s="42" t="s">
        <v>185</v>
      </c>
      <c r="G22" s="43" t="s">
        <v>186</v>
      </c>
      <c r="H22" s="42" t="s">
        <v>160</v>
      </c>
      <c r="I22" s="43">
        <v>1</v>
      </c>
      <c r="J22" s="43">
        <v>1</v>
      </c>
      <c r="K22" s="25" t="str">
        <f>VLOOKUP(J22,Key!$E$2:$F$9,2,FALSE)</f>
        <v>Home</v>
      </c>
      <c r="L22" s="42" t="s">
        <v>187</v>
      </c>
      <c r="M22" s="43" t="s">
        <v>154</v>
      </c>
      <c r="N22" s="42" t="s">
        <v>160</v>
      </c>
      <c r="O22" s="43">
        <v>3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47">
        <v>15</v>
      </c>
      <c r="T22" s="47">
        <v>0.8</v>
      </c>
      <c r="U22" s="43">
        <v>2</v>
      </c>
      <c r="V22" s="43"/>
      <c r="W22" s="47"/>
      <c r="X22" s="47"/>
      <c r="Y22" s="48" t="s">
        <v>162</v>
      </c>
      <c r="Z22" s="49"/>
      <c r="AA22" s="25"/>
      <c r="AB22" s="25"/>
    </row>
    <row r="23" spans="2:28">
      <c r="B23" s="40">
        <v>0.4236111111111111</v>
      </c>
      <c r="C23" s="40" t="s">
        <v>188</v>
      </c>
      <c r="D23" s="41">
        <v>8</v>
      </c>
      <c r="E23" s="42">
        <v>2</v>
      </c>
      <c r="F23" s="42" t="s">
        <v>154</v>
      </c>
      <c r="G23" s="43" t="s">
        <v>154</v>
      </c>
      <c r="H23" s="42" t="s">
        <v>160</v>
      </c>
      <c r="I23" s="43">
        <v>1</v>
      </c>
      <c r="J23" s="43">
        <v>1</v>
      </c>
      <c r="K23" s="25" t="str">
        <f>VLOOKUP(J23,Key!$E$2:$F$9,2,FALSE)</f>
        <v>Home</v>
      </c>
      <c r="L23" s="42" t="s">
        <v>189</v>
      </c>
      <c r="M23" s="43" t="s">
        <v>154</v>
      </c>
      <c r="N23" s="42" t="s">
        <v>160</v>
      </c>
      <c r="O23" s="43">
        <v>10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47"/>
      <c r="T23" s="47">
        <v>0.5</v>
      </c>
      <c r="U23" s="43">
        <v>2</v>
      </c>
      <c r="V23" s="43"/>
      <c r="W23" s="47"/>
      <c r="X23" s="47"/>
      <c r="Y23" s="48" t="s">
        <v>162</v>
      </c>
      <c r="Z23" s="49"/>
      <c r="AA23" s="25"/>
      <c r="AB23" s="25"/>
    </row>
    <row r="24" spans="2:28">
      <c r="B24" s="40">
        <v>0.42777777777777781</v>
      </c>
      <c r="C24" s="40" t="s">
        <v>190</v>
      </c>
      <c r="D24" s="41">
        <v>1</v>
      </c>
      <c r="E24" s="42">
        <v>5</v>
      </c>
      <c r="F24" s="42" t="s">
        <v>154</v>
      </c>
      <c r="G24" s="43" t="s">
        <v>154</v>
      </c>
      <c r="H24" s="42" t="s">
        <v>160</v>
      </c>
      <c r="I24" s="43">
        <v>4</v>
      </c>
      <c r="J24" s="43">
        <v>3</v>
      </c>
      <c r="K24" s="25" t="str">
        <f>VLOOKUP(J24,Key!$E$2:$F$9,2,FALSE)</f>
        <v>Study</v>
      </c>
      <c r="L24" s="42" t="s">
        <v>155</v>
      </c>
      <c r="M24" s="43" t="s">
        <v>154</v>
      </c>
      <c r="N24" s="42" t="s">
        <v>160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Study-Home</v>
      </c>
      <c r="S24" s="47"/>
      <c r="T24" s="47">
        <v>0.5</v>
      </c>
      <c r="U24" s="43">
        <v>5</v>
      </c>
      <c r="V24" s="43"/>
      <c r="W24" s="47"/>
      <c r="X24" s="47"/>
      <c r="Y24" s="48" t="s">
        <v>162</v>
      </c>
      <c r="Z24" s="49"/>
      <c r="AA24" s="25"/>
      <c r="AB24" s="25"/>
    </row>
    <row r="25" spans="2:28">
      <c r="B25" s="40">
        <v>0.39097222222222222</v>
      </c>
      <c r="C25" s="40" t="s">
        <v>191</v>
      </c>
      <c r="D25" s="41">
        <v>4</v>
      </c>
      <c r="E25" s="42">
        <v>2</v>
      </c>
      <c r="F25" s="42" t="s">
        <v>154</v>
      </c>
      <c r="G25" s="43" t="s">
        <v>154</v>
      </c>
      <c r="H25" s="42" t="s">
        <v>160</v>
      </c>
      <c r="I25" s="43">
        <v>1</v>
      </c>
      <c r="J25" s="43">
        <v>1</v>
      </c>
      <c r="K25" s="25" t="str">
        <f>VLOOKUP(J25,Key!$E$2:$F$9,2,FALSE)</f>
        <v>Home</v>
      </c>
      <c r="L25" s="42" t="s">
        <v>192</v>
      </c>
      <c r="M25" s="43" t="s">
        <v>154</v>
      </c>
      <c r="N25" s="42" t="s">
        <v>160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47">
        <v>5</v>
      </c>
      <c r="T25" s="47">
        <v>0.1</v>
      </c>
      <c r="U25" s="43">
        <v>4</v>
      </c>
      <c r="V25" s="43"/>
      <c r="W25" s="47"/>
      <c r="X25" s="47"/>
      <c r="Y25" s="48" t="s">
        <v>162</v>
      </c>
      <c r="Z25" s="49"/>
      <c r="AA25" s="25"/>
      <c r="AB25" s="25"/>
    </row>
    <row r="26" spans="2:28">
      <c r="B26" s="40">
        <v>0.39166666666666666</v>
      </c>
      <c r="C26" s="40" t="s">
        <v>193</v>
      </c>
      <c r="D26" s="41">
        <v>4</v>
      </c>
      <c r="E26" s="42">
        <v>1</v>
      </c>
      <c r="F26" s="42" t="s">
        <v>154</v>
      </c>
      <c r="G26" s="43" t="s">
        <v>154</v>
      </c>
      <c r="H26" s="42" t="s">
        <v>160</v>
      </c>
      <c r="I26" s="43">
        <v>1</v>
      </c>
      <c r="J26" s="43">
        <v>1</v>
      </c>
      <c r="K26" s="25" t="str">
        <f>VLOOKUP(J26,Key!$E$2:$F$9,2,FALSE)</f>
        <v>Home</v>
      </c>
      <c r="L26" s="42" t="s">
        <v>194</v>
      </c>
      <c r="M26" s="43" t="s">
        <v>154</v>
      </c>
      <c r="N26" s="42" t="s">
        <v>160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47"/>
      <c r="T26" s="47">
        <v>0.5</v>
      </c>
      <c r="U26" s="43">
        <v>1</v>
      </c>
      <c r="V26" s="43"/>
      <c r="W26" s="47"/>
      <c r="X26" s="47"/>
      <c r="Y26" s="48" t="s">
        <v>162</v>
      </c>
      <c r="Z26" s="49"/>
      <c r="AA26" s="25"/>
      <c r="AB26" s="25"/>
    </row>
    <row r="27" spans="2:28">
      <c r="B27" s="40">
        <v>0.38819444444444445</v>
      </c>
      <c r="C27" s="40" t="s">
        <v>195</v>
      </c>
      <c r="D27" s="41">
        <v>8</v>
      </c>
      <c r="E27" s="42">
        <v>3</v>
      </c>
      <c r="F27" s="42" t="s">
        <v>176</v>
      </c>
      <c r="G27" s="43" t="s">
        <v>154</v>
      </c>
      <c r="H27" s="42" t="s">
        <v>160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155</v>
      </c>
      <c r="M27" s="43" t="s">
        <v>154</v>
      </c>
      <c r="N27" s="42" t="s">
        <v>160</v>
      </c>
      <c r="O27" s="43">
        <v>3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47"/>
      <c r="T27" s="47">
        <v>0.8</v>
      </c>
      <c r="U27" s="43">
        <v>2</v>
      </c>
      <c r="V27" s="43"/>
      <c r="W27" s="47"/>
      <c r="X27" s="47"/>
      <c r="Y27" s="48" t="s">
        <v>162</v>
      </c>
      <c r="Z27" s="49"/>
      <c r="AA27" s="25"/>
      <c r="AB27" s="25"/>
    </row>
    <row r="28" spans="2:28">
      <c r="B28" s="40">
        <v>0.38541666666666669</v>
      </c>
      <c r="C28" s="40" t="s">
        <v>196</v>
      </c>
      <c r="D28" s="41">
        <v>11</v>
      </c>
      <c r="E28" s="42">
        <v>2</v>
      </c>
      <c r="F28" s="42" t="s">
        <v>154</v>
      </c>
      <c r="G28" s="43" t="s">
        <v>154</v>
      </c>
      <c r="H28" s="42" t="s">
        <v>160</v>
      </c>
      <c r="I28" s="43">
        <v>8</v>
      </c>
      <c r="J28" s="43">
        <v>2</v>
      </c>
      <c r="K28" s="25" t="str">
        <f>VLOOKUP(J28,Key!$E$2:$F$9,2,FALSE)</f>
        <v>Work</v>
      </c>
      <c r="L28" s="42" t="s">
        <v>197</v>
      </c>
      <c r="M28" s="43" t="s">
        <v>154</v>
      </c>
      <c r="N28" s="42" t="s">
        <v>160</v>
      </c>
      <c r="O28" s="43">
        <v>8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7">
        <v>8</v>
      </c>
      <c r="T28" s="47">
        <v>0.5</v>
      </c>
      <c r="U28" s="43">
        <v>2</v>
      </c>
      <c r="V28" s="43"/>
      <c r="W28" s="47"/>
      <c r="X28" s="47"/>
      <c r="Y28" s="48" t="s">
        <v>162</v>
      </c>
      <c r="Z28" s="49"/>
      <c r="AA28" s="25"/>
      <c r="AB28" s="25"/>
    </row>
    <row r="29" spans="2:28">
      <c r="B29" s="40">
        <v>0.39652777777777781</v>
      </c>
      <c r="C29" s="40" t="s">
        <v>198</v>
      </c>
      <c r="D29" s="41">
        <v>3</v>
      </c>
      <c r="E29" s="42">
        <v>5</v>
      </c>
      <c r="F29" s="42" t="s">
        <v>154</v>
      </c>
      <c r="G29" s="43" t="s">
        <v>154</v>
      </c>
      <c r="H29" s="42" t="s">
        <v>160</v>
      </c>
      <c r="I29" s="43">
        <v>1</v>
      </c>
      <c r="J29" s="43">
        <v>1</v>
      </c>
      <c r="K29" s="25" t="str">
        <f>VLOOKUP(J29,Key!$E$2:$F$9,2,FALSE)</f>
        <v>Home</v>
      </c>
      <c r="L29" s="42" t="s">
        <v>192</v>
      </c>
      <c r="M29" s="43" t="s">
        <v>154</v>
      </c>
      <c r="N29" s="42" t="s">
        <v>160</v>
      </c>
      <c r="O29" s="43">
        <v>10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47">
        <v>3</v>
      </c>
      <c r="T29" s="47">
        <v>0.5</v>
      </c>
      <c r="U29" s="43">
        <v>2</v>
      </c>
      <c r="V29" s="43"/>
      <c r="W29" s="47"/>
      <c r="X29" s="47"/>
      <c r="Y29" s="48" t="s">
        <v>162</v>
      </c>
      <c r="Z29" s="49"/>
      <c r="AA29" s="25"/>
      <c r="AB29" s="25"/>
    </row>
    <row r="30" spans="2:28">
      <c r="B30" s="40">
        <v>0.39444444444444443</v>
      </c>
      <c r="C30" s="40" t="s">
        <v>199</v>
      </c>
      <c r="D30" s="41">
        <v>5</v>
      </c>
      <c r="E30" s="42">
        <v>30</v>
      </c>
      <c r="F30" s="42" t="s">
        <v>200</v>
      </c>
      <c r="G30" s="43" t="s">
        <v>200</v>
      </c>
      <c r="H30" s="42" t="s">
        <v>160</v>
      </c>
      <c r="I30" s="43">
        <v>6</v>
      </c>
      <c r="J30" s="43">
        <v>2</v>
      </c>
      <c r="K30" s="25" t="str">
        <f>VLOOKUP(J30,Key!$E$2:$F$9,2,FALSE)</f>
        <v>Work</v>
      </c>
      <c r="L30" s="42" t="s">
        <v>201</v>
      </c>
      <c r="M30" s="43" t="s">
        <v>155</v>
      </c>
      <c r="N30" s="42" t="s">
        <v>160</v>
      </c>
      <c r="O30" s="43">
        <v>6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47"/>
      <c r="T30" s="47">
        <v>1</v>
      </c>
      <c r="U30" s="43">
        <v>4</v>
      </c>
      <c r="V30" s="43"/>
      <c r="W30" s="47"/>
      <c r="X30" s="47"/>
      <c r="Y30" s="48" t="s">
        <v>162</v>
      </c>
      <c r="Z30" s="49">
        <v>20000</v>
      </c>
      <c r="AA30" s="25"/>
      <c r="AB30" s="25"/>
    </row>
    <row r="31" spans="2:28">
      <c r="B31" s="40">
        <v>0.36458333333333331</v>
      </c>
      <c r="C31" s="40" t="s">
        <v>202</v>
      </c>
      <c r="D31" s="41">
        <v>8</v>
      </c>
      <c r="E31" s="42">
        <v>3</v>
      </c>
      <c r="F31" s="42" t="s">
        <v>154</v>
      </c>
      <c r="G31" s="43" t="s">
        <v>154</v>
      </c>
      <c r="H31" s="42" t="s">
        <v>160</v>
      </c>
      <c r="I31" s="43">
        <v>1</v>
      </c>
      <c r="J31" s="43">
        <v>1</v>
      </c>
      <c r="K31" s="25" t="str">
        <f>VLOOKUP(J31,Key!$E$2:$F$9,2,FALSE)</f>
        <v>Home</v>
      </c>
      <c r="L31" s="42" t="s">
        <v>203</v>
      </c>
      <c r="M31" s="43" t="s">
        <v>154</v>
      </c>
      <c r="N31" s="42" t="s">
        <v>160</v>
      </c>
      <c r="O31" s="43">
        <v>10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47">
        <v>6</v>
      </c>
      <c r="T31" s="47">
        <v>0.4</v>
      </c>
      <c r="U31" s="43">
        <v>4</v>
      </c>
      <c r="V31" s="43"/>
      <c r="W31" s="47"/>
      <c r="X31" s="47"/>
      <c r="Y31" s="48" t="s">
        <v>162</v>
      </c>
      <c r="Z31" s="49"/>
      <c r="AA31" s="25"/>
      <c r="AB31" s="25"/>
    </row>
    <row r="32" spans="2:28">
      <c r="B32" s="40">
        <v>0.35972222222222222</v>
      </c>
      <c r="C32" s="40" t="s">
        <v>204</v>
      </c>
      <c r="D32" s="41">
        <v>4</v>
      </c>
      <c r="E32" s="42">
        <v>14</v>
      </c>
      <c r="F32" s="42" t="s">
        <v>164</v>
      </c>
      <c r="G32" s="43" t="s">
        <v>164</v>
      </c>
      <c r="H32" s="42" t="s">
        <v>160</v>
      </c>
      <c r="I32" s="43">
        <v>6</v>
      </c>
      <c r="J32" s="43">
        <v>2</v>
      </c>
      <c r="K32" s="25" t="str">
        <f>VLOOKUP(J32,Key!$E$2:$F$9,2,FALSE)</f>
        <v>Work</v>
      </c>
      <c r="L32" s="42" t="s">
        <v>201</v>
      </c>
      <c r="M32" s="43" t="s">
        <v>154</v>
      </c>
      <c r="N32" s="42" t="s">
        <v>160</v>
      </c>
      <c r="O32" s="43">
        <v>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7"/>
      <c r="T32" s="47">
        <v>1</v>
      </c>
      <c r="U32" s="43">
        <v>4</v>
      </c>
      <c r="V32" s="43"/>
      <c r="W32" s="47"/>
      <c r="X32" s="47"/>
      <c r="Y32" s="48" t="s">
        <v>162</v>
      </c>
      <c r="Z32" s="49">
        <v>1000</v>
      </c>
      <c r="AA32" s="25"/>
      <c r="AB32" s="25"/>
    </row>
    <row r="33" spans="2:28">
      <c r="B33" s="40">
        <v>0.70624999999999993</v>
      </c>
      <c r="C33" s="40" t="s">
        <v>205</v>
      </c>
      <c r="D33" s="41">
        <v>1</v>
      </c>
      <c r="E33" s="42">
        <v>2</v>
      </c>
      <c r="F33" s="42" t="s">
        <v>154</v>
      </c>
      <c r="G33" s="43" t="s">
        <v>154</v>
      </c>
      <c r="H33" s="42" t="s">
        <v>160</v>
      </c>
      <c r="I33" s="43">
        <v>2</v>
      </c>
      <c r="J33" s="43">
        <v>2</v>
      </c>
      <c r="K33" s="25" t="str">
        <f>VLOOKUP(J33,Key!$E$2:$F$9,2,FALSE)</f>
        <v>Work</v>
      </c>
      <c r="L33" s="42" t="s">
        <v>192</v>
      </c>
      <c r="M33" s="43" t="s">
        <v>154</v>
      </c>
      <c r="N33" s="42" t="s">
        <v>160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47">
        <v>2</v>
      </c>
      <c r="T33" s="47">
        <v>0.5</v>
      </c>
      <c r="U33" s="43">
        <v>2</v>
      </c>
      <c r="V33" s="43"/>
      <c r="W33" s="47"/>
      <c r="X33" s="47"/>
      <c r="Y33" s="48" t="s">
        <v>162</v>
      </c>
      <c r="Z33" s="49"/>
      <c r="AA33" s="25"/>
      <c r="AB33" s="25"/>
    </row>
    <row r="34" spans="2:28">
      <c r="B34" s="40">
        <v>0.71666666666666667</v>
      </c>
      <c r="C34" s="40" t="s">
        <v>206</v>
      </c>
      <c r="D34" s="41">
        <v>1</v>
      </c>
      <c r="E34" s="42">
        <v>4</v>
      </c>
      <c r="F34" s="42" t="s">
        <v>154</v>
      </c>
      <c r="G34" s="43" t="s">
        <v>154</v>
      </c>
      <c r="H34" s="42" t="s">
        <v>160</v>
      </c>
      <c r="I34" s="43">
        <v>14</v>
      </c>
      <c r="J34" s="43">
        <v>8</v>
      </c>
      <c r="K34" s="25" t="str">
        <f>VLOOKUP(J34,Key!$E$2:$F$9,2,FALSE)</f>
        <v>Others</v>
      </c>
      <c r="L34" s="42" t="s">
        <v>155</v>
      </c>
      <c r="M34" s="43" t="s">
        <v>154</v>
      </c>
      <c r="N34" s="42" t="s">
        <v>160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Others-Home</v>
      </c>
      <c r="S34" s="47">
        <v>15</v>
      </c>
      <c r="T34" s="47">
        <v>0.8</v>
      </c>
      <c r="U34" s="43">
        <v>2</v>
      </c>
      <c r="V34" s="43"/>
      <c r="W34" s="47"/>
      <c r="X34" s="47"/>
      <c r="Y34" s="48" t="s">
        <v>162</v>
      </c>
      <c r="Z34" s="49"/>
      <c r="AA34" s="25"/>
      <c r="AB34" s="25"/>
    </row>
    <row r="35" spans="2:28">
      <c r="B35" s="40">
        <v>0.72361111111111109</v>
      </c>
      <c r="C35" s="40" t="s">
        <v>207</v>
      </c>
      <c r="D35" s="41">
        <v>2</v>
      </c>
      <c r="E35" s="42">
        <v>3</v>
      </c>
      <c r="F35" s="42" t="s">
        <v>154</v>
      </c>
      <c r="G35" s="43" t="s">
        <v>154</v>
      </c>
      <c r="H35" s="42" t="s">
        <v>160</v>
      </c>
      <c r="I35" s="43">
        <v>16</v>
      </c>
      <c r="J35" s="43">
        <v>8</v>
      </c>
      <c r="K35" s="25" t="str">
        <f>VLOOKUP(J35,Key!$E$2:$F$9,2,FALSE)</f>
        <v>Others</v>
      </c>
      <c r="L35" s="42" t="s">
        <v>192</v>
      </c>
      <c r="M35" s="43" t="s">
        <v>154</v>
      </c>
      <c r="N35" s="42" t="s">
        <v>160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Others-Home</v>
      </c>
      <c r="S35" s="47">
        <v>15</v>
      </c>
      <c r="T35" s="47">
        <v>2</v>
      </c>
      <c r="U35" s="43">
        <v>2</v>
      </c>
      <c r="V35" s="43"/>
      <c r="W35" s="47"/>
      <c r="X35" s="47"/>
      <c r="Y35" s="48" t="s">
        <v>162</v>
      </c>
      <c r="Z35" s="49"/>
      <c r="AA35" s="25"/>
      <c r="AB35" s="25"/>
    </row>
    <row r="36" spans="2:28">
      <c r="B36" s="40">
        <v>0.73263888888888884</v>
      </c>
      <c r="C36" s="40" t="s">
        <v>208</v>
      </c>
      <c r="D36" s="41">
        <v>7</v>
      </c>
      <c r="E36" s="42">
        <v>4</v>
      </c>
      <c r="F36" s="42" t="s">
        <v>209</v>
      </c>
      <c r="G36" s="43" t="s">
        <v>209</v>
      </c>
      <c r="H36" s="42" t="s">
        <v>160</v>
      </c>
      <c r="I36" s="43">
        <v>10</v>
      </c>
      <c r="J36" s="43">
        <v>2</v>
      </c>
      <c r="K36" s="25" t="str">
        <f>VLOOKUP(J36,Key!$E$2:$F$9,2,FALSE)</f>
        <v>Work</v>
      </c>
      <c r="L36" s="42" t="s">
        <v>192</v>
      </c>
      <c r="M36" s="43" t="s">
        <v>154</v>
      </c>
      <c r="N36" s="42" t="s">
        <v>160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47">
        <v>20</v>
      </c>
      <c r="T36" s="47">
        <v>2</v>
      </c>
      <c r="U36" s="43">
        <v>4</v>
      </c>
      <c r="V36" s="43"/>
      <c r="W36" s="47"/>
      <c r="X36" s="47"/>
      <c r="Y36" s="48" t="s">
        <v>162</v>
      </c>
      <c r="Z36" s="49"/>
      <c r="AA36" s="25"/>
      <c r="AB36" s="25"/>
    </row>
    <row r="37" spans="2:28">
      <c r="B37" s="40">
        <v>0.7416666666666667</v>
      </c>
      <c r="C37" s="40" t="s">
        <v>210</v>
      </c>
      <c r="D37" s="41">
        <v>4</v>
      </c>
      <c r="E37" s="42">
        <v>14</v>
      </c>
      <c r="F37" s="42" t="s">
        <v>154</v>
      </c>
      <c r="G37" s="43" t="s">
        <v>154</v>
      </c>
      <c r="H37" s="42" t="s">
        <v>160</v>
      </c>
      <c r="I37" s="43">
        <v>6</v>
      </c>
      <c r="J37" s="43">
        <v>2</v>
      </c>
      <c r="K37" s="25" t="str">
        <f>VLOOKUP(J37,Key!$E$2:$F$9,2,FALSE)</f>
        <v>Work</v>
      </c>
      <c r="L37" s="42" t="s">
        <v>192</v>
      </c>
      <c r="M37" s="43" t="s">
        <v>154</v>
      </c>
      <c r="N37" s="42" t="s">
        <v>160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7">
        <v>27</v>
      </c>
      <c r="T37" s="47">
        <v>1.5</v>
      </c>
      <c r="U37" s="43">
        <v>2</v>
      </c>
      <c r="V37" s="43"/>
      <c r="W37" s="47"/>
      <c r="X37" s="47"/>
      <c r="Y37" s="48" t="s">
        <v>162</v>
      </c>
      <c r="Z37" s="49"/>
      <c r="AA37" s="25"/>
      <c r="AB37" s="25"/>
    </row>
    <row r="38" spans="2:28">
      <c r="B38" s="40">
        <v>0.46597222222222223</v>
      </c>
      <c r="C38" s="40" t="s">
        <v>211</v>
      </c>
      <c r="D38" s="41">
        <v>1</v>
      </c>
      <c r="E38" s="42">
        <v>4</v>
      </c>
      <c r="F38" s="42" t="s">
        <v>30</v>
      </c>
      <c r="G38" s="43" t="s">
        <v>168</v>
      </c>
      <c r="H38" s="42" t="s">
        <v>160</v>
      </c>
      <c r="I38" s="43">
        <v>1</v>
      </c>
      <c r="J38" s="43">
        <v>1</v>
      </c>
      <c r="K38" s="25" t="str">
        <f>VLOOKUP(J38,Key!$E$2:$F$9,2,FALSE)</f>
        <v>Home</v>
      </c>
      <c r="L38" s="42" t="s">
        <v>169</v>
      </c>
      <c r="M38" s="43" t="s">
        <v>154</v>
      </c>
      <c r="N38" s="42" t="s">
        <v>160</v>
      </c>
      <c r="O38" s="43">
        <v>16</v>
      </c>
      <c r="P38" s="43">
        <v>8</v>
      </c>
      <c r="Q38" s="25" t="str">
        <f>VLOOKUP(P38,Key!$E$2:$F$9,2,FALSE)</f>
        <v>Others</v>
      </c>
      <c r="R38" s="25" t="str">
        <f t="shared" ref="R38:R63" si="1">K38&amp;"-"&amp;Q38</f>
        <v>Home-Others</v>
      </c>
      <c r="S38" s="47">
        <v>160</v>
      </c>
      <c r="T38" s="47">
        <v>2</v>
      </c>
      <c r="U38" s="43">
        <v>6</v>
      </c>
      <c r="V38" s="43"/>
      <c r="W38" s="47"/>
      <c r="X38" s="47"/>
      <c r="Y38" s="48" t="s">
        <v>162</v>
      </c>
      <c r="Z38" s="49"/>
      <c r="AA38" s="25"/>
      <c r="AB38" s="25"/>
    </row>
    <row r="39" spans="2:28">
      <c r="B39" s="40">
        <v>0.47430555555555554</v>
      </c>
      <c r="C39" s="40" t="s">
        <v>212</v>
      </c>
      <c r="D39" s="41">
        <v>2</v>
      </c>
      <c r="E39" s="42">
        <v>4</v>
      </c>
      <c r="F39" s="42" t="s">
        <v>154</v>
      </c>
      <c r="G39" s="43" t="s">
        <v>154</v>
      </c>
      <c r="H39" s="42" t="s">
        <v>160</v>
      </c>
      <c r="I39" s="43">
        <v>2</v>
      </c>
      <c r="J39" s="43">
        <v>2</v>
      </c>
      <c r="K39" s="25" t="str">
        <f>VLOOKUP(J39,Key!$E$2:$F$9,2,FALSE)</f>
        <v>Work</v>
      </c>
      <c r="L39" s="42" t="s">
        <v>155</v>
      </c>
      <c r="M39" s="43" t="s">
        <v>154</v>
      </c>
      <c r="N39" s="42" t="s">
        <v>160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Work-Home</v>
      </c>
      <c r="S39" s="47"/>
      <c r="T39" s="47">
        <v>0.4</v>
      </c>
      <c r="U39" s="43">
        <v>2</v>
      </c>
      <c r="V39" s="43"/>
      <c r="W39" s="47"/>
      <c r="X39" s="47"/>
      <c r="Y39" s="48" t="s">
        <v>218</v>
      </c>
      <c r="Z39" s="49"/>
      <c r="AA39" s="25"/>
      <c r="AB39" s="25"/>
    </row>
    <row r="40" spans="2:28">
      <c r="B40" s="40">
        <v>0.4145833333333333</v>
      </c>
      <c r="C40" s="40" t="s">
        <v>213</v>
      </c>
      <c r="D40" s="41">
        <v>2</v>
      </c>
      <c r="E40" s="42">
        <v>6</v>
      </c>
      <c r="F40" s="42" t="s">
        <v>214</v>
      </c>
      <c r="G40" s="43" t="s">
        <v>166</v>
      </c>
      <c r="H40" s="42" t="s">
        <v>160</v>
      </c>
      <c r="I40" s="43">
        <v>1</v>
      </c>
      <c r="J40" s="43">
        <v>1</v>
      </c>
      <c r="K40" s="25" t="str">
        <f>VLOOKUP(J40,Key!$E$2:$F$9,2,FALSE)</f>
        <v>Home</v>
      </c>
      <c r="L40" s="42" t="s">
        <v>201</v>
      </c>
      <c r="M40" s="43" t="s">
        <v>154</v>
      </c>
      <c r="N40" s="42" t="s">
        <v>160</v>
      </c>
      <c r="O40" s="43">
        <v>16</v>
      </c>
      <c r="P40" s="43">
        <v>8</v>
      </c>
      <c r="Q40" s="25" t="str">
        <f>VLOOKUP(P40,Key!$E$2:$F$9,2,FALSE)</f>
        <v>Others</v>
      </c>
      <c r="R40" s="25" t="str">
        <f t="shared" si="1"/>
        <v>Home-Others</v>
      </c>
      <c r="S40" s="47">
        <v>45</v>
      </c>
      <c r="T40" s="47">
        <v>2</v>
      </c>
      <c r="U40" s="43">
        <v>6</v>
      </c>
      <c r="V40" s="43"/>
      <c r="W40" s="47"/>
      <c r="X40" s="47"/>
      <c r="Y40" s="48" t="s">
        <v>162</v>
      </c>
      <c r="Z40" s="49">
        <v>2000</v>
      </c>
      <c r="AA40" s="25"/>
      <c r="AB40" s="25"/>
    </row>
    <row r="41" spans="2:28">
      <c r="B41" s="40">
        <v>0.41388888888888892</v>
      </c>
      <c r="C41" s="40" t="s">
        <v>215</v>
      </c>
      <c r="D41" s="41">
        <v>1</v>
      </c>
      <c r="E41" s="42">
        <v>3</v>
      </c>
      <c r="F41" s="42" t="s">
        <v>154</v>
      </c>
      <c r="G41" s="43" t="s">
        <v>154</v>
      </c>
      <c r="H41" s="42" t="s">
        <v>160</v>
      </c>
      <c r="I41" s="43">
        <v>1</v>
      </c>
      <c r="J41" s="43">
        <v>1</v>
      </c>
      <c r="K41" s="25" t="str">
        <f>VLOOKUP(J41,Key!$E$2:$F$9,2,FALSE)</f>
        <v>Home</v>
      </c>
      <c r="L41" s="42" t="s">
        <v>216</v>
      </c>
      <c r="M41" s="43" t="s">
        <v>154</v>
      </c>
      <c r="N41" s="42" t="s">
        <v>160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1"/>
        <v>Home-Work</v>
      </c>
      <c r="S41" s="47"/>
      <c r="T41" s="47">
        <v>0.3</v>
      </c>
      <c r="U41" s="43">
        <v>4</v>
      </c>
      <c r="V41" s="43"/>
      <c r="W41" s="47"/>
      <c r="X41" s="47"/>
      <c r="Y41" s="48" t="s">
        <v>162</v>
      </c>
      <c r="Z41" s="49"/>
      <c r="AA41" s="25"/>
      <c r="AB41" s="25"/>
    </row>
    <row r="42" spans="2:28">
      <c r="B42" s="40">
        <v>0.3833333333333333</v>
      </c>
      <c r="C42" s="40" t="s">
        <v>217</v>
      </c>
      <c r="D42" s="41">
        <v>11</v>
      </c>
      <c r="E42" s="42">
        <v>1</v>
      </c>
      <c r="F42" s="42" t="s">
        <v>154</v>
      </c>
      <c r="G42" s="43" t="s">
        <v>154</v>
      </c>
      <c r="H42" s="42" t="s">
        <v>160</v>
      </c>
      <c r="I42" s="43">
        <v>8</v>
      </c>
      <c r="J42" s="43">
        <v>2</v>
      </c>
      <c r="K42" s="25" t="str">
        <f>VLOOKUP(J42,Key!$E$2:$F$9,2,FALSE)</f>
        <v>Work</v>
      </c>
      <c r="L42" s="42" t="s">
        <v>192</v>
      </c>
      <c r="M42" s="43" t="s">
        <v>154</v>
      </c>
      <c r="N42" s="42" t="s">
        <v>160</v>
      </c>
      <c r="O42" s="43">
        <v>8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47">
        <v>2</v>
      </c>
      <c r="T42" s="47">
        <v>0.1</v>
      </c>
      <c r="U42" s="43">
        <v>2</v>
      </c>
      <c r="V42" s="43"/>
      <c r="W42" s="47"/>
      <c r="X42" s="47"/>
      <c r="Y42" s="48" t="s">
        <v>162</v>
      </c>
      <c r="Z42" s="49">
        <v>1000</v>
      </c>
      <c r="AA42" s="25"/>
      <c r="AB42" s="25"/>
    </row>
    <row r="43" spans="2:28">
      <c r="B43" s="40">
        <v>0.38125000000000003</v>
      </c>
      <c r="C43" s="40" t="s">
        <v>219</v>
      </c>
      <c r="D43" s="41">
        <v>4</v>
      </c>
      <c r="E43" s="42">
        <v>14</v>
      </c>
      <c r="F43" s="42" t="s">
        <v>154</v>
      </c>
      <c r="G43" s="43" t="s">
        <v>154</v>
      </c>
      <c r="H43" s="42" t="s">
        <v>160</v>
      </c>
      <c r="I43" s="43">
        <v>6</v>
      </c>
      <c r="J43" s="43">
        <v>2</v>
      </c>
      <c r="K43" s="25" t="str">
        <f>VLOOKUP(J43,Key!$E$2:$F$9,2,FALSE)</f>
        <v>Work</v>
      </c>
      <c r="L43" s="42" t="s">
        <v>220</v>
      </c>
      <c r="M43" s="43" t="s">
        <v>154</v>
      </c>
      <c r="N43" s="42" t="s">
        <v>160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47"/>
      <c r="T43" s="47">
        <v>0.2</v>
      </c>
      <c r="U43" s="43">
        <v>2</v>
      </c>
      <c r="V43" s="43"/>
      <c r="W43" s="47"/>
      <c r="X43" s="47"/>
      <c r="Y43" s="48" t="s">
        <v>162</v>
      </c>
      <c r="Z43" s="49"/>
      <c r="AA43" s="25"/>
      <c r="AB43" s="25"/>
    </row>
    <row r="44" spans="2:28">
      <c r="B44" s="40">
        <v>0.37777777777777777</v>
      </c>
      <c r="C44" s="40" t="s">
        <v>221</v>
      </c>
      <c r="D44" s="41">
        <v>11</v>
      </c>
      <c r="E44" s="42">
        <v>3</v>
      </c>
      <c r="F44" s="42" t="s">
        <v>154</v>
      </c>
      <c r="G44" s="43" t="s">
        <v>154</v>
      </c>
      <c r="H44" s="42" t="s">
        <v>160</v>
      </c>
      <c r="I44" s="43">
        <v>8</v>
      </c>
      <c r="J44" s="43">
        <v>2</v>
      </c>
      <c r="K44" s="25" t="str">
        <f>VLOOKUP(J44,Key!$E$2:$F$9,2,FALSE)</f>
        <v>Work</v>
      </c>
      <c r="L44" s="42" t="s">
        <v>173</v>
      </c>
      <c r="M44" s="43" t="s">
        <v>154</v>
      </c>
      <c r="N44" s="42" t="s">
        <v>160</v>
      </c>
      <c r="O44" s="43">
        <v>8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47">
        <v>45</v>
      </c>
      <c r="T44" s="47">
        <v>0.5</v>
      </c>
      <c r="U44" s="43">
        <v>2</v>
      </c>
      <c r="V44" s="43"/>
      <c r="W44" s="47"/>
      <c r="X44" s="47"/>
      <c r="Y44" s="48" t="s">
        <v>162</v>
      </c>
      <c r="Z44" s="49"/>
      <c r="AA44" s="25"/>
      <c r="AB44" s="25"/>
    </row>
    <row r="45" spans="2:28">
      <c r="B45" s="40">
        <v>0.37986111111111115</v>
      </c>
      <c r="C45" s="40" t="s">
        <v>222</v>
      </c>
      <c r="D45" s="41">
        <v>11</v>
      </c>
      <c r="E45" s="42">
        <v>2</v>
      </c>
      <c r="F45" s="42" t="s">
        <v>154</v>
      </c>
      <c r="G45" s="43" t="s">
        <v>154</v>
      </c>
      <c r="H45" s="42" t="s">
        <v>160</v>
      </c>
      <c r="I45" s="43">
        <v>8</v>
      </c>
      <c r="J45" s="43">
        <v>2</v>
      </c>
      <c r="K45" s="25" t="str">
        <f>VLOOKUP(J45,Key!$E$2:$F$9,2,FALSE)</f>
        <v>Work</v>
      </c>
      <c r="L45" s="42" t="s">
        <v>220</v>
      </c>
      <c r="M45" s="43" t="s">
        <v>154</v>
      </c>
      <c r="N45" s="42" t="s">
        <v>160</v>
      </c>
      <c r="O45" s="43">
        <v>8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47"/>
      <c r="T45" s="47">
        <v>0.1</v>
      </c>
      <c r="U45" s="43">
        <v>2</v>
      </c>
      <c r="V45" s="43"/>
      <c r="W45" s="47"/>
      <c r="X45" s="47"/>
      <c r="Y45" s="48" t="s">
        <v>162</v>
      </c>
      <c r="Z45" s="49"/>
      <c r="AA45" s="25"/>
      <c r="AB45" s="25"/>
    </row>
    <row r="46" spans="2:28">
      <c r="B46" s="40">
        <v>0.6791666666666667</v>
      </c>
      <c r="C46" s="40" t="s">
        <v>223</v>
      </c>
      <c r="D46" s="41">
        <v>1</v>
      </c>
      <c r="E46" s="42">
        <v>1</v>
      </c>
      <c r="F46" s="42" t="s">
        <v>154</v>
      </c>
      <c r="G46" s="43" t="s">
        <v>154</v>
      </c>
      <c r="H46" s="42" t="s">
        <v>160</v>
      </c>
      <c r="I46" s="43">
        <v>12</v>
      </c>
      <c r="J46" s="43">
        <v>8</v>
      </c>
      <c r="K46" s="25" t="str">
        <f>VLOOKUP(J46,Key!$E$2:$F$9,2,FALSE)</f>
        <v>Others</v>
      </c>
      <c r="L46" s="42" t="s">
        <v>155</v>
      </c>
      <c r="M46" s="43" t="s">
        <v>154</v>
      </c>
      <c r="N46" s="42" t="s">
        <v>160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Others-Home</v>
      </c>
      <c r="S46" s="47">
        <v>15</v>
      </c>
      <c r="T46" s="47">
        <v>1</v>
      </c>
      <c r="U46" s="43">
        <v>2</v>
      </c>
      <c r="V46" s="43"/>
      <c r="W46" s="47"/>
      <c r="X46" s="47"/>
      <c r="Y46" s="48" t="s">
        <v>162</v>
      </c>
      <c r="Z46" s="49"/>
      <c r="AA46" s="25"/>
      <c r="AB46" s="25"/>
    </row>
    <row r="47" spans="2:28">
      <c r="B47" s="40">
        <v>0.68472222222222223</v>
      </c>
      <c r="C47" s="40" t="s">
        <v>224</v>
      </c>
      <c r="D47" s="41">
        <v>4</v>
      </c>
      <c r="E47" s="42">
        <v>14</v>
      </c>
      <c r="F47" s="42" t="s">
        <v>154</v>
      </c>
      <c r="G47" s="43" t="s">
        <v>154</v>
      </c>
      <c r="H47" s="42" t="s">
        <v>160</v>
      </c>
      <c r="I47" s="43">
        <v>6</v>
      </c>
      <c r="J47" s="43">
        <v>2</v>
      </c>
      <c r="K47" s="25" t="str">
        <f>VLOOKUP(J47,Key!$E$2:$F$9,2,FALSE)</f>
        <v>Work</v>
      </c>
      <c r="L47" s="42" t="s">
        <v>155</v>
      </c>
      <c r="M47" s="43" t="s">
        <v>154</v>
      </c>
      <c r="N47" s="42" t="s">
        <v>160</v>
      </c>
      <c r="O47" s="43">
        <v>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47">
        <v>15</v>
      </c>
      <c r="T47" s="47">
        <v>1</v>
      </c>
      <c r="U47" s="43">
        <v>2</v>
      </c>
      <c r="V47" s="43"/>
      <c r="W47" s="47"/>
      <c r="X47" s="47"/>
      <c r="Y47" s="48" t="s">
        <v>162</v>
      </c>
      <c r="Z47" s="49"/>
      <c r="AA47" s="25"/>
      <c r="AB47" s="25"/>
    </row>
    <row r="48" spans="2:28">
      <c r="B48" s="40">
        <v>0.66597222222222219</v>
      </c>
      <c r="C48" s="40" t="s">
        <v>225</v>
      </c>
      <c r="D48" s="41">
        <v>4</v>
      </c>
      <c r="E48" s="42">
        <v>14</v>
      </c>
      <c r="F48" s="42" t="s">
        <v>154</v>
      </c>
      <c r="G48" s="43" t="s">
        <v>154</v>
      </c>
      <c r="H48" s="42" t="s">
        <v>160</v>
      </c>
      <c r="I48" s="43">
        <v>6</v>
      </c>
      <c r="J48" s="43">
        <v>2</v>
      </c>
      <c r="K48" s="25" t="str">
        <f>VLOOKUP(J48,Key!$E$2:$F$9,2,FALSE)</f>
        <v>Work</v>
      </c>
      <c r="L48" s="42" t="s">
        <v>226</v>
      </c>
      <c r="M48" s="43" t="s">
        <v>154</v>
      </c>
      <c r="N48" s="42" t="s">
        <v>160</v>
      </c>
      <c r="O48" s="43">
        <v>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47"/>
      <c r="T48" s="47">
        <v>1</v>
      </c>
      <c r="U48" s="43">
        <v>2</v>
      </c>
      <c r="V48" s="43"/>
      <c r="W48" s="47"/>
      <c r="X48" s="47"/>
      <c r="Y48" s="48" t="s">
        <v>162</v>
      </c>
      <c r="Z48" s="49"/>
      <c r="AA48" s="25"/>
      <c r="AB48" s="25"/>
    </row>
    <row r="49" spans="2:28">
      <c r="B49" s="40">
        <v>0.65833333333333333</v>
      </c>
      <c r="C49" s="40" t="s">
        <v>227</v>
      </c>
      <c r="D49" s="41">
        <v>3</v>
      </c>
      <c r="E49" s="42">
        <v>3</v>
      </c>
      <c r="F49" s="42" t="s">
        <v>154</v>
      </c>
      <c r="G49" s="43" t="s">
        <v>154</v>
      </c>
      <c r="H49" s="42" t="s">
        <v>160</v>
      </c>
      <c r="I49" s="43">
        <v>9</v>
      </c>
      <c r="J49" s="43">
        <v>2</v>
      </c>
      <c r="K49" s="25" t="str">
        <f>VLOOKUP(J49,Key!$E$2:$F$9,2,FALSE)</f>
        <v>Work</v>
      </c>
      <c r="L49" s="42" t="s">
        <v>192</v>
      </c>
      <c r="M49" s="43" t="s">
        <v>154</v>
      </c>
      <c r="N49" s="42" t="s">
        <v>160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Work-Home</v>
      </c>
      <c r="S49" s="47">
        <v>2</v>
      </c>
      <c r="T49" s="47">
        <v>0.3</v>
      </c>
      <c r="U49" s="43">
        <v>2</v>
      </c>
      <c r="V49" s="43"/>
      <c r="W49" s="47"/>
      <c r="X49" s="47"/>
      <c r="Y49" s="48" t="s">
        <v>162</v>
      </c>
      <c r="Z49" s="49"/>
      <c r="AA49" s="25"/>
      <c r="AB49" s="25"/>
    </row>
    <row r="50" spans="2:28">
      <c r="B50" s="40">
        <v>0.65138888888888891</v>
      </c>
      <c r="C50" s="40" t="s">
        <v>228</v>
      </c>
      <c r="D50" s="41">
        <v>2</v>
      </c>
      <c r="E50" s="42">
        <v>5</v>
      </c>
      <c r="F50" s="42" t="s">
        <v>154</v>
      </c>
      <c r="G50" s="43" t="s">
        <v>154</v>
      </c>
      <c r="H50" s="42" t="s">
        <v>160</v>
      </c>
      <c r="I50" s="43">
        <v>7</v>
      </c>
      <c r="J50" s="43">
        <v>8</v>
      </c>
      <c r="K50" s="25" t="str">
        <f>VLOOKUP(J50,Key!$E$2:$F$9,2,FALSE)</f>
        <v>Others</v>
      </c>
      <c r="L50" s="42" t="s">
        <v>229</v>
      </c>
      <c r="M50" s="43" t="s">
        <v>154</v>
      </c>
      <c r="N50" s="42" t="s">
        <v>160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Others-Home</v>
      </c>
      <c r="S50" s="47">
        <v>27</v>
      </c>
      <c r="T50" s="47">
        <v>2</v>
      </c>
      <c r="U50" s="43">
        <v>2</v>
      </c>
      <c r="V50" s="43"/>
      <c r="W50" s="47"/>
      <c r="X50" s="47"/>
      <c r="Y50" s="48" t="s">
        <v>162</v>
      </c>
      <c r="Z50" s="49"/>
      <c r="AA50" s="25"/>
      <c r="AB50" s="25"/>
    </row>
    <row r="51" spans="2:28">
      <c r="B51" s="40">
        <v>0.65416666666666667</v>
      </c>
      <c r="C51" s="40" t="s">
        <v>230</v>
      </c>
      <c r="D51" s="41">
        <v>1</v>
      </c>
      <c r="E51" s="42">
        <v>4</v>
      </c>
      <c r="F51" s="42" t="s">
        <v>154</v>
      </c>
      <c r="G51" s="43" t="s">
        <v>154</v>
      </c>
      <c r="H51" s="42" t="s">
        <v>160</v>
      </c>
      <c r="I51" s="43">
        <v>16</v>
      </c>
      <c r="J51" s="43">
        <v>8</v>
      </c>
      <c r="K51" s="25" t="str">
        <f>VLOOKUP(J51,Key!$E$2:$F$9,2,FALSE)</f>
        <v>Others</v>
      </c>
      <c r="L51" s="42" t="s">
        <v>155</v>
      </c>
      <c r="M51" s="43" t="s">
        <v>154</v>
      </c>
      <c r="N51" s="42" t="s">
        <v>160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Others-Home</v>
      </c>
      <c r="S51" s="47">
        <v>15</v>
      </c>
      <c r="T51" s="47">
        <v>1</v>
      </c>
      <c r="U51" s="43">
        <v>4</v>
      </c>
      <c r="V51" s="43"/>
      <c r="W51" s="47"/>
      <c r="X51" s="47"/>
      <c r="Y51" s="48" t="s">
        <v>162</v>
      </c>
      <c r="Z51" s="49"/>
      <c r="AA51" s="25"/>
      <c r="AB51" s="25"/>
    </row>
    <row r="52" spans="2:28">
      <c r="B52" s="40">
        <v>0.64513888888888882</v>
      </c>
      <c r="C52" s="40" t="s">
        <v>231</v>
      </c>
      <c r="D52" s="41">
        <v>11</v>
      </c>
      <c r="E52" s="42">
        <v>3</v>
      </c>
      <c r="F52" s="42" t="s">
        <v>154</v>
      </c>
      <c r="G52" s="43" t="s">
        <v>154</v>
      </c>
      <c r="H52" s="42" t="s">
        <v>160</v>
      </c>
      <c r="I52" s="43">
        <v>8</v>
      </c>
      <c r="J52" s="43">
        <v>2</v>
      </c>
      <c r="K52" s="25" t="str">
        <f>VLOOKUP(J52,Key!$E$2:$F$9,2,FALSE)</f>
        <v>Work</v>
      </c>
      <c r="L52" s="42" t="s">
        <v>226</v>
      </c>
      <c r="M52" s="43" t="s">
        <v>154</v>
      </c>
      <c r="N52" s="42" t="s">
        <v>160</v>
      </c>
      <c r="O52" s="43">
        <v>8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47">
        <v>15</v>
      </c>
      <c r="T52" s="47">
        <v>1</v>
      </c>
      <c r="U52" s="43">
        <v>2</v>
      </c>
      <c r="V52" s="43"/>
      <c r="W52" s="47"/>
      <c r="X52" s="47"/>
      <c r="Y52" s="48" t="s">
        <v>162</v>
      </c>
      <c r="Z52" s="49">
        <v>500</v>
      </c>
      <c r="AA52" s="25"/>
      <c r="AB52" s="25"/>
    </row>
    <row r="53" spans="2:28">
      <c r="B53" s="40">
        <v>0.6166666666666667</v>
      </c>
      <c r="C53" s="40" t="s">
        <v>232</v>
      </c>
      <c r="D53" s="41">
        <v>2</v>
      </c>
      <c r="E53" s="42">
        <v>3</v>
      </c>
      <c r="F53" s="42" t="s">
        <v>164</v>
      </c>
      <c r="G53" s="43" t="s">
        <v>164</v>
      </c>
      <c r="H53" s="42" t="s">
        <v>160</v>
      </c>
      <c r="I53" s="43">
        <v>5</v>
      </c>
      <c r="J53" s="43">
        <v>7</v>
      </c>
      <c r="K53" s="25" t="str">
        <f>VLOOKUP(J53,Key!$E$2:$F$9,2,FALSE)</f>
        <v>Hospital</v>
      </c>
      <c r="L53" s="42" t="s">
        <v>155</v>
      </c>
      <c r="M53" s="43" t="s">
        <v>154</v>
      </c>
      <c r="N53" s="42" t="s">
        <v>160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Hospital-Home</v>
      </c>
      <c r="S53" s="47">
        <v>30</v>
      </c>
      <c r="T53" s="47">
        <v>3</v>
      </c>
      <c r="U53" s="43">
        <v>2</v>
      </c>
      <c r="V53" s="43"/>
      <c r="W53" s="47"/>
      <c r="X53" s="47"/>
      <c r="Y53" s="48" t="s">
        <v>162</v>
      </c>
      <c r="Z53" s="49"/>
      <c r="AA53" s="25"/>
      <c r="AB53" s="25"/>
    </row>
    <row r="54" spans="2:28">
      <c r="B54" s="40">
        <v>0.60972222222222217</v>
      </c>
      <c r="C54" s="40" t="s">
        <v>233</v>
      </c>
      <c r="D54" s="41">
        <v>7</v>
      </c>
      <c r="E54" s="42">
        <v>1</v>
      </c>
      <c r="F54" s="42" t="s">
        <v>154</v>
      </c>
      <c r="G54" s="43" t="s">
        <v>154</v>
      </c>
      <c r="H54" s="42" t="s">
        <v>160</v>
      </c>
      <c r="I54" s="43">
        <v>9</v>
      </c>
      <c r="J54" s="43">
        <v>2</v>
      </c>
      <c r="K54" s="25" t="str">
        <f>VLOOKUP(J54,Key!$E$2:$F$9,2,FALSE)</f>
        <v>Work</v>
      </c>
      <c r="L54" s="42" t="s">
        <v>161</v>
      </c>
      <c r="M54" s="43" t="s">
        <v>154</v>
      </c>
      <c r="N54" s="42" t="s">
        <v>160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Work-Home</v>
      </c>
      <c r="S54" s="47">
        <v>27</v>
      </c>
      <c r="T54" s="47">
        <v>1</v>
      </c>
      <c r="U54" s="43">
        <v>2</v>
      </c>
      <c r="V54" s="43"/>
      <c r="W54" s="47"/>
      <c r="X54" s="47"/>
      <c r="Y54" s="48" t="s">
        <v>162</v>
      </c>
      <c r="Z54" s="49"/>
      <c r="AA54" s="25"/>
      <c r="AB54" s="25"/>
    </row>
    <row r="55" spans="2:28">
      <c r="B55" s="40">
        <v>0.61458333333333337</v>
      </c>
      <c r="C55" s="40" t="s">
        <v>234</v>
      </c>
      <c r="D55" s="41">
        <v>1</v>
      </c>
      <c r="E55" s="42">
        <v>4</v>
      </c>
      <c r="F55" s="42" t="s">
        <v>154</v>
      </c>
      <c r="G55" s="43" t="s">
        <v>154</v>
      </c>
      <c r="H55" s="42" t="s">
        <v>160</v>
      </c>
      <c r="I55" s="43">
        <v>4</v>
      </c>
      <c r="J55" s="43">
        <v>3</v>
      </c>
      <c r="K55" s="25" t="str">
        <f>VLOOKUP(J55,Key!$E$2:$F$9,2,FALSE)</f>
        <v>Study</v>
      </c>
      <c r="L55" s="42" t="s">
        <v>155</v>
      </c>
      <c r="M55" s="43" t="s">
        <v>154</v>
      </c>
      <c r="N55" s="42" t="s">
        <v>160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Study-Home</v>
      </c>
      <c r="S55" s="47">
        <v>2</v>
      </c>
      <c r="T55" s="47">
        <v>1</v>
      </c>
      <c r="U55" s="43">
        <v>2</v>
      </c>
      <c r="V55" s="43"/>
      <c r="W55" s="47"/>
      <c r="X55" s="47"/>
      <c r="Y55" s="48" t="s">
        <v>162</v>
      </c>
      <c r="Z55" s="49"/>
      <c r="AA55" s="25"/>
      <c r="AB55" s="25"/>
    </row>
    <row r="56" spans="2:28">
      <c r="B56" s="40">
        <v>0.59930555555555554</v>
      </c>
      <c r="C56" s="40" t="s">
        <v>235</v>
      </c>
      <c r="D56" s="41">
        <v>1</v>
      </c>
      <c r="E56" s="42">
        <v>2</v>
      </c>
      <c r="F56" s="42" t="s">
        <v>154</v>
      </c>
      <c r="G56" s="43" t="s">
        <v>154</v>
      </c>
      <c r="H56" s="42" t="s">
        <v>160</v>
      </c>
      <c r="I56" s="43">
        <v>2</v>
      </c>
      <c r="J56" s="43">
        <v>2</v>
      </c>
      <c r="K56" s="25" t="str">
        <f>VLOOKUP(J56,Key!$E$2:$F$9,2,FALSE)</f>
        <v>Work</v>
      </c>
      <c r="L56" s="42" t="s">
        <v>220</v>
      </c>
      <c r="M56" s="43" t="s">
        <v>154</v>
      </c>
      <c r="N56" s="42" t="s">
        <v>160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Work-Home</v>
      </c>
      <c r="S56" s="47"/>
      <c r="T56" s="47">
        <v>0.1</v>
      </c>
      <c r="U56" s="43">
        <v>2</v>
      </c>
      <c r="V56" s="43"/>
      <c r="W56" s="47"/>
      <c r="X56" s="47"/>
      <c r="Y56" s="48" t="s">
        <v>162</v>
      </c>
      <c r="Z56" s="49">
        <v>2000</v>
      </c>
      <c r="AA56" s="25"/>
      <c r="AB56" s="25"/>
    </row>
    <row r="57" spans="2:28">
      <c r="B57" s="40">
        <v>0.60347222222222219</v>
      </c>
      <c r="C57" s="40" t="s">
        <v>236</v>
      </c>
      <c r="D57" s="41">
        <v>8</v>
      </c>
      <c r="E57" s="42">
        <v>4</v>
      </c>
      <c r="F57" s="42" t="s">
        <v>154</v>
      </c>
      <c r="G57" s="43" t="s">
        <v>154</v>
      </c>
      <c r="H57" s="42" t="s">
        <v>160</v>
      </c>
      <c r="I57" s="43">
        <v>1</v>
      </c>
      <c r="J57" s="43">
        <v>1</v>
      </c>
      <c r="K57" s="25" t="str">
        <f>VLOOKUP(J57,Key!$E$2:$F$9,2,FALSE)</f>
        <v>Home</v>
      </c>
      <c r="L57" s="42" t="s">
        <v>155</v>
      </c>
      <c r="M57" s="43" t="s">
        <v>154</v>
      </c>
      <c r="N57" s="42" t="s">
        <v>160</v>
      </c>
      <c r="O57" s="43">
        <v>10</v>
      </c>
      <c r="P57" s="43">
        <v>2</v>
      </c>
      <c r="Q57" s="25" t="str">
        <f>VLOOKUP(P57,Key!$E$2:$F$9,2,FALSE)</f>
        <v>Work</v>
      </c>
      <c r="R57" s="25" t="str">
        <f t="shared" si="1"/>
        <v>Home-Work</v>
      </c>
      <c r="S57" s="47">
        <v>2</v>
      </c>
      <c r="T57" s="47">
        <v>1</v>
      </c>
      <c r="U57" s="43">
        <v>2</v>
      </c>
      <c r="V57" s="43"/>
      <c r="W57" s="47"/>
      <c r="X57" s="47"/>
      <c r="Y57" s="48" t="s">
        <v>162</v>
      </c>
      <c r="Z57" s="49"/>
      <c r="AA57" s="25"/>
      <c r="AB57" s="25"/>
    </row>
    <row r="58" spans="2:28">
      <c r="B58" s="40">
        <v>0.59375</v>
      </c>
      <c r="C58" s="40" t="s">
        <v>237</v>
      </c>
      <c r="D58" s="41">
        <v>9</v>
      </c>
      <c r="E58" s="42">
        <v>3</v>
      </c>
      <c r="F58" s="42" t="s">
        <v>168</v>
      </c>
      <c r="G58" s="43" t="s">
        <v>168</v>
      </c>
      <c r="H58" s="42" t="s">
        <v>160</v>
      </c>
      <c r="I58" s="43">
        <v>1</v>
      </c>
      <c r="J58" s="43">
        <v>1</v>
      </c>
      <c r="K58" s="25" t="str">
        <f>VLOOKUP(J58,Key!$E$2:$F$9,2,FALSE)</f>
        <v>Home</v>
      </c>
      <c r="L58" s="42" t="s">
        <v>226</v>
      </c>
      <c r="M58" s="43" t="s">
        <v>154</v>
      </c>
      <c r="N58" s="42" t="s">
        <v>160</v>
      </c>
      <c r="O58" s="43">
        <v>16</v>
      </c>
      <c r="P58" s="43">
        <v>8</v>
      </c>
      <c r="Q58" s="25" t="str">
        <f>VLOOKUP(P58,Key!$E$2:$F$9,2,FALSE)</f>
        <v>Others</v>
      </c>
      <c r="R58" s="25" t="str">
        <f t="shared" si="1"/>
        <v>Home-Others</v>
      </c>
      <c r="S58" s="47">
        <v>165</v>
      </c>
      <c r="T58" s="47">
        <v>3</v>
      </c>
      <c r="U58" s="43">
        <v>4</v>
      </c>
      <c r="V58" s="43">
        <v>1</v>
      </c>
      <c r="W58" s="47">
        <v>28</v>
      </c>
      <c r="X58" s="47"/>
      <c r="Y58" s="48" t="s">
        <v>218</v>
      </c>
      <c r="Z58" s="49"/>
      <c r="AA58" s="25"/>
      <c r="AB58" s="25"/>
    </row>
    <row r="59" spans="2:28">
      <c r="B59" s="40">
        <v>2.1527777777777781E-2</v>
      </c>
      <c r="C59" s="40" t="s">
        <v>238</v>
      </c>
      <c r="D59" s="41">
        <v>3</v>
      </c>
      <c r="E59" s="42">
        <v>2</v>
      </c>
      <c r="F59" s="42" t="s">
        <v>154</v>
      </c>
      <c r="G59" s="43" t="s">
        <v>154</v>
      </c>
      <c r="H59" s="42" t="s">
        <v>160</v>
      </c>
      <c r="I59" s="43">
        <v>10</v>
      </c>
      <c r="J59" s="43">
        <v>2</v>
      </c>
      <c r="K59" s="25" t="str">
        <f>VLOOKUP(J59,Key!$E$2:$F$9,2,FALSE)</f>
        <v>Work</v>
      </c>
      <c r="L59" s="42" t="s">
        <v>239</v>
      </c>
      <c r="M59" s="43" t="s">
        <v>154</v>
      </c>
      <c r="N59" s="42" t="s">
        <v>160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47"/>
      <c r="T59" s="47">
        <v>0.2</v>
      </c>
      <c r="U59" s="43">
        <v>2</v>
      </c>
      <c r="V59" s="43"/>
      <c r="W59" s="47"/>
      <c r="X59" s="47"/>
      <c r="Y59" s="48" t="s">
        <v>162</v>
      </c>
      <c r="Z59" s="49"/>
      <c r="AA59" s="25"/>
      <c r="AB59" s="25"/>
    </row>
    <row r="60" spans="2:28">
      <c r="B60" s="40">
        <v>0.46249999999999997</v>
      </c>
      <c r="C60" s="40" t="s">
        <v>240</v>
      </c>
      <c r="D60" s="41">
        <v>4</v>
      </c>
      <c r="E60" s="42">
        <v>14</v>
      </c>
      <c r="F60" s="42" t="s">
        <v>154</v>
      </c>
      <c r="G60" s="43" t="s">
        <v>154</v>
      </c>
      <c r="H60" s="42" t="s">
        <v>160</v>
      </c>
      <c r="I60" s="43">
        <v>6</v>
      </c>
      <c r="J60" s="43">
        <v>2</v>
      </c>
      <c r="K60" s="25" t="str">
        <f>VLOOKUP(J60,Key!$E$2:$F$9,2,FALSE)</f>
        <v>Work</v>
      </c>
      <c r="L60" s="42" t="s">
        <v>155</v>
      </c>
      <c r="M60" s="43" t="s">
        <v>154</v>
      </c>
      <c r="N60" s="42" t="s">
        <v>160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47">
        <v>15</v>
      </c>
      <c r="T60" s="47">
        <v>2</v>
      </c>
      <c r="U60" s="43">
        <v>2</v>
      </c>
      <c r="V60" s="43"/>
      <c r="W60" s="47"/>
      <c r="X60" s="47"/>
      <c r="Y60" s="48" t="s">
        <v>162</v>
      </c>
      <c r="Z60" s="49"/>
      <c r="AA60" s="25"/>
      <c r="AB60" s="25"/>
    </row>
    <row r="61" spans="2:28">
      <c r="B61" s="40">
        <v>0.45833333333333331</v>
      </c>
      <c r="C61" s="40" t="s">
        <v>241</v>
      </c>
      <c r="D61" s="41">
        <v>1</v>
      </c>
      <c r="E61" s="42">
        <v>2</v>
      </c>
      <c r="F61" s="42" t="s">
        <v>168</v>
      </c>
      <c r="G61" s="43" t="s">
        <v>168</v>
      </c>
      <c r="H61" s="42" t="s">
        <v>160</v>
      </c>
      <c r="I61" s="43">
        <v>10</v>
      </c>
      <c r="J61" s="43">
        <v>2</v>
      </c>
      <c r="K61" s="25" t="str">
        <f>VLOOKUP(J61,Key!$E$2:$F$9,2,FALSE)</f>
        <v>Work</v>
      </c>
      <c r="L61" s="42" t="s">
        <v>155</v>
      </c>
      <c r="M61" s="43" t="s">
        <v>154</v>
      </c>
      <c r="N61" s="42" t="s">
        <v>160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47">
        <v>160</v>
      </c>
      <c r="T61" s="47">
        <v>2</v>
      </c>
      <c r="U61" s="43">
        <v>2</v>
      </c>
      <c r="V61" s="43"/>
      <c r="W61" s="47"/>
      <c r="X61" s="47"/>
      <c r="Y61" s="48" t="s">
        <v>162</v>
      </c>
      <c r="Z61" s="49"/>
      <c r="AA61" s="25"/>
      <c r="AB61" s="25"/>
    </row>
    <row r="62" spans="2:28">
      <c r="B62" s="40">
        <v>0.45624999999999999</v>
      </c>
      <c r="C62" s="40" t="s">
        <v>242</v>
      </c>
      <c r="D62" s="41">
        <v>1</v>
      </c>
      <c r="E62" s="42">
        <v>6</v>
      </c>
      <c r="F62" s="42" t="s">
        <v>243</v>
      </c>
      <c r="G62" s="43" t="s">
        <v>243</v>
      </c>
      <c r="H62" s="42" t="s">
        <v>160</v>
      </c>
      <c r="I62" s="43">
        <v>1</v>
      </c>
      <c r="J62" s="43">
        <v>1</v>
      </c>
      <c r="K62" s="25" t="str">
        <f>VLOOKUP(J62,Key!$E$2:$F$9,2,FALSE)</f>
        <v>Home</v>
      </c>
      <c r="L62" s="42" t="s">
        <v>155</v>
      </c>
      <c r="M62" s="43" t="s">
        <v>154</v>
      </c>
      <c r="N62" s="42" t="s">
        <v>160</v>
      </c>
      <c r="O62" s="43">
        <v>5</v>
      </c>
      <c r="P62" s="43">
        <v>7</v>
      </c>
      <c r="Q62" s="25" t="str">
        <f>VLOOKUP(P62,Key!$E$2:$F$9,2,FALSE)</f>
        <v>Hospital</v>
      </c>
      <c r="R62" s="25" t="str">
        <f t="shared" si="1"/>
        <v>Home-Hospital</v>
      </c>
      <c r="S62" s="47">
        <v>30</v>
      </c>
      <c r="T62" s="47">
        <v>1</v>
      </c>
      <c r="U62" s="43">
        <v>6</v>
      </c>
      <c r="V62" s="43"/>
      <c r="W62" s="47"/>
      <c r="X62" s="47"/>
      <c r="Y62" s="48" t="s">
        <v>162</v>
      </c>
      <c r="Z62" s="49"/>
      <c r="AA62" s="25"/>
      <c r="AB62" s="25"/>
    </row>
    <row r="63" spans="2:28">
      <c r="B63" s="40">
        <v>0.45833333333333331</v>
      </c>
      <c r="C63" s="40" t="s">
        <v>244</v>
      </c>
      <c r="D63" s="41">
        <v>6</v>
      </c>
      <c r="E63" s="42">
        <v>30</v>
      </c>
      <c r="F63" s="42" t="s">
        <v>164</v>
      </c>
      <c r="G63" s="43" t="s">
        <v>164</v>
      </c>
      <c r="H63" s="42" t="s">
        <v>160</v>
      </c>
      <c r="I63" s="43">
        <v>4</v>
      </c>
      <c r="J63" s="43">
        <v>3</v>
      </c>
      <c r="K63" s="25" t="str">
        <f>VLOOKUP(J63,Key!$E$2:$F$9,2,FALSE)</f>
        <v>Study</v>
      </c>
      <c r="L63" s="42" t="s">
        <v>155</v>
      </c>
      <c r="M63" s="43" t="s">
        <v>154</v>
      </c>
      <c r="N63" s="42" t="s">
        <v>160</v>
      </c>
      <c r="O63" s="43">
        <v>16</v>
      </c>
      <c r="P63" s="43">
        <v>8</v>
      </c>
      <c r="Q63" s="25" t="str">
        <f>VLOOKUP(P63,Key!$E$2:$F$9,2,FALSE)</f>
        <v>Others</v>
      </c>
      <c r="R63" s="25" t="str">
        <f t="shared" si="1"/>
        <v>Study-Others</v>
      </c>
      <c r="S63" s="47"/>
      <c r="T63" s="47"/>
      <c r="U63" s="43"/>
      <c r="V63" s="43"/>
      <c r="W63" s="47"/>
      <c r="X63" s="47"/>
      <c r="Y63" s="48" t="s">
        <v>162</v>
      </c>
      <c r="Z63" s="49"/>
      <c r="AA63" s="25"/>
      <c r="AB63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13" t="s">
        <v>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13" t="s">
        <v>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18" t="s">
        <v>8</v>
      </c>
      <c r="C7" s="106" t="s">
        <v>9</v>
      </c>
      <c r="D7" s="106" t="s">
        <v>10</v>
      </c>
      <c r="E7" s="106" t="s">
        <v>11</v>
      </c>
      <c r="F7" s="106" t="s">
        <v>12</v>
      </c>
      <c r="G7" s="106"/>
      <c r="H7" s="106" t="s">
        <v>15</v>
      </c>
      <c r="I7" s="106" t="s">
        <v>16</v>
      </c>
      <c r="J7" s="106" t="s">
        <v>17</v>
      </c>
      <c r="K7" s="106"/>
      <c r="L7" s="106" t="s">
        <v>18</v>
      </c>
      <c r="M7" s="106" t="s">
        <v>19</v>
      </c>
      <c r="N7" s="106" t="s">
        <v>20</v>
      </c>
      <c r="O7" s="108" t="s">
        <v>21</v>
      </c>
      <c r="P7" s="124" t="s">
        <v>27</v>
      </c>
      <c r="Q7" s="125"/>
    </row>
    <row r="8" spans="2:25" ht="24.75" customHeight="1" thickBot="1">
      <c r="B8" s="128"/>
      <c r="C8" s="129"/>
      <c r="D8" s="129"/>
      <c r="E8" s="129"/>
      <c r="F8" s="18" t="s">
        <v>13</v>
      </c>
      <c r="G8" s="18" t="s">
        <v>14</v>
      </c>
      <c r="H8" s="129"/>
      <c r="I8" s="129"/>
      <c r="J8" s="18" t="s">
        <v>13</v>
      </c>
      <c r="K8" s="18" t="s">
        <v>14</v>
      </c>
      <c r="L8" s="129"/>
      <c r="M8" s="129"/>
      <c r="N8" s="129"/>
      <c r="O8" s="130"/>
      <c r="P8" s="126"/>
      <c r="Q8" s="127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55"/>
  <sheetViews>
    <sheetView topLeftCell="L20" zoomScale="75" zoomScaleNormal="75" zoomScaleSheetLayoutView="80" workbookViewId="0">
      <selection activeCell="B9" sqref="B9:AB5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3" t="s">
        <v>134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6"/>
      <c r="AD1" s="6"/>
      <c r="AE1" s="6"/>
      <c r="AF1" s="6"/>
      <c r="AG1" s="6"/>
      <c r="AH1" s="6"/>
      <c r="AI1" s="6"/>
    </row>
    <row r="2" spans="2:35" ht="15">
      <c r="B2" s="113" t="s">
        <v>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'24.08 Iganga-Kaliro'!C4</f>
        <v>24.08.19</v>
      </c>
      <c r="E4" s="1" t="s">
        <v>69</v>
      </c>
      <c r="F4" s="131" t="str">
        <f>'24.08 Iganga-Kaliro'!F4:G4</f>
        <v>Iganga-Kaliro Rd</v>
      </c>
      <c r="G4" s="132"/>
      <c r="I4" s="27" t="s">
        <v>70</v>
      </c>
      <c r="J4" s="5"/>
      <c r="K4" s="5"/>
      <c r="L4" s="51" t="s">
        <v>155</v>
      </c>
      <c r="M4" s="2"/>
      <c r="N4" s="1" t="s">
        <v>72</v>
      </c>
      <c r="O4" s="116" t="s">
        <v>245</v>
      </c>
      <c r="P4" s="117"/>
      <c r="Q4" s="117"/>
      <c r="R4" s="117"/>
      <c r="S4" s="117"/>
      <c r="T4" s="117"/>
      <c r="V4" s="1" t="s">
        <v>73</v>
      </c>
      <c r="W4" s="54"/>
      <c r="Y4" s="27" t="s">
        <v>6</v>
      </c>
      <c r="Z4" s="39" t="str">
        <f>'24.08 Iganga-Kaliro'!Z4</f>
        <v>Isaac Akure</v>
      </c>
      <c r="AA4" s="32" t="s">
        <v>7</v>
      </c>
      <c r="AB4" s="39" t="str">
        <f>'24.08 Iganga-Kaliro'!AB4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71</v>
      </c>
      <c r="J5" s="2"/>
      <c r="K5" s="2"/>
      <c r="L5" s="52" t="s">
        <v>154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8" t="s">
        <v>34</v>
      </c>
      <c r="C7" s="104" t="s">
        <v>60</v>
      </c>
      <c r="D7" s="106" t="s">
        <v>9</v>
      </c>
      <c r="E7" s="104" t="s">
        <v>35</v>
      </c>
      <c r="F7" s="121" t="s">
        <v>12</v>
      </c>
      <c r="G7" s="122"/>
      <c r="H7" s="123"/>
      <c r="I7" s="106" t="s">
        <v>63</v>
      </c>
      <c r="J7" s="104" t="s">
        <v>15</v>
      </c>
      <c r="K7" s="104" t="s">
        <v>135</v>
      </c>
      <c r="L7" s="121" t="s">
        <v>17</v>
      </c>
      <c r="M7" s="122"/>
      <c r="N7" s="123"/>
      <c r="O7" s="106" t="s">
        <v>64</v>
      </c>
      <c r="P7" s="104" t="s">
        <v>18</v>
      </c>
      <c r="Q7" s="104" t="s">
        <v>136</v>
      </c>
      <c r="R7" s="104" t="s">
        <v>137</v>
      </c>
      <c r="S7" s="104" t="s">
        <v>139</v>
      </c>
      <c r="T7" s="104" t="s">
        <v>138</v>
      </c>
      <c r="U7" s="104" t="s">
        <v>65</v>
      </c>
      <c r="V7" s="110" t="s">
        <v>68</v>
      </c>
      <c r="W7" s="111"/>
      <c r="X7" s="112"/>
      <c r="Y7" s="104" t="s">
        <v>67</v>
      </c>
      <c r="Z7" s="104" t="s">
        <v>142</v>
      </c>
      <c r="AA7" s="106" t="s">
        <v>20</v>
      </c>
      <c r="AB7" s="108" t="s">
        <v>21</v>
      </c>
      <c r="AD7" s="19"/>
    </row>
    <row r="8" spans="2:35" ht="38.25" customHeight="1">
      <c r="B8" s="119"/>
      <c r="C8" s="105"/>
      <c r="D8" s="107"/>
      <c r="E8" s="120"/>
      <c r="F8" s="23" t="s">
        <v>76</v>
      </c>
      <c r="G8" s="23" t="s">
        <v>61</v>
      </c>
      <c r="H8" s="24" t="s">
        <v>62</v>
      </c>
      <c r="I8" s="107"/>
      <c r="J8" s="105"/>
      <c r="K8" s="105"/>
      <c r="L8" s="23" t="s">
        <v>76</v>
      </c>
      <c r="M8" s="23" t="s">
        <v>61</v>
      </c>
      <c r="N8" s="23" t="s">
        <v>62</v>
      </c>
      <c r="O8" s="107"/>
      <c r="P8" s="105"/>
      <c r="Q8" s="105"/>
      <c r="R8" s="105"/>
      <c r="S8" s="105"/>
      <c r="T8" s="105"/>
      <c r="U8" s="105"/>
      <c r="V8" s="29" t="s">
        <v>66</v>
      </c>
      <c r="W8" s="30" t="s">
        <v>140</v>
      </c>
      <c r="X8" s="30" t="s">
        <v>141</v>
      </c>
      <c r="Y8" s="105"/>
      <c r="Z8" s="105"/>
      <c r="AA8" s="107"/>
      <c r="AB8" s="109"/>
    </row>
    <row r="9" spans="2:35" s="19" customFormat="1">
      <c r="B9" s="40">
        <v>0.38541666666666669</v>
      </c>
      <c r="C9" s="40" t="s">
        <v>246</v>
      </c>
      <c r="D9" s="41">
        <v>8</v>
      </c>
      <c r="E9" s="42">
        <v>2</v>
      </c>
      <c r="F9" s="42" t="s">
        <v>220</v>
      </c>
      <c r="G9" s="43" t="s">
        <v>154</v>
      </c>
      <c r="H9" s="42" t="s">
        <v>160</v>
      </c>
      <c r="I9" s="43">
        <v>2</v>
      </c>
      <c r="J9" s="43">
        <v>2</v>
      </c>
      <c r="K9" s="25" t="str">
        <f>VLOOKUP(J9,Key!$E$2:$F$9,2,FALSE)</f>
        <v>Work</v>
      </c>
      <c r="L9" s="42" t="s">
        <v>247</v>
      </c>
      <c r="M9" s="43" t="s">
        <v>154</v>
      </c>
      <c r="N9" s="42" t="s">
        <v>160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7"/>
      <c r="T9" s="47">
        <v>1</v>
      </c>
      <c r="U9" s="43">
        <v>2</v>
      </c>
      <c r="V9" s="43">
        <v>11</v>
      </c>
      <c r="W9" s="47"/>
      <c r="X9" s="47"/>
      <c r="Y9" s="48" t="s">
        <v>162</v>
      </c>
      <c r="Z9" s="49"/>
      <c r="AA9" s="25"/>
      <c r="AB9" s="25"/>
    </row>
    <row r="10" spans="2:35">
      <c r="B10" s="40">
        <v>1.7361111111111112E-2</v>
      </c>
      <c r="C10" s="40" t="s">
        <v>248</v>
      </c>
      <c r="D10" s="41">
        <v>7</v>
      </c>
      <c r="E10" s="42">
        <v>3</v>
      </c>
      <c r="F10" s="42" t="s">
        <v>249</v>
      </c>
      <c r="G10" s="43" t="s">
        <v>154</v>
      </c>
      <c r="H10" s="42" t="s">
        <v>160</v>
      </c>
      <c r="I10" s="43">
        <v>9</v>
      </c>
      <c r="J10" s="43">
        <v>4</v>
      </c>
      <c r="K10" s="25" t="str">
        <f>VLOOKUP(J10,Key!$E$2:$F$9,2,FALSE)</f>
        <v>Commercial</v>
      </c>
      <c r="L10" s="42" t="s">
        <v>183</v>
      </c>
      <c r="M10" s="43" t="s">
        <v>164</v>
      </c>
      <c r="N10" s="42" t="s">
        <v>160</v>
      </c>
      <c r="O10" s="43">
        <v>3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Commercial-Commercial</v>
      </c>
      <c r="S10" s="47">
        <v>34</v>
      </c>
      <c r="T10" s="47">
        <v>2</v>
      </c>
      <c r="U10" s="43"/>
      <c r="V10" s="43">
        <v>1</v>
      </c>
      <c r="W10" s="47">
        <v>10</v>
      </c>
      <c r="X10" s="47"/>
      <c r="Y10" s="48" t="s">
        <v>162</v>
      </c>
      <c r="Z10" s="49"/>
      <c r="AA10" s="25"/>
      <c r="AB10" s="25"/>
    </row>
    <row r="11" spans="2:35">
      <c r="B11" s="40">
        <v>2.7777777777777776E-2</v>
      </c>
      <c r="C11" s="40" t="s">
        <v>250</v>
      </c>
      <c r="D11" s="41">
        <v>4</v>
      </c>
      <c r="E11" s="42">
        <v>14</v>
      </c>
      <c r="F11" s="42" t="s">
        <v>155</v>
      </c>
      <c r="G11" s="43" t="s">
        <v>155</v>
      </c>
      <c r="H11" s="42" t="s">
        <v>160</v>
      </c>
      <c r="I11" s="43">
        <v>16</v>
      </c>
      <c r="J11" s="43">
        <v>2</v>
      </c>
      <c r="K11" s="25" t="str">
        <f>VLOOKUP(J11,Key!$E$2:$F$9,2,FALSE)</f>
        <v>Work</v>
      </c>
      <c r="L11" s="42" t="s">
        <v>164</v>
      </c>
      <c r="M11" s="43" t="s">
        <v>164</v>
      </c>
      <c r="N11" s="42" t="s">
        <v>160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7">
        <v>20</v>
      </c>
      <c r="T11" s="47">
        <v>1</v>
      </c>
      <c r="U11" s="43">
        <v>6</v>
      </c>
      <c r="V11" s="43"/>
      <c r="W11" s="47"/>
      <c r="X11" s="47"/>
      <c r="Y11" s="48" t="s">
        <v>162</v>
      </c>
      <c r="Z11" s="49"/>
      <c r="AA11" s="25"/>
      <c r="AB11" s="25"/>
    </row>
    <row r="12" spans="2:35">
      <c r="B12" s="40">
        <v>0.59652777777777777</v>
      </c>
      <c r="C12" s="40" t="s">
        <v>251</v>
      </c>
      <c r="D12" s="41">
        <v>1</v>
      </c>
      <c r="E12" s="42">
        <v>3</v>
      </c>
      <c r="F12" s="42" t="s">
        <v>252</v>
      </c>
      <c r="G12" s="43" t="s">
        <v>155</v>
      </c>
      <c r="H12" s="42" t="s">
        <v>160</v>
      </c>
      <c r="I12" s="43">
        <v>1</v>
      </c>
      <c r="J12" s="43">
        <v>1</v>
      </c>
      <c r="K12" s="25" t="str">
        <f>VLOOKUP(J12,Key!$E$2:$F$9,2,FALSE)</f>
        <v>Home</v>
      </c>
      <c r="L12" s="42" t="s">
        <v>164</v>
      </c>
      <c r="M12" s="43" t="s">
        <v>164</v>
      </c>
      <c r="N12" s="42" t="s">
        <v>160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47">
        <v>20</v>
      </c>
      <c r="T12" s="47">
        <v>1.5</v>
      </c>
      <c r="U12" s="43">
        <v>2</v>
      </c>
      <c r="V12" s="43"/>
      <c r="W12" s="47"/>
      <c r="X12" s="47"/>
      <c r="Y12" s="48" t="s">
        <v>218</v>
      </c>
      <c r="Z12" s="49"/>
      <c r="AA12" s="25"/>
      <c r="AB12" s="25"/>
    </row>
    <row r="13" spans="2:35">
      <c r="B13" s="40">
        <v>0.59375</v>
      </c>
      <c r="C13" s="40" t="s">
        <v>253</v>
      </c>
      <c r="D13" s="41">
        <v>4</v>
      </c>
      <c r="E13" s="42">
        <v>14</v>
      </c>
      <c r="F13" s="42" t="s">
        <v>155</v>
      </c>
      <c r="G13" s="43" t="s">
        <v>155</v>
      </c>
      <c r="H13" s="42" t="s">
        <v>160</v>
      </c>
      <c r="I13" s="43">
        <v>6</v>
      </c>
      <c r="J13" s="43">
        <v>2</v>
      </c>
      <c r="K13" s="25" t="str">
        <f>VLOOKUP(J13,Key!$E$2:$F$9,2,FALSE)</f>
        <v>Work</v>
      </c>
      <c r="L13" s="42" t="s">
        <v>154</v>
      </c>
      <c r="M13" s="43" t="s">
        <v>154</v>
      </c>
      <c r="N13" s="42" t="s">
        <v>160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47">
        <v>32</v>
      </c>
      <c r="T13" s="47">
        <v>1</v>
      </c>
      <c r="U13" s="43">
        <v>1</v>
      </c>
      <c r="V13" s="43"/>
      <c r="W13" s="47"/>
      <c r="X13" s="47"/>
      <c r="Y13" s="48" t="s">
        <v>162</v>
      </c>
      <c r="Z13" s="49"/>
      <c r="AA13" s="25"/>
      <c r="AB13" s="25"/>
    </row>
    <row r="14" spans="2:35">
      <c r="B14" s="40">
        <v>0.45763888888888887</v>
      </c>
      <c r="C14" s="40" t="s">
        <v>254</v>
      </c>
      <c r="D14" s="41">
        <v>2</v>
      </c>
      <c r="E14" s="42">
        <v>4</v>
      </c>
      <c r="F14" s="42" t="s">
        <v>155</v>
      </c>
      <c r="G14" s="43" t="s">
        <v>155</v>
      </c>
      <c r="H14" s="42" t="s">
        <v>160</v>
      </c>
      <c r="I14" s="43">
        <v>1</v>
      </c>
      <c r="J14" s="43">
        <v>1</v>
      </c>
      <c r="K14" s="25" t="str">
        <f>VLOOKUP(J14,Key!$E$2:$F$9,2,FALSE)</f>
        <v>Home</v>
      </c>
      <c r="L14" s="42" t="s">
        <v>154</v>
      </c>
      <c r="M14" s="43" t="s">
        <v>154</v>
      </c>
      <c r="N14" s="42" t="s">
        <v>160</v>
      </c>
      <c r="O14" s="43">
        <v>5</v>
      </c>
      <c r="P14" s="43">
        <v>7</v>
      </c>
      <c r="Q14" s="25" t="str">
        <f>VLOOKUP(P14,Key!$E$2:$F$9,2,FALSE)</f>
        <v>Hospital</v>
      </c>
      <c r="R14" s="25" t="str">
        <f t="shared" si="0"/>
        <v>Home-Hospital</v>
      </c>
      <c r="S14" s="47">
        <v>32</v>
      </c>
      <c r="T14" s="47">
        <v>1</v>
      </c>
      <c r="U14" s="43">
        <v>6</v>
      </c>
      <c r="V14" s="43"/>
      <c r="W14" s="47"/>
      <c r="X14" s="47"/>
      <c r="Y14" s="48" t="s">
        <v>162</v>
      </c>
      <c r="Z14" s="49"/>
      <c r="AA14" s="25"/>
      <c r="AB14" s="25"/>
    </row>
    <row r="15" spans="2:35">
      <c r="B15" s="40">
        <v>0.4548611111111111</v>
      </c>
      <c r="C15" s="40" t="s">
        <v>255</v>
      </c>
      <c r="D15" s="41">
        <v>1</v>
      </c>
      <c r="E15" s="42">
        <v>1</v>
      </c>
      <c r="F15" s="42" t="s">
        <v>155</v>
      </c>
      <c r="G15" s="43" t="s">
        <v>155</v>
      </c>
      <c r="H15" s="42" t="s">
        <v>160</v>
      </c>
      <c r="I15" s="43">
        <v>1</v>
      </c>
      <c r="J15" s="43">
        <v>1</v>
      </c>
      <c r="K15" s="25" t="str">
        <f>VLOOKUP(J15,Key!$E$2:$F$9,2,FALSE)</f>
        <v>Home</v>
      </c>
      <c r="L15" s="42" t="s">
        <v>154</v>
      </c>
      <c r="M15" s="43" t="s">
        <v>154</v>
      </c>
      <c r="N15" s="42" t="s">
        <v>160</v>
      </c>
      <c r="O15" s="43">
        <v>16</v>
      </c>
      <c r="P15" s="43">
        <v>8</v>
      </c>
      <c r="Q15" s="25" t="str">
        <f>VLOOKUP(P15,Key!$E$2:$F$9,2,FALSE)</f>
        <v>Others</v>
      </c>
      <c r="R15" s="25" t="str">
        <f t="shared" si="0"/>
        <v>Home-Others</v>
      </c>
      <c r="S15" s="47">
        <v>32</v>
      </c>
      <c r="T15" s="47">
        <v>1</v>
      </c>
      <c r="U15" s="43">
        <v>4</v>
      </c>
      <c r="V15" s="43"/>
      <c r="W15" s="47"/>
      <c r="X15" s="47"/>
      <c r="Y15" s="48" t="s">
        <v>162</v>
      </c>
      <c r="Z15" s="49"/>
      <c r="AA15" s="25"/>
      <c r="AB15" s="25"/>
    </row>
    <row r="16" spans="2:35">
      <c r="B16" s="40">
        <v>0.3743055555555555</v>
      </c>
      <c r="C16" s="40" t="s">
        <v>256</v>
      </c>
      <c r="D16" s="41">
        <v>1</v>
      </c>
      <c r="E16" s="42">
        <v>4</v>
      </c>
      <c r="F16" s="42" t="s">
        <v>257</v>
      </c>
      <c r="G16" s="43" t="s">
        <v>155</v>
      </c>
      <c r="H16" s="42" t="s">
        <v>160</v>
      </c>
      <c r="I16" s="43">
        <v>1</v>
      </c>
      <c r="J16" s="43">
        <v>1</v>
      </c>
      <c r="K16" s="25" t="str">
        <f>VLOOKUP(J16,Key!$E$2:$F$9,2,FALSE)</f>
        <v>Home</v>
      </c>
      <c r="L16" s="42" t="s">
        <v>243</v>
      </c>
      <c r="M16" s="43" t="s">
        <v>243</v>
      </c>
      <c r="N16" s="42" t="s">
        <v>160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Home-Home</v>
      </c>
      <c r="S16" s="47"/>
      <c r="T16" s="47">
        <v>1</v>
      </c>
      <c r="U16" s="43">
        <v>5</v>
      </c>
      <c r="V16" s="43"/>
      <c r="W16" s="47"/>
      <c r="X16" s="47"/>
      <c r="Y16" s="48" t="s">
        <v>162</v>
      </c>
      <c r="Z16" s="49"/>
      <c r="AA16" s="25"/>
      <c r="AB16" s="25"/>
    </row>
    <row r="17" spans="2:28">
      <c r="B17" s="40">
        <v>0.37152777777777773</v>
      </c>
      <c r="C17" s="40" t="s">
        <v>258</v>
      </c>
      <c r="D17" s="41">
        <v>11</v>
      </c>
      <c r="E17" s="42">
        <v>2</v>
      </c>
      <c r="F17" s="42" t="s">
        <v>259</v>
      </c>
      <c r="G17" s="43" t="s">
        <v>155</v>
      </c>
      <c r="H17" s="42" t="s">
        <v>160</v>
      </c>
      <c r="I17" s="43">
        <v>1</v>
      </c>
      <c r="J17" s="43">
        <v>1</v>
      </c>
      <c r="K17" s="25" t="str">
        <f>VLOOKUP(J17,Key!$E$2:$F$9,2,FALSE)</f>
        <v>Home</v>
      </c>
      <c r="L17" s="42" t="s">
        <v>154</v>
      </c>
      <c r="M17" s="43" t="s">
        <v>154</v>
      </c>
      <c r="N17" s="42" t="s">
        <v>160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47">
        <v>16</v>
      </c>
      <c r="T17" s="47">
        <v>0.5</v>
      </c>
      <c r="U17" s="43">
        <v>2</v>
      </c>
      <c r="V17" s="43"/>
      <c r="W17" s="47"/>
      <c r="X17" s="47"/>
      <c r="Y17" s="48" t="s">
        <v>162</v>
      </c>
      <c r="Z17" s="49"/>
      <c r="AA17" s="25"/>
      <c r="AB17" s="25"/>
    </row>
    <row r="18" spans="2:28">
      <c r="B18" s="40">
        <v>0.60347222222222219</v>
      </c>
      <c r="C18" s="40" t="s">
        <v>260</v>
      </c>
      <c r="D18" s="41">
        <v>2</v>
      </c>
      <c r="E18" s="42">
        <v>4</v>
      </c>
      <c r="F18" s="42" t="s">
        <v>261</v>
      </c>
      <c r="G18" s="43" t="s">
        <v>155</v>
      </c>
      <c r="H18" s="42" t="s">
        <v>160</v>
      </c>
      <c r="I18" s="43">
        <v>1</v>
      </c>
      <c r="J18" s="43">
        <v>1</v>
      </c>
      <c r="K18" s="25" t="str">
        <f>VLOOKUP(J18,Key!$E$2:$F$9,2,FALSE)</f>
        <v>Home</v>
      </c>
      <c r="L18" s="42" t="s">
        <v>164</v>
      </c>
      <c r="M18" s="43" t="s">
        <v>164</v>
      </c>
      <c r="N18" s="42" t="s">
        <v>160</v>
      </c>
      <c r="O18" s="43">
        <v>2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47">
        <v>36</v>
      </c>
      <c r="T18" s="47">
        <v>2</v>
      </c>
      <c r="U18" s="43">
        <v>2</v>
      </c>
      <c r="V18" s="43"/>
      <c r="W18" s="47"/>
      <c r="X18" s="47"/>
      <c r="Y18" s="48" t="s">
        <v>162</v>
      </c>
      <c r="Z18" s="49"/>
      <c r="AA18" s="25"/>
      <c r="AB18" s="25"/>
    </row>
    <row r="19" spans="2:28">
      <c r="B19" s="40">
        <v>0.61805555555555558</v>
      </c>
      <c r="C19" s="40" t="s">
        <v>262</v>
      </c>
      <c r="D19" s="41">
        <v>11</v>
      </c>
      <c r="E19" s="42">
        <v>3</v>
      </c>
      <c r="F19" s="42" t="s">
        <v>263</v>
      </c>
      <c r="G19" s="43" t="s">
        <v>154</v>
      </c>
      <c r="H19" s="42" t="s">
        <v>160</v>
      </c>
      <c r="I19" s="43">
        <v>8</v>
      </c>
      <c r="J19" s="43">
        <v>2</v>
      </c>
      <c r="K19" s="25" t="str">
        <f>VLOOKUP(J19,Key!$E$2:$F$9,2,FALSE)</f>
        <v>Work</v>
      </c>
      <c r="L19" s="42" t="s">
        <v>154</v>
      </c>
      <c r="M19" s="43" t="s">
        <v>154</v>
      </c>
      <c r="N19" s="42" t="s">
        <v>160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7"/>
      <c r="T19" s="47">
        <v>0.2</v>
      </c>
      <c r="U19" s="43">
        <v>2</v>
      </c>
      <c r="V19" s="43"/>
      <c r="W19" s="47"/>
      <c r="X19" s="47"/>
      <c r="Y19" s="48" t="s">
        <v>162</v>
      </c>
      <c r="Z19" s="49"/>
      <c r="AA19" s="25"/>
      <c r="AB19" s="25"/>
    </row>
    <row r="20" spans="2:28">
      <c r="B20" s="40">
        <v>0.71250000000000002</v>
      </c>
      <c r="C20" s="40" t="s">
        <v>264</v>
      </c>
      <c r="D20" s="41">
        <v>8</v>
      </c>
      <c r="E20" s="42">
        <v>2</v>
      </c>
      <c r="F20" s="42" t="s">
        <v>265</v>
      </c>
      <c r="G20" s="43" t="s">
        <v>154</v>
      </c>
      <c r="H20" s="42" t="s">
        <v>160</v>
      </c>
      <c r="I20" s="43">
        <v>9</v>
      </c>
      <c r="J20" s="43">
        <v>2</v>
      </c>
      <c r="K20" s="25" t="str">
        <f>VLOOKUP(J20,Key!$E$2:$F$9,2,FALSE)</f>
        <v>Work</v>
      </c>
      <c r="L20" s="42" t="s">
        <v>154</v>
      </c>
      <c r="M20" s="43" t="s">
        <v>154</v>
      </c>
      <c r="N20" s="42" t="s">
        <v>160</v>
      </c>
      <c r="O20" s="43">
        <v>3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7"/>
      <c r="T20" s="47">
        <v>0.5</v>
      </c>
      <c r="U20" s="43"/>
      <c r="V20" s="43"/>
      <c r="W20" s="47"/>
      <c r="X20" s="47"/>
      <c r="Y20" s="48" t="s">
        <v>162</v>
      </c>
      <c r="Z20" s="49"/>
      <c r="AA20" s="25"/>
      <c r="AB20" s="25"/>
    </row>
    <row r="21" spans="2:28">
      <c r="B21" s="40">
        <v>0.72222222222222221</v>
      </c>
      <c r="C21" s="40" t="s">
        <v>266</v>
      </c>
      <c r="D21" s="41">
        <v>2</v>
      </c>
      <c r="E21" s="42">
        <v>1</v>
      </c>
      <c r="F21" s="42" t="s">
        <v>155</v>
      </c>
      <c r="G21" s="43" t="s">
        <v>155</v>
      </c>
      <c r="H21" s="42" t="s">
        <v>160</v>
      </c>
      <c r="I21" s="43">
        <v>1</v>
      </c>
      <c r="J21" s="43">
        <v>1</v>
      </c>
      <c r="K21" s="25" t="str">
        <f>VLOOKUP(J21,Key!$E$2:$F$9,2,FALSE)</f>
        <v>Home</v>
      </c>
      <c r="L21" s="42" t="s">
        <v>154</v>
      </c>
      <c r="M21" s="43" t="s">
        <v>154</v>
      </c>
      <c r="N21" s="42" t="s">
        <v>160</v>
      </c>
      <c r="O21" s="43">
        <v>4</v>
      </c>
      <c r="P21" s="43">
        <v>3</v>
      </c>
      <c r="Q21" s="25" t="str">
        <f>VLOOKUP(P21,Key!$E$2:$F$9,2,FALSE)</f>
        <v>Study</v>
      </c>
      <c r="R21" s="25" t="str">
        <f t="shared" si="0"/>
        <v>Home-Study</v>
      </c>
      <c r="S21" s="47">
        <v>30</v>
      </c>
      <c r="T21" s="47">
        <v>1</v>
      </c>
      <c r="U21" s="43">
        <v>2</v>
      </c>
      <c r="V21" s="43"/>
      <c r="W21" s="47"/>
      <c r="X21" s="47"/>
      <c r="Y21" s="48" t="s">
        <v>162</v>
      </c>
      <c r="Z21" s="49"/>
      <c r="AA21" s="25"/>
      <c r="AB21" s="25"/>
    </row>
    <row r="22" spans="2:28">
      <c r="B22" s="40">
        <v>0.70138888888888884</v>
      </c>
      <c r="C22" s="40" t="s">
        <v>267</v>
      </c>
      <c r="D22" s="41">
        <v>4</v>
      </c>
      <c r="E22" s="42">
        <v>14</v>
      </c>
      <c r="F22" s="42" t="s">
        <v>155</v>
      </c>
      <c r="G22" s="43" t="s">
        <v>155</v>
      </c>
      <c r="H22" s="42" t="s">
        <v>160</v>
      </c>
      <c r="I22" s="43">
        <v>6</v>
      </c>
      <c r="J22" s="43">
        <v>2</v>
      </c>
      <c r="K22" s="25" t="str">
        <f>VLOOKUP(J22,Key!$E$2:$F$9,2,FALSE)</f>
        <v>Work</v>
      </c>
      <c r="L22" s="42" t="s">
        <v>154</v>
      </c>
      <c r="M22" s="43" t="s">
        <v>154</v>
      </c>
      <c r="N22" s="42" t="s">
        <v>160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47">
        <v>32</v>
      </c>
      <c r="T22" s="47">
        <v>1.5</v>
      </c>
      <c r="U22" s="43">
        <v>2</v>
      </c>
      <c r="V22" s="43"/>
      <c r="W22" s="47"/>
      <c r="X22" s="47"/>
      <c r="Y22" s="48" t="s">
        <v>162</v>
      </c>
      <c r="Z22" s="49"/>
      <c r="AA22" s="25"/>
      <c r="AB22" s="25"/>
    </row>
    <row r="23" spans="2:28">
      <c r="B23" s="40">
        <v>0.69097222222222221</v>
      </c>
      <c r="C23" s="40" t="s">
        <v>268</v>
      </c>
      <c r="D23" s="41">
        <v>11</v>
      </c>
      <c r="E23" s="42">
        <v>3</v>
      </c>
      <c r="F23" s="42" t="s">
        <v>220</v>
      </c>
      <c r="G23" s="43" t="s">
        <v>154</v>
      </c>
      <c r="H23" s="42" t="s">
        <v>160</v>
      </c>
      <c r="I23" s="43">
        <v>8</v>
      </c>
      <c r="J23" s="43">
        <v>2</v>
      </c>
      <c r="K23" s="25" t="str">
        <f>VLOOKUP(J23,Key!$E$2:$F$9,2,FALSE)</f>
        <v>Work</v>
      </c>
      <c r="L23" s="42" t="s">
        <v>154</v>
      </c>
      <c r="M23" s="43" t="s">
        <v>154</v>
      </c>
      <c r="N23" s="42" t="s">
        <v>160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7"/>
      <c r="T23" s="47">
        <v>0.3</v>
      </c>
      <c r="U23" s="43">
        <v>2</v>
      </c>
      <c r="V23" s="43"/>
      <c r="W23" s="47"/>
      <c r="X23" s="47"/>
      <c r="Y23" s="48" t="s">
        <v>162</v>
      </c>
      <c r="Z23" s="49"/>
      <c r="AA23" s="25"/>
      <c r="AB23" s="25"/>
    </row>
    <row r="24" spans="2:28">
      <c r="B24" s="40">
        <v>0.67361111111111116</v>
      </c>
      <c r="C24" s="40" t="s">
        <v>269</v>
      </c>
      <c r="D24" s="41">
        <v>5</v>
      </c>
      <c r="E24" s="42">
        <v>32</v>
      </c>
      <c r="F24" s="42" t="s">
        <v>155</v>
      </c>
      <c r="G24" s="43" t="s">
        <v>155</v>
      </c>
      <c r="H24" s="42" t="s">
        <v>160</v>
      </c>
      <c r="I24" s="43">
        <v>6</v>
      </c>
      <c r="J24" s="43">
        <v>2</v>
      </c>
      <c r="K24" s="25" t="str">
        <f>VLOOKUP(J24,Key!$E$2:$F$9,2,FALSE)</f>
        <v>Work</v>
      </c>
      <c r="L24" s="42" t="s">
        <v>168</v>
      </c>
      <c r="M24" s="43" t="s">
        <v>168</v>
      </c>
      <c r="N24" s="42" t="s">
        <v>160</v>
      </c>
      <c r="O24" s="43">
        <v>6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47">
        <v>135</v>
      </c>
      <c r="T24" s="47">
        <v>4</v>
      </c>
      <c r="U24" s="43">
        <v>2</v>
      </c>
      <c r="V24" s="43"/>
      <c r="W24" s="47"/>
      <c r="X24" s="47"/>
      <c r="Y24" s="48" t="s">
        <v>162</v>
      </c>
      <c r="Z24" s="49"/>
      <c r="AA24" s="25"/>
      <c r="AB24" s="25"/>
    </row>
    <row r="25" spans="2:28">
      <c r="B25" s="40">
        <v>0.68055555555555547</v>
      </c>
      <c r="C25" s="40" t="s">
        <v>270</v>
      </c>
      <c r="D25" s="41">
        <v>2</v>
      </c>
      <c r="E25" s="42">
        <v>5</v>
      </c>
      <c r="F25" s="42" t="s">
        <v>261</v>
      </c>
      <c r="G25" s="43" t="s">
        <v>155</v>
      </c>
      <c r="H25" s="42" t="s">
        <v>160</v>
      </c>
      <c r="I25" s="43">
        <v>1</v>
      </c>
      <c r="J25" s="43">
        <v>1</v>
      </c>
      <c r="K25" s="25" t="str">
        <f>VLOOKUP(J25,Key!$E$2:$F$9,2,FALSE)</f>
        <v>Home</v>
      </c>
      <c r="L25" s="42" t="s">
        <v>154</v>
      </c>
      <c r="M25" s="43" t="s">
        <v>154</v>
      </c>
      <c r="N25" s="42" t="s">
        <v>160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Home-Home</v>
      </c>
      <c r="S25" s="47"/>
      <c r="T25" s="47">
        <v>0.5</v>
      </c>
      <c r="U25" s="43">
        <v>6</v>
      </c>
      <c r="V25" s="43"/>
      <c r="W25" s="47"/>
      <c r="X25" s="47"/>
      <c r="Y25" s="48" t="s">
        <v>162</v>
      </c>
      <c r="Z25" s="49"/>
      <c r="AA25" s="25"/>
      <c r="AB25" s="25"/>
    </row>
    <row r="26" spans="2:28">
      <c r="B26" s="40">
        <v>0.43124999999999997</v>
      </c>
      <c r="C26" s="40" t="s">
        <v>271</v>
      </c>
      <c r="D26" s="41">
        <v>4</v>
      </c>
      <c r="E26" s="42">
        <v>14</v>
      </c>
      <c r="F26" s="42" t="s">
        <v>155</v>
      </c>
      <c r="G26" s="43" t="s">
        <v>155</v>
      </c>
      <c r="H26" s="42" t="s">
        <v>160</v>
      </c>
      <c r="I26" s="43">
        <v>1</v>
      </c>
      <c r="J26" s="43">
        <v>1</v>
      </c>
      <c r="K26" s="25" t="str">
        <f>VLOOKUP(J26,Key!$E$2:$F$9,2,FALSE)</f>
        <v>Home</v>
      </c>
      <c r="L26" s="42" t="s">
        <v>164</v>
      </c>
      <c r="M26" s="43" t="s">
        <v>164</v>
      </c>
      <c r="N26" s="42" t="s">
        <v>160</v>
      </c>
      <c r="O26" s="43">
        <v>16</v>
      </c>
      <c r="P26" s="43">
        <v>8</v>
      </c>
      <c r="Q26" s="25" t="str">
        <f>VLOOKUP(P26,Key!$E$2:$F$9,2,FALSE)</f>
        <v>Others</v>
      </c>
      <c r="R26" s="25" t="str">
        <f t="shared" si="0"/>
        <v>Home-Others</v>
      </c>
      <c r="S26" s="47">
        <v>78</v>
      </c>
      <c r="T26" s="47">
        <v>1.5</v>
      </c>
      <c r="U26" s="43">
        <v>2</v>
      </c>
      <c r="V26" s="43"/>
      <c r="W26" s="47"/>
      <c r="X26" s="47"/>
      <c r="Y26" s="48" t="s">
        <v>218</v>
      </c>
      <c r="Z26" s="49"/>
      <c r="AA26" s="25"/>
      <c r="AB26" s="25"/>
    </row>
    <row r="27" spans="2:28">
      <c r="B27" s="40">
        <v>0.38958333333333334</v>
      </c>
      <c r="C27" s="40" t="s">
        <v>272</v>
      </c>
      <c r="D27" s="41">
        <v>11</v>
      </c>
      <c r="E27" s="42">
        <v>3</v>
      </c>
      <c r="F27" s="42" t="s">
        <v>220</v>
      </c>
      <c r="G27" s="43" t="s">
        <v>154</v>
      </c>
      <c r="H27" s="42" t="s">
        <v>160</v>
      </c>
      <c r="I27" s="43">
        <v>2</v>
      </c>
      <c r="J27" s="43">
        <v>2</v>
      </c>
      <c r="K27" s="25" t="str">
        <f>VLOOKUP(J27,Key!$E$2:$F$9,2,FALSE)</f>
        <v>Work</v>
      </c>
      <c r="L27" s="42" t="s">
        <v>154</v>
      </c>
      <c r="M27" s="43" t="s">
        <v>154</v>
      </c>
      <c r="N27" s="42" t="s">
        <v>160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7"/>
      <c r="T27" s="47">
        <v>0.3</v>
      </c>
      <c r="U27" s="43">
        <v>2</v>
      </c>
      <c r="V27" s="43"/>
      <c r="W27" s="47"/>
      <c r="X27" s="47"/>
      <c r="Y27" s="48" t="s">
        <v>162</v>
      </c>
      <c r="Z27" s="49"/>
      <c r="AA27" s="25"/>
      <c r="AB27" s="25"/>
    </row>
    <row r="28" spans="2:28">
      <c r="B28" s="40">
        <v>0.39930555555555558</v>
      </c>
      <c r="C28" s="40" t="s">
        <v>273</v>
      </c>
      <c r="D28" s="41">
        <v>1</v>
      </c>
      <c r="E28" s="42">
        <v>6</v>
      </c>
      <c r="F28" s="42" t="s">
        <v>155</v>
      </c>
      <c r="G28" s="43" t="s">
        <v>155</v>
      </c>
      <c r="H28" s="42" t="s">
        <v>160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154</v>
      </c>
      <c r="M28" s="43" t="s">
        <v>154</v>
      </c>
      <c r="N28" s="42" t="s">
        <v>160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7">
        <v>34</v>
      </c>
      <c r="T28" s="47">
        <v>1</v>
      </c>
      <c r="U28" s="43">
        <v>2</v>
      </c>
      <c r="V28" s="43"/>
      <c r="W28" s="47"/>
      <c r="X28" s="47"/>
      <c r="Y28" s="48" t="s">
        <v>162</v>
      </c>
      <c r="Z28" s="49"/>
      <c r="AA28" s="25"/>
      <c r="AB28" s="25"/>
    </row>
    <row r="29" spans="2:28">
      <c r="B29" s="40">
        <v>0.74930555555555556</v>
      </c>
      <c r="C29" s="40" t="s">
        <v>274</v>
      </c>
      <c r="D29" s="41">
        <v>1</v>
      </c>
      <c r="E29" s="42">
        <v>2</v>
      </c>
      <c r="F29" s="42" t="s">
        <v>155</v>
      </c>
      <c r="G29" s="43" t="s">
        <v>155</v>
      </c>
      <c r="H29" s="42" t="s">
        <v>160</v>
      </c>
      <c r="I29" s="43">
        <v>2</v>
      </c>
      <c r="J29" s="43">
        <v>2</v>
      </c>
      <c r="K29" s="25" t="str">
        <f>VLOOKUP(J29,Key!$E$2:$F$9,2,FALSE)</f>
        <v>Work</v>
      </c>
      <c r="L29" s="42" t="s">
        <v>154</v>
      </c>
      <c r="M29" s="43" t="s">
        <v>154</v>
      </c>
      <c r="N29" s="42" t="s">
        <v>160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47">
        <v>32</v>
      </c>
      <c r="T29" s="47">
        <v>1</v>
      </c>
      <c r="U29" s="43">
        <v>2</v>
      </c>
      <c r="V29" s="43"/>
      <c r="W29" s="47"/>
      <c r="X29" s="47"/>
      <c r="Y29" s="48" t="s">
        <v>162</v>
      </c>
      <c r="Z29" s="49"/>
      <c r="AA29" s="25"/>
      <c r="AB29" s="25"/>
    </row>
    <row r="30" spans="2:28">
      <c r="B30" s="40">
        <v>0.74861111111111101</v>
      </c>
      <c r="C30" s="40" t="s">
        <v>275</v>
      </c>
      <c r="D30" s="41">
        <v>11</v>
      </c>
      <c r="E30" s="42">
        <v>3</v>
      </c>
      <c r="F30" s="42" t="s">
        <v>276</v>
      </c>
      <c r="G30" s="43" t="s">
        <v>154</v>
      </c>
      <c r="H30" s="42" t="s">
        <v>160</v>
      </c>
      <c r="I30" s="43">
        <v>8</v>
      </c>
      <c r="J30" s="43">
        <v>2</v>
      </c>
      <c r="K30" s="25" t="str">
        <f>VLOOKUP(J30,Key!$E$2:$F$9,2,FALSE)</f>
        <v>Work</v>
      </c>
      <c r="L30" s="42" t="s">
        <v>154</v>
      </c>
      <c r="M30" s="43" t="s">
        <v>154</v>
      </c>
      <c r="N30" s="42" t="s">
        <v>160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47">
        <v>34</v>
      </c>
      <c r="T30" s="47">
        <v>0.5</v>
      </c>
      <c r="U30" s="43"/>
      <c r="V30" s="43"/>
      <c r="W30" s="47"/>
      <c r="X30" s="47"/>
      <c r="Y30" s="48" t="s">
        <v>162</v>
      </c>
      <c r="Z30" s="49"/>
      <c r="AA30" s="25"/>
      <c r="AB30" s="25"/>
    </row>
    <row r="31" spans="2:28">
      <c r="B31" s="40">
        <v>0.39930555555555558</v>
      </c>
      <c r="C31" s="40" t="s">
        <v>277</v>
      </c>
      <c r="D31" s="41">
        <v>1</v>
      </c>
      <c r="E31" s="42">
        <v>4</v>
      </c>
      <c r="F31" s="42" t="s">
        <v>263</v>
      </c>
      <c r="G31" s="43" t="s">
        <v>154</v>
      </c>
      <c r="H31" s="42" t="s">
        <v>160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154</v>
      </c>
      <c r="M31" s="43" t="s">
        <v>154</v>
      </c>
      <c r="N31" s="42" t="s">
        <v>160</v>
      </c>
      <c r="O31" s="43">
        <v>5</v>
      </c>
      <c r="P31" s="43">
        <v>7</v>
      </c>
      <c r="Q31" s="25" t="str">
        <f>VLOOKUP(P31,Key!$E$2:$F$9,2,FALSE)</f>
        <v>Hospital</v>
      </c>
      <c r="R31" s="25" t="str">
        <f t="shared" si="0"/>
        <v>Home-Hospital</v>
      </c>
      <c r="S31" s="47">
        <v>7</v>
      </c>
      <c r="T31" s="47">
        <v>0.2</v>
      </c>
      <c r="U31" s="43">
        <v>1</v>
      </c>
      <c r="V31" s="43"/>
      <c r="W31" s="47"/>
      <c r="X31" s="47"/>
      <c r="Y31" s="48" t="s">
        <v>162</v>
      </c>
      <c r="Z31" s="49"/>
      <c r="AA31" s="25"/>
      <c r="AB31" s="25"/>
    </row>
    <row r="32" spans="2:28">
      <c r="B32" s="40">
        <v>0.3972222222222222</v>
      </c>
      <c r="C32" s="40" t="s">
        <v>278</v>
      </c>
      <c r="D32" s="41">
        <v>4</v>
      </c>
      <c r="E32" s="42">
        <v>14</v>
      </c>
      <c r="F32" s="42" t="s">
        <v>155</v>
      </c>
      <c r="G32" s="43" t="s">
        <v>155</v>
      </c>
      <c r="H32" s="42" t="s">
        <v>160</v>
      </c>
      <c r="I32" s="43">
        <v>1</v>
      </c>
      <c r="J32" s="43">
        <v>1</v>
      </c>
      <c r="K32" s="25" t="str">
        <f>VLOOKUP(J32,Key!$E$2:$F$9,2,FALSE)</f>
        <v>Home</v>
      </c>
      <c r="L32" s="42" t="s">
        <v>154</v>
      </c>
      <c r="M32" s="43" t="s">
        <v>154</v>
      </c>
      <c r="N32" s="42" t="s">
        <v>160</v>
      </c>
      <c r="O32" s="43">
        <v>6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47">
        <v>32</v>
      </c>
      <c r="T32" s="47">
        <v>0.5</v>
      </c>
      <c r="U32" s="43">
        <v>2</v>
      </c>
      <c r="V32" s="43"/>
      <c r="W32" s="47"/>
      <c r="X32" s="47"/>
      <c r="Y32" s="48" t="s">
        <v>162</v>
      </c>
      <c r="Z32" s="49"/>
      <c r="AA32" s="25"/>
      <c r="AB32" s="25"/>
    </row>
    <row r="33" spans="2:28">
      <c r="B33" s="40">
        <v>0.63541666666666663</v>
      </c>
      <c r="C33" s="40" t="s">
        <v>279</v>
      </c>
      <c r="D33" s="41">
        <v>1</v>
      </c>
      <c r="E33" s="42">
        <v>5</v>
      </c>
      <c r="F33" s="42" t="s">
        <v>280</v>
      </c>
      <c r="G33" s="43" t="s">
        <v>154</v>
      </c>
      <c r="H33" s="42" t="s">
        <v>160</v>
      </c>
      <c r="I33" s="43">
        <v>16</v>
      </c>
      <c r="J33" s="43">
        <v>8</v>
      </c>
      <c r="K33" s="25" t="str">
        <f>VLOOKUP(J33,Key!$E$2:$F$9,2,FALSE)</f>
        <v>Others</v>
      </c>
      <c r="L33" s="42" t="s">
        <v>154</v>
      </c>
      <c r="M33" s="43" t="s">
        <v>154</v>
      </c>
      <c r="N33" s="42" t="s">
        <v>160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Others-Work</v>
      </c>
      <c r="S33" s="47">
        <v>34</v>
      </c>
      <c r="T33" s="47">
        <v>2</v>
      </c>
      <c r="U33" s="43">
        <v>6</v>
      </c>
      <c r="V33" s="43"/>
      <c r="W33" s="47"/>
      <c r="X33" s="47"/>
      <c r="Y33" s="48" t="s">
        <v>162</v>
      </c>
      <c r="Z33" s="49"/>
      <c r="AA33" s="25"/>
      <c r="AB33" s="25"/>
    </row>
    <row r="34" spans="2:28">
      <c r="B34" s="40">
        <v>0.62847222222222221</v>
      </c>
      <c r="C34" s="40" t="s">
        <v>281</v>
      </c>
      <c r="D34" s="41">
        <v>8</v>
      </c>
      <c r="E34" s="42">
        <v>2</v>
      </c>
      <c r="F34" s="42" t="s">
        <v>252</v>
      </c>
      <c r="G34" s="43" t="s">
        <v>155</v>
      </c>
      <c r="H34" s="42" t="s">
        <v>160</v>
      </c>
      <c r="I34" s="43">
        <v>9</v>
      </c>
      <c r="J34" s="43">
        <v>2</v>
      </c>
      <c r="K34" s="25" t="str">
        <f>VLOOKUP(J34,Key!$E$2:$F$9,2,FALSE)</f>
        <v>Work</v>
      </c>
      <c r="L34" s="42" t="s">
        <v>183</v>
      </c>
      <c r="M34" s="43" t="s">
        <v>164</v>
      </c>
      <c r="N34" s="42" t="s">
        <v>160</v>
      </c>
      <c r="O34" s="43">
        <v>3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7"/>
      <c r="T34" s="47">
        <v>1.5</v>
      </c>
      <c r="U34" s="43">
        <v>4</v>
      </c>
      <c r="V34" s="43"/>
      <c r="W34" s="47"/>
      <c r="X34" s="47"/>
      <c r="Y34" s="48" t="s">
        <v>162</v>
      </c>
      <c r="Z34" s="49"/>
      <c r="AA34" s="25"/>
      <c r="AB34" s="25"/>
    </row>
    <row r="35" spans="2:28">
      <c r="B35" s="40">
        <v>0.86458333333333337</v>
      </c>
      <c r="C35" s="40" t="s">
        <v>282</v>
      </c>
      <c r="D35" s="41">
        <v>1</v>
      </c>
      <c r="E35" s="42">
        <v>1</v>
      </c>
      <c r="F35" s="42" t="s">
        <v>263</v>
      </c>
      <c r="G35" s="43" t="s">
        <v>154</v>
      </c>
      <c r="H35" s="42" t="s">
        <v>160</v>
      </c>
      <c r="I35" s="43">
        <v>1</v>
      </c>
      <c r="J35" s="43">
        <v>1</v>
      </c>
      <c r="K35" s="25" t="str">
        <f>VLOOKUP(J35,Key!$E$2:$F$9,2,FALSE)</f>
        <v>Home</v>
      </c>
      <c r="L35" s="42" t="s">
        <v>154</v>
      </c>
      <c r="M35" s="43" t="s">
        <v>154</v>
      </c>
      <c r="N35" s="42" t="s">
        <v>160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47"/>
      <c r="T35" s="47">
        <v>0.2</v>
      </c>
      <c r="U35" s="43"/>
      <c r="V35" s="43"/>
      <c r="W35" s="47"/>
      <c r="X35" s="47"/>
      <c r="Y35" s="48" t="s">
        <v>162</v>
      </c>
      <c r="Z35" s="49"/>
      <c r="AA35" s="25"/>
      <c r="AB35" s="25"/>
    </row>
    <row r="36" spans="2:28">
      <c r="B36" s="40">
        <v>0.8666666666666667</v>
      </c>
      <c r="C36" s="40" t="s">
        <v>283</v>
      </c>
      <c r="D36" s="41">
        <v>5</v>
      </c>
      <c r="E36" s="42">
        <v>14</v>
      </c>
      <c r="F36" s="42" t="s">
        <v>284</v>
      </c>
      <c r="G36" s="43" t="s">
        <v>284</v>
      </c>
      <c r="H36" s="42" t="s">
        <v>160</v>
      </c>
      <c r="I36" s="43">
        <v>6</v>
      </c>
      <c r="J36" s="43">
        <v>2</v>
      </c>
      <c r="K36" s="25" t="str">
        <f>VLOOKUP(J36,Key!$E$2:$F$9,2,FALSE)</f>
        <v>Work</v>
      </c>
      <c r="L36" s="42" t="s">
        <v>168</v>
      </c>
      <c r="M36" s="43" t="s">
        <v>168</v>
      </c>
      <c r="N36" s="42" t="s">
        <v>160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7">
        <v>140</v>
      </c>
      <c r="T36" s="47">
        <v>4</v>
      </c>
      <c r="U36" s="43">
        <v>2</v>
      </c>
      <c r="V36" s="43"/>
      <c r="W36" s="47"/>
      <c r="X36" s="47"/>
      <c r="Y36" s="48" t="s">
        <v>162</v>
      </c>
      <c r="Z36" s="49"/>
      <c r="AA36" s="25"/>
      <c r="AB36" s="25"/>
    </row>
    <row r="37" spans="2:28">
      <c r="B37" s="40">
        <v>0.875</v>
      </c>
      <c r="C37" s="40" t="s">
        <v>285</v>
      </c>
      <c r="D37" s="41">
        <v>3</v>
      </c>
      <c r="E37" s="42">
        <v>2</v>
      </c>
      <c r="F37" s="42" t="s">
        <v>286</v>
      </c>
      <c r="G37" s="43" t="s">
        <v>154</v>
      </c>
      <c r="H37" s="42" t="s">
        <v>160</v>
      </c>
      <c r="I37" s="43">
        <v>1</v>
      </c>
      <c r="J37" s="43">
        <v>1</v>
      </c>
      <c r="K37" s="25" t="str">
        <f>VLOOKUP(J37,Key!$E$2:$F$9,2,FALSE)</f>
        <v>Home</v>
      </c>
      <c r="L37" s="42" t="s">
        <v>154</v>
      </c>
      <c r="M37" s="43" t="s">
        <v>154</v>
      </c>
      <c r="N37" s="42" t="s">
        <v>160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47">
        <v>15</v>
      </c>
      <c r="T37" s="47">
        <v>0.3</v>
      </c>
      <c r="U37" s="43">
        <v>1</v>
      </c>
      <c r="V37" s="43"/>
      <c r="W37" s="47"/>
      <c r="X37" s="47"/>
      <c r="Y37" s="48" t="s">
        <v>162</v>
      </c>
      <c r="Z37" s="49"/>
      <c r="AA37" s="25"/>
      <c r="AB37" s="25"/>
    </row>
    <row r="38" spans="2:28">
      <c r="B38" s="40">
        <v>0.90277777777777779</v>
      </c>
      <c r="C38" s="40" t="s">
        <v>287</v>
      </c>
      <c r="D38" s="44">
        <v>5</v>
      </c>
      <c r="E38" s="42">
        <v>29</v>
      </c>
      <c r="F38" s="42" t="s">
        <v>155</v>
      </c>
      <c r="G38" s="43" t="s">
        <v>155</v>
      </c>
      <c r="H38" s="42" t="s">
        <v>160</v>
      </c>
      <c r="I38" s="43">
        <v>6</v>
      </c>
      <c r="J38" s="43">
        <v>4</v>
      </c>
      <c r="K38" s="25" t="str">
        <f>VLOOKUP(J38,Key!$E$2:$F$9,2,FALSE)</f>
        <v>Commercial</v>
      </c>
      <c r="L38" s="42" t="s">
        <v>154</v>
      </c>
      <c r="M38" s="43" t="s">
        <v>154</v>
      </c>
      <c r="N38" s="42" t="s">
        <v>160</v>
      </c>
      <c r="O38" s="46">
        <v>6</v>
      </c>
      <c r="P38" s="46">
        <v>4</v>
      </c>
      <c r="Q38" s="25" t="str">
        <f>VLOOKUP(P38,Key!$E$2:$F$9,2,FALSE)</f>
        <v>Commercial</v>
      </c>
      <c r="R38" s="25" t="str">
        <f t="shared" ref="R38:R55" si="1">K38&amp;"-"&amp;Q38</f>
        <v>Commercial-Commercial</v>
      </c>
      <c r="S38" s="47">
        <v>30</v>
      </c>
      <c r="T38" s="47">
        <v>1.5</v>
      </c>
      <c r="U38" s="46">
        <v>2</v>
      </c>
      <c r="V38" s="46"/>
      <c r="W38" s="46"/>
      <c r="X38" s="46"/>
      <c r="Y38" s="48" t="s">
        <v>162</v>
      </c>
      <c r="Z38" s="46"/>
      <c r="AA38" s="25"/>
      <c r="AB38" s="25"/>
    </row>
    <row r="39" spans="2:28">
      <c r="B39" s="40">
        <v>0.96458333333333324</v>
      </c>
      <c r="C39" s="40" t="s">
        <v>288</v>
      </c>
      <c r="D39" s="45">
        <v>1</v>
      </c>
      <c r="E39" s="42">
        <v>4</v>
      </c>
      <c r="F39" s="42" t="s">
        <v>252</v>
      </c>
      <c r="G39" s="43" t="s">
        <v>155</v>
      </c>
      <c r="H39" s="42" t="s">
        <v>160</v>
      </c>
      <c r="I39" s="43">
        <v>1</v>
      </c>
      <c r="J39" s="43">
        <v>1</v>
      </c>
      <c r="K39" s="25" t="str">
        <f>VLOOKUP(J39,Key!$E$2:$F$9,2,FALSE)</f>
        <v>Home</v>
      </c>
      <c r="L39" s="42" t="s">
        <v>164</v>
      </c>
      <c r="M39" s="43" t="s">
        <v>164</v>
      </c>
      <c r="N39" s="42" t="s">
        <v>160</v>
      </c>
      <c r="O39" s="46">
        <v>1</v>
      </c>
      <c r="P39" s="46">
        <v>1</v>
      </c>
      <c r="Q39" s="25" t="str">
        <f>VLOOKUP(P39,Key!$E$2:$F$9,2,FALSE)</f>
        <v>Home</v>
      </c>
      <c r="R39" s="25" t="str">
        <f t="shared" si="1"/>
        <v>Home-Home</v>
      </c>
      <c r="S39" s="47">
        <v>20</v>
      </c>
      <c r="T39" s="47">
        <v>1</v>
      </c>
      <c r="U39" s="46">
        <v>5</v>
      </c>
      <c r="V39" s="46"/>
      <c r="W39" s="46"/>
      <c r="X39" s="46"/>
      <c r="Y39" s="48" t="s">
        <v>162</v>
      </c>
      <c r="Z39" s="46"/>
      <c r="AA39" s="25"/>
      <c r="AB39" s="25"/>
    </row>
    <row r="40" spans="2:28">
      <c r="B40" s="40">
        <v>0.46180555555555558</v>
      </c>
      <c r="C40" s="40" t="s">
        <v>289</v>
      </c>
      <c r="D40" s="45">
        <v>4</v>
      </c>
      <c r="E40" s="42">
        <v>14</v>
      </c>
      <c r="F40" s="42" t="s">
        <v>155</v>
      </c>
      <c r="G40" s="43" t="s">
        <v>155</v>
      </c>
      <c r="H40" s="42" t="s">
        <v>160</v>
      </c>
      <c r="I40" s="43">
        <v>1</v>
      </c>
      <c r="J40" s="43">
        <v>1</v>
      </c>
      <c r="K40" s="25" t="str">
        <f>VLOOKUP(J40,Key!$E$2:$F$9,2,FALSE)</f>
        <v>Home</v>
      </c>
      <c r="L40" s="42" t="s">
        <v>164</v>
      </c>
      <c r="M40" s="43" t="s">
        <v>164</v>
      </c>
      <c r="N40" s="42" t="s">
        <v>160</v>
      </c>
      <c r="O40" s="46">
        <v>16</v>
      </c>
      <c r="P40" s="46">
        <v>2</v>
      </c>
      <c r="Q40" s="25" t="str">
        <f>VLOOKUP(P40,Key!$E$2:$F$9,2,FALSE)</f>
        <v>Work</v>
      </c>
      <c r="R40" s="25" t="str">
        <f t="shared" si="1"/>
        <v>Home-Work</v>
      </c>
      <c r="S40" s="47"/>
      <c r="T40" s="47">
        <v>1.5</v>
      </c>
      <c r="U40" s="46">
        <v>2</v>
      </c>
      <c r="V40" s="46"/>
      <c r="W40" s="46"/>
      <c r="X40" s="46"/>
      <c r="Y40" s="48" t="s">
        <v>218</v>
      </c>
      <c r="Z40" s="46"/>
      <c r="AA40" s="25"/>
      <c r="AB40" s="25"/>
    </row>
    <row r="41" spans="2:28">
      <c r="B41" s="40">
        <v>0.66666666666666663</v>
      </c>
      <c r="C41" s="40" t="s">
        <v>290</v>
      </c>
      <c r="D41" s="44">
        <v>7</v>
      </c>
      <c r="E41" s="45">
        <v>2</v>
      </c>
      <c r="F41" s="42" t="s">
        <v>155</v>
      </c>
      <c r="G41" s="43" t="s">
        <v>155</v>
      </c>
      <c r="H41" s="42" t="s">
        <v>160</v>
      </c>
      <c r="I41" s="43">
        <v>2</v>
      </c>
      <c r="J41" s="43">
        <v>2</v>
      </c>
      <c r="K41" s="25" t="str">
        <f>VLOOKUP(J41,Key!$E$2:$F$9,2,FALSE)</f>
        <v>Work</v>
      </c>
      <c r="L41" s="42" t="s">
        <v>164</v>
      </c>
      <c r="M41" s="43" t="s">
        <v>164</v>
      </c>
      <c r="N41" s="42" t="s">
        <v>160</v>
      </c>
      <c r="O41" s="46">
        <v>2</v>
      </c>
      <c r="P41" s="46">
        <v>2</v>
      </c>
      <c r="Q41" s="25" t="str">
        <f>VLOOKUP(P41,Key!$E$2:$F$9,2,FALSE)</f>
        <v>Work</v>
      </c>
      <c r="R41" s="25" t="str">
        <f t="shared" si="1"/>
        <v>Work-Work</v>
      </c>
      <c r="S41" s="47">
        <v>36</v>
      </c>
      <c r="T41" s="47">
        <v>2</v>
      </c>
      <c r="U41" s="46">
        <v>4</v>
      </c>
      <c r="V41" s="46">
        <v>1</v>
      </c>
      <c r="W41" s="46">
        <v>12</v>
      </c>
      <c r="X41" s="46"/>
      <c r="Y41" s="48" t="s">
        <v>162</v>
      </c>
      <c r="Z41" s="46"/>
      <c r="AA41" s="25"/>
      <c r="AB41" s="25"/>
    </row>
    <row r="42" spans="2:28">
      <c r="B42" s="40">
        <v>0.65833333333333333</v>
      </c>
      <c r="C42" s="40" t="s">
        <v>291</v>
      </c>
      <c r="D42" s="44">
        <v>3</v>
      </c>
      <c r="E42" s="45">
        <v>1</v>
      </c>
      <c r="F42" s="42" t="s">
        <v>155</v>
      </c>
      <c r="G42" s="43" t="s">
        <v>155</v>
      </c>
      <c r="H42" s="42" t="s">
        <v>160</v>
      </c>
      <c r="I42" s="43">
        <v>1</v>
      </c>
      <c r="J42" s="43">
        <v>1</v>
      </c>
      <c r="K42" s="25" t="str">
        <f>VLOOKUP(J42,Key!$E$2:$F$9,2,FALSE)</f>
        <v>Home</v>
      </c>
      <c r="L42" s="42" t="s">
        <v>154</v>
      </c>
      <c r="M42" s="43" t="s">
        <v>154</v>
      </c>
      <c r="N42" s="42" t="s">
        <v>160</v>
      </c>
      <c r="O42" s="46">
        <v>2</v>
      </c>
      <c r="P42" s="46">
        <v>2</v>
      </c>
      <c r="Q42" s="25" t="str">
        <f>VLOOKUP(P42,Key!$E$2:$F$9,2,FALSE)</f>
        <v>Work</v>
      </c>
      <c r="R42" s="25" t="str">
        <f t="shared" si="1"/>
        <v>Home-Work</v>
      </c>
      <c r="S42" s="47">
        <v>32</v>
      </c>
      <c r="T42" s="47">
        <v>1</v>
      </c>
      <c r="U42" s="46">
        <v>2</v>
      </c>
      <c r="V42" s="46"/>
      <c r="W42" s="46"/>
      <c r="X42" s="46"/>
      <c r="Y42" s="48" t="s">
        <v>162</v>
      </c>
      <c r="Z42" s="46"/>
      <c r="AA42" s="25"/>
      <c r="AB42" s="25"/>
    </row>
    <row r="43" spans="2:28">
      <c r="B43" s="40">
        <v>0.47569444444444442</v>
      </c>
      <c r="C43" s="40" t="s">
        <v>292</v>
      </c>
      <c r="D43" s="45">
        <v>2</v>
      </c>
      <c r="E43" s="45">
        <v>5</v>
      </c>
      <c r="F43" s="42" t="s">
        <v>293</v>
      </c>
      <c r="G43" s="43" t="s">
        <v>154</v>
      </c>
      <c r="H43" s="42" t="s">
        <v>160</v>
      </c>
      <c r="I43" s="43">
        <v>9</v>
      </c>
      <c r="J43" s="43">
        <v>4</v>
      </c>
      <c r="K43" s="25" t="str">
        <f>VLOOKUP(J43,Key!$E$2:$F$9,2,FALSE)</f>
        <v>Commercial</v>
      </c>
      <c r="L43" s="42" t="s">
        <v>294</v>
      </c>
      <c r="M43" s="43" t="s">
        <v>154</v>
      </c>
      <c r="N43" s="42" t="s">
        <v>160</v>
      </c>
      <c r="O43" s="46">
        <v>1</v>
      </c>
      <c r="P43" s="46">
        <v>1</v>
      </c>
      <c r="Q43" s="25" t="str">
        <f>VLOOKUP(P43,Key!$E$2:$F$9,2,FALSE)</f>
        <v>Home</v>
      </c>
      <c r="R43" s="25" t="str">
        <f t="shared" si="1"/>
        <v>Commercial-Home</v>
      </c>
      <c r="S43" s="47">
        <v>12</v>
      </c>
      <c r="T43" s="47">
        <v>0.3</v>
      </c>
      <c r="U43" s="46">
        <v>5</v>
      </c>
      <c r="V43" s="46"/>
      <c r="W43" s="46"/>
      <c r="X43" s="46"/>
      <c r="Y43" s="48" t="s">
        <v>218</v>
      </c>
      <c r="Z43" s="46"/>
      <c r="AA43" s="25"/>
      <c r="AB43" s="25"/>
    </row>
    <row r="44" spans="2:28">
      <c r="B44" s="40">
        <v>2.4305555555555556E-2</v>
      </c>
      <c r="C44" s="40" t="s">
        <v>295</v>
      </c>
      <c r="D44" s="44">
        <v>7</v>
      </c>
      <c r="E44" s="45">
        <v>2</v>
      </c>
      <c r="F44" s="42" t="s">
        <v>296</v>
      </c>
      <c r="G44" s="43" t="s">
        <v>155</v>
      </c>
      <c r="H44" s="42" t="s">
        <v>160</v>
      </c>
      <c r="I44" s="43">
        <v>2</v>
      </c>
      <c r="J44" s="43">
        <v>2</v>
      </c>
      <c r="K44" s="25" t="str">
        <f>VLOOKUP(J44,Key!$E$2:$F$9,2,FALSE)</f>
        <v>Work</v>
      </c>
      <c r="L44" s="42" t="s">
        <v>168</v>
      </c>
      <c r="M44" s="43" t="s">
        <v>154</v>
      </c>
      <c r="N44" s="42" t="s">
        <v>160</v>
      </c>
      <c r="O44" s="46">
        <v>1</v>
      </c>
      <c r="P44" s="46">
        <v>1</v>
      </c>
      <c r="Q44" s="25" t="str">
        <f>VLOOKUP(P44,Key!$E$2:$F$9,2,FALSE)</f>
        <v>Home</v>
      </c>
      <c r="R44" s="25" t="str">
        <f t="shared" si="1"/>
        <v>Work-Home</v>
      </c>
      <c r="S44" s="47">
        <v>118</v>
      </c>
      <c r="T44" s="47">
        <v>4</v>
      </c>
      <c r="U44" s="46">
        <v>6</v>
      </c>
      <c r="V44" s="46">
        <v>8</v>
      </c>
      <c r="W44" s="46">
        <v>10</v>
      </c>
      <c r="X44" s="46"/>
      <c r="Y44" s="48" t="s">
        <v>162</v>
      </c>
      <c r="Z44" s="46"/>
      <c r="AA44" s="25"/>
      <c r="AB44" s="25"/>
    </row>
    <row r="45" spans="2:28">
      <c r="B45" s="40">
        <v>0.4694444444444445</v>
      </c>
      <c r="C45" s="40" t="s">
        <v>297</v>
      </c>
      <c r="D45" s="45">
        <v>7</v>
      </c>
      <c r="E45" s="42">
        <v>2</v>
      </c>
      <c r="F45" s="42" t="s">
        <v>220</v>
      </c>
      <c r="G45" s="43" t="s">
        <v>154</v>
      </c>
      <c r="H45" s="42" t="s">
        <v>160</v>
      </c>
      <c r="I45" s="43">
        <v>9</v>
      </c>
      <c r="J45" s="43">
        <v>1</v>
      </c>
      <c r="K45" s="25" t="str">
        <f>VLOOKUP(J45,Key!$E$2:$F$9,2,FALSE)</f>
        <v>Home</v>
      </c>
      <c r="L45" s="41" t="s">
        <v>154</v>
      </c>
      <c r="M45" s="43" t="s">
        <v>154</v>
      </c>
      <c r="N45" s="42" t="s">
        <v>160</v>
      </c>
      <c r="O45" s="46">
        <v>1</v>
      </c>
      <c r="P45" s="46">
        <v>1</v>
      </c>
      <c r="Q45" s="25" t="str">
        <f>VLOOKUP(P45,Key!$E$2:$F$9,2,FALSE)</f>
        <v>Home</v>
      </c>
      <c r="R45" s="25" t="str">
        <f t="shared" si="1"/>
        <v>Home-Home</v>
      </c>
      <c r="S45" s="47"/>
      <c r="T45" s="47">
        <v>0.8</v>
      </c>
      <c r="U45" s="46">
        <v>5</v>
      </c>
      <c r="V45" s="46"/>
      <c r="W45" s="46"/>
      <c r="X45" s="46"/>
      <c r="Y45" s="48" t="s">
        <v>162</v>
      </c>
      <c r="Z45" s="46"/>
      <c r="AA45" s="25"/>
      <c r="AB45" s="25"/>
    </row>
    <row r="46" spans="2:28">
      <c r="B46" s="40">
        <v>0.46875</v>
      </c>
      <c r="C46" s="40" t="s">
        <v>298</v>
      </c>
      <c r="D46" s="44">
        <v>1</v>
      </c>
      <c r="E46" s="45">
        <v>3</v>
      </c>
      <c r="F46" s="42" t="s">
        <v>161</v>
      </c>
      <c r="G46" s="43" t="s">
        <v>154</v>
      </c>
      <c r="H46" s="42" t="s">
        <v>160</v>
      </c>
      <c r="I46" s="43">
        <v>1</v>
      </c>
      <c r="J46" s="43">
        <v>1</v>
      </c>
      <c r="K46" s="25" t="str">
        <f>VLOOKUP(J46,Key!$E$2:$F$9,2,FALSE)</f>
        <v>Home</v>
      </c>
      <c r="L46" s="42" t="s">
        <v>154</v>
      </c>
      <c r="M46" s="43" t="s">
        <v>154</v>
      </c>
      <c r="N46" s="42" t="s">
        <v>160</v>
      </c>
      <c r="O46" s="46">
        <v>1</v>
      </c>
      <c r="P46" s="46">
        <v>1</v>
      </c>
      <c r="Q46" s="25" t="str">
        <f>VLOOKUP(P46,Key!$E$2:$F$9,2,FALSE)</f>
        <v>Home</v>
      </c>
      <c r="R46" s="25" t="str">
        <f t="shared" si="1"/>
        <v>Home-Home</v>
      </c>
      <c r="S46" s="47"/>
      <c r="T46" s="47">
        <v>1</v>
      </c>
      <c r="U46" s="46">
        <v>6</v>
      </c>
      <c r="V46" s="46"/>
      <c r="W46" s="46"/>
      <c r="X46" s="46"/>
      <c r="Y46" s="48" t="s">
        <v>162</v>
      </c>
      <c r="Z46" s="46"/>
      <c r="AA46" s="25"/>
      <c r="AB46" s="25"/>
    </row>
    <row r="47" spans="2:28">
      <c r="B47" s="40">
        <v>0.41666666666666669</v>
      </c>
      <c r="C47" s="40" t="s">
        <v>299</v>
      </c>
      <c r="D47" s="45">
        <v>2</v>
      </c>
      <c r="E47" s="45">
        <v>2</v>
      </c>
      <c r="F47" s="42" t="s">
        <v>300</v>
      </c>
      <c r="G47" s="43" t="s">
        <v>154</v>
      </c>
      <c r="H47" s="42" t="s">
        <v>160</v>
      </c>
      <c r="I47" s="43">
        <v>2</v>
      </c>
      <c r="J47" s="43">
        <v>2</v>
      </c>
      <c r="K47" s="25" t="str">
        <f>VLOOKUP(J47,Key!$E$2:$F$9,2,FALSE)</f>
        <v>Work</v>
      </c>
      <c r="L47" s="42" t="s">
        <v>154</v>
      </c>
      <c r="M47" s="43" t="s">
        <v>154</v>
      </c>
      <c r="N47" s="42" t="s">
        <v>160</v>
      </c>
      <c r="O47" s="46">
        <v>2</v>
      </c>
      <c r="P47" s="46">
        <v>2</v>
      </c>
      <c r="Q47" s="25" t="str">
        <f>VLOOKUP(P47,Key!$E$2:$F$9,2,FALSE)</f>
        <v>Work</v>
      </c>
      <c r="R47" s="25" t="str">
        <f t="shared" si="1"/>
        <v>Work-Work</v>
      </c>
      <c r="S47" s="47"/>
      <c r="T47" s="47">
        <v>0.5</v>
      </c>
      <c r="U47" s="46">
        <v>6</v>
      </c>
      <c r="V47" s="46"/>
      <c r="W47" s="46"/>
      <c r="X47" s="46"/>
      <c r="Y47" s="48" t="s">
        <v>162</v>
      </c>
      <c r="Z47" s="46"/>
      <c r="AA47" s="25"/>
      <c r="AB47" s="25"/>
    </row>
    <row r="48" spans="2:28">
      <c r="B48" s="40">
        <v>0.4152777777777778</v>
      </c>
      <c r="C48" s="40" t="s">
        <v>301</v>
      </c>
      <c r="D48" s="44">
        <v>1</v>
      </c>
      <c r="E48" s="42">
        <v>1</v>
      </c>
      <c r="F48" s="42" t="s">
        <v>302</v>
      </c>
      <c r="G48" s="43" t="s">
        <v>155</v>
      </c>
      <c r="H48" s="42" t="s">
        <v>160</v>
      </c>
      <c r="I48" s="43">
        <v>2</v>
      </c>
      <c r="J48" s="43">
        <v>2</v>
      </c>
      <c r="K48" s="25" t="str">
        <f>VLOOKUP(J48,Key!$E$2:$F$9,2,FALSE)</f>
        <v>Work</v>
      </c>
      <c r="L48" s="42" t="s">
        <v>154</v>
      </c>
      <c r="M48" s="43" t="s">
        <v>154</v>
      </c>
      <c r="N48" s="42" t="s">
        <v>160</v>
      </c>
      <c r="O48" s="46">
        <v>2</v>
      </c>
      <c r="P48" s="46">
        <v>2</v>
      </c>
      <c r="Q48" s="25" t="str">
        <f>VLOOKUP(P48,Key!$E$2:$F$9,2,FALSE)</f>
        <v>Work</v>
      </c>
      <c r="R48" s="25" t="str">
        <f t="shared" si="1"/>
        <v>Work-Work</v>
      </c>
      <c r="S48" s="47"/>
      <c r="T48" s="47">
        <v>0.8</v>
      </c>
      <c r="U48" s="46">
        <v>6</v>
      </c>
      <c r="V48" s="46"/>
      <c r="W48" s="46"/>
      <c r="X48" s="46"/>
      <c r="Y48" s="48" t="s">
        <v>218</v>
      </c>
      <c r="Z48" s="46"/>
      <c r="AA48" s="25"/>
      <c r="AB48" s="25"/>
    </row>
    <row r="49" spans="2:28">
      <c r="B49" s="40">
        <v>0.39444444444444443</v>
      </c>
      <c r="C49" s="40" t="s">
        <v>303</v>
      </c>
      <c r="D49" s="45">
        <v>4</v>
      </c>
      <c r="E49" s="45">
        <v>14</v>
      </c>
      <c r="F49" s="42" t="s">
        <v>304</v>
      </c>
      <c r="G49" s="43" t="s">
        <v>154</v>
      </c>
      <c r="H49" s="42" t="s">
        <v>160</v>
      </c>
      <c r="I49" s="43">
        <v>1</v>
      </c>
      <c r="J49" s="43">
        <v>1</v>
      </c>
      <c r="K49" s="25" t="str">
        <f>VLOOKUP(J49,Key!$E$2:$F$9,2,FALSE)</f>
        <v>Home</v>
      </c>
      <c r="L49" s="42" t="s">
        <v>154</v>
      </c>
      <c r="M49" s="43" t="s">
        <v>154</v>
      </c>
      <c r="N49" s="42" t="s">
        <v>160</v>
      </c>
      <c r="O49" s="46">
        <v>6</v>
      </c>
      <c r="P49" s="46">
        <v>2</v>
      </c>
      <c r="Q49" s="25" t="str">
        <f>VLOOKUP(P49,Key!$E$2:$F$9,2,FALSE)</f>
        <v>Work</v>
      </c>
      <c r="R49" s="25" t="str">
        <f t="shared" si="1"/>
        <v>Home-Work</v>
      </c>
      <c r="S49" s="47">
        <v>12</v>
      </c>
      <c r="T49" s="47">
        <v>2</v>
      </c>
      <c r="U49" s="46">
        <v>2</v>
      </c>
      <c r="V49" s="46"/>
      <c r="W49" s="46"/>
      <c r="X49" s="46"/>
      <c r="Y49" s="48" t="s">
        <v>162</v>
      </c>
      <c r="Z49" s="46"/>
      <c r="AA49" s="25"/>
      <c r="AB49" s="25"/>
    </row>
    <row r="50" spans="2:28">
      <c r="B50" s="40">
        <v>0.39583333333333331</v>
      </c>
      <c r="C50" s="40" t="s">
        <v>305</v>
      </c>
      <c r="D50" s="44">
        <v>4</v>
      </c>
      <c r="E50" s="45">
        <v>14</v>
      </c>
      <c r="F50" s="42" t="s">
        <v>263</v>
      </c>
      <c r="G50" s="43" t="s">
        <v>154</v>
      </c>
      <c r="H50" s="42" t="s">
        <v>160</v>
      </c>
      <c r="I50" s="43">
        <v>2</v>
      </c>
      <c r="J50" s="43">
        <v>2</v>
      </c>
      <c r="K50" s="25" t="str">
        <f>VLOOKUP(J50,Key!$E$2:$F$9,2,FALSE)</f>
        <v>Work</v>
      </c>
      <c r="L50" s="42" t="s">
        <v>154</v>
      </c>
      <c r="M50" s="43" t="s">
        <v>154</v>
      </c>
      <c r="N50" s="42" t="s">
        <v>160</v>
      </c>
      <c r="O50" s="46">
        <v>6</v>
      </c>
      <c r="P50" s="46">
        <v>2</v>
      </c>
      <c r="Q50" s="25" t="str">
        <f>VLOOKUP(P50,Key!$E$2:$F$9,2,FALSE)</f>
        <v>Work</v>
      </c>
      <c r="R50" s="25" t="str">
        <f t="shared" si="1"/>
        <v>Work-Work</v>
      </c>
      <c r="S50" s="47">
        <v>7</v>
      </c>
      <c r="T50" s="47">
        <v>0.3</v>
      </c>
      <c r="U50" s="46">
        <v>2</v>
      </c>
      <c r="V50" s="46"/>
      <c r="W50" s="46"/>
      <c r="X50" s="46"/>
      <c r="Y50" s="48" t="s">
        <v>162</v>
      </c>
      <c r="Z50" s="46"/>
      <c r="AA50" s="25"/>
      <c r="AB50" s="25"/>
    </row>
    <row r="51" spans="2:28">
      <c r="B51" s="40">
        <v>0.4236111111111111</v>
      </c>
      <c r="C51" s="40" t="s">
        <v>306</v>
      </c>
      <c r="D51" s="45">
        <v>4</v>
      </c>
      <c r="E51" s="45">
        <v>14</v>
      </c>
      <c r="F51" s="42" t="s">
        <v>155</v>
      </c>
      <c r="G51" s="43" t="s">
        <v>155</v>
      </c>
      <c r="H51" s="42" t="s">
        <v>160</v>
      </c>
      <c r="I51" s="43">
        <v>6</v>
      </c>
      <c r="J51" s="43">
        <v>2</v>
      </c>
      <c r="K51" s="25" t="str">
        <f>VLOOKUP(J51,Key!$E$2:$F$9,2,FALSE)</f>
        <v>Work</v>
      </c>
      <c r="L51" s="42" t="s">
        <v>168</v>
      </c>
      <c r="M51" s="43" t="s">
        <v>168</v>
      </c>
      <c r="N51" s="42" t="s">
        <v>160</v>
      </c>
      <c r="O51" s="46">
        <v>2</v>
      </c>
      <c r="P51" s="46">
        <v>2</v>
      </c>
      <c r="Q51" s="25" t="str">
        <f>VLOOKUP(P51,Key!$E$2:$F$9,2,FALSE)</f>
        <v>Work</v>
      </c>
      <c r="R51" s="25" t="str">
        <f t="shared" si="1"/>
        <v>Work-Work</v>
      </c>
      <c r="S51" s="47">
        <v>130</v>
      </c>
      <c r="T51" s="47">
        <v>4</v>
      </c>
      <c r="U51" s="46">
        <v>2</v>
      </c>
      <c r="V51" s="46"/>
      <c r="W51" s="46"/>
      <c r="X51" s="46"/>
      <c r="Y51" s="48" t="s">
        <v>162</v>
      </c>
      <c r="Z51" s="46"/>
      <c r="AA51" s="25"/>
      <c r="AB51" s="25"/>
    </row>
    <row r="52" spans="2:28">
      <c r="B52" s="40">
        <v>0.42708333333333331</v>
      </c>
      <c r="C52" s="40" t="s">
        <v>307</v>
      </c>
      <c r="D52" s="45">
        <v>1</v>
      </c>
      <c r="E52" s="45">
        <v>4</v>
      </c>
      <c r="F52" s="42" t="s">
        <v>155</v>
      </c>
      <c r="G52" s="43" t="s">
        <v>155</v>
      </c>
      <c r="H52" s="42" t="s">
        <v>160</v>
      </c>
      <c r="I52" s="43">
        <v>1</v>
      </c>
      <c r="J52" s="43">
        <v>1</v>
      </c>
      <c r="K52" s="25" t="str">
        <f>VLOOKUP(J52,Key!$E$2:$F$9,2,FALSE)</f>
        <v>Home</v>
      </c>
      <c r="L52" s="42" t="s">
        <v>154</v>
      </c>
      <c r="M52" s="43" t="s">
        <v>154</v>
      </c>
      <c r="N52" s="42" t="s">
        <v>160</v>
      </c>
      <c r="O52" s="46">
        <v>2</v>
      </c>
      <c r="P52" s="46">
        <v>2</v>
      </c>
      <c r="Q52" s="25" t="str">
        <f>VLOOKUP(P52,Key!$E$2:$F$9,2,FALSE)</f>
        <v>Work</v>
      </c>
      <c r="R52" s="25" t="str">
        <f t="shared" si="1"/>
        <v>Home-Work</v>
      </c>
      <c r="S52" s="47">
        <v>35</v>
      </c>
      <c r="T52" s="47">
        <v>1</v>
      </c>
      <c r="U52" s="46">
        <v>2</v>
      </c>
      <c r="V52" s="46"/>
      <c r="W52" s="46"/>
      <c r="X52" s="46"/>
      <c r="Y52" s="48" t="s">
        <v>162</v>
      </c>
      <c r="Z52" s="46"/>
      <c r="AA52" s="25"/>
      <c r="AB52" s="25"/>
    </row>
    <row r="53" spans="2:28">
      <c r="B53" s="40">
        <v>2.0833333333333332E-2</v>
      </c>
      <c r="C53" s="40" t="s">
        <v>308</v>
      </c>
      <c r="D53" s="45">
        <v>1</v>
      </c>
      <c r="E53" s="45">
        <v>1</v>
      </c>
      <c r="F53" s="42" t="s">
        <v>155</v>
      </c>
      <c r="G53" s="43" t="s">
        <v>155</v>
      </c>
      <c r="H53" s="42" t="s">
        <v>160</v>
      </c>
      <c r="I53" s="43">
        <v>1</v>
      </c>
      <c r="J53" s="43">
        <v>1</v>
      </c>
      <c r="K53" s="25" t="str">
        <f>VLOOKUP(J53,Key!$E$2:$F$9,2,FALSE)</f>
        <v>Home</v>
      </c>
      <c r="L53" s="42" t="s">
        <v>154</v>
      </c>
      <c r="M53" s="43" t="s">
        <v>154</v>
      </c>
      <c r="N53" s="42" t="s">
        <v>160</v>
      </c>
      <c r="O53" s="46">
        <v>16</v>
      </c>
      <c r="P53" s="46">
        <v>2</v>
      </c>
      <c r="Q53" s="25" t="str">
        <f>VLOOKUP(P53,Key!$E$2:$F$9,2,FALSE)</f>
        <v>Work</v>
      </c>
      <c r="R53" s="25" t="str">
        <f t="shared" si="1"/>
        <v>Home-Work</v>
      </c>
      <c r="S53" s="47">
        <v>35</v>
      </c>
      <c r="T53" s="47">
        <v>0.5</v>
      </c>
      <c r="U53" s="46">
        <v>4</v>
      </c>
      <c r="V53" s="46"/>
      <c r="W53" s="46"/>
      <c r="X53" s="46"/>
      <c r="Y53" s="48" t="s">
        <v>162</v>
      </c>
      <c r="Z53" s="46"/>
      <c r="AA53" s="25"/>
      <c r="AB53" s="25"/>
    </row>
    <row r="54" spans="2:28">
      <c r="B54" s="40">
        <v>3.125E-2</v>
      </c>
      <c r="C54" s="40" t="s">
        <v>309</v>
      </c>
      <c r="D54" s="44">
        <v>7</v>
      </c>
      <c r="E54" s="45">
        <v>4</v>
      </c>
      <c r="F54" s="42" t="s">
        <v>155</v>
      </c>
      <c r="G54" s="43" t="s">
        <v>155</v>
      </c>
      <c r="H54" s="42" t="s">
        <v>160</v>
      </c>
      <c r="I54" s="43">
        <v>2</v>
      </c>
      <c r="J54" s="43">
        <v>2</v>
      </c>
      <c r="K54" s="25" t="str">
        <f>VLOOKUP(J54,Key!$E$2:$F$9,2,FALSE)</f>
        <v>Work</v>
      </c>
      <c r="L54" s="42" t="s">
        <v>154</v>
      </c>
      <c r="M54" s="43" t="s">
        <v>154</v>
      </c>
      <c r="N54" s="42" t="s">
        <v>160</v>
      </c>
      <c r="O54" s="46">
        <v>2</v>
      </c>
      <c r="P54" s="46">
        <v>2</v>
      </c>
      <c r="Q54" s="25" t="str">
        <f>VLOOKUP(P54,Key!$E$2:$F$9,2,FALSE)</f>
        <v>Work</v>
      </c>
      <c r="R54" s="25" t="str">
        <f t="shared" si="1"/>
        <v>Work-Work</v>
      </c>
      <c r="S54" s="47"/>
      <c r="T54" s="47">
        <v>0.8</v>
      </c>
      <c r="U54" s="46">
        <v>1</v>
      </c>
      <c r="V54" s="46">
        <v>1</v>
      </c>
      <c r="W54" s="46"/>
      <c r="X54" s="46"/>
      <c r="Y54" s="48" t="s">
        <v>218</v>
      </c>
      <c r="Z54" s="46"/>
      <c r="AA54" s="25"/>
      <c r="AB54" s="25"/>
    </row>
    <row r="55" spans="2:28">
      <c r="B55" s="40">
        <v>0.37638888888888888</v>
      </c>
      <c r="C55" s="40" t="s">
        <v>310</v>
      </c>
      <c r="D55" s="45">
        <v>1</v>
      </c>
      <c r="E55" s="45">
        <v>2</v>
      </c>
      <c r="F55" s="42" t="s">
        <v>155</v>
      </c>
      <c r="G55" s="43" t="s">
        <v>155</v>
      </c>
      <c r="H55" s="42" t="s">
        <v>160</v>
      </c>
      <c r="I55" s="43">
        <v>1</v>
      </c>
      <c r="J55" s="43">
        <v>1</v>
      </c>
      <c r="K55" s="25" t="str">
        <f>VLOOKUP(J55,Key!$E$2:$F$9,2,FALSE)</f>
        <v>Home</v>
      </c>
      <c r="L55" s="42" t="s">
        <v>154</v>
      </c>
      <c r="M55" s="43" t="s">
        <v>154</v>
      </c>
      <c r="N55" s="42" t="s">
        <v>160</v>
      </c>
      <c r="O55" s="46">
        <v>2</v>
      </c>
      <c r="P55" s="46">
        <v>2</v>
      </c>
      <c r="Q55" s="25" t="str">
        <f>VLOOKUP(P55,Key!$E$2:$F$9,2,FALSE)</f>
        <v>Work</v>
      </c>
      <c r="R55" s="25" t="str">
        <f t="shared" si="1"/>
        <v>Home-Work</v>
      </c>
      <c r="S55" s="47">
        <v>32</v>
      </c>
      <c r="T55" s="47">
        <v>0.8</v>
      </c>
      <c r="U55" s="46">
        <v>5</v>
      </c>
      <c r="V55" s="46"/>
      <c r="W55" s="46"/>
      <c r="X55" s="46"/>
      <c r="Y55" s="48" t="s">
        <v>218</v>
      </c>
      <c r="Z55" s="46"/>
      <c r="AA55" s="25"/>
      <c r="AB55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128"/>
  <sheetViews>
    <sheetView topLeftCell="Y93" zoomScale="75" zoomScaleNormal="75" zoomScaleSheetLayoutView="80" workbookViewId="0">
      <selection activeCell="B9" sqref="B9:AB12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3" t="s">
        <v>134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6"/>
      <c r="AD1" s="6"/>
      <c r="AE1" s="6"/>
      <c r="AF1" s="6"/>
      <c r="AG1" s="6"/>
      <c r="AH1" s="6"/>
      <c r="AI1" s="6"/>
    </row>
    <row r="2" spans="2:35" ht="15">
      <c r="B2" s="113" t="s">
        <v>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311</v>
      </c>
      <c r="E4" s="1" t="s">
        <v>69</v>
      </c>
      <c r="F4" s="131" t="str">
        <f>'24.08 Iganga-Kaliro'!F4:G4</f>
        <v>Iganga-Kaliro Rd</v>
      </c>
      <c r="G4" s="132"/>
      <c r="I4" s="27" t="s">
        <v>70</v>
      </c>
      <c r="J4" s="5"/>
      <c r="K4" s="5"/>
      <c r="L4" s="51" t="s">
        <v>154</v>
      </c>
      <c r="M4" s="2"/>
      <c r="N4" s="1" t="s">
        <v>72</v>
      </c>
      <c r="O4" s="116" t="s">
        <v>374</v>
      </c>
      <c r="P4" s="117"/>
      <c r="Q4" s="117"/>
      <c r="R4" s="117"/>
      <c r="S4" s="117"/>
      <c r="T4" s="117"/>
      <c r="V4" s="1" t="s">
        <v>73</v>
      </c>
      <c r="W4" s="54"/>
      <c r="Y4" s="27" t="s">
        <v>6</v>
      </c>
      <c r="Z4" s="39" t="str">
        <f>'24.08 Iganga-Kaliro'!Z4</f>
        <v>Isaac Akure</v>
      </c>
      <c r="AA4" s="32" t="s">
        <v>7</v>
      </c>
      <c r="AB4" s="39" t="str">
        <f>'24.08 Iganga-Kaliro'!AB4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71</v>
      </c>
      <c r="J5" s="2"/>
      <c r="K5" s="2"/>
      <c r="L5" s="52" t="s">
        <v>313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8" t="s">
        <v>34</v>
      </c>
      <c r="C7" s="104" t="s">
        <v>60</v>
      </c>
      <c r="D7" s="106" t="s">
        <v>9</v>
      </c>
      <c r="E7" s="104" t="s">
        <v>35</v>
      </c>
      <c r="F7" s="121" t="s">
        <v>12</v>
      </c>
      <c r="G7" s="122"/>
      <c r="H7" s="123"/>
      <c r="I7" s="106" t="s">
        <v>63</v>
      </c>
      <c r="J7" s="104" t="s">
        <v>15</v>
      </c>
      <c r="K7" s="104" t="s">
        <v>135</v>
      </c>
      <c r="L7" s="121" t="s">
        <v>17</v>
      </c>
      <c r="M7" s="122"/>
      <c r="N7" s="123"/>
      <c r="O7" s="106" t="s">
        <v>64</v>
      </c>
      <c r="P7" s="104" t="s">
        <v>18</v>
      </c>
      <c r="Q7" s="104" t="s">
        <v>136</v>
      </c>
      <c r="R7" s="104" t="s">
        <v>137</v>
      </c>
      <c r="S7" s="104" t="s">
        <v>139</v>
      </c>
      <c r="T7" s="104" t="s">
        <v>138</v>
      </c>
      <c r="U7" s="104" t="s">
        <v>65</v>
      </c>
      <c r="V7" s="110" t="s">
        <v>68</v>
      </c>
      <c r="W7" s="111"/>
      <c r="X7" s="112"/>
      <c r="Y7" s="104" t="s">
        <v>67</v>
      </c>
      <c r="Z7" s="104" t="s">
        <v>142</v>
      </c>
      <c r="AA7" s="106" t="s">
        <v>20</v>
      </c>
      <c r="AB7" s="108" t="s">
        <v>21</v>
      </c>
      <c r="AD7" s="19"/>
    </row>
    <row r="8" spans="2:35" ht="38.25" customHeight="1">
      <c r="B8" s="119"/>
      <c r="C8" s="105"/>
      <c r="D8" s="107"/>
      <c r="E8" s="120"/>
      <c r="F8" s="23" t="s">
        <v>76</v>
      </c>
      <c r="G8" s="23" t="s">
        <v>61</v>
      </c>
      <c r="H8" s="24" t="s">
        <v>62</v>
      </c>
      <c r="I8" s="107"/>
      <c r="J8" s="105"/>
      <c r="K8" s="105"/>
      <c r="L8" s="23" t="s">
        <v>76</v>
      </c>
      <c r="M8" s="23" t="s">
        <v>61</v>
      </c>
      <c r="N8" s="23" t="s">
        <v>62</v>
      </c>
      <c r="O8" s="107"/>
      <c r="P8" s="105"/>
      <c r="Q8" s="105"/>
      <c r="R8" s="105"/>
      <c r="S8" s="105"/>
      <c r="T8" s="105"/>
      <c r="U8" s="105"/>
      <c r="V8" s="29" t="s">
        <v>66</v>
      </c>
      <c r="W8" s="30" t="s">
        <v>140</v>
      </c>
      <c r="X8" s="30" t="s">
        <v>141</v>
      </c>
      <c r="Y8" s="105"/>
      <c r="Z8" s="105"/>
      <c r="AA8" s="107"/>
      <c r="AB8" s="109"/>
    </row>
    <row r="9" spans="2:35" s="19" customFormat="1">
      <c r="B9" s="40">
        <v>0.6875</v>
      </c>
      <c r="C9" s="40" t="s">
        <v>375</v>
      </c>
      <c r="D9" s="41">
        <v>1</v>
      </c>
      <c r="E9" s="42">
        <v>2</v>
      </c>
      <c r="F9" s="42" t="s">
        <v>154</v>
      </c>
      <c r="G9" s="43" t="s">
        <v>154</v>
      </c>
      <c r="H9" s="42" t="s">
        <v>160</v>
      </c>
      <c r="I9" s="43">
        <v>1</v>
      </c>
      <c r="J9" s="43">
        <v>1</v>
      </c>
      <c r="K9" s="25" t="str">
        <f>VLOOKUP(J9,Key!$E$2:$F$9,2,FALSE)</f>
        <v>Home</v>
      </c>
      <c r="L9" s="42" t="s">
        <v>220</v>
      </c>
      <c r="M9" s="43" t="s">
        <v>154</v>
      </c>
      <c r="N9" s="42" t="s">
        <v>160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Home-Others</v>
      </c>
      <c r="S9" s="47"/>
      <c r="T9" s="47">
        <v>0.5</v>
      </c>
      <c r="U9" s="43">
        <v>6</v>
      </c>
      <c r="V9" s="43"/>
      <c r="W9" s="47"/>
      <c r="X9" s="47"/>
      <c r="Y9" s="48" t="s">
        <v>162</v>
      </c>
      <c r="Z9" s="49"/>
      <c r="AA9" s="25"/>
      <c r="AB9" s="25"/>
    </row>
    <row r="10" spans="2:35">
      <c r="B10" s="40">
        <v>0.69097222222222221</v>
      </c>
      <c r="C10" s="40" t="s">
        <v>376</v>
      </c>
      <c r="D10" s="41">
        <v>2</v>
      </c>
      <c r="E10" s="42">
        <v>3</v>
      </c>
      <c r="F10" s="42" t="s">
        <v>154</v>
      </c>
      <c r="G10" s="43" t="s">
        <v>154</v>
      </c>
      <c r="H10" s="42" t="s">
        <v>160</v>
      </c>
      <c r="I10" s="43">
        <v>1</v>
      </c>
      <c r="J10" s="43">
        <v>1</v>
      </c>
      <c r="K10" s="25" t="str">
        <f>VLOOKUP(J10,Key!$E$2:$F$9,2,FALSE)</f>
        <v>Home</v>
      </c>
      <c r="L10" s="42" t="s">
        <v>229</v>
      </c>
      <c r="M10" s="43" t="s">
        <v>155</v>
      </c>
      <c r="N10" s="42" t="s">
        <v>160</v>
      </c>
      <c r="O10" s="43">
        <v>16</v>
      </c>
      <c r="P10" s="43">
        <v>8</v>
      </c>
      <c r="Q10" s="25" t="str">
        <f>VLOOKUP(P10,Key!$E$2:$F$9,2,FALSE)</f>
        <v>Others</v>
      </c>
      <c r="R10" s="25" t="str">
        <f t="shared" ref="R10:R37" si="0">K10&amp;"-"&amp;Q10</f>
        <v>Home-Others</v>
      </c>
      <c r="S10" s="47"/>
      <c r="T10" s="47">
        <v>1</v>
      </c>
      <c r="U10" s="43">
        <v>3</v>
      </c>
      <c r="V10" s="43"/>
      <c r="W10" s="47"/>
      <c r="X10" s="47"/>
      <c r="Y10" s="48" t="s">
        <v>162</v>
      </c>
      <c r="Z10" s="49"/>
      <c r="AA10" s="25"/>
      <c r="AB10" s="25"/>
    </row>
    <row r="11" spans="2:35">
      <c r="B11" s="40">
        <v>0.68055555555555547</v>
      </c>
      <c r="C11" s="40" t="s">
        <v>377</v>
      </c>
      <c r="D11" s="41">
        <v>2</v>
      </c>
      <c r="E11" s="42">
        <v>1</v>
      </c>
      <c r="F11" s="42" t="s">
        <v>154</v>
      </c>
      <c r="G11" s="43" t="s">
        <v>154</v>
      </c>
      <c r="H11" s="42" t="s">
        <v>160</v>
      </c>
      <c r="I11" s="43">
        <v>2</v>
      </c>
      <c r="J11" s="43">
        <v>2</v>
      </c>
      <c r="K11" s="25" t="str">
        <f>VLOOKUP(J11,Key!$E$2:$F$9,2,FALSE)</f>
        <v>Work</v>
      </c>
      <c r="L11" s="42" t="s">
        <v>220</v>
      </c>
      <c r="M11" s="43" t="s">
        <v>154</v>
      </c>
      <c r="N11" s="42" t="s">
        <v>160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47"/>
      <c r="T11" s="47">
        <v>0.5</v>
      </c>
      <c r="U11" s="43">
        <v>2</v>
      </c>
      <c r="V11" s="43"/>
      <c r="W11" s="47"/>
      <c r="X11" s="47"/>
      <c r="Y11" s="48" t="s">
        <v>162</v>
      </c>
      <c r="Z11" s="49"/>
      <c r="AA11" s="25"/>
      <c r="AB11" s="25"/>
    </row>
    <row r="12" spans="2:35">
      <c r="B12" s="40">
        <v>0.67708333333333337</v>
      </c>
      <c r="C12" s="40" t="s">
        <v>378</v>
      </c>
      <c r="D12" s="41">
        <v>8</v>
      </c>
      <c r="E12" s="42">
        <v>1</v>
      </c>
      <c r="F12" s="42" t="s">
        <v>154</v>
      </c>
      <c r="G12" s="43" t="s">
        <v>154</v>
      </c>
      <c r="H12" s="42" t="s">
        <v>160</v>
      </c>
      <c r="I12" s="43">
        <v>1</v>
      </c>
      <c r="J12" s="43">
        <v>1</v>
      </c>
      <c r="K12" s="25" t="str">
        <f>VLOOKUP(J12,Key!$E$2:$F$9,2,FALSE)</f>
        <v>Home</v>
      </c>
      <c r="L12" s="42" t="s">
        <v>220</v>
      </c>
      <c r="M12" s="43" t="s">
        <v>154</v>
      </c>
      <c r="N12" s="42" t="s">
        <v>160</v>
      </c>
      <c r="O12" s="43">
        <v>9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47"/>
      <c r="T12" s="47">
        <v>0.5</v>
      </c>
      <c r="U12" s="43">
        <v>2</v>
      </c>
      <c r="V12" s="43"/>
      <c r="W12" s="47"/>
      <c r="X12" s="47"/>
      <c r="Y12" s="48" t="s">
        <v>162</v>
      </c>
      <c r="Z12" s="49"/>
      <c r="AA12" s="25"/>
      <c r="AB12" s="25"/>
    </row>
    <row r="13" spans="2:35">
      <c r="B13" s="40">
        <v>0.69791666666666663</v>
      </c>
      <c r="C13" s="40" t="s">
        <v>371</v>
      </c>
      <c r="D13" s="41">
        <v>1</v>
      </c>
      <c r="E13" s="42">
        <v>2</v>
      </c>
      <c r="F13" s="42" t="s">
        <v>154</v>
      </c>
      <c r="G13" s="43" t="s">
        <v>154</v>
      </c>
      <c r="H13" s="42" t="s">
        <v>160</v>
      </c>
      <c r="I13" s="43">
        <v>16</v>
      </c>
      <c r="J13" s="43">
        <v>8</v>
      </c>
      <c r="K13" s="25" t="str">
        <f>VLOOKUP(J13,Key!$E$2:$F$9,2,FALSE)</f>
        <v>Others</v>
      </c>
      <c r="L13" s="42" t="s">
        <v>161</v>
      </c>
      <c r="M13" s="43" t="s">
        <v>154</v>
      </c>
      <c r="N13" s="42" t="s">
        <v>160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Others-Home</v>
      </c>
      <c r="S13" s="47">
        <v>27</v>
      </c>
      <c r="T13" s="47">
        <v>2</v>
      </c>
      <c r="U13" s="43">
        <v>6</v>
      </c>
      <c r="V13" s="43"/>
      <c r="W13" s="47"/>
      <c r="X13" s="47"/>
      <c r="Y13" s="48" t="s">
        <v>162</v>
      </c>
      <c r="Z13" s="49"/>
      <c r="AA13" s="25"/>
      <c r="AB13" s="25"/>
    </row>
    <row r="14" spans="2:35">
      <c r="B14" s="40">
        <v>0.69305555555555554</v>
      </c>
      <c r="C14" s="40" t="s">
        <v>379</v>
      </c>
      <c r="D14" s="41">
        <v>7</v>
      </c>
      <c r="E14" s="42">
        <v>4</v>
      </c>
      <c r="F14" s="42" t="s">
        <v>154</v>
      </c>
      <c r="G14" s="43" t="s">
        <v>154</v>
      </c>
      <c r="H14" s="42" t="s">
        <v>160</v>
      </c>
      <c r="I14" s="43">
        <v>10</v>
      </c>
      <c r="J14" s="43">
        <v>2</v>
      </c>
      <c r="K14" s="25" t="str">
        <f>VLOOKUP(J14,Key!$E$2:$F$9,2,FALSE)</f>
        <v>Work</v>
      </c>
      <c r="L14" s="42" t="s">
        <v>380</v>
      </c>
      <c r="M14" s="43" t="s">
        <v>154</v>
      </c>
      <c r="N14" s="42" t="s">
        <v>160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47"/>
      <c r="T14" s="47">
        <v>1</v>
      </c>
      <c r="U14" s="43">
        <v>2</v>
      </c>
      <c r="V14" s="43"/>
      <c r="W14" s="47"/>
      <c r="X14" s="47"/>
      <c r="Y14" s="48" t="s">
        <v>162</v>
      </c>
      <c r="Z14" s="49"/>
      <c r="AA14" s="25"/>
      <c r="AB14" s="25"/>
    </row>
    <row r="15" spans="2:35">
      <c r="B15" s="40">
        <v>0.70486111111111116</v>
      </c>
      <c r="C15" s="40" t="s">
        <v>381</v>
      </c>
      <c r="D15" s="41">
        <v>3</v>
      </c>
      <c r="E15" s="42">
        <v>3</v>
      </c>
      <c r="F15" s="42" t="s">
        <v>154</v>
      </c>
      <c r="G15" s="43" t="s">
        <v>154</v>
      </c>
      <c r="H15" s="42" t="s">
        <v>160</v>
      </c>
      <c r="I15" s="43">
        <v>1</v>
      </c>
      <c r="J15" s="43">
        <v>1</v>
      </c>
      <c r="K15" s="25" t="str">
        <f>VLOOKUP(J15,Key!$E$2:$F$9,2,FALSE)</f>
        <v>Home</v>
      </c>
      <c r="L15" s="42" t="s">
        <v>229</v>
      </c>
      <c r="M15" s="43" t="s">
        <v>155</v>
      </c>
      <c r="N15" s="42" t="s">
        <v>160</v>
      </c>
      <c r="O15" s="43">
        <v>11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47"/>
      <c r="T15" s="47">
        <v>2</v>
      </c>
      <c r="U15" s="43">
        <v>2</v>
      </c>
      <c r="V15" s="43"/>
      <c r="W15" s="47"/>
      <c r="X15" s="47"/>
      <c r="Y15" s="48" t="s">
        <v>162</v>
      </c>
      <c r="Z15" s="49"/>
      <c r="AA15" s="25"/>
      <c r="AB15" s="25"/>
    </row>
    <row r="16" spans="2:35">
      <c r="B16" s="40">
        <v>0.7006944444444444</v>
      </c>
      <c r="C16" s="40" t="s">
        <v>382</v>
      </c>
      <c r="D16" s="41">
        <v>4</v>
      </c>
      <c r="E16" s="42">
        <v>14</v>
      </c>
      <c r="F16" s="42" t="s">
        <v>154</v>
      </c>
      <c r="G16" s="43" t="s">
        <v>154</v>
      </c>
      <c r="H16" s="42" t="s">
        <v>160</v>
      </c>
      <c r="I16" s="43">
        <v>6</v>
      </c>
      <c r="J16" s="43">
        <v>2</v>
      </c>
      <c r="K16" s="25" t="str">
        <f>VLOOKUP(J16,Key!$E$2:$F$9,2,FALSE)</f>
        <v>Work</v>
      </c>
      <c r="L16" s="42" t="s">
        <v>229</v>
      </c>
      <c r="M16" s="43" t="s">
        <v>155</v>
      </c>
      <c r="N16" s="42" t="s">
        <v>160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7"/>
      <c r="T16" s="47">
        <v>2</v>
      </c>
      <c r="U16" s="43">
        <v>2</v>
      </c>
      <c r="V16" s="43"/>
      <c r="W16" s="47"/>
      <c r="X16" s="47"/>
      <c r="Y16" s="48" t="s">
        <v>162</v>
      </c>
      <c r="Z16" s="49"/>
      <c r="AA16" s="25"/>
      <c r="AB16" s="25"/>
    </row>
    <row r="17" spans="2:28">
      <c r="B17" s="40">
        <v>0.72569444444444453</v>
      </c>
      <c r="C17" s="40" t="s">
        <v>323</v>
      </c>
      <c r="D17" s="41">
        <v>2</v>
      </c>
      <c r="E17" s="42">
        <v>1</v>
      </c>
      <c r="F17" s="42" t="s">
        <v>154</v>
      </c>
      <c r="G17" s="43" t="s">
        <v>154</v>
      </c>
      <c r="H17" s="42" t="s">
        <v>160</v>
      </c>
      <c r="I17" s="43">
        <v>1</v>
      </c>
      <c r="J17" s="43">
        <v>1</v>
      </c>
      <c r="K17" s="25" t="str">
        <f>VLOOKUP(J17,Key!$E$2:$F$9,2,FALSE)</f>
        <v>Home</v>
      </c>
      <c r="L17" s="42" t="s">
        <v>220</v>
      </c>
      <c r="M17" s="43" t="s">
        <v>154</v>
      </c>
      <c r="N17" s="42" t="s">
        <v>160</v>
      </c>
      <c r="O17" s="43">
        <v>16</v>
      </c>
      <c r="P17" s="43">
        <v>8</v>
      </c>
      <c r="Q17" s="25" t="str">
        <f>VLOOKUP(P17,Key!$E$2:$F$9,2,FALSE)</f>
        <v>Others</v>
      </c>
      <c r="R17" s="25" t="str">
        <f t="shared" si="0"/>
        <v>Home-Others</v>
      </c>
      <c r="S17" s="47"/>
      <c r="T17" s="47">
        <v>0.3</v>
      </c>
      <c r="U17" s="43">
        <v>2</v>
      </c>
      <c r="V17" s="43"/>
      <c r="W17" s="47"/>
      <c r="X17" s="47"/>
      <c r="Y17" s="48" t="s">
        <v>162</v>
      </c>
      <c r="Z17" s="49"/>
      <c r="AA17" s="25"/>
      <c r="AB17" s="25"/>
    </row>
    <row r="18" spans="2:28">
      <c r="B18" s="40">
        <v>0.62847222222222221</v>
      </c>
      <c r="C18" s="40" t="s">
        <v>324</v>
      </c>
      <c r="D18" s="41">
        <v>4</v>
      </c>
      <c r="E18" s="42">
        <v>14</v>
      </c>
      <c r="F18" s="42" t="s">
        <v>154</v>
      </c>
      <c r="G18" s="43" t="s">
        <v>154</v>
      </c>
      <c r="H18" s="42" t="s">
        <v>160</v>
      </c>
      <c r="I18" s="43">
        <v>6</v>
      </c>
      <c r="J18" s="43">
        <v>2</v>
      </c>
      <c r="K18" s="25" t="str">
        <f>VLOOKUP(J18,Key!$E$2:$F$9,2,FALSE)</f>
        <v>Work</v>
      </c>
      <c r="L18" s="42" t="s">
        <v>300</v>
      </c>
      <c r="M18" s="43" t="s">
        <v>154</v>
      </c>
      <c r="N18" s="42" t="s">
        <v>160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7">
        <v>2</v>
      </c>
      <c r="T18" s="47"/>
      <c r="U18" s="43">
        <v>2</v>
      </c>
      <c r="V18" s="43"/>
      <c r="W18" s="47"/>
      <c r="X18" s="47"/>
      <c r="Y18" s="48" t="s">
        <v>162</v>
      </c>
      <c r="Z18" s="49"/>
      <c r="AA18" s="25"/>
      <c r="AB18" s="25"/>
    </row>
    <row r="19" spans="2:28">
      <c r="B19" s="40">
        <v>0.71875</v>
      </c>
      <c r="C19" s="40" t="s">
        <v>383</v>
      </c>
      <c r="D19" s="41">
        <v>3</v>
      </c>
      <c r="E19" s="42">
        <v>4</v>
      </c>
      <c r="F19" s="42" t="s">
        <v>154</v>
      </c>
      <c r="G19" s="43" t="s">
        <v>154</v>
      </c>
      <c r="H19" s="42" t="s">
        <v>160</v>
      </c>
      <c r="I19" s="43">
        <v>1</v>
      </c>
      <c r="J19" s="43">
        <v>1</v>
      </c>
      <c r="K19" s="25" t="str">
        <f>VLOOKUP(J19,Key!$E$2:$F$9,2,FALSE)</f>
        <v>Home</v>
      </c>
      <c r="L19" s="42" t="s">
        <v>187</v>
      </c>
      <c r="M19" s="43" t="s">
        <v>154</v>
      </c>
      <c r="N19" s="42" t="s">
        <v>160</v>
      </c>
      <c r="O19" s="43">
        <v>16</v>
      </c>
      <c r="P19" s="43">
        <v>8</v>
      </c>
      <c r="Q19" s="25" t="str">
        <f>VLOOKUP(P19,Key!$E$2:$F$9,2,FALSE)</f>
        <v>Others</v>
      </c>
      <c r="R19" s="25" t="str">
        <f t="shared" si="0"/>
        <v>Home-Others</v>
      </c>
      <c r="S19" s="47"/>
      <c r="T19" s="47"/>
      <c r="U19" s="43">
        <v>2</v>
      </c>
      <c r="V19" s="43"/>
      <c r="W19" s="47"/>
      <c r="X19" s="47"/>
      <c r="Y19" s="48" t="s">
        <v>162</v>
      </c>
      <c r="Z19" s="49"/>
      <c r="AA19" s="25"/>
      <c r="AB19" s="25"/>
    </row>
    <row r="20" spans="2:28">
      <c r="B20" s="40">
        <v>0.65486111111111112</v>
      </c>
      <c r="C20" s="40" t="s">
        <v>384</v>
      </c>
      <c r="D20" s="41">
        <v>1</v>
      </c>
      <c r="E20" s="42">
        <v>3</v>
      </c>
      <c r="F20" s="42" t="s">
        <v>154</v>
      </c>
      <c r="G20" s="43" t="s">
        <v>154</v>
      </c>
      <c r="H20" s="42" t="s">
        <v>160</v>
      </c>
      <c r="I20" s="43">
        <v>16</v>
      </c>
      <c r="J20" s="43">
        <v>8</v>
      </c>
      <c r="K20" s="25" t="str">
        <f>VLOOKUP(J20,Key!$E$2:$F$9,2,FALSE)</f>
        <v>Others</v>
      </c>
      <c r="L20" s="42" t="s">
        <v>229</v>
      </c>
      <c r="M20" s="43" t="s">
        <v>155</v>
      </c>
      <c r="N20" s="42" t="s">
        <v>160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Others-Home</v>
      </c>
      <c r="S20" s="47">
        <v>27</v>
      </c>
      <c r="T20" s="47">
        <v>2</v>
      </c>
      <c r="U20" s="43">
        <v>6</v>
      </c>
      <c r="V20" s="43"/>
      <c r="W20" s="47"/>
      <c r="X20" s="47"/>
      <c r="Y20" s="48" t="s">
        <v>162</v>
      </c>
      <c r="Z20" s="49"/>
      <c r="AA20" s="25"/>
      <c r="AB20" s="25"/>
    </row>
    <row r="21" spans="2:28">
      <c r="B21" s="40">
        <v>0.65069444444444446</v>
      </c>
      <c r="C21" s="40" t="s">
        <v>385</v>
      </c>
      <c r="D21" s="41">
        <v>4</v>
      </c>
      <c r="E21" s="42">
        <v>14</v>
      </c>
      <c r="F21" s="42" t="s">
        <v>154</v>
      </c>
      <c r="G21" s="43" t="s">
        <v>154</v>
      </c>
      <c r="H21" s="42" t="s">
        <v>160</v>
      </c>
      <c r="I21" s="43">
        <v>6</v>
      </c>
      <c r="J21" s="43">
        <v>2</v>
      </c>
      <c r="K21" s="25" t="str">
        <f>VLOOKUP(J21,Key!$E$2:$F$9,2,FALSE)</f>
        <v>Work</v>
      </c>
      <c r="L21" s="42" t="s">
        <v>155</v>
      </c>
      <c r="M21" s="43" t="s">
        <v>154</v>
      </c>
      <c r="N21" s="42" t="s">
        <v>160</v>
      </c>
      <c r="O21" s="43">
        <v>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7">
        <v>15</v>
      </c>
      <c r="T21" s="47">
        <v>1</v>
      </c>
      <c r="U21" s="43">
        <v>2</v>
      </c>
      <c r="V21" s="43"/>
      <c r="W21" s="47"/>
      <c r="X21" s="47"/>
      <c r="Y21" s="48" t="s">
        <v>162</v>
      </c>
      <c r="Z21" s="49"/>
      <c r="AA21" s="25"/>
      <c r="AB21" s="25"/>
    </row>
    <row r="22" spans="2:28">
      <c r="B22" s="40">
        <v>0.66527777777777775</v>
      </c>
      <c r="C22" s="40" t="s">
        <v>368</v>
      </c>
      <c r="D22" s="41">
        <v>1</v>
      </c>
      <c r="E22" s="42">
        <v>3</v>
      </c>
      <c r="F22" s="42" t="s">
        <v>154</v>
      </c>
      <c r="G22" s="43" t="s">
        <v>154</v>
      </c>
      <c r="H22" s="42" t="s">
        <v>160</v>
      </c>
      <c r="I22" s="43">
        <v>9</v>
      </c>
      <c r="J22" s="43">
        <v>2</v>
      </c>
      <c r="K22" s="25" t="str">
        <f>VLOOKUP(J22,Key!$E$2:$F$9,2,FALSE)</f>
        <v>Work</v>
      </c>
      <c r="L22" s="42" t="s">
        <v>229</v>
      </c>
      <c r="M22" s="43" t="s">
        <v>155</v>
      </c>
      <c r="N22" s="42" t="s">
        <v>160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47"/>
      <c r="T22" s="47">
        <v>1.5</v>
      </c>
      <c r="U22" s="43">
        <v>1</v>
      </c>
      <c r="V22" s="43"/>
      <c r="W22" s="47"/>
      <c r="X22" s="47"/>
      <c r="Y22" s="48" t="s">
        <v>162</v>
      </c>
      <c r="Z22" s="49"/>
      <c r="AA22" s="25"/>
      <c r="AB22" s="25"/>
    </row>
    <row r="23" spans="2:28">
      <c r="B23" s="40">
        <v>0.67361111111111116</v>
      </c>
      <c r="C23" s="40" t="s">
        <v>367</v>
      </c>
      <c r="D23" s="41">
        <v>4</v>
      </c>
      <c r="E23" s="42">
        <v>14</v>
      </c>
      <c r="F23" s="42" t="s">
        <v>168</v>
      </c>
      <c r="G23" s="43" t="s">
        <v>168</v>
      </c>
      <c r="H23" s="42" t="s">
        <v>160</v>
      </c>
      <c r="I23" s="43">
        <v>6</v>
      </c>
      <c r="J23" s="43">
        <v>2</v>
      </c>
      <c r="K23" s="25" t="str">
        <f>VLOOKUP(J23,Key!$E$2:$F$9,2,FALSE)</f>
        <v>Work</v>
      </c>
      <c r="L23" s="42" t="s">
        <v>155</v>
      </c>
      <c r="M23" s="43" t="s">
        <v>155</v>
      </c>
      <c r="N23" s="42" t="s">
        <v>160</v>
      </c>
      <c r="O23" s="43">
        <v>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7">
        <v>160</v>
      </c>
      <c r="T23" s="47">
        <v>4</v>
      </c>
      <c r="U23" s="43">
        <v>2</v>
      </c>
      <c r="V23" s="43"/>
      <c r="W23" s="47"/>
      <c r="X23" s="47"/>
      <c r="Y23" s="48" t="s">
        <v>162</v>
      </c>
      <c r="Z23" s="49"/>
      <c r="AA23" s="25"/>
      <c r="AB23" s="25"/>
    </row>
    <row r="24" spans="2:28">
      <c r="B24" s="40">
        <v>0.66319444444444442</v>
      </c>
      <c r="C24" s="40" t="s">
        <v>386</v>
      </c>
      <c r="D24" s="41">
        <v>4</v>
      </c>
      <c r="E24" s="42">
        <v>3</v>
      </c>
      <c r="F24" s="42" t="s">
        <v>185</v>
      </c>
      <c r="G24" s="43" t="s">
        <v>387</v>
      </c>
      <c r="H24" s="42" t="s">
        <v>160</v>
      </c>
      <c r="I24" s="43">
        <v>1</v>
      </c>
      <c r="J24" s="43">
        <v>1</v>
      </c>
      <c r="K24" s="25" t="str">
        <f>VLOOKUP(J24,Key!$E$2:$F$9,2,FALSE)</f>
        <v>Home</v>
      </c>
      <c r="L24" s="42" t="s">
        <v>229</v>
      </c>
      <c r="M24" s="43" t="s">
        <v>155</v>
      </c>
      <c r="N24" s="42" t="s">
        <v>160</v>
      </c>
      <c r="O24" s="43">
        <v>6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47"/>
      <c r="T24" s="47">
        <v>2</v>
      </c>
      <c r="U24" s="43">
        <v>2</v>
      </c>
      <c r="V24" s="43"/>
      <c r="W24" s="47"/>
      <c r="X24" s="47"/>
      <c r="Y24" s="48" t="s">
        <v>162</v>
      </c>
      <c r="Z24" s="49"/>
      <c r="AA24" s="25"/>
      <c r="AB24" s="25"/>
    </row>
    <row r="25" spans="2:28">
      <c r="B25" s="40">
        <v>0.65763888888888888</v>
      </c>
      <c r="C25" s="40" t="s">
        <v>369</v>
      </c>
      <c r="D25" s="41">
        <v>2</v>
      </c>
      <c r="E25" s="42">
        <v>2</v>
      </c>
      <c r="F25" s="42" t="s">
        <v>154</v>
      </c>
      <c r="G25" s="43" t="s">
        <v>154</v>
      </c>
      <c r="H25" s="42" t="s">
        <v>160</v>
      </c>
      <c r="I25" s="43">
        <v>1</v>
      </c>
      <c r="J25" s="43">
        <v>1</v>
      </c>
      <c r="K25" s="25" t="str">
        <f>VLOOKUP(J25,Key!$E$2:$F$9,2,FALSE)</f>
        <v>Home</v>
      </c>
      <c r="L25" s="42" t="s">
        <v>155</v>
      </c>
      <c r="M25" s="43" t="s">
        <v>155</v>
      </c>
      <c r="N25" s="42" t="s">
        <v>160</v>
      </c>
      <c r="O25" s="43">
        <v>11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47">
        <v>15</v>
      </c>
      <c r="T25" s="47"/>
      <c r="U25" s="43">
        <v>2</v>
      </c>
      <c r="V25" s="43"/>
      <c r="W25" s="47"/>
      <c r="X25" s="47"/>
      <c r="Y25" s="48" t="s">
        <v>162</v>
      </c>
      <c r="Z25" s="49"/>
      <c r="AA25" s="25"/>
      <c r="AB25" s="25"/>
    </row>
    <row r="26" spans="2:28">
      <c r="B26" s="40">
        <v>0.72569444444444453</v>
      </c>
      <c r="C26" s="40" t="s">
        <v>388</v>
      </c>
      <c r="D26" s="41">
        <v>2</v>
      </c>
      <c r="E26" s="42">
        <v>2</v>
      </c>
      <c r="F26" s="42" t="s">
        <v>154</v>
      </c>
      <c r="G26" s="43" t="s">
        <v>154</v>
      </c>
      <c r="H26" s="42" t="s">
        <v>160</v>
      </c>
      <c r="I26" s="43">
        <v>1</v>
      </c>
      <c r="J26" s="43">
        <v>1</v>
      </c>
      <c r="K26" s="25" t="str">
        <f>VLOOKUP(J26,Key!$E$2:$F$9,2,FALSE)</f>
        <v>Home</v>
      </c>
      <c r="L26" s="42" t="s">
        <v>155</v>
      </c>
      <c r="M26" s="43" t="s">
        <v>155</v>
      </c>
      <c r="N26" s="42" t="s">
        <v>160</v>
      </c>
      <c r="O26" s="43">
        <v>3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47">
        <v>15</v>
      </c>
      <c r="T26" s="47">
        <v>2</v>
      </c>
      <c r="U26" s="43">
        <v>2</v>
      </c>
      <c r="V26" s="43"/>
      <c r="W26" s="47"/>
      <c r="X26" s="47"/>
      <c r="Y26" s="48" t="s">
        <v>162</v>
      </c>
      <c r="Z26" s="49"/>
      <c r="AA26" s="25"/>
      <c r="AB26" s="25"/>
    </row>
    <row r="27" spans="2:28">
      <c r="B27" s="40">
        <v>0.7284722222222223</v>
      </c>
      <c r="C27" s="40" t="s">
        <v>373</v>
      </c>
      <c r="D27" s="41">
        <v>3</v>
      </c>
      <c r="E27" s="42">
        <v>4</v>
      </c>
      <c r="F27" s="42" t="s">
        <v>154</v>
      </c>
      <c r="G27" s="43" t="s">
        <v>154</v>
      </c>
      <c r="H27" s="42" t="s">
        <v>160</v>
      </c>
      <c r="I27" s="43">
        <v>5</v>
      </c>
      <c r="J27" s="43">
        <v>7</v>
      </c>
      <c r="K27" s="25" t="str">
        <f>VLOOKUP(J27,Key!$E$2:$F$9,2,FALSE)</f>
        <v>Hospital</v>
      </c>
      <c r="L27" s="42" t="s">
        <v>220</v>
      </c>
      <c r="M27" s="43" t="s">
        <v>154</v>
      </c>
      <c r="N27" s="42" t="s">
        <v>160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Hospital-Home</v>
      </c>
      <c r="S27" s="47"/>
      <c r="T27" s="47">
        <v>0.5</v>
      </c>
      <c r="U27" s="43">
        <v>6</v>
      </c>
      <c r="V27" s="43"/>
      <c r="W27" s="47"/>
      <c r="X27" s="47"/>
      <c r="Y27" s="48" t="s">
        <v>162</v>
      </c>
      <c r="Z27" s="49"/>
      <c r="AA27" s="25"/>
      <c r="AB27" s="25"/>
    </row>
    <row r="28" spans="2:28">
      <c r="B28" s="40">
        <v>0.45763888888888887</v>
      </c>
      <c r="C28" s="40" t="s">
        <v>389</v>
      </c>
      <c r="D28" s="41">
        <v>2</v>
      </c>
      <c r="E28" s="42">
        <v>3</v>
      </c>
      <c r="F28" s="42" t="s">
        <v>154</v>
      </c>
      <c r="G28" s="43" t="s">
        <v>154</v>
      </c>
      <c r="H28" s="42" t="s">
        <v>160</v>
      </c>
      <c r="I28" s="43">
        <v>1</v>
      </c>
      <c r="J28" s="43">
        <v>1</v>
      </c>
      <c r="K28" s="25" t="str">
        <f>VLOOKUP(J28,Key!$E$2:$F$9,2,FALSE)</f>
        <v>Home</v>
      </c>
      <c r="L28" s="42" t="s">
        <v>380</v>
      </c>
      <c r="M28" s="43" t="s">
        <v>154</v>
      </c>
      <c r="N28" s="42" t="s">
        <v>160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47">
        <v>15</v>
      </c>
      <c r="T28" s="47">
        <v>0.3</v>
      </c>
      <c r="U28" s="43">
        <v>2</v>
      </c>
      <c r="V28" s="43"/>
      <c r="W28" s="47"/>
      <c r="X28" s="47"/>
      <c r="Y28" s="48" t="s">
        <v>162</v>
      </c>
      <c r="Z28" s="49"/>
      <c r="AA28" s="25"/>
      <c r="AB28" s="25"/>
    </row>
    <row r="29" spans="2:28">
      <c r="B29" s="40">
        <v>0.46249999999999997</v>
      </c>
      <c r="C29" s="40" t="s">
        <v>390</v>
      </c>
      <c r="D29" s="41">
        <v>1</v>
      </c>
      <c r="E29" s="42">
        <v>3</v>
      </c>
      <c r="F29" s="42" t="s">
        <v>154</v>
      </c>
      <c r="G29" s="43" t="s">
        <v>154</v>
      </c>
      <c r="H29" s="42" t="s">
        <v>160</v>
      </c>
      <c r="I29" s="43">
        <v>1</v>
      </c>
      <c r="J29" s="43">
        <v>1</v>
      </c>
      <c r="K29" s="25" t="str">
        <f>VLOOKUP(J29,Key!$E$2:$F$9,2,FALSE)</f>
        <v>Home</v>
      </c>
      <c r="L29" s="42" t="s">
        <v>155</v>
      </c>
      <c r="M29" s="43" t="s">
        <v>155</v>
      </c>
      <c r="N29" s="42" t="s">
        <v>160</v>
      </c>
      <c r="O29" s="43">
        <v>9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47">
        <v>5</v>
      </c>
      <c r="T29" s="47">
        <v>1.5</v>
      </c>
      <c r="U29" s="43">
        <v>4</v>
      </c>
      <c r="V29" s="43"/>
      <c r="W29" s="47"/>
      <c r="X29" s="47"/>
      <c r="Y29" s="48" t="s">
        <v>162</v>
      </c>
      <c r="Z29" s="49"/>
      <c r="AA29" s="25"/>
      <c r="AB29" s="25"/>
    </row>
    <row r="30" spans="2:28">
      <c r="B30" s="40">
        <v>0.46597222222222223</v>
      </c>
      <c r="C30" s="40" t="s">
        <v>391</v>
      </c>
      <c r="D30" s="41">
        <v>3</v>
      </c>
      <c r="E30" s="42">
        <v>1</v>
      </c>
      <c r="F30" s="42" t="s">
        <v>154</v>
      </c>
      <c r="G30" s="43" t="s">
        <v>154</v>
      </c>
      <c r="H30" s="42" t="s">
        <v>160</v>
      </c>
      <c r="I30" s="43">
        <v>1</v>
      </c>
      <c r="J30" s="43">
        <v>1</v>
      </c>
      <c r="K30" s="25" t="str">
        <f>VLOOKUP(J30,Key!$E$2:$F$9,2,FALSE)</f>
        <v>Home</v>
      </c>
      <c r="L30" s="42" t="s">
        <v>392</v>
      </c>
      <c r="M30" s="43" t="s">
        <v>154</v>
      </c>
      <c r="N30" s="42" t="s">
        <v>160</v>
      </c>
      <c r="O30" s="43">
        <v>4</v>
      </c>
      <c r="P30" s="43">
        <v>3</v>
      </c>
      <c r="Q30" s="25" t="str">
        <f>VLOOKUP(P30,Key!$E$2:$F$9,2,FALSE)</f>
        <v>Study</v>
      </c>
      <c r="R30" s="25" t="str">
        <f t="shared" si="0"/>
        <v>Home-Study</v>
      </c>
      <c r="S30" s="47">
        <v>16</v>
      </c>
      <c r="T30" s="47">
        <v>0.7</v>
      </c>
      <c r="U30" s="43">
        <v>5</v>
      </c>
      <c r="V30" s="43"/>
      <c r="W30" s="47"/>
      <c r="X30" s="47"/>
      <c r="Y30" s="48" t="s">
        <v>162</v>
      </c>
      <c r="Z30" s="49">
        <v>1000</v>
      </c>
      <c r="AA30" s="25"/>
      <c r="AB30" s="25"/>
    </row>
    <row r="31" spans="2:28">
      <c r="B31" s="40">
        <v>0.4680555555555555</v>
      </c>
      <c r="C31" s="40" t="s">
        <v>393</v>
      </c>
      <c r="D31" s="41">
        <v>2</v>
      </c>
      <c r="E31" s="42">
        <v>3</v>
      </c>
      <c r="F31" s="42" t="s">
        <v>164</v>
      </c>
      <c r="G31" s="43" t="s">
        <v>164</v>
      </c>
      <c r="H31" s="42" t="s">
        <v>160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155</v>
      </c>
      <c r="M31" s="43" t="s">
        <v>154</v>
      </c>
      <c r="N31" s="42" t="s">
        <v>160</v>
      </c>
      <c r="O31" s="43">
        <v>3</v>
      </c>
      <c r="P31" s="43">
        <v>4</v>
      </c>
      <c r="Q31" s="25" t="str">
        <f>VLOOKUP(P31,Key!$E$2:$F$9,2,FALSE)</f>
        <v>Commercial</v>
      </c>
      <c r="R31" s="25" t="str">
        <f t="shared" si="0"/>
        <v>Home-Commercial</v>
      </c>
      <c r="S31" s="47">
        <v>5</v>
      </c>
      <c r="T31" s="47">
        <v>0.8</v>
      </c>
      <c r="U31" s="43">
        <v>6</v>
      </c>
      <c r="V31" s="43"/>
      <c r="W31" s="47"/>
      <c r="X31" s="47"/>
      <c r="Y31" s="48" t="s">
        <v>162</v>
      </c>
      <c r="Z31" s="49"/>
      <c r="AA31" s="25"/>
      <c r="AB31" s="25"/>
    </row>
    <row r="32" spans="2:28">
      <c r="B32" s="40">
        <v>0.47083333333333338</v>
      </c>
      <c r="C32" s="40" t="s">
        <v>394</v>
      </c>
      <c r="D32" s="41">
        <v>4</v>
      </c>
      <c r="E32" s="42">
        <v>1</v>
      </c>
      <c r="F32" s="42" t="s">
        <v>154</v>
      </c>
      <c r="G32" s="43" t="s">
        <v>154</v>
      </c>
      <c r="H32" s="42" t="s">
        <v>160</v>
      </c>
      <c r="I32" s="43">
        <v>1</v>
      </c>
      <c r="J32" s="43">
        <v>1</v>
      </c>
      <c r="K32" s="25" t="str">
        <f>VLOOKUP(J32,Key!$E$2:$F$9,2,FALSE)</f>
        <v>Home</v>
      </c>
      <c r="L32" s="42" t="s">
        <v>187</v>
      </c>
      <c r="M32" s="43" t="s">
        <v>154</v>
      </c>
      <c r="N32" s="42" t="s">
        <v>160</v>
      </c>
      <c r="O32" s="43">
        <v>6</v>
      </c>
      <c r="P32" s="43">
        <v>8</v>
      </c>
      <c r="Q32" s="25" t="str">
        <f>VLOOKUP(P32,Key!$E$2:$F$9,2,FALSE)</f>
        <v>Others</v>
      </c>
      <c r="R32" s="25" t="str">
        <f t="shared" si="0"/>
        <v>Home-Others</v>
      </c>
      <c r="S32" s="47">
        <v>15</v>
      </c>
      <c r="T32" s="47">
        <v>0.5</v>
      </c>
      <c r="U32" s="43">
        <v>6</v>
      </c>
      <c r="V32" s="43"/>
      <c r="W32" s="47"/>
      <c r="X32" s="47"/>
      <c r="Y32" s="48" t="s">
        <v>162</v>
      </c>
      <c r="Z32" s="49"/>
      <c r="AA32" s="25"/>
      <c r="AB32" s="25"/>
    </row>
    <row r="33" spans="2:28">
      <c r="B33" s="40">
        <v>0.47361111111111115</v>
      </c>
      <c r="C33" s="40" t="s">
        <v>395</v>
      </c>
      <c r="D33" s="41">
        <v>1</v>
      </c>
      <c r="E33" s="42">
        <v>3</v>
      </c>
      <c r="F33" s="42" t="s">
        <v>185</v>
      </c>
      <c r="G33" s="43" t="s">
        <v>387</v>
      </c>
      <c r="H33" s="42" t="s">
        <v>160</v>
      </c>
      <c r="I33" s="43">
        <v>1</v>
      </c>
      <c r="J33" s="43">
        <v>1</v>
      </c>
      <c r="K33" s="25" t="str">
        <f>VLOOKUP(J33,Key!$E$2:$F$9,2,FALSE)</f>
        <v>Home</v>
      </c>
      <c r="L33" s="42" t="s">
        <v>155</v>
      </c>
      <c r="M33" s="43" t="s">
        <v>154</v>
      </c>
      <c r="N33" s="42" t="s">
        <v>160</v>
      </c>
      <c r="O33" s="43">
        <v>10</v>
      </c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47">
        <v>16</v>
      </c>
      <c r="T33" s="47">
        <v>0.6</v>
      </c>
      <c r="U33" s="43">
        <v>4</v>
      </c>
      <c r="V33" s="43"/>
      <c r="W33" s="47"/>
      <c r="X33" s="47"/>
      <c r="Y33" s="48" t="s">
        <v>162</v>
      </c>
      <c r="Z33" s="49"/>
      <c r="AA33" s="25"/>
      <c r="AB33" s="25"/>
    </row>
    <row r="34" spans="2:28">
      <c r="B34" s="40">
        <v>0.47569444444444442</v>
      </c>
      <c r="C34" s="40" t="s">
        <v>396</v>
      </c>
      <c r="D34" s="41">
        <v>1</v>
      </c>
      <c r="E34" s="42">
        <v>4</v>
      </c>
      <c r="F34" s="42" t="s">
        <v>154</v>
      </c>
      <c r="G34" s="43" t="s">
        <v>154</v>
      </c>
      <c r="H34" s="42" t="s">
        <v>160</v>
      </c>
      <c r="I34" s="43">
        <v>1</v>
      </c>
      <c r="J34" s="43">
        <v>1</v>
      </c>
      <c r="K34" s="25" t="str">
        <f>VLOOKUP(J34,Key!$E$2:$F$9,2,FALSE)</f>
        <v>Home</v>
      </c>
      <c r="L34" s="42" t="s">
        <v>189</v>
      </c>
      <c r="M34" s="43" t="s">
        <v>154</v>
      </c>
      <c r="N34" s="42" t="s">
        <v>160</v>
      </c>
      <c r="O34" s="43">
        <v>16</v>
      </c>
      <c r="P34" s="43">
        <v>8</v>
      </c>
      <c r="Q34" s="25" t="str">
        <f>VLOOKUP(P34,Key!$E$2:$F$9,2,FALSE)</f>
        <v>Others</v>
      </c>
      <c r="R34" s="25" t="str">
        <f t="shared" si="0"/>
        <v>Home-Others</v>
      </c>
      <c r="S34" s="47"/>
      <c r="T34" s="47">
        <v>0.5</v>
      </c>
      <c r="U34" s="43">
        <v>1</v>
      </c>
      <c r="V34" s="43"/>
      <c r="W34" s="47"/>
      <c r="X34" s="47"/>
      <c r="Y34" s="48" t="s">
        <v>162</v>
      </c>
      <c r="Z34" s="49"/>
      <c r="AA34" s="25"/>
      <c r="AB34" s="25"/>
    </row>
    <row r="35" spans="2:28">
      <c r="B35" s="40">
        <v>0.47847222222222219</v>
      </c>
      <c r="C35" s="40" t="s">
        <v>397</v>
      </c>
      <c r="D35" s="41">
        <v>4</v>
      </c>
      <c r="E35" s="42">
        <v>14</v>
      </c>
      <c r="F35" s="42" t="s">
        <v>154</v>
      </c>
      <c r="G35" s="43" t="s">
        <v>154</v>
      </c>
      <c r="H35" s="42" t="s">
        <v>160</v>
      </c>
      <c r="I35" s="43">
        <v>6</v>
      </c>
      <c r="J35" s="43">
        <v>2</v>
      </c>
      <c r="K35" s="25" t="str">
        <f>VLOOKUP(J35,Key!$E$2:$F$9,2,FALSE)</f>
        <v>Work</v>
      </c>
      <c r="L35" s="42" t="s">
        <v>398</v>
      </c>
      <c r="M35" s="43" t="s">
        <v>399</v>
      </c>
      <c r="N35" s="42" t="s">
        <v>160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7">
        <v>85</v>
      </c>
      <c r="T35" s="47">
        <v>2</v>
      </c>
      <c r="U35" s="43">
        <v>2</v>
      </c>
      <c r="V35" s="43"/>
      <c r="W35" s="47"/>
      <c r="X35" s="47"/>
      <c r="Y35" s="48" t="s">
        <v>162</v>
      </c>
      <c r="Z35" s="49"/>
      <c r="AA35" s="25"/>
      <c r="AB35" s="25"/>
    </row>
    <row r="36" spans="2:28">
      <c r="B36" s="40">
        <v>0.48125000000000001</v>
      </c>
      <c r="C36" s="40" t="s">
        <v>351</v>
      </c>
      <c r="D36" s="41">
        <v>1</v>
      </c>
      <c r="E36" s="42">
        <v>2</v>
      </c>
      <c r="F36" s="42" t="s">
        <v>154</v>
      </c>
      <c r="G36" s="43" t="s">
        <v>154</v>
      </c>
      <c r="H36" s="42" t="s">
        <v>160</v>
      </c>
      <c r="I36" s="43">
        <v>1</v>
      </c>
      <c r="J36" s="43">
        <v>1</v>
      </c>
      <c r="K36" s="25" t="str">
        <f>VLOOKUP(J36,Key!$E$2:$F$9,2,FALSE)</f>
        <v>Home</v>
      </c>
      <c r="L36" s="42" t="s">
        <v>392</v>
      </c>
      <c r="M36" s="43" t="s">
        <v>154</v>
      </c>
      <c r="N36" s="42" t="s">
        <v>160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47">
        <v>10</v>
      </c>
      <c r="T36" s="47">
        <v>0.5</v>
      </c>
      <c r="U36" s="43">
        <v>2</v>
      </c>
      <c r="V36" s="43"/>
      <c r="W36" s="47"/>
      <c r="X36" s="47"/>
      <c r="Y36" s="48" t="s">
        <v>162</v>
      </c>
      <c r="Z36" s="49"/>
      <c r="AA36" s="25"/>
      <c r="AB36" s="25"/>
    </row>
    <row r="37" spans="2:28">
      <c r="B37" s="40">
        <v>0.48402777777777778</v>
      </c>
      <c r="C37" s="40" t="s">
        <v>400</v>
      </c>
      <c r="D37" s="41">
        <v>1</v>
      </c>
      <c r="E37" s="42">
        <v>3</v>
      </c>
      <c r="F37" s="42" t="s">
        <v>154</v>
      </c>
      <c r="G37" s="43" t="s">
        <v>154</v>
      </c>
      <c r="H37" s="42" t="s">
        <v>160</v>
      </c>
      <c r="I37" s="43">
        <v>1</v>
      </c>
      <c r="J37" s="43">
        <v>1</v>
      </c>
      <c r="K37" s="25" t="str">
        <f>VLOOKUP(J37,Key!$E$2:$F$9,2,FALSE)</f>
        <v>Home</v>
      </c>
      <c r="L37" s="42" t="s">
        <v>401</v>
      </c>
      <c r="M37" s="43" t="s">
        <v>154</v>
      </c>
      <c r="N37" s="42" t="s">
        <v>160</v>
      </c>
      <c r="O37" s="43">
        <v>5</v>
      </c>
      <c r="P37" s="43">
        <v>7</v>
      </c>
      <c r="Q37" s="25" t="str">
        <f>VLOOKUP(P37,Key!$E$2:$F$9,2,FALSE)</f>
        <v>Hospital</v>
      </c>
      <c r="R37" s="25" t="str">
        <f t="shared" si="0"/>
        <v>Home-Hospital</v>
      </c>
      <c r="S37" s="47"/>
      <c r="T37" s="47">
        <v>0.5</v>
      </c>
      <c r="U37" s="43">
        <v>6</v>
      </c>
      <c r="V37" s="43"/>
      <c r="W37" s="47"/>
      <c r="X37" s="47"/>
      <c r="Y37" s="48" t="s">
        <v>162</v>
      </c>
      <c r="Z37" s="49"/>
      <c r="AA37" s="25"/>
      <c r="AB37" s="25"/>
    </row>
    <row r="38" spans="2:28">
      <c r="B38" s="40">
        <v>0.4861111111111111</v>
      </c>
      <c r="C38" s="40" t="s">
        <v>402</v>
      </c>
      <c r="D38" s="41">
        <v>2</v>
      </c>
      <c r="E38" s="42">
        <v>1</v>
      </c>
      <c r="F38" s="42" t="s">
        <v>154</v>
      </c>
      <c r="G38" s="43" t="s">
        <v>154</v>
      </c>
      <c r="H38" s="42" t="s">
        <v>160</v>
      </c>
      <c r="I38" s="43">
        <v>1</v>
      </c>
      <c r="J38" s="43">
        <v>1</v>
      </c>
      <c r="K38" s="25" t="str">
        <f>VLOOKUP(J38,Key!$E$2:$F$9,2,FALSE)</f>
        <v>Home</v>
      </c>
      <c r="L38" s="42" t="s">
        <v>300</v>
      </c>
      <c r="M38" s="43" t="s">
        <v>154</v>
      </c>
      <c r="N38" s="42" t="s">
        <v>160</v>
      </c>
      <c r="O38" s="43">
        <v>11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47">
        <v>5</v>
      </c>
      <c r="T38" s="47">
        <v>0.5</v>
      </c>
      <c r="U38" s="43">
        <v>2</v>
      </c>
      <c r="V38" s="43"/>
      <c r="W38" s="47"/>
      <c r="X38" s="47"/>
      <c r="Y38" s="48" t="s">
        <v>162</v>
      </c>
      <c r="Z38" s="49"/>
      <c r="AA38" s="25"/>
      <c r="AB38" s="25"/>
    </row>
    <row r="39" spans="2:28">
      <c r="B39" s="40">
        <v>0.48888888888888887</v>
      </c>
      <c r="C39" s="40" t="s">
        <v>309</v>
      </c>
      <c r="D39" s="41">
        <v>11</v>
      </c>
      <c r="E39" s="42">
        <v>3</v>
      </c>
      <c r="F39" s="42" t="s">
        <v>154</v>
      </c>
      <c r="G39" s="43" t="s">
        <v>154</v>
      </c>
      <c r="H39" s="42" t="s">
        <v>160</v>
      </c>
      <c r="I39" s="43">
        <v>8</v>
      </c>
      <c r="J39" s="43">
        <v>2</v>
      </c>
      <c r="K39" s="25" t="str">
        <f>VLOOKUP(J39,Key!$E$2:$F$9,2,FALSE)</f>
        <v>Work</v>
      </c>
      <c r="L39" s="42" t="s">
        <v>155</v>
      </c>
      <c r="M39" s="43" t="s">
        <v>155</v>
      </c>
      <c r="N39" s="42" t="s">
        <v>160</v>
      </c>
      <c r="O39" s="43">
        <v>8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47">
        <v>15</v>
      </c>
      <c r="T39" s="47">
        <v>0.8</v>
      </c>
      <c r="U39" s="43">
        <v>2</v>
      </c>
      <c r="V39" s="43"/>
      <c r="W39" s="47"/>
      <c r="X39" s="47"/>
      <c r="Y39" s="48" t="s">
        <v>162</v>
      </c>
      <c r="Z39" s="49"/>
      <c r="AA39" s="25"/>
      <c r="AB39" s="25"/>
    </row>
    <row r="40" spans="2:28">
      <c r="B40" s="40">
        <v>0.4916666666666667</v>
      </c>
      <c r="C40" s="40" t="s">
        <v>496</v>
      </c>
      <c r="D40" s="41">
        <v>3</v>
      </c>
      <c r="E40" s="42">
        <v>3</v>
      </c>
      <c r="F40" s="42" t="s">
        <v>154</v>
      </c>
      <c r="G40" s="43" t="s">
        <v>154</v>
      </c>
      <c r="H40" s="42" t="s">
        <v>160</v>
      </c>
      <c r="I40" s="43">
        <v>1</v>
      </c>
      <c r="J40" s="43">
        <v>1</v>
      </c>
      <c r="K40" s="25" t="str">
        <f>VLOOKUP(J40,Key!$E$2:$F$9,2,FALSE)</f>
        <v>Home</v>
      </c>
      <c r="L40" s="42" t="s">
        <v>403</v>
      </c>
      <c r="M40" s="43" t="s">
        <v>154</v>
      </c>
      <c r="N40" s="42" t="s">
        <v>160</v>
      </c>
      <c r="O40" s="43">
        <v>2</v>
      </c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47">
        <v>8</v>
      </c>
      <c r="T40" s="47">
        <v>0.5</v>
      </c>
      <c r="U40" s="43">
        <v>2</v>
      </c>
      <c r="V40" s="43"/>
      <c r="W40" s="47"/>
      <c r="X40" s="47"/>
      <c r="Y40" s="48" t="s">
        <v>162</v>
      </c>
      <c r="Z40" s="49"/>
      <c r="AA40" s="25"/>
      <c r="AB40" s="25"/>
    </row>
    <row r="41" spans="2:28">
      <c r="B41" s="40">
        <v>0.49791666666666662</v>
      </c>
      <c r="C41" s="40" t="s">
        <v>404</v>
      </c>
      <c r="D41" s="41">
        <v>1</v>
      </c>
      <c r="E41" s="42">
        <v>4</v>
      </c>
      <c r="F41" s="42" t="s">
        <v>176</v>
      </c>
      <c r="G41" s="43" t="s">
        <v>405</v>
      </c>
      <c r="H41" s="42" t="s">
        <v>160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155</v>
      </c>
      <c r="M41" s="43" t="s">
        <v>155</v>
      </c>
      <c r="N41" s="42" t="s">
        <v>160</v>
      </c>
      <c r="O41" s="43">
        <v>16</v>
      </c>
      <c r="P41" s="43">
        <v>8</v>
      </c>
      <c r="Q41" s="25" t="str">
        <f>VLOOKUP(P41,Key!$E$2:$F$9,2,FALSE)</f>
        <v>Others</v>
      </c>
      <c r="R41" s="25" t="str">
        <f t="shared" si="1"/>
        <v>Home-Others</v>
      </c>
      <c r="S41" s="47">
        <v>15</v>
      </c>
      <c r="T41" s="47">
        <v>0.8</v>
      </c>
      <c r="U41" s="43">
        <v>6</v>
      </c>
      <c r="V41" s="43"/>
      <c r="W41" s="47"/>
      <c r="X41" s="47"/>
      <c r="Y41" s="48" t="s">
        <v>162</v>
      </c>
      <c r="Z41" s="49"/>
      <c r="AA41" s="25"/>
      <c r="AB41" s="25"/>
    </row>
    <row r="42" spans="2:28">
      <c r="B42" s="40">
        <v>6.9444444444444441E-3</v>
      </c>
      <c r="C42" s="40" t="s">
        <v>406</v>
      </c>
      <c r="D42" s="41">
        <v>3</v>
      </c>
      <c r="E42" s="42">
        <v>1</v>
      </c>
      <c r="F42" s="42" t="s">
        <v>154</v>
      </c>
      <c r="G42" s="43" t="s">
        <v>154</v>
      </c>
      <c r="H42" s="42" t="s">
        <v>160</v>
      </c>
      <c r="I42" s="43">
        <v>9</v>
      </c>
      <c r="J42" s="43">
        <v>2</v>
      </c>
      <c r="K42" s="25" t="str">
        <f>VLOOKUP(J42,Key!$E$2:$F$9,2,FALSE)</f>
        <v>Work</v>
      </c>
      <c r="L42" s="42" t="s">
        <v>407</v>
      </c>
      <c r="M42" s="43" t="s">
        <v>154</v>
      </c>
      <c r="N42" s="42" t="s">
        <v>160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47"/>
      <c r="T42" s="47">
        <v>1</v>
      </c>
      <c r="U42" s="43">
        <v>6</v>
      </c>
      <c r="V42" s="43"/>
      <c r="W42" s="47"/>
      <c r="X42" s="47"/>
      <c r="Y42" s="48" t="s">
        <v>162</v>
      </c>
      <c r="Z42" s="49"/>
      <c r="AA42" s="25"/>
      <c r="AB42" s="25"/>
    </row>
    <row r="43" spans="2:28">
      <c r="B43" s="40">
        <v>1.0416666666666666E-2</v>
      </c>
      <c r="C43" s="40" t="s">
        <v>408</v>
      </c>
      <c r="D43" s="41">
        <v>4</v>
      </c>
      <c r="E43" s="42">
        <v>14</v>
      </c>
      <c r="F43" s="42" t="s">
        <v>154</v>
      </c>
      <c r="G43" s="43" t="s">
        <v>154</v>
      </c>
      <c r="H43" s="42" t="s">
        <v>160</v>
      </c>
      <c r="I43" s="43">
        <v>6</v>
      </c>
      <c r="J43" s="43">
        <v>2</v>
      </c>
      <c r="K43" s="25" t="str">
        <f>VLOOKUP(J43,Key!$E$2:$F$9,2,FALSE)</f>
        <v>Work</v>
      </c>
      <c r="L43" s="42" t="s">
        <v>300</v>
      </c>
      <c r="M43" s="43" t="s">
        <v>154</v>
      </c>
      <c r="N43" s="42" t="s">
        <v>160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47">
        <v>3</v>
      </c>
      <c r="T43" s="47">
        <v>0.5</v>
      </c>
      <c r="U43" s="43">
        <v>2</v>
      </c>
      <c r="V43" s="43"/>
      <c r="W43" s="47"/>
      <c r="X43" s="47"/>
      <c r="Y43" s="48" t="s">
        <v>162</v>
      </c>
      <c r="Z43" s="49"/>
      <c r="AA43" s="25"/>
      <c r="AB43" s="25"/>
    </row>
    <row r="44" spans="2:28">
      <c r="B44" s="40">
        <v>0.51388888888888895</v>
      </c>
      <c r="C44" s="40" t="s">
        <v>409</v>
      </c>
      <c r="D44" s="41">
        <v>1</v>
      </c>
      <c r="E44" s="42">
        <v>2</v>
      </c>
      <c r="F44" s="42" t="s">
        <v>164</v>
      </c>
      <c r="G44" s="43" t="s">
        <v>164</v>
      </c>
      <c r="H44" s="42" t="s">
        <v>160</v>
      </c>
      <c r="I44" s="43">
        <v>3</v>
      </c>
      <c r="J44" s="43">
        <v>2</v>
      </c>
      <c r="K44" s="25" t="str">
        <f>VLOOKUP(J44,Key!$E$2:$F$9,2,FALSE)</f>
        <v>Work</v>
      </c>
      <c r="L44" s="42" t="s">
        <v>220</v>
      </c>
      <c r="M44" s="43" t="s">
        <v>154</v>
      </c>
      <c r="N44" s="42" t="s">
        <v>160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1"/>
        <v>Work-Home</v>
      </c>
      <c r="S44" s="47"/>
      <c r="T44" s="47">
        <v>0.3</v>
      </c>
      <c r="U44" s="43">
        <v>3</v>
      </c>
      <c r="V44" s="43"/>
      <c r="W44" s="47"/>
      <c r="X44" s="47"/>
      <c r="Y44" s="48" t="s">
        <v>162</v>
      </c>
      <c r="Z44" s="49"/>
      <c r="AA44" s="25"/>
      <c r="AB44" s="25"/>
    </row>
    <row r="45" spans="2:28">
      <c r="B45" s="40">
        <v>1.8749999999999999E-2</v>
      </c>
      <c r="C45" s="40" t="s">
        <v>410</v>
      </c>
      <c r="D45" s="41">
        <v>4</v>
      </c>
      <c r="E45" s="42">
        <v>14</v>
      </c>
      <c r="F45" s="42" t="s">
        <v>164</v>
      </c>
      <c r="G45" s="43" t="s">
        <v>164</v>
      </c>
      <c r="H45" s="42" t="s">
        <v>160</v>
      </c>
      <c r="I45" s="43">
        <v>6</v>
      </c>
      <c r="J45" s="43">
        <v>2</v>
      </c>
      <c r="K45" s="25" t="str">
        <f>VLOOKUP(J45,Key!$E$2:$F$9,2,FALSE)</f>
        <v>Work</v>
      </c>
      <c r="L45" s="42" t="s">
        <v>201</v>
      </c>
      <c r="M45" s="43" t="s">
        <v>411</v>
      </c>
      <c r="N45" s="42" t="s">
        <v>160</v>
      </c>
      <c r="O45" s="43">
        <v>6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47">
        <v>17</v>
      </c>
      <c r="T45" s="47">
        <v>1</v>
      </c>
      <c r="U45" s="43">
        <v>2</v>
      </c>
      <c r="V45" s="43"/>
      <c r="W45" s="47"/>
      <c r="X45" s="47"/>
      <c r="Y45" s="48" t="s">
        <v>162</v>
      </c>
      <c r="Z45" s="49"/>
      <c r="AA45" s="25"/>
      <c r="AB45" s="25"/>
    </row>
    <row r="46" spans="2:28">
      <c r="B46" s="40">
        <v>2.1527777777777781E-2</v>
      </c>
      <c r="C46" s="40" t="s">
        <v>412</v>
      </c>
      <c r="D46" s="41">
        <v>2</v>
      </c>
      <c r="E46" s="42">
        <v>2</v>
      </c>
      <c r="F46" s="42" t="s">
        <v>154</v>
      </c>
      <c r="G46" s="43" t="s">
        <v>154</v>
      </c>
      <c r="H46" s="42" t="s">
        <v>160</v>
      </c>
      <c r="I46" s="43">
        <v>1</v>
      </c>
      <c r="J46" s="43">
        <v>1</v>
      </c>
      <c r="K46" s="25" t="str">
        <f>VLOOKUP(J46,Key!$E$2:$F$9,2,FALSE)</f>
        <v>Home</v>
      </c>
      <c r="L46" s="42" t="s">
        <v>413</v>
      </c>
      <c r="M46" s="43" t="s">
        <v>154</v>
      </c>
      <c r="N46" s="42" t="s">
        <v>160</v>
      </c>
      <c r="O46" s="43">
        <v>9</v>
      </c>
      <c r="P46" s="43">
        <v>2</v>
      </c>
      <c r="Q46" s="25" t="str">
        <f>VLOOKUP(P46,Key!$E$2:$F$9,2,FALSE)</f>
        <v>Work</v>
      </c>
      <c r="R46" s="25" t="str">
        <f t="shared" si="1"/>
        <v>Home-Work</v>
      </c>
      <c r="S46" s="47">
        <v>6</v>
      </c>
      <c r="T46" s="47">
        <v>0.3</v>
      </c>
      <c r="U46" s="43">
        <v>3</v>
      </c>
      <c r="V46" s="43"/>
      <c r="W46" s="47"/>
      <c r="X46" s="47"/>
      <c r="Y46" s="48" t="s">
        <v>162</v>
      </c>
      <c r="Z46" s="49"/>
      <c r="AA46" s="25"/>
      <c r="AB46" s="25"/>
    </row>
    <row r="47" spans="2:28">
      <c r="B47" s="40">
        <v>2.7777777777777776E-2</v>
      </c>
      <c r="C47" s="40" t="s">
        <v>414</v>
      </c>
      <c r="D47" s="41">
        <v>5</v>
      </c>
      <c r="E47" s="42">
        <v>32</v>
      </c>
      <c r="F47" s="42" t="s">
        <v>154</v>
      </c>
      <c r="G47" s="43" t="s">
        <v>154</v>
      </c>
      <c r="H47" s="42" t="s">
        <v>160</v>
      </c>
      <c r="I47" s="43">
        <v>4</v>
      </c>
      <c r="J47" s="43">
        <v>3</v>
      </c>
      <c r="K47" s="25" t="str">
        <f>VLOOKUP(J47,Key!$E$2:$F$9,2,FALSE)</f>
        <v>Study</v>
      </c>
      <c r="L47" s="42" t="s">
        <v>415</v>
      </c>
      <c r="M47" s="43" t="s">
        <v>154</v>
      </c>
      <c r="N47" s="42" t="s">
        <v>160</v>
      </c>
      <c r="O47" s="43">
        <v>16</v>
      </c>
      <c r="P47" s="43">
        <v>8</v>
      </c>
      <c r="Q47" s="25" t="str">
        <f>VLOOKUP(P47,Key!$E$2:$F$9,2,FALSE)</f>
        <v>Others</v>
      </c>
      <c r="R47" s="25" t="str">
        <f t="shared" si="1"/>
        <v>Study-Others</v>
      </c>
      <c r="S47" s="47">
        <v>15</v>
      </c>
      <c r="T47" s="47">
        <v>1</v>
      </c>
      <c r="U47" s="43">
        <v>6</v>
      </c>
      <c r="V47" s="43"/>
      <c r="W47" s="47"/>
      <c r="X47" s="47"/>
      <c r="Y47" s="48" t="s">
        <v>162</v>
      </c>
      <c r="Z47" s="49"/>
      <c r="AA47" s="25"/>
      <c r="AB47" s="25"/>
    </row>
    <row r="48" spans="2:28">
      <c r="B48" s="40">
        <v>3.125E-2</v>
      </c>
      <c r="C48" s="40" t="s">
        <v>414</v>
      </c>
      <c r="D48" s="41">
        <v>1</v>
      </c>
      <c r="E48" s="42">
        <v>4</v>
      </c>
      <c r="F48" s="42" t="s">
        <v>154</v>
      </c>
      <c r="G48" s="43" t="s">
        <v>154</v>
      </c>
      <c r="H48" s="42" t="s">
        <v>160</v>
      </c>
      <c r="I48" s="43">
        <v>1</v>
      </c>
      <c r="J48" s="43">
        <v>1</v>
      </c>
      <c r="K48" s="25" t="str">
        <f>VLOOKUP(J48,Key!$E$2:$F$9,2,FALSE)</f>
        <v>Home</v>
      </c>
      <c r="L48" s="42" t="s">
        <v>392</v>
      </c>
      <c r="M48" s="43" t="s">
        <v>154</v>
      </c>
      <c r="N48" s="42" t="s">
        <v>160</v>
      </c>
      <c r="O48" s="43">
        <v>16</v>
      </c>
      <c r="P48" s="43">
        <v>8</v>
      </c>
      <c r="Q48" s="25" t="str">
        <f>VLOOKUP(P48,Key!$E$2:$F$9,2,FALSE)</f>
        <v>Others</v>
      </c>
      <c r="R48" s="25" t="str">
        <f t="shared" si="1"/>
        <v>Home-Others</v>
      </c>
      <c r="S48" s="47">
        <v>45</v>
      </c>
      <c r="T48" s="47">
        <v>0.8</v>
      </c>
      <c r="U48" s="43">
        <v>6</v>
      </c>
      <c r="V48" s="43"/>
      <c r="W48" s="47"/>
      <c r="X48" s="47"/>
      <c r="Y48" s="48" t="s">
        <v>162</v>
      </c>
      <c r="Z48" s="49"/>
      <c r="AA48" s="25"/>
      <c r="AB48" s="25"/>
    </row>
    <row r="49" spans="2:28">
      <c r="B49" s="40">
        <v>3.4722222222222224E-2</v>
      </c>
      <c r="C49" s="40" t="s">
        <v>416</v>
      </c>
      <c r="D49" s="41">
        <v>2</v>
      </c>
      <c r="E49" s="42">
        <v>8</v>
      </c>
      <c r="F49" s="42" t="s">
        <v>209</v>
      </c>
      <c r="G49" s="43" t="s">
        <v>209</v>
      </c>
      <c r="H49" s="42" t="s">
        <v>160</v>
      </c>
      <c r="I49" s="43">
        <v>1</v>
      </c>
      <c r="J49" s="43">
        <v>1</v>
      </c>
      <c r="K49" s="25" t="str">
        <f>VLOOKUP(J49,Key!$E$2:$F$9,2,FALSE)</f>
        <v>Home</v>
      </c>
      <c r="L49" s="42" t="s">
        <v>220</v>
      </c>
      <c r="M49" s="43" t="s">
        <v>154</v>
      </c>
      <c r="N49" s="42" t="s">
        <v>160</v>
      </c>
      <c r="O49" s="43">
        <v>4</v>
      </c>
      <c r="P49" s="43">
        <v>3</v>
      </c>
      <c r="Q49" s="25" t="str">
        <f>VLOOKUP(P49,Key!$E$2:$F$9,2,FALSE)</f>
        <v>Study</v>
      </c>
      <c r="R49" s="25" t="str">
        <f t="shared" si="1"/>
        <v>Home-Study</v>
      </c>
      <c r="S49" s="47">
        <v>20</v>
      </c>
      <c r="T49" s="47">
        <v>2</v>
      </c>
      <c r="U49" s="43">
        <v>6</v>
      </c>
      <c r="V49" s="43"/>
      <c r="W49" s="47"/>
      <c r="X49" s="47"/>
      <c r="Y49" s="48" t="s">
        <v>162</v>
      </c>
      <c r="Z49" s="49"/>
      <c r="AA49" s="25"/>
      <c r="AB49" s="25"/>
    </row>
    <row r="50" spans="2:28">
      <c r="B50" s="40">
        <v>3.888888888888889E-2</v>
      </c>
      <c r="C50" s="40" t="s">
        <v>417</v>
      </c>
      <c r="D50" s="41">
        <v>1</v>
      </c>
      <c r="E50" s="42">
        <v>2</v>
      </c>
      <c r="F50" s="42" t="s">
        <v>154</v>
      </c>
      <c r="G50" s="43" t="s">
        <v>154</v>
      </c>
      <c r="H50" s="42" t="s">
        <v>160</v>
      </c>
      <c r="I50" s="43">
        <v>1</v>
      </c>
      <c r="J50" s="43">
        <v>1</v>
      </c>
      <c r="K50" s="25" t="str">
        <f>VLOOKUP(J50,Key!$E$2:$F$9,2,FALSE)</f>
        <v>Home</v>
      </c>
      <c r="L50" s="42" t="s">
        <v>155</v>
      </c>
      <c r="M50" s="43" t="s">
        <v>155</v>
      </c>
      <c r="N50" s="42" t="s">
        <v>160</v>
      </c>
      <c r="O50" s="43">
        <v>9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47">
        <v>15</v>
      </c>
      <c r="T50" s="47">
        <v>0.5</v>
      </c>
      <c r="U50" s="43">
        <v>3</v>
      </c>
      <c r="V50" s="43"/>
      <c r="W50" s="47"/>
      <c r="X50" s="47"/>
      <c r="Y50" s="48" t="s">
        <v>162</v>
      </c>
      <c r="Z50" s="49"/>
      <c r="AA50" s="25"/>
      <c r="AB50" s="25"/>
    </row>
    <row r="51" spans="2:28">
      <c r="B51" s="40">
        <v>0.54166666666666663</v>
      </c>
      <c r="C51" s="40" t="s">
        <v>418</v>
      </c>
      <c r="D51" s="41">
        <v>2</v>
      </c>
      <c r="E51" s="42">
        <v>2</v>
      </c>
      <c r="F51" s="42" t="s">
        <v>154</v>
      </c>
      <c r="G51" s="43" t="s">
        <v>154</v>
      </c>
      <c r="H51" s="42" t="s">
        <v>160</v>
      </c>
      <c r="I51" s="43">
        <v>1</v>
      </c>
      <c r="J51" s="43">
        <v>1</v>
      </c>
      <c r="K51" s="25" t="str">
        <f>VLOOKUP(J51,Key!$E$2:$F$9,2,FALSE)</f>
        <v>Home</v>
      </c>
      <c r="L51" s="42" t="s">
        <v>220</v>
      </c>
      <c r="M51" s="43" t="s">
        <v>154</v>
      </c>
      <c r="N51" s="42" t="s">
        <v>160</v>
      </c>
      <c r="O51" s="43">
        <v>12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47">
        <v>10</v>
      </c>
      <c r="T51" s="47">
        <v>0.2</v>
      </c>
      <c r="U51" s="43">
        <v>1</v>
      </c>
      <c r="V51" s="43"/>
      <c r="W51" s="47"/>
      <c r="X51" s="47"/>
      <c r="Y51" s="48" t="s">
        <v>162</v>
      </c>
      <c r="Z51" s="49"/>
      <c r="AA51" s="25"/>
      <c r="AB51" s="25"/>
    </row>
    <row r="52" spans="2:28">
      <c r="B52" s="40">
        <v>0.55069444444444449</v>
      </c>
      <c r="C52" s="40" t="s">
        <v>419</v>
      </c>
      <c r="D52" s="41">
        <v>3</v>
      </c>
      <c r="E52" s="42">
        <v>1</v>
      </c>
      <c r="F52" s="42" t="s">
        <v>154</v>
      </c>
      <c r="G52" s="43" t="s">
        <v>154</v>
      </c>
      <c r="H52" s="42" t="s">
        <v>160</v>
      </c>
      <c r="I52" s="43">
        <v>14</v>
      </c>
      <c r="J52" s="43">
        <v>8</v>
      </c>
      <c r="K52" s="25" t="str">
        <f>VLOOKUP(J52,Key!$E$2:$F$9,2,FALSE)</f>
        <v>Others</v>
      </c>
      <c r="L52" s="42" t="s">
        <v>220</v>
      </c>
      <c r="M52" s="43" t="s">
        <v>154</v>
      </c>
      <c r="N52" s="42" t="s">
        <v>160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1"/>
        <v>Others-Home</v>
      </c>
      <c r="S52" s="47"/>
      <c r="T52" s="47">
        <v>0.1</v>
      </c>
      <c r="U52" s="43">
        <v>6</v>
      </c>
      <c r="V52" s="43"/>
      <c r="W52" s="47"/>
      <c r="X52" s="47"/>
      <c r="Y52" s="48" t="s">
        <v>162</v>
      </c>
      <c r="Z52" s="49"/>
      <c r="AA52" s="25"/>
      <c r="AB52" s="25"/>
    </row>
    <row r="53" spans="2:28">
      <c r="B53" s="40">
        <v>0.55208333333333337</v>
      </c>
      <c r="C53" s="40" t="s">
        <v>420</v>
      </c>
      <c r="D53" s="41">
        <v>1</v>
      </c>
      <c r="E53" s="42">
        <v>3</v>
      </c>
      <c r="F53" s="42" t="s">
        <v>154</v>
      </c>
      <c r="G53" s="43" t="s">
        <v>154</v>
      </c>
      <c r="H53" s="42" t="s">
        <v>160</v>
      </c>
      <c r="I53" s="43">
        <v>7</v>
      </c>
      <c r="J53" s="43">
        <v>8</v>
      </c>
      <c r="K53" s="25" t="str">
        <f>VLOOKUP(J53,Key!$E$2:$F$9,2,FALSE)</f>
        <v>Others</v>
      </c>
      <c r="L53" s="42" t="s">
        <v>300</v>
      </c>
      <c r="M53" s="43" t="s">
        <v>154</v>
      </c>
      <c r="N53" s="42" t="s">
        <v>160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Others-Home</v>
      </c>
      <c r="S53" s="47">
        <v>2</v>
      </c>
      <c r="T53" s="47">
        <v>0.1</v>
      </c>
      <c r="U53" s="43">
        <v>3</v>
      </c>
      <c r="V53" s="43"/>
      <c r="W53" s="47"/>
      <c r="X53" s="47"/>
      <c r="Y53" s="48" t="s">
        <v>218</v>
      </c>
      <c r="Z53" s="49"/>
      <c r="AA53" s="25"/>
      <c r="AB53" s="25"/>
    </row>
    <row r="54" spans="2:28">
      <c r="B54" s="40">
        <v>0.5541666666666667</v>
      </c>
      <c r="C54" s="40" t="s">
        <v>421</v>
      </c>
      <c r="D54" s="41">
        <v>2</v>
      </c>
      <c r="E54" s="42">
        <v>7</v>
      </c>
      <c r="F54" s="42" t="s">
        <v>422</v>
      </c>
      <c r="G54" s="43" t="s">
        <v>422</v>
      </c>
      <c r="H54" s="42" t="s">
        <v>160</v>
      </c>
      <c r="I54" s="43">
        <v>1</v>
      </c>
      <c r="J54" s="43">
        <v>1</v>
      </c>
      <c r="K54" s="25" t="str">
        <f>VLOOKUP(J54,Key!$E$2:$F$9,2,FALSE)</f>
        <v>Home</v>
      </c>
      <c r="L54" s="42" t="s">
        <v>201</v>
      </c>
      <c r="M54" s="43" t="s">
        <v>155</v>
      </c>
      <c r="N54" s="42" t="s">
        <v>160</v>
      </c>
      <c r="O54" s="43">
        <v>16</v>
      </c>
      <c r="P54" s="43">
        <v>8</v>
      </c>
      <c r="Q54" s="25" t="str">
        <f>VLOOKUP(P54,Key!$E$2:$F$9,2,FALSE)</f>
        <v>Others</v>
      </c>
      <c r="R54" s="25" t="str">
        <f t="shared" si="1"/>
        <v>Home-Others</v>
      </c>
      <c r="S54" s="47">
        <v>46</v>
      </c>
      <c r="T54" s="47">
        <v>2.5</v>
      </c>
      <c r="U54" s="43">
        <v>6</v>
      </c>
      <c r="V54" s="43"/>
      <c r="W54" s="47"/>
      <c r="X54" s="47"/>
      <c r="Y54" s="48" t="s">
        <v>218</v>
      </c>
      <c r="Z54" s="49"/>
      <c r="AA54" s="25"/>
      <c r="AB54" s="25"/>
    </row>
    <row r="55" spans="2:28">
      <c r="B55" s="40">
        <v>0.55694444444444446</v>
      </c>
      <c r="C55" s="40" t="s">
        <v>423</v>
      </c>
      <c r="D55" s="41">
        <v>1</v>
      </c>
      <c r="E55" s="42">
        <v>1</v>
      </c>
      <c r="F55" s="42" t="s">
        <v>185</v>
      </c>
      <c r="G55" s="43" t="s">
        <v>387</v>
      </c>
      <c r="H55" s="42" t="s">
        <v>160</v>
      </c>
      <c r="I55" s="43">
        <v>10</v>
      </c>
      <c r="J55" s="43">
        <v>2</v>
      </c>
      <c r="K55" s="25" t="str">
        <f>VLOOKUP(J55,Key!$E$2:$F$9,2,FALSE)</f>
        <v>Work</v>
      </c>
      <c r="L55" s="42" t="s">
        <v>155</v>
      </c>
      <c r="M55" s="43" t="s">
        <v>155</v>
      </c>
      <c r="N55" s="42" t="s">
        <v>160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Work-Home</v>
      </c>
      <c r="S55" s="47">
        <v>12</v>
      </c>
      <c r="T55" s="47">
        <v>1</v>
      </c>
      <c r="U55" s="43">
        <v>6</v>
      </c>
      <c r="V55" s="43"/>
      <c r="W55" s="47"/>
      <c r="X55" s="47"/>
      <c r="Y55" s="48" t="s">
        <v>218</v>
      </c>
      <c r="Z55" s="49"/>
      <c r="AA55" s="25"/>
      <c r="AB55" s="25"/>
    </row>
    <row r="56" spans="2:28">
      <c r="B56" s="40">
        <v>0.55972222222222223</v>
      </c>
      <c r="C56" s="40" t="s">
        <v>424</v>
      </c>
      <c r="D56" s="41">
        <v>4</v>
      </c>
      <c r="E56" s="42">
        <v>14</v>
      </c>
      <c r="F56" s="42" t="s">
        <v>154</v>
      </c>
      <c r="G56" s="43" t="s">
        <v>154</v>
      </c>
      <c r="H56" s="42" t="s">
        <v>160</v>
      </c>
      <c r="I56" s="43">
        <v>6</v>
      </c>
      <c r="J56" s="43">
        <v>2</v>
      </c>
      <c r="K56" s="25" t="str">
        <f>VLOOKUP(J56,Key!$E$2:$F$9,2,FALSE)</f>
        <v>Work</v>
      </c>
      <c r="L56" s="42" t="s">
        <v>380</v>
      </c>
      <c r="M56" s="43" t="s">
        <v>154</v>
      </c>
      <c r="N56" s="42" t="s">
        <v>160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47">
        <v>7</v>
      </c>
      <c r="T56" s="47">
        <v>0.8</v>
      </c>
      <c r="U56" s="43">
        <v>2</v>
      </c>
      <c r="V56" s="43"/>
      <c r="W56" s="47"/>
      <c r="X56" s="47"/>
      <c r="Y56" s="48" t="s">
        <v>162</v>
      </c>
      <c r="Z56" s="49"/>
      <c r="AA56" s="25"/>
      <c r="AB56" s="25"/>
    </row>
    <row r="57" spans="2:28">
      <c r="B57" s="40">
        <v>0.5625</v>
      </c>
      <c r="C57" s="40" t="s">
        <v>425</v>
      </c>
      <c r="D57" s="41">
        <v>2</v>
      </c>
      <c r="E57" s="42">
        <v>2</v>
      </c>
      <c r="F57" s="42" t="s">
        <v>154</v>
      </c>
      <c r="G57" s="43" t="s">
        <v>154</v>
      </c>
      <c r="H57" s="42" t="s">
        <v>160</v>
      </c>
      <c r="I57" s="43">
        <v>1</v>
      </c>
      <c r="J57" s="43">
        <v>1</v>
      </c>
      <c r="K57" s="25" t="str">
        <f>VLOOKUP(J57,Key!$E$2:$F$9,2,FALSE)</f>
        <v>Home</v>
      </c>
      <c r="L57" s="42" t="s">
        <v>161</v>
      </c>
      <c r="M57" s="43" t="s">
        <v>154</v>
      </c>
      <c r="N57" s="42" t="s">
        <v>160</v>
      </c>
      <c r="O57" s="43">
        <v>16</v>
      </c>
      <c r="P57" s="43">
        <v>8</v>
      </c>
      <c r="Q57" s="25" t="str">
        <f>VLOOKUP(P57,Key!$E$2:$F$9,2,FALSE)</f>
        <v>Others</v>
      </c>
      <c r="R57" s="25" t="str">
        <f t="shared" si="1"/>
        <v>Home-Others</v>
      </c>
      <c r="S57" s="47">
        <v>27</v>
      </c>
      <c r="T57" s="47">
        <v>1</v>
      </c>
      <c r="U57" s="43">
        <v>3</v>
      </c>
      <c r="V57" s="43"/>
      <c r="W57" s="47"/>
      <c r="X57" s="47"/>
      <c r="Y57" s="48" t="s">
        <v>162</v>
      </c>
      <c r="Z57" s="49"/>
      <c r="AA57" s="25"/>
      <c r="AB57" s="25"/>
    </row>
    <row r="58" spans="2:28">
      <c r="B58" s="40">
        <v>0.56597222222222221</v>
      </c>
      <c r="C58" s="40" t="s">
        <v>426</v>
      </c>
      <c r="D58" s="41">
        <v>2</v>
      </c>
      <c r="E58" s="42">
        <v>1</v>
      </c>
      <c r="F58" s="42" t="s">
        <v>154</v>
      </c>
      <c r="G58" s="43" t="s">
        <v>154</v>
      </c>
      <c r="H58" s="42" t="s">
        <v>160</v>
      </c>
      <c r="I58" s="43">
        <v>1</v>
      </c>
      <c r="J58" s="43">
        <v>1</v>
      </c>
      <c r="K58" s="25" t="str">
        <f>VLOOKUP(J58,Key!$E$2:$F$9,2,FALSE)</f>
        <v>Home</v>
      </c>
      <c r="L58" s="42" t="s">
        <v>155</v>
      </c>
      <c r="M58" s="43" t="s">
        <v>155</v>
      </c>
      <c r="N58" s="42" t="s">
        <v>160</v>
      </c>
      <c r="O58" s="43">
        <v>16</v>
      </c>
      <c r="P58" s="43">
        <v>8</v>
      </c>
      <c r="Q58" s="25" t="str">
        <f>VLOOKUP(P58,Key!$E$2:$F$9,2,FALSE)</f>
        <v>Others</v>
      </c>
      <c r="R58" s="25" t="str">
        <f t="shared" si="1"/>
        <v>Home-Others</v>
      </c>
      <c r="S58" s="47">
        <v>15</v>
      </c>
      <c r="T58" s="47">
        <v>1</v>
      </c>
      <c r="U58" s="43">
        <v>3</v>
      </c>
      <c r="V58" s="43"/>
      <c r="W58" s="47"/>
      <c r="X58" s="47"/>
      <c r="Y58" s="48" t="s">
        <v>162</v>
      </c>
      <c r="Z58" s="49"/>
      <c r="AA58" s="25"/>
      <c r="AB58" s="25"/>
    </row>
    <row r="59" spans="2:28">
      <c r="B59" s="40">
        <v>0.55972222222222223</v>
      </c>
      <c r="C59" s="40" t="s">
        <v>427</v>
      </c>
      <c r="D59" s="41">
        <v>8</v>
      </c>
      <c r="E59" s="42">
        <v>2</v>
      </c>
      <c r="F59" s="42" t="s">
        <v>154</v>
      </c>
      <c r="G59" s="43" t="s">
        <v>154</v>
      </c>
      <c r="H59" s="42" t="s">
        <v>160</v>
      </c>
      <c r="I59" s="43">
        <v>1</v>
      </c>
      <c r="J59" s="43">
        <v>1</v>
      </c>
      <c r="K59" s="25" t="str">
        <f>VLOOKUP(J59,Key!$E$2:$F$9,2,FALSE)</f>
        <v>Home</v>
      </c>
      <c r="L59" s="42" t="s">
        <v>161</v>
      </c>
      <c r="M59" s="43" t="s">
        <v>154</v>
      </c>
      <c r="N59" s="42" t="s">
        <v>160</v>
      </c>
      <c r="O59" s="43">
        <v>10</v>
      </c>
      <c r="P59" s="43">
        <v>2</v>
      </c>
      <c r="Q59" s="25" t="str">
        <f>VLOOKUP(P59,Key!$E$2:$F$9,2,FALSE)</f>
        <v>Work</v>
      </c>
      <c r="R59" s="25" t="str">
        <f t="shared" si="1"/>
        <v>Home-Work</v>
      </c>
      <c r="S59" s="47">
        <v>24</v>
      </c>
      <c r="T59" s="47">
        <v>1</v>
      </c>
      <c r="U59" s="43">
        <v>2</v>
      </c>
      <c r="V59" s="43"/>
      <c r="W59" s="47"/>
      <c r="X59" s="47"/>
      <c r="Y59" s="48" t="s">
        <v>162</v>
      </c>
      <c r="Z59" s="49"/>
      <c r="AA59" s="25"/>
      <c r="AB59" s="25"/>
    </row>
    <row r="60" spans="2:28">
      <c r="B60" s="40">
        <v>0.56805555555555554</v>
      </c>
      <c r="C60" s="40" t="s">
        <v>428</v>
      </c>
      <c r="D60" s="41">
        <v>4</v>
      </c>
      <c r="E60" s="42">
        <v>14</v>
      </c>
      <c r="F60" s="42" t="s">
        <v>154</v>
      </c>
      <c r="G60" s="43" t="s">
        <v>154</v>
      </c>
      <c r="H60" s="42" t="s">
        <v>160</v>
      </c>
      <c r="I60" s="43">
        <v>6</v>
      </c>
      <c r="J60" s="43">
        <v>2</v>
      </c>
      <c r="K60" s="25" t="str">
        <f>VLOOKUP(J60,Key!$E$2:$F$9,2,FALSE)</f>
        <v>Work</v>
      </c>
      <c r="L60" s="42" t="s">
        <v>155</v>
      </c>
      <c r="M60" s="43" t="s">
        <v>154</v>
      </c>
      <c r="N60" s="42" t="s">
        <v>160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47">
        <v>14</v>
      </c>
      <c r="T60" s="47">
        <v>1</v>
      </c>
      <c r="U60" s="43">
        <v>2</v>
      </c>
      <c r="V60" s="43"/>
      <c r="W60" s="47"/>
      <c r="X60" s="47"/>
      <c r="Y60" s="48" t="s">
        <v>162</v>
      </c>
      <c r="Z60" s="49"/>
      <c r="AA60" s="25"/>
      <c r="AB60" s="25"/>
    </row>
    <row r="61" spans="2:28">
      <c r="B61" s="40">
        <v>0.5708333333333333</v>
      </c>
      <c r="C61" s="40" t="s">
        <v>429</v>
      </c>
      <c r="D61" s="41">
        <v>1</v>
      </c>
      <c r="E61" s="42">
        <v>1</v>
      </c>
      <c r="F61" s="42" t="s">
        <v>154</v>
      </c>
      <c r="G61" s="43" t="s">
        <v>154</v>
      </c>
      <c r="H61" s="42" t="s">
        <v>160</v>
      </c>
      <c r="I61" s="43">
        <v>3</v>
      </c>
      <c r="J61" s="43">
        <v>2</v>
      </c>
      <c r="K61" s="25" t="str">
        <f>VLOOKUP(J61,Key!$E$2:$F$9,2,FALSE)</f>
        <v>Work</v>
      </c>
      <c r="L61" s="42" t="s">
        <v>380</v>
      </c>
      <c r="M61" s="43" t="s">
        <v>154</v>
      </c>
      <c r="N61" s="42" t="s">
        <v>160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47"/>
      <c r="T61" s="47">
        <v>0.5</v>
      </c>
      <c r="U61" s="43">
        <v>1</v>
      </c>
      <c r="V61" s="43"/>
      <c r="W61" s="47"/>
      <c r="X61" s="47"/>
      <c r="Y61" s="48" t="s">
        <v>162</v>
      </c>
      <c r="Z61" s="49"/>
      <c r="AA61" s="25"/>
      <c r="AB61" s="25"/>
    </row>
    <row r="62" spans="2:28">
      <c r="B62" s="40">
        <v>0.57222222222222219</v>
      </c>
      <c r="C62" s="40" t="s">
        <v>430</v>
      </c>
      <c r="D62" s="41">
        <v>5</v>
      </c>
      <c r="E62" s="42">
        <v>37</v>
      </c>
      <c r="F62" s="42" t="s">
        <v>164</v>
      </c>
      <c r="G62" s="43" t="s">
        <v>164</v>
      </c>
      <c r="H62" s="42" t="s">
        <v>160</v>
      </c>
      <c r="I62" s="43">
        <v>4</v>
      </c>
      <c r="J62" s="43">
        <v>3</v>
      </c>
      <c r="K62" s="25" t="str">
        <f>VLOOKUP(J62,Key!$E$2:$F$9,2,FALSE)</f>
        <v>Study</v>
      </c>
      <c r="L62" s="42" t="s">
        <v>155</v>
      </c>
      <c r="M62" s="43" t="s">
        <v>154</v>
      </c>
      <c r="N62" s="42" t="s">
        <v>160</v>
      </c>
      <c r="O62" s="43">
        <v>4</v>
      </c>
      <c r="P62" s="43">
        <v>3</v>
      </c>
      <c r="Q62" s="25" t="str">
        <f>VLOOKUP(P62,Key!$E$2:$F$9,2,FALSE)</f>
        <v>Study</v>
      </c>
      <c r="R62" s="25" t="str">
        <f t="shared" si="1"/>
        <v>Study-Study</v>
      </c>
      <c r="S62" s="47">
        <v>27</v>
      </c>
      <c r="T62" s="47">
        <v>2</v>
      </c>
      <c r="U62" s="43">
        <v>6</v>
      </c>
      <c r="V62" s="43"/>
      <c r="W62" s="47"/>
      <c r="X62" s="47"/>
      <c r="Y62" s="48" t="s">
        <v>162</v>
      </c>
      <c r="Z62" s="49"/>
      <c r="AA62" s="25"/>
      <c r="AB62" s="25"/>
    </row>
    <row r="63" spans="2:28">
      <c r="B63" s="40">
        <v>0.57361111111111118</v>
      </c>
      <c r="C63" s="40" t="s">
        <v>431</v>
      </c>
      <c r="D63" s="41">
        <v>7</v>
      </c>
      <c r="E63" s="42">
        <v>2</v>
      </c>
      <c r="F63" s="42" t="s">
        <v>154</v>
      </c>
      <c r="G63" s="43" t="s">
        <v>154</v>
      </c>
      <c r="H63" s="42" t="s">
        <v>160</v>
      </c>
      <c r="I63" s="43">
        <v>1</v>
      </c>
      <c r="J63" s="43">
        <v>1</v>
      </c>
      <c r="K63" s="25" t="str">
        <f>VLOOKUP(J63,Key!$E$2:$F$9,2,FALSE)</f>
        <v>Home</v>
      </c>
      <c r="L63" s="42" t="s">
        <v>432</v>
      </c>
      <c r="M63" s="43" t="s">
        <v>154</v>
      </c>
      <c r="N63" s="42" t="s">
        <v>160</v>
      </c>
      <c r="O63" s="43">
        <v>16</v>
      </c>
      <c r="P63" s="43">
        <v>2</v>
      </c>
      <c r="Q63" s="25" t="str">
        <f>VLOOKUP(P63,Key!$E$2:$F$9,2,FALSE)</f>
        <v>Work</v>
      </c>
      <c r="R63" s="25" t="str">
        <f t="shared" si="1"/>
        <v>Home-Work</v>
      </c>
      <c r="S63" s="47">
        <v>24</v>
      </c>
      <c r="T63" s="47">
        <v>1</v>
      </c>
      <c r="U63" s="43">
        <v>2</v>
      </c>
      <c r="V63" s="43"/>
      <c r="W63" s="47"/>
      <c r="X63" s="47"/>
      <c r="Y63" s="48" t="s">
        <v>162</v>
      </c>
      <c r="Z63" s="49"/>
      <c r="AA63" s="25"/>
      <c r="AB63" s="25"/>
    </row>
    <row r="64" spans="2:28">
      <c r="B64" s="40">
        <v>0.57500000000000007</v>
      </c>
      <c r="C64" s="40" t="s">
        <v>433</v>
      </c>
      <c r="D64" s="41">
        <v>8</v>
      </c>
      <c r="E64" s="42">
        <v>4</v>
      </c>
      <c r="F64" s="42" t="s">
        <v>154</v>
      </c>
      <c r="G64" s="43" t="s">
        <v>154</v>
      </c>
      <c r="H64" s="42" t="s">
        <v>160</v>
      </c>
      <c r="I64" s="43">
        <v>10</v>
      </c>
      <c r="J64" s="43">
        <v>2</v>
      </c>
      <c r="K64" s="25" t="str">
        <f>VLOOKUP(J64,Key!$E$2:$F$9,2,FALSE)</f>
        <v>Work</v>
      </c>
      <c r="L64" s="42" t="s">
        <v>155</v>
      </c>
      <c r="M64" s="43" t="s">
        <v>155</v>
      </c>
      <c r="N64" s="42" t="s">
        <v>160</v>
      </c>
      <c r="O64" s="43">
        <v>16</v>
      </c>
      <c r="P64" s="43">
        <v>8</v>
      </c>
      <c r="Q64" s="25" t="str">
        <f>VLOOKUP(P64,Key!$E$2:$F$9,2,FALSE)</f>
        <v>Others</v>
      </c>
      <c r="R64" s="25" t="str">
        <f t="shared" si="1"/>
        <v>Work-Others</v>
      </c>
      <c r="S64" s="47">
        <v>10</v>
      </c>
      <c r="T64" s="47">
        <v>0.5</v>
      </c>
      <c r="U64" s="43">
        <v>2</v>
      </c>
      <c r="V64" s="43"/>
      <c r="W64" s="47"/>
      <c r="X64" s="47"/>
      <c r="Y64" s="48" t="s">
        <v>162</v>
      </c>
      <c r="Z64" s="49"/>
      <c r="AA64" s="25"/>
      <c r="AB64" s="25"/>
    </row>
    <row r="65" spans="2:28">
      <c r="B65" s="40">
        <v>0.58333333333333337</v>
      </c>
      <c r="C65" s="40" t="s">
        <v>434</v>
      </c>
      <c r="D65" s="41">
        <v>1</v>
      </c>
      <c r="E65" s="42">
        <v>2</v>
      </c>
      <c r="F65" s="42" t="s">
        <v>154</v>
      </c>
      <c r="G65" s="43" t="s">
        <v>154</v>
      </c>
      <c r="H65" s="42" t="s">
        <v>160</v>
      </c>
      <c r="I65" s="43">
        <v>1</v>
      </c>
      <c r="J65" s="43">
        <v>1</v>
      </c>
      <c r="K65" s="25" t="str">
        <f>VLOOKUP(J65,Key!$E$2:$F$9,2,FALSE)</f>
        <v>Home</v>
      </c>
      <c r="L65" s="42" t="s">
        <v>220</v>
      </c>
      <c r="M65" s="43" t="s">
        <v>154</v>
      </c>
      <c r="N65" s="42" t="s">
        <v>160</v>
      </c>
      <c r="O65" s="43">
        <v>5</v>
      </c>
      <c r="P65" s="43">
        <v>7</v>
      </c>
      <c r="Q65" s="25" t="str">
        <f>VLOOKUP(P65,Key!$E$2:$F$9,2,FALSE)</f>
        <v>Hospital</v>
      </c>
      <c r="R65" s="25" t="str">
        <f t="shared" si="1"/>
        <v>Home-Hospital</v>
      </c>
      <c r="S65" s="47"/>
      <c r="T65" s="47">
        <v>0.3</v>
      </c>
      <c r="U65" s="43">
        <v>6</v>
      </c>
      <c r="V65" s="43"/>
      <c r="W65" s="47"/>
      <c r="X65" s="47"/>
      <c r="Y65" s="48" t="s">
        <v>162</v>
      </c>
      <c r="Z65" s="49"/>
      <c r="AA65" s="25"/>
      <c r="AB65" s="25"/>
    </row>
    <row r="66" spans="2:28">
      <c r="B66" s="40">
        <v>0.5854166666666667</v>
      </c>
      <c r="C66" s="40" t="s">
        <v>435</v>
      </c>
      <c r="D66" s="41">
        <v>2</v>
      </c>
      <c r="E66" s="42">
        <v>4</v>
      </c>
      <c r="F66" s="42" t="s">
        <v>154</v>
      </c>
      <c r="G66" s="43" t="s">
        <v>154</v>
      </c>
      <c r="H66" s="42" t="s">
        <v>160</v>
      </c>
      <c r="I66" s="43">
        <v>1</v>
      </c>
      <c r="J66" s="43">
        <v>1</v>
      </c>
      <c r="K66" s="25" t="str">
        <f>VLOOKUP(J66,Key!$E$2:$F$9,2,FALSE)</f>
        <v>Home</v>
      </c>
      <c r="L66" s="42" t="s">
        <v>161</v>
      </c>
      <c r="M66" s="43" t="s">
        <v>154</v>
      </c>
      <c r="N66" s="42" t="s">
        <v>160</v>
      </c>
      <c r="O66" s="43">
        <v>9</v>
      </c>
      <c r="P66" s="43">
        <v>2</v>
      </c>
      <c r="Q66" s="25" t="str">
        <f>VLOOKUP(P66,Key!$E$2:$F$9,2,FALSE)</f>
        <v>Work</v>
      </c>
      <c r="R66" s="25" t="str">
        <f t="shared" si="1"/>
        <v>Home-Work</v>
      </c>
      <c r="S66" s="47">
        <v>24</v>
      </c>
      <c r="T66" s="47">
        <v>1.5</v>
      </c>
      <c r="U66" s="43">
        <v>3</v>
      </c>
      <c r="V66" s="43"/>
      <c r="W66" s="47"/>
      <c r="X66" s="47"/>
      <c r="Y66" s="48" t="s">
        <v>162</v>
      </c>
      <c r="Z66" s="49"/>
      <c r="AA66" s="25"/>
      <c r="AB66" s="25"/>
    </row>
    <row r="67" spans="2:28">
      <c r="B67" s="40">
        <v>0.59027777777777779</v>
      </c>
      <c r="C67" s="40" t="s">
        <v>436</v>
      </c>
      <c r="D67" s="41">
        <v>1</v>
      </c>
      <c r="E67" s="42">
        <v>2</v>
      </c>
      <c r="F67" s="42" t="s">
        <v>154</v>
      </c>
      <c r="G67" s="43" t="s">
        <v>154</v>
      </c>
      <c r="H67" s="42" t="s">
        <v>160</v>
      </c>
      <c r="I67" s="43">
        <v>2</v>
      </c>
      <c r="J67" s="43">
        <v>2</v>
      </c>
      <c r="K67" s="25" t="str">
        <f>VLOOKUP(J67,Key!$E$2:$F$9,2,FALSE)</f>
        <v>Work</v>
      </c>
      <c r="L67" s="42" t="s">
        <v>265</v>
      </c>
      <c r="M67" s="43" t="s">
        <v>154</v>
      </c>
      <c r="N67" s="42" t="s">
        <v>160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Work-Home</v>
      </c>
      <c r="S67" s="47"/>
      <c r="T67" s="47">
        <v>0.8</v>
      </c>
      <c r="U67" s="43">
        <v>1</v>
      </c>
      <c r="V67" s="43"/>
      <c r="W67" s="47"/>
      <c r="X67" s="47"/>
      <c r="Y67" s="48" t="s">
        <v>162</v>
      </c>
      <c r="Z67" s="49"/>
      <c r="AA67" s="25"/>
      <c r="AB67" s="25"/>
    </row>
    <row r="68" spans="2:28">
      <c r="B68" s="40">
        <v>0.59236111111111112</v>
      </c>
      <c r="C68" s="40" t="s">
        <v>437</v>
      </c>
      <c r="D68" s="41">
        <v>3</v>
      </c>
      <c r="E68" s="42">
        <v>2</v>
      </c>
      <c r="F68" s="42" t="s">
        <v>154</v>
      </c>
      <c r="G68" s="43" t="s">
        <v>154</v>
      </c>
      <c r="H68" s="42" t="s">
        <v>160</v>
      </c>
      <c r="I68" s="43">
        <v>1</v>
      </c>
      <c r="J68" s="43">
        <v>1</v>
      </c>
      <c r="K68" s="25" t="str">
        <f>VLOOKUP(J68,Key!$E$2:$F$9,2,FALSE)</f>
        <v>Home</v>
      </c>
      <c r="L68" s="42" t="s">
        <v>220</v>
      </c>
      <c r="M68" s="43" t="s">
        <v>154</v>
      </c>
      <c r="N68" s="42" t="s">
        <v>160</v>
      </c>
      <c r="O68" s="43">
        <v>13</v>
      </c>
      <c r="P68" s="43">
        <v>2</v>
      </c>
      <c r="Q68" s="25" t="str">
        <f>VLOOKUP(P68,Key!$E$2:$F$9,2,FALSE)</f>
        <v>Work</v>
      </c>
      <c r="R68" s="25" t="str">
        <f t="shared" si="1"/>
        <v>Home-Work</v>
      </c>
      <c r="S68" s="47">
        <v>5</v>
      </c>
      <c r="T68" s="47">
        <v>0.2</v>
      </c>
      <c r="U68" s="43">
        <v>2</v>
      </c>
      <c r="V68" s="43"/>
      <c r="W68" s="47"/>
      <c r="X68" s="47"/>
      <c r="Y68" s="48" t="s">
        <v>162</v>
      </c>
      <c r="Z68" s="49"/>
      <c r="AA68" s="25"/>
      <c r="AB68" s="25"/>
    </row>
    <row r="69" spans="2:28">
      <c r="B69" s="40">
        <v>0.59513888888888888</v>
      </c>
      <c r="C69" s="40" t="s">
        <v>438</v>
      </c>
      <c r="D69" s="41">
        <v>8</v>
      </c>
      <c r="E69" s="42">
        <v>3</v>
      </c>
      <c r="F69" s="42" t="s">
        <v>154</v>
      </c>
      <c r="G69" s="43" t="s">
        <v>154</v>
      </c>
      <c r="H69" s="42" t="s">
        <v>160</v>
      </c>
      <c r="I69" s="43">
        <v>10</v>
      </c>
      <c r="J69" s="43">
        <v>2</v>
      </c>
      <c r="K69" s="25" t="str">
        <f>VLOOKUP(J69,Key!$E$2:$F$9,2,FALSE)</f>
        <v>Work</v>
      </c>
      <c r="L69" s="42" t="s">
        <v>380</v>
      </c>
      <c r="M69" s="43" t="s">
        <v>154</v>
      </c>
      <c r="N69" s="42" t="s">
        <v>160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Work-Home</v>
      </c>
      <c r="S69" s="47">
        <v>10</v>
      </c>
      <c r="T69" s="47">
        <v>0.5</v>
      </c>
      <c r="U69" s="43">
        <v>2</v>
      </c>
      <c r="V69" s="43"/>
      <c r="W69" s="47"/>
      <c r="X69" s="47"/>
      <c r="Y69" s="48" t="s">
        <v>162</v>
      </c>
      <c r="Z69" s="49"/>
      <c r="AA69" s="25"/>
      <c r="AB69" s="25"/>
    </row>
    <row r="70" spans="2:28">
      <c r="B70" s="40">
        <v>0.59722222222222221</v>
      </c>
      <c r="C70" s="40" t="s">
        <v>439</v>
      </c>
      <c r="D70" s="41">
        <v>1</v>
      </c>
      <c r="E70" s="42">
        <v>2</v>
      </c>
      <c r="F70" s="42" t="s">
        <v>154</v>
      </c>
      <c r="G70" s="43" t="s">
        <v>154</v>
      </c>
      <c r="H70" s="42" t="s">
        <v>160</v>
      </c>
      <c r="I70" s="43">
        <v>1</v>
      </c>
      <c r="J70" s="43">
        <v>1</v>
      </c>
      <c r="K70" s="25" t="str">
        <f>VLOOKUP(J70,Key!$E$2:$F$9,2,FALSE)</f>
        <v>Home</v>
      </c>
      <c r="L70" s="42" t="s">
        <v>161</v>
      </c>
      <c r="M70" s="43" t="s">
        <v>154</v>
      </c>
      <c r="N70" s="42" t="s">
        <v>160</v>
      </c>
      <c r="O70" s="43">
        <v>10</v>
      </c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47">
        <v>23</v>
      </c>
      <c r="T70" s="47">
        <v>1.5</v>
      </c>
      <c r="U70" s="43">
        <v>2</v>
      </c>
      <c r="V70" s="43"/>
      <c r="W70" s="47"/>
      <c r="X70" s="47"/>
      <c r="Y70" s="48" t="s">
        <v>162</v>
      </c>
      <c r="Z70" s="49"/>
      <c r="AA70" s="25"/>
      <c r="AB70" s="25"/>
    </row>
    <row r="71" spans="2:28">
      <c r="B71" s="40">
        <v>0.60138888888888886</v>
      </c>
      <c r="C71" s="40" t="s">
        <v>440</v>
      </c>
      <c r="D71" s="41">
        <v>4</v>
      </c>
      <c r="E71" s="42">
        <v>14</v>
      </c>
      <c r="F71" s="42" t="s">
        <v>154</v>
      </c>
      <c r="G71" s="43" t="s">
        <v>154</v>
      </c>
      <c r="H71" s="42" t="s">
        <v>160</v>
      </c>
      <c r="I71" s="43">
        <v>6</v>
      </c>
      <c r="J71" s="43">
        <v>2</v>
      </c>
      <c r="K71" s="25" t="str">
        <f>VLOOKUP(J71,Key!$E$2:$F$9,2,FALSE)</f>
        <v>Work</v>
      </c>
      <c r="L71" s="42" t="s">
        <v>155</v>
      </c>
      <c r="M71" s="43" t="s">
        <v>155</v>
      </c>
      <c r="N71" s="42" t="s">
        <v>160</v>
      </c>
      <c r="O71" s="43">
        <v>6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47">
        <v>15</v>
      </c>
      <c r="T71" s="47">
        <v>0.8</v>
      </c>
      <c r="U71" s="43">
        <v>1</v>
      </c>
      <c r="V71" s="43"/>
      <c r="W71" s="47"/>
      <c r="X71" s="47"/>
      <c r="Y71" s="48" t="s">
        <v>162</v>
      </c>
      <c r="Z71" s="49"/>
      <c r="AA71" s="25"/>
      <c r="AB71" s="25"/>
    </row>
    <row r="72" spans="2:28">
      <c r="B72" s="40">
        <v>0.60416666666666663</v>
      </c>
      <c r="C72" s="40" t="s">
        <v>441</v>
      </c>
      <c r="D72" s="41">
        <v>1</v>
      </c>
      <c r="E72" s="42">
        <v>1</v>
      </c>
      <c r="F72" s="42" t="s">
        <v>154</v>
      </c>
      <c r="G72" s="43" t="s">
        <v>154</v>
      </c>
      <c r="H72" s="42" t="s">
        <v>160</v>
      </c>
      <c r="I72" s="43">
        <v>2</v>
      </c>
      <c r="J72" s="43">
        <v>2</v>
      </c>
      <c r="K72" s="25" t="str">
        <f>VLOOKUP(J72,Key!$E$2:$F$9,2,FALSE)</f>
        <v>Work</v>
      </c>
      <c r="L72" s="42" t="s">
        <v>161</v>
      </c>
      <c r="M72" s="43" t="s">
        <v>154</v>
      </c>
      <c r="N72" s="42" t="s">
        <v>160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Work-Home</v>
      </c>
      <c r="S72" s="47">
        <v>27</v>
      </c>
      <c r="T72" s="47">
        <v>2</v>
      </c>
      <c r="U72" s="43">
        <v>6</v>
      </c>
      <c r="V72" s="43"/>
      <c r="W72" s="47"/>
      <c r="X72" s="47"/>
      <c r="Y72" s="48" t="s">
        <v>162</v>
      </c>
      <c r="Z72" s="49"/>
      <c r="AA72" s="25"/>
      <c r="AB72" s="25"/>
    </row>
    <row r="73" spans="2:28">
      <c r="B73" s="40">
        <v>0.60763888888888895</v>
      </c>
      <c r="C73" s="40" t="s">
        <v>442</v>
      </c>
      <c r="D73" s="41">
        <v>2</v>
      </c>
      <c r="E73" s="42">
        <v>2</v>
      </c>
      <c r="F73" s="42" t="s">
        <v>164</v>
      </c>
      <c r="G73" s="43" t="s">
        <v>164</v>
      </c>
      <c r="H73" s="42" t="s">
        <v>160</v>
      </c>
      <c r="I73" s="43">
        <v>3</v>
      </c>
      <c r="J73" s="43">
        <v>2</v>
      </c>
      <c r="K73" s="25" t="str">
        <f>VLOOKUP(J73,Key!$E$2:$F$9,2,FALSE)</f>
        <v>Work</v>
      </c>
      <c r="L73" s="42" t="s">
        <v>220</v>
      </c>
      <c r="M73" s="43" t="s">
        <v>154</v>
      </c>
      <c r="N73" s="42" t="s">
        <v>160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Work-Home</v>
      </c>
      <c r="S73" s="47"/>
      <c r="T73" s="47">
        <v>1</v>
      </c>
      <c r="U73" s="43">
        <v>3</v>
      </c>
      <c r="V73" s="43"/>
      <c r="W73" s="47"/>
      <c r="X73" s="47"/>
      <c r="Y73" s="48" t="s">
        <v>162</v>
      </c>
      <c r="Z73" s="49"/>
      <c r="AA73" s="25"/>
      <c r="AB73" s="25"/>
    </row>
    <row r="74" spans="2:28">
      <c r="B74" s="40">
        <v>0.61041666666666672</v>
      </c>
      <c r="C74" s="40" t="s">
        <v>443</v>
      </c>
      <c r="D74" s="41">
        <v>8</v>
      </c>
      <c r="E74" s="42">
        <v>3</v>
      </c>
      <c r="F74" s="42" t="s">
        <v>154</v>
      </c>
      <c r="G74" s="43" t="s">
        <v>154</v>
      </c>
      <c r="H74" s="42" t="s">
        <v>160</v>
      </c>
      <c r="I74" s="43">
        <v>1</v>
      </c>
      <c r="J74" s="43">
        <v>1</v>
      </c>
      <c r="K74" s="25" t="str">
        <f>VLOOKUP(J74,Key!$E$2:$F$9,2,FALSE)</f>
        <v>Home</v>
      </c>
      <c r="L74" s="42" t="s">
        <v>220</v>
      </c>
      <c r="M74" s="43" t="s">
        <v>154</v>
      </c>
      <c r="N74" s="42" t="s">
        <v>160</v>
      </c>
      <c r="O74" s="43">
        <v>10</v>
      </c>
      <c r="P74" s="43">
        <v>2</v>
      </c>
      <c r="Q74" s="25" t="str">
        <f>VLOOKUP(P74,Key!$E$2:$F$9,2,FALSE)</f>
        <v>Work</v>
      </c>
      <c r="R74" s="25" t="str">
        <f t="shared" si="1"/>
        <v>Home-Work</v>
      </c>
      <c r="S74" s="47">
        <v>5</v>
      </c>
      <c r="T74" s="47">
        <v>0.3</v>
      </c>
      <c r="U74" s="43">
        <v>2</v>
      </c>
      <c r="V74" s="43"/>
      <c r="W74" s="47"/>
      <c r="X74" s="47"/>
      <c r="Y74" s="48" t="s">
        <v>162</v>
      </c>
      <c r="Z74" s="49"/>
      <c r="AA74" s="25"/>
      <c r="AB74" s="25"/>
    </row>
    <row r="75" spans="2:28">
      <c r="B75" s="40">
        <v>0.61458333333333337</v>
      </c>
      <c r="C75" s="40" t="s">
        <v>444</v>
      </c>
      <c r="D75" s="41">
        <v>2</v>
      </c>
      <c r="E75" s="42">
        <v>2</v>
      </c>
      <c r="F75" s="42" t="s">
        <v>154</v>
      </c>
      <c r="G75" s="43" t="s">
        <v>154</v>
      </c>
      <c r="H75" s="42" t="s">
        <v>160</v>
      </c>
      <c r="I75" s="43">
        <v>3</v>
      </c>
      <c r="J75" s="43">
        <v>2</v>
      </c>
      <c r="K75" s="25" t="str">
        <f>VLOOKUP(J75,Key!$E$2:$F$9,2,FALSE)</f>
        <v>Work</v>
      </c>
      <c r="L75" s="42" t="s">
        <v>187</v>
      </c>
      <c r="M75" s="43" t="s">
        <v>154</v>
      </c>
      <c r="N75" s="42" t="s">
        <v>160</v>
      </c>
      <c r="O75" s="43">
        <v>1</v>
      </c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47">
        <v>12</v>
      </c>
      <c r="T75" s="47">
        <v>0.7</v>
      </c>
      <c r="U75" s="43">
        <v>2</v>
      </c>
      <c r="V75" s="43"/>
      <c r="W75" s="47"/>
      <c r="X75" s="47"/>
      <c r="Y75" s="48" t="s">
        <v>162</v>
      </c>
      <c r="Z75" s="49"/>
      <c r="AA75" s="25"/>
      <c r="AB75" s="25"/>
    </row>
    <row r="76" spans="2:28">
      <c r="B76" s="40">
        <v>0.6166666666666667</v>
      </c>
      <c r="C76" s="40" t="s">
        <v>445</v>
      </c>
      <c r="D76" s="41">
        <v>4</v>
      </c>
      <c r="E76" s="42">
        <v>14</v>
      </c>
      <c r="F76" s="42" t="s">
        <v>154</v>
      </c>
      <c r="G76" s="43" t="s">
        <v>154</v>
      </c>
      <c r="H76" s="42" t="s">
        <v>160</v>
      </c>
      <c r="I76" s="43">
        <v>6</v>
      </c>
      <c r="J76" s="43">
        <v>2</v>
      </c>
      <c r="K76" s="25" t="str">
        <f>VLOOKUP(J76,Key!$E$2:$F$9,2,FALSE)</f>
        <v>Work</v>
      </c>
      <c r="L76" s="42" t="s">
        <v>161</v>
      </c>
      <c r="M76" s="43" t="s">
        <v>154</v>
      </c>
      <c r="N76" s="42" t="s">
        <v>160</v>
      </c>
      <c r="O76" s="43">
        <v>6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47">
        <v>27</v>
      </c>
      <c r="T76" s="47">
        <v>2</v>
      </c>
      <c r="U76" s="43">
        <v>2</v>
      </c>
      <c r="V76" s="43"/>
      <c r="W76" s="47"/>
      <c r="X76" s="47"/>
      <c r="Y76" s="48" t="s">
        <v>162</v>
      </c>
      <c r="Z76" s="49"/>
      <c r="AA76" s="25"/>
      <c r="AB76" s="25"/>
    </row>
    <row r="77" spans="2:28">
      <c r="B77" s="40">
        <v>0.62222222222222223</v>
      </c>
      <c r="C77" s="40" t="s">
        <v>446</v>
      </c>
      <c r="D77" s="41">
        <v>2</v>
      </c>
      <c r="E77" s="42">
        <v>2</v>
      </c>
      <c r="F77" s="42" t="s">
        <v>154</v>
      </c>
      <c r="G77" s="43" t="s">
        <v>154</v>
      </c>
      <c r="H77" s="42" t="s">
        <v>160</v>
      </c>
      <c r="I77" s="43">
        <v>10</v>
      </c>
      <c r="J77" s="43">
        <v>2</v>
      </c>
      <c r="K77" s="25" t="str">
        <f>VLOOKUP(J77,Key!$E$2:$F$9,2,FALSE)</f>
        <v>Work</v>
      </c>
      <c r="L77" s="42" t="s">
        <v>220</v>
      </c>
      <c r="M77" s="43" t="s">
        <v>154</v>
      </c>
      <c r="N77" s="42" t="s">
        <v>160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Work-Home</v>
      </c>
      <c r="S77" s="47">
        <v>5</v>
      </c>
      <c r="T77" s="47">
        <v>0.2</v>
      </c>
      <c r="U77" s="43">
        <v>2</v>
      </c>
      <c r="V77" s="43"/>
      <c r="W77" s="47"/>
      <c r="X77" s="47"/>
      <c r="Y77" s="48" t="s">
        <v>162</v>
      </c>
      <c r="Z77" s="49"/>
      <c r="AA77" s="25"/>
      <c r="AB77" s="25"/>
    </row>
    <row r="78" spans="2:28">
      <c r="B78" s="40">
        <v>0.63888888888888895</v>
      </c>
      <c r="C78" s="40" t="s">
        <v>447</v>
      </c>
      <c r="D78" s="41">
        <v>8</v>
      </c>
      <c r="E78" s="42">
        <v>1</v>
      </c>
      <c r="F78" s="42" t="s">
        <v>154</v>
      </c>
      <c r="G78" s="43" t="s">
        <v>154</v>
      </c>
      <c r="H78" s="42" t="s">
        <v>160</v>
      </c>
      <c r="I78" s="43">
        <v>10</v>
      </c>
      <c r="J78" s="43">
        <v>2</v>
      </c>
      <c r="K78" s="25" t="str">
        <f>VLOOKUP(J78,Key!$E$2:$F$9,2,FALSE)</f>
        <v>Work</v>
      </c>
      <c r="L78" s="42" t="s">
        <v>169</v>
      </c>
      <c r="M78" s="43" t="s">
        <v>154</v>
      </c>
      <c r="N78" s="42" t="s">
        <v>160</v>
      </c>
      <c r="O78" s="43">
        <v>14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47">
        <v>17</v>
      </c>
      <c r="T78" s="47">
        <v>0.5</v>
      </c>
      <c r="U78" s="43">
        <v>2</v>
      </c>
      <c r="V78" s="43"/>
      <c r="W78" s="47"/>
      <c r="X78" s="47"/>
      <c r="Y78" s="48" t="s">
        <v>162</v>
      </c>
      <c r="Z78" s="49"/>
      <c r="AA78" s="25"/>
      <c r="AB78" s="25"/>
    </row>
    <row r="79" spans="2:28">
      <c r="B79" s="40">
        <v>0.64236111111111105</v>
      </c>
      <c r="C79" s="40" t="s">
        <v>448</v>
      </c>
      <c r="D79" s="41">
        <v>7</v>
      </c>
      <c r="E79" s="42">
        <v>2</v>
      </c>
      <c r="F79" s="42" t="s">
        <v>154</v>
      </c>
      <c r="G79" s="43" t="s">
        <v>154</v>
      </c>
      <c r="H79" s="42" t="s">
        <v>160</v>
      </c>
      <c r="I79" s="43">
        <v>1</v>
      </c>
      <c r="J79" s="43">
        <v>1</v>
      </c>
      <c r="K79" s="25" t="str">
        <f>VLOOKUP(J79,Key!$E$2:$F$9,2,FALSE)</f>
        <v>Home</v>
      </c>
      <c r="L79" s="42" t="s">
        <v>161</v>
      </c>
      <c r="M79" s="43" t="s">
        <v>154</v>
      </c>
      <c r="N79" s="42" t="s">
        <v>160</v>
      </c>
      <c r="O79" s="43">
        <v>10</v>
      </c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47">
        <v>27</v>
      </c>
      <c r="T79" s="47">
        <v>2</v>
      </c>
      <c r="U79" s="43">
        <v>1</v>
      </c>
      <c r="V79" s="43"/>
      <c r="W79" s="47"/>
      <c r="X79" s="47"/>
      <c r="Y79" s="48" t="s">
        <v>162</v>
      </c>
      <c r="Z79" s="49"/>
      <c r="AA79" s="25"/>
      <c r="AB79" s="25"/>
    </row>
    <row r="80" spans="2:28">
      <c r="B80" s="40">
        <v>0.64444444444444449</v>
      </c>
      <c r="C80" s="40" t="s">
        <v>364</v>
      </c>
      <c r="D80" s="41">
        <v>5</v>
      </c>
      <c r="E80" s="42">
        <v>32</v>
      </c>
      <c r="F80" s="42" t="s">
        <v>164</v>
      </c>
      <c r="G80" s="43" t="s">
        <v>164</v>
      </c>
      <c r="H80" s="42" t="s">
        <v>160</v>
      </c>
      <c r="I80" s="43">
        <v>6</v>
      </c>
      <c r="J80" s="43">
        <v>2</v>
      </c>
      <c r="K80" s="25" t="str">
        <f>VLOOKUP(J80,Key!$E$2:$F$9,2,FALSE)</f>
        <v>Work</v>
      </c>
      <c r="L80" s="42" t="s">
        <v>155</v>
      </c>
      <c r="M80" s="43" t="s">
        <v>154</v>
      </c>
      <c r="N80" s="42" t="s">
        <v>160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47"/>
      <c r="T80" s="47">
        <v>3</v>
      </c>
      <c r="U80" s="43">
        <v>4</v>
      </c>
      <c r="V80" s="43"/>
      <c r="W80" s="47"/>
      <c r="X80" s="47"/>
      <c r="Y80" s="48" t="s">
        <v>162</v>
      </c>
      <c r="Z80" s="49"/>
      <c r="AA80" s="25"/>
      <c r="AB80" s="25"/>
    </row>
    <row r="81" spans="2:28">
      <c r="B81" s="40">
        <v>0.64722222222222225</v>
      </c>
      <c r="C81" s="40" t="s">
        <v>449</v>
      </c>
      <c r="D81" s="41">
        <v>2</v>
      </c>
      <c r="E81" s="42">
        <v>2</v>
      </c>
      <c r="F81" s="42" t="s">
        <v>168</v>
      </c>
      <c r="G81" s="43" t="s">
        <v>168</v>
      </c>
      <c r="H81" s="42" t="s">
        <v>160</v>
      </c>
      <c r="I81" s="43">
        <v>1</v>
      </c>
      <c r="J81" s="43">
        <v>1</v>
      </c>
      <c r="K81" s="25" t="str">
        <f>VLOOKUP(J81,Key!$E$2:$F$9,2,FALSE)</f>
        <v>Home</v>
      </c>
      <c r="L81" s="42" t="s">
        <v>220</v>
      </c>
      <c r="M81" s="43" t="s">
        <v>154</v>
      </c>
      <c r="N81" s="42" t="s">
        <v>160</v>
      </c>
      <c r="O81" s="43">
        <v>3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47">
        <v>160</v>
      </c>
      <c r="T81" s="47">
        <v>4</v>
      </c>
      <c r="U81" s="43">
        <v>1</v>
      </c>
      <c r="V81" s="43"/>
      <c r="W81" s="47"/>
      <c r="X81" s="47"/>
      <c r="Y81" s="48" t="s">
        <v>162</v>
      </c>
      <c r="Z81" s="49"/>
      <c r="AA81" s="25"/>
      <c r="AB81" s="25"/>
    </row>
    <row r="82" spans="2:28">
      <c r="B82" s="40">
        <v>0.63541666666666663</v>
      </c>
      <c r="C82" s="40" t="s">
        <v>450</v>
      </c>
      <c r="D82" s="41">
        <v>1</v>
      </c>
      <c r="E82" s="42">
        <v>1</v>
      </c>
      <c r="F82" s="42" t="s">
        <v>154</v>
      </c>
      <c r="G82" s="43" t="s">
        <v>154</v>
      </c>
      <c r="H82" s="42" t="s">
        <v>160</v>
      </c>
      <c r="I82" s="43">
        <v>2</v>
      </c>
      <c r="J82" s="43">
        <v>2</v>
      </c>
      <c r="K82" s="25" t="str">
        <f>VLOOKUP(J82,Key!$E$2:$F$9,2,FALSE)</f>
        <v>Work</v>
      </c>
      <c r="L82" s="42" t="s">
        <v>169</v>
      </c>
      <c r="M82" s="43" t="s">
        <v>154</v>
      </c>
      <c r="N82" s="42" t="s">
        <v>160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Work-Home</v>
      </c>
      <c r="S82" s="47">
        <v>17</v>
      </c>
      <c r="T82" s="47">
        <v>0.5</v>
      </c>
      <c r="U82" s="43">
        <v>2</v>
      </c>
      <c r="V82" s="43"/>
      <c r="W82" s="47"/>
      <c r="X82" s="47"/>
      <c r="Y82" s="48" t="s">
        <v>162</v>
      </c>
      <c r="Z82" s="49"/>
      <c r="AA82" s="25"/>
      <c r="AB82" s="25"/>
    </row>
    <row r="83" spans="2:28">
      <c r="B83" s="40">
        <v>0.62430555555555556</v>
      </c>
      <c r="C83" s="40" t="s">
        <v>451</v>
      </c>
      <c r="D83" s="41">
        <v>3</v>
      </c>
      <c r="E83" s="42">
        <v>2</v>
      </c>
      <c r="F83" s="42" t="s">
        <v>154</v>
      </c>
      <c r="G83" s="43" t="s">
        <v>154</v>
      </c>
      <c r="H83" s="42" t="s">
        <v>160</v>
      </c>
      <c r="I83" s="43">
        <v>1</v>
      </c>
      <c r="J83" s="43">
        <v>1</v>
      </c>
      <c r="K83" s="25" t="str">
        <f>VLOOKUP(J83,Key!$E$2:$F$9,2,FALSE)</f>
        <v>Home</v>
      </c>
      <c r="L83" s="42" t="s">
        <v>300</v>
      </c>
      <c r="M83" s="43" t="s">
        <v>154</v>
      </c>
      <c r="N83" s="42" t="s">
        <v>160</v>
      </c>
      <c r="O83" s="43">
        <v>16</v>
      </c>
      <c r="P83" s="43">
        <v>8</v>
      </c>
      <c r="Q83" s="25" t="str">
        <f>VLOOKUP(P83,Key!$E$2:$F$9,2,FALSE)</f>
        <v>Others</v>
      </c>
      <c r="R83" s="25" t="str">
        <f t="shared" si="1"/>
        <v>Home-Others</v>
      </c>
      <c r="S83" s="47">
        <v>2</v>
      </c>
      <c r="T83" s="47">
        <v>0.3</v>
      </c>
      <c r="U83" s="43">
        <v>3</v>
      </c>
      <c r="V83" s="43"/>
      <c r="W83" s="47"/>
      <c r="X83" s="47"/>
      <c r="Y83" s="48" t="s">
        <v>162</v>
      </c>
      <c r="Z83" s="49"/>
      <c r="AA83" s="25"/>
      <c r="AB83" s="25"/>
    </row>
    <row r="84" spans="2:28">
      <c r="B84" s="40">
        <v>0.79166666666666663</v>
      </c>
      <c r="C84" s="40" t="s">
        <v>452</v>
      </c>
      <c r="D84" s="41">
        <v>2</v>
      </c>
      <c r="E84" s="42">
        <v>3</v>
      </c>
      <c r="F84" s="42" t="s">
        <v>154</v>
      </c>
      <c r="G84" s="43" t="s">
        <v>154</v>
      </c>
      <c r="H84" s="42" t="s">
        <v>160</v>
      </c>
      <c r="I84" s="43">
        <v>1</v>
      </c>
      <c r="J84" s="43">
        <v>1</v>
      </c>
      <c r="K84" s="25" t="str">
        <f>VLOOKUP(J84,Key!$E$2:$F$9,2,FALSE)</f>
        <v>Home</v>
      </c>
      <c r="L84" s="42" t="s">
        <v>155</v>
      </c>
      <c r="M84" s="43" t="s">
        <v>154</v>
      </c>
      <c r="N84" s="42" t="s">
        <v>160</v>
      </c>
      <c r="O84" s="43">
        <v>16</v>
      </c>
      <c r="P84" s="43">
        <v>8</v>
      </c>
      <c r="Q84" s="25" t="str">
        <f>VLOOKUP(P84,Key!$E$2:$F$9,2,FALSE)</f>
        <v>Others</v>
      </c>
      <c r="R84" s="25" t="str">
        <f t="shared" si="1"/>
        <v>Home-Others</v>
      </c>
      <c r="S84" s="47"/>
      <c r="T84" s="47">
        <v>0.3</v>
      </c>
      <c r="U84" s="43">
        <v>6</v>
      </c>
      <c r="V84" s="43"/>
      <c r="W84" s="47"/>
      <c r="X84" s="47"/>
      <c r="Y84" s="48"/>
      <c r="Z84" s="49"/>
      <c r="AA84" s="25"/>
      <c r="AB84" s="25"/>
    </row>
    <row r="85" spans="2:28">
      <c r="B85" s="40">
        <v>0.80208333333333337</v>
      </c>
      <c r="C85" s="40" t="s">
        <v>453</v>
      </c>
      <c r="D85" s="41">
        <v>2</v>
      </c>
      <c r="E85" s="42">
        <v>3</v>
      </c>
      <c r="F85" s="42" t="s">
        <v>30</v>
      </c>
      <c r="G85" s="43" t="s">
        <v>168</v>
      </c>
      <c r="H85" s="42" t="s">
        <v>160</v>
      </c>
      <c r="I85" s="43">
        <v>16</v>
      </c>
      <c r="J85" s="43">
        <v>8</v>
      </c>
      <c r="K85" s="25" t="str">
        <f>VLOOKUP(J85,Key!$E$2:$F$9,2,FALSE)</f>
        <v>Others</v>
      </c>
      <c r="L85" s="42" t="s">
        <v>380</v>
      </c>
      <c r="M85" s="43" t="s">
        <v>154</v>
      </c>
      <c r="N85" s="42" t="s">
        <v>160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Others-Home</v>
      </c>
      <c r="S85" s="47">
        <v>160</v>
      </c>
      <c r="T85" s="47">
        <v>4</v>
      </c>
      <c r="U85" s="43">
        <v>6</v>
      </c>
      <c r="V85" s="43"/>
      <c r="W85" s="47"/>
      <c r="X85" s="47"/>
      <c r="Y85" s="48"/>
      <c r="Z85" s="49"/>
      <c r="AA85" s="25"/>
      <c r="AB85" s="25"/>
    </row>
    <row r="86" spans="2:28">
      <c r="B86" s="40">
        <v>0.80902777777777779</v>
      </c>
      <c r="C86" s="40" t="s">
        <v>454</v>
      </c>
      <c r="D86" s="41">
        <v>7</v>
      </c>
      <c r="E86" s="42">
        <v>2</v>
      </c>
      <c r="F86" s="42" t="s">
        <v>154</v>
      </c>
      <c r="G86" s="43" t="s">
        <v>154</v>
      </c>
      <c r="H86" s="42" t="s">
        <v>160</v>
      </c>
      <c r="I86" s="43">
        <v>10</v>
      </c>
      <c r="J86" s="43">
        <v>2</v>
      </c>
      <c r="K86" s="25" t="str">
        <f>VLOOKUP(J86,Key!$E$2:$F$9,2,FALSE)</f>
        <v>Work</v>
      </c>
      <c r="L86" s="42" t="s">
        <v>201</v>
      </c>
      <c r="M86" s="43" t="s">
        <v>155</v>
      </c>
      <c r="N86" s="42" t="s">
        <v>160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Work-Home</v>
      </c>
      <c r="S86" s="47">
        <v>45</v>
      </c>
      <c r="T86" s="47">
        <v>2</v>
      </c>
      <c r="U86" s="43">
        <v>2</v>
      </c>
      <c r="V86" s="43"/>
      <c r="W86" s="47"/>
      <c r="X86" s="47"/>
      <c r="Y86" s="48"/>
      <c r="Z86" s="49"/>
      <c r="AA86" s="25"/>
      <c r="AB86" s="25"/>
    </row>
    <row r="87" spans="2:28">
      <c r="B87" s="40">
        <v>0.80555555555555547</v>
      </c>
      <c r="C87" s="40" t="s">
        <v>455</v>
      </c>
      <c r="D87" s="41">
        <v>4</v>
      </c>
      <c r="E87" s="42">
        <v>14</v>
      </c>
      <c r="F87" s="42" t="s">
        <v>154</v>
      </c>
      <c r="G87" s="43" t="s">
        <v>154</v>
      </c>
      <c r="H87" s="42" t="s">
        <v>160</v>
      </c>
      <c r="I87" s="43">
        <v>6</v>
      </c>
      <c r="J87" s="43">
        <v>2</v>
      </c>
      <c r="K87" s="25" t="str">
        <f>VLOOKUP(J87,Key!$E$2:$F$9,2,FALSE)</f>
        <v>Work</v>
      </c>
      <c r="L87" s="42" t="s">
        <v>220</v>
      </c>
      <c r="M87" s="43" t="s">
        <v>154</v>
      </c>
      <c r="N87" s="42" t="s">
        <v>160</v>
      </c>
      <c r="O87" s="43">
        <v>6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47"/>
      <c r="T87" s="47">
        <v>0.3</v>
      </c>
      <c r="U87" s="43">
        <v>2</v>
      </c>
      <c r="V87" s="43"/>
      <c r="W87" s="47"/>
      <c r="X87" s="47"/>
      <c r="Y87" s="48"/>
      <c r="Z87" s="49"/>
      <c r="AA87" s="25"/>
      <c r="AB87" s="25"/>
    </row>
    <row r="88" spans="2:28">
      <c r="B88" s="40">
        <v>0.86736111111111114</v>
      </c>
      <c r="C88" s="40" t="s">
        <v>329</v>
      </c>
      <c r="D88" s="41">
        <v>1</v>
      </c>
      <c r="E88" s="42">
        <v>2</v>
      </c>
      <c r="F88" s="42" t="s">
        <v>154</v>
      </c>
      <c r="G88" s="43" t="s">
        <v>154</v>
      </c>
      <c r="H88" s="42" t="s">
        <v>160</v>
      </c>
      <c r="I88" s="43">
        <v>7</v>
      </c>
      <c r="J88" s="43">
        <v>8</v>
      </c>
      <c r="K88" s="25" t="str">
        <f>VLOOKUP(J88,Key!$E$2:$F$9,2,FALSE)</f>
        <v>Others</v>
      </c>
      <c r="L88" s="42" t="s">
        <v>300</v>
      </c>
      <c r="M88" s="43" t="s">
        <v>154</v>
      </c>
      <c r="N88" s="42" t="s">
        <v>160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Others-Home</v>
      </c>
      <c r="S88" s="47">
        <v>3</v>
      </c>
      <c r="T88" s="47">
        <v>0.5</v>
      </c>
      <c r="U88" s="43">
        <v>2</v>
      </c>
      <c r="V88" s="43"/>
      <c r="W88" s="47"/>
      <c r="X88" s="47"/>
      <c r="Y88" s="48"/>
      <c r="Z88" s="49"/>
      <c r="AA88" s="25"/>
      <c r="AB88" s="25"/>
    </row>
    <row r="89" spans="2:28">
      <c r="B89" s="40">
        <v>0.87291666666666667</v>
      </c>
      <c r="C89" s="40" t="s">
        <v>456</v>
      </c>
      <c r="D89" s="41">
        <v>2</v>
      </c>
      <c r="E89" s="42">
        <v>4</v>
      </c>
      <c r="F89" s="42" t="s">
        <v>154</v>
      </c>
      <c r="G89" s="43" t="s">
        <v>154</v>
      </c>
      <c r="H89" s="42" t="s">
        <v>160</v>
      </c>
      <c r="I89" s="43">
        <v>3</v>
      </c>
      <c r="J89" s="43">
        <v>2</v>
      </c>
      <c r="K89" s="25" t="str">
        <f>VLOOKUP(J89,Key!$E$2:$F$9,2,FALSE)</f>
        <v>Work</v>
      </c>
      <c r="L89" s="42" t="s">
        <v>403</v>
      </c>
      <c r="M89" s="43" t="s">
        <v>154</v>
      </c>
      <c r="N89" s="42" t="s">
        <v>160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Work-Home</v>
      </c>
      <c r="S89" s="47">
        <v>8</v>
      </c>
      <c r="T89" s="47">
        <v>1.5</v>
      </c>
      <c r="U89" s="43">
        <v>2</v>
      </c>
      <c r="V89" s="43"/>
      <c r="W89" s="47"/>
      <c r="X89" s="47"/>
      <c r="Y89" s="48"/>
      <c r="Z89" s="49"/>
      <c r="AA89" s="25"/>
      <c r="AB89" s="25"/>
    </row>
    <row r="90" spans="2:28">
      <c r="B90" s="40">
        <v>0.88541666666666663</v>
      </c>
      <c r="C90" s="40" t="s">
        <v>457</v>
      </c>
      <c r="D90" s="41">
        <v>4</v>
      </c>
      <c r="E90" s="42">
        <v>2</v>
      </c>
      <c r="F90" s="42" t="s">
        <v>176</v>
      </c>
      <c r="G90" s="43" t="s">
        <v>405</v>
      </c>
      <c r="H90" s="42" t="s">
        <v>160</v>
      </c>
      <c r="I90" s="43">
        <v>6</v>
      </c>
      <c r="J90" s="43">
        <v>2</v>
      </c>
      <c r="K90" s="25" t="str">
        <f>VLOOKUP(J90,Key!$E$2:$F$9,2,FALSE)</f>
        <v>Work</v>
      </c>
      <c r="L90" s="42" t="s">
        <v>155</v>
      </c>
      <c r="M90" s="43" t="s">
        <v>155</v>
      </c>
      <c r="N90" s="42" t="s">
        <v>160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1"/>
        <v>Work-Home</v>
      </c>
      <c r="S90" s="47"/>
      <c r="T90" s="47">
        <v>1</v>
      </c>
      <c r="U90" s="43">
        <v>2</v>
      </c>
      <c r="V90" s="43"/>
      <c r="W90" s="47"/>
      <c r="X90" s="47"/>
      <c r="Y90" s="48"/>
      <c r="Z90" s="49"/>
      <c r="AA90" s="25"/>
      <c r="AB90" s="25"/>
    </row>
    <row r="91" spans="2:28">
      <c r="B91" s="40">
        <v>0.89444444444444438</v>
      </c>
      <c r="C91" s="40" t="s">
        <v>458</v>
      </c>
      <c r="D91" s="41">
        <v>2</v>
      </c>
      <c r="E91" s="42">
        <v>2</v>
      </c>
      <c r="F91" s="42" t="s">
        <v>154</v>
      </c>
      <c r="G91" s="43" t="s">
        <v>154</v>
      </c>
      <c r="H91" s="42" t="s">
        <v>160</v>
      </c>
      <c r="I91" s="43">
        <v>16</v>
      </c>
      <c r="J91" s="43">
        <v>8</v>
      </c>
      <c r="K91" s="25" t="str">
        <f>VLOOKUP(J91,Key!$E$2:$F$9,2,FALSE)</f>
        <v>Others</v>
      </c>
      <c r="L91" s="42" t="s">
        <v>459</v>
      </c>
      <c r="M91" s="43" t="s">
        <v>154</v>
      </c>
      <c r="N91" s="42" t="s">
        <v>160</v>
      </c>
      <c r="O91" s="43">
        <v>1</v>
      </c>
      <c r="P91" s="43">
        <v>1</v>
      </c>
      <c r="Q91" s="25" t="str">
        <f>VLOOKUP(P91,Key!$E$2:$F$9,2,FALSE)</f>
        <v>Home</v>
      </c>
      <c r="R91" s="25" t="str">
        <f t="shared" si="1"/>
        <v>Others-Home</v>
      </c>
      <c r="S91" s="47"/>
      <c r="T91" s="47">
        <v>0.5</v>
      </c>
      <c r="U91" s="43">
        <v>2</v>
      </c>
      <c r="V91" s="43"/>
      <c r="W91" s="47"/>
      <c r="X91" s="47"/>
      <c r="Y91" s="48"/>
      <c r="Z91" s="49"/>
      <c r="AA91" s="25"/>
      <c r="AB91" s="25"/>
    </row>
    <row r="92" spans="2:28">
      <c r="B92" s="40">
        <v>0.86458333333333337</v>
      </c>
      <c r="C92" s="40" t="s">
        <v>460</v>
      </c>
      <c r="D92" s="41">
        <v>8</v>
      </c>
      <c r="E92" s="42">
        <v>3</v>
      </c>
      <c r="F92" s="42" t="s">
        <v>200</v>
      </c>
      <c r="G92" s="43" t="s">
        <v>200</v>
      </c>
      <c r="H92" s="42" t="s">
        <v>160</v>
      </c>
      <c r="I92" s="43">
        <v>9</v>
      </c>
      <c r="J92" s="43">
        <v>2</v>
      </c>
      <c r="K92" s="25" t="str">
        <f>VLOOKUP(J92,Key!$E$2:$F$9,2,FALSE)</f>
        <v>Work</v>
      </c>
      <c r="L92" s="42" t="s">
        <v>201</v>
      </c>
      <c r="M92" s="43" t="s">
        <v>155</v>
      </c>
      <c r="N92" s="42" t="s">
        <v>160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Work-Home</v>
      </c>
      <c r="S92" s="47"/>
      <c r="T92" s="47">
        <v>1</v>
      </c>
      <c r="U92" s="43">
        <v>2</v>
      </c>
      <c r="V92" s="43"/>
      <c r="W92" s="47"/>
      <c r="X92" s="47"/>
      <c r="Y92" s="48"/>
      <c r="Z92" s="49"/>
      <c r="AA92" s="25"/>
      <c r="AB92" s="25"/>
    </row>
    <row r="93" spans="2:28">
      <c r="B93" s="40">
        <v>0.85972222222222217</v>
      </c>
      <c r="C93" s="40" t="s">
        <v>461</v>
      </c>
      <c r="D93" s="41">
        <v>3</v>
      </c>
      <c r="E93" s="42">
        <v>1</v>
      </c>
      <c r="F93" s="42" t="s">
        <v>154</v>
      </c>
      <c r="G93" s="43" t="s">
        <v>154</v>
      </c>
      <c r="H93" s="42" t="s">
        <v>160</v>
      </c>
      <c r="I93" s="43">
        <v>11</v>
      </c>
      <c r="J93" s="43">
        <v>2</v>
      </c>
      <c r="K93" s="25" t="str">
        <f>VLOOKUP(J93,Key!$E$2:$F$9,2,FALSE)</f>
        <v>Work</v>
      </c>
      <c r="L93" s="42" t="s">
        <v>392</v>
      </c>
      <c r="M93" s="43" t="s">
        <v>154</v>
      </c>
      <c r="N93" s="42" t="s">
        <v>160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Work-Home</v>
      </c>
      <c r="S93" s="47">
        <v>6</v>
      </c>
      <c r="T93" s="47">
        <v>0.3</v>
      </c>
      <c r="U93" s="43">
        <v>2</v>
      </c>
      <c r="V93" s="43"/>
      <c r="W93" s="47"/>
      <c r="X93" s="47"/>
      <c r="Y93" s="48"/>
      <c r="Z93" s="49"/>
      <c r="AA93" s="25"/>
      <c r="AB93" s="25"/>
    </row>
    <row r="94" spans="2:28">
      <c r="B94" s="40">
        <v>0.82777777777777783</v>
      </c>
      <c r="C94" s="40" t="s">
        <v>462</v>
      </c>
      <c r="D94" s="41">
        <v>1</v>
      </c>
      <c r="E94" s="42">
        <v>2</v>
      </c>
      <c r="F94" s="42" t="s">
        <v>154</v>
      </c>
      <c r="G94" s="43" t="s">
        <v>154</v>
      </c>
      <c r="H94" s="42" t="s">
        <v>160</v>
      </c>
      <c r="I94" s="43">
        <v>16</v>
      </c>
      <c r="J94" s="43">
        <v>8</v>
      </c>
      <c r="K94" s="25" t="str">
        <f>VLOOKUP(J94,Key!$E$2:$F$9,2,FALSE)</f>
        <v>Others</v>
      </c>
      <c r="L94" s="42" t="s">
        <v>392</v>
      </c>
      <c r="M94" s="43" t="s">
        <v>154</v>
      </c>
      <c r="N94" s="42" t="s">
        <v>160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Others-Home</v>
      </c>
      <c r="S94" s="47">
        <v>45</v>
      </c>
      <c r="T94" s="47">
        <v>0.5</v>
      </c>
      <c r="U94" s="43">
        <v>2</v>
      </c>
      <c r="V94" s="43"/>
      <c r="W94" s="47"/>
      <c r="X94" s="47"/>
      <c r="Y94" s="48"/>
      <c r="Z94" s="49"/>
      <c r="AA94" s="25"/>
      <c r="AB94" s="25"/>
    </row>
    <row r="95" spans="2:28">
      <c r="B95" s="40">
        <v>0.82291666666666663</v>
      </c>
      <c r="C95" s="40" t="s">
        <v>463</v>
      </c>
      <c r="D95" s="41">
        <v>7</v>
      </c>
      <c r="E95" s="42">
        <v>2</v>
      </c>
      <c r="F95" s="42" t="s">
        <v>154</v>
      </c>
      <c r="G95" s="43" t="s">
        <v>154</v>
      </c>
      <c r="H95" s="42" t="s">
        <v>160</v>
      </c>
      <c r="I95" s="43">
        <v>5</v>
      </c>
      <c r="J95" s="43">
        <v>7</v>
      </c>
      <c r="K95" s="25" t="str">
        <f>VLOOKUP(J95,Key!$E$2:$F$9,2,FALSE)</f>
        <v>Hospital</v>
      </c>
      <c r="L95" s="42" t="s">
        <v>300</v>
      </c>
      <c r="M95" s="43" t="s">
        <v>154</v>
      </c>
      <c r="N95" s="42" t="s">
        <v>160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Hospital-Home</v>
      </c>
      <c r="S95" s="47">
        <v>2</v>
      </c>
      <c r="T95" s="47">
        <v>0.3</v>
      </c>
      <c r="U95" s="43">
        <v>6</v>
      </c>
      <c r="V95" s="43"/>
      <c r="W95" s="47"/>
      <c r="X95" s="47"/>
      <c r="Y95" s="48"/>
      <c r="Z95" s="49"/>
      <c r="AA95" s="25"/>
      <c r="AB95" s="25"/>
    </row>
    <row r="96" spans="2:28">
      <c r="B96" s="40">
        <v>0.81874999999999998</v>
      </c>
      <c r="C96" s="40" t="s">
        <v>464</v>
      </c>
      <c r="D96" s="41">
        <v>4</v>
      </c>
      <c r="E96" s="42">
        <v>14</v>
      </c>
      <c r="F96" s="42" t="s">
        <v>154</v>
      </c>
      <c r="G96" s="43" t="s">
        <v>154</v>
      </c>
      <c r="H96" s="42" t="s">
        <v>160</v>
      </c>
      <c r="I96" s="43">
        <v>6</v>
      </c>
      <c r="J96" s="43">
        <v>2</v>
      </c>
      <c r="K96" s="25" t="str">
        <f>VLOOKUP(J96,Key!$E$2:$F$9,2,FALSE)</f>
        <v>Work</v>
      </c>
      <c r="L96" s="42" t="s">
        <v>300</v>
      </c>
      <c r="M96" s="43" t="s">
        <v>154</v>
      </c>
      <c r="N96" s="42" t="s">
        <v>160</v>
      </c>
      <c r="O96" s="43">
        <v>1</v>
      </c>
      <c r="P96" s="43">
        <v>1</v>
      </c>
      <c r="Q96" s="25" t="str">
        <f>VLOOKUP(P96,Key!$E$2:$F$9,2,FALSE)</f>
        <v>Home</v>
      </c>
      <c r="R96" s="25" t="str">
        <f t="shared" si="1"/>
        <v>Work-Home</v>
      </c>
      <c r="S96" s="47">
        <v>2</v>
      </c>
      <c r="T96" s="47">
        <v>0.3</v>
      </c>
      <c r="U96" s="43">
        <v>2</v>
      </c>
      <c r="V96" s="43"/>
      <c r="W96" s="47"/>
      <c r="X96" s="47"/>
      <c r="Y96" s="48"/>
      <c r="Z96" s="49"/>
      <c r="AA96" s="25"/>
      <c r="AB96" s="25"/>
    </row>
    <row r="97" spans="2:28">
      <c r="B97" s="40">
        <v>0.81111111111111101</v>
      </c>
      <c r="C97" s="40" t="s">
        <v>465</v>
      </c>
      <c r="D97" s="41">
        <v>1</v>
      </c>
      <c r="E97" s="42">
        <v>1</v>
      </c>
      <c r="F97" s="42" t="s">
        <v>154</v>
      </c>
      <c r="G97" s="43" t="s">
        <v>154</v>
      </c>
      <c r="H97" s="42" t="s">
        <v>160</v>
      </c>
      <c r="I97" s="43">
        <v>16</v>
      </c>
      <c r="J97" s="43">
        <v>2</v>
      </c>
      <c r="K97" s="25" t="str">
        <f>VLOOKUP(J97,Key!$E$2:$F$9,2,FALSE)</f>
        <v>Work</v>
      </c>
      <c r="L97" s="42" t="s">
        <v>220</v>
      </c>
      <c r="M97" s="43" t="s">
        <v>154</v>
      </c>
      <c r="N97" s="42" t="s">
        <v>160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Work-Home</v>
      </c>
      <c r="S97" s="47"/>
      <c r="T97" s="47">
        <v>0.3</v>
      </c>
      <c r="U97" s="43">
        <v>2</v>
      </c>
      <c r="V97" s="43"/>
      <c r="W97" s="47"/>
      <c r="X97" s="47"/>
      <c r="Y97" s="48"/>
      <c r="Z97" s="49"/>
      <c r="AA97" s="25"/>
      <c r="AB97" s="25"/>
    </row>
    <row r="98" spans="2:28">
      <c r="B98" s="40">
        <v>0.8520833333333333</v>
      </c>
      <c r="C98" s="40" t="s">
        <v>466</v>
      </c>
      <c r="D98" s="41">
        <v>4</v>
      </c>
      <c r="E98" s="42">
        <v>13</v>
      </c>
      <c r="F98" s="42" t="s">
        <v>154</v>
      </c>
      <c r="G98" s="43" t="s">
        <v>154</v>
      </c>
      <c r="H98" s="42" t="s">
        <v>160</v>
      </c>
      <c r="I98" s="43">
        <v>6</v>
      </c>
      <c r="J98" s="43">
        <v>2</v>
      </c>
      <c r="K98" s="25" t="str">
        <f>VLOOKUP(J98,Key!$E$2:$F$9,2,FALSE)</f>
        <v>Work</v>
      </c>
      <c r="L98" s="42" t="s">
        <v>220</v>
      </c>
      <c r="M98" s="43" t="s">
        <v>154</v>
      </c>
      <c r="N98" s="42" t="s">
        <v>160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Work-Home</v>
      </c>
      <c r="S98" s="47"/>
      <c r="T98" s="47">
        <v>0.3</v>
      </c>
      <c r="U98" s="43">
        <v>2</v>
      </c>
      <c r="V98" s="43"/>
      <c r="W98" s="47"/>
      <c r="X98" s="47"/>
      <c r="Y98" s="48"/>
      <c r="Z98" s="49"/>
      <c r="AA98" s="25"/>
      <c r="AB98" s="25"/>
    </row>
    <row r="99" spans="2:28">
      <c r="B99" s="40">
        <v>0.83263888888888893</v>
      </c>
      <c r="C99" s="40" t="s">
        <v>467</v>
      </c>
      <c r="D99" s="41">
        <v>3</v>
      </c>
      <c r="E99" s="42">
        <v>3</v>
      </c>
      <c r="F99" s="42" t="s">
        <v>154</v>
      </c>
      <c r="G99" s="43" t="s">
        <v>154</v>
      </c>
      <c r="H99" s="42" t="s">
        <v>160</v>
      </c>
      <c r="I99" s="43">
        <v>15</v>
      </c>
      <c r="J99" s="43">
        <v>8</v>
      </c>
      <c r="K99" s="25" t="str">
        <f>VLOOKUP(J99,Key!$E$2:$F$9,2,FALSE)</f>
        <v>Others</v>
      </c>
      <c r="L99" s="42" t="s">
        <v>201</v>
      </c>
      <c r="M99" s="43" t="s">
        <v>155</v>
      </c>
      <c r="N99" s="42" t="s">
        <v>160</v>
      </c>
      <c r="O99" s="43">
        <v>1</v>
      </c>
      <c r="P99" s="43">
        <v>1</v>
      </c>
      <c r="Q99" s="25" t="str">
        <f>VLOOKUP(P99,Key!$E$2:$F$9,2,FALSE)</f>
        <v>Home</v>
      </c>
      <c r="R99" s="25" t="str">
        <f t="shared" si="1"/>
        <v>Others-Home</v>
      </c>
      <c r="S99" s="47"/>
      <c r="T99" s="47">
        <v>1</v>
      </c>
      <c r="U99" s="43">
        <v>2</v>
      </c>
      <c r="V99" s="43"/>
      <c r="W99" s="47"/>
      <c r="X99" s="47"/>
      <c r="Y99" s="48"/>
      <c r="Z99" s="49"/>
      <c r="AA99" s="25"/>
      <c r="AB99" s="25"/>
    </row>
    <row r="100" spans="2:28">
      <c r="B100" s="40">
        <v>0.8222222222222223</v>
      </c>
      <c r="C100" s="40" t="s">
        <v>468</v>
      </c>
      <c r="D100" s="41">
        <v>2</v>
      </c>
      <c r="E100" s="42">
        <v>1</v>
      </c>
      <c r="F100" s="42" t="s">
        <v>154</v>
      </c>
      <c r="G100" s="43" t="s">
        <v>154</v>
      </c>
      <c r="H100" s="42" t="s">
        <v>160</v>
      </c>
      <c r="I100" s="43">
        <v>16</v>
      </c>
      <c r="J100" s="43">
        <v>8</v>
      </c>
      <c r="K100" s="25" t="str">
        <f>VLOOKUP(J100,Key!$E$2:$F$9,2,FALSE)</f>
        <v>Others</v>
      </c>
      <c r="L100" s="42" t="s">
        <v>189</v>
      </c>
      <c r="M100" s="43" t="s">
        <v>154</v>
      </c>
      <c r="N100" s="42" t="s">
        <v>160</v>
      </c>
      <c r="O100" s="43">
        <v>1</v>
      </c>
      <c r="P100" s="43">
        <v>1</v>
      </c>
      <c r="Q100" s="25" t="str">
        <f>VLOOKUP(P100,Key!$E$2:$F$9,2,FALSE)</f>
        <v>Home</v>
      </c>
      <c r="R100" s="25" t="str">
        <f t="shared" si="1"/>
        <v>Others-Home</v>
      </c>
      <c r="S100" s="47"/>
      <c r="T100" s="47">
        <v>0.5</v>
      </c>
      <c r="U100" s="43">
        <v>2</v>
      </c>
      <c r="V100" s="43"/>
      <c r="W100" s="47"/>
      <c r="X100" s="47"/>
      <c r="Y100" s="48"/>
      <c r="Z100" s="49"/>
      <c r="AA100" s="25"/>
      <c r="AB100" s="25"/>
    </row>
    <row r="101" spans="2:28">
      <c r="B101" s="40">
        <v>0.9</v>
      </c>
      <c r="C101" s="40" t="s">
        <v>469</v>
      </c>
      <c r="D101" s="41">
        <v>1</v>
      </c>
      <c r="E101" s="42">
        <v>1</v>
      </c>
      <c r="F101" s="42" t="s">
        <v>154</v>
      </c>
      <c r="G101" s="43" t="s">
        <v>154</v>
      </c>
      <c r="H101" s="42" t="s">
        <v>160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300</v>
      </c>
      <c r="M101" s="43" t="s">
        <v>154</v>
      </c>
      <c r="N101" s="42" t="s">
        <v>160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47">
        <v>5</v>
      </c>
      <c r="T101" s="47">
        <v>0.5</v>
      </c>
      <c r="U101" s="43">
        <v>2</v>
      </c>
      <c r="V101" s="43"/>
      <c r="W101" s="47"/>
      <c r="X101" s="47"/>
      <c r="Y101" s="48"/>
      <c r="Z101" s="49"/>
      <c r="AA101" s="25"/>
      <c r="AB101" s="25"/>
    </row>
    <row r="102" spans="2:28">
      <c r="B102" s="40">
        <v>8.8666666666666671</v>
      </c>
      <c r="C102" s="40" t="s">
        <v>470</v>
      </c>
      <c r="D102" s="41">
        <v>7</v>
      </c>
      <c r="E102" s="42">
        <v>1</v>
      </c>
      <c r="F102" s="42" t="s">
        <v>209</v>
      </c>
      <c r="G102" s="43" t="s">
        <v>209</v>
      </c>
      <c r="H102" s="42" t="s">
        <v>160</v>
      </c>
      <c r="I102" s="43">
        <v>12</v>
      </c>
      <c r="J102" s="43">
        <v>2</v>
      </c>
      <c r="K102" s="25" t="str">
        <f>VLOOKUP(J102,Key!$E$2:$F$9,2,FALSE)</f>
        <v>Work</v>
      </c>
      <c r="L102" s="42" t="s">
        <v>187</v>
      </c>
      <c r="M102" s="43" t="s">
        <v>154</v>
      </c>
      <c r="N102" s="42" t="s">
        <v>160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ref="R102:R128" si="2">K102&amp;"-"&amp;Q102</f>
        <v>Work-Home</v>
      </c>
      <c r="S102" s="47">
        <v>15</v>
      </c>
      <c r="T102" s="47">
        <v>0.8</v>
      </c>
      <c r="U102" s="43">
        <v>2</v>
      </c>
      <c r="V102" s="43"/>
      <c r="W102" s="47"/>
      <c r="X102" s="47"/>
      <c r="Y102" s="48"/>
      <c r="Z102" s="49"/>
      <c r="AA102" s="25"/>
      <c r="AB102" s="25"/>
    </row>
    <row r="103" spans="2:28">
      <c r="B103" s="40">
        <v>0.91388888888888886</v>
      </c>
      <c r="C103" s="40" t="s">
        <v>471</v>
      </c>
      <c r="D103" s="41">
        <v>1</v>
      </c>
      <c r="E103" s="42">
        <v>4</v>
      </c>
      <c r="F103" s="42" t="s">
        <v>183</v>
      </c>
      <c r="G103" s="43" t="s">
        <v>154</v>
      </c>
      <c r="H103" s="42" t="s">
        <v>160</v>
      </c>
      <c r="I103" s="43">
        <v>16</v>
      </c>
      <c r="J103" s="43">
        <v>8</v>
      </c>
      <c r="K103" s="25" t="str">
        <f>VLOOKUP(J103,Key!$E$2:$F$9,2,FALSE)</f>
        <v>Others</v>
      </c>
      <c r="L103" s="42" t="s">
        <v>155</v>
      </c>
      <c r="M103" s="43" t="s">
        <v>154</v>
      </c>
      <c r="N103" s="42" t="s">
        <v>160</v>
      </c>
      <c r="O103" s="43">
        <v>1</v>
      </c>
      <c r="P103" s="43">
        <v>1</v>
      </c>
      <c r="Q103" s="25" t="str">
        <f>VLOOKUP(P103,Key!$E$2:$F$9,2,FALSE)</f>
        <v>Home</v>
      </c>
      <c r="R103" s="25" t="str">
        <f t="shared" si="2"/>
        <v>Others-Home</v>
      </c>
      <c r="S103" s="47"/>
      <c r="T103" s="47">
        <v>0.8</v>
      </c>
      <c r="U103" s="43">
        <v>2</v>
      </c>
      <c r="V103" s="43"/>
      <c r="W103" s="47"/>
      <c r="X103" s="47"/>
      <c r="Y103" s="48"/>
      <c r="Z103" s="49"/>
      <c r="AA103" s="25"/>
      <c r="AB103" s="25"/>
    </row>
    <row r="104" spans="2:28">
      <c r="B104" s="40">
        <v>0.92847222222222225</v>
      </c>
      <c r="C104" s="40" t="s">
        <v>472</v>
      </c>
      <c r="D104" s="41">
        <v>8</v>
      </c>
      <c r="E104" s="42">
        <v>3</v>
      </c>
      <c r="F104" s="42" t="s">
        <v>164</v>
      </c>
      <c r="G104" s="43" t="s">
        <v>164</v>
      </c>
      <c r="H104" s="42" t="s">
        <v>160</v>
      </c>
      <c r="I104" s="43">
        <v>10</v>
      </c>
      <c r="J104" s="43">
        <v>2</v>
      </c>
      <c r="K104" s="25" t="str">
        <f>VLOOKUP(J104,Key!$E$2:$F$9,2,FALSE)</f>
        <v>Work</v>
      </c>
      <c r="L104" s="42" t="s">
        <v>155</v>
      </c>
      <c r="M104" s="43" t="s">
        <v>155</v>
      </c>
      <c r="N104" s="42" t="s">
        <v>160</v>
      </c>
      <c r="O104" s="43">
        <v>1</v>
      </c>
      <c r="P104" s="43">
        <v>1</v>
      </c>
      <c r="Q104" s="25" t="str">
        <f>VLOOKUP(P104,Key!$E$2:$F$9,2,FALSE)</f>
        <v>Home</v>
      </c>
      <c r="R104" s="25" t="str">
        <f t="shared" si="2"/>
        <v>Work-Home</v>
      </c>
      <c r="S104" s="47">
        <v>30</v>
      </c>
      <c r="T104" s="47">
        <v>3</v>
      </c>
      <c r="U104" s="43">
        <v>2</v>
      </c>
      <c r="V104" s="43"/>
      <c r="W104" s="47"/>
      <c r="X104" s="47"/>
      <c r="Y104" s="48"/>
      <c r="Z104" s="49"/>
      <c r="AA104" s="25"/>
      <c r="AB104" s="25"/>
    </row>
    <row r="105" spans="2:28" ht="12" customHeight="1">
      <c r="B105" s="40">
        <v>0.93333333333333324</v>
      </c>
      <c r="C105" s="40" t="s">
        <v>473</v>
      </c>
      <c r="D105" s="41">
        <v>2</v>
      </c>
      <c r="E105" s="42">
        <v>2</v>
      </c>
      <c r="F105" s="42" t="s">
        <v>154</v>
      </c>
      <c r="G105" s="43" t="s">
        <v>154</v>
      </c>
      <c r="H105" s="42" t="s">
        <v>160</v>
      </c>
      <c r="I105" s="43">
        <v>16</v>
      </c>
      <c r="J105" s="43">
        <v>8</v>
      </c>
      <c r="K105" s="25" t="str">
        <f>VLOOKUP(J105,Key!$E$2:$F$9,2,FALSE)</f>
        <v>Others</v>
      </c>
      <c r="L105" s="42" t="s">
        <v>398</v>
      </c>
      <c r="M105" s="43" t="s">
        <v>399</v>
      </c>
      <c r="N105" s="42" t="s">
        <v>160</v>
      </c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2"/>
        <v>Others-Home</v>
      </c>
      <c r="S105" s="47">
        <v>85</v>
      </c>
      <c r="T105" s="47">
        <v>2</v>
      </c>
      <c r="U105" s="43">
        <v>2</v>
      </c>
      <c r="V105" s="43"/>
      <c r="W105" s="47"/>
      <c r="X105" s="47"/>
      <c r="Y105" s="48"/>
      <c r="Z105" s="49"/>
      <c r="AA105" s="25"/>
      <c r="AB105" s="25"/>
    </row>
    <row r="106" spans="2:28">
      <c r="B106" s="40">
        <v>0.97152777777777777</v>
      </c>
      <c r="C106" s="40" t="s">
        <v>474</v>
      </c>
      <c r="D106" s="41">
        <v>1</v>
      </c>
      <c r="E106" s="42">
        <v>2</v>
      </c>
      <c r="F106" s="42" t="s">
        <v>154</v>
      </c>
      <c r="G106" s="43" t="s">
        <v>154</v>
      </c>
      <c r="H106" s="42" t="s">
        <v>160</v>
      </c>
      <c r="I106" s="43">
        <v>16</v>
      </c>
      <c r="J106" s="43">
        <v>2</v>
      </c>
      <c r="K106" s="25" t="str">
        <f>VLOOKUP(J106,Key!$E$2:$F$9,2,FALSE)</f>
        <v>Work</v>
      </c>
      <c r="L106" s="42" t="s">
        <v>220</v>
      </c>
      <c r="M106" s="43" t="s">
        <v>154</v>
      </c>
      <c r="N106" s="42" t="s">
        <v>160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Work-Home</v>
      </c>
      <c r="S106" s="47"/>
      <c r="T106" s="47">
        <v>0.3</v>
      </c>
      <c r="U106" s="43">
        <v>2</v>
      </c>
      <c r="V106" s="43"/>
      <c r="W106" s="47"/>
      <c r="X106" s="47"/>
      <c r="Y106" s="48"/>
      <c r="Z106" s="49"/>
      <c r="AA106" s="25"/>
      <c r="AB106" s="25"/>
    </row>
    <row r="107" spans="2:28">
      <c r="B107" s="40">
        <v>0.97638888888888886</v>
      </c>
      <c r="C107" s="40" t="s">
        <v>475</v>
      </c>
      <c r="D107" s="41">
        <v>1</v>
      </c>
      <c r="E107" s="42">
        <v>2</v>
      </c>
      <c r="F107" s="42" t="s">
        <v>154</v>
      </c>
      <c r="G107" s="43" t="s">
        <v>154</v>
      </c>
      <c r="H107" s="42" t="s">
        <v>160</v>
      </c>
      <c r="I107" s="43">
        <v>10</v>
      </c>
      <c r="J107" s="43">
        <v>2</v>
      </c>
      <c r="K107" s="25" t="str">
        <f>VLOOKUP(J107,Key!$E$2:$F$9,2,FALSE)</f>
        <v>Work</v>
      </c>
      <c r="L107" s="42" t="s">
        <v>183</v>
      </c>
      <c r="M107" s="43" t="s">
        <v>164</v>
      </c>
      <c r="N107" s="42" t="s">
        <v>160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2"/>
        <v>Work-Home</v>
      </c>
      <c r="S107" s="47">
        <v>27</v>
      </c>
      <c r="T107" s="47">
        <v>2</v>
      </c>
      <c r="U107" s="43">
        <v>2</v>
      </c>
      <c r="V107" s="43"/>
      <c r="W107" s="47"/>
      <c r="X107" s="47"/>
      <c r="Y107" s="48"/>
      <c r="Z107" s="49"/>
      <c r="AA107" s="25"/>
      <c r="AB107" s="25"/>
    </row>
    <row r="108" spans="2:28">
      <c r="B108" s="40">
        <v>0.98958333333333337</v>
      </c>
      <c r="C108" s="40" t="s">
        <v>476</v>
      </c>
      <c r="D108" s="41">
        <v>1</v>
      </c>
      <c r="E108" s="42">
        <v>1</v>
      </c>
      <c r="F108" s="42" t="s">
        <v>154</v>
      </c>
      <c r="G108" s="43" t="s">
        <v>154</v>
      </c>
      <c r="H108" s="42" t="s">
        <v>160</v>
      </c>
      <c r="I108" s="43">
        <v>16</v>
      </c>
      <c r="J108" s="43">
        <v>2</v>
      </c>
      <c r="K108" s="25" t="str">
        <f>VLOOKUP(J108,Key!$E$2:$F$9,2,FALSE)</f>
        <v>Work</v>
      </c>
      <c r="L108" s="42" t="s">
        <v>239</v>
      </c>
      <c r="M108" s="43" t="s">
        <v>154</v>
      </c>
      <c r="N108" s="42" t="s">
        <v>160</v>
      </c>
      <c r="O108" s="43">
        <v>1</v>
      </c>
      <c r="P108" s="43">
        <v>1</v>
      </c>
      <c r="Q108" s="25" t="str">
        <f>VLOOKUP(P108,Key!$E$2:$F$9,2,FALSE)</f>
        <v>Home</v>
      </c>
      <c r="R108" s="25" t="str">
        <f t="shared" si="2"/>
        <v>Work-Home</v>
      </c>
      <c r="S108" s="47"/>
      <c r="T108" s="47">
        <v>0.3</v>
      </c>
      <c r="U108" s="43">
        <v>2</v>
      </c>
      <c r="V108" s="43"/>
      <c r="W108" s="47"/>
      <c r="X108" s="47"/>
      <c r="Y108" s="48"/>
      <c r="Z108" s="49"/>
      <c r="AA108" s="25"/>
      <c r="AB108" s="25"/>
    </row>
    <row r="109" spans="2:28">
      <c r="B109" s="40">
        <v>0.9819444444444444</v>
      </c>
      <c r="C109" s="40" t="s">
        <v>477</v>
      </c>
      <c r="D109" s="41">
        <v>8</v>
      </c>
      <c r="E109" s="42">
        <v>2</v>
      </c>
      <c r="F109" s="42" t="s">
        <v>243</v>
      </c>
      <c r="G109" s="43" t="s">
        <v>243</v>
      </c>
      <c r="H109" s="42" t="s">
        <v>160</v>
      </c>
      <c r="I109" s="43">
        <v>10</v>
      </c>
      <c r="J109" s="43">
        <v>2</v>
      </c>
      <c r="K109" s="25" t="str">
        <f>VLOOKUP(J109,Key!$E$2:$F$9,2,FALSE)</f>
        <v>Work</v>
      </c>
      <c r="L109" s="42" t="s">
        <v>313</v>
      </c>
      <c r="M109" s="43" t="s">
        <v>154</v>
      </c>
      <c r="N109" s="42" t="s">
        <v>160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Work-Home</v>
      </c>
      <c r="S109" s="47">
        <v>30</v>
      </c>
      <c r="T109" s="47">
        <v>1</v>
      </c>
      <c r="U109" s="43">
        <v>2</v>
      </c>
      <c r="V109" s="43"/>
      <c r="W109" s="47"/>
      <c r="X109" s="47"/>
      <c r="Y109" s="48"/>
      <c r="Z109" s="49"/>
      <c r="AA109" s="25"/>
      <c r="AB109" s="25"/>
    </row>
    <row r="110" spans="2:28">
      <c r="B110" s="40">
        <v>0.99305555555555547</v>
      </c>
      <c r="C110" s="40" t="s">
        <v>478</v>
      </c>
      <c r="D110" s="41">
        <v>3</v>
      </c>
      <c r="E110" s="42">
        <v>2</v>
      </c>
      <c r="F110" s="42" t="s">
        <v>154</v>
      </c>
      <c r="G110" s="43" t="s">
        <v>154</v>
      </c>
      <c r="H110" s="42" t="s">
        <v>160</v>
      </c>
      <c r="I110" s="43">
        <v>3</v>
      </c>
      <c r="J110" s="43">
        <v>2</v>
      </c>
      <c r="K110" s="25" t="str">
        <f>VLOOKUP(J110,Key!$E$2:$F$9,2,FALSE)</f>
        <v>Work</v>
      </c>
      <c r="L110" s="42" t="s">
        <v>220</v>
      </c>
      <c r="M110" s="43" t="s">
        <v>154</v>
      </c>
      <c r="N110" s="42" t="s">
        <v>160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2"/>
        <v>Work-Home</v>
      </c>
      <c r="S110" s="47"/>
      <c r="T110" s="47">
        <v>0.3</v>
      </c>
      <c r="U110" s="43">
        <v>2</v>
      </c>
      <c r="V110" s="43"/>
      <c r="W110" s="47"/>
      <c r="X110" s="47"/>
      <c r="Y110" s="48"/>
      <c r="Z110" s="49"/>
      <c r="AA110" s="25"/>
      <c r="AB110" s="25"/>
    </row>
    <row r="111" spans="2:28">
      <c r="B111" s="40">
        <v>0.99861111111111101</v>
      </c>
      <c r="C111" s="40" t="s">
        <v>479</v>
      </c>
      <c r="D111" s="41">
        <v>3</v>
      </c>
      <c r="E111" s="42">
        <v>1</v>
      </c>
      <c r="F111" s="42" t="s">
        <v>154</v>
      </c>
      <c r="G111" s="43" t="s">
        <v>154</v>
      </c>
      <c r="H111" s="42" t="s">
        <v>160</v>
      </c>
      <c r="I111" s="43">
        <v>9</v>
      </c>
      <c r="J111" s="43">
        <v>2</v>
      </c>
      <c r="K111" s="25" t="str">
        <f>VLOOKUP(J111,Key!$E$2:$F$9,2,FALSE)</f>
        <v>Work</v>
      </c>
      <c r="L111" s="42" t="s">
        <v>161</v>
      </c>
      <c r="M111" s="43" t="s">
        <v>154</v>
      </c>
      <c r="N111" s="42" t="s">
        <v>160</v>
      </c>
      <c r="O111" s="43">
        <v>1</v>
      </c>
      <c r="P111" s="43">
        <v>1</v>
      </c>
      <c r="Q111" s="25" t="str">
        <f>VLOOKUP(P111,Key!$E$2:$F$9,2,FALSE)</f>
        <v>Home</v>
      </c>
      <c r="R111" s="25" t="str">
        <f t="shared" si="2"/>
        <v>Work-Home</v>
      </c>
      <c r="S111" s="47">
        <v>27</v>
      </c>
      <c r="T111" s="47">
        <v>1</v>
      </c>
      <c r="U111" s="43">
        <v>2</v>
      </c>
      <c r="V111" s="43"/>
      <c r="W111" s="47"/>
      <c r="X111" s="47"/>
      <c r="Y111" s="48"/>
      <c r="Z111" s="49"/>
      <c r="AA111" s="25"/>
      <c r="AB111" s="25"/>
    </row>
    <row r="112" spans="2:28">
      <c r="B112" s="40">
        <v>0.9506944444444444</v>
      </c>
      <c r="C112" s="40" t="s">
        <v>480</v>
      </c>
      <c r="D112" s="41">
        <v>1</v>
      </c>
      <c r="E112" s="42">
        <v>2</v>
      </c>
      <c r="F112" s="42" t="s">
        <v>172</v>
      </c>
      <c r="G112" s="43" t="s">
        <v>154</v>
      </c>
      <c r="H112" s="42" t="s">
        <v>160</v>
      </c>
      <c r="I112" s="43">
        <v>16</v>
      </c>
      <c r="J112" s="43">
        <v>2</v>
      </c>
      <c r="K112" s="25" t="str">
        <f>VLOOKUP(J112,Key!$E$2:$F$9,2,FALSE)</f>
        <v>Work</v>
      </c>
      <c r="L112" s="42" t="s">
        <v>392</v>
      </c>
      <c r="M112" s="43" t="s">
        <v>154</v>
      </c>
      <c r="N112" s="42" t="s">
        <v>160</v>
      </c>
      <c r="O112" s="43">
        <v>1</v>
      </c>
      <c r="P112" s="43">
        <v>1</v>
      </c>
      <c r="Q112" s="25" t="str">
        <f>VLOOKUP(P112,Key!$E$2:$F$9,2,FALSE)</f>
        <v>Home</v>
      </c>
      <c r="R112" s="25" t="str">
        <f t="shared" si="2"/>
        <v>Work-Home</v>
      </c>
      <c r="S112" s="47">
        <v>10</v>
      </c>
      <c r="T112" s="47">
        <v>0.5</v>
      </c>
      <c r="U112" s="43">
        <v>2</v>
      </c>
      <c r="V112" s="43"/>
      <c r="W112" s="47"/>
      <c r="X112" s="47"/>
      <c r="Y112" s="48"/>
      <c r="Z112" s="49"/>
      <c r="AA112" s="25"/>
      <c r="AB112" s="25"/>
    </row>
    <row r="113" spans="2:28">
      <c r="B113" s="40">
        <v>0.94791666666666663</v>
      </c>
      <c r="C113" s="40" t="s">
        <v>481</v>
      </c>
      <c r="D113" s="41">
        <v>2</v>
      </c>
      <c r="E113" s="42">
        <v>1</v>
      </c>
      <c r="F113" s="42" t="s">
        <v>154</v>
      </c>
      <c r="G113" s="43" t="s">
        <v>154</v>
      </c>
      <c r="H113" s="42" t="s">
        <v>160</v>
      </c>
      <c r="I113" s="43">
        <v>16</v>
      </c>
      <c r="J113" s="43">
        <v>2</v>
      </c>
      <c r="K113" s="25" t="str">
        <f>VLOOKUP(J113,Key!$E$2:$F$9,2,FALSE)</f>
        <v>Work</v>
      </c>
      <c r="L113" s="42" t="s">
        <v>392</v>
      </c>
      <c r="M113" s="43" t="s">
        <v>154</v>
      </c>
      <c r="N113" s="42" t="s">
        <v>160</v>
      </c>
      <c r="O113" s="43">
        <v>1</v>
      </c>
      <c r="P113" s="43">
        <v>1</v>
      </c>
      <c r="Q113" s="25" t="str">
        <f>VLOOKUP(P113,Key!$E$2:$F$9,2,FALSE)</f>
        <v>Home</v>
      </c>
      <c r="R113" s="25" t="str">
        <f t="shared" si="2"/>
        <v>Work-Home</v>
      </c>
      <c r="S113" s="47">
        <v>16</v>
      </c>
      <c r="T113" s="47">
        <v>0.5</v>
      </c>
      <c r="U113" s="43">
        <v>2</v>
      </c>
      <c r="V113" s="43"/>
      <c r="W113" s="47"/>
      <c r="X113" s="47"/>
      <c r="Y113" s="48"/>
      <c r="Z113" s="49"/>
      <c r="AA113" s="25"/>
      <c r="AB113" s="25"/>
    </row>
    <row r="114" spans="2:28">
      <c r="B114" s="40">
        <v>0.94166666666666676</v>
      </c>
      <c r="C114" s="40" t="s">
        <v>482</v>
      </c>
      <c r="D114" s="41">
        <v>8</v>
      </c>
      <c r="E114" s="42">
        <v>2</v>
      </c>
      <c r="F114" s="42" t="s">
        <v>154</v>
      </c>
      <c r="G114" s="43" t="s">
        <v>154</v>
      </c>
      <c r="H114" s="42" t="s">
        <v>160</v>
      </c>
      <c r="I114" s="43">
        <v>10</v>
      </c>
      <c r="J114" s="43">
        <v>2</v>
      </c>
      <c r="K114" s="25" t="str">
        <f>VLOOKUP(J114,Key!$E$2:$F$9,2,FALSE)</f>
        <v>Work</v>
      </c>
      <c r="L114" s="42" t="s">
        <v>483</v>
      </c>
      <c r="M114" s="43" t="s">
        <v>154</v>
      </c>
      <c r="N114" s="42" t="s">
        <v>160</v>
      </c>
      <c r="O114" s="43">
        <v>1</v>
      </c>
      <c r="P114" s="43">
        <v>1</v>
      </c>
      <c r="Q114" s="25" t="str">
        <f>VLOOKUP(P114,Key!$E$2:$F$9,2,FALSE)</f>
        <v>Home</v>
      </c>
      <c r="R114" s="25" t="str">
        <f t="shared" si="2"/>
        <v>Work-Home</v>
      </c>
      <c r="S114" s="47"/>
      <c r="T114" s="47">
        <v>0.7</v>
      </c>
      <c r="U114" s="43">
        <v>2</v>
      </c>
      <c r="V114" s="43"/>
      <c r="W114" s="47"/>
      <c r="X114" s="47"/>
      <c r="Y114" s="48"/>
      <c r="Z114" s="49"/>
      <c r="AA114" s="25"/>
      <c r="AB114" s="25"/>
    </row>
    <row r="115" spans="2:28">
      <c r="B115" s="40">
        <v>0.93680555555555556</v>
      </c>
      <c r="C115" s="40" t="s">
        <v>484</v>
      </c>
      <c r="D115" s="41">
        <v>1</v>
      </c>
      <c r="E115" s="42">
        <v>2</v>
      </c>
      <c r="F115" s="42" t="s">
        <v>154</v>
      </c>
      <c r="G115" s="43" t="s">
        <v>154</v>
      </c>
      <c r="H115" s="42" t="s">
        <v>160</v>
      </c>
      <c r="I115" s="43">
        <v>11</v>
      </c>
      <c r="J115" s="43">
        <v>2</v>
      </c>
      <c r="K115" s="25" t="str">
        <f>VLOOKUP(J115,Key!$E$2:$F$9,2,FALSE)</f>
        <v>Work</v>
      </c>
      <c r="L115" s="42" t="s">
        <v>392</v>
      </c>
      <c r="M115" s="43" t="s">
        <v>154</v>
      </c>
      <c r="N115" s="42" t="s">
        <v>160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2"/>
        <v>Work-Home</v>
      </c>
      <c r="S115" s="47">
        <v>10</v>
      </c>
      <c r="T115" s="47">
        <v>0.5</v>
      </c>
      <c r="U115" s="43">
        <v>2</v>
      </c>
      <c r="V115" s="43"/>
      <c r="W115" s="47"/>
      <c r="X115" s="47"/>
      <c r="Y115" s="48"/>
      <c r="Z115" s="49"/>
      <c r="AA115" s="25"/>
      <c r="AB115" s="25"/>
    </row>
    <row r="116" spans="2:28">
      <c r="B116" s="40">
        <v>0.51736111111111105</v>
      </c>
      <c r="C116" s="40" t="s">
        <v>485</v>
      </c>
      <c r="D116" s="41">
        <v>1</v>
      </c>
      <c r="E116" s="42">
        <v>2</v>
      </c>
      <c r="F116" s="42" t="s">
        <v>154</v>
      </c>
      <c r="G116" s="43" t="s">
        <v>154</v>
      </c>
      <c r="H116" s="42" t="s">
        <v>160</v>
      </c>
      <c r="I116" s="43">
        <v>2</v>
      </c>
      <c r="J116" s="43">
        <v>2</v>
      </c>
      <c r="K116" s="25" t="str">
        <f>VLOOKUP(J116,Key!$E$2:$F$9,2,FALSE)</f>
        <v>Work</v>
      </c>
      <c r="L116" s="42" t="s">
        <v>380</v>
      </c>
      <c r="M116" s="43" t="s">
        <v>154</v>
      </c>
      <c r="N116" s="42" t="s">
        <v>160</v>
      </c>
      <c r="O116" s="43">
        <v>1</v>
      </c>
      <c r="P116" s="43">
        <v>1</v>
      </c>
      <c r="Q116" s="25" t="str">
        <f>VLOOKUP(P116,Key!$E$2:$F$9,2,FALSE)</f>
        <v>Home</v>
      </c>
      <c r="R116" s="25" t="str">
        <f t="shared" si="2"/>
        <v>Work-Home</v>
      </c>
      <c r="S116" s="47">
        <v>18</v>
      </c>
      <c r="T116" s="47">
        <v>1</v>
      </c>
      <c r="U116" s="43">
        <v>2</v>
      </c>
      <c r="V116" s="43"/>
      <c r="W116" s="47"/>
      <c r="X116" s="47"/>
      <c r="Y116" s="48"/>
      <c r="Z116" s="49"/>
      <c r="AA116" s="25"/>
      <c r="AB116" s="25"/>
    </row>
    <row r="117" spans="2:28">
      <c r="B117" s="40">
        <v>0.51111111111111118</v>
      </c>
      <c r="C117" s="40" t="s">
        <v>469</v>
      </c>
      <c r="D117" s="41">
        <v>2</v>
      </c>
      <c r="E117" s="42">
        <v>3</v>
      </c>
      <c r="F117" s="42" t="s">
        <v>154</v>
      </c>
      <c r="G117" s="43" t="s">
        <v>154</v>
      </c>
      <c r="H117" s="42" t="s">
        <v>160</v>
      </c>
      <c r="I117" s="43">
        <v>16</v>
      </c>
      <c r="J117" s="43">
        <v>2</v>
      </c>
      <c r="K117" s="25" t="str">
        <f>VLOOKUP(J117,Key!$E$2:$F$9,2,FALSE)</f>
        <v>Work</v>
      </c>
      <c r="L117" s="42" t="s">
        <v>220</v>
      </c>
      <c r="M117" s="43" t="s">
        <v>154</v>
      </c>
      <c r="N117" s="42" t="s">
        <v>160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2"/>
        <v>Work-Home</v>
      </c>
      <c r="S117" s="47"/>
      <c r="T117" s="47">
        <v>0.3</v>
      </c>
      <c r="U117" s="43">
        <v>2</v>
      </c>
      <c r="V117" s="43"/>
      <c r="W117" s="47"/>
      <c r="X117" s="47"/>
      <c r="Y117" s="48"/>
      <c r="Z117" s="49"/>
      <c r="AA117" s="25"/>
      <c r="AB117" s="25"/>
    </row>
    <row r="118" spans="2:28">
      <c r="B118" s="40">
        <v>0.52777777777777779</v>
      </c>
      <c r="C118" s="40" t="s">
        <v>486</v>
      </c>
      <c r="D118" s="41">
        <v>3</v>
      </c>
      <c r="E118" s="42">
        <v>2</v>
      </c>
      <c r="F118" s="42" t="s">
        <v>154</v>
      </c>
      <c r="G118" s="43" t="s">
        <v>154</v>
      </c>
      <c r="H118" s="42" t="s">
        <v>160</v>
      </c>
      <c r="I118" s="43">
        <v>16</v>
      </c>
      <c r="J118" s="43">
        <v>2</v>
      </c>
      <c r="K118" s="25" t="str">
        <f>VLOOKUP(J118,Key!$E$2:$F$9,2,FALSE)</f>
        <v>Work</v>
      </c>
      <c r="L118" s="42" t="s">
        <v>220</v>
      </c>
      <c r="M118" s="43" t="s">
        <v>154</v>
      </c>
      <c r="N118" s="42" t="s">
        <v>160</v>
      </c>
      <c r="O118" s="43">
        <v>1</v>
      </c>
      <c r="P118" s="43">
        <v>1</v>
      </c>
      <c r="Q118" s="25" t="str">
        <f>VLOOKUP(P118,Key!$E$2:$F$9,2,FALSE)</f>
        <v>Home</v>
      </c>
      <c r="R118" s="25" t="str">
        <f t="shared" si="2"/>
        <v>Work-Home</v>
      </c>
      <c r="S118" s="47"/>
      <c r="T118" s="47">
        <v>0.3</v>
      </c>
      <c r="U118" s="43">
        <v>2</v>
      </c>
      <c r="V118" s="43"/>
      <c r="W118" s="47"/>
      <c r="X118" s="47"/>
      <c r="Y118" s="48"/>
      <c r="Z118" s="49"/>
      <c r="AA118" s="25"/>
      <c r="AB118" s="25"/>
    </row>
    <row r="119" spans="2:28">
      <c r="B119" s="40">
        <v>0.5229166666666667</v>
      </c>
      <c r="C119" s="40" t="s">
        <v>487</v>
      </c>
      <c r="D119" s="41">
        <v>4</v>
      </c>
      <c r="E119" s="42">
        <v>13</v>
      </c>
      <c r="F119" s="42" t="s">
        <v>154</v>
      </c>
      <c r="G119" s="43" t="s">
        <v>154</v>
      </c>
      <c r="H119" s="42" t="s">
        <v>160</v>
      </c>
      <c r="I119" s="43">
        <v>6</v>
      </c>
      <c r="J119" s="43">
        <v>2</v>
      </c>
      <c r="K119" s="25" t="str">
        <f>VLOOKUP(J119,Key!$E$2:$F$9,2,FALSE)</f>
        <v>Work</v>
      </c>
      <c r="L119" s="42" t="s">
        <v>229</v>
      </c>
      <c r="M119" s="43" t="s">
        <v>155</v>
      </c>
      <c r="N119" s="42" t="s">
        <v>160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2"/>
        <v>Work-Home</v>
      </c>
      <c r="S119" s="47">
        <v>29</v>
      </c>
      <c r="T119" s="47">
        <v>2.5</v>
      </c>
      <c r="U119" s="43">
        <v>2</v>
      </c>
      <c r="V119" s="43"/>
      <c r="W119" s="47"/>
      <c r="X119" s="47"/>
      <c r="Y119" s="48"/>
      <c r="Z119" s="49"/>
      <c r="AA119" s="25"/>
      <c r="AB119" s="25"/>
    </row>
    <row r="120" spans="2:28">
      <c r="B120" s="40">
        <v>0.53472222222222221</v>
      </c>
      <c r="C120" s="40" t="s">
        <v>488</v>
      </c>
      <c r="D120" s="41">
        <v>2</v>
      </c>
      <c r="E120" s="42">
        <v>1</v>
      </c>
      <c r="F120" s="42" t="s">
        <v>154</v>
      </c>
      <c r="G120" s="43" t="s">
        <v>154</v>
      </c>
      <c r="H120" s="42" t="s">
        <v>160</v>
      </c>
      <c r="I120" s="43">
        <v>16</v>
      </c>
      <c r="J120" s="43">
        <v>2</v>
      </c>
      <c r="K120" s="25" t="str">
        <f>VLOOKUP(J120,Key!$E$2:$F$9,2,FALSE)</f>
        <v>Work</v>
      </c>
      <c r="L120" s="42" t="s">
        <v>220</v>
      </c>
      <c r="M120" s="43" t="s">
        <v>154</v>
      </c>
      <c r="N120" s="42" t="s">
        <v>160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2"/>
        <v>Work-Home</v>
      </c>
      <c r="S120" s="47"/>
      <c r="T120" s="47">
        <v>0.3</v>
      </c>
      <c r="U120" s="43">
        <v>2</v>
      </c>
      <c r="V120" s="43"/>
      <c r="W120" s="47"/>
      <c r="X120" s="47"/>
      <c r="Y120" s="48"/>
      <c r="Z120" s="49"/>
      <c r="AA120" s="25"/>
      <c r="AB120" s="25"/>
    </row>
    <row r="121" spans="2:28">
      <c r="B121" s="40">
        <v>0.53194444444444444</v>
      </c>
      <c r="C121" s="40" t="s">
        <v>489</v>
      </c>
      <c r="D121" s="41">
        <v>1</v>
      </c>
      <c r="E121" s="42">
        <v>2</v>
      </c>
      <c r="F121" s="42" t="s">
        <v>154</v>
      </c>
      <c r="G121" s="43" t="s">
        <v>154</v>
      </c>
      <c r="H121" s="42" t="s">
        <v>160</v>
      </c>
      <c r="I121" s="43">
        <v>16</v>
      </c>
      <c r="J121" s="43">
        <v>2</v>
      </c>
      <c r="K121" s="25" t="str">
        <f>VLOOKUP(J121,Key!$E$2:$F$9,2,FALSE)</f>
        <v>Work</v>
      </c>
      <c r="L121" s="42" t="s">
        <v>155</v>
      </c>
      <c r="M121" s="43" t="s">
        <v>154</v>
      </c>
      <c r="N121" s="42" t="s">
        <v>160</v>
      </c>
      <c r="O121" s="43">
        <v>1</v>
      </c>
      <c r="P121" s="43">
        <v>1</v>
      </c>
      <c r="Q121" s="25" t="str">
        <f>VLOOKUP(P121,Key!$E$2:$F$9,2,FALSE)</f>
        <v>Home</v>
      </c>
      <c r="R121" s="25" t="str">
        <f t="shared" si="2"/>
        <v>Work-Home</v>
      </c>
      <c r="S121" s="47">
        <v>15</v>
      </c>
      <c r="T121" s="47">
        <v>0.5</v>
      </c>
      <c r="U121" s="43">
        <v>2</v>
      </c>
      <c r="V121" s="43"/>
      <c r="W121" s="47"/>
      <c r="X121" s="47"/>
      <c r="Y121" s="48"/>
      <c r="Z121" s="49"/>
      <c r="AA121" s="25"/>
      <c r="AB121" s="25"/>
    </row>
    <row r="122" spans="2:28">
      <c r="B122" s="40">
        <v>0.54097222222222219</v>
      </c>
      <c r="C122" s="40" t="s">
        <v>490</v>
      </c>
      <c r="D122" s="41">
        <v>1</v>
      </c>
      <c r="E122" s="42">
        <v>2</v>
      </c>
      <c r="F122" s="42" t="s">
        <v>154</v>
      </c>
      <c r="G122" s="43" t="s">
        <v>154</v>
      </c>
      <c r="H122" s="42" t="s">
        <v>160</v>
      </c>
      <c r="I122" s="43">
        <v>10</v>
      </c>
      <c r="J122" s="43">
        <v>2</v>
      </c>
      <c r="K122" s="25" t="str">
        <f>VLOOKUP(J122,Key!$E$2:$F$9,2,FALSE)</f>
        <v>Work</v>
      </c>
      <c r="L122" s="42" t="s">
        <v>380</v>
      </c>
      <c r="M122" s="43" t="s">
        <v>154</v>
      </c>
      <c r="N122" s="42" t="s">
        <v>160</v>
      </c>
      <c r="O122" s="43">
        <v>1</v>
      </c>
      <c r="P122" s="43">
        <v>1</v>
      </c>
      <c r="Q122" s="25" t="str">
        <f>VLOOKUP(P122,Key!$E$2:$F$9,2,FALSE)</f>
        <v>Home</v>
      </c>
      <c r="R122" s="25" t="str">
        <f t="shared" si="2"/>
        <v>Work-Home</v>
      </c>
      <c r="S122" s="47">
        <v>15</v>
      </c>
      <c r="T122" s="47">
        <v>0.5</v>
      </c>
      <c r="U122" s="43">
        <v>2</v>
      </c>
      <c r="V122" s="43"/>
      <c r="W122" s="47"/>
      <c r="X122" s="47"/>
      <c r="Y122" s="48"/>
      <c r="Z122" s="49"/>
      <c r="AA122" s="25"/>
      <c r="AB122" s="25"/>
    </row>
    <row r="123" spans="2:28">
      <c r="B123" s="40">
        <v>0.55277777777777781</v>
      </c>
      <c r="C123" s="40" t="s">
        <v>491</v>
      </c>
      <c r="D123" s="41">
        <v>2</v>
      </c>
      <c r="E123" s="42">
        <v>3</v>
      </c>
      <c r="F123" s="42" t="s">
        <v>154</v>
      </c>
      <c r="G123" s="43" t="s">
        <v>154</v>
      </c>
      <c r="H123" s="42" t="s">
        <v>160</v>
      </c>
      <c r="I123" s="43">
        <v>16</v>
      </c>
      <c r="J123" s="43">
        <v>2</v>
      </c>
      <c r="K123" s="25" t="str">
        <f>VLOOKUP(J123,Key!$E$2:$F$9,2,FALSE)</f>
        <v>Work</v>
      </c>
      <c r="L123" s="42" t="s">
        <v>161</v>
      </c>
      <c r="M123" s="43" t="s">
        <v>154</v>
      </c>
      <c r="N123" s="42" t="s">
        <v>160</v>
      </c>
      <c r="O123" s="43">
        <v>1</v>
      </c>
      <c r="P123" s="43">
        <v>1</v>
      </c>
      <c r="Q123" s="25" t="str">
        <f>VLOOKUP(P123,Key!$E$2:$F$9,2,FALSE)</f>
        <v>Home</v>
      </c>
      <c r="R123" s="25" t="str">
        <f t="shared" si="2"/>
        <v>Work-Home</v>
      </c>
      <c r="S123" s="47">
        <v>27</v>
      </c>
      <c r="T123" s="47">
        <v>2</v>
      </c>
      <c r="U123" s="43">
        <v>2</v>
      </c>
      <c r="V123" s="43"/>
      <c r="W123" s="47"/>
      <c r="X123" s="47"/>
      <c r="Y123" s="48"/>
      <c r="Z123" s="49"/>
      <c r="AA123" s="25"/>
      <c r="AB123" s="25"/>
    </row>
    <row r="124" spans="2:28">
      <c r="B124" s="40">
        <v>0.56319444444444444</v>
      </c>
      <c r="C124" s="40" t="s">
        <v>492</v>
      </c>
      <c r="D124" s="41">
        <v>1</v>
      </c>
      <c r="E124" s="42">
        <v>2</v>
      </c>
      <c r="F124" s="42" t="s">
        <v>154</v>
      </c>
      <c r="G124" s="43" t="s">
        <v>154</v>
      </c>
      <c r="H124" s="42" t="s">
        <v>160</v>
      </c>
      <c r="I124" s="43">
        <v>2</v>
      </c>
      <c r="J124" s="43">
        <v>2</v>
      </c>
      <c r="K124" s="25" t="str">
        <f>VLOOKUP(J124,Key!$E$2:$F$9,2,FALSE)</f>
        <v>Work</v>
      </c>
      <c r="L124" s="42" t="s">
        <v>300</v>
      </c>
      <c r="M124" s="43" t="s">
        <v>154</v>
      </c>
      <c r="N124" s="42" t="s">
        <v>160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Work-Home</v>
      </c>
      <c r="S124" s="47">
        <v>2</v>
      </c>
      <c r="T124" s="47">
        <v>0.5</v>
      </c>
      <c r="U124" s="43">
        <v>2</v>
      </c>
      <c r="V124" s="43"/>
      <c r="W124" s="47"/>
      <c r="X124" s="47"/>
      <c r="Y124" s="48"/>
      <c r="Z124" s="49"/>
      <c r="AA124" s="25"/>
      <c r="AB124" s="25"/>
    </row>
    <row r="125" spans="2:28">
      <c r="B125" s="40">
        <v>0.56041666666666667</v>
      </c>
      <c r="C125" s="40" t="s">
        <v>491</v>
      </c>
      <c r="D125" s="41">
        <v>2</v>
      </c>
      <c r="E125" s="42">
        <v>3</v>
      </c>
      <c r="F125" s="42" t="s">
        <v>154</v>
      </c>
      <c r="G125" s="43" t="s">
        <v>154</v>
      </c>
      <c r="H125" s="42" t="s">
        <v>160</v>
      </c>
      <c r="I125" s="43">
        <v>16</v>
      </c>
      <c r="J125" s="43">
        <v>2</v>
      </c>
      <c r="K125" s="25" t="str">
        <f>VLOOKUP(J125,Key!$E$2:$F$9,2,FALSE)</f>
        <v>Work</v>
      </c>
      <c r="L125" s="42" t="s">
        <v>220</v>
      </c>
      <c r="M125" s="43" t="s">
        <v>154</v>
      </c>
      <c r="N125" s="42" t="s">
        <v>160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2"/>
        <v>Work-Home</v>
      </c>
      <c r="S125" s="47"/>
      <c r="T125" s="47">
        <v>0.2</v>
      </c>
      <c r="U125" s="43">
        <v>2</v>
      </c>
      <c r="V125" s="43"/>
      <c r="W125" s="47"/>
      <c r="X125" s="47"/>
      <c r="Y125" s="48"/>
      <c r="Z125" s="49"/>
      <c r="AA125" s="25"/>
      <c r="AB125" s="25"/>
    </row>
    <row r="126" spans="2:28">
      <c r="B126" s="40">
        <v>0.55555555555555558</v>
      </c>
      <c r="C126" s="40" t="s">
        <v>493</v>
      </c>
      <c r="D126" s="41">
        <v>7</v>
      </c>
      <c r="E126" s="42">
        <v>2</v>
      </c>
      <c r="F126" s="42" t="s">
        <v>154</v>
      </c>
      <c r="G126" s="43" t="s">
        <v>154</v>
      </c>
      <c r="H126" s="42" t="s">
        <v>160</v>
      </c>
      <c r="I126" s="43">
        <v>10</v>
      </c>
      <c r="J126" s="43">
        <v>2</v>
      </c>
      <c r="K126" s="25" t="str">
        <f>VLOOKUP(J126,Key!$E$2:$F$9,2,FALSE)</f>
        <v>Work</v>
      </c>
      <c r="L126" s="42" t="s">
        <v>220</v>
      </c>
      <c r="M126" s="43" t="s">
        <v>154</v>
      </c>
      <c r="N126" s="42" t="s">
        <v>160</v>
      </c>
      <c r="O126" s="43">
        <v>1</v>
      </c>
      <c r="P126" s="43">
        <v>1</v>
      </c>
      <c r="Q126" s="25" t="str">
        <f>VLOOKUP(P126,Key!$E$2:$F$9,2,FALSE)</f>
        <v>Home</v>
      </c>
      <c r="R126" s="25" t="str">
        <f t="shared" si="2"/>
        <v>Work-Home</v>
      </c>
      <c r="S126" s="47"/>
      <c r="T126" s="47">
        <v>0.3</v>
      </c>
      <c r="U126" s="43">
        <v>2</v>
      </c>
      <c r="V126" s="43"/>
      <c r="W126" s="47"/>
      <c r="X126" s="47"/>
      <c r="Y126" s="48"/>
      <c r="Z126" s="49"/>
      <c r="AA126" s="25"/>
      <c r="AB126" s="25"/>
    </row>
    <row r="127" spans="2:28">
      <c r="B127" s="40">
        <v>0.95486111111111116</v>
      </c>
      <c r="C127" s="40" t="s">
        <v>494</v>
      </c>
      <c r="D127" s="41">
        <v>2</v>
      </c>
      <c r="E127" s="42">
        <v>3</v>
      </c>
      <c r="F127" s="42" t="s">
        <v>168</v>
      </c>
      <c r="G127" s="43" t="s">
        <v>168</v>
      </c>
      <c r="H127" s="42" t="s">
        <v>160</v>
      </c>
      <c r="I127" s="43">
        <v>16</v>
      </c>
      <c r="J127" s="43">
        <v>8</v>
      </c>
      <c r="K127" s="25" t="str">
        <f>VLOOKUP(J127,Key!$E$2:$F$9,2,FALSE)</f>
        <v>Others</v>
      </c>
      <c r="L127" s="42" t="s">
        <v>380</v>
      </c>
      <c r="M127" s="43" t="s">
        <v>154</v>
      </c>
      <c r="N127" s="42" t="s">
        <v>160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2"/>
        <v>Others-Home</v>
      </c>
      <c r="S127" s="47">
        <v>160</v>
      </c>
      <c r="T127" s="47">
        <v>4</v>
      </c>
      <c r="U127" s="43">
        <v>2</v>
      </c>
      <c r="V127" s="43"/>
      <c r="W127" s="47"/>
      <c r="X127" s="47"/>
      <c r="Y127" s="48"/>
      <c r="Z127" s="49"/>
      <c r="AA127" s="25"/>
      <c r="AB127" s="25"/>
    </row>
    <row r="128" spans="2:28">
      <c r="B128" s="40">
        <v>0.96736111111111101</v>
      </c>
      <c r="C128" s="40" t="s">
        <v>495</v>
      </c>
      <c r="D128" s="41">
        <v>4</v>
      </c>
      <c r="E128" s="42">
        <v>4</v>
      </c>
      <c r="F128" s="42" t="s">
        <v>154</v>
      </c>
      <c r="G128" s="43" t="s">
        <v>154</v>
      </c>
      <c r="H128" s="42" t="s">
        <v>160</v>
      </c>
      <c r="I128" s="43">
        <v>6</v>
      </c>
      <c r="J128" s="43">
        <v>2</v>
      </c>
      <c r="K128" s="25" t="str">
        <f>VLOOKUP(J128,Key!$E$2:$F$9,2,FALSE)</f>
        <v>Work</v>
      </c>
      <c r="L128" s="42" t="s">
        <v>313</v>
      </c>
      <c r="M128" s="43" t="s">
        <v>154</v>
      </c>
      <c r="N128" s="42" t="s">
        <v>160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Work-Home</v>
      </c>
      <c r="S128" s="47">
        <v>15</v>
      </c>
      <c r="T128" s="47">
        <v>2</v>
      </c>
      <c r="U128" s="43">
        <v>2</v>
      </c>
      <c r="V128" s="43"/>
      <c r="W128" s="47"/>
      <c r="X128" s="47"/>
      <c r="Y128" s="48"/>
      <c r="Z128" s="49"/>
      <c r="AA128" s="25"/>
      <c r="AB128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68"/>
  <sheetViews>
    <sheetView topLeftCell="Y33" zoomScale="75" zoomScaleNormal="75" zoomScaleSheetLayoutView="80" workbookViewId="0">
      <selection activeCell="B9" sqref="B9:AB6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3" t="s">
        <v>134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6"/>
      <c r="AD1" s="6"/>
      <c r="AE1" s="6"/>
      <c r="AF1" s="6"/>
      <c r="AG1" s="6"/>
      <c r="AH1" s="6"/>
      <c r="AI1" s="6"/>
    </row>
    <row r="2" spans="2:35" ht="15">
      <c r="B2" s="113" t="s">
        <v>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'26.08 Iganga-Kaliro'!C4</f>
        <v>26.08.19</v>
      </c>
      <c r="E4" s="1" t="s">
        <v>69</v>
      </c>
      <c r="F4" s="131" t="str">
        <f>'26.08 Iganga-Kaliro'!F4:G4</f>
        <v>Iganga-Kaliro Rd</v>
      </c>
      <c r="G4" s="132"/>
      <c r="I4" s="27" t="s">
        <v>70</v>
      </c>
      <c r="J4" s="5"/>
      <c r="K4" s="5"/>
      <c r="L4" s="51" t="s">
        <v>155</v>
      </c>
      <c r="M4" s="2"/>
      <c r="N4" s="1" t="s">
        <v>72</v>
      </c>
      <c r="O4" s="116" t="s">
        <v>312</v>
      </c>
      <c r="P4" s="117"/>
      <c r="Q4" s="117"/>
      <c r="R4" s="117"/>
      <c r="S4" s="117"/>
      <c r="T4" s="117"/>
      <c r="V4" s="1" t="s">
        <v>73</v>
      </c>
      <c r="W4" s="54"/>
      <c r="Y4" s="27" t="s">
        <v>6</v>
      </c>
      <c r="Z4" s="39" t="str">
        <f>'26.08 Iganga-Kaliro'!Z4</f>
        <v>Isaac Akure</v>
      </c>
      <c r="AA4" s="32" t="s">
        <v>7</v>
      </c>
      <c r="AB4" s="39" t="str">
        <f>'26.08 Iganga-Kaliro'!AB4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71</v>
      </c>
      <c r="J5" s="2"/>
      <c r="K5" s="2"/>
      <c r="L5" s="52" t="s">
        <v>154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8" t="s">
        <v>34</v>
      </c>
      <c r="C7" s="104" t="s">
        <v>60</v>
      </c>
      <c r="D7" s="106" t="s">
        <v>9</v>
      </c>
      <c r="E7" s="104" t="s">
        <v>35</v>
      </c>
      <c r="F7" s="121" t="s">
        <v>12</v>
      </c>
      <c r="G7" s="122"/>
      <c r="H7" s="123"/>
      <c r="I7" s="106" t="s">
        <v>63</v>
      </c>
      <c r="J7" s="104" t="s">
        <v>15</v>
      </c>
      <c r="K7" s="104" t="s">
        <v>135</v>
      </c>
      <c r="L7" s="121" t="s">
        <v>17</v>
      </c>
      <c r="M7" s="122"/>
      <c r="N7" s="123"/>
      <c r="O7" s="106" t="s">
        <v>64</v>
      </c>
      <c r="P7" s="104" t="s">
        <v>18</v>
      </c>
      <c r="Q7" s="104" t="s">
        <v>136</v>
      </c>
      <c r="R7" s="104" t="s">
        <v>137</v>
      </c>
      <c r="S7" s="104" t="s">
        <v>139</v>
      </c>
      <c r="T7" s="104" t="s">
        <v>138</v>
      </c>
      <c r="U7" s="104" t="s">
        <v>65</v>
      </c>
      <c r="V7" s="110" t="s">
        <v>68</v>
      </c>
      <c r="W7" s="111"/>
      <c r="X7" s="112"/>
      <c r="Y7" s="104" t="s">
        <v>67</v>
      </c>
      <c r="Z7" s="104" t="s">
        <v>142</v>
      </c>
      <c r="AA7" s="106" t="s">
        <v>20</v>
      </c>
      <c r="AB7" s="108" t="s">
        <v>21</v>
      </c>
      <c r="AD7" s="19"/>
    </row>
    <row r="8" spans="2:35" ht="38.25" customHeight="1">
      <c r="B8" s="119"/>
      <c r="C8" s="105"/>
      <c r="D8" s="107"/>
      <c r="E8" s="120"/>
      <c r="F8" s="23" t="s">
        <v>76</v>
      </c>
      <c r="G8" s="23" t="s">
        <v>61</v>
      </c>
      <c r="H8" s="24" t="s">
        <v>62</v>
      </c>
      <c r="I8" s="107"/>
      <c r="J8" s="105"/>
      <c r="K8" s="105"/>
      <c r="L8" s="23" t="s">
        <v>76</v>
      </c>
      <c r="M8" s="23" t="s">
        <v>61</v>
      </c>
      <c r="N8" s="23" t="s">
        <v>62</v>
      </c>
      <c r="O8" s="107"/>
      <c r="P8" s="105"/>
      <c r="Q8" s="105"/>
      <c r="R8" s="105"/>
      <c r="S8" s="105"/>
      <c r="T8" s="105"/>
      <c r="U8" s="105"/>
      <c r="V8" s="29" t="s">
        <v>66</v>
      </c>
      <c r="W8" s="30" t="s">
        <v>140</v>
      </c>
      <c r="X8" s="30" t="s">
        <v>141</v>
      </c>
      <c r="Y8" s="105"/>
      <c r="Z8" s="105"/>
      <c r="AA8" s="107"/>
      <c r="AB8" s="109"/>
    </row>
    <row r="9" spans="2:35" s="19" customFormat="1">
      <c r="B9" s="40">
        <v>3.4722222222222224E-2</v>
      </c>
      <c r="C9" s="40" t="s">
        <v>314</v>
      </c>
      <c r="D9" s="41">
        <v>1</v>
      </c>
      <c r="E9" s="42">
        <v>1</v>
      </c>
      <c r="F9" s="42" t="s">
        <v>300</v>
      </c>
      <c r="G9" s="43" t="s">
        <v>154</v>
      </c>
      <c r="H9" s="42" t="s">
        <v>160</v>
      </c>
      <c r="I9" s="43">
        <v>1</v>
      </c>
      <c r="J9" s="43">
        <v>1</v>
      </c>
      <c r="K9" s="25" t="str">
        <f>VLOOKUP(J9,Key!$E$2:$F$9,2,FALSE)</f>
        <v>Home</v>
      </c>
      <c r="L9" s="42" t="s">
        <v>154</v>
      </c>
      <c r="M9" s="43" t="s">
        <v>154</v>
      </c>
      <c r="N9" s="42" t="s">
        <v>160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47">
        <v>2</v>
      </c>
      <c r="T9" s="47">
        <v>0.8</v>
      </c>
      <c r="U9" s="43">
        <v>1</v>
      </c>
      <c r="V9" s="43"/>
      <c r="W9" s="47"/>
      <c r="X9" s="47"/>
      <c r="Y9" s="48" t="s">
        <v>218</v>
      </c>
      <c r="Z9" s="49"/>
      <c r="AA9" s="25"/>
      <c r="AB9" s="25"/>
    </row>
    <row r="10" spans="2:35">
      <c r="B10" s="40">
        <v>1.0416666666666666E-2</v>
      </c>
      <c r="C10" s="40" t="s">
        <v>315</v>
      </c>
      <c r="D10" s="41">
        <v>2</v>
      </c>
      <c r="E10" s="42">
        <v>2</v>
      </c>
      <c r="F10" s="42" t="s">
        <v>316</v>
      </c>
      <c r="G10" s="43" t="s">
        <v>154</v>
      </c>
      <c r="H10" s="42" t="s">
        <v>160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154</v>
      </c>
      <c r="M10" s="43" t="s">
        <v>154</v>
      </c>
      <c r="N10" s="42" t="s">
        <v>160</v>
      </c>
      <c r="O10" s="43">
        <v>5</v>
      </c>
      <c r="P10" s="43">
        <v>7</v>
      </c>
      <c r="Q10" s="25" t="str">
        <f>VLOOKUP(P10,Key!$E$2:$F$9,2,FALSE)</f>
        <v>Hospital</v>
      </c>
      <c r="R10" s="25" t="str">
        <f t="shared" ref="R10:R37" si="0">K10&amp;"-"&amp;Q10</f>
        <v>Home-Hospital</v>
      </c>
      <c r="S10" s="47"/>
      <c r="T10" s="47">
        <v>0.8</v>
      </c>
      <c r="U10" s="43"/>
      <c r="V10" s="43"/>
      <c r="W10" s="47"/>
      <c r="X10" s="47"/>
      <c r="Y10" s="48" t="s">
        <v>162</v>
      </c>
      <c r="Z10" s="49"/>
      <c r="AA10" s="25"/>
      <c r="AB10" s="25"/>
    </row>
    <row r="11" spans="2:35">
      <c r="B11" s="40">
        <v>1.3888888888888889E-3</v>
      </c>
      <c r="C11" s="40" t="s">
        <v>317</v>
      </c>
      <c r="D11" s="41">
        <v>2</v>
      </c>
      <c r="E11" s="42">
        <v>1</v>
      </c>
      <c r="F11" s="42" t="s">
        <v>261</v>
      </c>
      <c r="G11" s="43" t="s">
        <v>155</v>
      </c>
      <c r="H11" s="42" t="s">
        <v>160</v>
      </c>
      <c r="I11" s="43">
        <v>2</v>
      </c>
      <c r="J11" s="43">
        <v>2</v>
      </c>
      <c r="K11" s="25" t="str">
        <f>VLOOKUP(J11,Key!$E$2:$F$9,2,FALSE)</f>
        <v>Work</v>
      </c>
      <c r="L11" s="42" t="s">
        <v>154</v>
      </c>
      <c r="M11" s="43" t="s">
        <v>154</v>
      </c>
      <c r="N11" s="42" t="s">
        <v>160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7"/>
      <c r="T11" s="47">
        <v>0.5</v>
      </c>
      <c r="U11" s="43">
        <v>1</v>
      </c>
      <c r="V11" s="43"/>
      <c r="W11" s="47"/>
      <c r="X11" s="47"/>
      <c r="Y11" s="48" t="s">
        <v>218</v>
      </c>
      <c r="Z11" s="49"/>
      <c r="AA11" s="25"/>
      <c r="AB11" s="25"/>
    </row>
    <row r="12" spans="2:35">
      <c r="B12" s="40">
        <v>0.49652777777777773</v>
      </c>
      <c r="C12" s="40" t="s">
        <v>318</v>
      </c>
      <c r="D12" s="41">
        <v>1</v>
      </c>
      <c r="E12" s="42">
        <v>2</v>
      </c>
      <c r="F12" s="42" t="s">
        <v>296</v>
      </c>
      <c r="G12" s="43" t="s">
        <v>154</v>
      </c>
      <c r="H12" s="42" t="s">
        <v>160</v>
      </c>
      <c r="I12" s="43">
        <v>1</v>
      </c>
      <c r="J12" s="43">
        <v>1</v>
      </c>
      <c r="K12" s="25" t="str">
        <f>VLOOKUP(J12,Key!$E$2:$F$9,2,FALSE)</f>
        <v>Home</v>
      </c>
      <c r="L12" s="42" t="s">
        <v>154</v>
      </c>
      <c r="M12" s="43" t="s">
        <v>154</v>
      </c>
      <c r="N12" s="42" t="s">
        <v>160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47"/>
      <c r="T12" s="47">
        <v>0.5</v>
      </c>
      <c r="U12" s="43">
        <v>2</v>
      </c>
      <c r="V12" s="43"/>
      <c r="W12" s="47"/>
      <c r="X12" s="47"/>
      <c r="Y12" s="48" t="s">
        <v>162</v>
      </c>
      <c r="Z12" s="49"/>
      <c r="AA12" s="25"/>
      <c r="AB12" s="25"/>
    </row>
    <row r="13" spans="2:35">
      <c r="B13" s="40">
        <v>0.49236111111111108</v>
      </c>
      <c r="C13" s="40" t="s">
        <v>319</v>
      </c>
      <c r="D13" s="41">
        <v>2</v>
      </c>
      <c r="E13" s="42">
        <v>3</v>
      </c>
      <c r="F13" s="42" t="s">
        <v>155</v>
      </c>
      <c r="G13" s="43" t="s">
        <v>155</v>
      </c>
      <c r="H13" s="42" t="s">
        <v>160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154</v>
      </c>
      <c r="M13" s="43" t="s">
        <v>154</v>
      </c>
      <c r="N13" s="42" t="s">
        <v>160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47">
        <v>32</v>
      </c>
      <c r="T13" s="47">
        <v>1</v>
      </c>
      <c r="U13" s="43">
        <v>2</v>
      </c>
      <c r="V13" s="43"/>
      <c r="W13" s="47"/>
      <c r="X13" s="47"/>
      <c r="Y13" s="48" t="s">
        <v>162</v>
      </c>
      <c r="Z13" s="49"/>
      <c r="AA13" s="25"/>
      <c r="AB13" s="25"/>
    </row>
    <row r="14" spans="2:35">
      <c r="B14" s="40">
        <v>0.4861111111111111</v>
      </c>
      <c r="C14" s="40" t="s">
        <v>320</v>
      </c>
      <c r="D14" s="41">
        <v>4</v>
      </c>
      <c r="E14" s="42">
        <v>14</v>
      </c>
      <c r="F14" s="42" t="s">
        <v>155</v>
      </c>
      <c r="G14" s="43" t="s">
        <v>155</v>
      </c>
      <c r="H14" s="42" t="s">
        <v>160</v>
      </c>
      <c r="I14" s="43">
        <v>6</v>
      </c>
      <c r="J14" s="43">
        <v>2</v>
      </c>
      <c r="K14" s="25" t="str">
        <f>VLOOKUP(J14,Key!$E$2:$F$9,2,FALSE)</f>
        <v>Work</v>
      </c>
      <c r="L14" s="42" t="s">
        <v>164</v>
      </c>
      <c r="M14" s="43" t="s">
        <v>164</v>
      </c>
      <c r="N14" s="42" t="s">
        <v>160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7">
        <v>34</v>
      </c>
      <c r="T14" s="47">
        <v>2</v>
      </c>
      <c r="U14" s="43">
        <v>2</v>
      </c>
      <c r="V14" s="43"/>
      <c r="W14" s="47"/>
      <c r="X14" s="47"/>
      <c r="Y14" s="48" t="s">
        <v>162</v>
      </c>
      <c r="Z14" s="49"/>
      <c r="AA14" s="25"/>
      <c r="AB14" s="25"/>
    </row>
    <row r="15" spans="2:35">
      <c r="B15" s="40">
        <v>7.6388888888888895E-2</v>
      </c>
      <c r="C15" s="40" t="s">
        <v>321</v>
      </c>
      <c r="D15" s="41">
        <v>4</v>
      </c>
      <c r="E15" s="42">
        <v>14</v>
      </c>
      <c r="F15" s="42" t="s">
        <v>155</v>
      </c>
      <c r="G15" s="43" t="s">
        <v>155</v>
      </c>
      <c r="H15" s="42" t="s">
        <v>160</v>
      </c>
      <c r="I15" s="43">
        <v>6</v>
      </c>
      <c r="J15" s="43">
        <v>2</v>
      </c>
      <c r="K15" s="25" t="str">
        <f>VLOOKUP(J15,Key!$E$2:$F$9,2,FALSE)</f>
        <v>Work</v>
      </c>
      <c r="L15" s="42" t="s">
        <v>154</v>
      </c>
      <c r="M15" s="43" t="s">
        <v>154</v>
      </c>
      <c r="N15" s="42" t="s">
        <v>160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7">
        <v>32</v>
      </c>
      <c r="T15" s="47">
        <v>0.8</v>
      </c>
      <c r="U15" s="43">
        <v>2</v>
      </c>
      <c r="V15" s="43"/>
      <c r="W15" s="47"/>
      <c r="X15" s="47"/>
      <c r="Y15" s="48" t="s">
        <v>162</v>
      </c>
      <c r="Z15" s="49"/>
      <c r="AA15" s="25"/>
      <c r="AB15" s="25"/>
    </row>
    <row r="16" spans="2:35">
      <c r="B16" s="40">
        <v>0.56180555555555556</v>
      </c>
      <c r="C16" s="40" t="s">
        <v>322</v>
      </c>
      <c r="D16" s="41">
        <v>5</v>
      </c>
      <c r="E16" s="42">
        <v>32</v>
      </c>
      <c r="F16" s="42" t="s">
        <v>284</v>
      </c>
      <c r="G16" s="43" t="s">
        <v>284</v>
      </c>
      <c r="H16" s="42" t="s">
        <v>160</v>
      </c>
      <c r="I16" s="43">
        <v>6</v>
      </c>
      <c r="J16" s="43">
        <v>2</v>
      </c>
      <c r="K16" s="25" t="str">
        <f>VLOOKUP(J16,Key!$E$2:$F$9,2,FALSE)</f>
        <v>Work</v>
      </c>
      <c r="L16" s="42" t="s">
        <v>168</v>
      </c>
      <c r="M16" s="43" t="s">
        <v>168</v>
      </c>
      <c r="N16" s="42" t="s">
        <v>160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7">
        <v>140</v>
      </c>
      <c r="T16" s="47">
        <v>5</v>
      </c>
      <c r="U16" s="43">
        <v>2</v>
      </c>
      <c r="V16" s="43"/>
      <c r="W16" s="47"/>
      <c r="X16" s="47"/>
      <c r="Y16" s="48" t="s">
        <v>162</v>
      </c>
      <c r="Z16" s="49"/>
      <c r="AA16" s="25"/>
      <c r="AB16" s="25"/>
    </row>
    <row r="17" spans="2:28">
      <c r="B17" s="40">
        <v>0.87986111111111109</v>
      </c>
      <c r="C17" s="40" t="s">
        <v>323</v>
      </c>
      <c r="D17" s="41">
        <v>2</v>
      </c>
      <c r="E17" s="42">
        <v>1</v>
      </c>
      <c r="F17" s="42" t="s">
        <v>220</v>
      </c>
      <c r="G17" s="43" t="s">
        <v>154</v>
      </c>
      <c r="H17" s="42" t="s">
        <v>160</v>
      </c>
      <c r="I17" s="43">
        <v>1</v>
      </c>
      <c r="J17" s="43">
        <v>1</v>
      </c>
      <c r="K17" s="25" t="str">
        <f>VLOOKUP(J17,Key!$E$2:$F$9,2,FALSE)</f>
        <v>Home</v>
      </c>
      <c r="L17" s="42" t="s">
        <v>154</v>
      </c>
      <c r="M17" s="43" t="s">
        <v>154</v>
      </c>
      <c r="N17" s="42" t="s">
        <v>160</v>
      </c>
      <c r="O17" s="43">
        <v>5</v>
      </c>
      <c r="P17" s="43">
        <v>7</v>
      </c>
      <c r="Q17" s="25" t="str">
        <f>VLOOKUP(P17,Key!$E$2:$F$9,2,FALSE)</f>
        <v>Hospital</v>
      </c>
      <c r="R17" s="25" t="str">
        <f t="shared" si="0"/>
        <v>Home-Hospital</v>
      </c>
      <c r="S17" s="47"/>
      <c r="T17" s="47">
        <v>0.3</v>
      </c>
      <c r="U17" s="43">
        <v>2</v>
      </c>
      <c r="V17" s="43"/>
      <c r="W17" s="47"/>
      <c r="X17" s="47"/>
      <c r="Y17" s="48" t="s">
        <v>162</v>
      </c>
      <c r="Z17" s="49"/>
      <c r="AA17" s="25"/>
      <c r="AB17" s="25"/>
    </row>
    <row r="18" spans="2:28">
      <c r="B18" s="40">
        <v>0.87152777777777779</v>
      </c>
      <c r="C18" s="40" t="s">
        <v>324</v>
      </c>
      <c r="D18" s="41">
        <v>4</v>
      </c>
      <c r="E18" s="42">
        <v>14</v>
      </c>
      <c r="F18" s="42" t="s">
        <v>300</v>
      </c>
      <c r="G18" s="43" t="s">
        <v>154</v>
      </c>
      <c r="H18" s="42" t="s">
        <v>160</v>
      </c>
      <c r="I18" s="43">
        <v>2</v>
      </c>
      <c r="J18" s="43">
        <v>2</v>
      </c>
      <c r="K18" s="25" t="str">
        <f>VLOOKUP(J18,Key!$E$2:$F$9,2,FALSE)</f>
        <v>Work</v>
      </c>
      <c r="L18" s="42" t="s">
        <v>154</v>
      </c>
      <c r="M18" s="43" t="s">
        <v>154</v>
      </c>
      <c r="N18" s="42" t="s">
        <v>160</v>
      </c>
      <c r="O18" s="43">
        <v>2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7">
        <v>2</v>
      </c>
      <c r="T18" s="47"/>
      <c r="U18" s="43">
        <v>2</v>
      </c>
      <c r="V18" s="43"/>
      <c r="W18" s="47"/>
      <c r="X18" s="47"/>
      <c r="Y18" s="48" t="s">
        <v>162</v>
      </c>
      <c r="Z18" s="49"/>
      <c r="AA18" s="25"/>
      <c r="AB18" s="25"/>
    </row>
    <row r="19" spans="2:28">
      <c r="B19" s="40">
        <v>0.85763888888888884</v>
      </c>
      <c r="C19" s="40" t="s">
        <v>325</v>
      </c>
      <c r="D19" s="41">
        <v>3</v>
      </c>
      <c r="E19" s="42">
        <v>2</v>
      </c>
      <c r="F19" s="42" t="s">
        <v>187</v>
      </c>
      <c r="G19" s="43" t="s">
        <v>154</v>
      </c>
      <c r="H19" s="42" t="s">
        <v>160</v>
      </c>
      <c r="I19" s="43">
        <v>2</v>
      </c>
      <c r="J19" s="43">
        <v>2</v>
      </c>
      <c r="K19" s="25" t="str">
        <f>VLOOKUP(J19,Key!$E$2:$F$9,2,FALSE)</f>
        <v>Work</v>
      </c>
      <c r="L19" s="42" t="s">
        <v>154</v>
      </c>
      <c r="M19" s="43" t="s">
        <v>154</v>
      </c>
      <c r="N19" s="42" t="s">
        <v>160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47"/>
      <c r="T19" s="47">
        <v>0.8</v>
      </c>
      <c r="U19" s="43">
        <v>2</v>
      </c>
      <c r="V19" s="43"/>
      <c r="W19" s="47"/>
      <c r="X19" s="47"/>
      <c r="Y19" s="48" t="s">
        <v>162</v>
      </c>
      <c r="Z19" s="49"/>
      <c r="AA19" s="25"/>
      <c r="AB19" s="25"/>
    </row>
    <row r="20" spans="2:28">
      <c r="B20" s="40">
        <v>0.84722222222222221</v>
      </c>
      <c r="C20" s="40" t="s">
        <v>326</v>
      </c>
      <c r="D20" s="41">
        <v>2</v>
      </c>
      <c r="E20" s="42">
        <v>2</v>
      </c>
      <c r="F20" s="42" t="s">
        <v>327</v>
      </c>
      <c r="G20" s="43" t="s">
        <v>154</v>
      </c>
      <c r="H20" s="42" t="s">
        <v>160</v>
      </c>
      <c r="I20" s="43">
        <v>2</v>
      </c>
      <c r="J20" s="43">
        <v>2</v>
      </c>
      <c r="K20" s="25" t="str">
        <f>VLOOKUP(J20,Key!$E$2:$F$9,2,FALSE)</f>
        <v>Work</v>
      </c>
      <c r="L20" s="42" t="s">
        <v>154</v>
      </c>
      <c r="M20" s="43" t="s">
        <v>154</v>
      </c>
      <c r="N20" s="42" t="s">
        <v>160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47">
        <v>7</v>
      </c>
      <c r="T20" s="47">
        <v>0.3</v>
      </c>
      <c r="U20" s="43">
        <v>2</v>
      </c>
      <c r="V20" s="43"/>
      <c r="W20" s="47"/>
      <c r="X20" s="47"/>
      <c r="Y20" s="48" t="s">
        <v>162</v>
      </c>
      <c r="Z20" s="49"/>
      <c r="AA20" s="25"/>
      <c r="AB20" s="25"/>
    </row>
    <row r="21" spans="2:28">
      <c r="B21" s="40">
        <v>0.84375</v>
      </c>
      <c r="C21" s="40" t="s">
        <v>195</v>
      </c>
      <c r="D21" s="41">
        <v>8</v>
      </c>
      <c r="E21" s="42">
        <v>2</v>
      </c>
      <c r="F21" s="42" t="s">
        <v>155</v>
      </c>
      <c r="G21" s="43" t="s">
        <v>155</v>
      </c>
      <c r="H21" s="42" t="s">
        <v>160</v>
      </c>
      <c r="I21" s="43">
        <v>2</v>
      </c>
      <c r="J21" s="43">
        <v>2</v>
      </c>
      <c r="K21" s="25" t="str">
        <f>VLOOKUP(J21,Key!$E$2:$F$9,2,FALSE)</f>
        <v>Work</v>
      </c>
      <c r="L21" s="42" t="s">
        <v>164</v>
      </c>
      <c r="M21" s="43" t="s">
        <v>164</v>
      </c>
      <c r="N21" s="42" t="s">
        <v>160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7">
        <v>35</v>
      </c>
      <c r="T21" s="47">
        <v>2</v>
      </c>
      <c r="U21" s="43">
        <v>2</v>
      </c>
      <c r="V21" s="43"/>
      <c r="W21" s="47"/>
      <c r="X21" s="47"/>
      <c r="Y21" s="48" t="s">
        <v>162</v>
      </c>
      <c r="Z21" s="49"/>
      <c r="AA21" s="25"/>
      <c r="AB21" s="25"/>
    </row>
    <row r="22" spans="2:28">
      <c r="B22" s="40">
        <v>0.83194444444444438</v>
      </c>
      <c r="C22" s="40" t="s">
        <v>328</v>
      </c>
      <c r="D22" s="41">
        <v>4</v>
      </c>
      <c r="E22" s="42">
        <v>14</v>
      </c>
      <c r="F22" s="42" t="s">
        <v>257</v>
      </c>
      <c r="G22" s="43" t="s">
        <v>155</v>
      </c>
      <c r="H22" s="42" t="s">
        <v>160</v>
      </c>
      <c r="I22" s="43">
        <v>6</v>
      </c>
      <c r="J22" s="43">
        <v>2</v>
      </c>
      <c r="K22" s="25" t="str">
        <f>VLOOKUP(J22,Key!$E$2:$F$9,2,FALSE)</f>
        <v>Work</v>
      </c>
      <c r="L22" s="42" t="s">
        <v>243</v>
      </c>
      <c r="M22" s="43" t="s">
        <v>243</v>
      </c>
      <c r="N22" s="42" t="s">
        <v>160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47"/>
      <c r="T22" s="47">
        <v>1</v>
      </c>
      <c r="U22" s="43">
        <v>2</v>
      </c>
      <c r="V22" s="43"/>
      <c r="W22" s="47"/>
      <c r="X22" s="47"/>
      <c r="Y22" s="48" t="s">
        <v>218</v>
      </c>
      <c r="Z22" s="49"/>
      <c r="AA22" s="25"/>
      <c r="AB22" s="25"/>
    </row>
    <row r="23" spans="2:28">
      <c r="B23" s="40">
        <v>0.80902777777777779</v>
      </c>
      <c r="C23" s="40" t="s">
        <v>329</v>
      </c>
      <c r="D23" s="41">
        <v>3</v>
      </c>
      <c r="E23" s="42">
        <v>2</v>
      </c>
      <c r="F23" s="42" t="s">
        <v>155</v>
      </c>
      <c r="G23" s="43" t="s">
        <v>154</v>
      </c>
      <c r="H23" s="42" t="s">
        <v>160</v>
      </c>
      <c r="I23" s="43">
        <v>1</v>
      </c>
      <c r="J23" s="43">
        <v>1</v>
      </c>
      <c r="K23" s="25" t="str">
        <f>VLOOKUP(J23,Key!$E$2:$F$9,2,FALSE)</f>
        <v>Home</v>
      </c>
      <c r="L23" s="42" t="s">
        <v>154</v>
      </c>
      <c r="M23" s="43" t="s">
        <v>154</v>
      </c>
      <c r="N23" s="42" t="s">
        <v>160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47">
        <v>32</v>
      </c>
      <c r="T23" s="47">
        <v>1</v>
      </c>
      <c r="U23" s="43">
        <v>2</v>
      </c>
      <c r="V23" s="43"/>
      <c r="W23" s="47"/>
      <c r="X23" s="47"/>
      <c r="Y23" s="48" t="s">
        <v>218</v>
      </c>
      <c r="Z23" s="49"/>
      <c r="AA23" s="25"/>
      <c r="AB23" s="25"/>
    </row>
    <row r="24" spans="2:28">
      <c r="B24" s="40">
        <v>0.2986111111111111</v>
      </c>
      <c r="C24" s="40" t="s">
        <v>330</v>
      </c>
      <c r="D24" s="41">
        <v>1</v>
      </c>
      <c r="E24" s="42">
        <v>2</v>
      </c>
      <c r="F24" s="42" t="s">
        <v>155</v>
      </c>
      <c r="G24" s="43" t="s">
        <v>155</v>
      </c>
      <c r="H24" s="42" t="s">
        <v>160</v>
      </c>
      <c r="I24" s="43">
        <v>1</v>
      </c>
      <c r="J24" s="43">
        <v>1</v>
      </c>
      <c r="K24" s="25" t="str">
        <f>VLOOKUP(J24,Key!$E$2:$F$9,2,FALSE)</f>
        <v>Home</v>
      </c>
      <c r="L24" s="42" t="s">
        <v>164</v>
      </c>
      <c r="M24" s="43" t="s">
        <v>164</v>
      </c>
      <c r="N24" s="42" t="s">
        <v>160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47">
        <v>32</v>
      </c>
      <c r="T24" s="47">
        <v>4.5</v>
      </c>
      <c r="U24" s="43">
        <v>2</v>
      </c>
      <c r="V24" s="43"/>
      <c r="W24" s="47"/>
      <c r="X24" s="47"/>
      <c r="Y24" s="48" t="s">
        <v>162</v>
      </c>
      <c r="Z24" s="49"/>
      <c r="AA24" s="25"/>
      <c r="AB24" s="25"/>
    </row>
    <row r="25" spans="2:28">
      <c r="B25" s="40">
        <v>0.79375000000000007</v>
      </c>
      <c r="C25" s="40" t="s">
        <v>279</v>
      </c>
      <c r="D25" s="41">
        <v>3</v>
      </c>
      <c r="E25" s="42">
        <v>2</v>
      </c>
      <c r="F25" s="42" t="s">
        <v>331</v>
      </c>
      <c r="G25" s="43" t="s">
        <v>154</v>
      </c>
      <c r="H25" s="42" t="s">
        <v>160</v>
      </c>
      <c r="I25" s="43">
        <v>2</v>
      </c>
      <c r="J25" s="43">
        <v>2</v>
      </c>
      <c r="K25" s="25" t="str">
        <f>VLOOKUP(J25,Key!$E$2:$F$9,2,FALSE)</f>
        <v>Work</v>
      </c>
      <c r="L25" s="42" t="s">
        <v>164</v>
      </c>
      <c r="M25" s="43" t="s">
        <v>164</v>
      </c>
      <c r="N25" s="42" t="s">
        <v>160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7"/>
      <c r="T25" s="47">
        <v>1.5</v>
      </c>
      <c r="U25" s="43">
        <v>2</v>
      </c>
      <c r="V25" s="43"/>
      <c r="W25" s="47"/>
      <c r="X25" s="47"/>
      <c r="Y25" s="48" t="s">
        <v>162</v>
      </c>
      <c r="Z25" s="49"/>
      <c r="AA25" s="25"/>
      <c r="AB25" s="25"/>
    </row>
    <row r="26" spans="2:28">
      <c r="B26" s="40">
        <v>0.79722222222222217</v>
      </c>
      <c r="C26" s="40" t="s">
        <v>332</v>
      </c>
      <c r="D26" s="41">
        <v>4</v>
      </c>
      <c r="E26" s="42">
        <v>14</v>
      </c>
      <c r="F26" s="42" t="s">
        <v>155</v>
      </c>
      <c r="G26" s="43" t="s">
        <v>155</v>
      </c>
      <c r="H26" s="42" t="s">
        <v>160</v>
      </c>
      <c r="I26" s="43">
        <v>2</v>
      </c>
      <c r="J26" s="43">
        <v>2</v>
      </c>
      <c r="K26" s="25" t="str">
        <f>VLOOKUP(J26,Key!$E$2:$F$9,2,FALSE)</f>
        <v>Work</v>
      </c>
      <c r="L26" s="42" t="s">
        <v>154</v>
      </c>
      <c r="M26" s="43" t="s">
        <v>154</v>
      </c>
      <c r="N26" s="42" t="s">
        <v>160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7">
        <v>32</v>
      </c>
      <c r="T26" s="47">
        <v>1</v>
      </c>
      <c r="U26" s="43">
        <v>2</v>
      </c>
      <c r="V26" s="43"/>
      <c r="W26" s="47"/>
      <c r="X26" s="47"/>
      <c r="Y26" s="48" t="s">
        <v>162</v>
      </c>
      <c r="Z26" s="49"/>
      <c r="AA26" s="25"/>
      <c r="AB26" s="25"/>
    </row>
    <row r="27" spans="2:28">
      <c r="B27" s="40">
        <v>0.4680555555555555</v>
      </c>
      <c r="C27" s="40" t="s">
        <v>333</v>
      </c>
      <c r="D27" s="41">
        <v>4</v>
      </c>
      <c r="E27" s="42">
        <v>14</v>
      </c>
      <c r="F27" s="42" t="s">
        <v>155</v>
      </c>
      <c r="G27" s="43" t="s">
        <v>155</v>
      </c>
      <c r="H27" s="42" t="s">
        <v>160</v>
      </c>
      <c r="I27" s="43">
        <v>6</v>
      </c>
      <c r="J27" s="43">
        <v>2</v>
      </c>
      <c r="K27" s="25" t="str">
        <f>VLOOKUP(J27,Key!$E$2:$F$9,2,FALSE)</f>
        <v>Work</v>
      </c>
      <c r="L27" s="42" t="s">
        <v>168</v>
      </c>
      <c r="M27" s="43" t="s">
        <v>168</v>
      </c>
      <c r="N27" s="42" t="s">
        <v>160</v>
      </c>
      <c r="O27" s="43">
        <v>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7">
        <v>133</v>
      </c>
      <c r="T27" s="47">
        <v>4</v>
      </c>
      <c r="U27" s="43"/>
      <c r="V27" s="43"/>
      <c r="W27" s="47"/>
      <c r="X27" s="47"/>
      <c r="Y27" s="48" t="s">
        <v>162</v>
      </c>
      <c r="Z27" s="49"/>
      <c r="AA27" s="25"/>
      <c r="AB27" s="25"/>
    </row>
    <row r="28" spans="2:28">
      <c r="B28" s="40">
        <v>0.47638888888888892</v>
      </c>
      <c r="C28" s="40" t="s">
        <v>334</v>
      </c>
      <c r="D28" s="41">
        <v>7</v>
      </c>
      <c r="E28" s="42">
        <v>1</v>
      </c>
      <c r="F28" s="42" t="s">
        <v>155</v>
      </c>
      <c r="G28" s="43" t="s">
        <v>155</v>
      </c>
      <c r="H28" s="42" t="s">
        <v>160</v>
      </c>
      <c r="I28" s="43">
        <v>7</v>
      </c>
      <c r="J28" s="43">
        <v>2</v>
      </c>
      <c r="K28" s="25" t="str">
        <f>VLOOKUP(J28,Key!$E$2:$F$9,2,FALSE)</f>
        <v>Work</v>
      </c>
      <c r="L28" s="42" t="s">
        <v>209</v>
      </c>
      <c r="M28" s="43" t="s">
        <v>209</v>
      </c>
      <c r="N28" s="42" t="s">
        <v>160</v>
      </c>
      <c r="O28" s="43">
        <v>7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7"/>
      <c r="T28" s="47">
        <v>2</v>
      </c>
      <c r="U28" s="43">
        <v>4</v>
      </c>
      <c r="V28" s="43">
        <v>10</v>
      </c>
      <c r="W28" s="47">
        <v>9</v>
      </c>
      <c r="X28" s="47"/>
      <c r="Y28" s="48" t="s">
        <v>162</v>
      </c>
      <c r="Z28" s="49"/>
      <c r="AA28" s="25"/>
      <c r="AB28" s="25"/>
    </row>
    <row r="29" spans="2:28">
      <c r="B29" s="40">
        <v>0.45069444444444445</v>
      </c>
      <c r="C29" s="40" t="s">
        <v>335</v>
      </c>
      <c r="D29" s="41">
        <v>7</v>
      </c>
      <c r="E29" s="42">
        <v>4</v>
      </c>
      <c r="F29" s="42" t="s">
        <v>252</v>
      </c>
      <c r="G29" s="43" t="s">
        <v>155</v>
      </c>
      <c r="H29" s="42" t="s">
        <v>160</v>
      </c>
      <c r="I29" s="43">
        <v>9</v>
      </c>
      <c r="J29" s="43">
        <v>8</v>
      </c>
      <c r="K29" s="25" t="str">
        <f>VLOOKUP(J29,Key!$E$2:$F$9,2,FALSE)</f>
        <v>Others</v>
      </c>
      <c r="L29" s="42" t="s">
        <v>183</v>
      </c>
      <c r="M29" s="43" t="s">
        <v>164</v>
      </c>
      <c r="N29" s="42" t="s">
        <v>160</v>
      </c>
      <c r="O29" s="43">
        <v>3</v>
      </c>
      <c r="P29" s="43">
        <v>8</v>
      </c>
      <c r="Q29" s="25" t="str">
        <f>VLOOKUP(P29,Key!$E$2:$F$9,2,FALSE)</f>
        <v>Others</v>
      </c>
      <c r="R29" s="25" t="str">
        <f t="shared" si="0"/>
        <v>Others-Others</v>
      </c>
      <c r="S29" s="47"/>
      <c r="T29" s="47">
        <v>1.5</v>
      </c>
      <c r="U29" s="43">
        <v>12</v>
      </c>
      <c r="V29" s="43">
        <v>10</v>
      </c>
      <c r="W29" s="47"/>
      <c r="X29" s="47"/>
      <c r="Y29" s="48" t="s">
        <v>162</v>
      </c>
      <c r="Z29" s="49"/>
      <c r="AA29" s="25"/>
      <c r="AB29" s="25"/>
    </row>
    <row r="30" spans="2:28">
      <c r="B30" s="40">
        <v>0.45833333333333331</v>
      </c>
      <c r="C30" s="40" t="s">
        <v>336</v>
      </c>
      <c r="D30" s="41">
        <v>4</v>
      </c>
      <c r="E30" s="42">
        <v>14</v>
      </c>
      <c r="F30" s="42" t="s">
        <v>155</v>
      </c>
      <c r="G30" s="43" t="s">
        <v>155</v>
      </c>
      <c r="H30" s="42" t="s">
        <v>160</v>
      </c>
      <c r="I30" s="43">
        <v>6</v>
      </c>
      <c r="J30" s="43">
        <v>2</v>
      </c>
      <c r="K30" s="25" t="str">
        <f>VLOOKUP(J30,Key!$E$2:$F$9,2,FALSE)</f>
        <v>Work</v>
      </c>
      <c r="L30" s="42" t="s">
        <v>154</v>
      </c>
      <c r="M30" s="43" t="s">
        <v>154</v>
      </c>
      <c r="N30" s="42" t="s">
        <v>160</v>
      </c>
      <c r="O30" s="43">
        <v>6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47">
        <v>32</v>
      </c>
      <c r="T30" s="47">
        <v>1</v>
      </c>
      <c r="U30" s="43">
        <v>2</v>
      </c>
      <c r="V30" s="43"/>
      <c r="W30" s="47"/>
      <c r="X30" s="47"/>
      <c r="Y30" s="48" t="s">
        <v>162</v>
      </c>
      <c r="Z30" s="49"/>
      <c r="AA30" s="25"/>
      <c r="AB30" s="25"/>
    </row>
    <row r="31" spans="2:28">
      <c r="B31" s="40">
        <v>0.4152777777777778</v>
      </c>
      <c r="C31" s="40" t="s">
        <v>337</v>
      </c>
      <c r="D31" s="41">
        <v>2</v>
      </c>
      <c r="E31" s="42">
        <v>4</v>
      </c>
      <c r="F31" s="42" t="s">
        <v>327</v>
      </c>
      <c r="G31" s="43" t="s">
        <v>154</v>
      </c>
      <c r="H31" s="42" t="s">
        <v>160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154</v>
      </c>
      <c r="M31" s="43" t="s">
        <v>154</v>
      </c>
      <c r="N31" s="42" t="s">
        <v>160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7"/>
      <c r="T31" s="47">
        <v>0.2</v>
      </c>
      <c r="U31" s="43">
        <v>2</v>
      </c>
      <c r="V31" s="43"/>
      <c r="W31" s="47"/>
      <c r="X31" s="47"/>
      <c r="Y31" s="48" t="s">
        <v>162</v>
      </c>
      <c r="Z31" s="49"/>
      <c r="AA31" s="25"/>
      <c r="AB31" s="25"/>
    </row>
    <row r="32" spans="2:28">
      <c r="B32" s="40">
        <v>0.41805555555555557</v>
      </c>
      <c r="C32" s="40" t="s">
        <v>338</v>
      </c>
      <c r="D32" s="41">
        <v>3</v>
      </c>
      <c r="E32" s="42">
        <v>2</v>
      </c>
      <c r="F32" s="42" t="s">
        <v>155</v>
      </c>
      <c r="G32" s="43" t="s">
        <v>155</v>
      </c>
      <c r="H32" s="42" t="s">
        <v>160</v>
      </c>
      <c r="I32" s="43">
        <v>2</v>
      </c>
      <c r="J32" s="43">
        <v>2</v>
      </c>
      <c r="K32" s="25" t="str">
        <f>VLOOKUP(J32,Key!$E$2:$F$9,2,FALSE)</f>
        <v>Work</v>
      </c>
      <c r="L32" s="42" t="s">
        <v>154</v>
      </c>
      <c r="M32" s="43" t="s">
        <v>154</v>
      </c>
      <c r="N32" s="42" t="s">
        <v>160</v>
      </c>
      <c r="O32" s="43">
        <v>5</v>
      </c>
      <c r="P32" s="43">
        <v>7</v>
      </c>
      <c r="Q32" s="25" t="str">
        <f>VLOOKUP(P32,Key!$E$2:$F$9,2,FALSE)</f>
        <v>Hospital</v>
      </c>
      <c r="R32" s="25" t="str">
        <f t="shared" si="0"/>
        <v>Work-Hospital</v>
      </c>
      <c r="S32" s="47">
        <v>30</v>
      </c>
      <c r="T32" s="47">
        <v>1</v>
      </c>
      <c r="U32" s="43">
        <v>6</v>
      </c>
      <c r="V32" s="43"/>
      <c r="W32" s="47"/>
      <c r="X32" s="47"/>
      <c r="Y32" s="48" t="s">
        <v>162</v>
      </c>
      <c r="Z32" s="49"/>
      <c r="AA32" s="25"/>
      <c r="AB32" s="25"/>
    </row>
    <row r="33" spans="2:28">
      <c r="B33" s="40">
        <v>0.43055555555555558</v>
      </c>
      <c r="C33" s="40" t="s">
        <v>339</v>
      </c>
      <c r="D33" s="41">
        <v>3</v>
      </c>
      <c r="E33" s="42">
        <v>1</v>
      </c>
      <c r="F33" s="42" t="s">
        <v>252</v>
      </c>
      <c r="G33" s="43" t="s">
        <v>155</v>
      </c>
      <c r="H33" s="42" t="s">
        <v>160</v>
      </c>
      <c r="I33" s="43">
        <v>1</v>
      </c>
      <c r="J33" s="43">
        <v>1</v>
      </c>
      <c r="K33" s="25" t="str">
        <f>VLOOKUP(J33,Key!$E$2:$F$9,2,FALSE)</f>
        <v>Home</v>
      </c>
      <c r="L33" s="42" t="s">
        <v>154</v>
      </c>
      <c r="M33" s="43" t="s">
        <v>154</v>
      </c>
      <c r="N33" s="42" t="s">
        <v>160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47">
        <v>30</v>
      </c>
      <c r="T33" s="47">
        <v>1.5</v>
      </c>
      <c r="U33" s="43">
        <v>3</v>
      </c>
      <c r="V33" s="43"/>
      <c r="W33" s="47"/>
      <c r="X33" s="47"/>
      <c r="Y33" s="48" t="s">
        <v>162</v>
      </c>
      <c r="Z33" s="49"/>
      <c r="AA33" s="25"/>
      <c r="AB33" s="25"/>
    </row>
    <row r="34" spans="2:28">
      <c r="B34" s="40">
        <v>0.42708333333333331</v>
      </c>
      <c r="C34" s="40" t="s">
        <v>340</v>
      </c>
      <c r="D34" s="41">
        <v>5</v>
      </c>
      <c r="E34" s="42">
        <v>32</v>
      </c>
      <c r="F34" s="42" t="s">
        <v>155</v>
      </c>
      <c r="G34" s="43" t="s">
        <v>155</v>
      </c>
      <c r="H34" s="42" t="s">
        <v>160</v>
      </c>
      <c r="I34" s="43">
        <v>6</v>
      </c>
      <c r="J34" s="43">
        <v>2</v>
      </c>
      <c r="K34" s="25" t="str">
        <f>VLOOKUP(J34,Key!$E$2:$F$9,2,FALSE)</f>
        <v>Work</v>
      </c>
      <c r="L34" s="42" t="s">
        <v>168</v>
      </c>
      <c r="M34" s="43" t="s">
        <v>168</v>
      </c>
      <c r="N34" s="42" t="s">
        <v>160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7">
        <v>135</v>
      </c>
      <c r="T34" s="47">
        <v>4.5</v>
      </c>
      <c r="U34" s="43">
        <v>2</v>
      </c>
      <c r="V34" s="43"/>
      <c r="W34" s="47"/>
      <c r="X34" s="47"/>
      <c r="Y34" s="48" t="s">
        <v>218</v>
      </c>
      <c r="Z34" s="49"/>
      <c r="AA34" s="25"/>
      <c r="AB34" s="25"/>
    </row>
    <row r="35" spans="2:28">
      <c r="B35" s="40">
        <v>0.42499999999999999</v>
      </c>
      <c r="C35" s="40" t="s">
        <v>341</v>
      </c>
      <c r="D35" s="41">
        <v>4</v>
      </c>
      <c r="E35" s="42">
        <v>14</v>
      </c>
      <c r="F35" s="42" t="s">
        <v>155</v>
      </c>
      <c r="G35" s="43" t="s">
        <v>155</v>
      </c>
      <c r="H35" s="42" t="s">
        <v>160</v>
      </c>
      <c r="I35" s="43">
        <v>6</v>
      </c>
      <c r="J35" s="43">
        <v>2</v>
      </c>
      <c r="K35" s="25" t="str">
        <f>VLOOKUP(J35,Key!$E$2:$F$9,2,FALSE)</f>
        <v>Work</v>
      </c>
      <c r="L35" s="42" t="s">
        <v>168</v>
      </c>
      <c r="M35" s="43" t="s">
        <v>168</v>
      </c>
      <c r="N35" s="42" t="s">
        <v>160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7">
        <v>135</v>
      </c>
      <c r="T35" s="47">
        <v>4</v>
      </c>
      <c r="U35" s="43">
        <v>2</v>
      </c>
      <c r="V35" s="43"/>
      <c r="W35" s="47"/>
      <c r="X35" s="47"/>
      <c r="Y35" s="48" t="s">
        <v>162</v>
      </c>
      <c r="Z35" s="49"/>
      <c r="AA35" s="25"/>
      <c r="AB35" s="25"/>
    </row>
    <row r="36" spans="2:28">
      <c r="B36" s="40">
        <v>0.42291666666666666</v>
      </c>
      <c r="C36" s="40" t="s">
        <v>342</v>
      </c>
      <c r="D36" s="41">
        <v>11</v>
      </c>
      <c r="E36" s="42">
        <v>4</v>
      </c>
      <c r="F36" s="42" t="s">
        <v>220</v>
      </c>
      <c r="G36" s="43" t="s">
        <v>154</v>
      </c>
      <c r="H36" s="42" t="s">
        <v>160</v>
      </c>
      <c r="I36" s="43">
        <v>8</v>
      </c>
      <c r="J36" s="43">
        <v>2</v>
      </c>
      <c r="K36" s="25" t="str">
        <f>VLOOKUP(J36,Key!$E$2:$F$9,2,FALSE)</f>
        <v>Work</v>
      </c>
      <c r="L36" s="42" t="s">
        <v>154</v>
      </c>
      <c r="M36" s="43" t="s">
        <v>154</v>
      </c>
      <c r="N36" s="42" t="s">
        <v>160</v>
      </c>
      <c r="O36" s="43">
        <v>8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7"/>
      <c r="T36" s="47">
        <v>0.3</v>
      </c>
      <c r="U36" s="43">
        <v>2</v>
      </c>
      <c r="V36" s="43"/>
      <c r="W36" s="47"/>
      <c r="X36" s="47"/>
      <c r="Y36" s="48" t="s">
        <v>162</v>
      </c>
      <c r="Z36" s="49"/>
      <c r="AA36" s="25"/>
      <c r="AB36" s="25"/>
    </row>
    <row r="37" spans="2:28">
      <c r="B37" s="40">
        <v>0.40972222222222227</v>
      </c>
      <c r="C37" s="40" t="s">
        <v>343</v>
      </c>
      <c r="D37" s="41">
        <v>4</v>
      </c>
      <c r="E37" s="42">
        <v>14</v>
      </c>
      <c r="F37" s="42" t="s">
        <v>155</v>
      </c>
      <c r="G37" s="43" t="s">
        <v>155</v>
      </c>
      <c r="H37" s="42" t="s">
        <v>160</v>
      </c>
      <c r="I37" s="43">
        <v>6</v>
      </c>
      <c r="J37" s="43">
        <v>2</v>
      </c>
      <c r="K37" s="25" t="str">
        <f>VLOOKUP(J37,Key!$E$2:$F$9,2,FALSE)</f>
        <v>Work</v>
      </c>
      <c r="L37" s="42" t="s">
        <v>164</v>
      </c>
      <c r="M37" s="43" t="s">
        <v>164</v>
      </c>
      <c r="N37" s="42" t="s">
        <v>160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7">
        <v>36</v>
      </c>
      <c r="T37" s="47">
        <v>2.5</v>
      </c>
      <c r="U37" s="43">
        <v>2</v>
      </c>
      <c r="V37" s="43"/>
      <c r="W37" s="47"/>
      <c r="X37" s="47"/>
      <c r="Y37" s="48" t="s">
        <v>162</v>
      </c>
      <c r="Z37" s="49"/>
      <c r="AA37" s="25"/>
      <c r="AB37" s="25"/>
    </row>
    <row r="38" spans="2:28">
      <c r="B38" s="40">
        <v>0.4069444444444445</v>
      </c>
      <c r="C38" s="40" t="s">
        <v>344</v>
      </c>
      <c r="D38" s="41">
        <v>1</v>
      </c>
      <c r="E38" s="42">
        <v>2</v>
      </c>
      <c r="F38" s="42" t="s">
        <v>261</v>
      </c>
      <c r="G38" s="43" t="s">
        <v>155</v>
      </c>
      <c r="H38" s="42" t="s">
        <v>160</v>
      </c>
      <c r="I38" s="43">
        <v>1</v>
      </c>
      <c r="J38" s="43">
        <v>1</v>
      </c>
      <c r="K38" s="25" t="str">
        <f>VLOOKUP(J38,Key!$E$2:$F$9,2,FALSE)</f>
        <v>Home</v>
      </c>
      <c r="L38" s="42" t="s">
        <v>154</v>
      </c>
      <c r="M38" s="43" t="s">
        <v>154</v>
      </c>
      <c r="N38" s="42" t="s">
        <v>160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68" si="1">K38&amp;"-"&amp;Q38</f>
        <v>Home-Work</v>
      </c>
      <c r="S38" s="47"/>
      <c r="T38" s="47">
        <v>0.5</v>
      </c>
      <c r="U38" s="43">
        <v>2</v>
      </c>
      <c r="V38" s="43"/>
      <c r="W38" s="47"/>
      <c r="X38" s="47"/>
      <c r="Y38" s="48" t="s">
        <v>162</v>
      </c>
      <c r="Z38" s="49"/>
      <c r="AA38" s="25"/>
      <c r="AB38" s="25"/>
    </row>
    <row r="39" spans="2:28">
      <c r="B39" s="40">
        <v>0.55486111111111114</v>
      </c>
      <c r="C39" s="40" t="s">
        <v>345</v>
      </c>
      <c r="D39" s="41">
        <v>8</v>
      </c>
      <c r="E39" s="42">
        <v>2</v>
      </c>
      <c r="F39" s="42" t="s">
        <v>252</v>
      </c>
      <c r="G39" s="43" t="s">
        <v>155</v>
      </c>
      <c r="H39" s="42" t="s">
        <v>160</v>
      </c>
      <c r="I39" s="43">
        <v>9</v>
      </c>
      <c r="J39" s="43">
        <v>2</v>
      </c>
      <c r="K39" s="25" t="str">
        <f>VLOOKUP(J39,Key!$E$2:$F$9,2,FALSE)</f>
        <v>Work</v>
      </c>
      <c r="L39" s="42" t="s">
        <v>154</v>
      </c>
      <c r="M39" s="43" t="s">
        <v>154</v>
      </c>
      <c r="N39" s="42" t="s">
        <v>160</v>
      </c>
      <c r="O39" s="43">
        <v>11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47">
        <v>27</v>
      </c>
      <c r="T39" s="47">
        <v>2</v>
      </c>
      <c r="U39" s="43">
        <v>4</v>
      </c>
      <c r="V39" s="43">
        <v>10</v>
      </c>
      <c r="W39" s="47">
        <v>13</v>
      </c>
      <c r="X39" s="47"/>
      <c r="Y39" s="48" t="s">
        <v>162</v>
      </c>
      <c r="Z39" s="49"/>
      <c r="AA39" s="25"/>
      <c r="AB39" s="25"/>
    </row>
    <row r="40" spans="2:28">
      <c r="B40" s="40">
        <v>0.54583333333333328</v>
      </c>
      <c r="C40" s="40" t="s">
        <v>346</v>
      </c>
      <c r="D40" s="41">
        <v>4</v>
      </c>
      <c r="E40" s="42">
        <v>14</v>
      </c>
      <c r="F40" s="42" t="s">
        <v>155</v>
      </c>
      <c r="G40" s="43" t="s">
        <v>155</v>
      </c>
      <c r="H40" s="42" t="s">
        <v>160</v>
      </c>
      <c r="I40" s="43">
        <v>6</v>
      </c>
      <c r="J40" s="43">
        <v>2</v>
      </c>
      <c r="K40" s="25" t="str">
        <f>VLOOKUP(J40,Key!$E$2:$F$9,2,FALSE)</f>
        <v>Work</v>
      </c>
      <c r="L40" s="42" t="s">
        <v>168</v>
      </c>
      <c r="M40" s="43" t="s">
        <v>168</v>
      </c>
      <c r="N40" s="42" t="s">
        <v>160</v>
      </c>
      <c r="O40" s="43">
        <v>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47">
        <v>132</v>
      </c>
      <c r="T40" s="47">
        <v>4</v>
      </c>
      <c r="U40" s="43">
        <v>2</v>
      </c>
      <c r="V40" s="43"/>
      <c r="W40" s="47"/>
      <c r="X40" s="47"/>
      <c r="Y40" s="48" t="s">
        <v>162</v>
      </c>
      <c r="Z40" s="49"/>
      <c r="AA40" s="25"/>
      <c r="AB40" s="25"/>
    </row>
    <row r="41" spans="2:28">
      <c r="B41" s="40">
        <v>0.62361111111111112</v>
      </c>
      <c r="C41" s="40" t="s">
        <v>347</v>
      </c>
      <c r="D41" s="41">
        <v>2</v>
      </c>
      <c r="E41" s="42">
        <v>4</v>
      </c>
      <c r="F41" s="42" t="s">
        <v>302</v>
      </c>
      <c r="G41" s="43" t="s">
        <v>155</v>
      </c>
      <c r="H41" s="42" t="s">
        <v>160</v>
      </c>
      <c r="I41" s="43">
        <v>2</v>
      </c>
      <c r="J41" s="43">
        <v>2</v>
      </c>
      <c r="K41" s="25" t="str">
        <f>VLOOKUP(J41,Key!$E$2:$F$9,2,FALSE)</f>
        <v>Work</v>
      </c>
      <c r="L41" s="42" t="s">
        <v>154</v>
      </c>
      <c r="M41" s="43" t="s">
        <v>154</v>
      </c>
      <c r="N41" s="42" t="s">
        <v>160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47"/>
      <c r="T41" s="47">
        <v>0.8</v>
      </c>
      <c r="U41" s="43"/>
      <c r="V41" s="43"/>
      <c r="W41" s="47"/>
      <c r="X41" s="47"/>
      <c r="Y41" s="48" t="s">
        <v>218</v>
      </c>
      <c r="Z41" s="49"/>
      <c r="AA41" s="25"/>
      <c r="AB41" s="25"/>
    </row>
    <row r="42" spans="2:28">
      <c r="B42" s="40">
        <v>0.61041666666666672</v>
      </c>
      <c r="C42" s="40" t="s">
        <v>348</v>
      </c>
      <c r="D42" s="41">
        <v>3</v>
      </c>
      <c r="E42" s="42">
        <v>2</v>
      </c>
      <c r="F42" s="42" t="s">
        <v>327</v>
      </c>
      <c r="G42" s="43" t="s">
        <v>155</v>
      </c>
      <c r="H42" s="42" t="s">
        <v>160</v>
      </c>
      <c r="I42" s="43">
        <v>2</v>
      </c>
      <c r="J42" s="43">
        <v>2</v>
      </c>
      <c r="K42" s="25" t="str">
        <f>VLOOKUP(J42,Key!$E$2:$F$9,2,FALSE)</f>
        <v>Work</v>
      </c>
      <c r="L42" s="42" t="s">
        <v>154</v>
      </c>
      <c r="M42" s="43" t="s">
        <v>154</v>
      </c>
      <c r="N42" s="42" t="s">
        <v>160</v>
      </c>
      <c r="O42" s="43">
        <v>2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47">
        <v>7</v>
      </c>
      <c r="T42" s="47">
        <v>0.3</v>
      </c>
      <c r="U42" s="43"/>
      <c r="V42" s="43"/>
      <c r="W42" s="47"/>
      <c r="X42" s="47"/>
      <c r="Y42" s="48" t="s">
        <v>162</v>
      </c>
      <c r="Z42" s="49"/>
      <c r="AA42" s="25"/>
      <c r="AB42" s="25"/>
    </row>
    <row r="43" spans="2:28">
      <c r="B43" s="40">
        <v>0.60069444444444442</v>
      </c>
      <c r="C43" s="40" t="s">
        <v>349</v>
      </c>
      <c r="D43" s="41">
        <v>1</v>
      </c>
      <c r="E43" s="42">
        <v>1</v>
      </c>
      <c r="F43" s="42" t="s">
        <v>220</v>
      </c>
      <c r="G43" s="43" t="s">
        <v>154</v>
      </c>
      <c r="H43" s="42" t="s">
        <v>160</v>
      </c>
      <c r="I43" s="43">
        <v>1</v>
      </c>
      <c r="J43" s="43">
        <v>1</v>
      </c>
      <c r="K43" s="25" t="str">
        <f>VLOOKUP(J43,Key!$E$2:$F$9,2,FALSE)</f>
        <v>Home</v>
      </c>
      <c r="L43" s="42" t="s">
        <v>247</v>
      </c>
      <c r="M43" s="43" t="s">
        <v>209</v>
      </c>
      <c r="N43" s="42" t="s">
        <v>160</v>
      </c>
      <c r="O43" s="43">
        <v>9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47">
        <v>7</v>
      </c>
      <c r="T43" s="47">
        <v>1</v>
      </c>
      <c r="U43" s="43"/>
      <c r="V43" s="43"/>
      <c r="W43" s="47"/>
      <c r="X43" s="47"/>
      <c r="Y43" s="48" t="s">
        <v>162</v>
      </c>
      <c r="Z43" s="49"/>
      <c r="AA43" s="25"/>
      <c r="AB43" s="25"/>
    </row>
    <row r="44" spans="2:28">
      <c r="B44" s="40">
        <v>0.59027777777777779</v>
      </c>
      <c r="C44" s="40" t="s">
        <v>350</v>
      </c>
      <c r="D44" s="41">
        <v>4</v>
      </c>
      <c r="E44" s="42">
        <v>14</v>
      </c>
      <c r="F44" s="42" t="s">
        <v>155</v>
      </c>
      <c r="G44" s="43" t="s">
        <v>155</v>
      </c>
      <c r="H44" s="42" t="s">
        <v>160</v>
      </c>
      <c r="I44" s="43">
        <v>6</v>
      </c>
      <c r="J44" s="43">
        <v>2</v>
      </c>
      <c r="K44" s="25" t="str">
        <f>VLOOKUP(J44,Key!$E$2:$F$9,2,FALSE)</f>
        <v>Work</v>
      </c>
      <c r="L44" s="42" t="s">
        <v>168</v>
      </c>
      <c r="M44" s="43" t="s">
        <v>168</v>
      </c>
      <c r="N44" s="42" t="s">
        <v>160</v>
      </c>
      <c r="O44" s="43">
        <v>6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47">
        <v>135</v>
      </c>
      <c r="T44" s="47">
        <v>4.5</v>
      </c>
      <c r="U44" s="43">
        <v>2</v>
      </c>
      <c r="V44" s="43"/>
      <c r="W44" s="47"/>
      <c r="X44" s="47"/>
      <c r="Y44" s="48" t="s">
        <v>162</v>
      </c>
      <c r="Z44" s="49"/>
      <c r="AA44" s="25"/>
      <c r="AB44" s="25"/>
    </row>
    <row r="45" spans="2:28">
      <c r="B45" s="40">
        <v>0.74444444444444446</v>
      </c>
      <c r="C45" s="40" t="s">
        <v>351</v>
      </c>
      <c r="D45" s="41">
        <v>4</v>
      </c>
      <c r="E45" s="42">
        <v>14</v>
      </c>
      <c r="F45" s="42" t="s">
        <v>155</v>
      </c>
      <c r="G45" s="43" t="s">
        <v>155</v>
      </c>
      <c r="H45" s="42" t="s">
        <v>160</v>
      </c>
      <c r="I45" s="43">
        <v>6</v>
      </c>
      <c r="J45" s="43">
        <v>2</v>
      </c>
      <c r="K45" s="25" t="str">
        <f>VLOOKUP(J45,Key!$E$2:$F$9,2,FALSE)</f>
        <v>Work</v>
      </c>
      <c r="L45" s="42" t="s">
        <v>168</v>
      </c>
      <c r="M45" s="43" t="s">
        <v>168</v>
      </c>
      <c r="N45" s="42" t="s">
        <v>160</v>
      </c>
      <c r="O45" s="43">
        <v>6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47">
        <v>135</v>
      </c>
      <c r="T45" s="47">
        <v>4</v>
      </c>
      <c r="U45" s="43">
        <v>2</v>
      </c>
      <c r="V45" s="43"/>
      <c r="W45" s="47"/>
      <c r="X45" s="47"/>
      <c r="Y45" s="48" t="s">
        <v>218</v>
      </c>
      <c r="Z45" s="49"/>
      <c r="AA45" s="25"/>
      <c r="AB45" s="25"/>
    </row>
    <row r="46" spans="2:28">
      <c r="B46" s="40">
        <v>0.7402777777777777</v>
      </c>
      <c r="C46" s="40" t="s">
        <v>292</v>
      </c>
      <c r="D46" s="41">
        <v>2</v>
      </c>
      <c r="E46" s="42">
        <v>5</v>
      </c>
      <c r="F46" s="42" t="s">
        <v>293</v>
      </c>
      <c r="G46" s="43" t="s">
        <v>154</v>
      </c>
      <c r="H46" s="42" t="s">
        <v>160</v>
      </c>
      <c r="I46" s="43">
        <v>2</v>
      </c>
      <c r="J46" s="43">
        <v>2</v>
      </c>
      <c r="K46" s="25" t="str">
        <f>VLOOKUP(J46,Key!$E$2:$F$9,2,FALSE)</f>
        <v>Work</v>
      </c>
      <c r="L46" s="42" t="s">
        <v>294</v>
      </c>
      <c r="M46" s="43" t="s">
        <v>168</v>
      </c>
      <c r="N46" s="42" t="s">
        <v>160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Work-Home</v>
      </c>
      <c r="S46" s="47">
        <v>12</v>
      </c>
      <c r="T46" s="47">
        <v>0.3</v>
      </c>
      <c r="U46" s="43">
        <v>2</v>
      </c>
      <c r="V46" s="43"/>
      <c r="W46" s="47"/>
      <c r="X46" s="47"/>
      <c r="Y46" s="48" t="s">
        <v>162</v>
      </c>
      <c r="Z46" s="49"/>
      <c r="AA46" s="25"/>
      <c r="AB46" s="25"/>
    </row>
    <row r="47" spans="2:28">
      <c r="B47" s="40">
        <v>0.72916666666666663</v>
      </c>
      <c r="C47" s="40" t="s">
        <v>352</v>
      </c>
      <c r="D47" s="41">
        <v>1</v>
      </c>
      <c r="E47" s="42">
        <v>2</v>
      </c>
      <c r="F47" s="42" t="s">
        <v>300</v>
      </c>
      <c r="G47" s="43" t="s">
        <v>154</v>
      </c>
      <c r="H47" s="42" t="s">
        <v>160</v>
      </c>
      <c r="I47" s="43">
        <v>2</v>
      </c>
      <c r="J47" s="43">
        <v>2</v>
      </c>
      <c r="K47" s="25" t="str">
        <f>VLOOKUP(J47,Key!$E$2:$F$9,2,FALSE)</f>
        <v>Work</v>
      </c>
      <c r="L47" s="42" t="s">
        <v>353</v>
      </c>
      <c r="M47" s="43" t="s">
        <v>209</v>
      </c>
      <c r="N47" s="42" t="s">
        <v>160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1"/>
        <v>Work-Home</v>
      </c>
      <c r="S47" s="47"/>
      <c r="T47" s="47">
        <v>0.5</v>
      </c>
      <c r="U47" s="43">
        <v>2</v>
      </c>
      <c r="V47" s="43"/>
      <c r="W47" s="47"/>
      <c r="X47" s="47"/>
      <c r="Y47" s="48" t="s">
        <v>218</v>
      </c>
      <c r="Z47" s="49"/>
      <c r="AA47" s="25"/>
      <c r="AB47" s="25"/>
    </row>
    <row r="48" spans="2:28">
      <c r="B48" s="40">
        <v>0.71736111111111101</v>
      </c>
      <c r="C48" s="40" t="s">
        <v>303</v>
      </c>
      <c r="D48" s="41">
        <v>4</v>
      </c>
      <c r="E48" s="42">
        <v>14</v>
      </c>
      <c r="F48" s="42" t="s">
        <v>331</v>
      </c>
      <c r="G48" s="43" t="s">
        <v>154</v>
      </c>
      <c r="H48" s="42" t="s">
        <v>160</v>
      </c>
      <c r="I48" s="43">
        <v>6</v>
      </c>
      <c r="J48" s="43">
        <v>2</v>
      </c>
      <c r="K48" s="25" t="str">
        <f>VLOOKUP(J48,Key!$E$2:$F$9,2,FALSE)</f>
        <v>Work</v>
      </c>
      <c r="L48" s="42" t="s">
        <v>154</v>
      </c>
      <c r="M48" s="43" t="s">
        <v>154</v>
      </c>
      <c r="N48" s="42" t="s">
        <v>160</v>
      </c>
      <c r="O48" s="43">
        <v>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47">
        <v>12</v>
      </c>
      <c r="T48" s="47">
        <v>2</v>
      </c>
      <c r="U48" s="43">
        <v>2</v>
      </c>
      <c r="V48" s="43"/>
      <c r="W48" s="47"/>
      <c r="X48" s="47"/>
      <c r="Y48" s="48" t="s">
        <v>162</v>
      </c>
      <c r="Z48" s="49"/>
      <c r="AA48" s="25"/>
      <c r="AB48" s="25"/>
    </row>
    <row r="49" spans="2:28">
      <c r="B49" s="40">
        <v>0.71388888888888891</v>
      </c>
      <c r="C49" s="40" t="s">
        <v>354</v>
      </c>
      <c r="D49" s="41">
        <v>2</v>
      </c>
      <c r="E49" s="42">
        <v>3</v>
      </c>
      <c r="F49" s="42" t="s">
        <v>259</v>
      </c>
      <c r="G49" s="43" t="s">
        <v>154</v>
      </c>
      <c r="H49" s="42" t="s">
        <v>160</v>
      </c>
      <c r="I49" s="43">
        <v>1</v>
      </c>
      <c r="J49" s="43">
        <v>1</v>
      </c>
      <c r="K49" s="25" t="str">
        <f>VLOOKUP(J49,Key!$E$2:$F$9,2,FALSE)</f>
        <v>Home</v>
      </c>
      <c r="L49" s="42" t="s">
        <v>154</v>
      </c>
      <c r="M49" s="43" t="s">
        <v>154</v>
      </c>
      <c r="N49" s="42" t="s">
        <v>160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47">
        <v>15</v>
      </c>
      <c r="T49" s="47">
        <v>0.3</v>
      </c>
      <c r="U49" s="43">
        <v>2</v>
      </c>
      <c r="V49" s="43"/>
      <c r="W49" s="47"/>
      <c r="X49" s="47"/>
      <c r="Y49" s="48" t="s">
        <v>162</v>
      </c>
      <c r="Z49" s="49"/>
      <c r="AA49" s="25"/>
      <c r="AB49" s="25"/>
    </row>
    <row r="50" spans="2:28">
      <c r="B50" s="40">
        <v>0.7055555555555556</v>
      </c>
      <c r="C50" s="40" t="s">
        <v>355</v>
      </c>
      <c r="D50" s="41">
        <v>3</v>
      </c>
      <c r="E50" s="42">
        <v>3</v>
      </c>
      <c r="F50" s="42" t="s">
        <v>327</v>
      </c>
      <c r="G50" s="43" t="s">
        <v>154</v>
      </c>
      <c r="H50" s="42" t="s">
        <v>160</v>
      </c>
      <c r="I50" s="43">
        <v>2</v>
      </c>
      <c r="J50" s="43">
        <v>2</v>
      </c>
      <c r="K50" s="25" t="str">
        <f>VLOOKUP(J50,Key!$E$2:$F$9,2,FALSE)</f>
        <v>Work</v>
      </c>
      <c r="L50" s="42" t="s">
        <v>154</v>
      </c>
      <c r="M50" s="43" t="s">
        <v>154</v>
      </c>
      <c r="N50" s="42" t="s">
        <v>160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47"/>
      <c r="T50" s="47">
        <v>0.3</v>
      </c>
      <c r="U50" s="43">
        <v>2</v>
      </c>
      <c r="V50" s="43"/>
      <c r="W50" s="47"/>
      <c r="X50" s="47"/>
      <c r="Y50" s="48" t="s">
        <v>218</v>
      </c>
      <c r="Z50" s="49"/>
      <c r="AA50" s="25"/>
      <c r="AB50" s="25"/>
    </row>
    <row r="51" spans="2:28">
      <c r="B51" s="40">
        <v>0.68819444444444444</v>
      </c>
      <c r="C51" s="40" t="s">
        <v>356</v>
      </c>
      <c r="D51" s="41">
        <v>1</v>
      </c>
      <c r="E51" s="42">
        <v>2</v>
      </c>
      <c r="F51" s="42" t="s">
        <v>261</v>
      </c>
      <c r="G51" s="43"/>
      <c r="H51" s="42" t="s">
        <v>160</v>
      </c>
      <c r="I51" s="43">
        <v>1</v>
      </c>
      <c r="J51" s="43">
        <v>1</v>
      </c>
      <c r="K51" s="25" t="str">
        <f>VLOOKUP(J51,Key!$E$2:$F$9,2,FALSE)</f>
        <v>Home</v>
      </c>
      <c r="L51" s="42" t="s">
        <v>154</v>
      </c>
      <c r="M51" s="43" t="s">
        <v>154</v>
      </c>
      <c r="N51" s="42" t="s">
        <v>160</v>
      </c>
      <c r="O51" s="43">
        <v>7</v>
      </c>
      <c r="P51" s="43">
        <v>4</v>
      </c>
      <c r="Q51" s="25" t="str">
        <f>VLOOKUP(P51,Key!$E$2:$F$9,2,FALSE)</f>
        <v>Commercial</v>
      </c>
      <c r="R51" s="25" t="str">
        <f t="shared" si="1"/>
        <v>Home-Commercial</v>
      </c>
      <c r="S51" s="47">
        <v>30</v>
      </c>
      <c r="T51" s="47">
        <v>2</v>
      </c>
      <c r="U51" s="43">
        <v>3</v>
      </c>
      <c r="V51" s="43"/>
      <c r="W51" s="47"/>
      <c r="X51" s="47"/>
      <c r="Y51" s="48" t="s">
        <v>162</v>
      </c>
      <c r="Z51" s="49"/>
      <c r="AA51" s="25"/>
      <c r="AB51" s="25"/>
    </row>
    <row r="52" spans="2:28">
      <c r="B52" s="40">
        <v>0.67708333333333337</v>
      </c>
      <c r="C52" s="40" t="s">
        <v>357</v>
      </c>
      <c r="D52" s="41">
        <v>8</v>
      </c>
      <c r="E52" s="42">
        <v>4</v>
      </c>
      <c r="F52" s="42" t="s">
        <v>220</v>
      </c>
      <c r="G52" s="43" t="s">
        <v>154</v>
      </c>
      <c r="H52" s="42" t="s">
        <v>160</v>
      </c>
      <c r="I52" s="43">
        <v>2</v>
      </c>
      <c r="J52" s="43">
        <v>2</v>
      </c>
      <c r="K52" s="25" t="str">
        <f>VLOOKUP(J52,Key!$E$2:$F$9,2,FALSE)</f>
        <v>Work</v>
      </c>
      <c r="L52" s="42" t="s">
        <v>154</v>
      </c>
      <c r="M52" s="43" t="s">
        <v>154</v>
      </c>
      <c r="N52" s="42" t="s">
        <v>160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47"/>
      <c r="T52" s="47">
        <v>0.5</v>
      </c>
      <c r="U52" s="43">
        <v>2</v>
      </c>
      <c r="V52" s="43">
        <v>11</v>
      </c>
      <c r="W52" s="47"/>
      <c r="X52" s="47"/>
      <c r="Y52" s="48" t="s">
        <v>162</v>
      </c>
      <c r="Z52" s="49"/>
      <c r="AA52" s="25"/>
      <c r="AB52" s="25"/>
    </row>
    <row r="53" spans="2:28">
      <c r="B53" s="40">
        <v>0.6645833333333333</v>
      </c>
      <c r="C53" s="40" t="s">
        <v>358</v>
      </c>
      <c r="D53" s="41">
        <v>7</v>
      </c>
      <c r="E53" s="42">
        <v>2</v>
      </c>
      <c r="F53" s="42" t="s">
        <v>252</v>
      </c>
      <c r="G53" s="43" t="s">
        <v>155</v>
      </c>
      <c r="H53" s="42" t="s">
        <v>160</v>
      </c>
      <c r="I53" s="43">
        <v>9</v>
      </c>
      <c r="J53" s="43">
        <v>8</v>
      </c>
      <c r="K53" s="25" t="str">
        <f>VLOOKUP(J53,Key!$E$2:$F$9,2,FALSE)</f>
        <v>Others</v>
      </c>
      <c r="L53" s="42" t="s">
        <v>164</v>
      </c>
      <c r="M53" s="43" t="s">
        <v>164</v>
      </c>
      <c r="N53" s="42" t="s">
        <v>160</v>
      </c>
      <c r="O53" s="43">
        <v>16</v>
      </c>
      <c r="P53" s="43">
        <v>8</v>
      </c>
      <c r="Q53" s="25" t="str">
        <f>VLOOKUP(P53,Key!$E$2:$F$9,2,FALSE)</f>
        <v>Others</v>
      </c>
      <c r="R53" s="25" t="str">
        <f t="shared" si="1"/>
        <v>Others-Others</v>
      </c>
      <c r="S53" s="47">
        <v>20</v>
      </c>
      <c r="T53" s="47">
        <v>1</v>
      </c>
      <c r="U53" s="43"/>
      <c r="V53" s="43">
        <v>9</v>
      </c>
      <c r="W53" s="47"/>
      <c r="X53" s="47"/>
      <c r="Y53" s="48" t="s">
        <v>162</v>
      </c>
      <c r="Z53" s="49"/>
      <c r="AA53" s="25"/>
      <c r="AB53" s="25"/>
    </row>
    <row r="54" spans="2:28">
      <c r="B54" s="40">
        <v>0.6166666666666667</v>
      </c>
      <c r="C54" s="40" t="s">
        <v>359</v>
      </c>
      <c r="D54" s="41">
        <v>1</v>
      </c>
      <c r="E54" s="42">
        <v>1</v>
      </c>
      <c r="F54" s="42" t="s">
        <v>155</v>
      </c>
      <c r="G54" s="43" t="s">
        <v>155</v>
      </c>
      <c r="H54" s="42" t="s">
        <v>160</v>
      </c>
      <c r="I54" s="43">
        <v>1</v>
      </c>
      <c r="J54" s="43">
        <v>1</v>
      </c>
      <c r="K54" s="25" t="str">
        <f>VLOOKUP(J54,Key!$E$2:$F$9,2,FALSE)</f>
        <v>Home</v>
      </c>
      <c r="L54" s="42" t="s">
        <v>247</v>
      </c>
      <c r="M54" s="43" t="s">
        <v>209</v>
      </c>
      <c r="N54" s="42" t="s">
        <v>160</v>
      </c>
      <c r="O54" s="43">
        <v>9</v>
      </c>
      <c r="P54" s="43">
        <v>8</v>
      </c>
      <c r="Q54" s="25" t="str">
        <f>VLOOKUP(P54,Key!$E$2:$F$9,2,FALSE)</f>
        <v>Others</v>
      </c>
      <c r="R54" s="25" t="str">
        <f t="shared" si="1"/>
        <v>Home-Others</v>
      </c>
      <c r="S54" s="47">
        <v>7</v>
      </c>
      <c r="T54" s="47">
        <v>1.5</v>
      </c>
      <c r="U54" s="43">
        <v>6</v>
      </c>
      <c r="V54" s="43"/>
      <c r="W54" s="47"/>
      <c r="X54" s="47"/>
      <c r="Y54" s="48" t="s">
        <v>162</v>
      </c>
      <c r="Z54" s="49"/>
      <c r="AA54" s="25"/>
      <c r="AB54" s="25"/>
    </row>
    <row r="55" spans="2:28">
      <c r="B55" s="40">
        <v>0.64513888888888882</v>
      </c>
      <c r="C55" s="40" t="s">
        <v>360</v>
      </c>
      <c r="D55" s="41">
        <v>4</v>
      </c>
      <c r="E55" s="42">
        <v>14</v>
      </c>
      <c r="F55" s="42" t="s">
        <v>331</v>
      </c>
      <c r="G55" s="43" t="s">
        <v>154</v>
      </c>
      <c r="H55" s="42" t="s">
        <v>160</v>
      </c>
      <c r="I55" s="43">
        <v>6</v>
      </c>
      <c r="J55" s="43">
        <v>2</v>
      </c>
      <c r="K55" s="25" t="str">
        <f>VLOOKUP(J55,Key!$E$2:$F$9,2,FALSE)</f>
        <v>Work</v>
      </c>
      <c r="L55" s="42" t="s">
        <v>154</v>
      </c>
      <c r="M55" s="43" t="s">
        <v>154</v>
      </c>
      <c r="N55" s="42" t="s">
        <v>160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47">
        <v>12</v>
      </c>
      <c r="T55" s="47">
        <v>2</v>
      </c>
      <c r="U55" s="43">
        <v>2</v>
      </c>
      <c r="V55" s="43"/>
      <c r="W55" s="47"/>
      <c r="X55" s="47"/>
      <c r="Y55" s="48" t="s">
        <v>218</v>
      </c>
      <c r="Z55" s="49"/>
      <c r="AA55" s="25"/>
      <c r="AB55" s="25"/>
    </row>
    <row r="56" spans="2:28">
      <c r="B56" s="40">
        <v>0.13541666666666666</v>
      </c>
      <c r="C56" s="40" t="s">
        <v>361</v>
      </c>
      <c r="D56" s="41">
        <v>1</v>
      </c>
      <c r="E56" s="42">
        <v>2</v>
      </c>
      <c r="F56" s="42" t="s">
        <v>259</v>
      </c>
      <c r="G56" s="43" t="s">
        <v>154</v>
      </c>
      <c r="H56" s="42" t="s">
        <v>160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154</v>
      </c>
      <c r="M56" s="43" t="s">
        <v>154</v>
      </c>
      <c r="N56" s="42" t="s">
        <v>160</v>
      </c>
      <c r="O56" s="43">
        <v>2</v>
      </c>
      <c r="P56" s="43">
        <v>2</v>
      </c>
      <c r="Q56" s="25" t="str">
        <f>VLOOKUP(P56,Key!$E$2:$F$9,2,FALSE)</f>
        <v>Work</v>
      </c>
      <c r="R56" s="25" t="str">
        <f t="shared" si="1"/>
        <v>Home-Work</v>
      </c>
      <c r="S56" s="47">
        <v>15</v>
      </c>
      <c r="T56" s="47">
        <v>0.3</v>
      </c>
      <c r="U56" s="43">
        <v>2</v>
      </c>
      <c r="V56" s="43"/>
      <c r="W56" s="47"/>
      <c r="X56" s="47"/>
      <c r="Y56" s="48" t="s">
        <v>218</v>
      </c>
      <c r="Z56" s="49"/>
      <c r="AA56" s="25"/>
      <c r="AB56" s="25"/>
    </row>
    <row r="57" spans="2:28">
      <c r="B57" s="40">
        <v>0.54513888888888895</v>
      </c>
      <c r="C57" s="40" t="s">
        <v>362</v>
      </c>
      <c r="D57" s="41">
        <v>8</v>
      </c>
      <c r="E57" s="42">
        <v>1</v>
      </c>
      <c r="F57" s="42" t="s">
        <v>155</v>
      </c>
      <c r="G57" s="43" t="s">
        <v>155</v>
      </c>
      <c r="H57" s="42" t="s">
        <v>160</v>
      </c>
      <c r="I57" s="43">
        <v>2</v>
      </c>
      <c r="J57" s="43">
        <v>2</v>
      </c>
      <c r="K57" s="25" t="str">
        <f>VLOOKUP(J57,Key!$E$2:$F$9,2,FALSE)</f>
        <v>Work</v>
      </c>
      <c r="L57" s="42" t="s">
        <v>154</v>
      </c>
      <c r="M57" s="43" t="s">
        <v>154</v>
      </c>
      <c r="N57" s="42" t="s">
        <v>160</v>
      </c>
      <c r="O57" s="43">
        <v>16</v>
      </c>
      <c r="P57" s="43">
        <v>8</v>
      </c>
      <c r="Q57" s="25" t="str">
        <f>VLOOKUP(P57,Key!$E$2:$F$9,2,FALSE)</f>
        <v>Others</v>
      </c>
      <c r="R57" s="25" t="str">
        <f t="shared" si="1"/>
        <v>Work-Others</v>
      </c>
      <c r="S57" s="47">
        <v>35</v>
      </c>
      <c r="T57" s="47">
        <v>2</v>
      </c>
      <c r="U57" s="43">
        <v>5</v>
      </c>
      <c r="V57" s="43">
        <v>11</v>
      </c>
      <c r="W57" s="47"/>
      <c r="X57" s="47"/>
      <c r="Y57" s="48" t="s">
        <v>218</v>
      </c>
      <c r="Z57" s="49"/>
      <c r="AA57" s="25"/>
      <c r="AB57" s="25"/>
    </row>
    <row r="58" spans="2:28">
      <c r="B58" s="40">
        <v>0.5625</v>
      </c>
      <c r="C58" s="40" t="s">
        <v>363</v>
      </c>
      <c r="D58" s="41">
        <v>9</v>
      </c>
      <c r="E58" s="42">
        <v>3</v>
      </c>
      <c r="F58" s="42" t="s">
        <v>155</v>
      </c>
      <c r="G58" s="43" t="s">
        <v>155</v>
      </c>
      <c r="H58" s="42" t="s">
        <v>160</v>
      </c>
      <c r="I58" s="43">
        <v>16</v>
      </c>
      <c r="J58" s="43">
        <v>8</v>
      </c>
      <c r="K58" s="25" t="str">
        <f>VLOOKUP(J58,Key!$E$2:$F$9,2,FALSE)</f>
        <v>Others</v>
      </c>
      <c r="L58" s="42" t="s">
        <v>164</v>
      </c>
      <c r="M58" s="43" t="s">
        <v>164</v>
      </c>
      <c r="N58" s="42" t="s">
        <v>160</v>
      </c>
      <c r="O58" s="43">
        <v>16</v>
      </c>
      <c r="P58" s="43">
        <v>8</v>
      </c>
      <c r="Q58" s="25" t="str">
        <f>VLOOKUP(P58,Key!$E$2:$F$9,2,FALSE)</f>
        <v>Others</v>
      </c>
      <c r="R58" s="25" t="str">
        <f t="shared" si="1"/>
        <v>Others-Others</v>
      </c>
      <c r="S58" s="47">
        <v>35</v>
      </c>
      <c r="T58" s="47">
        <v>2</v>
      </c>
      <c r="U58" s="43">
        <v>6</v>
      </c>
      <c r="V58" s="43"/>
      <c r="W58" s="47"/>
      <c r="X58" s="47"/>
      <c r="Y58" s="48" t="s">
        <v>162</v>
      </c>
      <c r="Z58" s="49"/>
      <c r="AA58" s="25"/>
      <c r="AB58" s="25"/>
    </row>
    <row r="59" spans="2:28">
      <c r="B59" s="40">
        <v>0.52430555555555558</v>
      </c>
      <c r="C59" s="40" t="s">
        <v>364</v>
      </c>
      <c r="D59" s="41">
        <v>4</v>
      </c>
      <c r="E59" s="42">
        <v>14</v>
      </c>
      <c r="F59" s="42" t="s">
        <v>155</v>
      </c>
      <c r="G59" s="43" t="s">
        <v>155</v>
      </c>
      <c r="H59" s="42" t="s">
        <v>160</v>
      </c>
      <c r="I59" s="43">
        <v>16</v>
      </c>
      <c r="J59" s="43">
        <v>8</v>
      </c>
      <c r="K59" s="25" t="str">
        <f>VLOOKUP(J59,Key!$E$2:$F$9,2,FALSE)</f>
        <v>Others</v>
      </c>
      <c r="L59" s="42" t="s">
        <v>154</v>
      </c>
      <c r="M59" s="43" t="s">
        <v>154</v>
      </c>
      <c r="N59" s="42" t="s">
        <v>160</v>
      </c>
      <c r="O59" s="43">
        <v>16</v>
      </c>
      <c r="P59" s="43">
        <v>8</v>
      </c>
      <c r="Q59" s="25" t="str">
        <f>VLOOKUP(P59,Key!$E$2:$F$9,2,FALSE)</f>
        <v>Others</v>
      </c>
      <c r="R59" s="25" t="str">
        <f t="shared" si="1"/>
        <v>Others-Others</v>
      </c>
      <c r="S59" s="47">
        <v>35</v>
      </c>
      <c r="T59" s="47">
        <v>0.7</v>
      </c>
      <c r="U59" s="43">
        <v>2</v>
      </c>
      <c r="V59" s="43"/>
      <c r="W59" s="47"/>
      <c r="X59" s="47"/>
      <c r="Y59" s="48" t="s">
        <v>218</v>
      </c>
      <c r="Z59" s="49"/>
      <c r="AA59" s="25"/>
      <c r="AB59" s="25"/>
    </row>
    <row r="60" spans="2:28">
      <c r="B60" s="40">
        <v>0.50555555555555554</v>
      </c>
      <c r="C60" s="40" t="s">
        <v>365</v>
      </c>
      <c r="D60" s="41">
        <v>4</v>
      </c>
      <c r="E60" s="42">
        <v>14</v>
      </c>
      <c r="F60" s="42" t="s">
        <v>155</v>
      </c>
      <c r="G60" s="43" t="s">
        <v>155</v>
      </c>
      <c r="H60" s="42" t="s">
        <v>160</v>
      </c>
      <c r="I60" s="43">
        <v>2</v>
      </c>
      <c r="J60" s="43">
        <v>2</v>
      </c>
      <c r="K60" s="25" t="str">
        <f>VLOOKUP(J60,Key!$E$2:$F$9,2,FALSE)</f>
        <v>Work</v>
      </c>
      <c r="L60" s="42" t="s">
        <v>154</v>
      </c>
      <c r="M60" s="43" t="s">
        <v>154</v>
      </c>
      <c r="N60" s="42" t="s">
        <v>160</v>
      </c>
      <c r="O60" s="43">
        <v>2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47">
        <v>35</v>
      </c>
      <c r="T60" s="47">
        <v>1</v>
      </c>
      <c r="U60" s="43">
        <v>2</v>
      </c>
      <c r="V60" s="43"/>
      <c r="W60" s="47"/>
      <c r="X60" s="47"/>
      <c r="Y60" s="48" t="s">
        <v>218</v>
      </c>
      <c r="Z60" s="49"/>
      <c r="AA60" s="25"/>
      <c r="AB60" s="25"/>
    </row>
    <row r="61" spans="2:28">
      <c r="B61" s="40">
        <v>0.74861111111111101</v>
      </c>
      <c r="C61" s="40" t="s">
        <v>366</v>
      </c>
      <c r="D61" s="41">
        <v>1</v>
      </c>
      <c r="E61" s="42">
        <v>2</v>
      </c>
      <c r="F61" s="42" t="s">
        <v>229</v>
      </c>
      <c r="G61" s="43" t="s">
        <v>155</v>
      </c>
      <c r="H61" s="42" t="s">
        <v>160</v>
      </c>
      <c r="I61" s="43">
        <v>1</v>
      </c>
      <c r="J61" s="43">
        <v>1</v>
      </c>
      <c r="K61" s="25" t="str">
        <f>VLOOKUP(J61,Key!$E$2:$F$9,2,FALSE)</f>
        <v>Home</v>
      </c>
      <c r="L61" s="42" t="s">
        <v>154</v>
      </c>
      <c r="M61" s="43" t="s">
        <v>154</v>
      </c>
      <c r="N61" s="42" t="s">
        <v>160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Home-Home</v>
      </c>
      <c r="S61" s="47">
        <v>27</v>
      </c>
      <c r="T61" s="47">
        <v>2</v>
      </c>
      <c r="U61" s="43"/>
      <c r="V61" s="43"/>
      <c r="W61" s="47"/>
      <c r="X61" s="47"/>
      <c r="Y61" s="48" t="s">
        <v>218</v>
      </c>
      <c r="Z61" s="49"/>
      <c r="AA61" s="25"/>
      <c r="AB61" s="25"/>
    </row>
    <row r="62" spans="2:28">
      <c r="B62" s="40">
        <v>0.72986111111111107</v>
      </c>
      <c r="C62" s="40" t="s">
        <v>367</v>
      </c>
      <c r="D62" s="41">
        <v>4</v>
      </c>
      <c r="E62" s="42">
        <v>14</v>
      </c>
      <c r="F62" s="42" t="s">
        <v>331</v>
      </c>
      <c r="G62" s="43" t="s">
        <v>154</v>
      </c>
      <c r="H62" s="42" t="s">
        <v>160</v>
      </c>
      <c r="I62" s="43">
        <v>2</v>
      </c>
      <c r="J62" s="43">
        <v>2</v>
      </c>
      <c r="K62" s="25" t="str">
        <f>VLOOKUP(J62,Key!$E$2:$F$9,2,FALSE)</f>
        <v>Work</v>
      </c>
      <c r="L62" s="42" t="s">
        <v>154</v>
      </c>
      <c r="M62" s="43" t="s">
        <v>154</v>
      </c>
      <c r="N62" s="42" t="s">
        <v>160</v>
      </c>
      <c r="O62" s="43">
        <v>16</v>
      </c>
      <c r="P62" s="43">
        <v>8</v>
      </c>
      <c r="Q62" s="25" t="str">
        <f>VLOOKUP(P62,Key!$E$2:$F$9,2,FALSE)</f>
        <v>Others</v>
      </c>
      <c r="R62" s="25" t="str">
        <f t="shared" si="1"/>
        <v>Work-Others</v>
      </c>
      <c r="S62" s="47">
        <v>12</v>
      </c>
      <c r="T62" s="47">
        <v>0.3</v>
      </c>
      <c r="U62" s="43">
        <v>4</v>
      </c>
      <c r="V62" s="43"/>
      <c r="W62" s="47"/>
      <c r="X62" s="47"/>
      <c r="Y62" s="48" t="s">
        <v>162</v>
      </c>
      <c r="Z62" s="49"/>
      <c r="AA62" s="25"/>
      <c r="AB62" s="25"/>
    </row>
    <row r="63" spans="2:28">
      <c r="B63" s="40">
        <v>0.71875</v>
      </c>
      <c r="C63" s="40" t="s">
        <v>368</v>
      </c>
      <c r="D63" s="41">
        <v>1</v>
      </c>
      <c r="E63" s="42">
        <v>2</v>
      </c>
      <c r="F63" s="42" t="s">
        <v>302</v>
      </c>
      <c r="G63" s="43" t="s">
        <v>155</v>
      </c>
      <c r="H63" s="42" t="s">
        <v>160</v>
      </c>
      <c r="I63" s="43">
        <v>2</v>
      </c>
      <c r="J63" s="43">
        <v>2</v>
      </c>
      <c r="K63" s="25" t="str">
        <f>VLOOKUP(J63,Key!$E$2:$F$9,2,FALSE)</f>
        <v>Work</v>
      </c>
      <c r="L63" s="42" t="s">
        <v>154</v>
      </c>
      <c r="M63" s="43" t="s">
        <v>154</v>
      </c>
      <c r="N63" s="42" t="s">
        <v>160</v>
      </c>
      <c r="O63" s="43">
        <v>5</v>
      </c>
      <c r="P63" s="43">
        <v>7</v>
      </c>
      <c r="Q63" s="25" t="str">
        <f>VLOOKUP(P63,Key!$E$2:$F$9,2,FALSE)</f>
        <v>Hospital</v>
      </c>
      <c r="R63" s="25" t="str">
        <f t="shared" si="1"/>
        <v>Work-Hospital</v>
      </c>
      <c r="S63" s="47"/>
      <c r="T63" s="47">
        <v>0.8</v>
      </c>
      <c r="U63" s="43">
        <v>2</v>
      </c>
      <c r="V63" s="43"/>
      <c r="W63" s="47"/>
      <c r="X63" s="47"/>
      <c r="Y63" s="48" t="s">
        <v>162</v>
      </c>
      <c r="Z63" s="49"/>
      <c r="AA63" s="25"/>
      <c r="AB63" s="25"/>
    </row>
    <row r="64" spans="2:28">
      <c r="B64" s="40">
        <v>0.44791666666666669</v>
      </c>
      <c r="C64" s="40" t="s">
        <v>369</v>
      </c>
      <c r="D64" s="41">
        <v>2</v>
      </c>
      <c r="E64" s="42">
        <v>4</v>
      </c>
      <c r="F64" s="42" t="s">
        <v>155</v>
      </c>
      <c r="G64" s="43" t="s">
        <v>155</v>
      </c>
      <c r="H64" s="42" t="s">
        <v>160</v>
      </c>
      <c r="I64" s="43">
        <v>1</v>
      </c>
      <c r="J64" s="43">
        <v>1</v>
      </c>
      <c r="K64" s="25" t="str">
        <f>VLOOKUP(J64,Key!$E$2:$F$9,2,FALSE)</f>
        <v>Home</v>
      </c>
      <c r="L64" s="42" t="s">
        <v>154</v>
      </c>
      <c r="M64" s="43" t="s">
        <v>154</v>
      </c>
      <c r="N64" s="42" t="s">
        <v>160</v>
      </c>
      <c r="O64" s="43">
        <v>16</v>
      </c>
      <c r="P64" s="43">
        <v>8</v>
      </c>
      <c r="Q64" s="25" t="str">
        <f>VLOOKUP(P64,Key!$E$2:$F$9,2,FALSE)</f>
        <v>Others</v>
      </c>
      <c r="R64" s="25" t="str">
        <f t="shared" si="1"/>
        <v>Home-Others</v>
      </c>
      <c r="S64" s="47">
        <v>15</v>
      </c>
      <c r="T64" s="47"/>
      <c r="U64" s="43">
        <v>6</v>
      </c>
      <c r="V64" s="43"/>
      <c r="W64" s="47"/>
      <c r="X64" s="47"/>
      <c r="Y64" s="48" t="s">
        <v>218</v>
      </c>
      <c r="Z64" s="49"/>
      <c r="AA64" s="25"/>
      <c r="AB64" s="25"/>
    </row>
    <row r="65" spans="2:28">
      <c r="B65" s="40">
        <v>0.93055555555555547</v>
      </c>
      <c r="C65" s="40" t="s">
        <v>367</v>
      </c>
      <c r="D65" s="41">
        <v>4</v>
      </c>
      <c r="E65" s="42">
        <v>14</v>
      </c>
      <c r="F65" s="42" t="s">
        <v>155</v>
      </c>
      <c r="G65" s="43" t="s">
        <v>155</v>
      </c>
      <c r="H65" s="42" t="s">
        <v>160</v>
      </c>
      <c r="I65" s="43">
        <v>6</v>
      </c>
      <c r="J65" s="43">
        <v>2</v>
      </c>
      <c r="K65" s="25" t="str">
        <f>VLOOKUP(J65,Key!$E$2:$F$9,2,FALSE)</f>
        <v>Work</v>
      </c>
      <c r="L65" s="42" t="s">
        <v>168</v>
      </c>
      <c r="M65" s="43" t="s">
        <v>168</v>
      </c>
      <c r="N65" s="42" t="s">
        <v>160</v>
      </c>
      <c r="O65" s="43">
        <v>6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47"/>
      <c r="T65" s="47">
        <v>4</v>
      </c>
      <c r="U65" s="43">
        <v>2</v>
      </c>
      <c r="V65" s="43"/>
      <c r="W65" s="47"/>
      <c r="X65" s="47"/>
      <c r="Y65" s="48" t="s">
        <v>162</v>
      </c>
      <c r="Z65" s="49"/>
      <c r="AA65" s="25"/>
      <c r="AB65" s="25"/>
    </row>
    <row r="66" spans="2:28">
      <c r="B66" s="40">
        <v>0.92708333333333337</v>
      </c>
      <c r="C66" s="40" t="s">
        <v>370</v>
      </c>
      <c r="D66" s="41">
        <v>1</v>
      </c>
      <c r="E66" s="42">
        <v>1</v>
      </c>
      <c r="F66" s="42" t="s">
        <v>220</v>
      </c>
      <c r="G66" s="43" t="s">
        <v>154</v>
      </c>
      <c r="H66" s="42" t="s">
        <v>160</v>
      </c>
      <c r="I66" s="43">
        <v>2</v>
      </c>
      <c r="J66" s="43">
        <v>2</v>
      </c>
      <c r="K66" s="25" t="str">
        <f>VLOOKUP(J66,Key!$E$2:$F$9,2,FALSE)</f>
        <v>Work</v>
      </c>
      <c r="L66" s="42" t="s">
        <v>154</v>
      </c>
      <c r="M66" s="43" t="s">
        <v>154</v>
      </c>
      <c r="N66" s="42" t="s">
        <v>160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Work-Home</v>
      </c>
      <c r="S66" s="47"/>
      <c r="T66" s="47">
        <v>0.5</v>
      </c>
      <c r="U66" s="43">
        <v>2</v>
      </c>
      <c r="V66" s="43"/>
      <c r="W66" s="47"/>
      <c r="X66" s="47"/>
      <c r="Y66" s="48" t="s">
        <v>162</v>
      </c>
      <c r="Z66" s="49"/>
      <c r="AA66" s="25"/>
      <c r="AB66" s="25"/>
    </row>
    <row r="67" spans="2:28">
      <c r="B67" s="40">
        <v>0.90277777777777779</v>
      </c>
      <c r="C67" s="40" t="s">
        <v>371</v>
      </c>
      <c r="D67" s="41">
        <v>1</v>
      </c>
      <c r="E67" s="42">
        <v>4</v>
      </c>
      <c r="F67" s="42" t="s">
        <v>372</v>
      </c>
      <c r="G67" s="43" t="s">
        <v>154</v>
      </c>
      <c r="H67" s="42" t="s">
        <v>160</v>
      </c>
      <c r="I67" s="43">
        <v>2</v>
      </c>
      <c r="J67" s="43">
        <v>2</v>
      </c>
      <c r="K67" s="25" t="str">
        <f>VLOOKUP(J67,Key!$E$2:$F$9,2,FALSE)</f>
        <v>Work</v>
      </c>
      <c r="L67" s="42" t="s">
        <v>154</v>
      </c>
      <c r="M67" s="43" t="s">
        <v>154</v>
      </c>
      <c r="N67" s="42" t="s">
        <v>160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47"/>
      <c r="T67" s="47">
        <v>1</v>
      </c>
      <c r="U67" s="43">
        <v>2</v>
      </c>
      <c r="V67" s="43"/>
      <c r="W67" s="47"/>
      <c r="X67" s="47"/>
      <c r="Y67" s="48" t="s">
        <v>162</v>
      </c>
      <c r="Z67" s="49"/>
      <c r="AA67" s="25"/>
      <c r="AB67" s="25"/>
    </row>
    <row r="68" spans="2:28">
      <c r="B68" s="40">
        <v>0.88888888888888884</v>
      </c>
      <c r="C68" s="40" t="s">
        <v>373</v>
      </c>
      <c r="D68" s="41">
        <v>3</v>
      </c>
      <c r="E68" s="42">
        <v>2</v>
      </c>
      <c r="F68" s="42" t="s">
        <v>155</v>
      </c>
      <c r="G68" s="43" t="s">
        <v>155</v>
      </c>
      <c r="H68" s="42" t="s">
        <v>160</v>
      </c>
      <c r="I68" s="43">
        <v>2</v>
      </c>
      <c r="J68" s="43">
        <v>2</v>
      </c>
      <c r="K68" s="25" t="str">
        <f>VLOOKUP(J68,Key!$E$2:$F$9,2,FALSE)</f>
        <v>Work</v>
      </c>
      <c r="L68" s="42" t="s">
        <v>154</v>
      </c>
      <c r="M68" s="43" t="s">
        <v>154</v>
      </c>
      <c r="N68" s="42" t="s">
        <v>160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47"/>
      <c r="T68" s="47">
        <v>0.5</v>
      </c>
      <c r="U68" s="43">
        <v>2</v>
      </c>
      <c r="V68" s="43"/>
      <c r="W68" s="47"/>
      <c r="X68" s="47"/>
      <c r="Y68" s="48" t="s">
        <v>162</v>
      </c>
      <c r="Z68" s="49"/>
      <c r="AA68" s="25"/>
      <c r="AB68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89</v>
      </c>
      <c r="E1" s="34"/>
      <c r="F1" s="35" t="s">
        <v>106</v>
      </c>
      <c r="G1" s="36"/>
      <c r="H1" s="36" t="s">
        <v>114</v>
      </c>
      <c r="I1" s="36"/>
      <c r="J1" s="36" t="s">
        <v>121</v>
      </c>
      <c r="K1" s="36"/>
      <c r="L1" s="36"/>
      <c r="M1" s="36"/>
      <c r="N1" s="36"/>
      <c r="O1" s="36"/>
    </row>
    <row r="2" spans="1:15">
      <c r="A2">
        <v>1</v>
      </c>
      <c r="B2" s="33" t="s">
        <v>77</v>
      </c>
      <c r="C2" s="10">
        <v>1</v>
      </c>
      <c r="D2" s="33" t="s">
        <v>90</v>
      </c>
      <c r="E2" s="10">
        <v>1</v>
      </c>
      <c r="F2" t="s">
        <v>107</v>
      </c>
      <c r="G2">
        <v>1</v>
      </c>
      <c r="H2" s="19" t="s">
        <v>115</v>
      </c>
      <c r="I2">
        <v>1</v>
      </c>
      <c r="J2" s="19" t="s">
        <v>122</v>
      </c>
    </row>
    <row r="3" spans="1:15">
      <c r="A3">
        <v>2</v>
      </c>
      <c r="B3" s="33" t="s">
        <v>78</v>
      </c>
      <c r="C3" s="10">
        <v>2</v>
      </c>
      <c r="D3" s="33" t="s">
        <v>91</v>
      </c>
      <c r="E3" s="10">
        <v>2</v>
      </c>
      <c r="F3" t="s">
        <v>108</v>
      </c>
      <c r="G3">
        <v>2</v>
      </c>
      <c r="H3" s="19" t="s">
        <v>116</v>
      </c>
      <c r="I3">
        <v>2</v>
      </c>
      <c r="J3" s="19" t="s">
        <v>123</v>
      </c>
    </row>
    <row r="4" spans="1:15">
      <c r="A4">
        <v>3</v>
      </c>
      <c r="B4" s="33" t="s">
        <v>79</v>
      </c>
      <c r="C4" s="10">
        <v>3</v>
      </c>
      <c r="D4" s="33" t="s">
        <v>92</v>
      </c>
      <c r="E4" s="10">
        <v>3</v>
      </c>
      <c r="F4" t="s">
        <v>109</v>
      </c>
      <c r="G4">
        <v>3</v>
      </c>
      <c r="H4" s="19" t="s">
        <v>117</v>
      </c>
      <c r="I4">
        <v>3</v>
      </c>
      <c r="J4" s="19" t="s">
        <v>124</v>
      </c>
    </row>
    <row r="5" spans="1:15">
      <c r="A5">
        <v>4</v>
      </c>
      <c r="B5" s="33" t="s">
        <v>80</v>
      </c>
      <c r="C5" s="10">
        <v>4</v>
      </c>
      <c r="D5" s="33" t="s">
        <v>93</v>
      </c>
      <c r="E5" s="10">
        <v>4</v>
      </c>
      <c r="F5" t="s">
        <v>110</v>
      </c>
      <c r="G5">
        <v>4</v>
      </c>
      <c r="H5" s="19" t="s">
        <v>118</v>
      </c>
      <c r="I5">
        <v>4</v>
      </c>
      <c r="J5" s="37" t="s">
        <v>125</v>
      </c>
    </row>
    <row r="6" spans="1:15">
      <c r="A6">
        <v>5</v>
      </c>
      <c r="B6" s="33" t="s">
        <v>81</v>
      </c>
      <c r="C6" s="10">
        <v>5</v>
      </c>
      <c r="D6" s="33" t="s">
        <v>94</v>
      </c>
      <c r="E6" s="10">
        <v>5</v>
      </c>
      <c r="F6" t="s">
        <v>111</v>
      </c>
      <c r="G6">
        <v>5</v>
      </c>
      <c r="H6" s="19" t="s">
        <v>119</v>
      </c>
      <c r="I6">
        <v>5</v>
      </c>
      <c r="J6" s="19" t="s">
        <v>126</v>
      </c>
    </row>
    <row r="7" spans="1:15">
      <c r="A7">
        <v>6</v>
      </c>
      <c r="B7" s="33" t="s">
        <v>82</v>
      </c>
      <c r="C7" s="10">
        <v>6</v>
      </c>
      <c r="D7" s="33" t="s">
        <v>95</v>
      </c>
      <c r="E7" s="10">
        <v>6</v>
      </c>
      <c r="F7" t="s">
        <v>112</v>
      </c>
      <c r="G7">
        <v>6</v>
      </c>
      <c r="H7" s="19" t="s">
        <v>120</v>
      </c>
      <c r="I7">
        <v>6</v>
      </c>
      <c r="J7" s="19" t="s">
        <v>127</v>
      </c>
    </row>
    <row r="8" spans="1:15">
      <c r="A8">
        <v>7</v>
      </c>
      <c r="B8" s="33" t="s">
        <v>83</v>
      </c>
      <c r="C8" s="10">
        <v>7</v>
      </c>
      <c r="D8" s="33" t="s">
        <v>96</v>
      </c>
      <c r="E8" s="10">
        <v>7</v>
      </c>
      <c r="F8" t="s">
        <v>94</v>
      </c>
      <c r="I8">
        <v>7</v>
      </c>
      <c r="J8" s="19" t="s">
        <v>128</v>
      </c>
    </row>
    <row r="9" spans="1:15">
      <c r="A9">
        <v>8</v>
      </c>
      <c r="B9" s="33" t="s">
        <v>84</v>
      </c>
      <c r="C9" s="10">
        <v>8</v>
      </c>
      <c r="D9" s="33" t="s">
        <v>97</v>
      </c>
      <c r="E9" s="10">
        <v>8</v>
      </c>
      <c r="F9" t="s">
        <v>113</v>
      </c>
      <c r="I9">
        <v>8</v>
      </c>
      <c r="J9" s="19" t="s">
        <v>129</v>
      </c>
    </row>
    <row r="10" spans="1:15">
      <c r="A10">
        <v>9</v>
      </c>
      <c r="B10" s="33" t="s">
        <v>85</v>
      </c>
      <c r="C10" s="10">
        <v>9</v>
      </c>
      <c r="D10" s="33" t="s">
        <v>98</v>
      </c>
      <c r="E10" s="10"/>
      <c r="I10">
        <v>9</v>
      </c>
      <c r="J10" s="19" t="s">
        <v>130</v>
      </c>
    </row>
    <row r="11" spans="1:15">
      <c r="A11">
        <v>10</v>
      </c>
      <c r="B11" s="33" t="s">
        <v>86</v>
      </c>
      <c r="C11" s="10">
        <v>10</v>
      </c>
      <c r="D11" s="33" t="s">
        <v>99</v>
      </c>
      <c r="E11" s="10"/>
      <c r="I11">
        <v>10</v>
      </c>
      <c r="J11" s="37" t="s">
        <v>131</v>
      </c>
    </row>
    <row r="12" spans="1:15">
      <c r="A12">
        <v>11</v>
      </c>
      <c r="B12" s="33" t="s">
        <v>88</v>
      </c>
      <c r="C12" s="10">
        <v>11</v>
      </c>
      <c r="D12" s="33" t="s">
        <v>100</v>
      </c>
      <c r="E12" s="10"/>
      <c r="I12">
        <v>11</v>
      </c>
      <c r="J12" s="19" t="s">
        <v>132</v>
      </c>
    </row>
    <row r="13" spans="1:15">
      <c r="A13">
        <v>12</v>
      </c>
      <c r="B13" s="33" t="s">
        <v>87</v>
      </c>
      <c r="C13" s="10">
        <v>12</v>
      </c>
      <c r="D13" s="33" t="s">
        <v>101</v>
      </c>
      <c r="E13" s="10"/>
      <c r="I13">
        <v>12</v>
      </c>
      <c r="J13" s="19" t="s">
        <v>133</v>
      </c>
    </row>
    <row r="14" spans="1:15">
      <c r="C14" s="10">
        <v>13</v>
      </c>
      <c r="D14" s="19" t="s">
        <v>102</v>
      </c>
    </row>
    <row r="15" spans="1:15">
      <c r="B15" s="1"/>
      <c r="C15" s="10">
        <v>14</v>
      </c>
      <c r="D15" s="19" t="s">
        <v>103</v>
      </c>
    </row>
    <row r="16" spans="1:15">
      <c r="C16" s="10">
        <v>15</v>
      </c>
      <c r="D16" s="19" t="s">
        <v>104</v>
      </c>
    </row>
    <row r="17" spans="3:4">
      <c r="C17" s="10">
        <v>16</v>
      </c>
      <c r="D17" s="1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Analysis</vt:lpstr>
      <vt:lpstr>ALL DATA</vt:lpstr>
      <vt:lpstr>Zones</vt:lpstr>
      <vt:lpstr>24.08 Iganga-Kaliro</vt:lpstr>
      <vt:lpstr>RSI FORM</vt:lpstr>
      <vt:lpstr>24.08 Kaliro-Iganga</vt:lpstr>
      <vt:lpstr>26.08 Iganga-Kaliro</vt:lpstr>
      <vt:lpstr>26.08 Kaliro-Iganga</vt:lpstr>
      <vt:lpstr>Key</vt:lpstr>
      <vt:lpstr>Dist</vt:lpstr>
      <vt:lpstr>Jtime</vt:lpstr>
      <vt:lpstr>Pay</vt:lpstr>
      <vt:lpstr>Tripfreq</vt:lpstr>
      <vt:lpstr>veh</vt:lpstr>
      <vt:lpstr>'24.08 Kaliro-Iganga'!Veh_Type</vt:lpstr>
      <vt:lpstr>'26.08 Kaliro-Iganga'!Veh_Type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2020-04-09T23:45:17Z</dcterms:modified>
</cp:coreProperties>
</file>