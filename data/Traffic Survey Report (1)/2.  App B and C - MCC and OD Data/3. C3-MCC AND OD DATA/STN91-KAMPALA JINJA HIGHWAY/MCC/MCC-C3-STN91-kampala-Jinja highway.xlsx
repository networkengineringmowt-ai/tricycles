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MCC-OD\C-3 Analysis Complete\STN91-KAMPALA JINJA HIGHWAY\MCC\"/>
    </mc:Choice>
  </mc:AlternateContent>
  <xr:revisionPtr revIDLastSave="0" documentId="13_ncr:1_{83CCB888-94EB-46DC-A44E-365E6E84175F}" xr6:coauthVersionLast="45" xr6:coauthVersionMax="45" xr10:uidLastSave="{00000000-0000-0000-0000-000000000000}"/>
  <bookViews>
    <workbookView xWindow="-120" yWindow="-120" windowWidth="20730" windowHeight="11160" tabRatio="900" firstSheet="11" activeTab="16" xr2:uid="{00000000-000D-0000-FFFF-FFFF00000000}"/>
  </bookViews>
  <sheets>
    <sheet name="17.10 jinja-kampala" sheetId="93" r:id="rId1"/>
    <sheet name="17.10 Kampala-Jinja" sheetId="94" r:id="rId2"/>
    <sheet name="18.10 Jinja-Kampala" sheetId="95" r:id="rId3"/>
    <sheet name="18.10 Kampala-Jinja" sheetId="96" r:id="rId4"/>
    <sheet name="19.10 Jinja-Kampala-24hr" sheetId="101" r:id="rId5"/>
    <sheet name="19.10 Kampala-Jinja-24hr" sheetId="105" r:id="rId6"/>
    <sheet name="20.10 Jinja-Kampala" sheetId="97" r:id="rId7"/>
    <sheet name="20.10 Kampala-Jinja" sheetId="98" r:id="rId8"/>
    <sheet name="21.10 jinja-Kampala-24h" sheetId="109" r:id="rId9"/>
    <sheet name="21.10 Kampala-Jinja-24h" sheetId="110" r:id="rId10"/>
    <sheet name="23.10 JINJA-KAMPALA" sheetId="103" r:id="rId11"/>
    <sheet name="23.10 KAMPALA-JINJA" sheetId="104" r:id="rId12"/>
    <sheet name="27.10 JINJA-KAMPALA" sheetId="99" r:id="rId13"/>
    <sheet name="27.10 KAMPALA-JINJA" sheetId="100" r:id="rId14"/>
    <sheet name="AvgWeek Jinja-Kampala" sheetId="107" r:id="rId15"/>
    <sheet name="Avg Week Kampala-Jinja" sheetId="108" r:id="rId16"/>
    <sheet name="Avg Week Jinja-Kampala-2Dir" sheetId="111" r:id="rId17"/>
  </sheets>
  <definedNames>
    <definedName name="_xlnm.Print_Area" localSheetId="0">'17.10 jinja-kampala'!$A$1:$AF$60</definedName>
    <definedName name="_xlnm.Print_Area" localSheetId="1">'17.10 Kampala-Jinja'!$A$1:$AF$60</definedName>
    <definedName name="_xlnm.Print_Area" localSheetId="2">'18.10 Jinja-Kampala'!$A$1:$AF$60</definedName>
    <definedName name="_xlnm.Print_Area" localSheetId="3">'18.10 Kampala-Jinja'!$A$1:$AF$60</definedName>
    <definedName name="_xlnm.Print_Area" localSheetId="4">'19.10 Jinja-Kampala-24hr'!$A$1:$AF$108</definedName>
    <definedName name="_xlnm.Print_Area" localSheetId="5">'19.10 Kampala-Jinja-24hr'!$A$1:$AF$108</definedName>
    <definedName name="_xlnm.Print_Area" localSheetId="6">'20.10 Jinja-Kampala'!$A$1:$AF$60</definedName>
    <definedName name="_xlnm.Print_Area" localSheetId="7">'20.10 Kampala-Jinja'!$A$1:$AF$60</definedName>
    <definedName name="_xlnm.Print_Area" localSheetId="8">'21.10 jinja-Kampala-24h'!$A$1:$AF$108</definedName>
    <definedName name="_xlnm.Print_Area" localSheetId="9">'21.10 Kampala-Jinja-24h'!$A$1:$AF$108</definedName>
    <definedName name="_xlnm.Print_Area" localSheetId="10">'23.10 JINJA-KAMPALA'!$A$1:$AF$60</definedName>
    <definedName name="_xlnm.Print_Area" localSheetId="11">'23.10 KAMPALA-JINJA'!$A$1:$AF$60</definedName>
    <definedName name="_xlnm.Print_Area" localSheetId="12">'27.10 JINJA-KAMPALA'!$A$1:$AF$60</definedName>
    <definedName name="_xlnm.Print_Area" localSheetId="13">'27.10 KAMPALA-JINJA'!$A$1:$AF$60</definedName>
    <definedName name="_xlnm.Print_Area" localSheetId="16">'Avg Week Jinja-Kampala-2Dir'!$A$1:$AF$108</definedName>
    <definedName name="_xlnm.Print_Area" localSheetId="15">'Avg Week Kampala-Jinja'!$A$1:$AF$108</definedName>
    <definedName name="_xlnm.Print_Area" localSheetId="14">'AvgWeek Jinja-Kampala'!$A$1:$AF$108</definedName>
    <definedName name="_xlnm.Print_Titles" localSheetId="0">'17.10 jinja-kampala'!$1:$8</definedName>
    <definedName name="_xlnm.Print_Titles" localSheetId="1">'17.10 Kampala-Jinja'!$1:$8</definedName>
    <definedName name="_xlnm.Print_Titles" localSheetId="2">'18.10 Jinja-Kampala'!$1:$8</definedName>
    <definedName name="_xlnm.Print_Titles" localSheetId="3">'18.10 Kampala-Jinja'!$1:$8</definedName>
    <definedName name="_xlnm.Print_Titles" localSheetId="4">'19.10 Jinja-Kampala-24hr'!$1:$8</definedName>
    <definedName name="_xlnm.Print_Titles" localSheetId="5">'19.10 Kampala-Jinja-24hr'!$1:$8</definedName>
    <definedName name="_xlnm.Print_Titles" localSheetId="6">'20.10 Jinja-Kampala'!$1:$8</definedName>
    <definedName name="_xlnm.Print_Titles" localSheetId="7">'20.10 Kampala-Jinja'!$1:$8</definedName>
    <definedName name="_xlnm.Print_Titles" localSheetId="8">'21.10 jinja-Kampala-24h'!$1:$8</definedName>
    <definedName name="_xlnm.Print_Titles" localSheetId="9">'21.10 Kampala-Jinja-24h'!$1:$8</definedName>
    <definedName name="_xlnm.Print_Titles" localSheetId="10">'23.10 JINJA-KAMPALA'!$1:$8</definedName>
    <definedName name="_xlnm.Print_Titles" localSheetId="11">'23.10 KAMPALA-JINJA'!$1:$8</definedName>
    <definedName name="_xlnm.Print_Titles" localSheetId="12">'27.10 JINJA-KAMPALA'!$1:$8</definedName>
    <definedName name="_xlnm.Print_Titles" localSheetId="13">'27.10 KAMPALA-JINJA'!$1:$8</definedName>
    <definedName name="_xlnm.Print_Titles" localSheetId="16">'Avg Week Jinja-Kampala-2Dir'!$1:$8</definedName>
    <definedName name="_xlnm.Print_Titles" localSheetId="15">'Avg Week Kampala-Jinja'!$1:$8</definedName>
    <definedName name="_xlnm.Print_Titles" localSheetId="14">'AvgWeek Jinja-Kampala'!$1:$8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9" i="108" l="1"/>
  <c r="D59" i="108"/>
  <c r="E59" i="108"/>
  <c r="F59" i="108"/>
  <c r="G59" i="108"/>
  <c r="H59" i="108"/>
  <c r="I59" i="108"/>
  <c r="J59" i="108"/>
  <c r="K59" i="108"/>
  <c r="L59" i="108"/>
  <c r="M59" i="108"/>
  <c r="N59" i="108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F62" i="108"/>
  <c r="G62" i="108"/>
  <c r="H62" i="108"/>
  <c r="I62" i="108"/>
  <c r="J62" i="108"/>
  <c r="K62" i="108"/>
  <c r="L62" i="108"/>
  <c r="M62" i="108"/>
  <c r="N62" i="108"/>
  <c r="C63" i="108"/>
  <c r="D63" i="108"/>
  <c r="E63" i="108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F66" i="108"/>
  <c r="G66" i="108"/>
  <c r="H66" i="108"/>
  <c r="I66" i="108"/>
  <c r="J66" i="108"/>
  <c r="K66" i="108"/>
  <c r="L66" i="108"/>
  <c r="M66" i="108"/>
  <c r="N66" i="108"/>
  <c r="C67" i="108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E69" i="108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F70" i="108"/>
  <c r="G70" i="108"/>
  <c r="H70" i="108"/>
  <c r="I70" i="108"/>
  <c r="J70" i="108"/>
  <c r="K70" i="108"/>
  <c r="L70" i="108"/>
  <c r="M70" i="108"/>
  <c r="N70" i="108"/>
  <c r="C71" i="108"/>
  <c r="D71" i="108"/>
  <c r="E71" i="108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G74" i="108"/>
  <c r="H74" i="108"/>
  <c r="I74" i="108"/>
  <c r="J74" i="108"/>
  <c r="K74" i="108"/>
  <c r="L74" i="108"/>
  <c r="M74" i="108"/>
  <c r="N74" i="108"/>
  <c r="C75" i="108"/>
  <c r="D75" i="108"/>
  <c r="E75" i="108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F78" i="108"/>
  <c r="G78" i="108"/>
  <c r="H78" i="108"/>
  <c r="I78" i="108"/>
  <c r="J78" i="108"/>
  <c r="K78" i="108"/>
  <c r="L78" i="108"/>
  <c r="M78" i="108"/>
  <c r="N78" i="108"/>
  <c r="C79" i="108"/>
  <c r="D79" i="108"/>
  <c r="E79" i="108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F82" i="108"/>
  <c r="G82" i="108"/>
  <c r="H82" i="108"/>
  <c r="I82" i="108"/>
  <c r="J82" i="108"/>
  <c r="K82" i="108"/>
  <c r="L82" i="108"/>
  <c r="M82" i="108"/>
  <c r="N82" i="108"/>
  <c r="C83" i="108"/>
  <c r="D83" i="108"/>
  <c r="E83" i="108"/>
  <c r="F83" i="108"/>
  <c r="G83" i="108"/>
  <c r="H83" i="108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F86" i="108"/>
  <c r="G86" i="108"/>
  <c r="H86" i="108"/>
  <c r="I86" i="108"/>
  <c r="J86" i="108"/>
  <c r="K86" i="108"/>
  <c r="L86" i="108"/>
  <c r="M86" i="108"/>
  <c r="N86" i="108"/>
  <c r="C87" i="108"/>
  <c r="D87" i="108"/>
  <c r="E87" i="108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E89" i="108"/>
  <c r="F89" i="108"/>
  <c r="G89" i="108"/>
  <c r="H89" i="108"/>
  <c r="I89" i="108"/>
  <c r="J89" i="108"/>
  <c r="K89" i="108"/>
  <c r="L89" i="108"/>
  <c r="M89" i="108"/>
  <c r="N89" i="108"/>
  <c r="C90" i="108"/>
  <c r="D90" i="108"/>
  <c r="E90" i="108"/>
  <c r="F90" i="108"/>
  <c r="G90" i="108"/>
  <c r="H90" i="108"/>
  <c r="I90" i="108"/>
  <c r="J90" i="108"/>
  <c r="K90" i="108"/>
  <c r="L90" i="108"/>
  <c r="M90" i="108"/>
  <c r="N90" i="108"/>
  <c r="C91" i="108"/>
  <c r="D91" i="108"/>
  <c r="E91" i="108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F94" i="108"/>
  <c r="G94" i="108"/>
  <c r="H94" i="108"/>
  <c r="I94" i="108"/>
  <c r="J94" i="108"/>
  <c r="K94" i="108"/>
  <c r="L94" i="108"/>
  <c r="M94" i="108"/>
  <c r="N94" i="108"/>
  <c r="C95" i="108"/>
  <c r="D95" i="108"/>
  <c r="E95" i="108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F98" i="108"/>
  <c r="G98" i="108"/>
  <c r="H98" i="108"/>
  <c r="I98" i="108"/>
  <c r="J98" i="108"/>
  <c r="K98" i="108"/>
  <c r="L98" i="108"/>
  <c r="M98" i="108"/>
  <c r="N98" i="108"/>
  <c r="C99" i="108"/>
  <c r="D99" i="108"/>
  <c r="E99" i="108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C103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D58" i="108"/>
  <c r="E58" i="108"/>
  <c r="F58" i="108"/>
  <c r="G58" i="108"/>
  <c r="H58" i="108"/>
  <c r="I58" i="108"/>
  <c r="J58" i="108"/>
  <c r="K58" i="108"/>
  <c r="L58" i="108"/>
  <c r="M58" i="108"/>
  <c r="N58" i="108"/>
  <c r="C58" i="108"/>
  <c r="C59" i="107" l="1"/>
  <c r="D59" i="107"/>
  <c r="E59" i="107"/>
  <c r="F59" i="107"/>
  <c r="G59" i="107"/>
  <c r="H59" i="107"/>
  <c r="I59" i="107"/>
  <c r="J59" i="107"/>
  <c r="K59" i="107"/>
  <c r="L59" i="107"/>
  <c r="M59" i="107"/>
  <c r="N59" i="107"/>
  <c r="C60" i="107"/>
  <c r="D60" i="107"/>
  <c r="E60" i="107"/>
  <c r="F60" i="107"/>
  <c r="G60" i="107"/>
  <c r="H60" i="107"/>
  <c r="I60" i="107"/>
  <c r="J60" i="107"/>
  <c r="K60" i="107"/>
  <c r="L60" i="107"/>
  <c r="M60" i="107"/>
  <c r="N60" i="107"/>
  <c r="C61" i="107"/>
  <c r="D61" i="107"/>
  <c r="E61" i="107"/>
  <c r="F61" i="107"/>
  <c r="G61" i="107"/>
  <c r="H61" i="107"/>
  <c r="I61" i="107"/>
  <c r="J61" i="107"/>
  <c r="K61" i="107"/>
  <c r="L61" i="107"/>
  <c r="M61" i="107"/>
  <c r="N61" i="107"/>
  <c r="C62" i="107"/>
  <c r="D62" i="107"/>
  <c r="E62" i="107"/>
  <c r="F62" i="107"/>
  <c r="G62" i="107"/>
  <c r="H62" i="107"/>
  <c r="I62" i="107"/>
  <c r="J62" i="107"/>
  <c r="K62" i="107"/>
  <c r="L62" i="107"/>
  <c r="M62" i="107"/>
  <c r="N62" i="107"/>
  <c r="C63" i="107"/>
  <c r="D63" i="107"/>
  <c r="E63" i="107"/>
  <c r="F63" i="107"/>
  <c r="G63" i="107"/>
  <c r="H63" i="107"/>
  <c r="I63" i="107"/>
  <c r="J63" i="107"/>
  <c r="K63" i="107"/>
  <c r="L63" i="107"/>
  <c r="M63" i="107"/>
  <c r="N63" i="107"/>
  <c r="C64" i="107"/>
  <c r="D64" i="107"/>
  <c r="E64" i="107"/>
  <c r="F64" i="107"/>
  <c r="G64" i="107"/>
  <c r="H64" i="107"/>
  <c r="I64" i="107"/>
  <c r="J64" i="107"/>
  <c r="K64" i="107"/>
  <c r="L64" i="107"/>
  <c r="M64" i="107"/>
  <c r="N64" i="107"/>
  <c r="C65" i="107"/>
  <c r="D65" i="107"/>
  <c r="E65" i="107"/>
  <c r="F65" i="107"/>
  <c r="G65" i="107"/>
  <c r="H65" i="107"/>
  <c r="I65" i="107"/>
  <c r="J65" i="107"/>
  <c r="O65" i="107" s="1"/>
  <c r="K65" i="107"/>
  <c r="L65" i="107"/>
  <c r="M65" i="107"/>
  <c r="N65" i="107"/>
  <c r="C66" i="107"/>
  <c r="D66" i="107"/>
  <c r="E66" i="107"/>
  <c r="F66" i="107"/>
  <c r="G66" i="107"/>
  <c r="H66" i="107"/>
  <c r="I66" i="107"/>
  <c r="J66" i="107"/>
  <c r="K66" i="107"/>
  <c r="L66" i="107"/>
  <c r="M66" i="107"/>
  <c r="N66" i="107"/>
  <c r="C67" i="107"/>
  <c r="D67" i="107"/>
  <c r="E67" i="107"/>
  <c r="F67" i="107"/>
  <c r="G67" i="107"/>
  <c r="H67" i="107"/>
  <c r="I67" i="107"/>
  <c r="J67" i="107"/>
  <c r="K67" i="107"/>
  <c r="L67" i="107"/>
  <c r="M67" i="107"/>
  <c r="N67" i="107"/>
  <c r="C68" i="107"/>
  <c r="D68" i="107"/>
  <c r="E68" i="107"/>
  <c r="F68" i="107"/>
  <c r="G68" i="107"/>
  <c r="H68" i="107"/>
  <c r="I68" i="107"/>
  <c r="J68" i="107"/>
  <c r="K68" i="107"/>
  <c r="L68" i="107"/>
  <c r="M68" i="107"/>
  <c r="N68" i="107"/>
  <c r="C69" i="107"/>
  <c r="D69" i="107"/>
  <c r="E69" i="107"/>
  <c r="F69" i="107"/>
  <c r="G69" i="107"/>
  <c r="H69" i="107"/>
  <c r="I69" i="107"/>
  <c r="J69" i="107"/>
  <c r="K69" i="107"/>
  <c r="L69" i="107"/>
  <c r="M69" i="107"/>
  <c r="N69" i="107"/>
  <c r="C70" i="107"/>
  <c r="D70" i="107"/>
  <c r="E70" i="107"/>
  <c r="F70" i="107"/>
  <c r="G70" i="107"/>
  <c r="H70" i="107"/>
  <c r="I70" i="107"/>
  <c r="J70" i="107"/>
  <c r="K70" i="107"/>
  <c r="L70" i="107"/>
  <c r="M70" i="107"/>
  <c r="N70" i="107"/>
  <c r="C71" i="107"/>
  <c r="D71" i="107"/>
  <c r="E71" i="107"/>
  <c r="F71" i="107"/>
  <c r="G71" i="107"/>
  <c r="H71" i="107"/>
  <c r="I71" i="107"/>
  <c r="J71" i="107"/>
  <c r="K71" i="107"/>
  <c r="L71" i="107"/>
  <c r="M71" i="107"/>
  <c r="N71" i="107"/>
  <c r="C72" i="107"/>
  <c r="D72" i="107"/>
  <c r="E72" i="107"/>
  <c r="F72" i="107"/>
  <c r="G72" i="107"/>
  <c r="H72" i="107"/>
  <c r="I72" i="107"/>
  <c r="J72" i="107"/>
  <c r="K72" i="107"/>
  <c r="L72" i="107"/>
  <c r="M72" i="107"/>
  <c r="N72" i="107"/>
  <c r="C73" i="107"/>
  <c r="D73" i="107"/>
  <c r="E73" i="107"/>
  <c r="F73" i="107"/>
  <c r="G73" i="107"/>
  <c r="H73" i="107"/>
  <c r="I73" i="107"/>
  <c r="J73" i="107"/>
  <c r="O73" i="107" s="1"/>
  <c r="K73" i="107"/>
  <c r="L73" i="107"/>
  <c r="M73" i="107"/>
  <c r="N73" i="107"/>
  <c r="C74" i="107"/>
  <c r="D74" i="107"/>
  <c r="E74" i="107"/>
  <c r="F74" i="107"/>
  <c r="G74" i="107"/>
  <c r="H74" i="107"/>
  <c r="I74" i="107"/>
  <c r="J74" i="107"/>
  <c r="K74" i="107"/>
  <c r="L74" i="107"/>
  <c r="M74" i="107"/>
  <c r="N74" i="107"/>
  <c r="C75" i="107"/>
  <c r="D75" i="107"/>
  <c r="E75" i="107"/>
  <c r="F75" i="107"/>
  <c r="G75" i="107"/>
  <c r="H75" i="107"/>
  <c r="I75" i="107"/>
  <c r="J75" i="107"/>
  <c r="K75" i="107"/>
  <c r="L75" i="107"/>
  <c r="M75" i="107"/>
  <c r="N75" i="107"/>
  <c r="C76" i="107"/>
  <c r="D76" i="107"/>
  <c r="E76" i="107"/>
  <c r="F76" i="107"/>
  <c r="G76" i="107"/>
  <c r="H76" i="107"/>
  <c r="I76" i="107"/>
  <c r="J76" i="107"/>
  <c r="K76" i="107"/>
  <c r="L76" i="107"/>
  <c r="M76" i="107"/>
  <c r="N76" i="107"/>
  <c r="C77" i="107"/>
  <c r="D77" i="107"/>
  <c r="E77" i="107"/>
  <c r="F77" i="107"/>
  <c r="G77" i="107"/>
  <c r="H77" i="107"/>
  <c r="I77" i="107"/>
  <c r="J77" i="107"/>
  <c r="K77" i="107"/>
  <c r="L77" i="107"/>
  <c r="M77" i="107"/>
  <c r="N77" i="107"/>
  <c r="C78" i="107"/>
  <c r="D78" i="107"/>
  <c r="E78" i="107"/>
  <c r="F78" i="107"/>
  <c r="G78" i="107"/>
  <c r="H78" i="107"/>
  <c r="I78" i="107"/>
  <c r="J78" i="107"/>
  <c r="K78" i="107"/>
  <c r="L78" i="107"/>
  <c r="M78" i="107"/>
  <c r="N78" i="107"/>
  <c r="C79" i="107"/>
  <c r="D79" i="107"/>
  <c r="E79" i="107"/>
  <c r="F79" i="107"/>
  <c r="G79" i="107"/>
  <c r="H79" i="107"/>
  <c r="I79" i="107"/>
  <c r="J79" i="107"/>
  <c r="K79" i="107"/>
  <c r="L79" i="107"/>
  <c r="M79" i="107"/>
  <c r="N79" i="107"/>
  <c r="C80" i="107"/>
  <c r="D80" i="107"/>
  <c r="E80" i="107"/>
  <c r="F80" i="107"/>
  <c r="G80" i="107"/>
  <c r="H80" i="107"/>
  <c r="I80" i="107"/>
  <c r="J80" i="107"/>
  <c r="K80" i="107"/>
  <c r="L80" i="107"/>
  <c r="M80" i="107"/>
  <c r="N80" i="107"/>
  <c r="C81" i="107"/>
  <c r="D81" i="107"/>
  <c r="E81" i="107"/>
  <c r="F81" i="107"/>
  <c r="G81" i="107"/>
  <c r="H81" i="107"/>
  <c r="I81" i="107"/>
  <c r="J81" i="107"/>
  <c r="K81" i="107"/>
  <c r="L81" i="107"/>
  <c r="M81" i="107"/>
  <c r="N81" i="107"/>
  <c r="C82" i="107"/>
  <c r="D82" i="107"/>
  <c r="E82" i="107"/>
  <c r="F82" i="107"/>
  <c r="G82" i="107"/>
  <c r="H82" i="107"/>
  <c r="I82" i="107"/>
  <c r="J82" i="107"/>
  <c r="K82" i="107"/>
  <c r="L82" i="107"/>
  <c r="M82" i="107"/>
  <c r="N82" i="107"/>
  <c r="N82" i="111" s="1"/>
  <c r="C83" i="107"/>
  <c r="D83" i="107"/>
  <c r="E83" i="107"/>
  <c r="F83" i="107"/>
  <c r="G83" i="107"/>
  <c r="H83" i="107"/>
  <c r="I83" i="107"/>
  <c r="J83" i="107"/>
  <c r="K83" i="107"/>
  <c r="L83" i="107"/>
  <c r="M83" i="107"/>
  <c r="N83" i="107"/>
  <c r="C84" i="107"/>
  <c r="D84" i="107"/>
  <c r="E84" i="107"/>
  <c r="F84" i="107"/>
  <c r="G84" i="107"/>
  <c r="H84" i="107"/>
  <c r="I84" i="107"/>
  <c r="J84" i="107"/>
  <c r="K84" i="107"/>
  <c r="L84" i="107"/>
  <c r="M84" i="107"/>
  <c r="N84" i="107"/>
  <c r="C85" i="107"/>
  <c r="D85" i="107"/>
  <c r="E85" i="107"/>
  <c r="F85" i="107"/>
  <c r="G85" i="107"/>
  <c r="H85" i="107"/>
  <c r="I85" i="107"/>
  <c r="J85" i="107"/>
  <c r="K85" i="107"/>
  <c r="L85" i="107"/>
  <c r="M85" i="107"/>
  <c r="N85" i="107"/>
  <c r="C86" i="107"/>
  <c r="D86" i="107"/>
  <c r="E86" i="107"/>
  <c r="F86" i="107"/>
  <c r="G86" i="107"/>
  <c r="H86" i="107"/>
  <c r="I86" i="107"/>
  <c r="J86" i="107"/>
  <c r="K86" i="107"/>
  <c r="L86" i="107"/>
  <c r="M86" i="107"/>
  <c r="N86" i="107"/>
  <c r="C87" i="107"/>
  <c r="D87" i="107"/>
  <c r="E87" i="107"/>
  <c r="F87" i="107"/>
  <c r="G87" i="107"/>
  <c r="H87" i="107"/>
  <c r="I87" i="107"/>
  <c r="J87" i="107"/>
  <c r="K87" i="107"/>
  <c r="L87" i="107"/>
  <c r="M87" i="107"/>
  <c r="N87" i="107"/>
  <c r="C88" i="107"/>
  <c r="D88" i="107"/>
  <c r="E88" i="107"/>
  <c r="F88" i="107"/>
  <c r="G88" i="107"/>
  <c r="H88" i="107"/>
  <c r="I88" i="107"/>
  <c r="J88" i="107"/>
  <c r="K88" i="107"/>
  <c r="L88" i="107"/>
  <c r="M88" i="107"/>
  <c r="N88" i="107"/>
  <c r="C89" i="107"/>
  <c r="D89" i="107"/>
  <c r="E89" i="107"/>
  <c r="F89" i="107"/>
  <c r="G89" i="107"/>
  <c r="H89" i="107"/>
  <c r="I89" i="107"/>
  <c r="J89" i="107"/>
  <c r="K89" i="107"/>
  <c r="L89" i="107"/>
  <c r="M89" i="107"/>
  <c r="N89" i="107"/>
  <c r="C90" i="107"/>
  <c r="D90" i="107"/>
  <c r="E90" i="107"/>
  <c r="F90" i="107"/>
  <c r="G90" i="107"/>
  <c r="H90" i="107"/>
  <c r="I90" i="107"/>
  <c r="J90" i="107"/>
  <c r="K90" i="107"/>
  <c r="L90" i="107"/>
  <c r="M90" i="107"/>
  <c r="N90" i="107"/>
  <c r="C91" i="107"/>
  <c r="D91" i="107"/>
  <c r="E91" i="107"/>
  <c r="F91" i="107"/>
  <c r="G91" i="107"/>
  <c r="H91" i="107"/>
  <c r="I91" i="107"/>
  <c r="J91" i="107"/>
  <c r="K91" i="107"/>
  <c r="L91" i="107"/>
  <c r="M91" i="107"/>
  <c r="N91" i="107"/>
  <c r="C92" i="107"/>
  <c r="D92" i="107"/>
  <c r="E92" i="107"/>
  <c r="F92" i="107"/>
  <c r="G92" i="107"/>
  <c r="H92" i="107"/>
  <c r="I92" i="107"/>
  <c r="J92" i="107"/>
  <c r="K92" i="107"/>
  <c r="L92" i="107"/>
  <c r="M92" i="107"/>
  <c r="N92" i="107"/>
  <c r="C93" i="107"/>
  <c r="D93" i="107"/>
  <c r="E93" i="107"/>
  <c r="F93" i="107"/>
  <c r="G93" i="107"/>
  <c r="H93" i="107"/>
  <c r="I93" i="107"/>
  <c r="J93" i="107"/>
  <c r="K93" i="107"/>
  <c r="L93" i="107"/>
  <c r="M93" i="107"/>
  <c r="N93" i="107"/>
  <c r="C94" i="107"/>
  <c r="D94" i="107"/>
  <c r="E94" i="107"/>
  <c r="F94" i="107"/>
  <c r="G94" i="107"/>
  <c r="H94" i="107"/>
  <c r="I94" i="107"/>
  <c r="J94" i="107"/>
  <c r="K94" i="107"/>
  <c r="L94" i="107"/>
  <c r="M94" i="107"/>
  <c r="N94" i="107"/>
  <c r="C95" i="107"/>
  <c r="D95" i="107"/>
  <c r="E95" i="107"/>
  <c r="F95" i="107"/>
  <c r="G95" i="107"/>
  <c r="H95" i="107"/>
  <c r="I95" i="107"/>
  <c r="J95" i="107"/>
  <c r="K95" i="107"/>
  <c r="L95" i="107"/>
  <c r="M95" i="107"/>
  <c r="N95" i="107"/>
  <c r="C96" i="107"/>
  <c r="D96" i="107"/>
  <c r="E96" i="107"/>
  <c r="F96" i="107"/>
  <c r="G96" i="107"/>
  <c r="H96" i="107"/>
  <c r="I96" i="107"/>
  <c r="J96" i="107"/>
  <c r="K96" i="107"/>
  <c r="L96" i="107"/>
  <c r="M96" i="107"/>
  <c r="N96" i="107"/>
  <c r="C97" i="107"/>
  <c r="D97" i="107"/>
  <c r="E97" i="107"/>
  <c r="F97" i="107"/>
  <c r="G97" i="107"/>
  <c r="H97" i="107"/>
  <c r="I97" i="107"/>
  <c r="J97" i="107"/>
  <c r="K97" i="107"/>
  <c r="L97" i="107"/>
  <c r="M97" i="107"/>
  <c r="N97" i="107"/>
  <c r="C98" i="107"/>
  <c r="D98" i="107"/>
  <c r="E98" i="107"/>
  <c r="F98" i="107"/>
  <c r="G98" i="107"/>
  <c r="H98" i="107"/>
  <c r="I98" i="107"/>
  <c r="J98" i="107"/>
  <c r="K98" i="107"/>
  <c r="L98" i="107"/>
  <c r="M98" i="107"/>
  <c r="N98" i="107"/>
  <c r="C99" i="107"/>
  <c r="D99" i="107"/>
  <c r="E99" i="107"/>
  <c r="F99" i="107"/>
  <c r="G99" i="107"/>
  <c r="H99" i="107"/>
  <c r="I99" i="107"/>
  <c r="J99" i="107"/>
  <c r="K99" i="107"/>
  <c r="L99" i="107"/>
  <c r="M99" i="107"/>
  <c r="N99" i="107"/>
  <c r="C100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C101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C102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C103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C104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C105" i="107"/>
  <c r="D105" i="107"/>
  <c r="E105" i="107"/>
  <c r="F105" i="107"/>
  <c r="G105" i="107"/>
  <c r="H105" i="107"/>
  <c r="I105" i="107"/>
  <c r="O105" i="107" s="1"/>
  <c r="J105" i="107"/>
  <c r="K105" i="107"/>
  <c r="L105" i="107"/>
  <c r="M105" i="107"/>
  <c r="N105" i="107"/>
  <c r="D58" i="107"/>
  <c r="E58" i="107"/>
  <c r="F58" i="107"/>
  <c r="G58" i="107"/>
  <c r="W22" i="107" s="1"/>
  <c r="H58" i="107"/>
  <c r="I58" i="107"/>
  <c r="J58" i="107"/>
  <c r="K58" i="107"/>
  <c r="AA22" i="107" s="1"/>
  <c r="L58" i="107"/>
  <c r="M58" i="107"/>
  <c r="N58" i="107"/>
  <c r="C58" i="107"/>
  <c r="S22" i="107" s="1"/>
  <c r="E59" i="111"/>
  <c r="F59" i="111"/>
  <c r="M59" i="111"/>
  <c r="N59" i="111"/>
  <c r="I60" i="111"/>
  <c r="J60" i="111"/>
  <c r="E61" i="111"/>
  <c r="F61" i="111"/>
  <c r="I61" i="111"/>
  <c r="J61" i="111"/>
  <c r="M61" i="111"/>
  <c r="N61" i="111"/>
  <c r="F62" i="111"/>
  <c r="I62" i="111"/>
  <c r="J62" i="111"/>
  <c r="M62" i="111"/>
  <c r="N62" i="111"/>
  <c r="E63" i="111"/>
  <c r="F63" i="111"/>
  <c r="I63" i="111"/>
  <c r="J63" i="111"/>
  <c r="M63" i="111"/>
  <c r="N63" i="111"/>
  <c r="F64" i="111"/>
  <c r="I64" i="111"/>
  <c r="J64" i="111"/>
  <c r="M64" i="111"/>
  <c r="N64" i="111"/>
  <c r="E65" i="111"/>
  <c r="F65" i="111"/>
  <c r="J65" i="111"/>
  <c r="M65" i="111"/>
  <c r="N65" i="111"/>
  <c r="I66" i="111"/>
  <c r="J66" i="111"/>
  <c r="E67" i="111"/>
  <c r="F67" i="111"/>
  <c r="M67" i="111"/>
  <c r="N67" i="111"/>
  <c r="F68" i="111"/>
  <c r="I68" i="111"/>
  <c r="J68" i="111"/>
  <c r="M68" i="111"/>
  <c r="N68" i="111"/>
  <c r="E69" i="111"/>
  <c r="F69" i="111"/>
  <c r="I69" i="111"/>
  <c r="J69" i="111"/>
  <c r="M69" i="111"/>
  <c r="N69" i="111"/>
  <c r="E70" i="111"/>
  <c r="F70" i="111"/>
  <c r="I70" i="111"/>
  <c r="J70" i="111"/>
  <c r="N70" i="111"/>
  <c r="E71" i="111"/>
  <c r="F71" i="111"/>
  <c r="I71" i="111"/>
  <c r="J71" i="111"/>
  <c r="M71" i="111"/>
  <c r="N71" i="111"/>
  <c r="F72" i="111"/>
  <c r="I72" i="111"/>
  <c r="J72" i="111"/>
  <c r="M72" i="111"/>
  <c r="N72" i="111"/>
  <c r="E73" i="111"/>
  <c r="F73" i="111"/>
  <c r="J73" i="111"/>
  <c r="M73" i="111"/>
  <c r="N73" i="111"/>
  <c r="I74" i="111"/>
  <c r="J74" i="111"/>
  <c r="M74" i="111"/>
  <c r="E75" i="111"/>
  <c r="F75" i="111"/>
  <c r="I75" i="111"/>
  <c r="M75" i="111"/>
  <c r="N75" i="111"/>
  <c r="E76" i="111"/>
  <c r="F76" i="111"/>
  <c r="I76" i="111"/>
  <c r="J76" i="111"/>
  <c r="M76" i="111"/>
  <c r="N76" i="111"/>
  <c r="E77" i="111"/>
  <c r="F77" i="111"/>
  <c r="I77" i="111"/>
  <c r="J77" i="111"/>
  <c r="M77" i="111"/>
  <c r="N77" i="111"/>
  <c r="E78" i="111"/>
  <c r="F78" i="111"/>
  <c r="I78" i="111"/>
  <c r="J78" i="111"/>
  <c r="N78" i="111"/>
  <c r="E79" i="111"/>
  <c r="F79" i="111"/>
  <c r="E81" i="111"/>
  <c r="M83" i="111"/>
  <c r="I86" i="111"/>
  <c r="M86" i="111"/>
  <c r="O88" i="108"/>
  <c r="E89" i="111"/>
  <c r="O89" i="108"/>
  <c r="M91" i="111"/>
  <c r="I94" i="111"/>
  <c r="E97" i="111"/>
  <c r="V32" i="108"/>
  <c r="M99" i="111"/>
  <c r="I102" i="111"/>
  <c r="O104" i="108"/>
  <c r="I104" i="111"/>
  <c r="W22" i="108"/>
  <c r="J58" i="111"/>
  <c r="AA22" i="108"/>
  <c r="C59" i="111"/>
  <c r="D59" i="111"/>
  <c r="G59" i="111"/>
  <c r="H59" i="111"/>
  <c r="K59" i="111"/>
  <c r="L59" i="111"/>
  <c r="C60" i="111"/>
  <c r="D60" i="111"/>
  <c r="G60" i="111"/>
  <c r="H60" i="111"/>
  <c r="K60" i="111"/>
  <c r="L60" i="111"/>
  <c r="C61" i="111"/>
  <c r="D61" i="111"/>
  <c r="G61" i="111"/>
  <c r="H61" i="111"/>
  <c r="K61" i="111"/>
  <c r="L61" i="111"/>
  <c r="C62" i="111"/>
  <c r="D62" i="111"/>
  <c r="G62" i="111"/>
  <c r="H62" i="111"/>
  <c r="K62" i="111"/>
  <c r="L62" i="111"/>
  <c r="C63" i="111"/>
  <c r="D63" i="111"/>
  <c r="G63" i="111"/>
  <c r="H63" i="111"/>
  <c r="K63" i="111"/>
  <c r="L63" i="111"/>
  <c r="C64" i="111"/>
  <c r="D64" i="111"/>
  <c r="G64" i="111"/>
  <c r="H64" i="111"/>
  <c r="K64" i="111"/>
  <c r="L64" i="111"/>
  <c r="C65" i="111"/>
  <c r="D65" i="111"/>
  <c r="G65" i="111"/>
  <c r="H65" i="111"/>
  <c r="K65" i="111"/>
  <c r="L65" i="111"/>
  <c r="C66" i="111"/>
  <c r="D66" i="111"/>
  <c r="G66" i="111"/>
  <c r="H66" i="111"/>
  <c r="K66" i="111"/>
  <c r="L66" i="111"/>
  <c r="C67" i="111"/>
  <c r="D67" i="111"/>
  <c r="G67" i="111"/>
  <c r="H67" i="111"/>
  <c r="K67" i="111"/>
  <c r="L67" i="111"/>
  <c r="C68" i="111"/>
  <c r="D68" i="111"/>
  <c r="G68" i="111"/>
  <c r="H68" i="111"/>
  <c r="K68" i="111"/>
  <c r="L68" i="111"/>
  <c r="C69" i="111"/>
  <c r="D69" i="111"/>
  <c r="G69" i="111"/>
  <c r="H69" i="111"/>
  <c r="K69" i="111"/>
  <c r="L69" i="111"/>
  <c r="C70" i="111"/>
  <c r="D70" i="111"/>
  <c r="G70" i="111"/>
  <c r="H70" i="111"/>
  <c r="K70" i="111"/>
  <c r="AA25" i="111" s="1"/>
  <c r="L70" i="111"/>
  <c r="C71" i="111"/>
  <c r="D71" i="111"/>
  <c r="G71" i="111"/>
  <c r="H71" i="111"/>
  <c r="K71" i="111"/>
  <c r="L71" i="111"/>
  <c r="C72" i="111"/>
  <c r="D72" i="111"/>
  <c r="G72" i="111"/>
  <c r="H72" i="111"/>
  <c r="K72" i="111"/>
  <c r="L72" i="111"/>
  <c r="C73" i="111"/>
  <c r="D73" i="111"/>
  <c r="G73" i="111"/>
  <c r="H73" i="111"/>
  <c r="K73" i="111"/>
  <c r="L73" i="111"/>
  <c r="C74" i="111"/>
  <c r="D74" i="111"/>
  <c r="G74" i="111"/>
  <c r="H74" i="111"/>
  <c r="K74" i="111"/>
  <c r="L74" i="111"/>
  <c r="C75" i="111"/>
  <c r="D75" i="111"/>
  <c r="G75" i="111"/>
  <c r="H75" i="111"/>
  <c r="K75" i="111"/>
  <c r="L75" i="111"/>
  <c r="C76" i="111"/>
  <c r="D76" i="111"/>
  <c r="G76" i="111"/>
  <c r="H76" i="111"/>
  <c r="K76" i="111"/>
  <c r="L76" i="111"/>
  <c r="C77" i="111"/>
  <c r="D77" i="111"/>
  <c r="G77" i="111"/>
  <c r="H77" i="111"/>
  <c r="K77" i="111"/>
  <c r="L77" i="111"/>
  <c r="C78" i="111"/>
  <c r="D78" i="111"/>
  <c r="G78" i="111"/>
  <c r="H78" i="111"/>
  <c r="K78" i="111"/>
  <c r="L78" i="111"/>
  <c r="C79" i="111"/>
  <c r="D79" i="111"/>
  <c r="G79" i="111"/>
  <c r="H79" i="111"/>
  <c r="K79" i="111"/>
  <c r="L79" i="111"/>
  <c r="M79" i="111"/>
  <c r="C80" i="111"/>
  <c r="D80" i="111"/>
  <c r="G80" i="111"/>
  <c r="H80" i="111"/>
  <c r="K80" i="111"/>
  <c r="L80" i="111"/>
  <c r="C81" i="111"/>
  <c r="D81" i="111"/>
  <c r="G81" i="111"/>
  <c r="H81" i="111"/>
  <c r="K81" i="111"/>
  <c r="L81" i="111"/>
  <c r="C82" i="111"/>
  <c r="D82" i="111"/>
  <c r="G82" i="111"/>
  <c r="H82" i="111"/>
  <c r="I82" i="111"/>
  <c r="K82" i="111"/>
  <c r="L82" i="111"/>
  <c r="C83" i="111"/>
  <c r="D83" i="111"/>
  <c r="G83" i="111"/>
  <c r="H83" i="111"/>
  <c r="K83" i="111"/>
  <c r="L83" i="111"/>
  <c r="C84" i="111"/>
  <c r="D84" i="111"/>
  <c r="G84" i="111"/>
  <c r="H84" i="111"/>
  <c r="K84" i="111"/>
  <c r="L84" i="111"/>
  <c r="C85" i="111"/>
  <c r="D85" i="111"/>
  <c r="E85" i="111"/>
  <c r="G85" i="111"/>
  <c r="H85" i="111"/>
  <c r="K85" i="111"/>
  <c r="L85" i="111"/>
  <c r="C86" i="111"/>
  <c r="D86" i="111"/>
  <c r="G86" i="111"/>
  <c r="H86" i="111"/>
  <c r="K86" i="111"/>
  <c r="L86" i="111"/>
  <c r="C87" i="111"/>
  <c r="D87" i="111"/>
  <c r="G87" i="111"/>
  <c r="H87" i="111"/>
  <c r="K87" i="111"/>
  <c r="L87" i="111"/>
  <c r="M87" i="111"/>
  <c r="C88" i="111"/>
  <c r="D88" i="111"/>
  <c r="G88" i="111"/>
  <c r="H88" i="111"/>
  <c r="K88" i="111"/>
  <c r="L88" i="111"/>
  <c r="C89" i="111"/>
  <c r="D89" i="111"/>
  <c r="G89" i="111"/>
  <c r="H89" i="111"/>
  <c r="K89" i="111"/>
  <c r="L89" i="111"/>
  <c r="C90" i="111"/>
  <c r="D90" i="111"/>
  <c r="G90" i="111"/>
  <c r="H90" i="111"/>
  <c r="I90" i="111"/>
  <c r="K90" i="111"/>
  <c r="L90" i="111"/>
  <c r="C91" i="111"/>
  <c r="D91" i="111"/>
  <c r="G91" i="111"/>
  <c r="H91" i="111"/>
  <c r="K91" i="111"/>
  <c r="L91" i="111"/>
  <c r="C92" i="111"/>
  <c r="S30" i="111" s="1"/>
  <c r="D92" i="111"/>
  <c r="G92" i="111"/>
  <c r="H92" i="111"/>
  <c r="K92" i="111"/>
  <c r="L92" i="111"/>
  <c r="C93" i="111"/>
  <c r="D93" i="111"/>
  <c r="E93" i="111"/>
  <c r="G93" i="111"/>
  <c r="H93" i="111"/>
  <c r="K93" i="111"/>
  <c r="L93" i="111"/>
  <c r="C94" i="111"/>
  <c r="D94" i="111"/>
  <c r="G94" i="111"/>
  <c r="H94" i="111"/>
  <c r="K94" i="111"/>
  <c r="L94" i="111"/>
  <c r="C95" i="111"/>
  <c r="D95" i="111"/>
  <c r="G95" i="111"/>
  <c r="H95" i="111"/>
  <c r="K95" i="111"/>
  <c r="L95" i="111"/>
  <c r="M95" i="111"/>
  <c r="C96" i="111"/>
  <c r="D96" i="111"/>
  <c r="G96" i="111"/>
  <c r="H96" i="111"/>
  <c r="K96" i="111"/>
  <c r="L96" i="111"/>
  <c r="C97" i="111"/>
  <c r="D97" i="111"/>
  <c r="G97" i="111"/>
  <c r="H97" i="111"/>
  <c r="K97" i="111"/>
  <c r="L97" i="111"/>
  <c r="C98" i="111"/>
  <c r="D98" i="111"/>
  <c r="G98" i="111"/>
  <c r="H98" i="111"/>
  <c r="I98" i="111"/>
  <c r="K98" i="111"/>
  <c r="L98" i="111"/>
  <c r="C99" i="111"/>
  <c r="D99" i="111"/>
  <c r="G99" i="111"/>
  <c r="H99" i="111"/>
  <c r="K99" i="111"/>
  <c r="L99" i="111"/>
  <c r="C100" i="111"/>
  <c r="D100" i="111"/>
  <c r="G100" i="111"/>
  <c r="H100" i="111"/>
  <c r="K100" i="111"/>
  <c r="L100" i="111"/>
  <c r="C101" i="111"/>
  <c r="D101" i="111"/>
  <c r="E101" i="111"/>
  <c r="G101" i="111"/>
  <c r="H101" i="111"/>
  <c r="K101" i="111"/>
  <c r="L101" i="111"/>
  <c r="C102" i="111"/>
  <c r="D102" i="111"/>
  <c r="G102" i="111"/>
  <c r="H102" i="111"/>
  <c r="K102" i="111"/>
  <c r="L102" i="111"/>
  <c r="C103" i="111"/>
  <c r="D103" i="111"/>
  <c r="G103" i="111"/>
  <c r="H103" i="111"/>
  <c r="K103" i="111"/>
  <c r="L103" i="111"/>
  <c r="M103" i="111"/>
  <c r="C104" i="111"/>
  <c r="D104" i="111"/>
  <c r="G104" i="111"/>
  <c r="H104" i="111"/>
  <c r="K104" i="111"/>
  <c r="L104" i="111"/>
  <c r="D58" i="111"/>
  <c r="E58" i="111"/>
  <c r="H58" i="111"/>
  <c r="I58" i="111"/>
  <c r="L58" i="111"/>
  <c r="M58" i="111"/>
  <c r="AB32" i="108"/>
  <c r="AA32" i="108"/>
  <c r="X32" i="108"/>
  <c r="W32" i="108"/>
  <c r="T32" i="108"/>
  <c r="S32" i="108"/>
  <c r="AB31" i="108"/>
  <c r="AA31" i="108"/>
  <c r="X31" i="108"/>
  <c r="W31" i="108"/>
  <c r="T31" i="108"/>
  <c r="S31" i="108"/>
  <c r="AB30" i="108"/>
  <c r="AA30" i="108"/>
  <c r="X30" i="108"/>
  <c r="W30" i="108"/>
  <c r="V30" i="108"/>
  <c r="T30" i="108"/>
  <c r="S30" i="108"/>
  <c r="AB29" i="108"/>
  <c r="AA29" i="108"/>
  <c r="X29" i="108"/>
  <c r="W29" i="108"/>
  <c r="T29" i="108"/>
  <c r="S29" i="108"/>
  <c r="AB28" i="108"/>
  <c r="AA28" i="108"/>
  <c r="X28" i="108"/>
  <c r="W28" i="108"/>
  <c r="T28" i="108"/>
  <c r="S28" i="108"/>
  <c r="AB27" i="108"/>
  <c r="AA27" i="108"/>
  <c r="X27" i="108"/>
  <c r="W27" i="108"/>
  <c r="U27" i="108"/>
  <c r="T27" i="108"/>
  <c r="S27" i="108"/>
  <c r="AB26" i="108"/>
  <c r="AA26" i="108"/>
  <c r="X26" i="108"/>
  <c r="W26" i="108"/>
  <c r="T26" i="108"/>
  <c r="S26" i="108"/>
  <c r="AB25" i="108"/>
  <c r="AA25" i="108"/>
  <c r="Y25" i="108"/>
  <c r="X25" i="108"/>
  <c r="W25" i="108"/>
  <c r="T25" i="108"/>
  <c r="S25" i="108"/>
  <c r="AB24" i="108"/>
  <c r="AA24" i="108"/>
  <c r="X24" i="108"/>
  <c r="W24" i="108"/>
  <c r="T24" i="108"/>
  <c r="S24" i="108"/>
  <c r="AB23" i="108"/>
  <c r="AA23" i="108"/>
  <c r="X23" i="108"/>
  <c r="W23" i="108"/>
  <c r="T23" i="108"/>
  <c r="S23" i="108"/>
  <c r="AB22" i="108"/>
  <c r="X22" i="108"/>
  <c r="T22" i="108"/>
  <c r="S22" i="108"/>
  <c r="AB33" i="107"/>
  <c r="AA33" i="107"/>
  <c r="Y33" i="107"/>
  <c r="X33" i="107"/>
  <c r="W33" i="107"/>
  <c r="U33" i="107"/>
  <c r="T33" i="107"/>
  <c r="S33" i="107"/>
  <c r="AB32" i="107"/>
  <c r="AA32" i="107"/>
  <c r="X32" i="107"/>
  <c r="W32" i="107"/>
  <c r="T32" i="107"/>
  <c r="S32" i="107"/>
  <c r="AC31" i="107"/>
  <c r="AB31" i="107"/>
  <c r="AA31" i="107"/>
  <c r="X31" i="107"/>
  <c r="W31" i="107"/>
  <c r="U31" i="107"/>
  <c r="T31" i="107"/>
  <c r="S31" i="107"/>
  <c r="AB30" i="107"/>
  <c r="AA30" i="107"/>
  <c r="X30" i="107"/>
  <c r="W30" i="107"/>
  <c r="T30" i="107"/>
  <c r="S30" i="107"/>
  <c r="AC29" i="107"/>
  <c r="AB29" i="107"/>
  <c r="AA29" i="107"/>
  <c r="Y29" i="107"/>
  <c r="X29" i="107"/>
  <c r="W29" i="107"/>
  <c r="U29" i="107"/>
  <c r="T29" i="107"/>
  <c r="S29" i="107"/>
  <c r="AB28" i="107"/>
  <c r="AA28" i="107"/>
  <c r="X28" i="107"/>
  <c r="W28" i="107"/>
  <c r="T28" i="107"/>
  <c r="S28" i="107"/>
  <c r="AC27" i="107"/>
  <c r="AB27" i="107"/>
  <c r="AA27" i="107"/>
  <c r="Y27" i="107"/>
  <c r="X27" i="107"/>
  <c r="W27" i="107"/>
  <c r="U27" i="107"/>
  <c r="T27" i="107"/>
  <c r="S27" i="107"/>
  <c r="AC26" i="107"/>
  <c r="AB26" i="107"/>
  <c r="AA26" i="107"/>
  <c r="Y26" i="107"/>
  <c r="X26" i="107"/>
  <c r="W26" i="107"/>
  <c r="U26" i="107"/>
  <c r="T26" i="107"/>
  <c r="S26" i="107"/>
  <c r="AC25" i="107"/>
  <c r="AB25" i="107"/>
  <c r="AA25" i="107"/>
  <c r="Y25" i="107"/>
  <c r="X25" i="107"/>
  <c r="W25" i="107"/>
  <c r="U25" i="107"/>
  <c r="T25" i="107"/>
  <c r="S25" i="107"/>
  <c r="AC24" i="107"/>
  <c r="AB24" i="107"/>
  <c r="AA24" i="107"/>
  <c r="Y24" i="107"/>
  <c r="X24" i="107"/>
  <c r="W24" i="107"/>
  <c r="U24" i="107"/>
  <c r="T24" i="107"/>
  <c r="S24" i="107"/>
  <c r="AC23" i="107"/>
  <c r="AB23" i="107"/>
  <c r="AA23" i="107"/>
  <c r="Y23" i="107"/>
  <c r="X23" i="107"/>
  <c r="W23" i="107"/>
  <c r="U23" i="107"/>
  <c r="T23" i="107"/>
  <c r="S23" i="107"/>
  <c r="AC22" i="107"/>
  <c r="AB22" i="107"/>
  <c r="Y22" i="107"/>
  <c r="X22" i="107"/>
  <c r="U22" i="107"/>
  <c r="T22" i="107"/>
  <c r="AA30" i="111" l="1"/>
  <c r="T29" i="111"/>
  <c r="W28" i="111"/>
  <c r="W32" i="111"/>
  <c r="AB27" i="111"/>
  <c r="AA32" i="111"/>
  <c r="AA23" i="111"/>
  <c r="T28" i="111"/>
  <c r="P97" i="108"/>
  <c r="O97" i="108"/>
  <c r="P96" i="108"/>
  <c r="O96" i="108"/>
  <c r="U31" i="108"/>
  <c r="AC30" i="108"/>
  <c r="U29" i="108"/>
  <c r="AC28" i="108"/>
  <c r="O81" i="108"/>
  <c r="P81" i="108"/>
  <c r="Y27" i="108"/>
  <c r="I73" i="111"/>
  <c r="P73" i="108"/>
  <c r="E72" i="111"/>
  <c r="U25" i="111" s="1"/>
  <c r="P72" i="108"/>
  <c r="M70" i="111"/>
  <c r="AC25" i="111" s="1"/>
  <c r="AC25" i="108"/>
  <c r="E68" i="111"/>
  <c r="P68" i="108"/>
  <c r="O68" i="108"/>
  <c r="I67" i="111"/>
  <c r="Y24" i="111" s="1"/>
  <c r="Y24" i="108"/>
  <c r="M66" i="111"/>
  <c r="AC24" i="111" s="1"/>
  <c r="AC24" i="108"/>
  <c r="E66" i="111"/>
  <c r="U24" i="108"/>
  <c r="I65" i="111"/>
  <c r="P65" i="108"/>
  <c r="O65" i="108"/>
  <c r="E64" i="111"/>
  <c r="O64" i="111" s="1"/>
  <c r="P64" i="108"/>
  <c r="O64" i="108"/>
  <c r="AC23" i="111"/>
  <c r="E62" i="111"/>
  <c r="U23" i="108"/>
  <c r="M60" i="111"/>
  <c r="AC22" i="108"/>
  <c r="E60" i="111"/>
  <c r="U22" i="108"/>
  <c r="P60" i="108"/>
  <c r="O60" i="108"/>
  <c r="I59" i="111"/>
  <c r="Y22" i="108"/>
  <c r="AC23" i="108"/>
  <c r="AB30" i="111"/>
  <c r="O73" i="108"/>
  <c r="U32" i="108"/>
  <c r="Y31" i="108"/>
  <c r="P89" i="108"/>
  <c r="P104" i="108"/>
  <c r="AC32" i="108"/>
  <c r="AC31" i="108"/>
  <c r="U30" i="108"/>
  <c r="U28" i="108"/>
  <c r="O80" i="108"/>
  <c r="P80" i="108"/>
  <c r="M78" i="111"/>
  <c r="AC27" i="108"/>
  <c r="E74" i="111"/>
  <c r="U26" i="108"/>
  <c r="U25" i="108"/>
  <c r="AC29" i="108"/>
  <c r="I97" i="111"/>
  <c r="O72" i="108"/>
  <c r="N58" i="111"/>
  <c r="F58" i="111"/>
  <c r="P88" i="108"/>
  <c r="C58" i="111"/>
  <c r="S22" i="111" s="1"/>
  <c r="P58" i="107"/>
  <c r="O58" i="107"/>
  <c r="J103" i="111"/>
  <c r="F102" i="111"/>
  <c r="O102" i="111" s="1"/>
  <c r="N100" i="111"/>
  <c r="J99" i="111"/>
  <c r="O99" i="111" s="1"/>
  <c r="F98" i="111"/>
  <c r="N96" i="111"/>
  <c r="J95" i="111"/>
  <c r="F94" i="111"/>
  <c r="N92" i="111"/>
  <c r="J91" i="111"/>
  <c r="Z30" i="111" s="1"/>
  <c r="F90" i="111"/>
  <c r="N88" i="111"/>
  <c r="J87" i="111"/>
  <c r="N86" i="111"/>
  <c r="F86" i="111"/>
  <c r="J85" i="111"/>
  <c r="N84" i="111"/>
  <c r="F84" i="111"/>
  <c r="J83" i="111"/>
  <c r="F82" i="111"/>
  <c r="J81" i="111"/>
  <c r="N80" i="111"/>
  <c r="F80" i="111"/>
  <c r="J79" i="111"/>
  <c r="AD27" i="107"/>
  <c r="V27" i="107"/>
  <c r="AD26" i="107"/>
  <c r="V26" i="107"/>
  <c r="AD25" i="107"/>
  <c r="V25" i="107"/>
  <c r="AD24" i="107"/>
  <c r="V24" i="107"/>
  <c r="AD23" i="107"/>
  <c r="V23" i="107"/>
  <c r="Z22" i="107"/>
  <c r="N104" i="111"/>
  <c r="F104" i="111"/>
  <c r="N102" i="111"/>
  <c r="J101" i="111"/>
  <c r="F100" i="111"/>
  <c r="N98" i="111"/>
  <c r="J97" i="111"/>
  <c r="O97" i="111" s="1"/>
  <c r="F96" i="111"/>
  <c r="N94" i="111"/>
  <c r="J93" i="111"/>
  <c r="F92" i="111"/>
  <c r="N90" i="111"/>
  <c r="J89" i="111"/>
  <c r="F88" i="111"/>
  <c r="Y23" i="108"/>
  <c r="AA28" i="111"/>
  <c r="P105" i="107"/>
  <c r="M104" i="111"/>
  <c r="E104" i="111"/>
  <c r="P104" i="107"/>
  <c r="O104" i="107"/>
  <c r="I103" i="111"/>
  <c r="AC33" i="107"/>
  <c r="M102" i="111"/>
  <c r="E102" i="111"/>
  <c r="E100" i="111"/>
  <c r="P97" i="107"/>
  <c r="M94" i="111"/>
  <c r="E92" i="111"/>
  <c r="I89" i="111"/>
  <c r="E84" i="111"/>
  <c r="O84" i="111" s="1"/>
  <c r="O81" i="107"/>
  <c r="P73" i="107"/>
  <c r="P72" i="107"/>
  <c r="P65" i="107"/>
  <c r="P64" i="107"/>
  <c r="Y29" i="108"/>
  <c r="AD32" i="108"/>
  <c r="AD31" i="108"/>
  <c r="V31" i="108"/>
  <c r="Z30" i="108"/>
  <c r="AD30" i="108"/>
  <c r="AD29" i="108"/>
  <c r="V29" i="108"/>
  <c r="Z28" i="108"/>
  <c r="AD28" i="108"/>
  <c r="V28" i="108"/>
  <c r="J75" i="111"/>
  <c r="Z26" i="108"/>
  <c r="N74" i="111"/>
  <c r="AD26" i="108"/>
  <c r="F74" i="111"/>
  <c r="V26" i="108"/>
  <c r="J67" i="111"/>
  <c r="Z24" i="111" s="1"/>
  <c r="Z24" i="108"/>
  <c r="N66" i="111"/>
  <c r="AD24" i="108"/>
  <c r="F66" i="111"/>
  <c r="V24" i="108"/>
  <c r="N60" i="111"/>
  <c r="F60" i="111"/>
  <c r="V22" i="111" s="1"/>
  <c r="J59" i="111"/>
  <c r="Z22" i="111" s="1"/>
  <c r="P89" i="107"/>
  <c r="I101" i="111"/>
  <c r="M100" i="111"/>
  <c r="I99" i="111"/>
  <c r="AC32" i="107"/>
  <c r="M98" i="111"/>
  <c r="E98" i="111"/>
  <c r="M96" i="111"/>
  <c r="E96" i="111"/>
  <c r="O96" i="111" s="1"/>
  <c r="I95" i="111"/>
  <c r="E94" i="111"/>
  <c r="I93" i="111"/>
  <c r="M92" i="111"/>
  <c r="I91" i="111"/>
  <c r="AC30" i="107"/>
  <c r="M90" i="111"/>
  <c r="E90" i="111"/>
  <c r="P90" i="111" s="1"/>
  <c r="M88" i="111"/>
  <c r="E88" i="111"/>
  <c r="P88" i="111" s="1"/>
  <c r="I87" i="111"/>
  <c r="E86" i="111"/>
  <c r="I85" i="111"/>
  <c r="M84" i="111"/>
  <c r="I83" i="111"/>
  <c r="AC28" i="107"/>
  <c r="M82" i="111"/>
  <c r="E82" i="111"/>
  <c r="P82" i="111" s="1"/>
  <c r="M80" i="111"/>
  <c r="E80" i="111"/>
  <c r="I79" i="111"/>
  <c r="O72" i="107"/>
  <c r="AE25" i="107" s="1"/>
  <c r="P88" i="107"/>
  <c r="AB32" i="111"/>
  <c r="S28" i="111"/>
  <c r="O97" i="107"/>
  <c r="P81" i="107"/>
  <c r="T30" i="111"/>
  <c r="T26" i="111"/>
  <c r="T23" i="111"/>
  <c r="P102" i="108"/>
  <c r="P100" i="108"/>
  <c r="P98" i="108"/>
  <c r="P94" i="108"/>
  <c r="AF31" i="108" s="1"/>
  <c r="P92" i="108"/>
  <c r="P90" i="108"/>
  <c r="P86" i="108"/>
  <c r="P84" i="108"/>
  <c r="P82" i="108"/>
  <c r="P78" i="108"/>
  <c r="P76" i="108"/>
  <c r="P74" i="108"/>
  <c r="P70" i="108"/>
  <c r="P66" i="108"/>
  <c r="P62" i="108"/>
  <c r="P102" i="107"/>
  <c r="P100" i="107"/>
  <c r="P98" i="107"/>
  <c r="P94" i="107"/>
  <c r="P92" i="107"/>
  <c r="P90" i="107"/>
  <c r="P86" i="107"/>
  <c r="P84" i="107"/>
  <c r="P82" i="107"/>
  <c r="P78" i="107"/>
  <c r="P76" i="107"/>
  <c r="P74" i="107"/>
  <c r="P70" i="107"/>
  <c r="P68" i="107"/>
  <c r="P66" i="107"/>
  <c r="P62" i="107"/>
  <c r="P60" i="107"/>
  <c r="O96" i="107"/>
  <c r="O64" i="107"/>
  <c r="P80" i="107"/>
  <c r="W26" i="111"/>
  <c r="W25" i="111"/>
  <c r="W24" i="111"/>
  <c r="S24" i="111"/>
  <c r="Z32" i="108"/>
  <c r="O89" i="107"/>
  <c r="Y31" i="107"/>
  <c r="T32" i="111"/>
  <c r="X29" i="111"/>
  <c r="I81" i="111"/>
  <c r="O88" i="107"/>
  <c r="S32" i="111"/>
  <c r="X31" i="111"/>
  <c r="AB28" i="111"/>
  <c r="P77" i="108"/>
  <c r="O59" i="108"/>
  <c r="AB26" i="111"/>
  <c r="AB24" i="111"/>
  <c r="P58" i="108"/>
  <c r="O58" i="108"/>
  <c r="P103" i="108"/>
  <c r="P101" i="108"/>
  <c r="P99" i="108"/>
  <c r="P95" i="108"/>
  <c r="P93" i="108"/>
  <c r="P91" i="108"/>
  <c r="P87" i="108"/>
  <c r="P85" i="108"/>
  <c r="P83" i="108"/>
  <c r="P79" i="108"/>
  <c r="P75" i="108"/>
  <c r="P71" i="108"/>
  <c r="P67" i="108"/>
  <c r="P63" i="108"/>
  <c r="P59" i="108"/>
  <c r="P103" i="107"/>
  <c r="P101" i="107"/>
  <c r="P99" i="107"/>
  <c r="P95" i="107"/>
  <c r="P93" i="107"/>
  <c r="P91" i="107"/>
  <c r="P87" i="107"/>
  <c r="P85" i="107"/>
  <c r="P83" i="107"/>
  <c r="P79" i="107"/>
  <c r="P77" i="107"/>
  <c r="P75" i="107"/>
  <c r="P71" i="107"/>
  <c r="P69" i="107"/>
  <c r="P67" i="107"/>
  <c r="P63" i="107"/>
  <c r="P61" i="107"/>
  <c r="P59" i="107"/>
  <c r="O80" i="107"/>
  <c r="P96" i="107"/>
  <c r="AF31" i="107" s="1"/>
  <c r="AB31" i="111"/>
  <c r="X30" i="111"/>
  <c r="O103" i="108"/>
  <c r="O95" i="108"/>
  <c r="O87" i="108"/>
  <c r="O79" i="108"/>
  <c r="O71" i="108"/>
  <c r="O63" i="108"/>
  <c r="O103" i="107"/>
  <c r="O95" i="107"/>
  <c r="O87" i="107"/>
  <c r="O79" i="107"/>
  <c r="O71" i="107"/>
  <c r="O63" i="107"/>
  <c r="W30" i="111"/>
  <c r="O102" i="108"/>
  <c r="O94" i="108"/>
  <c r="O86" i="108"/>
  <c r="AE29" i="108" s="1"/>
  <c r="O78" i="108"/>
  <c r="O70" i="108"/>
  <c r="O62" i="108"/>
  <c r="O102" i="107"/>
  <c r="O94" i="107"/>
  <c r="O86" i="107"/>
  <c r="O78" i="107"/>
  <c r="O70" i="107"/>
  <c r="O62" i="107"/>
  <c r="AE23" i="107" s="1"/>
  <c r="Z31" i="108"/>
  <c r="Z29" i="108"/>
  <c r="O101" i="108"/>
  <c r="O93" i="108"/>
  <c r="O85" i="108"/>
  <c r="O77" i="108"/>
  <c r="O69" i="108"/>
  <c r="O61" i="108"/>
  <c r="P69" i="108"/>
  <c r="P61" i="108"/>
  <c r="J104" i="111"/>
  <c r="N103" i="111"/>
  <c r="F103" i="111"/>
  <c r="J102" i="111"/>
  <c r="N101" i="111"/>
  <c r="F101" i="111"/>
  <c r="J100" i="111"/>
  <c r="N99" i="111"/>
  <c r="F99" i="111"/>
  <c r="J98" i="111"/>
  <c r="N97" i="111"/>
  <c r="F97" i="111"/>
  <c r="J96" i="111"/>
  <c r="Z31" i="111" s="1"/>
  <c r="N95" i="111"/>
  <c r="F95" i="111"/>
  <c r="J94" i="111"/>
  <c r="N93" i="111"/>
  <c r="F93" i="111"/>
  <c r="P93" i="111" s="1"/>
  <c r="J92" i="111"/>
  <c r="O92" i="111" s="1"/>
  <c r="N91" i="111"/>
  <c r="F91" i="111"/>
  <c r="J90" i="111"/>
  <c r="N89" i="111"/>
  <c r="F89" i="111"/>
  <c r="J88" i="111"/>
  <c r="N87" i="111"/>
  <c r="F87" i="111"/>
  <c r="V29" i="111" s="1"/>
  <c r="J86" i="111"/>
  <c r="N85" i="111"/>
  <c r="F85" i="111"/>
  <c r="J84" i="111"/>
  <c r="N83" i="111"/>
  <c r="F83" i="111"/>
  <c r="J82" i="111"/>
  <c r="N81" i="111"/>
  <c r="F81" i="111"/>
  <c r="J80" i="111"/>
  <c r="N79" i="111"/>
  <c r="Z27" i="107"/>
  <c r="Z26" i="107"/>
  <c r="Z25" i="107"/>
  <c r="Z24" i="107"/>
  <c r="Z23" i="107"/>
  <c r="AD22" i="107"/>
  <c r="V22" i="107"/>
  <c r="O101" i="107"/>
  <c r="O93" i="107"/>
  <c r="O85" i="107"/>
  <c r="O77" i="107"/>
  <c r="O69" i="107"/>
  <c r="O61" i="107"/>
  <c r="Y32" i="108"/>
  <c r="Y30" i="108"/>
  <c r="Y28" i="108"/>
  <c r="Y25" i="111"/>
  <c r="Y23" i="111"/>
  <c r="O100" i="108"/>
  <c r="O92" i="108"/>
  <c r="O84" i="108"/>
  <c r="O76" i="108"/>
  <c r="E103" i="111"/>
  <c r="O103" i="111" s="1"/>
  <c r="M101" i="111"/>
  <c r="I100" i="111"/>
  <c r="O100" i="111" s="1"/>
  <c r="E99" i="111"/>
  <c r="Y32" i="107"/>
  <c r="M97" i="111"/>
  <c r="I96" i="111"/>
  <c r="Y31" i="111" s="1"/>
  <c r="E95" i="111"/>
  <c r="M93" i="111"/>
  <c r="I92" i="111"/>
  <c r="E91" i="111"/>
  <c r="Y30" i="107"/>
  <c r="M89" i="111"/>
  <c r="I88" i="111"/>
  <c r="Y29" i="111" s="1"/>
  <c r="E87" i="111"/>
  <c r="O87" i="111" s="1"/>
  <c r="M85" i="111"/>
  <c r="I84" i="111"/>
  <c r="E83" i="111"/>
  <c r="M81" i="111"/>
  <c r="AC27" i="111" s="1"/>
  <c r="I80" i="111"/>
  <c r="O100" i="107"/>
  <c r="O92" i="107"/>
  <c r="O84" i="107"/>
  <c r="O76" i="107"/>
  <c r="O68" i="107"/>
  <c r="O60" i="107"/>
  <c r="X32" i="111"/>
  <c r="T31" i="111"/>
  <c r="AB29" i="111"/>
  <c r="X28" i="111"/>
  <c r="O99" i="108"/>
  <c r="O91" i="108"/>
  <c r="O83" i="108"/>
  <c r="O75" i="108"/>
  <c r="O67" i="108"/>
  <c r="O99" i="107"/>
  <c r="O91" i="107"/>
  <c r="O83" i="107"/>
  <c r="O75" i="107"/>
  <c r="O67" i="107"/>
  <c r="O59" i="107"/>
  <c r="O98" i="108"/>
  <c r="O90" i="108"/>
  <c r="O82" i="108"/>
  <c r="O74" i="108"/>
  <c r="O66" i="108"/>
  <c r="O98" i="107"/>
  <c r="O90" i="107"/>
  <c r="O82" i="107"/>
  <c r="O74" i="107"/>
  <c r="O66" i="107"/>
  <c r="AE24" i="107" s="1"/>
  <c r="AD29" i="107"/>
  <c r="Z31" i="107"/>
  <c r="AD33" i="107"/>
  <c r="U27" i="111"/>
  <c r="AD24" i="111"/>
  <c r="V24" i="111"/>
  <c r="V29" i="107"/>
  <c r="V31" i="107"/>
  <c r="V33" i="107"/>
  <c r="O70" i="111"/>
  <c r="U28" i="107"/>
  <c r="Y28" i="107"/>
  <c r="U30" i="107"/>
  <c r="U32" i="107"/>
  <c r="Z29" i="107"/>
  <c r="AD31" i="107"/>
  <c r="Z33" i="107"/>
  <c r="AC29" i="111"/>
  <c r="O78" i="111"/>
  <c r="O62" i="111"/>
  <c r="V28" i="107"/>
  <c r="Z28" i="107"/>
  <c r="AD28" i="107"/>
  <c r="V30" i="107"/>
  <c r="Z30" i="107"/>
  <c r="AD30" i="107"/>
  <c r="V32" i="107"/>
  <c r="Z32" i="107"/>
  <c r="AD32" i="107"/>
  <c r="AA26" i="111"/>
  <c r="O71" i="111"/>
  <c r="AA24" i="111"/>
  <c r="W23" i="111"/>
  <c r="T27" i="111"/>
  <c r="X27" i="111"/>
  <c r="O75" i="111"/>
  <c r="X26" i="111"/>
  <c r="AB25" i="111"/>
  <c r="T25" i="111"/>
  <c r="X25" i="111"/>
  <c r="T24" i="111"/>
  <c r="X24" i="111"/>
  <c r="AB23" i="111"/>
  <c r="X23" i="111"/>
  <c r="AD32" i="111"/>
  <c r="V30" i="111"/>
  <c r="AD28" i="111"/>
  <c r="V26" i="111"/>
  <c r="Z25" i="111"/>
  <c r="AD23" i="111"/>
  <c r="P79" i="111"/>
  <c r="O73" i="111"/>
  <c r="O65" i="111"/>
  <c r="P63" i="111"/>
  <c r="O74" i="111"/>
  <c r="P73" i="111"/>
  <c r="AC26" i="111"/>
  <c r="Y26" i="111"/>
  <c r="U26" i="111"/>
  <c r="U24" i="111"/>
  <c r="P74" i="111"/>
  <c r="V27" i="111"/>
  <c r="Z26" i="111"/>
  <c r="AD25" i="111"/>
  <c r="V23" i="111"/>
  <c r="U32" i="111"/>
  <c r="P75" i="111"/>
  <c r="O69" i="111"/>
  <c r="O61" i="111"/>
  <c r="O66" i="111"/>
  <c r="P65" i="111"/>
  <c r="V23" i="108"/>
  <c r="Z23" i="108"/>
  <c r="AD23" i="108"/>
  <c r="V25" i="108"/>
  <c r="Z25" i="108"/>
  <c r="AD25" i="108"/>
  <c r="V27" i="108"/>
  <c r="Z27" i="108"/>
  <c r="AD27" i="108"/>
  <c r="T22" i="111"/>
  <c r="S25" i="111"/>
  <c r="O63" i="111"/>
  <c r="P78" i="111"/>
  <c r="P62" i="111"/>
  <c r="AD30" i="111"/>
  <c r="V28" i="111"/>
  <c r="AD26" i="111"/>
  <c r="V25" i="111"/>
  <c r="Z23" i="111"/>
  <c r="X22" i="111"/>
  <c r="Y30" i="111"/>
  <c r="Y28" i="111"/>
  <c r="O77" i="111"/>
  <c r="P71" i="111"/>
  <c r="O82" i="111"/>
  <c r="AD22" i="111"/>
  <c r="Y26" i="108"/>
  <c r="AC26" i="108"/>
  <c r="S23" i="111"/>
  <c r="S26" i="111"/>
  <c r="AB22" i="111"/>
  <c r="P99" i="111"/>
  <c r="AA31" i="111"/>
  <c r="W31" i="111"/>
  <c r="S31" i="111"/>
  <c r="O93" i="111"/>
  <c r="AA29" i="111"/>
  <c r="W29" i="111"/>
  <c r="S29" i="111"/>
  <c r="S27" i="111"/>
  <c r="AA27" i="111"/>
  <c r="W27" i="111"/>
  <c r="O76" i="111"/>
  <c r="P76" i="111"/>
  <c r="O68" i="111"/>
  <c r="P68" i="111"/>
  <c r="P101" i="111"/>
  <c r="P77" i="111"/>
  <c r="P69" i="111"/>
  <c r="P61" i="111"/>
  <c r="V22" i="108"/>
  <c r="Z22" i="108"/>
  <c r="AD22" i="108"/>
  <c r="K58" i="111"/>
  <c r="AA22" i="111" s="1"/>
  <c r="G58" i="111"/>
  <c r="W22" i="111" s="1"/>
  <c r="AC22" i="111"/>
  <c r="Y22" i="111"/>
  <c r="U22" i="111"/>
  <c r="U28" i="111" l="1"/>
  <c r="O59" i="111"/>
  <c r="AC28" i="111"/>
  <c r="O98" i="111"/>
  <c r="O60" i="111"/>
  <c r="AF27" i="108"/>
  <c r="AC30" i="111"/>
  <c r="AC31" i="111"/>
  <c r="P70" i="111"/>
  <c r="U30" i="111"/>
  <c r="Z28" i="111"/>
  <c r="O89" i="111"/>
  <c r="P95" i="111"/>
  <c r="Z32" i="111"/>
  <c r="O80" i="111"/>
  <c r="AE27" i="111" s="1"/>
  <c r="P86" i="111"/>
  <c r="P97" i="111"/>
  <c r="O88" i="111"/>
  <c r="P83" i="111"/>
  <c r="AF28" i="111" s="1"/>
  <c r="AC32" i="111"/>
  <c r="AD27" i="111"/>
  <c r="O85" i="111"/>
  <c r="O90" i="111"/>
  <c r="AE30" i="111" s="1"/>
  <c r="O101" i="111"/>
  <c r="AE32" i="111" s="1"/>
  <c r="Z27" i="111"/>
  <c r="Z29" i="111"/>
  <c r="V32" i="111"/>
  <c r="P94" i="111"/>
  <c r="AF31" i="111" s="1"/>
  <c r="P92" i="111"/>
  <c r="P103" i="111"/>
  <c r="P66" i="111"/>
  <c r="P96" i="111"/>
  <c r="AE27" i="107"/>
  <c r="AE22" i="107"/>
  <c r="O94" i="111"/>
  <c r="P72" i="111"/>
  <c r="O81" i="111"/>
  <c r="P104" i="111"/>
  <c r="AD29" i="111"/>
  <c r="AE23" i="111"/>
  <c r="P81" i="111"/>
  <c r="AE30" i="107"/>
  <c r="AF28" i="108"/>
  <c r="AF29" i="108"/>
  <c r="Y27" i="111"/>
  <c r="AE31" i="108"/>
  <c r="AE31" i="107"/>
  <c r="O86" i="111"/>
  <c r="P89" i="111"/>
  <c r="AF32" i="107"/>
  <c r="AF22" i="107"/>
  <c r="O72" i="111"/>
  <c r="P87" i="111"/>
  <c r="P100" i="111"/>
  <c r="O104" i="111"/>
  <c r="O79" i="111"/>
  <c r="Y32" i="111"/>
  <c r="O95" i="111"/>
  <c r="O91" i="111"/>
  <c r="O83" i="111"/>
  <c r="AE28" i="111" s="1"/>
  <c r="AE26" i="107"/>
  <c r="AE26" i="108"/>
  <c r="AF28" i="107"/>
  <c r="AF22" i="108"/>
  <c r="AF24" i="107"/>
  <c r="AF29" i="107"/>
  <c r="AF24" i="108"/>
  <c r="U29" i="111"/>
  <c r="AE33" i="107"/>
  <c r="O67" i="111"/>
  <c r="AE24" i="111" s="1"/>
  <c r="P60" i="111"/>
  <c r="P59" i="111"/>
  <c r="P98" i="111"/>
  <c r="AE24" i="108"/>
  <c r="AF30" i="107"/>
  <c r="AF30" i="108"/>
  <c r="AF33" i="107"/>
  <c r="U23" i="111"/>
  <c r="P84" i="111"/>
  <c r="P67" i="111"/>
  <c r="AD31" i="111"/>
  <c r="AE30" i="108"/>
  <c r="U31" i="111"/>
  <c r="AF23" i="107"/>
  <c r="AE25" i="108"/>
  <c r="AE22" i="108"/>
  <c r="AE32" i="108"/>
  <c r="V31" i="111"/>
  <c r="P85" i="111"/>
  <c r="P64" i="111"/>
  <c r="AF23" i="111" s="1"/>
  <c r="P80" i="111"/>
  <c r="P102" i="111"/>
  <c r="AE32" i="107"/>
  <c r="AE28" i="108"/>
  <c r="AF27" i="107"/>
  <c r="AF26" i="107"/>
  <c r="AF25" i="107"/>
  <c r="AE23" i="108"/>
  <c r="P91" i="111"/>
  <c r="AE28" i="107"/>
  <c r="AE29" i="107"/>
  <c r="AF26" i="108"/>
  <c r="AF32" i="108"/>
  <c r="AE27" i="108"/>
  <c r="AF23" i="108"/>
  <c r="AF25" i="108"/>
  <c r="AE25" i="111"/>
  <c r="AE26" i="111"/>
  <c r="AF27" i="111"/>
  <c r="AF25" i="111"/>
  <c r="AF26" i="111"/>
  <c r="AF30" i="111"/>
  <c r="P58" i="111"/>
  <c r="O58" i="111"/>
  <c r="AE22" i="111" s="1"/>
  <c r="AF22" i="111" l="1"/>
  <c r="AF29" i="111"/>
  <c r="AE31" i="111"/>
  <c r="AF32" i="111"/>
  <c r="AF24" i="111"/>
  <c r="AE29" i="111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U11" i="108" s="1"/>
  <c r="F14" i="108"/>
  <c r="G14" i="108"/>
  <c r="H14" i="108"/>
  <c r="I14" i="108"/>
  <c r="J14" i="108"/>
  <c r="K14" i="108"/>
  <c r="L14" i="108"/>
  <c r="M14" i="108"/>
  <c r="AC11" i="108" s="1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AC12" i="108" s="1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U13" i="108" s="1"/>
  <c r="F22" i="108"/>
  <c r="G22" i="108"/>
  <c r="H22" i="108"/>
  <c r="I22" i="108"/>
  <c r="J22" i="108"/>
  <c r="K22" i="108"/>
  <c r="L22" i="108"/>
  <c r="M22" i="108"/>
  <c r="AC13" i="108" s="1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U19" i="108" s="1"/>
  <c r="F46" i="108"/>
  <c r="G46" i="108"/>
  <c r="H46" i="108"/>
  <c r="I46" i="108"/>
  <c r="J46" i="108"/>
  <c r="K46" i="108"/>
  <c r="L46" i="108"/>
  <c r="M46" i="108"/>
  <c r="AC19" i="108" s="1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AC21" i="108" s="1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E10" i="108"/>
  <c r="F10" i="108"/>
  <c r="G10" i="108"/>
  <c r="H10" i="108"/>
  <c r="I10" i="108"/>
  <c r="J10" i="108"/>
  <c r="K10" i="108"/>
  <c r="L10" i="108"/>
  <c r="M10" i="108"/>
  <c r="N10" i="108"/>
  <c r="C10" i="108"/>
  <c r="C11" i="107"/>
  <c r="C11" i="111" s="1"/>
  <c r="D11" i="107"/>
  <c r="D11" i="111" s="1"/>
  <c r="E11" i="107"/>
  <c r="E11" i="111" s="1"/>
  <c r="F11" i="107"/>
  <c r="F11" i="111" s="1"/>
  <c r="G11" i="107"/>
  <c r="G11" i="111" s="1"/>
  <c r="H11" i="107"/>
  <c r="H11" i="111" s="1"/>
  <c r="I11" i="107"/>
  <c r="I11" i="111" s="1"/>
  <c r="J11" i="107"/>
  <c r="J11" i="111" s="1"/>
  <c r="K11" i="107"/>
  <c r="K11" i="111" s="1"/>
  <c r="L11" i="107"/>
  <c r="L11" i="111" s="1"/>
  <c r="M11" i="107"/>
  <c r="M11" i="111" s="1"/>
  <c r="N11" i="107"/>
  <c r="N11" i="111" s="1"/>
  <c r="C12" i="107"/>
  <c r="C12" i="111" s="1"/>
  <c r="D12" i="107"/>
  <c r="D12" i="111" s="1"/>
  <c r="E12" i="107"/>
  <c r="E12" i="111" s="1"/>
  <c r="F12" i="107"/>
  <c r="F12" i="111" s="1"/>
  <c r="G12" i="107"/>
  <c r="G12" i="111" s="1"/>
  <c r="H12" i="107"/>
  <c r="H12" i="111" s="1"/>
  <c r="I12" i="107"/>
  <c r="I12" i="111" s="1"/>
  <c r="J12" i="107"/>
  <c r="J12" i="111" s="1"/>
  <c r="K12" i="107"/>
  <c r="K12" i="111" s="1"/>
  <c r="L12" i="107"/>
  <c r="L12" i="111" s="1"/>
  <c r="M12" i="107"/>
  <c r="M12" i="111" s="1"/>
  <c r="N12" i="107"/>
  <c r="N12" i="111" s="1"/>
  <c r="C13" i="107"/>
  <c r="C13" i="111" s="1"/>
  <c r="D13" i="107"/>
  <c r="D13" i="111" s="1"/>
  <c r="E13" i="107"/>
  <c r="E13" i="111" s="1"/>
  <c r="F13" i="107"/>
  <c r="F13" i="111" s="1"/>
  <c r="G13" i="107"/>
  <c r="G13" i="111" s="1"/>
  <c r="H13" i="107"/>
  <c r="H13" i="111" s="1"/>
  <c r="I13" i="107"/>
  <c r="I13" i="111" s="1"/>
  <c r="J13" i="107"/>
  <c r="J13" i="111" s="1"/>
  <c r="K13" i="107"/>
  <c r="K13" i="111" s="1"/>
  <c r="L13" i="107"/>
  <c r="L13" i="111" s="1"/>
  <c r="M13" i="107"/>
  <c r="M13" i="111" s="1"/>
  <c r="N13" i="107"/>
  <c r="N13" i="111" s="1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C15" i="111" s="1"/>
  <c r="D15" i="107"/>
  <c r="D15" i="111" s="1"/>
  <c r="E15" i="107"/>
  <c r="E15" i="111" s="1"/>
  <c r="F15" i="107"/>
  <c r="F15" i="111" s="1"/>
  <c r="G15" i="107"/>
  <c r="G15" i="111" s="1"/>
  <c r="H15" i="107"/>
  <c r="H15" i="111" s="1"/>
  <c r="I15" i="107"/>
  <c r="I15" i="111" s="1"/>
  <c r="J15" i="107"/>
  <c r="J15" i="111" s="1"/>
  <c r="K15" i="107"/>
  <c r="K15" i="111" s="1"/>
  <c r="L15" i="107"/>
  <c r="L15" i="111" s="1"/>
  <c r="M15" i="107"/>
  <c r="M15" i="111" s="1"/>
  <c r="N15" i="107"/>
  <c r="N15" i="111" s="1"/>
  <c r="C16" i="107"/>
  <c r="C16" i="111" s="1"/>
  <c r="D16" i="107"/>
  <c r="D16" i="111" s="1"/>
  <c r="E16" i="107"/>
  <c r="E16" i="111" s="1"/>
  <c r="F16" i="107"/>
  <c r="F16" i="111" s="1"/>
  <c r="G16" i="107"/>
  <c r="G16" i="111" s="1"/>
  <c r="H16" i="107"/>
  <c r="H16" i="111" s="1"/>
  <c r="I16" i="107"/>
  <c r="I16" i="111" s="1"/>
  <c r="J16" i="107"/>
  <c r="J16" i="111" s="1"/>
  <c r="K16" i="107"/>
  <c r="K16" i="111" s="1"/>
  <c r="L16" i="107"/>
  <c r="L16" i="111" s="1"/>
  <c r="M16" i="107"/>
  <c r="M16" i="111" s="1"/>
  <c r="N16" i="107"/>
  <c r="N16" i="111" s="1"/>
  <c r="C17" i="107"/>
  <c r="C17" i="111" s="1"/>
  <c r="D17" i="107"/>
  <c r="D17" i="111" s="1"/>
  <c r="E17" i="107"/>
  <c r="E17" i="111" s="1"/>
  <c r="F17" i="107"/>
  <c r="F17" i="111" s="1"/>
  <c r="G17" i="107"/>
  <c r="G17" i="111" s="1"/>
  <c r="H17" i="107"/>
  <c r="H17" i="111" s="1"/>
  <c r="I17" i="107"/>
  <c r="I17" i="111" s="1"/>
  <c r="J17" i="107"/>
  <c r="J17" i="111" s="1"/>
  <c r="K17" i="107"/>
  <c r="K17" i="111" s="1"/>
  <c r="L17" i="107"/>
  <c r="L17" i="111" s="1"/>
  <c r="M17" i="107"/>
  <c r="M17" i="111" s="1"/>
  <c r="N17" i="107"/>
  <c r="N17" i="111" s="1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C19" i="111" s="1"/>
  <c r="D19" i="107"/>
  <c r="D19" i="111" s="1"/>
  <c r="E19" i="107"/>
  <c r="E19" i="111" s="1"/>
  <c r="F19" i="107"/>
  <c r="F19" i="111" s="1"/>
  <c r="G19" i="107"/>
  <c r="G19" i="111" s="1"/>
  <c r="H19" i="107"/>
  <c r="H19" i="111" s="1"/>
  <c r="I19" i="107"/>
  <c r="I19" i="111" s="1"/>
  <c r="J19" i="107"/>
  <c r="J19" i="111" s="1"/>
  <c r="K19" i="107"/>
  <c r="K19" i="111" s="1"/>
  <c r="L19" i="107"/>
  <c r="L19" i="111" s="1"/>
  <c r="M19" i="107"/>
  <c r="M19" i="111" s="1"/>
  <c r="N19" i="107"/>
  <c r="N19" i="111" s="1"/>
  <c r="C20" i="107"/>
  <c r="C20" i="111" s="1"/>
  <c r="D20" i="107"/>
  <c r="D20" i="111" s="1"/>
  <c r="E20" i="107"/>
  <c r="E20" i="111" s="1"/>
  <c r="F20" i="107"/>
  <c r="F20" i="111" s="1"/>
  <c r="G20" i="107"/>
  <c r="G20" i="111" s="1"/>
  <c r="H20" i="107"/>
  <c r="H20" i="111" s="1"/>
  <c r="I20" i="107"/>
  <c r="I20" i="111" s="1"/>
  <c r="J20" i="107"/>
  <c r="J20" i="111" s="1"/>
  <c r="K20" i="107"/>
  <c r="K20" i="111" s="1"/>
  <c r="L20" i="107"/>
  <c r="L20" i="111" s="1"/>
  <c r="M20" i="107"/>
  <c r="M20" i="111" s="1"/>
  <c r="N20" i="107"/>
  <c r="N20" i="111" s="1"/>
  <c r="C21" i="107"/>
  <c r="C21" i="111" s="1"/>
  <c r="D21" i="107"/>
  <c r="D21" i="111" s="1"/>
  <c r="E21" i="107"/>
  <c r="E21" i="111" s="1"/>
  <c r="F21" i="107"/>
  <c r="F21" i="111" s="1"/>
  <c r="G21" i="107"/>
  <c r="G21" i="111" s="1"/>
  <c r="H21" i="107"/>
  <c r="H21" i="111" s="1"/>
  <c r="I21" i="107"/>
  <c r="I21" i="111" s="1"/>
  <c r="J21" i="107"/>
  <c r="J21" i="111" s="1"/>
  <c r="K21" i="107"/>
  <c r="K21" i="111" s="1"/>
  <c r="L21" i="107"/>
  <c r="L21" i="111" s="1"/>
  <c r="M21" i="107"/>
  <c r="M21" i="111" s="1"/>
  <c r="N21" i="107"/>
  <c r="N21" i="111" s="1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C23" i="111" s="1"/>
  <c r="D23" i="107"/>
  <c r="D23" i="111" s="1"/>
  <c r="E23" i="107"/>
  <c r="E23" i="111" s="1"/>
  <c r="F23" i="107"/>
  <c r="F23" i="111" s="1"/>
  <c r="G23" i="107"/>
  <c r="G23" i="111" s="1"/>
  <c r="H23" i="107"/>
  <c r="H23" i="111" s="1"/>
  <c r="I23" i="107"/>
  <c r="I23" i="111" s="1"/>
  <c r="J23" i="107"/>
  <c r="J23" i="111" s="1"/>
  <c r="K23" i="107"/>
  <c r="K23" i="111" s="1"/>
  <c r="L23" i="107"/>
  <c r="L23" i="111" s="1"/>
  <c r="M23" i="107"/>
  <c r="M23" i="111" s="1"/>
  <c r="N23" i="107"/>
  <c r="N23" i="111" s="1"/>
  <c r="C24" i="107"/>
  <c r="C24" i="111" s="1"/>
  <c r="D24" i="107"/>
  <c r="D24" i="111" s="1"/>
  <c r="E24" i="107"/>
  <c r="E24" i="111" s="1"/>
  <c r="F24" i="107"/>
  <c r="F24" i="111" s="1"/>
  <c r="G24" i="107"/>
  <c r="G24" i="111" s="1"/>
  <c r="H24" i="107"/>
  <c r="H24" i="111" s="1"/>
  <c r="I24" i="107"/>
  <c r="I24" i="111" s="1"/>
  <c r="J24" i="107"/>
  <c r="J24" i="111" s="1"/>
  <c r="K24" i="107"/>
  <c r="K24" i="111" s="1"/>
  <c r="L24" i="107"/>
  <c r="L24" i="111" s="1"/>
  <c r="M24" i="107"/>
  <c r="M24" i="111" s="1"/>
  <c r="N24" i="107"/>
  <c r="N24" i="111" s="1"/>
  <c r="C25" i="107"/>
  <c r="C25" i="111" s="1"/>
  <c r="D25" i="107"/>
  <c r="D25" i="111" s="1"/>
  <c r="E25" i="107"/>
  <c r="E25" i="111" s="1"/>
  <c r="F25" i="107"/>
  <c r="F25" i="111" s="1"/>
  <c r="G25" i="107"/>
  <c r="G25" i="111" s="1"/>
  <c r="H25" i="107"/>
  <c r="H25" i="111" s="1"/>
  <c r="I25" i="107"/>
  <c r="I25" i="111" s="1"/>
  <c r="J25" i="107"/>
  <c r="J25" i="111" s="1"/>
  <c r="K25" i="107"/>
  <c r="K25" i="111" s="1"/>
  <c r="L25" i="107"/>
  <c r="L25" i="111" s="1"/>
  <c r="M25" i="107"/>
  <c r="M25" i="111" s="1"/>
  <c r="N25" i="107"/>
  <c r="N25" i="111" s="1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C27" i="111" s="1"/>
  <c r="D27" i="107"/>
  <c r="D27" i="111" s="1"/>
  <c r="E27" i="107"/>
  <c r="E27" i="111" s="1"/>
  <c r="F27" i="107"/>
  <c r="F27" i="111" s="1"/>
  <c r="G27" i="107"/>
  <c r="G27" i="111" s="1"/>
  <c r="H27" i="107"/>
  <c r="H27" i="111" s="1"/>
  <c r="I27" i="107"/>
  <c r="I27" i="111" s="1"/>
  <c r="J27" i="107"/>
  <c r="J27" i="111" s="1"/>
  <c r="K27" i="107"/>
  <c r="K27" i="111" s="1"/>
  <c r="L27" i="107"/>
  <c r="L27" i="111" s="1"/>
  <c r="M27" i="107"/>
  <c r="M27" i="111" s="1"/>
  <c r="N27" i="107"/>
  <c r="N27" i="111" s="1"/>
  <c r="C28" i="107"/>
  <c r="C28" i="111" s="1"/>
  <c r="D28" i="107"/>
  <c r="D28" i="111" s="1"/>
  <c r="E28" i="107"/>
  <c r="E28" i="111" s="1"/>
  <c r="F28" i="107"/>
  <c r="F28" i="111" s="1"/>
  <c r="G28" i="107"/>
  <c r="G28" i="111" s="1"/>
  <c r="H28" i="107"/>
  <c r="H28" i="111" s="1"/>
  <c r="I28" i="107"/>
  <c r="I28" i="111" s="1"/>
  <c r="J28" i="107"/>
  <c r="J28" i="111" s="1"/>
  <c r="K28" i="107"/>
  <c r="K28" i="111" s="1"/>
  <c r="L28" i="107"/>
  <c r="L28" i="111" s="1"/>
  <c r="M28" i="107"/>
  <c r="M28" i="111" s="1"/>
  <c r="N28" i="107"/>
  <c r="N28" i="111" s="1"/>
  <c r="C29" i="107"/>
  <c r="C29" i="111" s="1"/>
  <c r="D29" i="107"/>
  <c r="D29" i="111" s="1"/>
  <c r="E29" i="107"/>
  <c r="E29" i="111" s="1"/>
  <c r="F29" i="107"/>
  <c r="F29" i="111" s="1"/>
  <c r="G29" i="107"/>
  <c r="G29" i="111" s="1"/>
  <c r="H29" i="107"/>
  <c r="H29" i="111" s="1"/>
  <c r="I29" i="107"/>
  <c r="I29" i="111" s="1"/>
  <c r="J29" i="107"/>
  <c r="J29" i="111" s="1"/>
  <c r="K29" i="107"/>
  <c r="K29" i="111" s="1"/>
  <c r="L29" i="107"/>
  <c r="L29" i="111" s="1"/>
  <c r="M29" i="107"/>
  <c r="M29" i="111" s="1"/>
  <c r="N29" i="107"/>
  <c r="N29" i="111" s="1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C31" i="111" s="1"/>
  <c r="D31" i="107"/>
  <c r="D31" i="111" s="1"/>
  <c r="E31" i="107"/>
  <c r="E31" i="111" s="1"/>
  <c r="F31" i="107"/>
  <c r="F31" i="111" s="1"/>
  <c r="G31" i="107"/>
  <c r="G31" i="111" s="1"/>
  <c r="H31" i="107"/>
  <c r="H31" i="111" s="1"/>
  <c r="I31" i="107"/>
  <c r="I31" i="111" s="1"/>
  <c r="J31" i="107"/>
  <c r="J31" i="111" s="1"/>
  <c r="K31" i="107"/>
  <c r="K31" i="111" s="1"/>
  <c r="L31" i="107"/>
  <c r="L31" i="111" s="1"/>
  <c r="M31" i="107"/>
  <c r="M31" i="111" s="1"/>
  <c r="N31" i="107"/>
  <c r="N31" i="111" s="1"/>
  <c r="C32" i="107"/>
  <c r="C32" i="111" s="1"/>
  <c r="D32" i="107"/>
  <c r="D32" i="111" s="1"/>
  <c r="E32" i="107"/>
  <c r="E32" i="111" s="1"/>
  <c r="F32" i="107"/>
  <c r="F32" i="111" s="1"/>
  <c r="G32" i="107"/>
  <c r="G32" i="111" s="1"/>
  <c r="H32" i="107"/>
  <c r="H32" i="111" s="1"/>
  <c r="I32" i="107"/>
  <c r="I32" i="111" s="1"/>
  <c r="J32" i="107"/>
  <c r="J32" i="111" s="1"/>
  <c r="K32" i="107"/>
  <c r="K32" i="111" s="1"/>
  <c r="L32" i="107"/>
  <c r="L32" i="111" s="1"/>
  <c r="M32" i="107"/>
  <c r="M32" i="111" s="1"/>
  <c r="N32" i="107"/>
  <c r="N32" i="111" s="1"/>
  <c r="C33" i="107"/>
  <c r="C33" i="111" s="1"/>
  <c r="D33" i="107"/>
  <c r="D33" i="111" s="1"/>
  <c r="E33" i="107"/>
  <c r="E33" i="111" s="1"/>
  <c r="F33" i="107"/>
  <c r="F33" i="111" s="1"/>
  <c r="G33" i="107"/>
  <c r="G33" i="111" s="1"/>
  <c r="H33" i="107"/>
  <c r="H33" i="111" s="1"/>
  <c r="I33" i="107"/>
  <c r="I33" i="111" s="1"/>
  <c r="J33" i="107"/>
  <c r="J33" i="111" s="1"/>
  <c r="K33" i="107"/>
  <c r="K33" i="111" s="1"/>
  <c r="L33" i="107"/>
  <c r="L33" i="111" s="1"/>
  <c r="M33" i="107"/>
  <c r="M33" i="111" s="1"/>
  <c r="N33" i="107"/>
  <c r="N33" i="111" s="1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C35" i="111" s="1"/>
  <c r="D35" i="107"/>
  <c r="D35" i="111" s="1"/>
  <c r="E35" i="107"/>
  <c r="E35" i="111" s="1"/>
  <c r="F35" i="107"/>
  <c r="F35" i="111" s="1"/>
  <c r="G35" i="107"/>
  <c r="G35" i="111" s="1"/>
  <c r="H35" i="107"/>
  <c r="H35" i="111" s="1"/>
  <c r="I35" i="107"/>
  <c r="I35" i="111" s="1"/>
  <c r="J35" i="107"/>
  <c r="J35" i="111" s="1"/>
  <c r="K35" i="107"/>
  <c r="K35" i="111" s="1"/>
  <c r="L35" i="107"/>
  <c r="L35" i="111" s="1"/>
  <c r="M35" i="107"/>
  <c r="M35" i="111" s="1"/>
  <c r="N35" i="107"/>
  <c r="N35" i="111" s="1"/>
  <c r="C36" i="107"/>
  <c r="C36" i="111" s="1"/>
  <c r="D36" i="107"/>
  <c r="D36" i="111" s="1"/>
  <c r="E36" i="107"/>
  <c r="E36" i="111" s="1"/>
  <c r="F36" i="107"/>
  <c r="F36" i="111" s="1"/>
  <c r="G36" i="107"/>
  <c r="G36" i="111" s="1"/>
  <c r="H36" i="107"/>
  <c r="H36" i="111" s="1"/>
  <c r="I36" i="107"/>
  <c r="I36" i="111" s="1"/>
  <c r="J36" i="107"/>
  <c r="J36" i="111" s="1"/>
  <c r="K36" i="107"/>
  <c r="K36" i="111" s="1"/>
  <c r="L36" i="107"/>
  <c r="L36" i="111" s="1"/>
  <c r="M36" i="107"/>
  <c r="M36" i="111" s="1"/>
  <c r="N36" i="107"/>
  <c r="N36" i="111" s="1"/>
  <c r="C37" i="107"/>
  <c r="C37" i="111" s="1"/>
  <c r="D37" i="107"/>
  <c r="D37" i="111" s="1"/>
  <c r="E37" i="107"/>
  <c r="E37" i="111" s="1"/>
  <c r="F37" i="107"/>
  <c r="F37" i="111" s="1"/>
  <c r="G37" i="107"/>
  <c r="G37" i="111" s="1"/>
  <c r="H37" i="107"/>
  <c r="H37" i="111" s="1"/>
  <c r="I37" i="107"/>
  <c r="I37" i="111" s="1"/>
  <c r="J37" i="107"/>
  <c r="J37" i="111" s="1"/>
  <c r="K37" i="107"/>
  <c r="K37" i="111" s="1"/>
  <c r="L37" i="107"/>
  <c r="L37" i="111" s="1"/>
  <c r="M37" i="107"/>
  <c r="M37" i="111" s="1"/>
  <c r="N37" i="107"/>
  <c r="N37" i="111" s="1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C39" i="111" s="1"/>
  <c r="D39" i="107"/>
  <c r="D39" i="111" s="1"/>
  <c r="E39" i="107"/>
  <c r="E39" i="111" s="1"/>
  <c r="F39" i="107"/>
  <c r="F39" i="111" s="1"/>
  <c r="G39" i="107"/>
  <c r="G39" i="111" s="1"/>
  <c r="H39" i="107"/>
  <c r="H39" i="111" s="1"/>
  <c r="I39" i="107"/>
  <c r="I39" i="111" s="1"/>
  <c r="J39" i="107"/>
  <c r="J39" i="111" s="1"/>
  <c r="K39" i="107"/>
  <c r="K39" i="111" s="1"/>
  <c r="L39" i="107"/>
  <c r="M39" i="107"/>
  <c r="M39" i="111" s="1"/>
  <c r="N39" i="107"/>
  <c r="N39" i="111" s="1"/>
  <c r="C40" i="107"/>
  <c r="C40" i="111" s="1"/>
  <c r="D40" i="107"/>
  <c r="D40" i="111" s="1"/>
  <c r="E40" i="107"/>
  <c r="E40" i="111" s="1"/>
  <c r="F40" i="107"/>
  <c r="F40" i="111" s="1"/>
  <c r="G40" i="107"/>
  <c r="G40" i="111" s="1"/>
  <c r="H40" i="107"/>
  <c r="H40" i="111" s="1"/>
  <c r="I40" i="107"/>
  <c r="I40" i="111" s="1"/>
  <c r="J40" i="107"/>
  <c r="J40" i="111" s="1"/>
  <c r="K40" i="107"/>
  <c r="K40" i="111" s="1"/>
  <c r="L40" i="107"/>
  <c r="L40" i="111" s="1"/>
  <c r="M40" i="107"/>
  <c r="M40" i="111" s="1"/>
  <c r="N40" i="107"/>
  <c r="N40" i="111" s="1"/>
  <c r="C41" i="107"/>
  <c r="C41" i="111" s="1"/>
  <c r="D41" i="107"/>
  <c r="E41" i="107"/>
  <c r="E41" i="111" s="1"/>
  <c r="F41" i="107"/>
  <c r="F41" i="111" s="1"/>
  <c r="G41" i="107"/>
  <c r="G41" i="111" s="1"/>
  <c r="H41" i="107"/>
  <c r="H41" i="111" s="1"/>
  <c r="I41" i="107"/>
  <c r="I41" i="111" s="1"/>
  <c r="J41" i="107"/>
  <c r="J41" i="111" s="1"/>
  <c r="K41" i="107"/>
  <c r="K41" i="111" s="1"/>
  <c r="L41" i="107"/>
  <c r="L41" i="111" s="1"/>
  <c r="M41" i="107"/>
  <c r="M41" i="111" s="1"/>
  <c r="N41" i="107"/>
  <c r="N41" i="111" s="1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C43" i="111" s="1"/>
  <c r="D43" i="107"/>
  <c r="D43" i="111" s="1"/>
  <c r="E43" i="107"/>
  <c r="E43" i="111" s="1"/>
  <c r="F43" i="107"/>
  <c r="F43" i="111" s="1"/>
  <c r="G43" i="107"/>
  <c r="G43" i="111" s="1"/>
  <c r="H43" i="107"/>
  <c r="H43" i="111" s="1"/>
  <c r="I43" i="107"/>
  <c r="I43" i="111" s="1"/>
  <c r="J43" i="107"/>
  <c r="J43" i="111" s="1"/>
  <c r="K43" i="107"/>
  <c r="K43" i="111" s="1"/>
  <c r="L43" i="107"/>
  <c r="L43" i="111" s="1"/>
  <c r="M43" i="107"/>
  <c r="M43" i="111" s="1"/>
  <c r="N43" i="107"/>
  <c r="N43" i="111" s="1"/>
  <c r="C44" i="107"/>
  <c r="C44" i="111" s="1"/>
  <c r="D44" i="107"/>
  <c r="D44" i="111" s="1"/>
  <c r="E44" i="107"/>
  <c r="E44" i="111" s="1"/>
  <c r="F44" i="107"/>
  <c r="F44" i="111" s="1"/>
  <c r="G44" i="107"/>
  <c r="G44" i="111" s="1"/>
  <c r="H44" i="107"/>
  <c r="H44" i="111" s="1"/>
  <c r="I44" i="107"/>
  <c r="I44" i="111" s="1"/>
  <c r="J44" i="107"/>
  <c r="J44" i="111" s="1"/>
  <c r="K44" i="107"/>
  <c r="K44" i="111" s="1"/>
  <c r="L44" i="107"/>
  <c r="L44" i="111" s="1"/>
  <c r="M44" i="107"/>
  <c r="M44" i="111" s="1"/>
  <c r="N44" i="107"/>
  <c r="N44" i="111" s="1"/>
  <c r="C45" i="107"/>
  <c r="C45" i="111" s="1"/>
  <c r="D45" i="107"/>
  <c r="E45" i="107"/>
  <c r="E45" i="111" s="1"/>
  <c r="F45" i="107"/>
  <c r="F45" i="111" s="1"/>
  <c r="G45" i="107"/>
  <c r="G45" i="111" s="1"/>
  <c r="H45" i="107"/>
  <c r="H45" i="111" s="1"/>
  <c r="I45" i="107"/>
  <c r="I45" i="111" s="1"/>
  <c r="J45" i="107"/>
  <c r="J45" i="111" s="1"/>
  <c r="K45" i="107"/>
  <c r="K45" i="111" s="1"/>
  <c r="L45" i="107"/>
  <c r="L45" i="111" s="1"/>
  <c r="M45" i="107"/>
  <c r="M45" i="111" s="1"/>
  <c r="N45" i="107"/>
  <c r="N45" i="111" s="1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C47" i="111" s="1"/>
  <c r="D47" i="107"/>
  <c r="D47" i="111" s="1"/>
  <c r="E47" i="107"/>
  <c r="E47" i="111" s="1"/>
  <c r="F47" i="107"/>
  <c r="F47" i="111" s="1"/>
  <c r="G47" i="107"/>
  <c r="G47" i="111" s="1"/>
  <c r="H47" i="107"/>
  <c r="H47" i="111" s="1"/>
  <c r="I47" i="107"/>
  <c r="I47" i="111" s="1"/>
  <c r="J47" i="107"/>
  <c r="J47" i="111" s="1"/>
  <c r="K47" i="107"/>
  <c r="K47" i="111" s="1"/>
  <c r="L47" i="107"/>
  <c r="L47" i="111" s="1"/>
  <c r="M47" i="107"/>
  <c r="M47" i="111" s="1"/>
  <c r="N47" i="107"/>
  <c r="N47" i="111" s="1"/>
  <c r="C48" i="107"/>
  <c r="C48" i="111" s="1"/>
  <c r="D48" i="107"/>
  <c r="D48" i="111" s="1"/>
  <c r="E48" i="107"/>
  <c r="E48" i="111" s="1"/>
  <c r="F48" i="107"/>
  <c r="F48" i="111" s="1"/>
  <c r="G48" i="107"/>
  <c r="G48" i="111" s="1"/>
  <c r="H48" i="107"/>
  <c r="H48" i="111" s="1"/>
  <c r="I48" i="107"/>
  <c r="I48" i="111" s="1"/>
  <c r="J48" i="107"/>
  <c r="J48" i="111" s="1"/>
  <c r="K48" i="107"/>
  <c r="K48" i="111" s="1"/>
  <c r="L48" i="107"/>
  <c r="L48" i="111" s="1"/>
  <c r="M48" i="107"/>
  <c r="M48" i="111" s="1"/>
  <c r="N48" i="107"/>
  <c r="N48" i="111" s="1"/>
  <c r="C49" i="107"/>
  <c r="C49" i="111" s="1"/>
  <c r="D49" i="107"/>
  <c r="D49" i="111" s="1"/>
  <c r="E49" i="107"/>
  <c r="E49" i="111" s="1"/>
  <c r="F49" i="107"/>
  <c r="F49" i="111" s="1"/>
  <c r="G49" i="107"/>
  <c r="G49" i="111" s="1"/>
  <c r="H49" i="107"/>
  <c r="H49" i="111" s="1"/>
  <c r="I49" i="107"/>
  <c r="I49" i="111" s="1"/>
  <c r="J49" i="107"/>
  <c r="J49" i="111" s="1"/>
  <c r="K49" i="107"/>
  <c r="K49" i="111" s="1"/>
  <c r="L49" i="107"/>
  <c r="L49" i="111" s="1"/>
  <c r="M49" i="107"/>
  <c r="M49" i="111" s="1"/>
  <c r="N49" i="107"/>
  <c r="N49" i="111" s="1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C51" i="111" s="1"/>
  <c r="D51" i="107"/>
  <c r="D51" i="111" s="1"/>
  <c r="E51" i="107"/>
  <c r="E51" i="111" s="1"/>
  <c r="F51" i="107"/>
  <c r="F51" i="111" s="1"/>
  <c r="G51" i="107"/>
  <c r="G51" i="111" s="1"/>
  <c r="H51" i="107"/>
  <c r="H51" i="111" s="1"/>
  <c r="I51" i="107"/>
  <c r="I51" i="111" s="1"/>
  <c r="J51" i="107"/>
  <c r="J51" i="111" s="1"/>
  <c r="K51" i="107"/>
  <c r="K51" i="111" s="1"/>
  <c r="L51" i="107"/>
  <c r="M51" i="107"/>
  <c r="M51" i="111" s="1"/>
  <c r="N51" i="107"/>
  <c r="N51" i="111" s="1"/>
  <c r="C52" i="107"/>
  <c r="C52" i="111" s="1"/>
  <c r="D52" i="107"/>
  <c r="D52" i="111" s="1"/>
  <c r="E52" i="107"/>
  <c r="E52" i="111" s="1"/>
  <c r="F52" i="107"/>
  <c r="F52" i="111" s="1"/>
  <c r="G52" i="107"/>
  <c r="G52" i="111" s="1"/>
  <c r="H52" i="107"/>
  <c r="H52" i="111" s="1"/>
  <c r="I52" i="107"/>
  <c r="I52" i="111" s="1"/>
  <c r="J52" i="107"/>
  <c r="J52" i="111" s="1"/>
  <c r="K52" i="107"/>
  <c r="K52" i="111" s="1"/>
  <c r="L52" i="107"/>
  <c r="L52" i="111" s="1"/>
  <c r="M52" i="107"/>
  <c r="M52" i="111" s="1"/>
  <c r="N52" i="107"/>
  <c r="N52" i="111" s="1"/>
  <c r="C53" i="107"/>
  <c r="C53" i="111" s="1"/>
  <c r="D53" i="107"/>
  <c r="D53" i="111" s="1"/>
  <c r="E53" i="107"/>
  <c r="E53" i="111" s="1"/>
  <c r="F53" i="107"/>
  <c r="F53" i="111" s="1"/>
  <c r="G53" i="107"/>
  <c r="G53" i="111" s="1"/>
  <c r="H53" i="107"/>
  <c r="H53" i="111" s="1"/>
  <c r="I53" i="107"/>
  <c r="I53" i="111" s="1"/>
  <c r="J53" i="107"/>
  <c r="J53" i="111" s="1"/>
  <c r="K53" i="107"/>
  <c r="K53" i="111" s="1"/>
  <c r="L53" i="107"/>
  <c r="L53" i="111" s="1"/>
  <c r="M53" i="107"/>
  <c r="M53" i="111" s="1"/>
  <c r="N53" i="107"/>
  <c r="N53" i="111" s="1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C55" i="111" s="1"/>
  <c r="D55" i="107"/>
  <c r="D55" i="111" s="1"/>
  <c r="E55" i="107"/>
  <c r="E55" i="111" s="1"/>
  <c r="F55" i="107"/>
  <c r="F55" i="111" s="1"/>
  <c r="G55" i="107"/>
  <c r="G55" i="111" s="1"/>
  <c r="H55" i="107"/>
  <c r="H55" i="111" s="1"/>
  <c r="I55" i="107"/>
  <c r="I55" i="111" s="1"/>
  <c r="J55" i="107"/>
  <c r="J55" i="111" s="1"/>
  <c r="K55" i="107"/>
  <c r="K55" i="111" s="1"/>
  <c r="L55" i="107"/>
  <c r="L55" i="111" s="1"/>
  <c r="M55" i="107"/>
  <c r="M55" i="111" s="1"/>
  <c r="N55" i="107"/>
  <c r="N55" i="111" s="1"/>
  <c r="C56" i="107"/>
  <c r="C56" i="111" s="1"/>
  <c r="D56" i="107"/>
  <c r="D56" i="111" s="1"/>
  <c r="E56" i="107"/>
  <c r="E56" i="111" s="1"/>
  <c r="F56" i="107"/>
  <c r="F56" i="111" s="1"/>
  <c r="G56" i="107"/>
  <c r="G56" i="111" s="1"/>
  <c r="H56" i="107"/>
  <c r="H56" i="111" s="1"/>
  <c r="I56" i="107"/>
  <c r="I56" i="111" s="1"/>
  <c r="J56" i="107"/>
  <c r="J56" i="111" s="1"/>
  <c r="K56" i="107"/>
  <c r="K56" i="111" s="1"/>
  <c r="L56" i="107"/>
  <c r="L56" i="111" s="1"/>
  <c r="M56" i="107"/>
  <c r="M56" i="111" s="1"/>
  <c r="N56" i="107"/>
  <c r="N56" i="111" s="1"/>
  <c r="C57" i="107"/>
  <c r="C57" i="111" s="1"/>
  <c r="D57" i="107"/>
  <c r="D57" i="111" s="1"/>
  <c r="E57" i="107"/>
  <c r="E57" i="111" s="1"/>
  <c r="F57" i="107"/>
  <c r="F57" i="111" s="1"/>
  <c r="G57" i="107"/>
  <c r="G57" i="111" s="1"/>
  <c r="H57" i="107"/>
  <c r="H57" i="111" s="1"/>
  <c r="I57" i="107"/>
  <c r="I57" i="111" s="1"/>
  <c r="J57" i="107"/>
  <c r="J57" i="111" s="1"/>
  <c r="K57" i="107"/>
  <c r="K57" i="111" s="1"/>
  <c r="L57" i="107"/>
  <c r="L57" i="111" s="1"/>
  <c r="M57" i="107"/>
  <c r="M57" i="111" s="1"/>
  <c r="N57" i="107"/>
  <c r="N57" i="111" s="1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O32" i="105"/>
  <c r="O33" i="105"/>
  <c r="O34" i="105"/>
  <c r="O35" i="105"/>
  <c r="C3" i="94"/>
  <c r="M54" i="111" l="1"/>
  <c r="AC21" i="111" s="1"/>
  <c r="AC21" i="107"/>
  <c r="M50" i="111"/>
  <c r="AC20" i="111" s="1"/>
  <c r="AC20" i="107"/>
  <c r="E30" i="111"/>
  <c r="U15" i="111" s="1"/>
  <c r="U15" i="107"/>
  <c r="AC17" i="108"/>
  <c r="AC16" i="108"/>
  <c r="AC35" i="108" s="1"/>
  <c r="U15" i="108"/>
  <c r="M10" i="111"/>
  <c r="M106" i="107"/>
  <c r="AC10" i="107"/>
  <c r="L54" i="111"/>
  <c r="AB21" i="111" s="1"/>
  <c r="AB21" i="107"/>
  <c r="L50" i="111"/>
  <c r="AB20" i="107"/>
  <c r="D42" i="111"/>
  <c r="T18" i="107"/>
  <c r="L22" i="111"/>
  <c r="AB13" i="111" s="1"/>
  <c r="AB13" i="107"/>
  <c r="L18" i="111"/>
  <c r="AB12" i="111" s="1"/>
  <c r="AB12" i="107"/>
  <c r="D18" i="111"/>
  <c r="T12" i="111" s="1"/>
  <c r="T12" i="107"/>
  <c r="AC10" i="108"/>
  <c r="AB21" i="108"/>
  <c r="T21" i="108"/>
  <c r="AB20" i="108"/>
  <c r="T20" i="108"/>
  <c r="AB19" i="108"/>
  <c r="T19" i="108"/>
  <c r="AB18" i="108"/>
  <c r="T18" i="108"/>
  <c r="AB17" i="108"/>
  <c r="T17" i="108"/>
  <c r="AB16" i="108"/>
  <c r="T16" i="108"/>
  <c r="AB15" i="108"/>
  <c r="T15" i="108"/>
  <c r="AB14" i="108"/>
  <c r="T14" i="108"/>
  <c r="AB13" i="108"/>
  <c r="T13" i="108"/>
  <c r="AB12" i="108"/>
  <c r="T12" i="108"/>
  <c r="AB11" i="108"/>
  <c r="T11" i="108"/>
  <c r="F10" i="111"/>
  <c r="F106" i="107"/>
  <c r="V10" i="107"/>
  <c r="E54" i="111"/>
  <c r="U21" i="111" s="1"/>
  <c r="U21" i="107"/>
  <c r="M26" i="111"/>
  <c r="AC14" i="111" s="1"/>
  <c r="AC14" i="107"/>
  <c r="AC20" i="108"/>
  <c r="AC36" i="108" s="1"/>
  <c r="AC15" i="108"/>
  <c r="AC14" i="108"/>
  <c r="E10" i="111"/>
  <c r="E106" i="107"/>
  <c r="U10" i="107"/>
  <c r="L30" i="111"/>
  <c r="AB15" i="111" s="1"/>
  <c r="AB15" i="107"/>
  <c r="L26" i="111"/>
  <c r="AB14" i="111" s="1"/>
  <c r="AB14" i="107"/>
  <c r="D22" i="111"/>
  <c r="T13" i="111" s="1"/>
  <c r="T13" i="107"/>
  <c r="L14" i="111"/>
  <c r="AB11" i="111" s="1"/>
  <c r="AB11" i="107"/>
  <c r="D14" i="111"/>
  <c r="T11" i="111" s="1"/>
  <c r="T11" i="107"/>
  <c r="U10" i="108"/>
  <c r="L10" i="111"/>
  <c r="L106" i="107"/>
  <c r="AB10" i="107"/>
  <c r="D10" i="111"/>
  <c r="D106" i="107"/>
  <c r="T10" i="107"/>
  <c r="K54" i="111"/>
  <c r="AA21" i="111" s="1"/>
  <c r="AA21" i="107"/>
  <c r="C54" i="111"/>
  <c r="S21" i="111" s="1"/>
  <c r="S21" i="107"/>
  <c r="K50" i="111"/>
  <c r="AA20" i="111" s="1"/>
  <c r="AA20" i="107"/>
  <c r="C50" i="111"/>
  <c r="S20" i="111" s="1"/>
  <c r="S20" i="107"/>
  <c r="K46" i="111"/>
  <c r="AA19" i="111" s="1"/>
  <c r="AA19" i="107"/>
  <c r="C46" i="111"/>
  <c r="S19" i="111" s="1"/>
  <c r="S19" i="107"/>
  <c r="K42" i="111"/>
  <c r="AA18" i="111" s="1"/>
  <c r="AA18" i="107"/>
  <c r="C42" i="111"/>
  <c r="S18" i="111" s="1"/>
  <c r="S18" i="107"/>
  <c r="K38" i="111"/>
  <c r="AA17" i="111" s="1"/>
  <c r="AA17" i="107"/>
  <c r="C38" i="111"/>
  <c r="S17" i="111" s="1"/>
  <c r="S17" i="107"/>
  <c r="K34" i="111"/>
  <c r="AA16" i="111" s="1"/>
  <c r="AA16" i="107"/>
  <c r="C34" i="111"/>
  <c r="S16" i="111" s="1"/>
  <c r="S16" i="107"/>
  <c r="K30" i="111"/>
  <c r="AA15" i="111" s="1"/>
  <c r="AA15" i="107"/>
  <c r="C30" i="111"/>
  <c r="S15" i="111" s="1"/>
  <c r="S15" i="107"/>
  <c r="K26" i="111"/>
  <c r="AA14" i="111" s="1"/>
  <c r="AA14" i="107"/>
  <c r="C26" i="111"/>
  <c r="S14" i="111" s="1"/>
  <c r="S14" i="107"/>
  <c r="K22" i="111"/>
  <c r="AA13" i="111" s="1"/>
  <c r="AA13" i="107"/>
  <c r="C22" i="111"/>
  <c r="S13" i="111" s="1"/>
  <c r="S13" i="107"/>
  <c r="K18" i="111"/>
  <c r="AA12" i="111" s="1"/>
  <c r="AA12" i="107"/>
  <c r="C18" i="111"/>
  <c r="S12" i="111" s="1"/>
  <c r="S12" i="107"/>
  <c r="K14" i="111"/>
  <c r="AA11" i="111" s="1"/>
  <c r="AA11" i="107"/>
  <c r="C14" i="111"/>
  <c r="S11" i="111" s="1"/>
  <c r="S11" i="107"/>
  <c r="AB10" i="108"/>
  <c r="T10" i="108"/>
  <c r="AA21" i="108"/>
  <c r="S21" i="108"/>
  <c r="AA20" i="108"/>
  <c r="S20" i="108"/>
  <c r="AA19" i="108"/>
  <c r="S19" i="108"/>
  <c r="AA18" i="108"/>
  <c r="S18" i="108"/>
  <c r="AA17" i="108"/>
  <c r="S17" i="108"/>
  <c r="AA16" i="108"/>
  <c r="S16" i="108"/>
  <c r="AA15" i="108"/>
  <c r="S15" i="108"/>
  <c r="AA14" i="108"/>
  <c r="S14" i="108"/>
  <c r="AA13" i="108"/>
  <c r="S13" i="108"/>
  <c r="AA12" i="108"/>
  <c r="S12" i="108"/>
  <c r="AA11" i="108"/>
  <c r="S11" i="108"/>
  <c r="E42" i="111"/>
  <c r="U18" i="111" s="1"/>
  <c r="U18" i="107"/>
  <c r="M14" i="111"/>
  <c r="AC11" i="111" s="1"/>
  <c r="AC11" i="107"/>
  <c r="D50" i="111"/>
  <c r="T20" i="111" s="1"/>
  <c r="T20" i="107"/>
  <c r="D30" i="111"/>
  <c r="T15" i="111" s="1"/>
  <c r="T15" i="107"/>
  <c r="J38" i="111"/>
  <c r="Z17" i="111" s="1"/>
  <c r="Z17" i="107"/>
  <c r="J34" i="111"/>
  <c r="Z16" i="111" s="1"/>
  <c r="Z16" i="107"/>
  <c r="J30" i="111"/>
  <c r="Z15" i="111" s="1"/>
  <c r="Z15" i="107"/>
  <c r="J26" i="111"/>
  <c r="Z14" i="111" s="1"/>
  <c r="Z14" i="107"/>
  <c r="J22" i="111"/>
  <c r="Z13" i="111" s="1"/>
  <c r="Z13" i="107"/>
  <c r="J18" i="111"/>
  <c r="Z12" i="111" s="1"/>
  <c r="Z12" i="107"/>
  <c r="J14" i="111"/>
  <c r="Z11" i="111" s="1"/>
  <c r="Z11" i="107"/>
  <c r="AA10" i="108"/>
  <c r="Z21" i="108"/>
  <c r="Z20" i="108"/>
  <c r="Z19" i="108"/>
  <c r="Z18" i="108"/>
  <c r="Z17" i="108"/>
  <c r="Z16" i="108"/>
  <c r="Z15" i="108"/>
  <c r="Z14" i="108"/>
  <c r="Z13" i="108"/>
  <c r="Z12" i="108"/>
  <c r="Z11" i="108"/>
  <c r="M46" i="111"/>
  <c r="AC19" i="111" s="1"/>
  <c r="AC39" i="111" s="1"/>
  <c r="AC19" i="107"/>
  <c r="E34" i="111"/>
  <c r="U16" i="111" s="1"/>
  <c r="U16" i="107"/>
  <c r="M30" i="111"/>
  <c r="AC15" i="111" s="1"/>
  <c r="AC15" i="107"/>
  <c r="E22" i="111"/>
  <c r="U13" i="111" s="1"/>
  <c r="U13" i="107"/>
  <c r="M18" i="111"/>
  <c r="AC12" i="111" s="1"/>
  <c r="AC12" i="107"/>
  <c r="L38" i="111"/>
  <c r="AB17" i="107"/>
  <c r="D34" i="111"/>
  <c r="T16" i="111" s="1"/>
  <c r="T16" i="107"/>
  <c r="J50" i="111"/>
  <c r="Z20" i="111" s="1"/>
  <c r="Z20" i="107"/>
  <c r="I50" i="111"/>
  <c r="Y20" i="111" s="1"/>
  <c r="Y20" i="107"/>
  <c r="I46" i="111"/>
  <c r="Y19" i="111" s="1"/>
  <c r="Y19" i="107"/>
  <c r="I42" i="111"/>
  <c r="Y18" i="111" s="1"/>
  <c r="Y18" i="107"/>
  <c r="I38" i="111"/>
  <c r="Y17" i="111" s="1"/>
  <c r="Y17" i="107"/>
  <c r="I34" i="111"/>
  <c r="Y16" i="111" s="1"/>
  <c r="Y16" i="107"/>
  <c r="I30" i="111"/>
  <c r="Y15" i="111" s="1"/>
  <c r="Y15" i="107"/>
  <c r="I26" i="111"/>
  <c r="Y14" i="111" s="1"/>
  <c r="Y14" i="107"/>
  <c r="I22" i="111"/>
  <c r="Y13" i="111" s="1"/>
  <c r="Y13" i="107"/>
  <c r="I18" i="111"/>
  <c r="Y12" i="111" s="1"/>
  <c r="Y12" i="107"/>
  <c r="I14" i="111"/>
  <c r="Y11" i="111" s="1"/>
  <c r="Y11" i="107"/>
  <c r="Z10" i="108"/>
  <c r="Y21" i="108"/>
  <c r="Y20" i="108"/>
  <c r="Y19" i="108"/>
  <c r="Y39" i="108" s="1"/>
  <c r="Y18" i="108"/>
  <c r="Y17" i="108"/>
  <c r="Y16" i="108"/>
  <c r="Y15" i="108"/>
  <c r="Y14" i="108"/>
  <c r="Y38" i="108" s="1"/>
  <c r="Y13" i="108"/>
  <c r="Y12" i="108"/>
  <c r="Y11" i="108"/>
  <c r="M34" i="111"/>
  <c r="AC16" i="111" s="1"/>
  <c r="AC16" i="107"/>
  <c r="E26" i="111"/>
  <c r="U14" i="111" s="1"/>
  <c r="U14" i="107"/>
  <c r="M22" i="111"/>
  <c r="AC13" i="111" s="1"/>
  <c r="AC35" i="111" s="1"/>
  <c r="AC13" i="107"/>
  <c r="E18" i="111"/>
  <c r="U12" i="111" s="1"/>
  <c r="U12" i="107"/>
  <c r="E14" i="111"/>
  <c r="U11" i="111" s="1"/>
  <c r="U11" i="107"/>
  <c r="V10" i="108"/>
  <c r="AC39" i="108"/>
  <c r="U18" i="108"/>
  <c r="U12" i="108"/>
  <c r="D54" i="111"/>
  <c r="T21" i="111" s="1"/>
  <c r="T21" i="107"/>
  <c r="D46" i="111"/>
  <c r="T19" i="111" s="1"/>
  <c r="T19" i="107"/>
  <c r="L42" i="111"/>
  <c r="AB18" i="111" s="1"/>
  <c r="AB18" i="107"/>
  <c r="D26" i="111"/>
  <c r="T14" i="111" s="1"/>
  <c r="T14" i="107"/>
  <c r="J46" i="111"/>
  <c r="Z19" i="111" s="1"/>
  <c r="Z19" i="107"/>
  <c r="H54" i="111"/>
  <c r="X21" i="111" s="1"/>
  <c r="X21" i="107"/>
  <c r="X20" i="107"/>
  <c r="X19" i="107"/>
  <c r="H42" i="111"/>
  <c r="X18" i="111" s="1"/>
  <c r="X18" i="107"/>
  <c r="H38" i="111"/>
  <c r="X17" i="111" s="1"/>
  <c r="X17" i="107"/>
  <c r="H34" i="111"/>
  <c r="X16" i="111" s="1"/>
  <c r="X16" i="107"/>
  <c r="H30" i="111"/>
  <c r="X15" i="111" s="1"/>
  <c r="X15" i="107"/>
  <c r="H26" i="111"/>
  <c r="X14" i="111" s="1"/>
  <c r="X14" i="107"/>
  <c r="H22" i="111"/>
  <c r="X13" i="111" s="1"/>
  <c r="X13" i="107"/>
  <c r="H18" i="111"/>
  <c r="X12" i="111" s="1"/>
  <c r="X12" i="107"/>
  <c r="H14" i="111"/>
  <c r="X11" i="111" s="1"/>
  <c r="X11" i="107"/>
  <c r="Y10" i="108"/>
  <c r="X21" i="108"/>
  <c r="X20" i="108"/>
  <c r="X19" i="108"/>
  <c r="X18" i="108"/>
  <c r="X17" i="108"/>
  <c r="X16" i="108"/>
  <c r="X15" i="108"/>
  <c r="X14" i="108"/>
  <c r="X13" i="108"/>
  <c r="X12" i="108"/>
  <c r="X11" i="108"/>
  <c r="N10" i="111"/>
  <c r="N106" i="107"/>
  <c r="AD10" i="107"/>
  <c r="E38" i="111"/>
  <c r="U17" i="111" s="1"/>
  <c r="U17" i="107"/>
  <c r="U20" i="108"/>
  <c r="U36" i="108" s="1"/>
  <c r="L46" i="111"/>
  <c r="AB19" i="111" s="1"/>
  <c r="AB19" i="107"/>
  <c r="D38" i="111"/>
  <c r="T17" i="107"/>
  <c r="L34" i="111"/>
  <c r="AB16" i="111" s="1"/>
  <c r="AB16" i="107"/>
  <c r="J54" i="111"/>
  <c r="Z21" i="111" s="1"/>
  <c r="Z21" i="107"/>
  <c r="J10" i="111"/>
  <c r="J106" i="107"/>
  <c r="Z10" i="107"/>
  <c r="I54" i="111"/>
  <c r="Y21" i="111" s="1"/>
  <c r="Y21" i="107"/>
  <c r="G54" i="111"/>
  <c r="W21" i="111" s="1"/>
  <c r="W21" i="107"/>
  <c r="G50" i="111"/>
  <c r="W20" i="111" s="1"/>
  <c r="W20" i="107"/>
  <c r="G46" i="111"/>
  <c r="W19" i="111" s="1"/>
  <c r="W19" i="107"/>
  <c r="G42" i="111"/>
  <c r="W18" i="111" s="1"/>
  <c r="W18" i="107"/>
  <c r="G38" i="111"/>
  <c r="W17" i="111" s="1"/>
  <c r="W17" i="107"/>
  <c r="G34" i="111"/>
  <c r="W16" i="111" s="1"/>
  <c r="W16" i="107"/>
  <c r="G30" i="111"/>
  <c r="W15" i="111" s="1"/>
  <c r="W15" i="107"/>
  <c r="G26" i="111"/>
  <c r="W14" i="111" s="1"/>
  <c r="W14" i="107"/>
  <c r="G22" i="111"/>
  <c r="W13" i="111" s="1"/>
  <c r="W13" i="107"/>
  <c r="G18" i="111"/>
  <c r="W12" i="111" s="1"/>
  <c r="W12" i="107"/>
  <c r="G14" i="111"/>
  <c r="W11" i="111" s="1"/>
  <c r="W11" i="107"/>
  <c r="X10" i="108"/>
  <c r="W21" i="108"/>
  <c r="W20" i="108"/>
  <c r="W19" i="108"/>
  <c r="W18" i="108"/>
  <c r="W17" i="108"/>
  <c r="W16" i="108"/>
  <c r="W15" i="108"/>
  <c r="W14" i="108"/>
  <c r="W13" i="108"/>
  <c r="W12" i="108"/>
  <c r="W11" i="108"/>
  <c r="E50" i="111"/>
  <c r="U20" i="111" s="1"/>
  <c r="U20" i="107"/>
  <c r="E46" i="111"/>
  <c r="U19" i="111" s="1"/>
  <c r="U39" i="111" s="1"/>
  <c r="U19" i="107"/>
  <c r="M42" i="111"/>
  <c r="AC18" i="111" s="1"/>
  <c r="AC18" i="107"/>
  <c r="M38" i="111"/>
  <c r="AC17" i="111" s="1"/>
  <c r="AC17" i="107"/>
  <c r="AD10" i="108"/>
  <c r="U21" i="108"/>
  <c r="AC18" i="108"/>
  <c r="U17" i="108"/>
  <c r="U16" i="108"/>
  <c r="U14" i="108"/>
  <c r="U38" i="108" s="1"/>
  <c r="K10" i="111"/>
  <c r="K106" i="107"/>
  <c r="AA10" i="107"/>
  <c r="J42" i="111"/>
  <c r="Z18" i="111" s="1"/>
  <c r="Z18" i="107"/>
  <c r="I10" i="111"/>
  <c r="I106" i="107"/>
  <c r="Y10" i="107"/>
  <c r="H10" i="111"/>
  <c r="H106" i="107"/>
  <c r="X10" i="107"/>
  <c r="C10" i="111"/>
  <c r="C106" i="107"/>
  <c r="S10" i="107"/>
  <c r="G10" i="111"/>
  <c r="G106" i="107"/>
  <c r="W10" i="107"/>
  <c r="N54" i="111"/>
  <c r="AD21" i="111" s="1"/>
  <c r="AD21" i="107"/>
  <c r="F54" i="111"/>
  <c r="V21" i="111" s="1"/>
  <c r="V21" i="107"/>
  <c r="N50" i="111"/>
  <c r="AD20" i="111" s="1"/>
  <c r="AD20" i="107"/>
  <c r="F50" i="111"/>
  <c r="V20" i="111" s="1"/>
  <c r="V20" i="107"/>
  <c r="N46" i="111"/>
  <c r="AD19" i="111" s="1"/>
  <c r="AD19" i="107"/>
  <c r="F46" i="111"/>
  <c r="V19" i="111" s="1"/>
  <c r="V19" i="107"/>
  <c r="N42" i="111"/>
  <c r="AD18" i="111" s="1"/>
  <c r="AD18" i="107"/>
  <c r="F42" i="111"/>
  <c r="V18" i="111" s="1"/>
  <c r="V18" i="107"/>
  <c r="N38" i="111"/>
  <c r="AD17" i="111" s="1"/>
  <c r="AD17" i="107"/>
  <c r="F38" i="111"/>
  <c r="V17" i="111" s="1"/>
  <c r="V17" i="107"/>
  <c r="N34" i="111"/>
  <c r="AD16" i="111" s="1"/>
  <c r="AD16" i="107"/>
  <c r="F34" i="111"/>
  <c r="V16" i="111" s="1"/>
  <c r="V16" i="107"/>
  <c r="N30" i="111"/>
  <c r="AD15" i="111" s="1"/>
  <c r="AD15" i="107"/>
  <c r="F30" i="111"/>
  <c r="V15" i="111" s="1"/>
  <c r="V15" i="107"/>
  <c r="N26" i="111"/>
  <c r="AD14" i="111" s="1"/>
  <c r="AD14" i="107"/>
  <c r="F26" i="111"/>
  <c r="V14" i="111" s="1"/>
  <c r="V14" i="107"/>
  <c r="N22" i="111"/>
  <c r="AD13" i="111" s="1"/>
  <c r="AD13" i="107"/>
  <c r="F22" i="111"/>
  <c r="V13" i="111" s="1"/>
  <c r="V13" i="107"/>
  <c r="N18" i="111"/>
  <c r="AD12" i="111" s="1"/>
  <c r="AD12" i="107"/>
  <c r="F18" i="111"/>
  <c r="V12" i="111" s="1"/>
  <c r="V12" i="107"/>
  <c r="N14" i="111"/>
  <c r="AD11" i="111" s="1"/>
  <c r="AD11" i="107"/>
  <c r="F14" i="111"/>
  <c r="V11" i="111" s="1"/>
  <c r="V11" i="107"/>
  <c r="S10" i="108"/>
  <c r="W10" i="108"/>
  <c r="AD21" i="108"/>
  <c r="V21" i="108"/>
  <c r="AD20" i="108"/>
  <c r="V20" i="108"/>
  <c r="AD19" i="108"/>
  <c r="V19" i="108"/>
  <c r="AD18" i="108"/>
  <c r="V18" i="108"/>
  <c r="AD17" i="108"/>
  <c r="V17" i="108"/>
  <c r="AD16" i="108"/>
  <c r="V16" i="108"/>
  <c r="AD15" i="108"/>
  <c r="V15" i="108"/>
  <c r="AD14" i="108"/>
  <c r="V14" i="108"/>
  <c r="AD13" i="108"/>
  <c r="V13" i="108"/>
  <c r="AD12" i="108"/>
  <c r="V12" i="108"/>
  <c r="AD11" i="108"/>
  <c r="V11" i="108"/>
  <c r="L51" i="111"/>
  <c r="H50" i="111"/>
  <c r="X20" i="111" s="1"/>
  <c r="H46" i="111"/>
  <c r="X19" i="111" s="1"/>
  <c r="D45" i="111"/>
  <c r="D41" i="111"/>
  <c r="L39" i="111"/>
  <c r="O48" i="101"/>
  <c r="P48" i="101"/>
  <c r="AA38" i="111" l="1"/>
  <c r="AA35" i="111"/>
  <c r="T36" i="108"/>
  <c r="T39" i="108"/>
  <c r="V35" i="111"/>
  <c r="V38" i="111"/>
  <c r="V39" i="111"/>
  <c r="V36" i="111"/>
  <c r="S10" i="111"/>
  <c r="W36" i="107"/>
  <c r="W39" i="107"/>
  <c r="Z40" i="107"/>
  <c r="Z37" i="107"/>
  <c r="Z34" i="107"/>
  <c r="Z41" i="107"/>
  <c r="Z42" i="107" s="1"/>
  <c r="T17" i="111"/>
  <c r="AD10" i="111"/>
  <c r="T36" i="107"/>
  <c r="T39" i="107"/>
  <c r="V34" i="108"/>
  <c r="V37" i="108"/>
  <c r="V40" i="108"/>
  <c r="Y38" i="111"/>
  <c r="AA40" i="108"/>
  <c r="AA37" i="108"/>
  <c r="AA34" i="108"/>
  <c r="T40" i="108"/>
  <c r="T34" i="108"/>
  <c r="T37" i="108"/>
  <c r="T40" i="107"/>
  <c r="T34" i="107"/>
  <c r="T41" i="107"/>
  <c r="T37" i="107"/>
  <c r="AB36" i="108"/>
  <c r="AB39" i="108"/>
  <c r="AB20" i="111"/>
  <c r="U39" i="107"/>
  <c r="U36" i="107"/>
  <c r="AA36" i="111"/>
  <c r="AA39" i="111"/>
  <c r="V35" i="108"/>
  <c r="V38" i="108"/>
  <c r="AD35" i="107"/>
  <c r="AD38" i="107"/>
  <c r="X40" i="107"/>
  <c r="X37" i="107"/>
  <c r="X41" i="107"/>
  <c r="X34" i="107"/>
  <c r="AD40" i="108"/>
  <c r="AD34" i="108"/>
  <c r="AD37" i="108"/>
  <c r="W36" i="111"/>
  <c r="W39" i="111"/>
  <c r="AB36" i="107"/>
  <c r="AB39" i="107"/>
  <c r="X36" i="108"/>
  <c r="X39" i="108"/>
  <c r="T36" i="111"/>
  <c r="T39" i="111"/>
  <c r="U38" i="111"/>
  <c r="Y39" i="107"/>
  <c r="Y36" i="107"/>
  <c r="AC38" i="111"/>
  <c r="Z40" i="108"/>
  <c r="Z34" i="108"/>
  <c r="Z37" i="108"/>
  <c r="Z35" i="108"/>
  <c r="Z38" i="108"/>
  <c r="AA35" i="108"/>
  <c r="AA38" i="108"/>
  <c r="AD39" i="107"/>
  <c r="AD36" i="107"/>
  <c r="AA40" i="107"/>
  <c r="AA41" i="107"/>
  <c r="AA42" i="107" s="1"/>
  <c r="AA34" i="107"/>
  <c r="AA37" i="107"/>
  <c r="X36" i="111"/>
  <c r="X39" i="111"/>
  <c r="AD35" i="108"/>
  <c r="AD38" i="108"/>
  <c r="AD35" i="111"/>
  <c r="AD38" i="111"/>
  <c r="AD39" i="111"/>
  <c r="AD36" i="111"/>
  <c r="U36" i="111"/>
  <c r="Z10" i="111"/>
  <c r="AB36" i="111"/>
  <c r="AB39" i="111"/>
  <c r="X38" i="107"/>
  <c r="X35" i="107"/>
  <c r="Z39" i="107"/>
  <c r="Z36" i="107"/>
  <c r="Y39" i="111"/>
  <c r="AB17" i="111"/>
  <c r="S36" i="108"/>
  <c r="S39" i="108"/>
  <c r="AB40" i="108"/>
  <c r="AB34" i="108"/>
  <c r="AB37" i="108"/>
  <c r="T10" i="111"/>
  <c r="U41" i="107"/>
  <c r="U42" i="107" s="1"/>
  <c r="U37" i="107"/>
  <c r="U40" i="107"/>
  <c r="U34" i="107"/>
  <c r="W40" i="108"/>
  <c r="W34" i="108"/>
  <c r="W37" i="108"/>
  <c r="W40" i="107"/>
  <c r="W41" i="107"/>
  <c r="W34" i="107"/>
  <c r="W37" i="107"/>
  <c r="X10" i="111"/>
  <c r="AA10" i="111"/>
  <c r="W39" i="108"/>
  <c r="W36" i="108"/>
  <c r="X38" i="108"/>
  <c r="X35" i="108"/>
  <c r="X38" i="111"/>
  <c r="X35" i="111"/>
  <c r="Z39" i="111"/>
  <c r="Z36" i="111"/>
  <c r="AC39" i="107"/>
  <c r="AC36" i="107"/>
  <c r="AA36" i="108"/>
  <c r="AA39" i="108"/>
  <c r="AB40" i="107"/>
  <c r="AB34" i="107"/>
  <c r="AB41" i="107"/>
  <c r="AB42" i="107" s="1"/>
  <c r="AB37" i="107"/>
  <c r="T38" i="108"/>
  <c r="T35" i="108"/>
  <c r="AB38" i="107"/>
  <c r="AB35" i="107"/>
  <c r="AC34" i="107"/>
  <c r="AC40" i="107"/>
  <c r="AC41" i="107"/>
  <c r="AC37" i="107"/>
  <c r="V35" i="107"/>
  <c r="V38" i="107"/>
  <c r="Y34" i="107"/>
  <c r="Y41" i="107"/>
  <c r="Y37" i="107"/>
  <c r="Y40" i="107"/>
  <c r="W38" i="107"/>
  <c r="W35" i="107"/>
  <c r="Y37" i="108"/>
  <c r="Y40" i="108"/>
  <c r="Y34" i="108"/>
  <c r="Y36" i="111"/>
  <c r="U35" i="108"/>
  <c r="S38" i="107"/>
  <c r="S35" i="107"/>
  <c r="S36" i="107"/>
  <c r="S39" i="107"/>
  <c r="T38" i="107"/>
  <c r="T35" i="107"/>
  <c r="U10" i="111"/>
  <c r="V40" i="107"/>
  <c r="V37" i="107"/>
  <c r="V34" i="107"/>
  <c r="V41" i="107"/>
  <c r="AB38" i="108"/>
  <c r="AB35" i="108"/>
  <c r="AB38" i="111"/>
  <c r="AB35" i="111"/>
  <c r="AC36" i="111"/>
  <c r="V39" i="107"/>
  <c r="V36" i="107"/>
  <c r="V39" i="108"/>
  <c r="V36" i="108"/>
  <c r="S40" i="108"/>
  <c r="S37" i="108"/>
  <c r="S34" i="108"/>
  <c r="W10" i="111"/>
  <c r="W38" i="108"/>
  <c r="W35" i="108"/>
  <c r="W35" i="111"/>
  <c r="W38" i="111"/>
  <c r="Y36" i="108"/>
  <c r="Y35" i="107"/>
  <c r="Y38" i="107"/>
  <c r="U35" i="107"/>
  <c r="U38" i="107"/>
  <c r="Z39" i="108"/>
  <c r="Z36" i="108"/>
  <c r="U39" i="108"/>
  <c r="S38" i="111"/>
  <c r="S35" i="111"/>
  <c r="S39" i="111"/>
  <c r="S36" i="111"/>
  <c r="AB10" i="111"/>
  <c r="AC38" i="108"/>
  <c r="AC34" i="108"/>
  <c r="AC40" i="108"/>
  <c r="AC37" i="108"/>
  <c r="AC10" i="111"/>
  <c r="Z35" i="111"/>
  <c r="Z38" i="111"/>
  <c r="AD39" i="108"/>
  <c r="AD36" i="108"/>
  <c r="S40" i="107"/>
  <c r="S37" i="107"/>
  <c r="S34" i="107"/>
  <c r="S41" i="107"/>
  <c r="Y10" i="111"/>
  <c r="X40" i="108"/>
  <c r="X34" i="108"/>
  <c r="X37" i="108"/>
  <c r="AD40" i="107"/>
  <c r="AD37" i="107"/>
  <c r="AD34" i="107"/>
  <c r="AD41" i="107"/>
  <c r="X36" i="107"/>
  <c r="X39" i="107"/>
  <c r="AC35" i="107"/>
  <c r="AC38" i="107"/>
  <c r="Y35" i="108"/>
  <c r="Y35" i="111"/>
  <c r="U35" i="111"/>
  <c r="Z35" i="107"/>
  <c r="Z38" i="107"/>
  <c r="S38" i="108"/>
  <c r="S35" i="108"/>
  <c r="AA38" i="107"/>
  <c r="AA35" i="107"/>
  <c r="AA36" i="107"/>
  <c r="AA39" i="107"/>
  <c r="U40" i="108"/>
  <c r="U37" i="108"/>
  <c r="U34" i="108"/>
  <c r="V10" i="111"/>
  <c r="T18" i="111"/>
  <c r="T38" i="111" s="1"/>
  <c r="K6" i="98"/>
  <c r="K6" i="99" s="1"/>
  <c r="K6" i="100" s="1"/>
  <c r="K6" i="101" s="1"/>
  <c r="K6" i="109" s="1"/>
  <c r="K6" i="105" s="1"/>
  <c r="K6" i="110" s="1"/>
  <c r="K6" i="103" s="1"/>
  <c r="K5" i="10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G5" i="96"/>
  <c r="K6" i="95"/>
  <c r="K5" i="95"/>
  <c r="G5" i="95"/>
  <c r="K6" i="94"/>
  <c r="G5" i="94"/>
  <c r="G6" i="104"/>
  <c r="G6" i="108" s="1"/>
  <c r="G6" i="110"/>
  <c r="G6" i="100"/>
  <c r="G6" i="98"/>
  <c r="G6" i="96"/>
  <c r="G6" i="103"/>
  <c r="G6" i="107" s="1"/>
  <c r="G6" i="101"/>
  <c r="G6" i="99"/>
  <c r="G6" i="97"/>
  <c r="G6" i="95"/>
  <c r="D6" i="104"/>
  <c r="D6" i="108" s="1"/>
  <c r="D6" i="110"/>
  <c r="D6" i="100"/>
  <c r="D6" i="98"/>
  <c r="D6" i="96"/>
  <c r="D6" i="103"/>
  <c r="D6" i="107" s="1"/>
  <c r="D6" i="101"/>
  <c r="D6" i="99"/>
  <c r="D6" i="97"/>
  <c r="D6" i="95"/>
  <c r="D5" i="100"/>
  <c r="D5" i="98"/>
  <c r="D5" i="96"/>
  <c r="D5" i="94"/>
  <c r="AA40" i="111" l="1"/>
  <c r="AA34" i="111"/>
  <c r="AA37" i="111"/>
  <c r="T40" i="111"/>
  <c r="T34" i="111"/>
  <c r="T37" i="111"/>
  <c r="Z34" i="111"/>
  <c r="Z40" i="111"/>
  <c r="Z37" i="111"/>
  <c r="AD42" i="107"/>
  <c r="Y34" i="111"/>
  <c r="Y40" i="111"/>
  <c r="Y37" i="111"/>
  <c r="U34" i="111"/>
  <c r="U37" i="111"/>
  <c r="U40" i="111"/>
  <c r="AC42" i="107"/>
  <c r="X40" i="111"/>
  <c r="X37" i="111"/>
  <c r="X34" i="111"/>
  <c r="T42" i="107"/>
  <c r="T35" i="111"/>
  <c r="X42" i="107"/>
  <c r="W40" i="111"/>
  <c r="W34" i="111"/>
  <c r="S42" i="107"/>
  <c r="AC40" i="111"/>
  <c r="AC34" i="111"/>
  <c r="AC37" i="111"/>
  <c r="Y42" i="107"/>
  <c r="AD37" i="111"/>
  <c r="AD40" i="111"/>
  <c r="AD34" i="111"/>
  <c r="V34" i="111"/>
  <c r="V37" i="111"/>
  <c r="V40" i="111"/>
  <c r="AB40" i="111"/>
  <c r="AB37" i="111"/>
  <c r="AB34" i="111"/>
  <c r="W37" i="111"/>
  <c r="S40" i="111"/>
  <c r="S34" i="111"/>
  <c r="S37" i="111"/>
  <c r="V42" i="107"/>
  <c r="W42" i="107"/>
  <c r="K6" i="107"/>
  <c r="K6" i="104"/>
  <c r="K6" i="108" s="1"/>
  <c r="K6" i="111" s="1"/>
  <c r="K5" i="104"/>
  <c r="K5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Y39" i="109" s="1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Y19" i="105"/>
  <c r="X19" i="105"/>
  <c r="W19" i="105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A27" i="99" l="1"/>
  <c r="X39" i="105"/>
  <c r="V27" i="103"/>
  <c r="AD27" i="103"/>
  <c r="Z39" i="105"/>
  <c r="W39" i="105"/>
  <c r="AA39" i="105"/>
  <c r="U39" i="109"/>
  <c r="AC39" i="109"/>
  <c r="AA26" i="95"/>
  <c r="AA39" i="101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W38" i="110" s="1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D106" i="110"/>
  <c r="L106" i="110"/>
  <c r="P27" i="110"/>
  <c r="S14" i="110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W33" i="108" l="1"/>
  <c r="W41" i="108" s="1"/>
  <c r="W42" i="108" s="1"/>
  <c r="G105" i="111"/>
  <c r="G106" i="108"/>
  <c r="F105" i="111"/>
  <c r="V33" i="108"/>
  <c r="V41" i="108" s="1"/>
  <c r="V42" i="108" s="1"/>
  <c r="F106" i="108"/>
  <c r="AF28" i="101"/>
  <c r="E105" i="111"/>
  <c r="U33" i="108"/>
  <c r="U41" i="108" s="1"/>
  <c r="U42" i="108" s="1"/>
  <c r="E106" i="108"/>
  <c r="D105" i="111"/>
  <c r="T33" i="108"/>
  <c r="T41" i="108" s="1"/>
  <c r="T42" i="108" s="1"/>
  <c r="D106" i="108"/>
  <c r="N105" i="111"/>
  <c r="AD33" i="108"/>
  <c r="AD41" i="108" s="1"/>
  <c r="AD42" i="108" s="1"/>
  <c r="N106" i="108"/>
  <c r="M105" i="111"/>
  <c r="AC33" i="108"/>
  <c r="AC41" i="108" s="1"/>
  <c r="AC42" i="108" s="1"/>
  <c r="M106" i="108"/>
  <c r="AB33" i="108"/>
  <c r="AB41" i="108" s="1"/>
  <c r="AB42" i="108" s="1"/>
  <c r="L105" i="111"/>
  <c r="L106" i="108"/>
  <c r="AA33" i="108"/>
  <c r="AA41" i="108" s="1"/>
  <c r="AA42" i="108" s="1"/>
  <c r="K105" i="111"/>
  <c r="K106" i="108"/>
  <c r="J105" i="111"/>
  <c r="Z33" i="108"/>
  <c r="Z41" i="108" s="1"/>
  <c r="Z42" i="108" s="1"/>
  <c r="J106" i="108"/>
  <c r="Y33" i="108"/>
  <c r="Y41" i="108" s="1"/>
  <c r="Y42" i="108" s="1"/>
  <c r="I105" i="111"/>
  <c r="I106" i="108"/>
  <c r="H105" i="111"/>
  <c r="X33" i="108"/>
  <c r="X41" i="108" s="1"/>
  <c r="X42" i="108" s="1"/>
  <c r="H106" i="108"/>
  <c r="S33" i="108"/>
  <c r="S41" i="108" s="1"/>
  <c r="S42" i="108" s="1"/>
  <c r="C105" i="111"/>
  <c r="P105" i="108"/>
  <c r="AF33" i="108" s="1"/>
  <c r="O105" i="108"/>
  <c r="AE33" i="108" s="1"/>
  <c r="C106" i="108"/>
  <c r="AF32" i="101"/>
  <c r="AF33" i="101"/>
  <c r="S38" i="110"/>
  <c r="AB26" i="98"/>
  <c r="Y38" i="105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24" i="94"/>
  <c r="W27" i="95"/>
  <c r="W24" i="95"/>
  <c r="AB24" i="98"/>
  <c r="W26" i="96"/>
  <c r="AC26" i="97"/>
  <c r="AC23" i="97"/>
  <c r="AC24" i="94"/>
  <c r="Y24" i="94"/>
  <c r="S27" i="94"/>
  <c r="AA38" i="110"/>
  <c r="W24" i="94"/>
  <c r="W27" i="94"/>
  <c r="S26" i="94"/>
  <c r="U23" i="97"/>
  <c r="AA27" i="94"/>
  <c r="U27" i="95"/>
  <c r="U24" i="95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AF14" i="108" s="1"/>
  <c r="U24" i="94"/>
  <c r="AC26" i="94"/>
  <c r="O51" i="108"/>
  <c r="O47" i="108"/>
  <c r="O26" i="108"/>
  <c r="O22" i="108"/>
  <c r="O18" i="108"/>
  <c r="P54" i="108"/>
  <c r="AF21" i="108" s="1"/>
  <c r="O50" i="108"/>
  <c r="AE20" i="108" s="1"/>
  <c r="O44" i="108"/>
  <c r="O46" i="108"/>
  <c r="AE19" i="108" s="1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AF20" i="108" s="1"/>
  <c r="P42" i="108"/>
  <c r="P34" i="108"/>
  <c r="AF16" i="108" s="1"/>
  <c r="O54" i="108"/>
  <c r="AE21" i="108" s="1"/>
  <c r="O42" i="108"/>
  <c r="AE18" i="108" s="1"/>
  <c r="O34" i="108"/>
  <c r="P18" i="108"/>
  <c r="AF12" i="108" s="1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AE19" i="107" s="1"/>
  <c r="P46" i="107"/>
  <c r="P45" i="107"/>
  <c r="O45" i="107"/>
  <c r="O44" i="107"/>
  <c r="P44" i="107"/>
  <c r="O43" i="107"/>
  <c r="P43" i="107"/>
  <c r="O42" i="107"/>
  <c r="AE18" i="107" s="1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AE14" i="107" s="1"/>
  <c r="O23" i="107"/>
  <c r="O21" i="107"/>
  <c r="O18" i="107"/>
  <c r="O16" i="107"/>
  <c r="O14" i="107"/>
  <c r="AE11" i="107" s="1"/>
  <c r="O12" i="107"/>
  <c r="P26" i="107"/>
  <c r="P38" i="107"/>
  <c r="AF17" i="107" s="1"/>
  <c r="P30" i="107"/>
  <c r="AF15" i="107" s="1"/>
  <c r="P34" i="107"/>
  <c r="AF16" i="107" s="1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E13" i="107" l="1"/>
  <c r="AE11" i="108"/>
  <c r="AE17" i="108"/>
  <c r="AF13" i="108"/>
  <c r="X33" i="111"/>
  <c r="X41" i="111" s="1"/>
  <c r="X42" i="111" s="1"/>
  <c r="H106" i="111"/>
  <c r="AA33" i="111"/>
  <c r="AA41" i="111" s="1"/>
  <c r="AA42" i="111" s="1"/>
  <c r="K106" i="111"/>
  <c r="U33" i="111"/>
  <c r="U41" i="111" s="1"/>
  <c r="U42" i="111" s="1"/>
  <c r="E106" i="111"/>
  <c r="AE17" i="107"/>
  <c r="AF13" i="107"/>
  <c r="AE12" i="108"/>
  <c r="AF19" i="108"/>
  <c r="O106" i="107"/>
  <c r="AE10" i="107"/>
  <c r="AF14" i="107"/>
  <c r="AF12" i="107"/>
  <c r="AE16" i="108"/>
  <c r="AE13" i="108"/>
  <c r="Y33" i="111"/>
  <c r="Y41" i="111" s="1"/>
  <c r="Y42" i="111" s="1"/>
  <c r="I106" i="111"/>
  <c r="AD33" i="111"/>
  <c r="AD41" i="111" s="1"/>
  <c r="AD42" i="111" s="1"/>
  <c r="N106" i="111"/>
  <c r="P106" i="107"/>
  <c r="AF10" i="107"/>
  <c r="AE14" i="108"/>
  <c r="P106" i="108"/>
  <c r="H107" i="108" s="1"/>
  <c r="AF10" i="108"/>
  <c r="AB33" i="111"/>
  <c r="AB41" i="111" s="1"/>
  <c r="AB42" i="111" s="1"/>
  <c r="L106" i="111"/>
  <c r="AE15" i="108"/>
  <c r="S33" i="111"/>
  <c r="S41" i="111" s="1"/>
  <c r="S42" i="111" s="1"/>
  <c r="P105" i="111"/>
  <c r="AF33" i="111" s="1"/>
  <c r="O105" i="111"/>
  <c r="AE33" i="111" s="1"/>
  <c r="C106" i="111"/>
  <c r="V33" i="111"/>
  <c r="V41" i="111" s="1"/>
  <c r="V42" i="111" s="1"/>
  <c r="F106" i="111"/>
  <c r="AE16" i="107"/>
  <c r="AE36" i="108"/>
  <c r="AE39" i="108"/>
  <c r="O106" i="108"/>
  <c r="H108" i="108" s="1"/>
  <c r="AE10" i="108"/>
  <c r="T33" i="111"/>
  <c r="T41" i="111" s="1"/>
  <c r="T42" i="111" s="1"/>
  <c r="D106" i="111"/>
  <c r="AE15" i="107"/>
  <c r="AE12" i="107"/>
  <c r="AF18" i="107"/>
  <c r="AF19" i="107"/>
  <c r="AF20" i="107"/>
  <c r="AE21" i="107"/>
  <c r="AF18" i="108"/>
  <c r="AF11" i="108"/>
  <c r="AF17" i="108"/>
  <c r="S42" i="110"/>
  <c r="Z33" i="111"/>
  <c r="Z41" i="111" s="1"/>
  <c r="Z42" i="111" s="1"/>
  <c r="J106" i="111"/>
  <c r="W33" i="111"/>
  <c r="W41" i="111" s="1"/>
  <c r="W42" i="111" s="1"/>
  <c r="G106" i="111"/>
  <c r="AE20" i="107"/>
  <c r="AE36" i="107" s="1"/>
  <c r="AF21" i="107"/>
  <c r="AF11" i="107"/>
  <c r="AF15" i="108"/>
  <c r="AC33" i="111"/>
  <c r="AC41" i="111" s="1"/>
  <c r="AC42" i="111" s="1"/>
  <c r="M106" i="111"/>
  <c r="V22" i="93"/>
  <c r="AE24" i="98"/>
  <c r="X42" i="109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AF20" i="111" s="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AE21" i="111" s="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AE17" i="111" s="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C107" i="107"/>
  <c r="F107" i="105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E40" i="107" l="1"/>
  <c r="AE34" i="107"/>
  <c r="AE41" i="107"/>
  <c r="AE42" i="107" s="1"/>
  <c r="AE37" i="107"/>
  <c r="AF15" i="111"/>
  <c r="AE11" i="111"/>
  <c r="AE16" i="111"/>
  <c r="AE20" i="111"/>
  <c r="AF36" i="108"/>
  <c r="AF39" i="108"/>
  <c r="AE14" i="111"/>
  <c r="AE13" i="111"/>
  <c r="AE39" i="107"/>
  <c r="AF40" i="108"/>
  <c r="AF34" i="108"/>
  <c r="AF37" i="108"/>
  <c r="AF41" i="108"/>
  <c r="AF42" i="108" s="1"/>
  <c r="AF11" i="111"/>
  <c r="AE19" i="111"/>
  <c r="AF16" i="111"/>
  <c r="AE18" i="111"/>
  <c r="P106" i="111"/>
  <c r="N107" i="111" s="1"/>
  <c r="AF10" i="111"/>
  <c r="AE38" i="108"/>
  <c r="AE35" i="108"/>
  <c r="AF38" i="107"/>
  <c r="AF35" i="107"/>
  <c r="AF38" i="108"/>
  <c r="AF35" i="108"/>
  <c r="AF13" i="111"/>
  <c r="AF19" i="111"/>
  <c r="AE40" i="108"/>
  <c r="AE34" i="108"/>
  <c r="AE41" i="108"/>
  <c r="AF12" i="111"/>
  <c r="AF18" i="111"/>
  <c r="AE15" i="111"/>
  <c r="AF17" i="111"/>
  <c r="AF14" i="111"/>
  <c r="AF40" i="107"/>
  <c r="AF37" i="107"/>
  <c r="AF34" i="107"/>
  <c r="AF41" i="107"/>
  <c r="AE37" i="108"/>
  <c r="O106" i="111"/>
  <c r="K108" i="111" s="1"/>
  <c r="AE10" i="111"/>
  <c r="AF21" i="111"/>
  <c r="AF36" i="107"/>
  <c r="AF39" i="107"/>
  <c r="AE38" i="107"/>
  <c r="AE35" i="107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40" i="111" l="1"/>
  <c r="AE34" i="111"/>
  <c r="AE37" i="111"/>
  <c r="AE41" i="111"/>
  <c r="AF38" i="111"/>
  <c r="AF35" i="111"/>
  <c r="AE38" i="111"/>
  <c r="AE35" i="111"/>
  <c r="AF42" i="107"/>
  <c r="AE39" i="111"/>
  <c r="AE36" i="111"/>
  <c r="AF40" i="111"/>
  <c r="AF37" i="111"/>
  <c r="AF34" i="111"/>
  <c r="AF41" i="111"/>
  <c r="AF42" i="111" s="1"/>
  <c r="AE42" i="108"/>
  <c r="AF36" i="111"/>
  <c r="AF39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E42" i="111" l="1"/>
</calcChain>
</file>

<file path=xl/sharedStrings.xml><?xml version="1.0" encoding="utf-8"?>
<sst xmlns="http://schemas.openxmlformats.org/spreadsheetml/2006/main" count="2340" uniqueCount="183">
  <si>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</si>
  <si>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</si>
  <si>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</si>
  <si>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</si>
  <si>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</si>
  <si>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</si>
  <si>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</si>
  <si>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</si>
  <si>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</si>
  <si>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</si>
  <si>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</si>
  <si>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</si>
  <si>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</si>
  <si>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</si>
  <si>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</si>
  <si>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</si>
  <si>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</si>
  <si>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</si>
  <si>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</si>
  <si>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</si>
  <si>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</si>
  <si>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</si>
  <si>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</si>
  <si>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</si>
  <si>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</si>
  <si>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</si>
  <si>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</si>
  <si>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</si>
  <si>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</si>
  <si>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</si>
  <si>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</si>
  <si>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</si>
  <si>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</si>
  <si>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</si>
  <si>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</si>
  <si>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</si>
  <si>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</si>
  <si>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</si>
  <si>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</si>
  <si>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</si>
  <si>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</si>
  <si>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</si>
  <si>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</si>
  <si>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</si>
  <si>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</si>
  <si>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</si>
  <si>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</si>
  <si>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</si>
  <si>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</si>
  <si>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</si>
  <si>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</si>
  <si>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</si>
  <si>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</si>
  <si>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</si>
  <si>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</si>
  <si>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</si>
  <si>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</si>
  <si>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</si>
  <si>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</si>
  <si>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</si>
  <si>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</si>
  <si>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</si>
  <si>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</si>
  <si>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</si>
  <si>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</si>
  <si>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</si>
  <si>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</si>
  <si>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</si>
  <si>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</si>
  <si>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</si>
  <si>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</si>
  <si>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</si>
  <si>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</si>
  <si>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</si>
  <si>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</si>
  <si>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</si>
  <si>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</si>
  <si>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</si>
  <si>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</si>
  <si>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</si>
  <si>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</si>
  <si>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</si>
  <si>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</si>
  <si>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</si>
  <si>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</si>
  <si>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</si>
  <si>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</si>
  <si>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</si>
  <si>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</si>
  <si>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</si>
  <si>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</si>
  <si>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</si>
  <si>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</si>
  <si>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</si>
  <si>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</si>
  <si>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</si>
  <si>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</si>
  <si>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</si>
  <si>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</si>
  <si>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</si>
  <si>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</si>
  <si>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</si>
  <si>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</si>
  <si>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</si>
  <si>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</si>
  <si>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</si>
  <si>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</si>
  <si>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</si>
  <si>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</si>
  <si>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</si>
  <si>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</si>
  <si>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</si>
  <si>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</si>
  <si>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</si>
  <si>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</si>
  <si>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</si>
  <si>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</si>
  <si>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</si>
  <si>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</si>
  <si>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</si>
  <si>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</si>
  <si>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</si>
  <si>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</si>
  <si>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</si>
  <si>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</si>
  <si>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</si>
  <si>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</si>
  <si>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</si>
  <si>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</si>
  <si>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</si>
  <si>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</si>
  <si>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</si>
  <si>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</si>
  <si>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</si>
  <si>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</si>
  <si>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</si>
  <si>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</si>
  <si>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</si>
  <si>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</si>
  <si>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</si>
  <si>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</si>
  <si>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</si>
  <si>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</si>
  <si>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</si>
  <si>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</si>
  <si>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</si>
  <si>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</si>
  <si>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</si>
  <si>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</si>
  <si>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</si>
  <si>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</si>
  <si>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</si>
  <si>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</si>
  <si>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</si>
  <si>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</si>
  <si>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</si>
  <si>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</si>
  <si>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</si>
  <si>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</si>
  <si>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</si>
  <si>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</si>
  <si>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</si>
  <si>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25.07.19</t>
  </si>
  <si>
    <t>AVERAGE WEEK</t>
  </si>
  <si>
    <t>17.10.19</t>
  </si>
  <si>
    <t>Jinja</t>
  </si>
  <si>
    <t>Kampala</t>
  </si>
  <si>
    <t>Nakibbizi</t>
  </si>
  <si>
    <t>Micheal</t>
  </si>
  <si>
    <t>Emma</t>
  </si>
  <si>
    <t>Jerome</t>
  </si>
  <si>
    <t>MCC - C 4- STN19 -Kampala-Jinja highway</t>
  </si>
  <si>
    <t>18.10.19</t>
  </si>
  <si>
    <t>19.10.19</t>
  </si>
  <si>
    <t>jerome</t>
  </si>
  <si>
    <t>20.10.19</t>
  </si>
  <si>
    <t>21.10.19</t>
  </si>
  <si>
    <t>MICHEAL</t>
  </si>
  <si>
    <t xml:space="preserve">  </t>
  </si>
  <si>
    <t>JEROME</t>
  </si>
  <si>
    <t>23.10.19</t>
  </si>
  <si>
    <t>xxxx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</si>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</sst>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jinja-kampala'!$AE$9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jinja-kampala'!$AE$10:$AE$21</c:f>
              <c:numCache>
                <c:formatCode>0</c:formatCode>
                <c:ptCount val="12"/>
                <c:pt idx="0">
                  <c:v>279</c:v>
                </c:pt>
                <c:pt idx="1">
                  <c:v>302</c:v>
                </c:pt>
                <c:pt idx="2">
                  <c:v>269</c:v>
                </c:pt>
                <c:pt idx="3">
                  <c:v>250</c:v>
                </c:pt>
                <c:pt idx="4">
                  <c:v>250</c:v>
                </c:pt>
                <c:pt idx="5">
                  <c:v>248</c:v>
                </c:pt>
                <c:pt idx="6">
                  <c:v>284</c:v>
                </c:pt>
                <c:pt idx="7">
                  <c:v>312</c:v>
                </c:pt>
                <c:pt idx="8">
                  <c:v>337</c:v>
                </c:pt>
                <c:pt idx="9">
                  <c:v>301</c:v>
                </c:pt>
                <c:pt idx="10">
                  <c:v>340</c:v>
                </c:pt>
                <c:pt idx="11">
                  <c:v>289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'17.10 jinja-kampala'!$AF$9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jinja-kampala'!$AF$10:$AF$21</c:f>
              <c:numCache>
                <c:formatCode>0</c:formatCode>
                <c:ptCount val="12"/>
                <c:pt idx="0">
                  <c:v>361</c:v>
                </c:pt>
                <c:pt idx="1">
                  <c:v>380</c:v>
                </c:pt>
                <c:pt idx="2">
                  <c:v>335</c:v>
                </c:pt>
                <c:pt idx="3">
                  <c:v>321</c:v>
                </c:pt>
                <c:pt idx="4">
                  <c:v>330</c:v>
                </c:pt>
                <c:pt idx="5">
                  <c:v>313</c:v>
                </c:pt>
                <c:pt idx="6">
                  <c:v>376</c:v>
                </c:pt>
                <c:pt idx="7">
                  <c:v>405</c:v>
                </c:pt>
                <c:pt idx="8">
                  <c:v>408</c:v>
                </c:pt>
                <c:pt idx="9">
                  <c:v>403</c:v>
                </c:pt>
                <c:pt idx="10">
                  <c:v>447</c:v>
                </c:pt>
                <c:pt idx="11">
                  <c:v>353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001808"/>
        <c:axId val="664001264"/>
      </c:lineChart>
      <c:catAx>
        <c:axId val="664001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4001264"/>
        <c:crosses val="autoZero"/>
        <c:auto val="1"/>
        <c:lblAlgn val="ctr"/>
        <c:lblOffset val="100"/>
        <c:noMultiLvlLbl val="0"/>
      </c:catAx>
      <c:valAx>
        <c:axId val="664001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400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jinja-kampala'!$C$9:$N$9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jinja-kampala'!$C$59:$N$59</c:f>
              <c:numCache>
                <c:formatCode>0.0%</c:formatCode>
                <c:ptCount val="12"/>
                <c:pt idx="0">
                  <c:v>0.14598375451263537</c:v>
                </c:pt>
                <c:pt idx="1">
                  <c:v>3.6101083032490974E-2</c:v>
                </c:pt>
                <c:pt idx="2">
                  <c:v>3.8583032490974729E-2</c:v>
                </c:pt>
                <c:pt idx="3">
                  <c:v>0.28858303249097472</c:v>
                </c:pt>
                <c:pt idx="4">
                  <c:v>7.6714801444043319E-3</c:v>
                </c:pt>
                <c:pt idx="5">
                  <c:v>6.3176895306859202E-3</c:v>
                </c:pt>
                <c:pt idx="6">
                  <c:v>5.2120938628158843E-2</c:v>
                </c:pt>
                <c:pt idx="7">
                  <c:v>5.3023465703971116E-2</c:v>
                </c:pt>
                <c:pt idx="8">
                  <c:v>1.4666064981949459E-2</c:v>
                </c:pt>
                <c:pt idx="9">
                  <c:v>0.13109205776173286</c:v>
                </c:pt>
                <c:pt idx="10">
                  <c:v>0.21908844765342961</c:v>
                </c:pt>
                <c:pt idx="11">
                  <c:v>6.7689530685920577E-3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jinja-kampala'!$C$9:$N$9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jinja-kampala'!$C$60:$N$60</c:f>
              <c:numCache>
                <c:formatCode>0.00%</c:formatCode>
                <c:ptCount val="12"/>
                <c:pt idx="0">
                  <c:v>0.18694019069633053</c:v>
                </c:pt>
                <c:pt idx="1">
                  <c:v>4.6229413464316672E-2</c:v>
                </c:pt>
                <c:pt idx="2">
                  <c:v>4.9407685639988444E-2</c:v>
                </c:pt>
                <c:pt idx="3">
                  <c:v>0.36954637388038142</c:v>
                </c:pt>
                <c:pt idx="4">
                  <c:v>9.8237503611672931E-3</c:v>
                </c:pt>
                <c:pt idx="5">
                  <c:v>8.0901473562554182E-3</c:v>
                </c:pt>
                <c:pt idx="6">
                  <c:v>6.6743715689107197E-2</c:v>
                </c:pt>
                <c:pt idx="7">
                  <c:v>6.789945102571511E-2</c:v>
                </c:pt>
                <c:pt idx="8">
                  <c:v>1.8780699219878648E-2</c:v>
                </c:pt>
                <c:pt idx="9">
                  <c:v>0.16787055764229991</c:v>
                </c:pt>
                <c:pt idx="11">
                  <c:v>8.6680150245593765E-3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Kampala-Jinja'!$AE$9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Kampala-Jinja'!$AE$10:$AE$21</c:f>
              <c:numCache>
                <c:formatCode>0</c:formatCode>
                <c:ptCount val="12"/>
                <c:pt idx="0">
                  <c:v>327</c:v>
                </c:pt>
                <c:pt idx="1">
                  <c:v>206</c:v>
                </c:pt>
                <c:pt idx="2">
                  <c:v>234</c:v>
                </c:pt>
                <c:pt idx="3">
                  <c:v>188</c:v>
                </c:pt>
                <c:pt idx="4">
                  <c:v>272</c:v>
                </c:pt>
                <c:pt idx="5">
                  <c:v>291</c:v>
                </c:pt>
                <c:pt idx="6">
                  <c:v>296</c:v>
                </c:pt>
                <c:pt idx="7">
                  <c:v>275</c:v>
                </c:pt>
                <c:pt idx="8">
                  <c:v>326</c:v>
                </c:pt>
                <c:pt idx="9">
                  <c:v>286</c:v>
                </c:pt>
                <c:pt idx="10">
                  <c:v>301</c:v>
                </c:pt>
                <c:pt idx="11">
                  <c:v>332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'17.10 Kampala-Jinja'!$AF$9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Kampala-Jinja'!$AF$10:$AF$21</c:f>
              <c:numCache>
                <c:formatCode>0</c:formatCode>
                <c:ptCount val="12"/>
                <c:pt idx="0">
                  <c:v>418</c:v>
                </c:pt>
                <c:pt idx="1">
                  <c:v>265</c:v>
                </c:pt>
                <c:pt idx="2">
                  <c:v>291</c:v>
                </c:pt>
                <c:pt idx="3">
                  <c:v>267</c:v>
                </c:pt>
                <c:pt idx="4">
                  <c:v>342</c:v>
                </c:pt>
                <c:pt idx="5">
                  <c:v>353</c:v>
                </c:pt>
                <c:pt idx="6">
                  <c:v>367</c:v>
                </c:pt>
                <c:pt idx="7">
                  <c:v>339</c:v>
                </c:pt>
                <c:pt idx="8">
                  <c:v>394</c:v>
                </c:pt>
                <c:pt idx="9">
                  <c:v>372</c:v>
                </c:pt>
                <c:pt idx="10">
                  <c:v>390</c:v>
                </c:pt>
                <c:pt idx="11">
                  <c:v>394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002352"/>
        <c:axId val="664000176"/>
      </c:lineChart>
      <c:catAx>
        <c:axId val="6640023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4000176"/>
        <c:crosses val="autoZero"/>
        <c:auto val="1"/>
        <c:lblAlgn val="ctr"/>
        <c:lblOffset val="100"/>
        <c:noMultiLvlLbl val="0"/>
      </c:catAx>
      <c:valAx>
        <c:axId val="664000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400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Kampala-Jinja'!$C$9:$N$9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Kampala-Jinja'!$C$59:$N$59</c:f>
              <c:numCache>
                <c:formatCode>0.0%</c:formatCode>
                <c:ptCount val="12"/>
                <c:pt idx="0">
                  <c:v>0.12309160305343511</c:v>
                </c:pt>
                <c:pt idx="1">
                  <c:v>5.6059160305343511E-2</c:v>
                </c:pt>
                <c:pt idx="2">
                  <c:v>3.7929389312977096E-2</c:v>
                </c:pt>
                <c:pt idx="3">
                  <c:v>0.3151240458015267</c:v>
                </c:pt>
                <c:pt idx="4">
                  <c:v>1.0257633587786259E-2</c:v>
                </c:pt>
                <c:pt idx="5">
                  <c:v>5.0095419847328241E-3</c:v>
                </c:pt>
                <c:pt idx="6">
                  <c:v>4.6278625954198474E-2</c:v>
                </c:pt>
                <c:pt idx="7">
                  <c:v>6.0830152671755726E-2</c:v>
                </c:pt>
                <c:pt idx="8">
                  <c:v>2.0515267175572519E-2</c:v>
                </c:pt>
                <c:pt idx="9">
                  <c:v>0.11975190839694656</c:v>
                </c:pt>
                <c:pt idx="10">
                  <c:v>0.20467557251908397</c:v>
                </c:pt>
                <c:pt idx="11">
                  <c:v>4.7709923664122136E-4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Kampala-Jinja'!$S$9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'17.10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Kampala-Jinja'!$S$10:$S$21</c:f>
              <c:numCache>
                <c:formatCode>0</c:formatCode>
                <c:ptCount val="12"/>
                <c:pt idx="0">
                  <c:v>97</c:v>
                </c:pt>
                <c:pt idx="1">
                  <c:v>32</c:v>
                </c:pt>
                <c:pt idx="2">
                  <c:v>35</c:v>
                </c:pt>
                <c:pt idx="3">
                  <c:v>28</c:v>
                </c:pt>
                <c:pt idx="4">
                  <c:v>52</c:v>
                </c:pt>
                <c:pt idx="5">
                  <c:v>43</c:v>
                </c:pt>
                <c:pt idx="6">
                  <c:v>51</c:v>
                </c:pt>
                <c:pt idx="7">
                  <c:v>31</c:v>
                </c:pt>
                <c:pt idx="8">
                  <c:v>39</c:v>
                </c:pt>
                <c:pt idx="9">
                  <c:v>36</c:v>
                </c:pt>
                <c:pt idx="10">
                  <c:v>25</c:v>
                </c:pt>
                <c:pt idx="11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'17.10 Kampala-Jinja'!$T$9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'17.10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Kampala-Jinja'!$T$10:$T$21</c:f>
              <c:numCache>
                <c:formatCode>0</c:formatCode>
                <c:ptCount val="12"/>
                <c:pt idx="0">
                  <c:v>26</c:v>
                </c:pt>
                <c:pt idx="1">
                  <c:v>15</c:v>
                </c:pt>
                <c:pt idx="2">
                  <c:v>18</c:v>
                </c:pt>
                <c:pt idx="3">
                  <c:v>12</c:v>
                </c:pt>
                <c:pt idx="4">
                  <c:v>22</c:v>
                </c:pt>
                <c:pt idx="5">
                  <c:v>29</c:v>
                </c:pt>
                <c:pt idx="6">
                  <c:v>19</c:v>
                </c:pt>
                <c:pt idx="7">
                  <c:v>14</c:v>
                </c:pt>
                <c:pt idx="8">
                  <c:v>23</c:v>
                </c:pt>
                <c:pt idx="9">
                  <c:v>17</c:v>
                </c:pt>
                <c:pt idx="10">
                  <c:v>18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'17.10 Kampala-Jinja'!$U$9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'17.10 Kampala-Jinja'!$U$10:$U$21</c:f>
              <c:numCache>
                <c:formatCode>0</c:formatCode>
                <c:ptCount val="12"/>
                <c:pt idx="0">
                  <c:v>11</c:v>
                </c:pt>
                <c:pt idx="1">
                  <c:v>13</c:v>
                </c:pt>
                <c:pt idx="2">
                  <c:v>11</c:v>
                </c:pt>
                <c:pt idx="3">
                  <c:v>8</c:v>
                </c:pt>
                <c:pt idx="4">
                  <c:v>12</c:v>
                </c:pt>
                <c:pt idx="5">
                  <c:v>21</c:v>
                </c:pt>
                <c:pt idx="6">
                  <c:v>10</c:v>
                </c:pt>
                <c:pt idx="7">
                  <c:v>14</c:v>
                </c:pt>
                <c:pt idx="8">
                  <c:v>15</c:v>
                </c:pt>
                <c:pt idx="9">
                  <c:v>13</c:v>
                </c:pt>
                <c:pt idx="10">
                  <c:v>12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'17.10 Kampala-Jinja'!$V$9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'17.10 Kampala-Jinja'!$V$10:$V$21</c:f>
              <c:numCache>
                <c:formatCode>0</c:formatCode>
                <c:ptCount val="12"/>
                <c:pt idx="0">
                  <c:v>107</c:v>
                </c:pt>
                <c:pt idx="1">
                  <c:v>101</c:v>
                </c:pt>
                <c:pt idx="2">
                  <c:v>121</c:v>
                </c:pt>
                <c:pt idx="3">
                  <c:v>93</c:v>
                </c:pt>
                <c:pt idx="4">
                  <c:v>97</c:v>
                </c:pt>
                <c:pt idx="5">
                  <c:v>127</c:v>
                </c:pt>
                <c:pt idx="6">
                  <c:v>125</c:v>
                </c:pt>
                <c:pt idx="7">
                  <c:v>115</c:v>
                </c:pt>
                <c:pt idx="8">
                  <c:v>111</c:v>
                </c:pt>
                <c:pt idx="9">
                  <c:v>91</c:v>
                </c:pt>
                <c:pt idx="10">
                  <c:v>128</c:v>
                </c:pt>
                <c:pt idx="11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'17.10 Kampala-Jinja'!$W$9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'17.10 Kampala-Jinja'!$W$10:$W$21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'17.10 Kampala-Jinja'!$X$9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'17.10 Kampala-Jinja'!$X$10:$X$21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'17.10 Kampala-Jinja'!$Y$9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Kampala-Jinja'!$Y$10:$Y$21</c:f>
              <c:numCache>
                <c:formatCode>0</c:formatCode>
                <c:ptCount val="12"/>
                <c:pt idx="0">
                  <c:v>17</c:v>
                </c:pt>
                <c:pt idx="1">
                  <c:v>8</c:v>
                </c:pt>
                <c:pt idx="2">
                  <c:v>14</c:v>
                </c:pt>
                <c:pt idx="3">
                  <c:v>13</c:v>
                </c:pt>
                <c:pt idx="4">
                  <c:v>26</c:v>
                </c:pt>
                <c:pt idx="5">
                  <c:v>11</c:v>
                </c:pt>
                <c:pt idx="6">
                  <c:v>16</c:v>
                </c:pt>
                <c:pt idx="7">
                  <c:v>19</c:v>
                </c:pt>
                <c:pt idx="8">
                  <c:v>17</c:v>
                </c:pt>
                <c:pt idx="9">
                  <c:v>16</c:v>
                </c:pt>
                <c:pt idx="10">
                  <c:v>16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'17.10 Kampala-Jinja'!$Z$9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Kampala-Jinja'!$Z$10:$Z$21</c:f>
              <c:numCache>
                <c:formatCode>0</c:formatCode>
                <c:ptCount val="12"/>
                <c:pt idx="0">
                  <c:v>28</c:v>
                </c:pt>
                <c:pt idx="1">
                  <c:v>10</c:v>
                </c:pt>
                <c:pt idx="2">
                  <c:v>14</c:v>
                </c:pt>
                <c:pt idx="3">
                  <c:v>13</c:v>
                </c:pt>
                <c:pt idx="4">
                  <c:v>25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38</c:v>
                </c:pt>
                <c:pt idx="9">
                  <c:v>22</c:v>
                </c:pt>
                <c:pt idx="10">
                  <c:v>30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'17.10 Kampala-Jinja'!$AA$9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Kampala-Jinja'!$AA$10:$AA$21</c:f>
              <c:numCache>
                <c:formatCode>0</c:formatCode>
                <c:ptCount val="12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12</c:v>
                </c:pt>
                <c:pt idx="8">
                  <c:v>6</c:v>
                </c:pt>
                <c:pt idx="9">
                  <c:v>10</c:v>
                </c:pt>
                <c:pt idx="10">
                  <c:v>5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'17.10 Kampala-Jinja'!$AB$9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Kampala-Jinja'!$AB$10:$AB$21</c:f>
              <c:numCache>
                <c:formatCode>0</c:formatCode>
                <c:ptCount val="12"/>
                <c:pt idx="0">
                  <c:v>28</c:v>
                </c:pt>
                <c:pt idx="1">
                  <c:v>16</c:v>
                </c:pt>
                <c:pt idx="2">
                  <c:v>10</c:v>
                </c:pt>
                <c:pt idx="3">
                  <c:v>10</c:v>
                </c:pt>
                <c:pt idx="4">
                  <c:v>30</c:v>
                </c:pt>
                <c:pt idx="5">
                  <c:v>30</c:v>
                </c:pt>
                <c:pt idx="6">
                  <c:v>46</c:v>
                </c:pt>
                <c:pt idx="7">
                  <c:v>47</c:v>
                </c:pt>
                <c:pt idx="8">
                  <c:v>71</c:v>
                </c:pt>
                <c:pt idx="9">
                  <c:v>76</c:v>
                </c:pt>
                <c:pt idx="10">
                  <c:v>62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'17.10 Kampala-Jinja'!$AC$9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Kampala-Jinja'!$AC$10:$AC$21</c:f>
              <c:numCache>
                <c:formatCode>0</c:formatCode>
                <c:ptCount val="12"/>
                <c:pt idx="0">
                  <c:v>91</c:v>
                </c:pt>
                <c:pt idx="1">
                  <c:v>59</c:v>
                </c:pt>
                <c:pt idx="2">
                  <c:v>57</c:v>
                </c:pt>
                <c:pt idx="3">
                  <c:v>79</c:v>
                </c:pt>
                <c:pt idx="4">
                  <c:v>70</c:v>
                </c:pt>
                <c:pt idx="5">
                  <c:v>62</c:v>
                </c:pt>
                <c:pt idx="6">
                  <c:v>71</c:v>
                </c:pt>
                <c:pt idx="7">
                  <c:v>64</c:v>
                </c:pt>
                <c:pt idx="8">
                  <c:v>68</c:v>
                </c:pt>
                <c:pt idx="9">
                  <c:v>86</c:v>
                </c:pt>
                <c:pt idx="10">
                  <c:v>89</c:v>
                </c:pt>
                <c:pt idx="11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'17.10 Kampala-Jinja'!$AD$9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Kampala-Jinja'!$AD$10:$AD$21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007792"/>
        <c:axId val="663854784"/>
      </c:lineChart>
      <c:catAx>
        <c:axId val="66400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3854784"/>
        <c:crosses val="autoZero"/>
        <c:auto val="1"/>
        <c:lblAlgn val="ctr"/>
        <c:lblOffset val="100"/>
        <c:noMultiLvlLbl val="0"/>
      </c:catAx>
      <c:valAx>
        <c:axId val="6638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6400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Kampala-Jinja'!$C$9:$N$9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Kampala-Jinja'!$C$60:$N$60</c:f>
              <c:numCache>
                <c:formatCode>0.00%</c:formatCode>
                <c:ptCount val="12"/>
                <c:pt idx="0">
                  <c:v>0.15476904619076184</c:v>
                </c:pt>
                <c:pt idx="1">
                  <c:v>7.0485902819436119E-2</c:v>
                </c:pt>
                <c:pt idx="2">
                  <c:v>4.7690461907618477E-2</c:v>
                </c:pt>
                <c:pt idx="3">
                  <c:v>0.39622075584883021</c:v>
                </c:pt>
                <c:pt idx="4">
                  <c:v>1.289742051589682E-2</c:v>
                </c:pt>
                <c:pt idx="5">
                  <c:v>6.2987402519496102E-3</c:v>
                </c:pt>
                <c:pt idx="6">
                  <c:v>5.8188362327534493E-2</c:v>
                </c:pt>
                <c:pt idx="7">
                  <c:v>7.6484703059388121E-2</c:v>
                </c:pt>
                <c:pt idx="8">
                  <c:v>2.579484103179364E-2</c:v>
                </c:pt>
                <c:pt idx="9">
                  <c:v>0.15056988602279545</c:v>
                </c:pt>
                <c:pt idx="11">
                  <c:v>5.9988002399520091E-4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Jinja-Kampala'!$AE$9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Jinja-Kampala'!$AE$10:$AE$21</c:f>
              <c:numCache>
                <c:formatCode>0</c:formatCode>
                <c:ptCount val="12"/>
                <c:pt idx="0">
                  <c:v>241</c:v>
                </c:pt>
                <c:pt idx="1">
                  <c:v>255</c:v>
                </c:pt>
                <c:pt idx="2">
                  <c:v>293</c:v>
                </c:pt>
                <c:pt idx="3">
                  <c:v>292</c:v>
                </c:pt>
                <c:pt idx="4">
                  <c:v>264</c:v>
                </c:pt>
                <c:pt idx="5">
                  <c:v>290</c:v>
                </c:pt>
                <c:pt idx="6">
                  <c:v>287</c:v>
                </c:pt>
                <c:pt idx="7">
                  <c:v>328</c:v>
                </c:pt>
                <c:pt idx="8">
                  <c:v>325</c:v>
                </c:pt>
                <c:pt idx="9">
                  <c:v>397</c:v>
                </c:pt>
                <c:pt idx="10">
                  <c:v>384</c:v>
                </c:pt>
                <c:pt idx="11">
                  <c:v>358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'18.10 Jinja-Kampala'!$AF$9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Jinja-Kampala'!$AF$10:$AF$21</c:f>
              <c:numCache>
                <c:formatCode>0</c:formatCode>
                <c:ptCount val="12"/>
                <c:pt idx="0">
                  <c:v>296</c:v>
                </c:pt>
                <c:pt idx="1">
                  <c:v>327</c:v>
                </c:pt>
                <c:pt idx="2">
                  <c:v>365</c:v>
                </c:pt>
                <c:pt idx="3">
                  <c:v>399</c:v>
                </c:pt>
                <c:pt idx="4">
                  <c:v>351</c:v>
                </c:pt>
                <c:pt idx="5">
                  <c:v>369</c:v>
                </c:pt>
                <c:pt idx="6">
                  <c:v>386</c:v>
                </c:pt>
                <c:pt idx="7">
                  <c:v>408</c:v>
                </c:pt>
                <c:pt idx="8">
                  <c:v>430</c:v>
                </c:pt>
                <c:pt idx="9">
                  <c:v>508</c:v>
                </c:pt>
                <c:pt idx="10">
                  <c:v>492</c:v>
                </c:pt>
                <c:pt idx="11">
                  <c:v>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794288"/>
        <c:axId val="762781776"/>
      </c:lineChart>
      <c:catAx>
        <c:axId val="762794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2781776"/>
        <c:crosses val="autoZero"/>
        <c:auto val="1"/>
        <c:lblAlgn val="ctr"/>
        <c:lblOffset val="100"/>
        <c:noMultiLvlLbl val="0"/>
      </c:catAx>
      <c:valAx>
        <c:axId val="76278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279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Jinja-Kampala'!$C$9:$N$9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Jinja-Kampala'!$C$59:$N$59</c:f>
              <c:numCache>
                <c:formatCode>0.0%</c:formatCode>
                <c:ptCount val="12"/>
                <c:pt idx="0">
                  <c:v>0.15585774058577406</c:v>
                </c:pt>
                <c:pt idx="1">
                  <c:v>5.0418410041841007E-2</c:v>
                </c:pt>
                <c:pt idx="2">
                  <c:v>4.225941422594142E-2</c:v>
                </c:pt>
                <c:pt idx="3">
                  <c:v>0.28158995815899579</c:v>
                </c:pt>
                <c:pt idx="4">
                  <c:v>1.3179916317991631E-2</c:v>
                </c:pt>
                <c:pt idx="5">
                  <c:v>8.5774058577405849E-3</c:v>
                </c:pt>
                <c:pt idx="6">
                  <c:v>2.5941422594142258E-2</c:v>
                </c:pt>
                <c:pt idx="7">
                  <c:v>6.3389121338912127E-2</c:v>
                </c:pt>
                <c:pt idx="8">
                  <c:v>1.7573221757322177E-2</c:v>
                </c:pt>
                <c:pt idx="9">
                  <c:v>0.11799163179916318</c:v>
                </c:pt>
                <c:pt idx="10">
                  <c:v>0.22301255230125522</c:v>
                </c:pt>
                <c:pt idx="11">
                  <c:v>2.0920502092050208E-4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Jinja-Kampala'!$S$9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Jinja-Kampala'!$S$10:$S$21</c:f>
              <c:numCache>
                <c:formatCode>0</c:formatCode>
                <c:ptCount val="12"/>
                <c:pt idx="0">
                  <c:v>30</c:v>
                </c:pt>
                <c:pt idx="1">
                  <c:v>40</c:v>
                </c:pt>
                <c:pt idx="2">
                  <c:v>46</c:v>
                </c:pt>
                <c:pt idx="3">
                  <c:v>56</c:v>
                </c:pt>
                <c:pt idx="4">
                  <c:v>44</c:v>
                </c:pt>
                <c:pt idx="5">
                  <c:v>54</c:v>
                </c:pt>
                <c:pt idx="6">
                  <c:v>46</c:v>
                </c:pt>
                <c:pt idx="7">
                  <c:v>72</c:v>
                </c:pt>
                <c:pt idx="8">
                  <c:v>81</c:v>
                </c:pt>
                <c:pt idx="9">
                  <c:v>107</c:v>
                </c:pt>
                <c:pt idx="10">
                  <c:v>92</c:v>
                </c:pt>
                <c:pt idx="11">
                  <c:v>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'18.10 Jinja-Kampala'!$T$9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Jinja-Kampala'!$T$10:$T$21</c:f>
              <c:numCache>
                <c:formatCode>0</c:formatCode>
                <c:ptCount val="12"/>
                <c:pt idx="0">
                  <c:v>9</c:v>
                </c:pt>
                <c:pt idx="1">
                  <c:v>6</c:v>
                </c:pt>
                <c:pt idx="2">
                  <c:v>23</c:v>
                </c:pt>
                <c:pt idx="3">
                  <c:v>26</c:v>
                </c:pt>
                <c:pt idx="4">
                  <c:v>15</c:v>
                </c:pt>
                <c:pt idx="5">
                  <c:v>15</c:v>
                </c:pt>
                <c:pt idx="6">
                  <c:v>30</c:v>
                </c:pt>
                <c:pt idx="7">
                  <c:v>28</c:v>
                </c:pt>
                <c:pt idx="8">
                  <c:v>20</c:v>
                </c:pt>
                <c:pt idx="9">
                  <c:v>23</c:v>
                </c:pt>
                <c:pt idx="10">
                  <c:v>20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'18.10 Jinja-Kampala'!$U$9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'18.10 Jinja-Kampala'!$U$10:$U$21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22</c:v>
                </c:pt>
                <c:pt idx="3">
                  <c:v>9</c:v>
                </c:pt>
                <c:pt idx="4">
                  <c:v>15</c:v>
                </c:pt>
                <c:pt idx="5">
                  <c:v>9</c:v>
                </c:pt>
                <c:pt idx="6">
                  <c:v>18</c:v>
                </c:pt>
                <c:pt idx="7">
                  <c:v>14</c:v>
                </c:pt>
                <c:pt idx="8">
                  <c:v>15</c:v>
                </c:pt>
                <c:pt idx="9">
                  <c:v>36</c:v>
                </c:pt>
                <c:pt idx="10">
                  <c:v>29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'18.10 Jinja-Kampala'!$V$9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'18.10 Jinja-Kampala'!$V$10:$V$21</c:f>
              <c:numCache>
                <c:formatCode>0</c:formatCode>
                <c:ptCount val="12"/>
                <c:pt idx="0">
                  <c:v>106</c:v>
                </c:pt>
                <c:pt idx="1">
                  <c:v>111</c:v>
                </c:pt>
                <c:pt idx="2">
                  <c:v>121</c:v>
                </c:pt>
                <c:pt idx="3">
                  <c:v>104</c:v>
                </c:pt>
                <c:pt idx="4">
                  <c:v>104</c:v>
                </c:pt>
                <c:pt idx="5">
                  <c:v>117</c:v>
                </c:pt>
                <c:pt idx="6">
                  <c:v>100</c:v>
                </c:pt>
                <c:pt idx="7">
                  <c:v>120</c:v>
                </c:pt>
                <c:pt idx="8">
                  <c:v>104</c:v>
                </c:pt>
                <c:pt idx="9">
                  <c:v>121</c:v>
                </c:pt>
                <c:pt idx="10">
                  <c:v>128</c:v>
                </c:pt>
                <c:pt idx="11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'18.10 Jinja-Kampala'!$W$9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'18.10 Jinja-Kampala'!$W$10:$W$21</c:f>
              <c:numCache>
                <c:formatCode>0</c:formatCode>
                <c:ptCount val="12"/>
                <c:pt idx="0">
                  <c:v>15</c:v>
                </c:pt>
                <c:pt idx="1">
                  <c:v>9</c:v>
                </c:pt>
                <c:pt idx="2">
                  <c:v>7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3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'18.10 Jinja-Kampala'!$X$9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'18.10 Jinja-Kampala'!$X$10:$X$21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'18.10 Jinja-Kampala'!$Y$9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Jinja-Kampala'!$Y$10:$Y$21</c:f>
              <c:numCache>
                <c:formatCode>0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5</c:v>
                </c:pt>
                <c:pt idx="3">
                  <c:v>15</c:v>
                </c:pt>
                <c:pt idx="4">
                  <c:v>10</c:v>
                </c:pt>
                <c:pt idx="5">
                  <c:v>12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17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'18.10 Jinja-Kampala'!$Z$9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Jinja-Kampala'!$Z$10:$Z$21</c:f>
              <c:numCache>
                <c:formatCode>0</c:formatCode>
                <c:ptCount val="12"/>
                <c:pt idx="0">
                  <c:v>10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31</c:v>
                </c:pt>
                <c:pt idx="5">
                  <c:v>28</c:v>
                </c:pt>
                <c:pt idx="6">
                  <c:v>22</c:v>
                </c:pt>
                <c:pt idx="7">
                  <c:v>26</c:v>
                </c:pt>
                <c:pt idx="8">
                  <c:v>40</c:v>
                </c:pt>
                <c:pt idx="9">
                  <c:v>41</c:v>
                </c:pt>
                <c:pt idx="10">
                  <c:v>26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'18.10 Jinja-Kampala'!$AA$9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Jinja-Kampala'!$AA$10:$AA$21</c:f>
              <c:numCache>
                <c:formatCode>0</c:formatCode>
                <c:ptCount val="12"/>
                <c:pt idx="0">
                  <c:v>8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10</c:v>
                </c:pt>
                <c:pt idx="7">
                  <c:v>8</c:v>
                </c:pt>
                <c:pt idx="8">
                  <c:v>4</c:v>
                </c:pt>
                <c:pt idx="9">
                  <c:v>9</c:v>
                </c:pt>
                <c:pt idx="10">
                  <c:v>8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'18.10 Jinja-Kampala'!$AB$9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Jinja-Kampala'!$AB$10:$AB$21</c:f>
              <c:numCache>
                <c:formatCode>0</c:formatCode>
                <c:ptCount val="12"/>
                <c:pt idx="0">
                  <c:v>46</c:v>
                </c:pt>
                <c:pt idx="1">
                  <c:v>53</c:v>
                </c:pt>
                <c:pt idx="2">
                  <c:v>42</c:v>
                </c:pt>
                <c:pt idx="3">
                  <c:v>49</c:v>
                </c:pt>
                <c:pt idx="4">
                  <c:v>37</c:v>
                </c:pt>
                <c:pt idx="5">
                  <c:v>47</c:v>
                </c:pt>
                <c:pt idx="6">
                  <c:v>48</c:v>
                </c:pt>
                <c:pt idx="7">
                  <c:v>42</c:v>
                </c:pt>
                <c:pt idx="8">
                  <c:v>41</c:v>
                </c:pt>
                <c:pt idx="9">
                  <c:v>43</c:v>
                </c:pt>
                <c:pt idx="10">
                  <c:v>55</c:v>
                </c:pt>
                <c:pt idx="1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'18.10 Jinja-Kampala'!$AC$9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Jinja-Kampala'!$AC$10:$AC$21</c:f>
              <c:numCache>
                <c:formatCode>0</c:formatCode>
                <c:ptCount val="12"/>
                <c:pt idx="0">
                  <c:v>55</c:v>
                </c:pt>
                <c:pt idx="1">
                  <c:v>72</c:v>
                </c:pt>
                <c:pt idx="2">
                  <c:v>72</c:v>
                </c:pt>
                <c:pt idx="3">
                  <c:v>107</c:v>
                </c:pt>
                <c:pt idx="4">
                  <c:v>87</c:v>
                </c:pt>
                <c:pt idx="5">
                  <c:v>79</c:v>
                </c:pt>
                <c:pt idx="6">
                  <c:v>99</c:v>
                </c:pt>
                <c:pt idx="7">
                  <c:v>80</c:v>
                </c:pt>
                <c:pt idx="8">
                  <c:v>105</c:v>
                </c:pt>
                <c:pt idx="9">
                  <c:v>111</c:v>
                </c:pt>
                <c:pt idx="10">
                  <c:v>108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'18.10 Jinja-Kampala'!$AD$9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Jinja-Kampala'!$AD$10:$AD$21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782864"/>
        <c:axId val="762783408"/>
      </c:lineChart>
      <c:catAx>
        <c:axId val="76278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2783408"/>
        <c:crosses val="autoZero"/>
        <c:auto val="1"/>
        <c:lblAlgn val="ctr"/>
        <c:lblOffset val="100"/>
        <c:noMultiLvlLbl val="0"/>
      </c:catAx>
      <c:valAx>
        <c:axId val="76278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278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Jinja-Kampala'!$C$9:$N$9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Jinja-Kampala'!$C$60:$N$60</c:f>
              <c:numCache>
                <c:formatCode>0.00%</c:formatCode>
                <c:ptCount val="12"/>
                <c:pt idx="0">
                  <c:v>0.20059235325794292</c:v>
                </c:pt>
                <c:pt idx="1">
                  <c:v>6.4889606892837917E-2</c:v>
                </c:pt>
                <c:pt idx="2">
                  <c:v>5.4388799138395262E-2</c:v>
                </c:pt>
                <c:pt idx="3">
                  <c:v>0.362412493268713</c:v>
                </c:pt>
                <c:pt idx="4">
                  <c:v>1.6962843295638127E-2</c:v>
                </c:pt>
                <c:pt idx="5">
                  <c:v>1.1039310716208939E-2</c:v>
                </c:pt>
                <c:pt idx="6">
                  <c:v>3.3387183629509959E-2</c:v>
                </c:pt>
                <c:pt idx="7">
                  <c:v>8.1583198707592897E-2</c:v>
                </c:pt>
                <c:pt idx="8">
                  <c:v>2.2617124394184167E-2</c:v>
                </c:pt>
                <c:pt idx="9">
                  <c:v>0.15185783521809371</c:v>
                </c:pt>
                <c:pt idx="11">
                  <c:v>2.6925148088314486E-4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Kampala-Jinja'!$AE$9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Kampala-Jinja'!$AE$10:$AE$21</c:f>
              <c:numCache>
                <c:formatCode>0</c:formatCode>
                <c:ptCount val="12"/>
                <c:pt idx="0">
                  <c:v>265</c:v>
                </c:pt>
                <c:pt idx="1">
                  <c:v>250</c:v>
                </c:pt>
                <c:pt idx="2">
                  <c:v>265</c:v>
                </c:pt>
                <c:pt idx="3">
                  <c:v>259</c:v>
                </c:pt>
                <c:pt idx="4">
                  <c:v>272</c:v>
                </c:pt>
                <c:pt idx="5">
                  <c:v>281</c:v>
                </c:pt>
                <c:pt idx="6">
                  <c:v>341</c:v>
                </c:pt>
                <c:pt idx="7">
                  <c:v>354</c:v>
                </c:pt>
                <c:pt idx="8">
                  <c:v>330</c:v>
                </c:pt>
                <c:pt idx="9">
                  <c:v>333</c:v>
                </c:pt>
                <c:pt idx="10">
                  <c:v>473</c:v>
                </c:pt>
                <c:pt idx="11">
                  <c:v>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'18.10 Kampala-Jinja'!$AF$9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Kampala-Jinja'!$AF$10:$AF$21</c:f>
              <c:numCache>
                <c:formatCode>0</c:formatCode>
                <c:ptCount val="12"/>
                <c:pt idx="0">
                  <c:v>348</c:v>
                </c:pt>
                <c:pt idx="1">
                  <c:v>321</c:v>
                </c:pt>
                <c:pt idx="2">
                  <c:v>336</c:v>
                </c:pt>
                <c:pt idx="3">
                  <c:v>343</c:v>
                </c:pt>
                <c:pt idx="4">
                  <c:v>366</c:v>
                </c:pt>
                <c:pt idx="5">
                  <c:v>370</c:v>
                </c:pt>
                <c:pt idx="6">
                  <c:v>435</c:v>
                </c:pt>
                <c:pt idx="7">
                  <c:v>424</c:v>
                </c:pt>
                <c:pt idx="8">
                  <c:v>403</c:v>
                </c:pt>
                <c:pt idx="9">
                  <c:v>414</c:v>
                </c:pt>
                <c:pt idx="10">
                  <c:v>562</c:v>
                </c:pt>
                <c:pt idx="11">
                  <c:v>455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789936"/>
        <c:axId val="762787760"/>
      </c:lineChart>
      <c:catAx>
        <c:axId val="7627899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2787760"/>
        <c:crosses val="autoZero"/>
        <c:auto val="1"/>
        <c:lblAlgn val="ctr"/>
        <c:lblOffset val="100"/>
        <c:noMultiLvlLbl val="0"/>
      </c:catAx>
      <c:valAx>
        <c:axId val="7627877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278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Kampala-Jinja'!$C$9:$N$9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Kampala-Jinja'!$C$59:$N$59</c:f>
              <c:numCache>
                <c:formatCode>0.0%</c:formatCode>
                <c:ptCount val="12"/>
                <c:pt idx="0">
                  <c:v>0.13564998953317983</c:v>
                </c:pt>
                <c:pt idx="1">
                  <c:v>6.5940967134184639E-2</c:v>
                </c:pt>
                <c:pt idx="2">
                  <c:v>4.5844672388528365E-2</c:v>
                </c:pt>
                <c:pt idx="3">
                  <c:v>0.3006070755704417</c:v>
                </c:pt>
                <c:pt idx="4">
                  <c:v>1.2141511408833997E-2</c:v>
                </c:pt>
                <c:pt idx="5">
                  <c:v>5.6520828972158261E-3</c:v>
                </c:pt>
                <c:pt idx="6">
                  <c:v>3.3075151768892613E-2</c:v>
                </c:pt>
                <c:pt idx="7">
                  <c:v>6.1126229851371151E-2</c:v>
                </c:pt>
                <c:pt idx="8">
                  <c:v>1.4025539041239271E-2</c:v>
                </c:pt>
                <c:pt idx="9">
                  <c:v>0.1193217500523341</c:v>
                </c:pt>
                <c:pt idx="10">
                  <c:v>0.20619635754657736</c:v>
                </c:pt>
                <c:pt idx="11">
                  <c:v>4.1867280720117231E-4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Kampala-Jinja'!$S$9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Kampala-Jinja'!$S$10:$S$21</c:f>
              <c:numCache>
                <c:formatCode>0</c:formatCode>
                <c:ptCount val="12"/>
                <c:pt idx="0">
                  <c:v>34</c:v>
                </c:pt>
                <c:pt idx="1">
                  <c:v>45</c:v>
                </c:pt>
                <c:pt idx="2">
                  <c:v>56</c:v>
                </c:pt>
                <c:pt idx="3">
                  <c:v>51</c:v>
                </c:pt>
                <c:pt idx="4">
                  <c:v>53</c:v>
                </c:pt>
                <c:pt idx="5">
                  <c:v>41</c:v>
                </c:pt>
                <c:pt idx="6">
                  <c:v>60</c:v>
                </c:pt>
                <c:pt idx="7">
                  <c:v>46</c:v>
                </c:pt>
                <c:pt idx="8">
                  <c:v>46</c:v>
                </c:pt>
                <c:pt idx="9">
                  <c:v>62</c:v>
                </c:pt>
                <c:pt idx="10">
                  <c:v>86</c:v>
                </c:pt>
                <c:pt idx="11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'18.10 Kampala-Jinja'!$T$9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Kampala-Jinja'!$T$10:$T$21</c:f>
              <c:numCache>
                <c:formatCode>0</c:formatCode>
                <c:ptCount val="12"/>
                <c:pt idx="0">
                  <c:v>19</c:v>
                </c:pt>
                <c:pt idx="1">
                  <c:v>18</c:v>
                </c:pt>
                <c:pt idx="2">
                  <c:v>34</c:v>
                </c:pt>
                <c:pt idx="3">
                  <c:v>23</c:v>
                </c:pt>
                <c:pt idx="4">
                  <c:v>29</c:v>
                </c:pt>
                <c:pt idx="5">
                  <c:v>21</c:v>
                </c:pt>
                <c:pt idx="6">
                  <c:v>29</c:v>
                </c:pt>
                <c:pt idx="7">
                  <c:v>17</c:v>
                </c:pt>
                <c:pt idx="8">
                  <c:v>31</c:v>
                </c:pt>
                <c:pt idx="9">
                  <c:v>28</c:v>
                </c:pt>
                <c:pt idx="10">
                  <c:v>42</c:v>
                </c:pt>
                <c:pt idx="11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'18.10 Kampala-Jinja'!$U$9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'18.10 Kampala-Jinja'!$U$10:$U$21</c:f>
              <c:numCache>
                <c:formatCode>0</c:formatCode>
                <c:ptCount val="12"/>
                <c:pt idx="0">
                  <c:v>16</c:v>
                </c:pt>
                <c:pt idx="1">
                  <c:v>16</c:v>
                </c:pt>
                <c:pt idx="2">
                  <c:v>18</c:v>
                </c:pt>
                <c:pt idx="3">
                  <c:v>16</c:v>
                </c:pt>
                <c:pt idx="4">
                  <c:v>22</c:v>
                </c:pt>
                <c:pt idx="5">
                  <c:v>15</c:v>
                </c:pt>
                <c:pt idx="6">
                  <c:v>13</c:v>
                </c:pt>
                <c:pt idx="7">
                  <c:v>19</c:v>
                </c:pt>
                <c:pt idx="8">
                  <c:v>18</c:v>
                </c:pt>
                <c:pt idx="9">
                  <c:v>25</c:v>
                </c:pt>
                <c:pt idx="10">
                  <c:v>21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'18.10 Kampala-Jinja'!$V$9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'18.10 Kampala-Jinja'!$V$10:$V$21</c:f>
              <c:numCache>
                <c:formatCode>0</c:formatCode>
                <c:ptCount val="12"/>
                <c:pt idx="0">
                  <c:v>111</c:v>
                </c:pt>
                <c:pt idx="1">
                  <c:v>117</c:v>
                </c:pt>
                <c:pt idx="2">
                  <c:v>109</c:v>
                </c:pt>
                <c:pt idx="3">
                  <c:v>129</c:v>
                </c:pt>
                <c:pt idx="4">
                  <c:v>103</c:v>
                </c:pt>
                <c:pt idx="5">
                  <c:v>121</c:v>
                </c:pt>
                <c:pt idx="6">
                  <c:v>120</c:v>
                </c:pt>
                <c:pt idx="7">
                  <c:v>135</c:v>
                </c:pt>
                <c:pt idx="8">
                  <c:v>124</c:v>
                </c:pt>
                <c:pt idx="9">
                  <c:v>106</c:v>
                </c:pt>
                <c:pt idx="10">
                  <c:v>152</c:v>
                </c:pt>
                <c:pt idx="11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'18.10 Kampala-Jinja'!$W$9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'18.10 Kampala-Jinja'!$W$10:$W$21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6</c:v>
                </c:pt>
                <c:pt idx="9">
                  <c:v>5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'18.10 Kampala-Jinja'!$X$9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'18.10 Kampala-Jinja'!$X$10:$X$21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'18.10 Kampala-Jinja'!$Y$9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Kampala-Jinja'!$Y$10:$Y$21</c:f>
              <c:numCache>
                <c:formatCode>0</c:formatCode>
                <c:ptCount val="12"/>
                <c:pt idx="0">
                  <c:v>11</c:v>
                </c:pt>
                <c:pt idx="1">
                  <c:v>8</c:v>
                </c:pt>
                <c:pt idx="2">
                  <c:v>9</c:v>
                </c:pt>
                <c:pt idx="3">
                  <c:v>2</c:v>
                </c:pt>
                <c:pt idx="4">
                  <c:v>6</c:v>
                </c:pt>
                <c:pt idx="5">
                  <c:v>7</c:v>
                </c:pt>
                <c:pt idx="6">
                  <c:v>22</c:v>
                </c:pt>
                <c:pt idx="7">
                  <c:v>17</c:v>
                </c:pt>
                <c:pt idx="8">
                  <c:v>22</c:v>
                </c:pt>
                <c:pt idx="9">
                  <c:v>16</c:v>
                </c:pt>
                <c:pt idx="10">
                  <c:v>22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'18.10 Kampala-Jinja'!$Z$9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Kampala-Jinja'!$Z$10:$Z$21</c:f>
              <c:numCache>
                <c:formatCode>0</c:formatCode>
                <c:ptCount val="12"/>
                <c:pt idx="0">
                  <c:v>18</c:v>
                </c:pt>
                <c:pt idx="1">
                  <c:v>17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24</c:v>
                </c:pt>
                <c:pt idx="6">
                  <c:v>31</c:v>
                </c:pt>
                <c:pt idx="7">
                  <c:v>27</c:v>
                </c:pt>
                <c:pt idx="8">
                  <c:v>26</c:v>
                </c:pt>
                <c:pt idx="9">
                  <c:v>33</c:v>
                </c:pt>
                <c:pt idx="10">
                  <c:v>30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'18.10 Kampala-Jinja'!$AA$9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Kampala-Jinja'!$AA$10:$AA$21</c:f>
              <c:numCache>
                <c:formatCode>0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0</c:v>
                </c:pt>
                <c:pt idx="4">
                  <c:v>2</c:v>
                </c:pt>
                <c:pt idx="5">
                  <c:v>7</c:v>
                </c:pt>
                <c:pt idx="6">
                  <c:v>2</c:v>
                </c:pt>
                <c:pt idx="7">
                  <c:v>14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'18.10 Kampala-Jinja'!$AB$9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Kampala-Jinja'!$AB$10:$AB$21</c:f>
              <c:numCache>
                <c:formatCode>0</c:formatCode>
                <c:ptCount val="12"/>
                <c:pt idx="0">
                  <c:v>46</c:v>
                </c:pt>
                <c:pt idx="1">
                  <c:v>21</c:v>
                </c:pt>
                <c:pt idx="2">
                  <c:v>17</c:v>
                </c:pt>
                <c:pt idx="3">
                  <c:v>11</c:v>
                </c:pt>
                <c:pt idx="4">
                  <c:v>24</c:v>
                </c:pt>
                <c:pt idx="5">
                  <c:v>35</c:v>
                </c:pt>
                <c:pt idx="6">
                  <c:v>55</c:v>
                </c:pt>
                <c:pt idx="7">
                  <c:v>67</c:v>
                </c:pt>
                <c:pt idx="8">
                  <c:v>46</c:v>
                </c:pt>
                <c:pt idx="9">
                  <c:v>51</c:v>
                </c:pt>
                <c:pt idx="10">
                  <c:v>105</c:v>
                </c:pt>
                <c:pt idx="11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'18.10 Kampala-Jinja'!$AC$9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Kampala-Jinja'!$AC$10:$AC$21</c:f>
              <c:numCache>
                <c:formatCode>0</c:formatCode>
                <c:ptCount val="12"/>
                <c:pt idx="0">
                  <c:v>83</c:v>
                </c:pt>
                <c:pt idx="1">
                  <c:v>71</c:v>
                </c:pt>
                <c:pt idx="2">
                  <c:v>71</c:v>
                </c:pt>
                <c:pt idx="3">
                  <c:v>84</c:v>
                </c:pt>
                <c:pt idx="4">
                  <c:v>94</c:v>
                </c:pt>
                <c:pt idx="5">
                  <c:v>89</c:v>
                </c:pt>
                <c:pt idx="6">
                  <c:v>94</c:v>
                </c:pt>
                <c:pt idx="7">
                  <c:v>70</c:v>
                </c:pt>
                <c:pt idx="8">
                  <c:v>73</c:v>
                </c:pt>
                <c:pt idx="9">
                  <c:v>81</c:v>
                </c:pt>
                <c:pt idx="10">
                  <c:v>89</c:v>
                </c:pt>
                <c:pt idx="11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'18.10 Kampala-Jinja'!$AD$9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Kampala-Jinja'!$AD$10:$AD$21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785584"/>
        <c:axId val="762786128"/>
      </c:lineChart>
      <c:catAx>
        <c:axId val="76278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2786128"/>
        <c:crosses val="autoZero"/>
        <c:auto val="1"/>
        <c:lblAlgn val="ctr"/>
        <c:lblOffset val="100"/>
        <c:noMultiLvlLbl val="0"/>
      </c:catAx>
      <c:valAx>
        <c:axId val="76278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278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Kampala-Jinja'!$C$9:$N$9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Kampala-Jinja'!$C$60:$N$60</c:f>
              <c:numCache>
                <c:formatCode>0.00%</c:formatCode>
                <c:ptCount val="12"/>
                <c:pt idx="0">
                  <c:v>0.17088607594936708</c:v>
                </c:pt>
                <c:pt idx="1">
                  <c:v>8.3069620253164556E-2</c:v>
                </c:pt>
                <c:pt idx="2">
                  <c:v>5.7753164556962028E-2</c:v>
                </c:pt>
                <c:pt idx="3">
                  <c:v>0.37869198312236285</c:v>
                </c:pt>
                <c:pt idx="4">
                  <c:v>1.529535864978903E-2</c:v>
                </c:pt>
                <c:pt idx="5">
                  <c:v>7.1202531645569618E-3</c:v>
                </c:pt>
                <c:pt idx="6">
                  <c:v>4.1666666666666664E-2</c:v>
                </c:pt>
                <c:pt idx="7">
                  <c:v>7.7004219409282704E-2</c:v>
                </c:pt>
                <c:pt idx="8">
                  <c:v>1.7668776371308016E-2</c:v>
                </c:pt>
                <c:pt idx="9">
                  <c:v>0.15031645569620253</c:v>
                </c:pt>
                <c:pt idx="11">
                  <c:v>5.274261603375527E-4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Jinja-Kampala-24hr'!$AE$9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Jinja-Kampala-24hr'!$R$10:$R$33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Jinja-Kampala-24hr'!$AE$10:$AE$33</c:f>
              <c:numCache>
                <c:formatCode>0</c:formatCode>
                <c:ptCount val="24"/>
                <c:pt idx="0">
                  <c:v>283</c:v>
                </c:pt>
                <c:pt idx="1">
                  <c:v>318</c:v>
                </c:pt>
                <c:pt idx="2">
                  <c:v>292</c:v>
                </c:pt>
                <c:pt idx="3">
                  <c:v>308</c:v>
                </c:pt>
                <c:pt idx="4">
                  <c:v>306</c:v>
                </c:pt>
                <c:pt idx="5">
                  <c:v>334</c:v>
                </c:pt>
                <c:pt idx="6">
                  <c:v>356</c:v>
                </c:pt>
                <c:pt idx="7">
                  <c:v>266</c:v>
                </c:pt>
                <c:pt idx="8">
                  <c:v>333</c:v>
                </c:pt>
                <c:pt idx="9">
                  <c:v>307</c:v>
                </c:pt>
                <c:pt idx="10">
                  <c:v>402</c:v>
                </c:pt>
                <c:pt idx="11">
                  <c:v>419</c:v>
                </c:pt>
                <c:pt idx="12">
                  <c:v>370</c:v>
                </c:pt>
                <c:pt idx="13">
                  <c:v>378</c:v>
                </c:pt>
                <c:pt idx="14">
                  <c:v>374</c:v>
                </c:pt>
                <c:pt idx="15">
                  <c:v>218</c:v>
                </c:pt>
                <c:pt idx="16">
                  <c:v>124</c:v>
                </c:pt>
                <c:pt idx="17">
                  <c:v>9</c:v>
                </c:pt>
                <c:pt idx="18">
                  <c:v>49</c:v>
                </c:pt>
                <c:pt idx="19">
                  <c:v>41</c:v>
                </c:pt>
                <c:pt idx="20">
                  <c:v>34</c:v>
                </c:pt>
                <c:pt idx="21">
                  <c:v>73</c:v>
                </c:pt>
                <c:pt idx="22">
                  <c:v>110</c:v>
                </c:pt>
                <c:pt idx="23">
                  <c:v>256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'19.10 Jinja-Kampala-24hr'!$AF$9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Jinja-Kampala-24hr'!$R$10:$R$33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Jinja-Kampala-24hr'!$AF$10:$AF$33</c:f>
              <c:numCache>
                <c:formatCode>0</c:formatCode>
                <c:ptCount val="24"/>
                <c:pt idx="0">
                  <c:v>354</c:v>
                </c:pt>
                <c:pt idx="1">
                  <c:v>399</c:v>
                </c:pt>
                <c:pt idx="2">
                  <c:v>397</c:v>
                </c:pt>
                <c:pt idx="3">
                  <c:v>411</c:v>
                </c:pt>
                <c:pt idx="4">
                  <c:v>418</c:v>
                </c:pt>
                <c:pt idx="5">
                  <c:v>415</c:v>
                </c:pt>
                <c:pt idx="6">
                  <c:v>440</c:v>
                </c:pt>
                <c:pt idx="7">
                  <c:v>281</c:v>
                </c:pt>
                <c:pt idx="8">
                  <c:v>428</c:v>
                </c:pt>
                <c:pt idx="9">
                  <c:v>424</c:v>
                </c:pt>
                <c:pt idx="10">
                  <c:v>486</c:v>
                </c:pt>
                <c:pt idx="11">
                  <c:v>525</c:v>
                </c:pt>
                <c:pt idx="12">
                  <c:v>472</c:v>
                </c:pt>
                <c:pt idx="13">
                  <c:v>485</c:v>
                </c:pt>
                <c:pt idx="14">
                  <c:v>471</c:v>
                </c:pt>
                <c:pt idx="15">
                  <c:v>274</c:v>
                </c:pt>
                <c:pt idx="16">
                  <c:v>152</c:v>
                </c:pt>
                <c:pt idx="17">
                  <c:v>9</c:v>
                </c:pt>
                <c:pt idx="18">
                  <c:v>55</c:v>
                </c:pt>
                <c:pt idx="19">
                  <c:v>44</c:v>
                </c:pt>
                <c:pt idx="20">
                  <c:v>40</c:v>
                </c:pt>
                <c:pt idx="21">
                  <c:v>80</c:v>
                </c:pt>
                <c:pt idx="22">
                  <c:v>122</c:v>
                </c:pt>
                <c:pt idx="23">
                  <c:v>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855760"/>
        <c:axId val="802866640"/>
      </c:lineChart>
      <c:catAx>
        <c:axId val="8028557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866640"/>
        <c:crosses val="autoZero"/>
        <c:auto val="1"/>
        <c:lblAlgn val="ctr"/>
        <c:lblOffset val="100"/>
        <c:noMultiLvlLbl val="0"/>
      </c:catAx>
      <c:valAx>
        <c:axId val="802866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85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Jinja-Kampala-24hr'!$C$9:$N$9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Jinja-Kampala-24hr'!$C$107:$N$107</c:f>
              <c:numCache>
                <c:formatCode>0.0%</c:formatCode>
                <c:ptCount val="12"/>
                <c:pt idx="0">
                  <c:v>0.18059083010292742</c:v>
                </c:pt>
                <c:pt idx="1">
                  <c:v>6.7237000401015906E-2</c:v>
                </c:pt>
                <c:pt idx="2">
                  <c:v>4.1170966448335782E-2</c:v>
                </c:pt>
                <c:pt idx="3">
                  <c:v>0.2807111348750167</c:v>
                </c:pt>
                <c:pt idx="4">
                  <c:v>1.002539767410774E-2</c:v>
                </c:pt>
                <c:pt idx="5">
                  <c:v>8.2876620772623973E-3</c:v>
                </c:pt>
                <c:pt idx="6">
                  <c:v>3.3016976340061489E-2</c:v>
                </c:pt>
                <c:pt idx="7">
                  <c:v>5.1597380029407836E-2</c:v>
                </c:pt>
                <c:pt idx="8">
                  <c:v>1.3233524929822216E-2</c:v>
                </c:pt>
                <c:pt idx="9">
                  <c:v>0.11068039032214945</c:v>
                </c:pt>
                <c:pt idx="10">
                  <c:v>0.20331506483090495</c:v>
                </c:pt>
                <c:pt idx="11">
                  <c:v>1.3367196898810319E-4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Jinja-Kampala-24hr'!$C$9:$N$9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Jinja-Kampala-24hr'!$C$108:$N$108</c:f>
              <c:numCache>
                <c:formatCode>0.00%</c:formatCode>
                <c:ptCount val="12"/>
                <c:pt idx="0">
                  <c:v>0.22667785234899329</c:v>
                </c:pt>
                <c:pt idx="1">
                  <c:v>8.4395973154362411E-2</c:v>
                </c:pt>
                <c:pt idx="2">
                  <c:v>5.1677852348993289E-2</c:v>
                </c:pt>
                <c:pt idx="3">
                  <c:v>0.3523489932885906</c:v>
                </c:pt>
                <c:pt idx="4">
                  <c:v>1.2583892617449664E-2</c:v>
                </c:pt>
                <c:pt idx="5">
                  <c:v>1.040268456375839E-2</c:v>
                </c:pt>
                <c:pt idx="6">
                  <c:v>4.1442953020134225E-2</c:v>
                </c:pt>
                <c:pt idx="7">
                  <c:v>6.476510067114094E-2</c:v>
                </c:pt>
                <c:pt idx="8">
                  <c:v>1.6610738255033557E-2</c:v>
                </c:pt>
                <c:pt idx="9">
                  <c:v>0.13892617449664429</c:v>
                </c:pt>
                <c:pt idx="11">
                  <c:v>1.6778523489932885E-4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Kampala-Jinja-24hr'!$AE$9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Kampala-Jinja-24hr'!$R$10:$R$33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Kampala-Jinja-24hr'!$AE$10:$AE$33</c:f>
              <c:numCache>
                <c:formatCode>0</c:formatCode>
                <c:ptCount val="24"/>
                <c:pt idx="0">
                  <c:v>343</c:v>
                </c:pt>
                <c:pt idx="1">
                  <c:v>378</c:v>
                </c:pt>
                <c:pt idx="2">
                  <c:v>327</c:v>
                </c:pt>
                <c:pt idx="3">
                  <c:v>298</c:v>
                </c:pt>
                <c:pt idx="4">
                  <c:v>331</c:v>
                </c:pt>
                <c:pt idx="5">
                  <c:v>394</c:v>
                </c:pt>
                <c:pt idx="6">
                  <c:v>439</c:v>
                </c:pt>
                <c:pt idx="7">
                  <c:v>292</c:v>
                </c:pt>
                <c:pt idx="8">
                  <c:v>387</c:v>
                </c:pt>
                <c:pt idx="9">
                  <c:v>389</c:v>
                </c:pt>
                <c:pt idx="10">
                  <c:v>314</c:v>
                </c:pt>
                <c:pt idx="11">
                  <c:v>401</c:v>
                </c:pt>
                <c:pt idx="12">
                  <c:v>379</c:v>
                </c:pt>
                <c:pt idx="13">
                  <c:v>413</c:v>
                </c:pt>
                <c:pt idx="14">
                  <c:v>252</c:v>
                </c:pt>
                <c:pt idx="15">
                  <c:v>196</c:v>
                </c:pt>
                <c:pt idx="16">
                  <c:v>116</c:v>
                </c:pt>
                <c:pt idx="17">
                  <c:v>17</c:v>
                </c:pt>
                <c:pt idx="18">
                  <c:v>53</c:v>
                </c:pt>
                <c:pt idx="19">
                  <c:v>76</c:v>
                </c:pt>
                <c:pt idx="20">
                  <c:v>32</c:v>
                </c:pt>
                <c:pt idx="21">
                  <c:v>49</c:v>
                </c:pt>
                <c:pt idx="22">
                  <c:v>83</c:v>
                </c:pt>
                <c:pt idx="23">
                  <c:v>172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'19.10 Kampala-Jinja-24hr'!$AF$9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Kampala-Jinja-24hr'!$R$10:$R$33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Kampala-Jinja-24hr'!$AF$10:$AF$33</c:f>
              <c:numCache>
                <c:formatCode>0</c:formatCode>
                <c:ptCount val="24"/>
                <c:pt idx="0">
                  <c:v>419</c:v>
                </c:pt>
                <c:pt idx="1">
                  <c:v>451</c:v>
                </c:pt>
                <c:pt idx="2">
                  <c:v>398</c:v>
                </c:pt>
                <c:pt idx="3">
                  <c:v>382</c:v>
                </c:pt>
                <c:pt idx="4">
                  <c:v>416</c:v>
                </c:pt>
                <c:pt idx="5">
                  <c:v>471</c:v>
                </c:pt>
                <c:pt idx="6">
                  <c:v>509</c:v>
                </c:pt>
                <c:pt idx="7">
                  <c:v>322</c:v>
                </c:pt>
                <c:pt idx="8">
                  <c:v>456</c:v>
                </c:pt>
                <c:pt idx="9">
                  <c:v>467</c:v>
                </c:pt>
                <c:pt idx="10">
                  <c:v>377</c:v>
                </c:pt>
                <c:pt idx="11">
                  <c:v>470</c:v>
                </c:pt>
                <c:pt idx="12">
                  <c:v>493</c:v>
                </c:pt>
                <c:pt idx="13">
                  <c:v>508</c:v>
                </c:pt>
                <c:pt idx="14">
                  <c:v>356</c:v>
                </c:pt>
                <c:pt idx="15">
                  <c:v>263</c:v>
                </c:pt>
                <c:pt idx="16">
                  <c:v>155</c:v>
                </c:pt>
                <c:pt idx="17">
                  <c:v>20</c:v>
                </c:pt>
                <c:pt idx="18">
                  <c:v>54</c:v>
                </c:pt>
                <c:pt idx="19">
                  <c:v>81</c:v>
                </c:pt>
                <c:pt idx="20">
                  <c:v>36</c:v>
                </c:pt>
                <c:pt idx="21">
                  <c:v>53</c:v>
                </c:pt>
                <c:pt idx="22">
                  <c:v>91</c:v>
                </c:pt>
                <c:pt idx="23">
                  <c:v>238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861200"/>
        <c:axId val="804647312"/>
      </c:lineChart>
      <c:catAx>
        <c:axId val="8028612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4647312"/>
        <c:crosses val="autoZero"/>
        <c:auto val="1"/>
        <c:lblAlgn val="ctr"/>
        <c:lblOffset val="100"/>
        <c:noMultiLvlLbl val="0"/>
      </c:catAx>
      <c:valAx>
        <c:axId val="804647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86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Kampala-Jinja-24hr'!$C$9:$N$9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Kampala-Jinja-24hr'!$C$107:$N$107</c:f>
              <c:numCache>
                <c:formatCode>0.0%</c:formatCode>
                <c:ptCount val="12"/>
                <c:pt idx="0">
                  <c:v>0.17325674592572801</c:v>
                </c:pt>
                <c:pt idx="1">
                  <c:v>7.1199572535399408E-2</c:v>
                </c:pt>
                <c:pt idx="2">
                  <c:v>3.499866417312316E-2</c:v>
                </c:pt>
                <c:pt idx="3">
                  <c:v>0.28960726689820998</c:v>
                </c:pt>
                <c:pt idx="4">
                  <c:v>1.923590702644937E-2</c:v>
                </c:pt>
                <c:pt idx="5">
                  <c:v>7.4806305102858668E-3</c:v>
                </c:pt>
                <c:pt idx="6">
                  <c:v>3.6067325674592574E-2</c:v>
                </c:pt>
                <c:pt idx="7">
                  <c:v>5.410098851188886E-2</c:v>
                </c:pt>
                <c:pt idx="8">
                  <c:v>1.9102324338765696E-2</c:v>
                </c:pt>
                <c:pt idx="9">
                  <c:v>0.11381244990649211</c:v>
                </c:pt>
                <c:pt idx="10">
                  <c:v>0.18100454181138126</c:v>
                </c:pt>
                <c:pt idx="11">
                  <c:v>1.3358268768367621E-4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Kampala-Jinja-24hr'!$C$9:$N$9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Kampala-Jinja-24hr'!$C$108:$N$108</c:f>
              <c:numCache>
                <c:formatCode>0.00%</c:formatCode>
                <c:ptCount val="12"/>
                <c:pt idx="0">
                  <c:v>0.21154787147284293</c:v>
                </c:pt>
                <c:pt idx="1">
                  <c:v>8.693524710487685E-2</c:v>
                </c:pt>
                <c:pt idx="2">
                  <c:v>4.2733648670689933E-2</c:v>
                </c:pt>
                <c:pt idx="3">
                  <c:v>0.35361278747349534</c:v>
                </c:pt>
                <c:pt idx="4">
                  <c:v>2.348719621595172E-2</c:v>
                </c:pt>
                <c:pt idx="5">
                  <c:v>9.1339096395367803E-3</c:v>
                </c:pt>
                <c:pt idx="6">
                  <c:v>4.4038492904909479E-2</c:v>
                </c:pt>
                <c:pt idx="7">
                  <c:v>6.6057739357364212E-2</c:v>
                </c:pt>
                <c:pt idx="8">
                  <c:v>2.3324090686674279E-2</c:v>
                </c:pt>
                <c:pt idx="9">
                  <c:v>0.13896591094438102</c:v>
                </c:pt>
                <c:pt idx="11">
                  <c:v>1.6310552927744252E-4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Jinja-Kampala'!$AE$9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Jinja-Kampala'!$AE$10:$AE$21</c:f>
              <c:numCache>
                <c:formatCode>0</c:formatCode>
                <c:ptCount val="12"/>
                <c:pt idx="0">
                  <c:v>294</c:v>
                </c:pt>
                <c:pt idx="1">
                  <c:v>273</c:v>
                </c:pt>
                <c:pt idx="2">
                  <c:v>312</c:v>
                </c:pt>
                <c:pt idx="3">
                  <c:v>330</c:v>
                </c:pt>
                <c:pt idx="4">
                  <c:v>319</c:v>
                </c:pt>
                <c:pt idx="5">
                  <c:v>320</c:v>
                </c:pt>
                <c:pt idx="6">
                  <c:v>372</c:v>
                </c:pt>
                <c:pt idx="7">
                  <c:v>372</c:v>
                </c:pt>
                <c:pt idx="8">
                  <c:v>421</c:v>
                </c:pt>
                <c:pt idx="9">
                  <c:v>408</c:v>
                </c:pt>
                <c:pt idx="10">
                  <c:v>379</c:v>
                </c:pt>
                <c:pt idx="11">
                  <c:v>420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'20.10 Jinja-Kampala'!$AF$9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Jinja-Kampala'!$AF$10:$AF$21</c:f>
              <c:numCache>
                <c:formatCode>0</c:formatCode>
                <c:ptCount val="12"/>
                <c:pt idx="0">
                  <c:v>347</c:v>
                </c:pt>
                <c:pt idx="1">
                  <c:v>350</c:v>
                </c:pt>
                <c:pt idx="2">
                  <c:v>408</c:v>
                </c:pt>
                <c:pt idx="3">
                  <c:v>428</c:v>
                </c:pt>
                <c:pt idx="4">
                  <c:v>402</c:v>
                </c:pt>
                <c:pt idx="5">
                  <c:v>397</c:v>
                </c:pt>
                <c:pt idx="6">
                  <c:v>455</c:v>
                </c:pt>
                <c:pt idx="7">
                  <c:v>455</c:v>
                </c:pt>
                <c:pt idx="8">
                  <c:v>509</c:v>
                </c:pt>
                <c:pt idx="9">
                  <c:v>528</c:v>
                </c:pt>
                <c:pt idx="10">
                  <c:v>482</c:v>
                </c:pt>
                <c:pt idx="11">
                  <c:v>541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792656"/>
        <c:axId val="762793200"/>
      </c:lineChart>
      <c:catAx>
        <c:axId val="762792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2793200"/>
        <c:crosses val="autoZero"/>
        <c:auto val="1"/>
        <c:lblAlgn val="ctr"/>
        <c:lblOffset val="100"/>
        <c:noMultiLvlLbl val="0"/>
      </c:catAx>
      <c:valAx>
        <c:axId val="76279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279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Jinja-Kampala'!$C$9:$N$9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Jinja-Kampala'!$C$59:$N$59</c:f>
              <c:numCache>
                <c:formatCode>0.0%</c:formatCode>
                <c:ptCount val="12"/>
                <c:pt idx="0">
                  <c:v>0.19294605809128632</c:v>
                </c:pt>
                <c:pt idx="1">
                  <c:v>8.5250848736325921E-2</c:v>
                </c:pt>
                <c:pt idx="2">
                  <c:v>3.4892493398717465E-2</c:v>
                </c:pt>
                <c:pt idx="3">
                  <c:v>0.29724632214258773</c:v>
                </c:pt>
                <c:pt idx="4">
                  <c:v>9.4304036212749902E-3</c:v>
                </c:pt>
                <c:pt idx="5">
                  <c:v>6.7898906073179935E-3</c:v>
                </c:pt>
                <c:pt idx="6">
                  <c:v>3.1308940022632965E-2</c:v>
                </c:pt>
                <c:pt idx="7">
                  <c:v>3.2629196529611465E-2</c:v>
                </c:pt>
                <c:pt idx="8">
                  <c:v>1.0373443983402489E-2</c:v>
                </c:pt>
                <c:pt idx="9">
                  <c:v>9.5058468502451907E-2</c:v>
                </c:pt>
                <c:pt idx="10">
                  <c:v>0.20407393436439081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Jinja-Kampala'!$S$9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Jinja-Kampala'!$S$10:$S$21</c:f>
              <c:numCache>
                <c:formatCode>0</c:formatCode>
                <c:ptCount val="12"/>
                <c:pt idx="0">
                  <c:v>40</c:v>
                </c:pt>
                <c:pt idx="1">
                  <c:v>57</c:v>
                </c:pt>
                <c:pt idx="2">
                  <c:v>63</c:v>
                </c:pt>
                <c:pt idx="3">
                  <c:v>74</c:v>
                </c:pt>
                <c:pt idx="4">
                  <c:v>82</c:v>
                </c:pt>
                <c:pt idx="5">
                  <c:v>80</c:v>
                </c:pt>
                <c:pt idx="6">
                  <c:v>112</c:v>
                </c:pt>
                <c:pt idx="7">
                  <c:v>108</c:v>
                </c:pt>
                <c:pt idx="8">
                  <c:v>104</c:v>
                </c:pt>
                <c:pt idx="9">
                  <c:v>101</c:v>
                </c:pt>
                <c:pt idx="10">
                  <c:v>90</c:v>
                </c:pt>
                <c:pt idx="11">
                  <c:v>112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'20.10 Jinja-Kampala'!$T$9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Jinja-Kampala'!$T$10:$T$21</c:f>
              <c:numCache>
                <c:formatCode>0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39</c:v>
                </c:pt>
                <c:pt idx="6">
                  <c:v>39</c:v>
                </c:pt>
                <c:pt idx="7">
                  <c:v>43</c:v>
                </c:pt>
                <c:pt idx="8">
                  <c:v>62</c:v>
                </c:pt>
                <c:pt idx="9">
                  <c:v>45</c:v>
                </c:pt>
                <c:pt idx="10">
                  <c:v>39</c:v>
                </c:pt>
                <c:pt idx="11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'20.10 Jinja-Kampala'!$U$9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'20.10 Jinja-Kampala'!$U$10:$U$21</c:f>
              <c:numCache>
                <c:formatCode>0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9</c:v>
                </c:pt>
                <c:pt idx="6">
                  <c:v>19</c:v>
                </c:pt>
                <c:pt idx="7">
                  <c:v>17</c:v>
                </c:pt>
                <c:pt idx="8">
                  <c:v>31</c:v>
                </c:pt>
                <c:pt idx="9">
                  <c:v>20</c:v>
                </c:pt>
                <c:pt idx="10">
                  <c:v>16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'20.10 Jinja-Kampala'!$V$9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'20.10 Jinja-Kampala'!$V$10:$V$21</c:f>
              <c:numCache>
                <c:formatCode>0</c:formatCode>
                <c:ptCount val="12"/>
                <c:pt idx="0">
                  <c:v>144</c:v>
                </c:pt>
                <c:pt idx="1">
                  <c:v>127</c:v>
                </c:pt>
                <c:pt idx="2">
                  <c:v>127</c:v>
                </c:pt>
                <c:pt idx="3">
                  <c:v>128</c:v>
                </c:pt>
                <c:pt idx="4">
                  <c:v>100</c:v>
                </c:pt>
                <c:pt idx="5">
                  <c:v>113</c:v>
                </c:pt>
                <c:pt idx="6">
                  <c:v>120</c:v>
                </c:pt>
                <c:pt idx="7">
                  <c:v>124</c:v>
                </c:pt>
                <c:pt idx="8">
                  <c:v>133</c:v>
                </c:pt>
                <c:pt idx="9">
                  <c:v>157</c:v>
                </c:pt>
                <c:pt idx="10">
                  <c:v>145</c:v>
                </c:pt>
                <c:pt idx="11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'20.10 Jinja-Kampala'!$W$9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'20.10 Jinja-Kampala'!$W$10:$W$21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'20.10 Jinja-Kampala'!$X$9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'20.10 Jinja-Kampala'!$X$10:$X$21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'20.10 Jinja-Kampala'!$Y$9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Jinja-Kampala'!$Y$10:$Y$21</c:f>
              <c:numCache>
                <c:formatCode>0</c:formatCode>
                <c:ptCount val="12"/>
                <c:pt idx="0">
                  <c:v>4</c:v>
                </c:pt>
                <c:pt idx="1">
                  <c:v>8</c:v>
                </c:pt>
                <c:pt idx="2">
                  <c:v>13</c:v>
                </c:pt>
                <c:pt idx="3">
                  <c:v>14</c:v>
                </c:pt>
                <c:pt idx="4">
                  <c:v>19</c:v>
                </c:pt>
                <c:pt idx="5">
                  <c:v>16</c:v>
                </c:pt>
                <c:pt idx="6">
                  <c:v>10</c:v>
                </c:pt>
                <c:pt idx="7">
                  <c:v>14</c:v>
                </c:pt>
                <c:pt idx="8">
                  <c:v>17</c:v>
                </c:pt>
                <c:pt idx="9">
                  <c:v>15</c:v>
                </c:pt>
                <c:pt idx="10">
                  <c:v>12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'20.10 Jinja-Kampala'!$Z$9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Jinja-Kampala'!$Z$10:$Z$21</c:f>
              <c:numCache>
                <c:formatCode>0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19</c:v>
                </c:pt>
                <c:pt idx="4">
                  <c:v>7</c:v>
                </c:pt>
                <c:pt idx="5">
                  <c:v>13</c:v>
                </c:pt>
                <c:pt idx="6">
                  <c:v>13</c:v>
                </c:pt>
                <c:pt idx="7">
                  <c:v>22</c:v>
                </c:pt>
                <c:pt idx="8">
                  <c:v>27</c:v>
                </c:pt>
                <c:pt idx="9">
                  <c:v>18</c:v>
                </c:pt>
                <c:pt idx="10">
                  <c:v>19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'20.10 Jinja-Kampala'!$AA$9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Jinja-Kampala'!$AA$10:$AA$21</c:f>
              <c:numCache>
                <c:formatCode>0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10</c:v>
                </c:pt>
                <c:pt idx="5">
                  <c:v>1</c:v>
                </c:pt>
                <c:pt idx="6">
                  <c:v>5</c:v>
                </c:pt>
                <c:pt idx="7">
                  <c:v>7</c:v>
                </c:pt>
                <c:pt idx="8">
                  <c:v>3</c:v>
                </c:pt>
                <c:pt idx="9">
                  <c:v>6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'20.10 Jinja-Kampala'!$AB$9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Jinja-Kampala'!$AB$10:$AB$21</c:f>
              <c:numCache>
                <c:formatCode>0</c:formatCode>
                <c:ptCount val="12"/>
                <c:pt idx="0">
                  <c:v>59</c:v>
                </c:pt>
                <c:pt idx="1">
                  <c:v>40</c:v>
                </c:pt>
                <c:pt idx="2">
                  <c:v>46</c:v>
                </c:pt>
                <c:pt idx="3">
                  <c:v>41</c:v>
                </c:pt>
                <c:pt idx="4">
                  <c:v>45</c:v>
                </c:pt>
                <c:pt idx="5">
                  <c:v>43</c:v>
                </c:pt>
                <c:pt idx="6">
                  <c:v>46</c:v>
                </c:pt>
                <c:pt idx="7">
                  <c:v>31</c:v>
                </c:pt>
                <c:pt idx="8">
                  <c:v>40</c:v>
                </c:pt>
                <c:pt idx="9">
                  <c:v>38</c:v>
                </c:pt>
                <c:pt idx="10">
                  <c:v>45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'20.10 Jinja-Kampala'!$AC$9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Jinja-Kampala'!$AC$10:$AC$21</c:f>
              <c:numCache>
                <c:formatCode>0</c:formatCode>
                <c:ptCount val="12"/>
                <c:pt idx="0">
                  <c:v>53</c:v>
                </c:pt>
                <c:pt idx="1">
                  <c:v>77</c:v>
                </c:pt>
                <c:pt idx="2">
                  <c:v>96</c:v>
                </c:pt>
                <c:pt idx="3">
                  <c:v>98</c:v>
                </c:pt>
                <c:pt idx="4">
                  <c:v>83</c:v>
                </c:pt>
                <c:pt idx="5">
                  <c:v>77</c:v>
                </c:pt>
                <c:pt idx="6">
                  <c:v>83</c:v>
                </c:pt>
                <c:pt idx="7">
                  <c:v>83</c:v>
                </c:pt>
                <c:pt idx="8">
                  <c:v>88</c:v>
                </c:pt>
                <c:pt idx="9">
                  <c:v>120</c:v>
                </c:pt>
                <c:pt idx="10">
                  <c:v>103</c:v>
                </c:pt>
                <c:pt idx="11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'20.10 Jinja-Kampala'!$AD$9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Jinja-Kampala'!$AD$10:$AD$21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678384"/>
        <c:axId val="800680016"/>
      </c:lineChart>
      <c:catAx>
        <c:axId val="80067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0680016"/>
        <c:crosses val="autoZero"/>
        <c:auto val="1"/>
        <c:lblAlgn val="ctr"/>
        <c:lblOffset val="100"/>
        <c:noMultiLvlLbl val="0"/>
      </c:catAx>
      <c:valAx>
        <c:axId val="80068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067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Jinja-Kampala'!$C$9:$N$9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Jinja-Kampala'!$C$60:$N$60</c:f>
              <c:numCache>
                <c:formatCode>0.00%</c:formatCode>
                <c:ptCount val="12"/>
                <c:pt idx="0">
                  <c:v>0.24241706161137441</c:v>
                </c:pt>
                <c:pt idx="1">
                  <c:v>0.10710900473933649</c:v>
                </c:pt>
                <c:pt idx="2">
                  <c:v>4.3838862559241708E-2</c:v>
                </c:pt>
                <c:pt idx="3">
                  <c:v>0.37345971563981045</c:v>
                </c:pt>
                <c:pt idx="4">
                  <c:v>1.1848341232227487E-2</c:v>
                </c:pt>
                <c:pt idx="5">
                  <c:v>8.5308056872037911E-3</c:v>
                </c:pt>
                <c:pt idx="6">
                  <c:v>3.9336492890995257E-2</c:v>
                </c:pt>
                <c:pt idx="7">
                  <c:v>4.0995260663507109E-2</c:v>
                </c:pt>
                <c:pt idx="8">
                  <c:v>1.3033175355450236E-2</c:v>
                </c:pt>
                <c:pt idx="9">
                  <c:v>0.11943127962085308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Kampala-Jinja'!$AE$9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Kampala-Jinja'!$AE$10:$AE$21</c:f>
              <c:numCache>
                <c:formatCode>0</c:formatCode>
                <c:ptCount val="12"/>
                <c:pt idx="0">
                  <c:v>193</c:v>
                </c:pt>
                <c:pt idx="1">
                  <c:v>244</c:v>
                </c:pt>
                <c:pt idx="2">
                  <c:v>304</c:v>
                </c:pt>
                <c:pt idx="3">
                  <c:v>340</c:v>
                </c:pt>
                <c:pt idx="4">
                  <c:v>314</c:v>
                </c:pt>
                <c:pt idx="5">
                  <c:v>300</c:v>
                </c:pt>
                <c:pt idx="6">
                  <c:v>291</c:v>
                </c:pt>
                <c:pt idx="7">
                  <c:v>292</c:v>
                </c:pt>
                <c:pt idx="8">
                  <c:v>357</c:v>
                </c:pt>
                <c:pt idx="9">
                  <c:v>325</c:v>
                </c:pt>
                <c:pt idx="10">
                  <c:v>336</c:v>
                </c:pt>
                <c:pt idx="11">
                  <c:v>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'20.10 Kampala-Jinja'!$AF$9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Kampala-Jinja'!$AF$10:$AF$21</c:f>
              <c:numCache>
                <c:formatCode>0</c:formatCode>
                <c:ptCount val="12"/>
                <c:pt idx="0">
                  <c:v>241</c:v>
                </c:pt>
                <c:pt idx="1">
                  <c:v>307</c:v>
                </c:pt>
                <c:pt idx="2">
                  <c:v>368</c:v>
                </c:pt>
                <c:pt idx="3">
                  <c:v>422</c:v>
                </c:pt>
                <c:pt idx="4">
                  <c:v>388</c:v>
                </c:pt>
                <c:pt idx="5">
                  <c:v>362</c:v>
                </c:pt>
                <c:pt idx="6">
                  <c:v>345</c:v>
                </c:pt>
                <c:pt idx="7">
                  <c:v>365</c:v>
                </c:pt>
                <c:pt idx="8">
                  <c:v>419</c:v>
                </c:pt>
                <c:pt idx="9">
                  <c:v>407</c:v>
                </c:pt>
                <c:pt idx="10">
                  <c:v>421</c:v>
                </c:pt>
                <c:pt idx="11">
                  <c:v>370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683824"/>
        <c:axId val="800669680"/>
      </c:lineChart>
      <c:catAx>
        <c:axId val="8006838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0669680"/>
        <c:crosses val="autoZero"/>
        <c:auto val="1"/>
        <c:lblAlgn val="ctr"/>
        <c:lblOffset val="100"/>
        <c:noMultiLvlLbl val="0"/>
      </c:catAx>
      <c:valAx>
        <c:axId val="8006696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068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Kampala-Jinja'!$C$9:$N$9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Kampala-Jinja'!$C$59:$N$59</c:f>
              <c:numCache>
                <c:formatCode>0.0%</c:formatCode>
                <c:ptCount val="12"/>
                <c:pt idx="0">
                  <c:v>0.17757644394110986</c:v>
                </c:pt>
                <c:pt idx="1">
                  <c:v>8.6749716874292185E-2</c:v>
                </c:pt>
                <c:pt idx="2">
                  <c:v>3.2842582106455263E-2</c:v>
                </c:pt>
                <c:pt idx="3">
                  <c:v>0.34677236693091734</c:v>
                </c:pt>
                <c:pt idx="4">
                  <c:v>1.3137032842582106E-2</c:v>
                </c:pt>
                <c:pt idx="5">
                  <c:v>5.6625141562853904E-3</c:v>
                </c:pt>
                <c:pt idx="6">
                  <c:v>2.6274065685164213E-2</c:v>
                </c:pt>
                <c:pt idx="7">
                  <c:v>3.4654586636466589E-2</c:v>
                </c:pt>
                <c:pt idx="8">
                  <c:v>1.1778029445073612E-2</c:v>
                </c:pt>
                <c:pt idx="9">
                  <c:v>7.5198187995469984E-2</c:v>
                </c:pt>
                <c:pt idx="10">
                  <c:v>0.18890147225368065</c:v>
                </c:pt>
                <c:pt idx="11">
                  <c:v>4.5300113250283127E-4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Kampala-Jinja'!$C$9:$N$9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Kampala-Jinja'!$C$60:$N$60</c:f>
              <c:numCache>
                <c:formatCode>0.00%</c:formatCode>
                <c:ptCount val="12"/>
                <c:pt idx="0">
                  <c:v>0.21893325886623849</c:v>
                </c:pt>
                <c:pt idx="1">
                  <c:v>0.10695336498184864</c:v>
                </c:pt>
                <c:pt idx="2">
                  <c:v>4.049148282602625E-2</c:v>
                </c:pt>
                <c:pt idx="3">
                  <c:v>0.42753420832169786</c:v>
                </c:pt>
                <c:pt idx="4">
                  <c:v>1.6196593130410501E-2</c:v>
                </c:pt>
                <c:pt idx="5">
                  <c:v>6.9812901424183187E-3</c:v>
                </c:pt>
                <c:pt idx="6">
                  <c:v>3.2393186260821001E-2</c:v>
                </c:pt>
                <c:pt idx="7">
                  <c:v>4.2725495671600111E-2</c:v>
                </c:pt>
                <c:pt idx="8">
                  <c:v>1.4521083496230103E-2</c:v>
                </c:pt>
                <c:pt idx="9">
                  <c:v>9.2711533091315274E-2</c:v>
                </c:pt>
                <c:pt idx="11">
                  <c:v>5.5850321139346547E-4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jinja-Kampala-24h'!$AE$9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jinja-Kampala-24h'!$R$10:$R$33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jinja-Kampala-24h'!$AE$10:$AE$33</c:f>
              <c:numCache>
                <c:formatCode>0</c:formatCode>
                <c:ptCount val="24"/>
                <c:pt idx="0">
                  <c:v>247</c:v>
                </c:pt>
                <c:pt idx="1">
                  <c:v>272</c:v>
                </c:pt>
                <c:pt idx="2">
                  <c:v>263</c:v>
                </c:pt>
                <c:pt idx="3">
                  <c:v>261</c:v>
                </c:pt>
                <c:pt idx="4">
                  <c:v>280</c:v>
                </c:pt>
                <c:pt idx="5">
                  <c:v>294</c:v>
                </c:pt>
                <c:pt idx="6">
                  <c:v>397</c:v>
                </c:pt>
                <c:pt idx="7">
                  <c:v>291</c:v>
                </c:pt>
                <c:pt idx="8">
                  <c:v>318</c:v>
                </c:pt>
                <c:pt idx="9">
                  <c:v>338</c:v>
                </c:pt>
                <c:pt idx="10">
                  <c:v>315</c:v>
                </c:pt>
                <c:pt idx="11">
                  <c:v>287</c:v>
                </c:pt>
                <c:pt idx="12">
                  <c:v>283</c:v>
                </c:pt>
                <c:pt idx="13">
                  <c:v>300</c:v>
                </c:pt>
                <c:pt idx="14">
                  <c:v>209</c:v>
                </c:pt>
                <c:pt idx="15">
                  <c:v>119</c:v>
                </c:pt>
                <c:pt idx="16">
                  <c:v>127</c:v>
                </c:pt>
                <c:pt idx="17">
                  <c:v>92</c:v>
                </c:pt>
                <c:pt idx="18">
                  <c:v>57</c:v>
                </c:pt>
                <c:pt idx="19">
                  <c:v>72</c:v>
                </c:pt>
                <c:pt idx="20">
                  <c:v>101</c:v>
                </c:pt>
                <c:pt idx="21">
                  <c:v>134</c:v>
                </c:pt>
                <c:pt idx="22">
                  <c:v>228</c:v>
                </c:pt>
                <c:pt idx="23">
                  <c:v>215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'21.10 jinja-Kampala-24h'!$AF$9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jinja-Kampala-24h'!$R$10:$R$33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jinja-Kampala-24h'!$AF$10:$AF$33</c:f>
              <c:numCache>
                <c:formatCode>0</c:formatCode>
                <c:ptCount val="24"/>
                <c:pt idx="0">
                  <c:v>339</c:v>
                </c:pt>
                <c:pt idx="1">
                  <c:v>336</c:v>
                </c:pt>
                <c:pt idx="2">
                  <c:v>324</c:v>
                </c:pt>
                <c:pt idx="3">
                  <c:v>351</c:v>
                </c:pt>
                <c:pt idx="4">
                  <c:v>368</c:v>
                </c:pt>
                <c:pt idx="5">
                  <c:v>376</c:v>
                </c:pt>
                <c:pt idx="6">
                  <c:v>481</c:v>
                </c:pt>
                <c:pt idx="7">
                  <c:v>384</c:v>
                </c:pt>
                <c:pt idx="8">
                  <c:v>403</c:v>
                </c:pt>
                <c:pt idx="9">
                  <c:v>443</c:v>
                </c:pt>
                <c:pt idx="10">
                  <c:v>430</c:v>
                </c:pt>
                <c:pt idx="11">
                  <c:v>375</c:v>
                </c:pt>
                <c:pt idx="12">
                  <c:v>341</c:v>
                </c:pt>
                <c:pt idx="13">
                  <c:v>393</c:v>
                </c:pt>
                <c:pt idx="14">
                  <c:v>283</c:v>
                </c:pt>
                <c:pt idx="15">
                  <c:v>171</c:v>
                </c:pt>
                <c:pt idx="16">
                  <c:v>176</c:v>
                </c:pt>
                <c:pt idx="17">
                  <c:v>133</c:v>
                </c:pt>
                <c:pt idx="18">
                  <c:v>61</c:v>
                </c:pt>
                <c:pt idx="19">
                  <c:v>78</c:v>
                </c:pt>
                <c:pt idx="20">
                  <c:v>101</c:v>
                </c:pt>
                <c:pt idx="21">
                  <c:v>203</c:v>
                </c:pt>
                <c:pt idx="22">
                  <c:v>252</c:v>
                </c:pt>
                <c:pt idx="23">
                  <c:v>243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858480"/>
        <c:axId val="802863920"/>
      </c:lineChart>
      <c:catAx>
        <c:axId val="8028584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863920"/>
        <c:crosses val="autoZero"/>
        <c:auto val="1"/>
        <c:lblAlgn val="ctr"/>
        <c:lblOffset val="100"/>
        <c:noMultiLvlLbl val="0"/>
      </c:catAx>
      <c:valAx>
        <c:axId val="802863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85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jinja-Kampala-24h'!$C$9:$N$9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jinja-Kampala-24h'!$C$107:$N$107</c:f>
              <c:numCache>
                <c:formatCode>0.0%</c:formatCode>
                <c:ptCount val="12"/>
                <c:pt idx="0">
                  <c:v>0.12264017033356991</c:v>
                </c:pt>
                <c:pt idx="1">
                  <c:v>5.5216465578424412E-2</c:v>
                </c:pt>
                <c:pt idx="2">
                  <c:v>3.1511710432931155E-2</c:v>
                </c:pt>
                <c:pt idx="3">
                  <c:v>0.28630234208658623</c:v>
                </c:pt>
                <c:pt idx="4">
                  <c:v>1.0503903477643718E-2</c:v>
                </c:pt>
                <c:pt idx="5">
                  <c:v>1.0361958836053939E-2</c:v>
                </c:pt>
                <c:pt idx="6">
                  <c:v>3.5344215755855217E-2</c:v>
                </c:pt>
                <c:pt idx="7">
                  <c:v>6.4158977998580558E-2</c:v>
                </c:pt>
                <c:pt idx="8">
                  <c:v>3.9744499645138397E-2</c:v>
                </c:pt>
                <c:pt idx="9">
                  <c:v>0.12448545067423705</c:v>
                </c:pt>
                <c:pt idx="10">
                  <c:v>0.21930447125621008</c:v>
                </c:pt>
                <c:pt idx="11">
                  <c:v>4.2583392476933996E-4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jinja-Kampala-24h'!$C$9:$N$9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jinja-Kampala-24h'!$C$108:$N$108</c:f>
              <c:numCache>
                <c:formatCode>0.00%</c:formatCode>
                <c:ptCount val="12"/>
                <c:pt idx="0">
                  <c:v>0.15709090909090909</c:v>
                </c:pt>
                <c:pt idx="1">
                  <c:v>7.0727272727272722E-2</c:v>
                </c:pt>
                <c:pt idx="2">
                  <c:v>4.0363636363636365E-2</c:v>
                </c:pt>
                <c:pt idx="3">
                  <c:v>0.36672727272727274</c:v>
                </c:pt>
                <c:pt idx="4">
                  <c:v>1.3454545454545455E-2</c:v>
                </c:pt>
                <c:pt idx="5">
                  <c:v>1.3272727272727273E-2</c:v>
                </c:pt>
                <c:pt idx="6">
                  <c:v>4.527272727272727E-2</c:v>
                </c:pt>
                <c:pt idx="7">
                  <c:v>8.2181818181818175E-2</c:v>
                </c:pt>
                <c:pt idx="8">
                  <c:v>5.0909090909090911E-2</c:v>
                </c:pt>
                <c:pt idx="9">
                  <c:v>0.15945454545454546</c:v>
                </c:pt>
                <c:pt idx="11">
                  <c:v>5.4545454545454548E-4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Kampala-Jinja-24h'!$AE$9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Kampala-Jinja-24h'!$R$10:$R$33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Kampala-Jinja-24h'!$AE$10:$AE$33</c:f>
              <c:numCache>
                <c:formatCode>0</c:formatCode>
                <c:ptCount val="24"/>
                <c:pt idx="0">
                  <c:v>239</c:v>
                </c:pt>
                <c:pt idx="1">
                  <c:v>262</c:v>
                </c:pt>
                <c:pt idx="2">
                  <c:v>257</c:v>
                </c:pt>
                <c:pt idx="3">
                  <c:v>274</c:v>
                </c:pt>
                <c:pt idx="4">
                  <c:v>285</c:v>
                </c:pt>
                <c:pt idx="5">
                  <c:v>275</c:v>
                </c:pt>
                <c:pt idx="6">
                  <c:v>296</c:v>
                </c:pt>
                <c:pt idx="7">
                  <c:v>281</c:v>
                </c:pt>
                <c:pt idx="8">
                  <c:v>286</c:v>
                </c:pt>
                <c:pt idx="9">
                  <c:v>330</c:v>
                </c:pt>
                <c:pt idx="10">
                  <c:v>344</c:v>
                </c:pt>
                <c:pt idx="11">
                  <c:v>319</c:v>
                </c:pt>
                <c:pt idx="12">
                  <c:v>253</c:v>
                </c:pt>
                <c:pt idx="13">
                  <c:v>236</c:v>
                </c:pt>
                <c:pt idx="14">
                  <c:v>204</c:v>
                </c:pt>
                <c:pt idx="15">
                  <c:v>187</c:v>
                </c:pt>
                <c:pt idx="16">
                  <c:v>120</c:v>
                </c:pt>
                <c:pt idx="17">
                  <c:v>88</c:v>
                </c:pt>
                <c:pt idx="18">
                  <c:v>82</c:v>
                </c:pt>
                <c:pt idx="19">
                  <c:v>61</c:v>
                </c:pt>
                <c:pt idx="20">
                  <c:v>33</c:v>
                </c:pt>
                <c:pt idx="21">
                  <c:v>33</c:v>
                </c:pt>
                <c:pt idx="22">
                  <c:v>61</c:v>
                </c:pt>
                <c:pt idx="23">
                  <c:v>118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'21.10 Kampala-Jinja-24h'!$AF$9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Kampala-Jinja-24h'!$R$10:$R$33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Kampala-Jinja-24h'!$AF$10:$AF$33</c:f>
              <c:numCache>
                <c:formatCode>0</c:formatCode>
                <c:ptCount val="24"/>
                <c:pt idx="0">
                  <c:v>284</c:v>
                </c:pt>
                <c:pt idx="1">
                  <c:v>320</c:v>
                </c:pt>
                <c:pt idx="2">
                  <c:v>294</c:v>
                </c:pt>
                <c:pt idx="3">
                  <c:v>334</c:v>
                </c:pt>
                <c:pt idx="4">
                  <c:v>374</c:v>
                </c:pt>
                <c:pt idx="5">
                  <c:v>328</c:v>
                </c:pt>
                <c:pt idx="6">
                  <c:v>357</c:v>
                </c:pt>
                <c:pt idx="7">
                  <c:v>359</c:v>
                </c:pt>
                <c:pt idx="8">
                  <c:v>343</c:v>
                </c:pt>
                <c:pt idx="9">
                  <c:v>383</c:v>
                </c:pt>
                <c:pt idx="10">
                  <c:v>420</c:v>
                </c:pt>
                <c:pt idx="11">
                  <c:v>383</c:v>
                </c:pt>
                <c:pt idx="12">
                  <c:v>308</c:v>
                </c:pt>
                <c:pt idx="13">
                  <c:v>287</c:v>
                </c:pt>
                <c:pt idx="14">
                  <c:v>248</c:v>
                </c:pt>
                <c:pt idx="15">
                  <c:v>207</c:v>
                </c:pt>
                <c:pt idx="16">
                  <c:v>144</c:v>
                </c:pt>
                <c:pt idx="17">
                  <c:v>94</c:v>
                </c:pt>
                <c:pt idx="18">
                  <c:v>89</c:v>
                </c:pt>
                <c:pt idx="19">
                  <c:v>63</c:v>
                </c:pt>
                <c:pt idx="20">
                  <c:v>34</c:v>
                </c:pt>
                <c:pt idx="21">
                  <c:v>34</c:v>
                </c:pt>
                <c:pt idx="22">
                  <c:v>62</c:v>
                </c:pt>
                <c:pt idx="23">
                  <c:v>129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642960"/>
        <c:axId val="804655472"/>
      </c:lineChart>
      <c:catAx>
        <c:axId val="8046429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4655472"/>
        <c:crosses val="autoZero"/>
        <c:auto val="1"/>
        <c:lblAlgn val="ctr"/>
        <c:lblOffset val="100"/>
        <c:noMultiLvlLbl val="0"/>
      </c:catAx>
      <c:valAx>
        <c:axId val="804655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464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Kampala-Jinja-24h'!$C$9:$N$9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Kampala-Jinja-24h'!$C$107:$N$107</c:f>
              <c:numCache>
                <c:formatCode>0.0%</c:formatCode>
                <c:ptCount val="12"/>
                <c:pt idx="0">
                  <c:v>0.14817965294317795</c:v>
                </c:pt>
                <c:pt idx="1">
                  <c:v>6.6859476012249064E-2</c:v>
                </c:pt>
                <c:pt idx="2">
                  <c:v>4.3722354542361348E-2</c:v>
                </c:pt>
                <c:pt idx="3">
                  <c:v>0.28615175229669954</c:v>
                </c:pt>
                <c:pt idx="4">
                  <c:v>1.6672337529772031E-2</c:v>
                </c:pt>
                <c:pt idx="5">
                  <c:v>8.1660428717250759E-3</c:v>
                </c:pt>
                <c:pt idx="6">
                  <c:v>4.6444368832936372E-2</c:v>
                </c:pt>
                <c:pt idx="7">
                  <c:v>6.8220483157536579E-2</c:v>
                </c:pt>
                <c:pt idx="8">
                  <c:v>1.7863218781898605E-2</c:v>
                </c:pt>
                <c:pt idx="9">
                  <c:v>0.13201769309288874</c:v>
                </c:pt>
                <c:pt idx="10">
                  <c:v>0.16230010207553588</c:v>
                </c:pt>
                <c:pt idx="11">
                  <c:v>3.4025178632187819E-3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Kampala-Jinja-24h'!$C$9:$N$9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Kampala-Jinja-24h'!$C$108:$N$108</c:f>
              <c:numCache>
                <c:formatCode>0.00%</c:formatCode>
                <c:ptCount val="12"/>
                <c:pt idx="0">
                  <c:v>0.17688870836718115</c:v>
                </c:pt>
                <c:pt idx="1">
                  <c:v>7.9813160032493904E-2</c:v>
                </c:pt>
                <c:pt idx="2">
                  <c:v>5.2193338748984568E-2</c:v>
                </c:pt>
                <c:pt idx="3">
                  <c:v>0.34159220146222585</c:v>
                </c:pt>
                <c:pt idx="4">
                  <c:v>1.9902518277822908E-2</c:v>
                </c:pt>
                <c:pt idx="5">
                  <c:v>9.7481722177091799E-3</c:v>
                </c:pt>
                <c:pt idx="6">
                  <c:v>5.544272948822096E-2</c:v>
                </c:pt>
                <c:pt idx="7">
                  <c:v>8.1437855402112097E-2</c:v>
                </c:pt>
                <c:pt idx="8">
                  <c:v>2.1324126726238832E-2</c:v>
                </c:pt>
                <c:pt idx="9">
                  <c:v>0.15759545085296506</c:v>
                </c:pt>
                <c:pt idx="11">
                  <c:v>4.0617384240454911E-3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JINJA-KAMPALA'!$AE$9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JINJA-KAMPALA'!$AE$10:$AE$21</c:f>
              <c:numCache>
                <c:formatCode>0</c:formatCode>
                <c:ptCount val="12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237</c:v>
                </c:pt>
                <c:pt idx="4">
                  <c:v>263</c:v>
                </c:pt>
                <c:pt idx="5">
                  <c:v>242</c:v>
                </c:pt>
                <c:pt idx="6">
                  <c:v>246</c:v>
                </c:pt>
                <c:pt idx="7">
                  <c:v>299</c:v>
                </c:pt>
                <c:pt idx="8">
                  <c:v>294</c:v>
                </c:pt>
                <c:pt idx="9">
                  <c:v>297</c:v>
                </c:pt>
                <c:pt idx="10">
                  <c:v>353</c:v>
                </c:pt>
                <c:pt idx="11">
                  <c:v>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'23.10 JINJA-KAMPALA'!$AF$9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JINJA-KAMPALA'!$AF$10:$AF$21</c:f>
              <c:numCache>
                <c:formatCode>0</c:formatCode>
                <c:ptCount val="12"/>
                <c:pt idx="0">
                  <c:v>337</c:v>
                </c:pt>
                <c:pt idx="1">
                  <c:v>323</c:v>
                </c:pt>
                <c:pt idx="2">
                  <c:v>356</c:v>
                </c:pt>
                <c:pt idx="3">
                  <c:v>321</c:v>
                </c:pt>
                <c:pt idx="4">
                  <c:v>347</c:v>
                </c:pt>
                <c:pt idx="5">
                  <c:v>326</c:v>
                </c:pt>
                <c:pt idx="6">
                  <c:v>322</c:v>
                </c:pt>
                <c:pt idx="7">
                  <c:v>352</c:v>
                </c:pt>
                <c:pt idx="8">
                  <c:v>361</c:v>
                </c:pt>
                <c:pt idx="9">
                  <c:v>354</c:v>
                </c:pt>
                <c:pt idx="10">
                  <c:v>445</c:v>
                </c:pt>
                <c:pt idx="11">
                  <c:v>486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650576"/>
        <c:axId val="804651120"/>
      </c:lineChart>
      <c:catAx>
        <c:axId val="8046505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4651120"/>
        <c:crosses val="autoZero"/>
        <c:auto val="1"/>
        <c:lblAlgn val="ctr"/>
        <c:lblOffset val="100"/>
        <c:noMultiLvlLbl val="0"/>
      </c:catAx>
      <c:valAx>
        <c:axId val="8046511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465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JINJA-KAMPALA'!$C$9:$N$9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JINJA-KAMPALA'!$C$59:$N$59</c:f>
              <c:numCache>
                <c:formatCode>0.0%</c:formatCode>
                <c:ptCount val="12"/>
                <c:pt idx="0">
                  <c:v>0.16281755196304851</c:v>
                </c:pt>
                <c:pt idx="1">
                  <c:v>3.2332563510392612E-2</c:v>
                </c:pt>
                <c:pt idx="2">
                  <c:v>4.8267898383371824E-2</c:v>
                </c:pt>
                <c:pt idx="3">
                  <c:v>0.28545034642032335</c:v>
                </c:pt>
                <c:pt idx="4">
                  <c:v>8.0831408775981529E-3</c:v>
                </c:pt>
                <c:pt idx="5">
                  <c:v>6.4665127020785218E-3</c:v>
                </c:pt>
                <c:pt idx="6">
                  <c:v>5.3348729792147803E-2</c:v>
                </c:pt>
                <c:pt idx="7">
                  <c:v>5.3579676674364897E-2</c:v>
                </c:pt>
                <c:pt idx="8">
                  <c:v>1.6397228637413396E-2</c:v>
                </c:pt>
                <c:pt idx="9">
                  <c:v>0.10623556581986143</c:v>
                </c:pt>
                <c:pt idx="10">
                  <c:v>0.22632794457274827</c:v>
                </c:pt>
                <c:pt idx="11">
                  <c:v>6.928406466512702E-4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JINJA-KAMPALA'!$S$9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JINJA-KAMPALA'!$S$10:$S$21</c:f>
              <c:numCache>
                <c:formatCode>0</c:formatCode>
                <c:ptCount val="12"/>
                <c:pt idx="0">
                  <c:v>41</c:v>
                </c:pt>
                <c:pt idx="1">
                  <c:v>50</c:v>
                </c:pt>
                <c:pt idx="2">
                  <c:v>35</c:v>
                </c:pt>
                <c:pt idx="3">
                  <c:v>44</c:v>
                </c:pt>
                <c:pt idx="4">
                  <c:v>61</c:v>
                </c:pt>
                <c:pt idx="5">
                  <c:v>45</c:v>
                </c:pt>
                <c:pt idx="6">
                  <c:v>50</c:v>
                </c:pt>
                <c:pt idx="7">
                  <c:v>52</c:v>
                </c:pt>
                <c:pt idx="8">
                  <c:v>70</c:v>
                </c:pt>
                <c:pt idx="9">
                  <c:v>64</c:v>
                </c:pt>
                <c:pt idx="10">
                  <c:v>79</c:v>
                </c:pt>
                <c:pt idx="11">
                  <c:v>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'23.10 JINJA-KAMPALA'!$T$9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JINJA-KAMPALA'!$T$10:$T$21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2</c:v>
                </c:pt>
                <c:pt idx="4">
                  <c:v>6</c:v>
                </c:pt>
                <c:pt idx="5">
                  <c:v>12</c:v>
                </c:pt>
                <c:pt idx="6">
                  <c:v>12</c:v>
                </c:pt>
                <c:pt idx="7">
                  <c:v>17</c:v>
                </c:pt>
                <c:pt idx="8">
                  <c:v>14</c:v>
                </c:pt>
                <c:pt idx="9">
                  <c:v>13</c:v>
                </c:pt>
                <c:pt idx="10">
                  <c:v>22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'23.10 JINJA-KAMPALA'!$U$9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JINJA-KAMPALA'!$U$10:$U$21</c:f>
              <c:numCache>
                <c:formatCode>0</c:formatCode>
                <c:ptCount val="12"/>
                <c:pt idx="0">
                  <c:v>13</c:v>
                </c:pt>
                <c:pt idx="1">
                  <c:v>11</c:v>
                </c:pt>
                <c:pt idx="2">
                  <c:v>12</c:v>
                </c:pt>
                <c:pt idx="3">
                  <c:v>7</c:v>
                </c:pt>
                <c:pt idx="4">
                  <c:v>23</c:v>
                </c:pt>
                <c:pt idx="5">
                  <c:v>11</c:v>
                </c:pt>
                <c:pt idx="6">
                  <c:v>14</c:v>
                </c:pt>
                <c:pt idx="7">
                  <c:v>25</c:v>
                </c:pt>
                <c:pt idx="8">
                  <c:v>24</c:v>
                </c:pt>
                <c:pt idx="9">
                  <c:v>30</c:v>
                </c:pt>
                <c:pt idx="10">
                  <c:v>17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'23.10 JINJA-KAMPALA'!$V$9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JINJA-KAMPALA'!$V$10:$V$21</c:f>
              <c:numCache>
                <c:formatCode>0</c:formatCode>
                <c:ptCount val="12"/>
                <c:pt idx="0">
                  <c:v>117</c:v>
                </c:pt>
                <c:pt idx="1">
                  <c:v>100</c:v>
                </c:pt>
                <c:pt idx="2">
                  <c:v>113</c:v>
                </c:pt>
                <c:pt idx="3">
                  <c:v>100</c:v>
                </c:pt>
                <c:pt idx="4">
                  <c:v>91</c:v>
                </c:pt>
                <c:pt idx="5">
                  <c:v>89</c:v>
                </c:pt>
                <c:pt idx="6">
                  <c:v>79</c:v>
                </c:pt>
                <c:pt idx="7">
                  <c:v>97</c:v>
                </c:pt>
                <c:pt idx="8">
                  <c:v>97</c:v>
                </c:pt>
                <c:pt idx="9">
                  <c:v>99</c:v>
                </c:pt>
                <c:pt idx="10">
                  <c:v>134</c:v>
                </c:pt>
                <c:pt idx="11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'23.10 JINJA-KAMPALA'!$W$9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JINJA-KAMPALA'!$W$10:$W$21</c:f>
              <c:numCache>
                <c:formatCode>0</c:formatCode>
                <c:ptCount val="12"/>
                <c:pt idx="0">
                  <c:v>7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'23.10 JINJA-KAMPALA'!$X$9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JINJA-KAMPALA'!$X$10:$X$21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'23.10 JINJA-KAMPALA'!$Y$9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JINJA-KAMPALA'!$Y$10:$Y$21</c:f>
              <c:numCache>
                <c:formatCode>0</c:formatCode>
                <c:ptCount val="12"/>
                <c:pt idx="0">
                  <c:v>12</c:v>
                </c:pt>
                <c:pt idx="1">
                  <c:v>14</c:v>
                </c:pt>
                <c:pt idx="2">
                  <c:v>19</c:v>
                </c:pt>
                <c:pt idx="3">
                  <c:v>22</c:v>
                </c:pt>
                <c:pt idx="4">
                  <c:v>23</c:v>
                </c:pt>
                <c:pt idx="5">
                  <c:v>21</c:v>
                </c:pt>
                <c:pt idx="6">
                  <c:v>13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28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'23.10 JINJA-KAMPALA'!$Z$9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JINJA-KAMPALA'!$Z$10:$Z$21</c:f>
              <c:numCache>
                <c:formatCode>0</c:formatCode>
                <c:ptCount val="12"/>
                <c:pt idx="0">
                  <c:v>9</c:v>
                </c:pt>
                <c:pt idx="1">
                  <c:v>11</c:v>
                </c:pt>
                <c:pt idx="2">
                  <c:v>13</c:v>
                </c:pt>
                <c:pt idx="3">
                  <c:v>17</c:v>
                </c:pt>
                <c:pt idx="4">
                  <c:v>19</c:v>
                </c:pt>
                <c:pt idx="5">
                  <c:v>23</c:v>
                </c:pt>
                <c:pt idx="6">
                  <c:v>21</c:v>
                </c:pt>
                <c:pt idx="7">
                  <c:v>25</c:v>
                </c:pt>
                <c:pt idx="8">
                  <c:v>24</c:v>
                </c:pt>
                <c:pt idx="9">
                  <c:v>22</c:v>
                </c:pt>
                <c:pt idx="10">
                  <c:v>29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'23.10 JINJA-KAMPALA'!$AA$9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JINJA-KAMPALA'!$AA$10:$AA$21</c:f>
              <c:numCache>
                <c:formatCode>0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4</c:v>
                </c:pt>
                <c:pt idx="10">
                  <c:v>8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'23.10 JINJA-KAMPALA'!$AB$9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JINJA-KAMPALA'!$AB$10:$AB$21</c:f>
              <c:numCache>
                <c:formatCode>0</c:formatCode>
                <c:ptCount val="12"/>
                <c:pt idx="0">
                  <c:v>33</c:v>
                </c:pt>
                <c:pt idx="1">
                  <c:v>47</c:v>
                </c:pt>
                <c:pt idx="2">
                  <c:v>44</c:v>
                </c:pt>
                <c:pt idx="3">
                  <c:v>36</c:v>
                </c:pt>
                <c:pt idx="4">
                  <c:v>33</c:v>
                </c:pt>
                <c:pt idx="5">
                  <c:v>35</c:v>
                </c:pt>
                <c:pt idx="6">
                  <c:v>48</c:v>
                </c:pt>
                <c:pt idx="7">
                  <c:v>52</c:v>
                </c:pt>
                <c:pt idx="8">
                  <c:v>35</c:v>
                </c:pt>
                <c:pt idx="9">
                  <c:v>41</c:v>
                </c:pt>
                <c:pt idx="10">
                  <c:v>29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'23.10 JINJA-KAMPALA'!$AC$9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JINJA-KAMPALA'!$AC$10:$AC$21</c:f>
              <c:numCache>
                <c:formatCode>0</c:formatCode>
                <c:ptCount val="12"/>
                <c:pt idx="0">
                  <c:v>87</c:v>
                </c:pt>
                <c:pt idx="1">
                  <c:v>73</c:v>
                </c:pt>
                <c:pt idx="2">
                  <c:v>106</c:v>
                </c:pt>
                <c:pt idx="3">
                  <c:v>84</c:v>
                </c:pt>
                <c:pt idx="4">
                  <c:v>84</c:v>
                </c:pt>
                <c:pt idx="5">
                  <c:v>84</c:v>
                </c:pt>
                <c:pt idx="6">
                  <c:v>76</c:v>
                </c:pt>
                <c:pt idx="7">
                  <c:v>53</c:v>
                </c:pt>
                <c:pt idx="8">
                  <c:v>67</c:v>
                </c:pt>
                <c:pt idx="9">
                  <c:v>57</c:v>
                </c:pt>
                <c:pt idx="10">
                  <c:v>92</c:v>
                </c:pt>
                <c:pt idx="11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'23.10 JINJA-KAMPALA'!$AD$9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JINJA-KAMPALA'!$AD$10:$AD$21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644592"/>
        <c:axId val="804656560"/>
      </c:lineChart>
      <c:catAx>
        <c:axId val="80464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4656560"/>
        <c:crosses val="autoZero"/>
        <c:auto val="1"/>
        <c:lblAlgn val="ctr"/>
        <c:lblOffset val="100"/>
        <c:noMultiLvlLbl val="0"/>
      </c:catAx>
      <c:valAx>
        <c:axId val="8046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46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JINJA-KAMPALA'!$C$9:$N$9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JINJA-KAMPALA'!$C$60:$N$60</c:f>
              <c:numCache>
                <c:formatCode>0.00%</c:formatCode>
                <c:ptCount val="12"/>
                <c:pt idx="0">
                  <c:v>0.21044776119402986</c:v>
                </c:pt>
                <c:pt idx="1">
                  <c:v>4.1791044776119404E-2</c:v>
                </c:pt>
                <c:pt idx="2">
                  <c:v>6.238805970149254E-2</c:v>
                </c:pt>
                <c:pt idx="3">
                  <c:v>0.36895522388059704</c:v>
                </c:pt>
                <c:pt idx="4">
                  <c:v>1.0447761194029851E-2</c:v>
                </c:pt>
                <c:pt idx="5">
                  <c:v>8.3582089552238798E-3</c:v>
                </c:pt>
                <c:pt idx="6">
                  <c:v>6.8955223880597008E-2</c:v>
                </c:pt>
                <c:pt idx="7">
                  <c:v>6.9253731343283581E-2</c:v>
                </c:pt>
                <c:pt idx="8">
                  <c:v>2.1194029850746268E-2</c:v>
                </c:pt>
                <c:pt idx="9">
                  <c:v>0.1373134328358209</c:v>
                </c:pt>
                <c:pt idx="11">
                  <c:v>8.955223880597015E-4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KAMPALA-JINJA'!$AE$9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KAMPALA-JINJA'!$AE$10:$AE$21</c:f>
              <c:numCache>
                <c:formatCode>0</c:formatCode>
                <c:ptCount val="12"/>
                <c:pt idx="0">
                  <c:v>211</c:v>
                </c:pt>
                <c:pt idx="1">
                  <c:v>238</c:v>
                </c:pt>
                <c:pt idx="2">
                  <c:v>313</c:v>
                </c:pt>
                <c:pt idx="3">
                  <c:v>244</c:v>
                </c:pt>
                <c:pt idx="4">
                  <c:v>308</c:v>
                </c:pt>
                <c:pt idx="5">
                  <c:v>311</c:v>
                </c:pt>
                <c:pt idx="6">
                  <c:v>300</c:v>
                </c:pt>
                <c:pt idx="7">
                  <c:v>316</c:v>
                </c:pt>
                <c:pt idx="8">
                  <c:v>384</c:v>
                </c:pt>
                <c:pt idx="9">
                  <c:v>343</c:v>
                </c:pt>
                <c:pt idx="10">
                  <c:v>330</c:v>
                </c:pt>
                <c:pt idx="11">
                  <c:v>323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'23.10 KAMPALA-JINJA'!$AF$9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KAMPALA-JINJA'!$AF$10:$AF$21</c:f>
              <c:numCache>
                <c:formatCode>0</c:formatCode>
                <c:ptCount val="12"/>
                <c:pt idx="0">
                  <c:v>302</c:v>
                </c:pt>
                <c:pt idx="1">
                  <c:v>309</c:v>
                </c:pt>
                <c:pt idx="2">
                  <c:v>404</c:v>
                </c:pt>
                <c:pt idx="3">
                  <c:v>328</c:v>
                </c:pt>
                <c:pt idx="4">
                  <c:v>368</c:v>
                </c:pt>
                <c:pt idx="5">
                  <c:v>392</c:v>
                </c:pt>
                <c:pt idx="6">
                  <c:v>388</c:v>
                </c:pt>
                <c:pt idx="7">
                  <c:v>377</c:v>
                </c:pt>
                <c:pt idx="8">
                  <c:v>459</c:v>
                </c:pt>
                <c:pt idx="9">
                  <c:v>404</c:v>
                </c:pt>
                <c:pt idx="10">
                  <c:v>397</c:v>
                </c:pt>
                <c:pt idx="11">
                  <c:v>422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646224"/>
        <c:axId val="804646768"/>
      </c:lineChart>
      <c:catAx>
        <c:axId val="8046462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4646768"/>
        <c:crosses val="autoZero"/>
        <c:auto val="1"/>
        <c:lblAlgn val="ctr"/>
        <c:lblOffset val="100"/>
        <c:noMultiLvlLbl val="0"/>
      </c:catAx>
      <c:valAx>
        <c:axId val="8046467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464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KAMPALA-JINJA'!$C$9:$N$9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KAMPALA-JINJA'!$C$59:$N$59</c:f>
              <c:numCache>
                <c:formatCode>0.0%</c:formatCode>
                <c:ptCount val="12"/>
                <c:pt idx="0">
                  <c:v>0.13802197802197802</c:v>
                </c:pt>
                <c:pt idx="1">
                  <c:v>6.7032967032967031E-2</c:v>
                </c:pt>
                <c:pt idx="2">
                  <c:v>4.4395604395604395E-2</c:v>
                </c:pt>
                <c:pt idx="3">
                  <c:v>0.2978021978021978</c:v>
                </c:pt>
                <c:pt idx="4">
                  <c:v>6.3736263736263741E-3</c:v>
                </c:pt>
                <c:pt idx="5">
                  <c:v>6.5934065934065934E-3</c:v>
                </c:pt>
                <c:pt idx="6">
                  <c:v>2.7692307692307693E-2</c:v>
                </c:pt>
                <c:pt idx="7">
                  <c:v>7.4505494505494499E-2</c:v>
                </c:pt>
                <c:pt idx="8">
                  <c:v>1.4065934065934066E-2</c:v>
                </c:pt>
                <c:pt idx="9">
                  <c:v>0.11868131868131868</c:v>
                </c:pt>
                <c:pt idx="10">
                  <c:v>0.20417582417582417</c:v>
                </c:pt>
                <c:pt idx="11">
                  <c:v>6.5934065934065934E-4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KAMPALA-JINJA'!$S$9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KAMPALA-JINJA'!$S$10:$S$21</c:f>
              <c:numCache>
                <c:formatCode>0</c:formatCode>
                <c:ptCount val="12"/>
                <c:pt idx="0">
                  <c:v>34</c:v>
                </c:pt>
                <c:pt idx="1">
                  <c:v>44</c:v>
                </c:pt>
                <c:pt idx="2">
                  <c:v>56</c:v>
                </c:pt>
                <c:pt idx="3">
                  <c:v>59</c:v>
                </c:pt>
                <c:pt idx="4">
                  <c:v>64</c:v>
                </c:pt>
                <c:pt idx="5">
                  <c:v>75</c:v>
                </c:pt>
                <c:pt idx="6">
                  <c:v>53</c:v>
                </c:pt>
                <c:pt idx="7">
                  <c:v>45</c:v>
                </c:pt>
                <c:pt idx="8">
                  <c:v>67</c:v>
                </c:pt>
                <c:pt idx="9">
                  <c:v>41</c:v>
                </c:pt>
                <c:pt idx="10">
                  <c:v>49</c:v>
                </c:pt>
                <c:pt idx="11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'23.10 KAMPALA-JINJA'!$T$9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KAMPALA-JINJA'!$T$10:$T$21</c:f>
              <c:numCache>
                <c:formatCode>0</c:formatCode>
                <c:ptCount val="12"/>
                <c:pt idx="0">
                  <c:v>18</c:v>
                </c:pt>
                <c:pt idx="1">
                  <c:v>24</c:v>
                </c:pt>
                <c:pt idx="2">
                  <c:v>38</c:v>
                </c:pt>
                <c:pt idx="3">
                  <c:v>13</c:v>
                </c:pt>
                <c:pt idx="4">
                  <c:v>32</c:v>
                </c:pt>
                <c:pt idx="5">
                  <c:v>23</c:v>
                </c:pt>
                <c:pt idx="6">
                  <c:v>24</c:v>
                </c:pt>
                <c:pt idx="7">
                  <c:v>24</c:v>
                </c:pt>
                <c:pt idx="8">
                  <c:v>29</c:v>
                </c:pt>
                <c:pt idx="9">
                  <c:v>28</c:v>
                </c:pt>
                <c:pt idx="10">
                  <c:v>17</c:v>
                </c:pt>
                <c:pt idx="11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'23.10 KAMPALA-JINJA'!$U$9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KAMPALA-JINJA'!$U$10:$U$21</c:f>
              <c:numCache>
                <c:formatCode>0</c:formatCode>
                <c:ptCount val="12"/>
                <c:pt idx="0">
                  <c:v>13</c:v>
                </c:pt>
                <c:pt idx="1">
                  <c:v>10</c:v>
                </c:pt>
                <c:pt idx="2">
                  <c:v>26</c:v>
                </c:pt>
                <c:pt idx="3">
                  <c:v>20</c:v>
                </c:pt>
                <c:pt idx="4">
                  <c:v>25</c:v>
                </c:pt>
                <c:pt idx="5">
                  <c:v>13</c:v>
                </c:pt>
                <c:pt idx="6">
                  <c:v>20</c:v>
                </c:pt>
                <c:pt idx="7">
                  <c:v>17</c:v>
                </c:pt>
                <c:pt idx="8">
                  <c:v>13</c:v>
                </c:pt>
                <c:pt idx="9">
                  <c:v>14</c:v>
                </c:pt>
                <c:pt idx="10">
                  <c:v>19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'23.10 KAMPALA-JINJA'!$V$9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KAMPALA-JINJA'!$V$10:$V$21</c:f>
              <c:numCache>
                <c:formatCode>0</c:formatCode>
                <c:ptCount val="12"/>
                <c:pt idx="0">
                  <c:v>100</c:v>
                </c:pt>
                <c:pt idx="1">
                  <c:v>98</c:v>
                </c:pt>
                <c:pt idx="2">
                  <c:v>125</c:v>
                </c:pt>
                <c:pt idx="3">
                  <c:v>102</c:v>
                </c:pt>
                <c:pt idx="4">
                  <c:v>108</c:v>
                </c:pt>
                <c:pt idx="5">
                  <c:v>103</c:v>
                </c:pt>
                <c:pt idx="6">
                  <c:v>108</c:v>
                </c:pt>
                <c:pt idx="7">
                  <c:v>123</c:v>
                </c:pt>
                <c:pt idx="8">
                  <c:v>129</c:v>
                </c:pt>
                <c:pt idx="9">
                  <c:v>111</c:v>
                </c:pt>
                <c:pt idx="10">
                  <c:v>121</c:v>
                </c:pt>
                <c:pt idx="11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'23.10 KAMPALA-JINJA'!$W$9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KAMPALA-JINJA'!$W$10:$W$21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'23.10 KAMPALA-JINJA'!$X$9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KAMPALA-JINJA'!$X$10:$X$21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'23.10 KAMPALA-JINJA'!$Y$9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KAMPALA-JINJA'!$Y$10:$Y$21</c:f>
              <c:numCache>
                <c:formatCode>0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16</c:v>
                </c:pt>
                <c:pt idx="8">
                  <c:v>15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'23.10 KAMPALA-JINJA'!$Z$9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KAMPALA-JINJA'!$Z$10:$Z$21</c:f>
              <c:numCache>
                <c:formatCode>0</c:formatCode>
                <c:ptCount val="12"/>
                <c:pt idx="0">
                  <c:v>14</c:v>
                </c:pt>
                <c:pt idx="1">
                  <c:v>21</c:v>
                </c:pt>
                <c:pt idx="2">
                  <c:v>22</c:v>
                </c:pt>
                <c:pt idx="3">
                  <c:v>16</c:v>
                </c:pt>
                <c:pt idx="4">
                  <c:v>22</c:v>
                </c:pt>
                <c:pt idx="5">
                  <c:v>39</c:v>
                </c:pt>
                <c:pt idx="6">
                  <c:v>29</c:v>
                </c:pt>
                <c:pt idx="7">
                  <c:v>31</c:v>
                </c:pt>
                <c:pt idx="8">
                  <c:v>43</c:v>
                </c:pt>
                <c:pt idx="9">
                  <c:v>43</c:v>
                </c:pt>
                <c:pt idx="10">
                  <c:v>33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'23.10 KAMPALA-JINJA'!$AA$9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KAMPALA-JINJA'!$AA$10:$AA$21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7</c:v>
                </c:pt>
                <c:pt idx="8">
                  <c:v>12</c:v>
                </c:pt>
                <c:pt idx="9">
                  <c:v>11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'23.10 KAMPALA-JINJA'!$AB$9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KAMPALA-JINJA'!$AB$10:$AB$21</c:f>
              <c:numCache>
                <c:formatCode>0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25</c:v>
                </c:pt>
                <c:pt idx="3">
                  <c:v>26</c:v>
                </c:pt>
                <c:pt idx="4">
                  <c:v>40</c:v>
                </c:pt>
                <c:pt idx="5">
                  <c:v>44</c:v>
                </c:pt>
                <c:pt idx="6">
                  <c:v>49</c:v>
                </c:pt>
                <c:pt idx="7">
                  <c:v>46</c:v>
                </c:pt>
                <c:pt idx="8">
                  <c:v>72</c:v>
                </c:pt>
                <c:pt idx="9">
                  <c:v>78</c:v>
                </c:pt>
                <c:pt idx="10">
                  <c:v>63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'23.10 KAMPALA-JINJA'!$AC$9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KAMPALA-JINJA'!$AC$10:$AC$21</c:f>
              <c:numCache>
                <c:formatCode>0</c:formatCode>
                <c:ptCount val="12"/>
                <c:pt idx="0">
                  <c:v>91</c:v>
                </c:pt>
                <c:pt idx="1">
                  <c:v>71</c:v>
                </c:pt>
                <c:pt idx="2">
                  <c:v>91</c:v>
                </c:pt>
                <c:pt idx="3">
                  <c:v>84</c:v>
                </c:pt>
                <c:pt idx="4">
                  <c:v>60</c:v>
                </c:pt>
                <c:pt idx="5">
                  <c:v>81</c:v>
                </c:pt>
                <c:pt idx="6">
                  <c:v>88</c:v>
                </c:pt>
                <c:pt idx="7">
                  <c:v>61</c:v>
                </c:pt>
                <c:pt idx="8">
                  <c:v>75</c:v>
                </c:pt>
                <c:pt idx="9">
                  <c:v>61</c:v>
                </c:pt>
                <c:pt idx="10">
                  <c:v>67</c:v>
                </c:pt>
                <c:pt idx="11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'23.10 KAMPALA-JINJA'!$AD$9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KAMPALA-JINJA'!$AD$10:$AD$21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700608"/>
        <c:axId val="806701152"/>
      </c:lineChart>
      <c:catAx>
        <c:axId val="80670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701152"/>
        <c:crosses val="autoZero"/>
        <c:auto val="1"/>
        <c:lblAlgn val="ctr"/>
        <c:lblOffset val="100"/>
        <c:noMultiLvlLbl val="0"/>
      </c:catAx>
      <c:valAx>
        <c:axId val="8067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70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KAMPALA-JINJA'!$C$9:$N$9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KAMPALA-JINJA'!$C$60:$N$60</c:f>
              <c:numCache>
                <c:formatCode>0.00%</c:formatCode>
                <c:ptCount val="12"/>
                <c:pt idx="0">
                  <c:v>0.17343275338304337</c:v>
                </c:pt>
                <c:pt idx="1">
                  <c:v>8.4230875448771059E-2</c:v>
                </c:pt>
                <c:pt idx="2">
                  <c:v>5.5785694559513946E-2</c:v>
                </c:pt>
                <c:pt idx="3">
                  <c:v>0.37420602043634354</c:v>
                </c:pt>
                <c:pt idx="4">
                  <c:v>8.008837337752003E-3</c:v>
                </c:pt>
                <c:pt idx="5">
                  <c:v>8.2850041425020712E-3</c:v>
                </c:pt>
                <c:pt idx="6">
                  <c:v>3.4797017398508698E-2</c:v>
                </c:pt>
                <c:pt idx="7">
                  <c:v>9.3620546810273403E-2</c:v>
                </c:pt>
                <c:pt idx="8">
                  <c:v>1.7674675504004419E-2</c:v>
                </c:pt>
                <c:pt idx="9">
                  <c:v>0.1491300745650373</c:v>
                </c:pt>
                <c:pt idx="11">
                  <c:v>8.2850041425020708E-4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JINJA-KAMPALA'!$AE$9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JINJA-KAMPALA'!$AE$10:$AE$21</c:f>
              <c:numCache>
                <c:formatCode>0</c:formatCode>
                <c:ptCount val="12"/>
                <c:pt idx="0">
                  <c:v>312</c:v>
                </c:pt>
                <c:pt idx="1">
                  <c:v>254</c:v>
                </c:pt>
                <c:pt idx="2">
                  <c:v>327</c:v>
                </c:pt>
                <c:pt idx="3">
                  <c:v>226</c:v>
                </c:pt>
                <c:pt idx="4">
                  <c:v>338</c:v>
                </c:pt>
                <c:pt idx="5">
                  <c:v>238</c:v>
                </c:pt>
                <c:pt idx="6">
                  <c:v>291</c:v>
                </c:pt>
                <c:pt idx="7">
                  <c:v>295</c:v>
                </c:pt>
                <c:pt idx="8">
                  <c:v>281</c:v>
                </c:pt>
                <c:pt idx="9">
                  <c:v>290</c:v>
                </c:pt>
                <c:pt idx="10">
                  <c:v>273</c:v>
                </c:pt>
                <c:pt idx="11">
                  <c:v>303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'27.10 JINJA-KAMPALA'!$AF$9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JINJA-KAMPALA'!$AF$10:$AF$21</c:f>
              <c:numCache>
                <c:formatCode>0</c:formatCode>
                <c:ptCount val="12"/>
                <c:pt idx="0">
                  <c:v>386</c:v>
                </c:pt>
                <c:pt idx="1">
                  <c:v>309</c:v>
                </c:pt>
                <c:pt idx="2">
                  <c:v>422</c:v>
                </c:pt>
                <c:pt idx="3">
                  <c:v>316</c:v>
                </c:pt>
                <c:pt idx="4">
                  <c:v>436</c:v>
                </c:pt>
                <c:pt idx="5">
                  <c:v>315</c:v>
                </c:pt>
                <c:pt idx="6">
                  <c:v>391</c:v>
                </c:pt>
                <c:pt idx="7">
                  <c:v>395</c:v>
                </c:pt>
                <c:pt idx="8">
                  <c:v>359</c:v>
                </c:pt>
                <c:pt idx="9">
                  <c:v>389</c:v>
                </c:pt>
                <c:pt idx="10">
                  <c:v>386</c:v>
                </c:pt>
                <c:pt idx="11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676208"/>
        <c:axId val="800676752"/>
      </c:lineChart>
      <c:catAx>
        <c:axId val="800676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0676752"/>
        <c:crosses val="autoZero"/>
        <c:auto val="1"/>
        <c:lblAlgn val="ctr"/>
        <c:lblOffset val="100"/>
        <c:noMultiLvlLbl val="0"/>
      </c:catAx>
      <c:valAx>
        <c:axId val="800676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067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JINJA-KAMPALA'!$C$9:$N$9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JINJA-KAMPALA'!$C$59:$N$59</c:f>
              <c:numCache>
                <c:formatCode>0.0%</c:formatCode>
                <c:ptCount val="12"/>
                <c:pt idx="0">
                  <c:v>0.11850358422939068</c:v>
                </c:pt>
                <c:pt idx="1">
                  <c:v>4.6370967741935484E-2</c:v>
                </c:pt>
                <c:pt idx="2">
                  <c:v>3.8754480286738349E-2</c:v>
                </c:pt>
                <c:pt idx="3">
                  <c:v>0.30421146953405021</c:v>
                </c:pt>
                <c:pt idx="4">
                  <c:v>1.8145161290322582E-2</c:v>
                </c:pt>
                <c:pt idx="5">
                  <c:v>6.0483870967741934E-3</c:v>
                </c:pt>
                <c:pt idx="6">
                  <c:v>2.4865591397849461E-2</c:v>
                </c:pt>
                <c:pt idx="7">
                  <c:v>7.4148745519713261E-2</c:v>
                </c:pt>
                <c:pt idx="8">
                  <c:v>1.6129032258064516E-2</c:v>
                </c:pt>
                <c:pt idx="9">
                  <c:v>0.11514336917562724</c:v>
                </c:pt>
                <c:pt idx="10">
                  <c:v>0.23207885304659498</c:v>
                </c:pt>
                <c:pt idx="11">
                  <c:v>5.600358422939068E-3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JINJA-KAMPALA'!$S$9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JINJA-KAMPALA'!$S$10:$S$21</c:f>
              <c:numCache>
                <c:formatCode>0</c:formatCode>
                <c:ptCount val="12"/>
                <c:pt idx="0">
                  <c:v>41</c:v>
                </c:pt>
                <c:pt idx="1">
                  <c:v>29</c:v>
                </c:pt>
                <c:pt idx="2">
                  <c:v>54</c:v>
                </c:pt>
                <c:pt idx="3">
                  <c:v>26</c:v>
                </c:pt>
                <c:pt idx="4">
                  <c:v>64</c:v>
                </c:pt>
                <c:pt idx="5">
                  <c:v>34</c:v>
                </c:pt>
                <c:pt idx="6">
                  <c:v>48</c:v>
                </c:pt>
                <c:pt idx="7">
                  <c:v>44</c:v>
                </c:pt>
                <c:pt idx="8">
                  <c:v>42</c:v>
                </c:pt>
                <c:pt idx="9">
                  <c:v>45</c:v>
                </c:pt>
                <c:pt idx="10">
                  <c:v>38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'27.10 JINJA-KAMPALA'!$T$9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JINJA-KAMPALA'!$R$10:$R$21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JINJA-KAMPALA'!$T$10:$T$21</c:f>
              <c:numCache>
                <c:formatCode>0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32</c:v>
                </c:pt>
                <c:pt idx="3">
                  <c:v>9</c:v>
                </c:pt>
                <c:pt idx="4">
                  <c:v>17</c:v>
                </c:pt>
                <c:pt idx="5">
                  <c:v>13</c:v>
                </c:pt>
                <c:pt idx="6">
                  <c:v>16</c:v>
                </c:pt>
                <c:pt idx="7">
                  <c:v>21</c:v>
                </c:pt>
                <c:pt idx="8">
                  <c:v>26</c:v>
                </c:pt>
                <c:pt idx="9">
                  <c:v>16</c:v>
                </c:pt>
                <c:pt idx="10">
                  <c:v>25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'27.10 JINJA-KAMPALA'!$U$9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JINJA-KAMPALA'!$U$10:$U$21</c:f>
              <c:numCache>
                <c:formatCode>0</c:formatCode>
                <c:ptCount val="12"/>
                <c:pt idx="0">
                  <c:v>12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13</c:v>
                </c:pt>
                <c:pt idx="5">
                  <c:v>11</c:v>
                </c:pt>
                <c:pt idx="6">
                  <c:v>20</c:v>
                </c:pt>
                <c:pt idx="7">
                  <c:v>20</c:v>
                </c:pt>
                <c:pt idx="8">
                  <c:v>22</c:v>
                </c:pt>
                <c:pt idx="9">
                  <c:v>21</c:v>
                </c:pt>
                <c:pt idx="10">
                  <c:v>7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'27.10 JINJA-KAMPALA'!$V$9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JINJA-KAMPALA'!$V$10:$V$21</c:f>
              <c:numCache>
                <c:formatCode>0</c:formatCode>
                <c:ptCount val="12"/>
                <c:pt idx="0">
                  <c:v>140</c:v>
                </c:pt>
                <c:pt idx="1">
                  <c:v>91</c:v>
                </c:pt>
                <c:pt idx="2">
                  <c:v>133</c:v>
                </c:pt>
                <c:pt idx="3">
                  <c:v>104</c:v>
                </c:pt>
                <c:pt idx="4">
                  <c:v>123</c:v>
                </c:pt>
                <c:pt idx="5">
                  <c:v>90</c:v>
                </c:pt>
                <c:pt idx="6">
                  <c:v>117</c:v>
                </c:pt>
                <c:pt idx="7">
                  <c:v>109</c:v>
                </c:pt>
                <c:pt idx="8">
                  <c:v>101</c:v>
                </c:pt>
                <c:pt idx="9">
                  <c:v>113</c:v>
                </c:pt>
                <c:pt idx="10">
                  <c:v>107</c:v>
                </c:pt>
                <c:pt idx="1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'27.10 JINJA-KAMPALA'!$W$9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JINJA-KAMPALA'!$W$10:$W$21</c:f>
              <c:numCache>
                <c:formatCode>0</c:formatCode>
                <c:ptCount val="12"/>
                <c:pt idx="0">
                  <c:v>8</c:v>
                </c:pt>
                <c:pt idx="1">
                  <c:v>37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6</c:v>
                </c:pt>
                <c:pt idx="10">
                  <c:v>9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'27.10 JINJA-KAMPALA'!$X$9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JINJA-KAMPALA'!$X$10:$X$21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'27.10 JINJA-KAMPALA'!$Y$9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JINJA-KAMPALA'!$Y$10:$Y$21</c:f>
              <c:numCache>
                <c:formatCode>0</c:formatCode>
                <c:ptCount val="12"/>
                <c:pt idx="0">
                  <c:v>8</c:v>
                </c:pt>
                <c:pt idx="1">
                  <c:v>1</c:v>
                </c:pt>
                <c:pt idx="2">
                  <c:v>5</c:v>
                </c:pt>
                <c:pt idx="3">
                  <c:v>11</c:v>
                </c:pt>
                <c:pt idx="4">
                  <c:v>13</c:v>
                </c:pt>
                <c:pt idx="5">
                  <c:v>8</c:v>
                </c:pt>
                <c:pt idx="6">
                  <c:v>13</c:v>
                </c:pt>
                <c:pt idx="7">
                  <c:v>20</c:v>
                </c:pt>
                <c:pt idx="8">
                  <c:v>10</c:v>
                </c:pt>
                <c:pt idx="9">
                  <c:v>5</c:v>
                </c:pt>
                <c:pt idx="10">
                  <c:v>9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'27.10 JINJA-KAMPALA'!$Z$9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JINJA-KAMPALA'!$Z$10:$Z$21</c:f>
              <c:numCache>
                <c:formatCode>0</c:formatCode>
                <c:ptCount val="12"/>
                <c:pt idx="0">
                  <c:v>27</c:v>
                </c:pt>
                <c:pt idx="1">
                  <c:v>8</c:v>
                </c:pt>
                <c:pt idx="2">
                  <c:v>34</c:v>
                </c:pt>
                <c:pt idx="3">
                  <c:v>22</c:v>
                </c:pt>
                <c:pt idx="4">
                  <c:v>47</c:v>
                </c:pt>
                <c:pt idx="5">
                  <c:v>21</c:v>
                </c:pt>
                <c:pt idx="6">
                  <c:v>33</c:v>
                </c:pt>
                <c:pt idx="7">
                  <c:v>30</c:v>
                </c:pt>
                <c:pt idx="8">
                  <c:v>24</c:v>
                </c:pt>
                <c:pt idx="9">
                  <c:v>32</c:v>
                </c:pt>
                <c:pt idx="10">
                  <c:v>32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'27.10 JINJA-KAMPALA'!$AA$9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JINJA-KAMPALA'!$AA$10:$AA$21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1</c:v>
                </c:pt>
                <c:pt idx="3">
                  <c:v>6</c:v>
                </c:pt>
                <c:pt idx="4">
                  <c:v>4</c:v>
                </c:pt>
                <c:pt idx="5">
                  <c:v>13</c:v>
                </c:pt>
                <c:pt idx="6">
                  <c:v>6</c:v>
                </c:pt>
                <c:pt idx="7">
                  <c:v>2</c:v>
                </c:pt>
                <c:pt idx="8">
                  <c:v>5</c:v>
                </c:pt>
                <c:pt idx="9">
                  <c:v>9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'27.10 JINJA-KAMPALA'!$AB$9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JINJA-KAMPALA'!$AB$10:$AB$21</c:f>
              <c:numCache>
                <c:formatCode>0</c:formatCode>
                <c:ptCount val="12"/>
                <c:pt idx="0">
                  <c:v>55</c:v>
                </c:pt>
                <c:pt idx="1">
                  <c:v>37</c:v>
                </c:pt>
                <c:pt idx="2">
                  <c:v>51</c:v>
                </c:pt>
                <c:pt idx="3">
                  <c:v>30</c:v>
                </c:pt>
                <c:pt idx="4">
                  <c:v>53</c:v>
                </c:pt>
                <c:pt idx="5">
                  <c:v>44</c:v>
                </c:pt>
                <c:pt idx="6">
                  <c:v>33</c:v>
                </c:pt>
                <c:pt idx="7">
                  <c:v>47</c:v>
                </c:pt>
                <c:pt idx="8">
                  <c:v>49</c:v>
                </c:pt>
                <c:pt idx="9">
                  <c:v>39</c:v>
                </c:pt>
                <c:pt idx="10">
                  <c:v>33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'27.10 JINJA-KAMPALA'!$AC$9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JINJA-KAMPALA'!$AC$10:$AC$21</c:f>
              <c:numCache>
                <c:formatCode>0</c:formatCode>
                <c:ptCount val="12"/>
                <c:pt idx="0">
                  <c:v>74</c:v>
                </c:pt>
                <c:pt idx="1">
                  <c:v>55</c:v>
                </c:pt>
                <c:pt idx="2">
                  <c:v>95</c:v>
                </c:pt>
                <c:pt idx="3">
                  <c:v>90</c:v>
                </c:pt>
                <c:pt idx="4">
                  <c:v>98</c:v>
                </c:pt>
                <c:pt idx="5">
                  <c:v>77</c:v>
                </c:pt>
                <c:pt idx="6">
                  <c:v>100</c:v>
                </c:pt>
                <c:pt idx="7">
                  <c:v>100</c:v>
                </c:pt>
                <c:pt idx="8">
                  <c:v>78</c:v>
                </c:pt>
                <c:pt idx="9">
                  <c:v>99</c:v>
                </c:pt>
                <c:pt idx="10">
                  <c:v>113</c:v>
                </c:pt>
                <c:pt idx="11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'27.10 JINJA-KAMPALA'!$AD$9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JINJA-KAMPALA'!$AD$10:$AD$21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672944"/>
        <c:axId val="800681648"/>
      </c:lineChart>
      <c:catAx>
        <c:axId val="80067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0681648"/>
        <c:crosses val="autoZero"/>
        <c:auto val="1"/>
        <c:lblAlgn val="ctr"/>
        <c:lblOffset val="100"/>
        <c:noMultiLvlLbl val="0"/>
      </c:catAx>
      <c:valAx>
        <c:axId val="80068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067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JINJA-KAMPALA'!$C$9:$N$9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JINJA-KAMPALA'!$C$60:$N$60</c:f>
              <c:numCache>
                <c:formatCode>0.00%</c:formatCode>
                <c:ptCount val="12"/>
                <c:pt idx="0">
                  <c:v>0.15431738623103849</c:v>
                </c:pt>
                <c:pt idx="1">
                  <c:v>6.038506417736289E-2</c:v>
                </c:pt>
                <c:pt idx="2">
                  <c:v>5.0466744457409569E-2</c:v>
                </c:pt>
                <c:pt idx="3">
                  <c:v>0.39614935822637104</c:v>
                </c:pt>
                <c:pt idx="4">
                  <c:v>2.3628938156359393E-2</c:v>
                </c:pt>
                <c:pt idx="5">
                  <c:v>7.8763127187864643E-3</c:v>
                </c:pt>
                <c:pt idx="6">
                  <c:v>3.2380396732788801E-2</c:v>
                </c:pt>
                <c:pt idx="7">
                  <c:v>9.6557759626604428E-2</c:v>
                </c:pt>
                <c:pt idx="8">
                  <c:v>2.1003500583430573E-2</c:v>
                </c:pt>
                <c:pt idx="9">
                  <c:v>0.1499416569428238</c:v>
                </c:pt>
                <c:pt idx="11">
                  <c:v>7.2928821470245042E-3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KAMPALA-JINJA'!$AE$9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KAMPALA-JINJA'!$AE$10:$AE$21</c:f>
              <c:numCache>
                <c:formatCode>0</c:formatCode>
                <c:ptCount val="12"/>
                <c:pt idx="0">
                  <c:v>252</c:v>
                </c:pt>
                <c:pt idx="1">
                  <c:v>213</c:v>
                </c:pt>
                <c:pt idx="2">
                  <c:v>249</c:v>
                </c:pt>
                <c:pt idx="3">
                  <c:v>254</c:v>
                </c:pt>
                <c:pt idx="4">
                  <c:v>275</c:v>
                </c:pt>
                <c:pt idx="5">
                  <c:v>269</c:v>
                </c:pt>
                <c:pt idx="6">
                  <c:v>306</c:v>
                </c:pt>
                <c:pt idx="7">
                  <c:v>247</c:v>
                </c:pt>
                <c:pt idx="8">
                  <c:v>226</c:v>
                </c:pt>
                <c:pt idx="9">
                  <c:v>200</c:v>
                </c:pt>
                <c:pt idx="10">
                  <c:v>421</c:v>
                </c:pt>
                <c:pt idx="11">
                  <c:v>509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'27.10 KAMPALA-JINJA'!$AF$9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KAMPALA-JINJA'!$AF$10:$AF$21</c:f>
              <c:numCache>
                <c:formatCode>0</c:formatCode>
                <c:ptCount val="12"/>
                <c:pt idx="0">
                  <c:v>289</c:v>
                </c:pt>
                <c:pt idx="1">
                  <c:v>263</c:v>
                </c:pt>
                <c:pt idx="2">
                  <c:v>291</c:v>
                </c:pt>
                <c:pt idx="3">
                  <c:v>325</c:v>
                </c:pt>
                <c:pt idx="4">
                  <c:v>354</c:v>
                </c:pt>
                <c:pt idx="5">
                  <c:v>359</c:v>
                </c:pt>
                <c:pt idx="6">
                  <c:v>396</c:v>
                </c:pt>
                <c:pt idx="7">
                  <c:v>325</c:v>
                </c:pt>
                <c:pt idx="8">
                  <c:v>286</c:v>
                </c:pt>
                <c:pt idx="9">
                  <c:v>260</c:v>
                </c:pt>
                <c:pt idx="10">
                  <c:v>493</c:v>
                </c:pt>
                <c:pt idx="11">
                  <c:v>580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862832"/>
        <c:axId val="802865008"/>
      </c:lineChart>
      <c:catAx>
        <c:axId val="80286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865008"/>
        <c:crosses val="autoZero"/>
        <c:auto val="1"/>
        <c:lblAlgn val="ctr"/>
        <c:lblOffset val="100"/>
        <c:noMultiLvlLbl val="0"/>
      </c:catAx>
      <c:valAx>
        <c:axId val="802865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86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KAMPALA-JINJA'!$C$9:$N$9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KAMPALA-JINJA'!$C$59:$N$59</c:f>
              <c:numCache>
                <c:formatCode>0.0%</c:formatCode>
                <c:ptCount val="12"/>
                <c:pt idx="0">
                  <c:v>0.12698412698412698</c:v>
                </c:pt>
                <c:pt idx="1">
                  <c:v>6.5387348969438527E-2</c:v>
                </c:pt>
                <c:pt idx="2">
                  <c:v>4.548685145700071E-2</c:v>
                </c:pt>
                <c:pt idx="3">
                  <c:v>0.28903103529969204</c:v>
                </c:pt>
                <c:pt idx="4">
                  <c:v>1.4925373134328358E-2</c:v>
                </c:pt>
                <c:pt idx="5">
                  <c:v>4.7382136934375737E-3</c:v>
                </c:pt>
                <c:pt idx="6">
                  <c:v>4.3591565979625678E-2</c:v>
                </c:pt>
                <c:pt idx="7">
                  <c:v>5.5674010897891493E-2</c:v>
                </c:pt>
                <c:pt idx="8">
                  <c:v>1.8479033404406538E-2</c:v>
                </c:pt>
                <c:pt idx="9">
                  <c:v>0.14593698175787728</c:v>
                </c:pt>
                <c:pt idx="10">
                  <c:v>0.18952854773750297</c:v>
                </c:pt>
                <c:pt idx="11">
                  <c:v>2.3691068467187872E-4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KAMPALA-JINJA'!$S$9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KAMPALA-JINJA'!$S$10:$S$21</c:f>
              <c:numCache>
                <c:formatCode>0</c:formatCode>
                <c:ptCount val="12"/>
                <c:pt idx="0">
                  <c:v>40</c:v>
                </c:pt>
                <c:pt idx="1">
                  <c:v>34</c:v>
                </c:pt>
                <c:pt idx="2">
                  <c:v>46</c:v>
                </c:pt>
                <c:pt idx="3">
                  <c:v>50</c:v>
                </c:pt>
                <c:pt idx="4">
                  <c:v>55</c:v>
                </c:pt>
                <c:pt idx="5">
                  <c:v>39</c:v>
                </c:pt>
                <c:pt idx="6">
                  <c:v>41</c:v>
                </c:pt>
                <c:pt idx="7">
                  <c:v>44</c:v>
                </c:pt>
                <c:pt idx="8">
                  <c:v>41</c:v>
                </c:pt>
                <c:pt idx="9">
                  <c:v>29</c:v>
                </c:pt>
                <c:pt idx="10">
                  <c:v>51</c:v>
                </c:pt>
                <c:pt idx="11">
                  <c:v>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'27.10 KAMPALA-JINJA'!$T$9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KAMPALA-JINJA'!$R$10:$R$21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KAMPALA-JINJA'!$T$10:$T$21</c:f>
              <c:numCache>
                <c:formatCode>0</c:formatCode>
                <c:ptCount val="12"/>
                <c:pt idx="0">
                  <c:v>18</c:v>
                </c:pt>
                <c:pt idx="1">
                  <c:v>19</c:v>
                </c:pt>
                <c:pt idx="2">
                  <c:v>37</c:v>
                </c:pt>
                <c:pt idx="3">
                  <c:v>23</c:v>
                </c:pt>
                <c:pt idx="4">
                  <c:v>29</c:v>
                </c:pt>
                <c:pt idx="5">
                  <c:v>14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12</c:v>
                </c:pt>
                <c:pt idx="10">
                  <c:v>32</c:v>
                </c:pt>
                <c:pt idx="11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'27.10 KAMPALA-JINJA'!$U$9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KAMPALA-JINJA'!$U$10:$U$21</c:f>
              <c:numCache>
                <c:formatCode>0</c:formatCode>
                <c:ptCount val="12"/>
                <c:pt idx="0">
                  <c:v>6</c:v>
                </c:pt>
                <c:pt idx="1">
                  <c:v>12</c:v>
                </c:pt>
                <c:pt idx="2">
                  <c:v>20</c:v>
                </c:pt>
                <c:pt idx="3">
                  <c:v>17</c:v>
                </c:pt>
                <c:pt idx="4">
                  <c:v>24</c:v>
                </c:pt>
                <c:pt idx="5">
                  <c:v>14</c:v>
                </c:pt>
                <c:pt idx="6">
                  <c:v>18</c:v>
                </c:pt>
                <c:pt idx="7">
                  <c:v>9</c:v>
                </c:pt>
                <c:pt idx="8">
                  <c:v>11</c:v>
                </c:pt>
                <c:pt idx="9">
                  <c:v>14</c:v>
                </c:pt>
                <c:pt idx="10">
                  <c:v>18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'27.10 KAMPALA-JINJA'!$V$9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KAMPALA-JINJA'!$V$10:$V$21</c:f>
              <c:numCache>
                <c:formatCode>0</c:formatCode>
                <c:ptCount val="12"/>
                <c:pt idx="0">
                  <c:v>91</c:v>
                </c:pt>
                <c:pt idx="1">
                  <c:v>82</c:v>
                </c:pt>
                <c:pt idx="2">
                  <c:v>78</c:v>
                </c:pt>
                <c:pt idx="3">
                  <c:v>97</c:v>
                </c:pt>
                <c:pt idx="4">
                  <c:v>109</c:v>
                </c:pt>
                <c:pt idx="5">
                  <c:v>111</c:v>
                </c:pt>
                <c:pt idx="6">
                  <c:v>98</c:v>
                </c:pt>
                <c:pt idx="7">
                  <c:v>96</c:v>
                </c:pt>
                <c:pt idx="8">
                  <c:v>110</c:v>
                </c:pt>
                <c:pt idx="9">
                  <c:v>79</c:v>
                </c:pt>
                <c:pt idx="10">
                  <c:v>118</c:v>
                </c:pt>
                <c:pt idx="11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'27.10 KAMPALA-JINJA'!$W$9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KAMPALA-JINJA'!$W$10:$W$21</c:f>
              <c:numCache>
                <c:formatCode>0</c:formatCode>
                <c:ptCount val="12"/>
                <c:pt idx="0">
                  <c:v>27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'27.10 KAMPALA-JINJA'!$X$9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KAMPALA-JINJA'!$X$10:$X$21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'27.10 KAMPALA-JINJA'!$Y$9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KAMPALA-JINJA'!$Y$10:$Y$21</c:f>
              <c:numCache>
                <c:formatCode>0</c:formatCode>
                <c:ptCount val="12"/>
                <c:pt idx="0">
                  <c:v>15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16</c:v>
                </c:pt>
                <c:pt idx="6">
                  <c:v>17</c:v>
                </c:pt>
                <c:pt idx="7">
                  <c:v>20</c:v>
                </c:pt>
                <c:pt idx="8">
                  <c:v>13</c:v>
                </c:pt>
                <c:pt idx="9">
                  <c:v>11</c:v>
                </c:pt>
                <c:pt idx="10">
                  <c:v>25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'27.10 KAMPALA-JINJA'!$Z$9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KAMPALA-JINJA'!$Z$10:$Z$21</c:f>
              <c:numCache>
                <c:formatCode>0</c:formatCode>
                <c:ptCount val="12"/>
                <c:pt idx="0">
                  <c:v>17</c:v>
                </c:pt>
                <c:pt idx="1">
                  <c:v>13</c:v>
                </c:pt>
                <c:pt idx="2">
                  <c:v>23</c:v>
                </c:pt>
                <c:pt idx="3">
                  <c:v>23</c:v>
                </c:pt>
                <c:pt idx="4">
                  <c:v>17</c:v>
                </c:pt>
                <c:pt idx="5">
                  <c:v>18</c:v>
                </c:pt>
                <c:pt idx="6">
                  <c:v>31</c:v>
                </c:pt>
                <c:pt idx="7">
                  <c:v>13</c:v>
                </c:pt>
                <c:pt idx="8">
                  <c:v>10</c:v>
                </c:pt>
                <c:pt idx="9">
                  <c:v>15</c:v>
                </c:pt>
                <c:pt idx="10">
                  <c:v>30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'27.10 KAMPALA-JINJA'!$AA$9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KAMPALA-JINJA'!$AA$10:$AA$21</c:f>
              <c:numCache>
                <c:formatCode>0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5</c:v>
                </c:pt>
                <c:pt idx="3">
                  <c:v>12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15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'27.10 KAMPALA-JINJA'!$AB$9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KAMPALA-JINJA'!$AB$10:$AB$21</c:f>
              <c:numCache>
                <c:formatCode>0</c:formatCode>
                <c:ptCount val="12"/>
                <c:pt idx="0">
                  <c:v>29</c:v>
                </c:pt>
                <c:pt idx="1">
                  <c:v>33</c:v>
                </c:pt>
                <c:pt idx="2">
                  <c:v>19</c:v>
                </c:pt>
                <c:pt idx="3">
                  <c:v>18</c:v>
                </c:pt>
                <c:pt idx="4">
                  <c:v>23</c:v>
                </c:pt>
                <c:pt idx="5">
                  <c:v>51</c:v>
                </c:pt>
                <c:pt idx="6">
                  <c:v>62</c:v>
                </c:pt>
                <c:pt idx="7">
                  <c:v>41</c:v>
                </c:pt>
                <c:pt idx="8">
                  <c:v>19</c:v>
                </c:pt>
                <c:pt idx="9">
                  <c:v>35</c:v>
                </c:pt>
                <c:pt idx="10">
                  <c:v>123</c:v>
                </c:pt>
                <c:pt idx="11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'27.10 KAMPALA-JINJA'!$AC$9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KAMPALA-JINJA'!$AC$10:$AC$21</c:f>
              <c:numCache>
                <c:formatCode>0</c:formatCode>
                <c:ptCount val="12"/>
                <c:pt idx="0">
                  <c:v>37</c:v>
                </c:pt>
                <c:pt idx="1">
                  <c:v>50</c:v>
                </c:pt>
                <c:pt idx="2">
                  <c:v>42</c:v>
                </c:pt>
                <c:pt idx="3">
                  <c:v>71</c:v>
                </c:pt>
                <c:pt idx="4">
                  <c:v>79</c:v>
                </c:pt>
                <c:pt idx="5">
                  <c:v>90</c:v>
                </c:pt>
                <c:pt idx="6">
                  <c:v>90</c:v>
                </c:pt>
                <c:pt idx="7">
                  <c:v>78</c:v>
                </c:pt>
                <c:pt idx="8">
                  <c:v>60</c:v>
                </c:pt>
                <c:pt idx="9">
                  <c:v>60</c:v>
                </c:pt>
                <c:pt idx="10">
                  <c:v>72</c:v>
                </c:pt>
                <c:pt idx="11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'27.10 KAMPALA-JINJA'!$AD$9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KAMPALA-JINJA'!$AD$10:$AD$21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69360"/>
        <c:axId val="802869904"/>
      </c:lineChart>
      <c:catAx>
        <c:axId val="80286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869904"/>
        <c:crosses val="autoZero"/>
        <c:auto val="1"/>
        <c:lblAlgn val="ctr"/>
        <c:lblOffset val="100"/>
        <c:noMultiLvlLbl val="0"/>
      </c:catAx>
      <c:valAx>
        <c:axId val="80286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86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KAMPALA-JINJA'!$C$9:$N$9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KAMPALA-JINJA'!$C$60:$N$60</c:f>
              <c:numCache>
                <c:formatCode>0.00%</c:formatCode>
                <c:ptCount val="12"/>
                <c:pt idx="0">
                  <c:v>0.15667933352820812</c:v>
                </c:pt>
                <c:pt idx="1">
                  <c:v>8.0678164279450459E-2</c:v>
                </c:pt>
                <c:pt idx="2">
                  <c:v>5.6123940368313356E-2</c:v>
                </c:pt>
                <c:pt idx="3">
                  <c:v>0.35662087109032448</c:v>
                </c:pt>
                <c:pt idx="4">
                  <c:v>1.8415667933352822E-2</c:v>
                </c:pt>
                <c:pt idx="5">
                  <c:v>5.846243788365975E-3</c:v>
                </c:pt>
                <c:pt idx="6">
                  <c:v>5.3785442852966971E-2</c:v>
                </c:pt>
                <c:pt idx="7">
                  <c:v>6.8693364513300201E-2</c:v>
                </c:pt>
                <c:pt idx="8">
                  <c:v>2.28003507746273E-2</c:v>
                </c:pt>
                <c:pt idx="9">
                  <c:v>0.18006430868167203</c:v>
                </c:pt>
                <c:pt idx="11">
                  <c:v>2.9231218941829873E-4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'AvgWeek Jinja-Kampala'!$AE$9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'AvgWeek Jinja-Kampala'!$R$10:$R$33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'AvgWeek Jinja-Kampala'!$AE$10:$AE$33</c:f>
              <c:numCache>
                <c:formatCode>0</c:formatCode>
                <c:ptCount val="24"/>
                <c:pt idx="0">
                  <c:v>272.28571428571433</c:v>
                </c:pt>
                <c:pt idx="1">
                  <c:v>274.85714285714289</c:v>
                </c:pt>
                <c:pt idx="2">
                  <c:v>286.57142857142856</c:v>
                </c:pt>
                <c:pt idx="3">
                  <c:v>272</c:v>
                </c:pt>
                <c:pt idx="4">
                  <c:v>288.57142857142856</c:v>
                </c:pt>
                <c:pt idx="5">
                  <c:v>280.85714285714283</c:v>
                </c:pt>
                <c:pt idx="6">
                  <c:v>318.99999999999994</c:v>
                </c:pt>
                <c:pt idx="7">
                  <c:v>309</c:v>
                </c:pt>
                <c:pt idx="8">
                  <c:v>329.85714285714289</c:v>
                </c:pt>
                <c:pt idx="9">
                  <c:v>334</c:v>
                </c:pt>
                <c:pt idx="10">
                  <c:v>349.4285714285715</c:v>
                </c:pt>
                <c:pt idx="11">
                  <c:v>349.28571428571433</c:v>
                </c:pt>
                <c:pt idx="12">
                  <c:v>326.5</c:v>
                </c:pt>
                <c:pt idx="13">
                  <c:v>339</c:v>
                </c:pt>
                <c:pt idx="14">
                  <c:v>291.5</c:v>
                </c:pt>
                <c:pt idx="15">
                  <c:v>168.5</c:v>
                </c:pt>
                <c:pt idx="16">
                  <c:v>125.5</c:v>
                </c:pt>
                <c:pt idx="17">
                  <c:v>50.5</c:v>
                </c:pt>
                <c:pt idx="18">
                  <c:v>53</c:v>
                </c:pt>
                <c:pt idx="19">
                  <c:v>56.5</c:v>
                </c:pt>
                <c:pt idx="20">
                  <c:v>67.5</c:v>
                </c:pt>
                <c:pt idx="21">
                  <c:v>103.5</c:v>
                </c:pt>
                <c:pt idx="22">
                  <c:v>169</c:v>
                </c:pt>
                <c:pt idx="23">
                  <c:v>235.5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'AvgWeek Jinja-Kampala'!$AF$9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'AvgWeek Jinja-Kampala'!$R$10:$R$33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'AvgWeek Jinja-Kampala'!$AF$10:$AF$33</c:f>
              <c:numCache>
                <c:formatCode>0</c:formatCode>
                <c:ptCount val="24"/>
                <c:pt idx="0">
                  <c:v>345.71428571428572</c:v>
                </c:pt>
                <c:pt idx="1">
                  <c:v>346.28571428571428</c:v>
                </c:pt>
                <c:pt idx="2">
                  <c:v>372.42857142857144</c:v>
                </c:pt>
                <c:pt idx="3">
                  <c:v>363.85714285714289</c:v>
                </c:pt>
                <c:pt idx="4">
                  <c:v>378.85714285714289</c:v>
                </c:pt>
                <c:pt idx="5">
                  <c:v>358.71428571428572</c:v>
                </c:pt>
                <c:pt idx="6">
                  <c:v>407.28571428571428</c:v>
                </c:pt>
                <c:pt idx="7">
                  <c:v>382.85714285714283</c:v>
                </c:pt>
                <c:pt idx="8">
                  <c:v>414</c:v>
                </c:pt>
                <c:pt idx="9">
                  <c:v>435.57142857142856</c:v>
                </c:pt>
                <c:pt idx="10">
                  <c:v>452.57142857142856</c:v>
                </c:pt>
                <c:pt idx="11">
                  <c:v>444.33333333333337</c:v>
                </c:pt>
                <c:pt idx="12">
                  <c:v>406.5</c:v>
                </c:pt>
                <c:pt idx="13">
                  <c:v>439</c:v>
                </c:pt>
                <c:pt idx="14">
                  <c:v>377</c:v>
                </c:pt>
                <c:pt idx="15">
                  <c:v>222.5</c:v>
                </c:pt>
                <c:pt idx="16">
                  <c:v>164</c:v>
                </c:pt>
                <c:pt idx="17">
                  <c:v>71</c:v>
                </c:pt>
                <c:pt idx="18">
                  <c:v>58</c:v>
                </c:pt>
                <c:pt idx="19">
                  <c:v>61</c:v>
                </c:pt>
                <c:pt idx="20">
                  <c:v>70.5</c:v>
                </c:pt>
                <c:pt idx="21">
                  <c:v>141.5</c:v>
                </c:pt>
                <c:pt idx="22">
                  <c:v>187</c:v>
                </c:pt>
                <c:pt idx="23">
                  <c:v>271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700064"/>
        <c:axId val="806695168"/>
      </c:lineChart>
      <c:catAx>
        <c:axId val="806700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695168"/>
        <c:crosses val="autoZero"/>
        <c:auto val="1"/>
        <c:lblAlgn val="ctr"/>
        <c:lblOffset val="100"/>
        <c:noMultiLvlLbl val="0"/>
      </c:catAx>
      <c:valAx>
        <c:axId val="806695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70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'AvgWeek Jinja-Kampala'!$C$9:$N$9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'AvgWeek Jinja-Kampala'!$C$107:$N$107</c:f>
              <c:numCache>
                <c:formatCode>0.0%</c:formatCode>
                <c:ptCount val="12"/>
                <c:pt idx="0">
                  <c:v>0.15192130198338655</c:v>
                </c:pt>
                <c:pt idx="1">
                  <c:v>5.8605188544564778E-2</c:v>
                </c:pt>
                <c:pt idx="2">
                  <c:v>3.8894164049375506E-2</c:v>
                </c:pt>
                <c:pt idx="3">
                  <c:v>0.27070537380229875</c:v>
                </c:pt>
                <c:pt idx="4">
                  <c:v>1.1045743388158112E-2</c:v>
                </c:pt>
                <c:pt idx="5">
                  <c:v>9.4620885651489697E-3</c:v>
                </c:pt>
                <c:pt idx="6">
                  <c:v>3.4143199580348074E-2</c:v>
                </c:pt>
                <c:pt idx="7">
                  <c:v>6.0447805791462195E-2</c:v>
                </c:pt>
                <c:pt idx="8">
                  <c:v>2.8256784483502759E-2</c:v>
                </c:pt>
                <c:pt idx="9">
                  <c:v>0.12326611377082489</c:v>
                </c:pt>
                <c:pt idx="10">
                  <c:v>0.21184786289599666</c:v>
                </c:pt>
                <c:pt idx="11">
                  <c:v>1.4043731449326366E-3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'AvgWeek Jinja-Kampala'!$C$9:$N$9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'AvgWeek Jinja-Kampala'!$C$108:$N$108</c:f>
              <c:numCache>
                <c:formatCode>0.00%</c:formatCode>
                <c:ptCount val="12"/>
                <c:pt idx="0">
                  <c:v>0.19275631547686745</c:v>
                </c:pt>
                <c:pt idx="1">
                  <c:v>7.4357710631737253E-2</c:v>
                </c:pt>
                <c:pt idx="2">
                  <c:v>4.9348548609268177E-2</c:v>
                </c:pt>
                <c:pt idx="3">
                  <c:v>0.34346842577498066</c:v>
                </c:pt>
                <c:pt idx="4">
                  <c:v>1.4014735059584737E-2</c:v>
                </c:pt>
                <c:pt idx="5">
                  <c:v>1.2005408752574843E-2</c:v>
                </c:pt>
                <c:pt idx="6">
                  <c:v>4.332056968823849E-2</c:v>
                </c:pt>
                <c:pt idx="7">
                  <c:v>7.6695606020396545E-2</c:v>
                </c:pt>
                <c:pt idx="8">
                  <c:v>3.5851941716899816E-2</c:v>
                </c:pt>
                <c:pt idx="9">
                  <c:v>0.15639888286512238</c:v>
                </c:pt>
                <c:pt idx="11">
                  <c:v>1.7818554043295297E-3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Kampala-Jinja'!$AE$9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Kampala-Jinja'!$R$10:$R$33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Kampala-Jinja'!$AE$10:$AE$33</c:f>
              <c:numCache>
                <c:formatCode>0</c:formatCode>
                <c:ptCount val="24"/>
                <c:pt idx="0">
                  <c:v>261.42857142857144</c:v>
                </c:pt>
                <c:pt idx="1">
                  <c:v>255.85714285714283</c:v>
                </c:pt>
                <c:pt idx="2">
                  <c:v>278.42857142857139</c:v>
                </c:pt>
                <c:pt idx="3">
                  <c:v>265.28571428571428</c:v>
                </c:pt>
                <c:pt idx="4">
                  <c:v>293.85714285714283</c:v>
                </c:pt>
                <c:pt idx="5">
                  <c:v>302.99999999999994</c:v>
                </c:pt>
                <c:pt idx="6">
                  <c:v>324.14285714285711</c:v>
                </c:pt>
                <c:pt idx="7">
                  <c:v>293.85714285714283</c:v>
                </c:pt>
                <c:pt idx="8">
                  <c:v>328</c:v>
                </c:pt>
                <c:pt idx="9">
                  <c:v>315.14285714285711</c:v>
                </c:pt>
                <c:pt idx="10">
                  <c:v>359.85714285714289</c:v>
                </c:pt>
                <c:pt idx="11">
                  <c:v>362.57142857142861</c:v>
                </c:pt>
                <c:pt idx="12">
                  <c:v>316</c:v>
                </c:pt>
                <c:pt idx="13">
                  <c:v>324.5</c:v>
                </c:pt>
                <c:pt idx="14">
                  <c:v>228</c:v>
                </c:pt>
                <c:pt idx="15">
                  <c:v>191.5</c:v>
                </c:pt>
                <c:pt idx="16">
                  <c:v>118</c:v>
                </c:pt>
                <c:pt idx="17">
                  <c:v>52.5</c:v>
                </c:pt>
                <c:pt idx="18">
                  <c:v>67.5</c:v>
                </c:pt>
                <c:pt idx="19">
                  <c:v>68.5</c:v>
                </c:pt>
                <c:pt idx="20">
                  <c:v>32.5</c:v>
                </c:pt>
                <c:pt idx="21">
                  <c:v>41</c:v>
                </c:pt>
                <c:pt idx="22">
                  <c:v>72</c:v>
                </c:pt>
                <c:pt idx="23">
                  <c:v>145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Kampala-Jinja'!$AF$9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Kampala-Jinja'!$R$10:$R$33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Kampala-Jinja'!$AF$10:$AF$33</c:f>
              <c:numCache>
                <c:formatCode>0</c:formatCode>
                <c:ptCount val="24"/>
                <c:pt idx="0">
                  <c:v>328.71428571428572</c:v>
                </c:pt>
                <c:pt idx="1">
                  <c:v>319.42857142857139</c:v>
                </c:pt>
                <c:pt idx="2">
                  <c:v>340.28571428571428</c:v>
                </c:pt>
                <c:pt idx="3">
                  <c:v>343</c:v>
                </c:pt>
                <c:pt idx="4">
                  <c:v>372.57142857142856</c:v>
                </c:pt>
                <c:pt idx="5">
                  <c:v>376.42857142857139</c:v>
                </c:pt>
                <c:pt idx="6">
                  <c:v>399.57142857142856</c:v>
                </c:pt>
                <c:pt idx="7">
                  <c:v>358.71428571428572</c:v>
                </c:pt>
                <c:pt idx="8">
                  <c:v>394.28571428571433</c:v>
                </c:pt>
                <c:pt idx="9">
                  <c:v>386.71428571428572</c:v>
                </c:pt>
                <c:pt idx="10">
                  <c:v>437.14285714285711</c:v>
                </c:pt>
                <c:pt idx="11">
                  <c:v>439.14285714285722</c:v>
                </c:pt>
                <c:pt idx="12">
                  <c:v>400.5</c:v>
                </c:pt>
                <c:pt idx="13">
                  <c:v>397.5</c:v>
                </c:pt>
                <c:pt idx="14">
                  <c:v>302</c:v>
                </c:pt>
                <c:pt idx="15">
                  <c:v>235</c:v>
                </c:pt>
                <c:pt idx="16">
                  <c:v>149.5</c:v>
                </c:pt>
                <c:pt idx="17">
                  <c:v>57</c:v>
                </c:pt>
                <c:pt idx="18">
                  <c:v>71.5</c:v>
                </c:pt>
                <c:pt idx="19">
                  <c:v>72</c:v>
                </c:pt>
                <c:pt idx="20">
                  <c:v>35</c:v>
                </c:pt>
                <c:pt idx="21">
                  <c:v>43.5</c:v>
                </c:pt>
                <c:pt idx="22">
                  <c:v>76.5</c:v>
                </c:pt>
                <c:pt idx="23">
                  <c:v>183.5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466256"/>
        <c:axId val="807468976"/>
      </c:lineChart>
      <c:catAx>
        <c:axId val="8074662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7468976"/>
        <c:crosses val="autoZero"/>
        <c:auto val="1"/>
        <c:lblAlgn val="ctr"/>
        <c:lblOffset val="100"/>
        <c:noMultiLvlLbl val="0"/>
      </c:catAx>
      <c:valAx>
        <c:axId val="8074689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746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Kampala-Jinja'!$C$9:$N$9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Kampala-Jinja'!$C$107:$N$107</c:f>
              <c:numCache>
                <c:formatCode>0.0%</c:formatCode>
                <c:ptCount val="12"/>
                <c:pt idx="0">
                  <c:v>0.14894875812124067</c:v>
                </c:pt>
                <c:pt idx="1">
                  <c:v>6.3326504004470083E-2</c:v>
                </c:pt>
                <c:pt idx="2">
                  <c:v>3.803972697292736E-2</c:v>
                </c:pt>
                <c:pt idx="3">
                  <c:v>0.28152903925585876</c:v>
                </c:pt>
                <c:pt idx="4">
                  <c:v>1.4692187174739515E-2</c:v>
                </c:pt>
                <c:pt idx="5">
                  <c:v>7.4940015119476719E-3</c:v>
                </c:pt>
                <c:pt idx="6">
                  <c:v>4.1490911879745372E-2</c:v>
                </c:pt>
                <c:pt idx="7">
                  <c:v>6.7928083880227433E-2</c:v>
                </c:pt>
                <c:pt idx="8">
                  <c:v>1.9337591620742167E-2</c:v>
                </c:pt>
                <c:pt idx="9">
                  <c:v>0.12819782411008729</c:v>
                </c:pt>
                <c:pt idx="10">
                  <c:v>0.18729525708588515</c:v>
                </c:pt>
                <c:pt idx="11">
                  <c:v>1.7201143821283398E-3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Kampala-Jinja'!$C$9:$N$9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Kampala-Jinja'!$C$108:$N$108</c:f>
              <c:numCache>
                <c:formatCode>0.00%</c:formatCode>
                <c:ptCount val="12"/>
                <c:pt idx="0">
                  <c:v>0.18327536466337732</c:v>
                </c:pt>
                <c:pt idx="1">
                  <c:v>7.7920677289762458E-2</c:v>
                </c:pt>
                <c:pt idx="2">
                  <c:v>4.6806330718002644E-2</c:v>
                </c:pt>
                <c:pt idx="3">
                  <c:v>0.34640998678853574</c:v>
                </c:pt>
                <c:pt idx="4">
                  <c:v>1.8078136374666345E-2</c:v>
                </c:pt>
                <c:pt idx="5">
                  <c:v>9.2210628488231024E-3</c:v>
                </c:pt>
                <c:pt idx="6">
                  <c:v>5.1052872819434339E-2</c:v>
                </c:pt>
                <c:pt idx="7">
                  <c:v>8.3582733425004732E-2</c:v>
                </c:pt>
                <c:pt idx="8">
                  <c:v>2.3794116854053766E-2</c:v>
                </c:pt>
                <c:pt idx="9">
                  <c:v>0.15774218771064197</c:v>
                </c:pt>
                <c:pt idx="11">
                  <c:v>2.1165305076977004E-3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Jinja-Kampala-2Dir'!$C$9:$N$9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Jinja-Kampala-2Dir'!$C$107:$N$107</c:f>
              <c:numCache>
                <c:formatCode>0.0%</c:formatCode>
                <c:ptCount val="12"/>
                <c:pt idx="0">
                  <c:v>0.15050580761398277</c:v>
                </c:pt>
                <c:pt idx="1">
                  <c:v>6.0853429700828306E-2</c:v>
                </c:pt>
                <c:pt idx="2">
                  <c:v>3.8487290029407609E-2</c:v>
                </c:pt>
                <c:pt idx="3">
                  <c:v>0.27585949034904811</c:v>
                </c:pt>
                <c:pt idx="4">
                  <c:v>1.2782141869601282E-2</c:v>
                </c:pt>
                <c:pt idx="5">
                  <c:v>8.5249060469095878E-3</c:v>
                </c:pt>
                <c:pt idx="6">
                  <c:v>3.7642103505785E-2</c:v>
                </c:pt>
                <c:pt idx="7">
                  <c:v>6.4009836162505357E-2</c:v>
                </c:pt>
                <c:pt idx="8">
                  <c:v>2.4009557911797996E-2</c:v>
                </c:pt>
                <c:pt idx="9">
                  <c:v>0.12561454277322043</c:v>
                </c:pt>
                <c:pt idx="10">
                  <c:v>0.20015616820950888</c:v>
                </c:pt>
                <c:pt idx="11">
                  <c:v>1.5547258274045646E-3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Jinja-Kampala-2Dir'!$C$9:$N$9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Jinja-Kampala-2Dir'!$C$108:$N$108</c:f>
              <c:numCache>
                <c:formatCode>0.00%</c:formatCode>
                <c:ptCount val="12"/>
                <c:pt idx="0">
                  <c:v>0.18816899203569262</c:v>
                </c:pt>
                <c:pt idx="1">
                  <c:v>7.6081639042717641E-2</c:v>
                </c:pt>
                <c:pt idx="2">
                  <c:v>4.8118505762871057E-2</c:v>
                </c:pt>
                <c:pt idx="3">
                  <c:v>0.34489168933330727</c:v>
                </c:pt>
                <c:pt idx="4">
                  <c:v>1.5980796952559863E-2</c:v>
                </c:pt>
                <c:pt idx="5">
                  <c:v>1.0658213151217474E-2</c:v>
                </c:pt>
                <c:pt idx="6">
                  <c:v>4.7061816331722212E-2</c:v>
                </c:pt>
                <c:pt idx="7">
                  <c:v>8.0027917473859983E-2</c:v>
                </c:pt>
                <c:pt idx="8">
                  <c:v>3.0017807173747135E-2</c:v>
                </c:pt>
                <c:pt idx="9">
                  <c:v>0.15704883601093217</c:v>
                </c:pt>
                <c:pt idx="11">
                  <c:v>1.943786731372588E-3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Jinja-Kampala-2Dir'!$AE$9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Jinja-Kampala-2Dir'!$R$10:$R$33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Jinja-Kampala-2Dir'!$AE$10:$AE$33</c:f>
              <c:numCache>
                <c:formatCode>0</c:formatCode>
                <c:ptCount val="24"/>
                <c:pt idx="0">
                  <c:v>533.71428571428578</c:v>
                </c:pt>
                <c:pt idx="1">
                  <c:v>530.71428571428567</c:v>
                </c:pt>
                <c:pt idx="2">
                  <c:v>565</c:v>
                </c:pt>
                <c:pt idx="3">
                  <c:v>537.28571428571445</c:v>
                </c:pt>
                <c:pt idx="4">
                  <c:v>582.42857142857144</c:v>
                </c:pt>
                <c:pt idx="5">
                  <c:v>583.85714285714289</c:v>
                </c:pt>
                <c:pt idx="6">
                  <c:v>643.14285714285711</c:v>
                </c:pt>
                <c:pt idx="7">
                  <c:v>602.85714285714278</c:v>
                </c:pt>
                <c:pt idx="8">
                  <c:v>657.85714285714289</c:v>
                </c:pt>
                <c:pt idx="9">
                  <c:v>649.14285714285711</c:v>
                </c:pt>
                <c:pt idx="10">
                  <c:v>709.28571428571433</c:v>
                </c:pt>
                <c:pt idx="11">
                  <c:v>711.85714285714278</c:v>
                </c:pt>
                <c:pt idx="12">
                  <c:v>642.5</c:v>
                </c:pt>
                <c:pt idx="13">
                  <c:v>663.5</c:v>
                </c:pt>
                <c:pt idx="14">
                  <c:v>519.5</c:v>
                </c:pt>
                <c:pt idx="15">
                  <c:v>360</c:v>
                </c:pt>
                <c:pt idx="16">
                  <c:v>243.5</c:v>
                </c:pt>
                <c:pt idx="17">
                  <c:v>103</c:v>
                </c:pt>
                <c:pt idx="18">
                  <c:v>120.5</c:v>
                </c:pt>
                <c:pt idx="19">
                  <c:v>125</c:v>
                </c:pt>
                <c:pt idx="20">
                  <c:v>100</c:v>
                </c:pt>
                <c:pt idx="21">
                  <c:v>144.5</c:v>
                </c:pt>
                <c:pt idx="22">
                  <c:v>241</c:v>
                </c:pt>
                <c:pt idx="23">
                  <c:v>380.5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96-4444-9563-010ED57718B8}"/>
            </c:ext>
          </c:extLst>
        </c:ser>
        <c:ser>
          <c:idx val="1"/>
          <c:order val="1"/>
          <c:tx>
            <c:strRef>
              <c:f>'Avg Week Jinja-Kampala-2Dir'!$AF$9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Jinja-Kampala-2Dir'!$R$10:$R$33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Jinja-Kampala-2Dir'!$AF$10:$AF$33</c:f>
              <c:numCache>
                <c:formatCode>0</c:formatCode>
                <c:ptCount val="24"/>
                <c:pt idx="0">
                  <c:v>674.42857142857144</c:v>
                </c:pt>
                <c:pt idx="1">
                  <c:v>665.71428571428567</c:v>
                </c:pt>
                <c:pt idx="2">
                  <c:v>712.71428571428567</c:v>
                </c:pt>
                <c:pt idx="3">
                  <c:v>706.85714285714289</c:v>
                </c:pt>
                <c:pt idx="4">
                  <c:v>751.42857142857144</c:v>
                </c:pt>
                <c:pt idx="5">
                  <c:v>735.14285714285722</c:v>
                </c:pt>
                <c:pt idx="6">
                  <c:v>806.85714285714278</c:v>
                </c:pt>
                <c:pt idx="7">
                  <c:v>741.57142857142856</c:v>
                </c:pt>
                <c:pt idx="8">
                  <c:v>808.28571428571433</c:v>
                </c:pt>
                <c:pt idx="9">
                  <c:v>822.28571428571411</c:v>
                </c:pt>
                <c:pt idx="10">
                  <c:v>889.71428571428578</c:v>
                </c:pt>
                <c:pt idx="11">
                  <c:v>883.47619047619048</c:v>
                </c:pt>
                <c:pt idx="12">
                  <c:v>807</c:v>
                </c:pt>
                <c:pt idx="13">
                  <c:v>836.5</c:v>
                </c:pt>
                <c:pt idx="14">
                  <c:v>679</c:v>
                </c:pt>
                <c:pt idx="15">
                  <c:v>457.5</c:v>
                </c:pt>
                <c:pt idx="16">
                  <c:v>313.5</c:v>
                </c:pt>
                <c:pt idx="17">
                  <c:v>128</c:v>
                </c:pt>
                <c:pt idx="18">
                  <c:v>129.5</c:v>
                </c:pt>
                <c:pt idx="19">
                  <c:v>133</c:v>
                </c:pt>
                <c:pt idx="20">
                  <c:v>105.5</c:v>
                </c:pt>
                <c:pt idx="21">
                  <c:v>185</c:v>
                </c:pt>
                <c:pt idx="22">
                  <c:v>263.5</c:v>
                </c:pt>
                <c:pt idx="23">
                  <c:v>454.5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A96-4444-9563-010ED57718B8}"/>
            </c:ext>
          </c:extLst>
        </c:ser>
        <c:ser>
          <c:idx val="5"/>
          <c:order val="2"/>
          <c:tx>
            <c:strRef>
              <c:f>'Avg Week Jinja-Kampala-2Dir'!$AC$9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Jinja-Kampala-2Dir'!$R$10:$R$33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Jinja-Kampala-2Dir'!$AC$10:$AC$33</c:f>
              <c:numCache>
                <c:formatCode>0</c:formatCode>
                <c:ptCount val="24"/>
                <c:pt idx="0">
                  <c:v>140.71428571428569</c:v>
                </c:pt>
                <c:pt idx="1">
                  <c:v>135</c:v>
                </c:pt>
                <c:pt idx="2">
                  <c:v>147.71428571428572</c:v>
                </c:pt>
                <c:pt idx="3">
                  <c:v>169.57142857142856</c:v>
                </c:pt>
                <c:pt idx="4">
                  <c:v>169</c:v>
                </c:pt>
                <c:pt idx="5">
                  <c:v>151.28571428571428</c:v>
                </c:pt>
                <c:pt idx="6">
                  <c:v>163.71428571428572</c:v>
                </c:pt>
                <c:pt idx="7">
                  <c:v>138.71428571428572</c:v>
                </c:pt>
                <c:pt idx="8">
                  <c:v>150.42857142857144</c:v>
                </c:pt>
                <c:pt idx="9">
                  <c:v>173.14285714285714</c:v>
                </c:pt>
                <c:pt idx="10">
                  <c:v>180.42857142857139</c:v>
                </c:pt>
                <c:pt idx="11">
                  <c:v>171.61904761904765</c:v>
                </c:pt>
                <c:pt idx="12">
                  <c:v>164.5</c:v>
                </c:pt>
                <c:pt idx="13">
                  <c:v>173</c:v>
                </c:pt>
                <c:pt idx="14">
                  <c:v>159.5</c:v>
                </c:pt>
                <c:pt idx="15">
                  <c:v>97.5</c:v>
                </c:pt>
                <c:pt idx="16">
                  <c:v>70</c:v>
                </c:pt>
                <c:pt idx="17">
                  <c:v>25</c:v>
                </c:pt>
                <c:pt idx="18">
                  <c:v>9</c:v>
                </c:pt>
                <c:pt idx="19">
                  <c:v>8</c:v>
                </c:pt>
                <c:pt idx="20">
                  <c:v>5.5</c:v>
                </c:pt>
                <c:pt idx="21">
                  <c:v>40.5</c:v>
                </c:pt>
                <c:pt idx="22">
                  <c:v>22.5</c:v>
                </c:pt>
                <c:pt idx="23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96-4444-9563-010ED5771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Jinja-Kampala-2Dir'!$S$9:$AF$9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Jinja-Kampala-2Dir'!$S$41:$AF$41</c:f>
              <c:numCache>
                <c:formatCode>0</c:formatCode>
                <c:ptCount val="14"/>
                <c:pt idx="0">
                  <c:v>2060.5714285714284</c:v>
                </c:pt>
                <c:pt idx="1">
                  <c:v>833.14285714285722</c:v>
                </c:pt>
                <c:pt idx="2">
                  <c:v>526.92857142857133</c:v>
                </c:pt>
                <c:pt idx="3">
                  <c:v>3776.7857142857142</c:v>
                </c:pt>
                <c:pt idx="4">
                  <c:v>174.99999999999997</c:v>
                </c:pt>
                <c:pt idx="5">
                  <c:v>116.71428571428572</c:v>
                </c:pt>
                <c:pt idx="6">
                  <c:v>515.35714285714289</c:v>
                </c:pt>
                <c:pt idx="7">
                  <c:v>876.35714285714289</c:v>
                </c:pt>
                <c:pt idx="8">
                  <c:v>328.71428571428572</c:v>
                </c:pt>
                <c:pt idx="9">
                  <c:v>1719.7857142857142</c:v>
                </c:pt>
                <c:pt idx="10">
                  <c:v>2740.3333333333335</c:v>
                </c:pt>
                <c:pt idx="11">
                  <c:v>21.285714285714288</c:v>
                </c:pt>
                <c:pt idx="12">
                  <c:v>10950.642857142859</c:v>
                </c:pt>
                <c:pt idx="13">
                  <c:v>13690.976190476191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0-4993-B988-4F98430BE9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Jinja-Kampala-2Dir'!$S$9:$AF$9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Jinja-Kampala-2Dir'!$S$42:$AF$42</c:f>
              <c:numCache>
                <c:formatCode>0.000</c:formatCode>
                <c:ptCount val="14"/>
                <c:pt idx="0">
                  <c:v>1.467046379170057</c:v>
                </c:pt>
                <c:pt idx="1">
                  <c:v>1.4536390827517447</c:v>
                </c:pt>
                <c:pt idx="2">
                  <c:v>1.4224836097184728</c:v>
                </c:pt>
                <c:pt idx="3">
                  <c:v>1.342005076142132</c:v>
                </c:pt>
                <c:pt idx="4">
                  <c:v>1.5765765765765767</c:v>
                </c:pt>
                <c:pt idx="5">
                  <c:v>2.0222772277227721</c:v>
                </c:pt>
                <c:pt idx="6">
                  <c:v>1.5623646600259853</c:v>
                </c:pt>
                <c:pt idx="7">
                  <c:v>1.7963396778916547</c:v>
                </c:pt>
                <c:pt idx="8">
                  <c:v>2.4768568353067812</c:v>
                </c:pt>
                <c:pt idx="9">
                  <c:v>1.693893344589841</c:v>
                </c:pt>
                <c:pt idx="10">
                  <c:v>1.4488896721889319</c:v>
                </c:pt>
                <c:pt idx="11">
                  <c:v>2.0694444444444442</c:v>
                </c:pt>
                <c:pt idx="12">
                  <c:v>1.4986217008797653</c:v>
                </c:pt>
                <c:pt idx="13">
                  <c:v>1.4883961111571276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E-4867-8F99-B5C7C023A6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1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25.xml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22224</xdr:rowOff>
    </xdr:from>
    <xdr:to>
      <xdr:col>28</xdr:col>
      <xdr:colOff>15874</xdr:colOff>
      <xdr:row>59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279400</xdr:rowOff>
    </xdr:from>
    <xdr:to>
      <xdr:col>23</xdr:col>
      <xdr:colOff>0</xdr:colOff>
      <xdr:row>74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</xdr:colOff>
      <xdr:row>59</xdr:row>
      <xdr:rowOff>254000</xdr:rowOff>
    </xdr:from>
    <xdr:to>
      <xdr:col>31</xdr:col>
      <xdr:colOff>15876</xdr:colOff>
      <xdr:row>73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22224</xdr:rowOff>
    </xdr:from>
    <xdr:to>
      <xdr:col>28</xdr:col>
      <xdr:colOff>0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60</xdr:row>
      <xdr:rowOff>15875</xdr:rowOff>
    </xdr:from>
    <xdr:to>
      <xdr:col>23</xdr:col>
      <xdr:colOff>15876</xdr:colOff>
      <xdr:row>74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59</xdr:row>
      <xdr:rowOff>269875</xdr:rowOff>
    </xdr:from>
    <xdr:to>
      <xdr:col>31</xdr:col>
      <xdr:colOff>15875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25400</xdr:rowOff>
    </xdr:from>
    <xdr:to>
      <xdr:col>23</xdr:col>
      <xdr:colOff>650874</xdr:colOff>
      <xdr:row>75</xdr:row>
      <xdr:rowOff>174625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75</xdr:row>
      <xdr:rowOff>190500</xdr:rowOff>
    </xdr:from>
    <xdr:to>
      <xdr:col>23</xdr:col>
      <xdr:colOff>650874</xdr:colOff>
      <xdr:row>92</xdr:row>
      <xdr:rowOff>63500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43</xdr:row>
      <xdr:rowOff>15875</xdr:rowOff>
    </xdr:from>
    <xdr:to>
      <xdr:col>28</xdr:col>
      <xdr:colOff>15875</xdr:colOff>
      <xdr:row>59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8D76B5-B066-4682-BCB2-6645A4BCC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666750</xdr:colOff>
      <xdr:row>59</xdr:row>
      <xdr:rowOff>31750</xdr:rowOff>
    </xdr:from>
    <xdr:to>
      <xdr:col>30</xdr:col>
      <xdr:colOff>635000</xdr:colOff>
      <xdr:row>75</xdr:row>
      <xdr:rowOff>168708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539810D-088C-4249-96A9-A22132566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666750</xdr:colOff>
      <xdr:row>75</xdr:row>
      <xdr:rowOff>190500</xdr:rowOff>
    </xdr:from>
    <xdr:to>
      <xdr:col>30</xdr:col>
      <xdr:colOff>635000</xdr:colOff>
      <xdr:row>92</xdr:row>
      <xdr:rowOff>57584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CDE27E2-74FE-4B46-A984-3D3BC87CF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171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54" t="s">
        <v>167</v>
      </c>
      <c r="H5" s="55"/>
      <c r="I5" s="14"/>
      <c r="J5" s="2" t="s">
        <v>5</v>
      </c>
      <c r="K5" s="54" t="s">
        <v>168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165</v>
      </c>
      <c r="E6" s="55"/>
      <c r="F6" s="2" t="s">
        <v>2</v>
      </c>
      <c r="G6" s="54" t="s">
        <v>166</v>
      </c>
      <c r="H6" s="55"/>
      <c r="J6" s="2" t="s">
        <v>21</v>
      </c>
      <c r="K6" s="54" t="s">
        <v>169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</v>
      </c>
      <c r="D10" s="50">
        <v>2</v>
      </c>
      <c r="E10" s="50">
        <v>3</v>
      </c>
      <c r="F10" s="50">
        <v>37</v>
      </c>
      <c r="G10" s="50">
        <v>1</v>
      </c>
      <c r="H10" s="50">
        <v>1</v>
      </c>
      <c r="I10" s="50">
        <v>2</v>
      </c>
      <c r="J10" s="50">
        <v>2</v>
      </c>
      <c r="K10" s="50">
        <v>0</v>
      </c>
      <c r="L10" s="50">
        <v>16</v>
      </c>
      <c r="M10" s="50">
        <v>23</v>
      </c>
      <c r="N10" s="50">
        <v>0</v>
      </c>
      <c r="O10" s="15">
        <f t="shared" ref="O10:O57" si="0">SUM(C10:L10,N10)</f>
        <v>72</v>
      </c>
      <c r="P10" s="15">
        <f t="shared" ref="P10:P57" si="1">SUM(C10:N10)</f>
        <v>95</v>
      </c>
      <c r="R10" s="1" t="s">
        <v>6</v>
      </c>
      <c r="S10" s="17">
        <f t="shared" ref="S10:AF10" si="2">SUM(C10:C13)</f>
        <v>34</v>
      </c>
      <c r="T10" s="17">
        <f t="shared" si="2"/>
        <v>8</v>
      </c>
      <c r="U10" s="17">
        <f t="shared" si="2"/>
        <v>8</v>
      </c>
      <c r="V10" s="17">
        <f t="shared" si="2"/>
        <v>144</v>
      </c>
      <c r="W10" s="17">
        <f t="shared" si="2"/>
        <v>4</v>
      </c>
      <c r="X10" s="17">
        <f t="shared" si="2"/>
        <v>3</v>
      </c>
      <c r="Y10" s="17">
        <f t="shared" si="2"/>
        <v>9</v>
      </c>
      <c r="Z10" s="17">
        <f t="shared" si="2"/>
        <v>8</v>
      </c>
      <c r="AA10" s="17">
        <f t="shared" si="2"/>
        <v>9</v>
      </c>
      <c r="AB10" s="17">
        <f t="shared" si="2"/>
        <v>52</v>
      </c>
      <c r="AC10" s="17">
        <f t="shared" si="2"/>
        <v>82</v>
      </c>
      <c r="AD10" s="17">
        <f t="shared" si="2"/>
        <v>0</v>
      </c>
      <c r="AE10" s="31">
        <f t="shared" si="2"/>
        <v>279</v>
      </c>
      <c r="AF10" s="31">
        <f t="shared" si="2"/>
        <v>361</v>
      </c>
    </row>
    <row r="11" spans="2:32" s="6" customFormat="1" ht="23.1" customHeight="1" x14ac:dyDescent="0.25">
      <c r="B11" s="23" t="s">
        <v>38</v>
      </c>
      <c r="C11" s="50">
        <v>11</v>
      </c>
      <c r="D11" s="50">
        <v>2</v>
      </c>
      <c r="E11" s="50">
        <v>2</v>
      </c>
      <c r="F11" s="50">
        <v>38</v>
      </c>
      <c r="G11" s="50">
        <v>0</v>
      </c>
      <c r="H11" s="50">
        <v>1</v>
      </c>
      <c r="I11" s="50">
        <v>2</v>
      </c>
      <c r="J11" s="50">
        <v>2</v>
      </c>
      <c r="K11" s="50">
        <v>1</v>
      </c>
      <c r="L11" s="50">
        <v>15</v>
      </c>
      <c r="M11" s="50">
        <v>22</v>
      </c>
      <c r="N11" s="50">
        <v>0</v>
      </c>
      <c r="O11" s="15">
        <f t="shared" si="0"/>
        <v>74</v>
      </c>
      <c r="P11" s="15">
        <f t="shared" si="1"/>
        <v>96</v>
      </c>
      <c r="R11" s="1" t="s">
        <v>7</v>
      </c>
      <c r="S11" s="17">
        <f t="shared" ref="S11:AF11" si="3">SUM(C14:C17)</f>
        <v>59</v>
      </c>
      <c r="T11" s="17">
        <f t="shared" si="3"/>
        <v>10</v>
      </c>
      <c r="U11" s="17">
        <f t="shared" si="3"/>
        <v>11</v>
      </c>
      <c r="V11" s="17">
        <f t="shared" si="3"/>
        <v>128</v>
      </c>
      <c r="W11" s="17">
        <f t="shared" si="3"/>
        <v>1</v>
      </c>
      <c r="X11" s="17">
        <f t="shared" si="3"/>
        <v>3</v>
      </c>
      <c r="Y11" s="17">
        <f t="shared" si="3"/>
        <v>13</v>
      </c>
      <c r="Z11" s="17">
        <f t="shared" si="3"/>
        <v>14</v>
      </c>
      <c r="AA11" s="17">
        <f t="shared" si="3"/>
        <v>1</v>
      </c>
      <c r="AB11" s="17">
        <f t="shared" si="3"/>
        <v>62</v>
      </c>
      <c r="AC11" s="17">
        <f t="shared" si="3"/>
        <v>78</v>
      </c>
      <c r="AD11" s="17">
        <f t="shared" si="3"/>
        <v>0</v>
      </c>
      <c r="AE11" s="31">
        <f t="shared" si="3"/>
        <v>302</v>
      </c>
      <c r="AF11" s="31">
        <f t="shared" si="3"/>
        <v>380</v>
      </c>
    </row>
    <row r="12" spans="2:32" ht="23.1" customHeight="1" x14ac:dyDescent="0.25">
      <c r="B12" s="23" t="s">
        <v>39</v>
      </c>
      <c r="C12" s="50">
        <v>8</v>
      </c>
      <c r="D12" s="50">
        <v>1</v>
      </c>
      <c r="E12" s="50">
        <v>2</v>
      </c>
      <c r="F12" s="50">
        <v>27</v>
      </c>
      <c r="G12" s="50">
        <v>2</v>
      </c>
      <c r="H12" s="50">
        <v>0</v>
      </c>
      <c r="I12" s="50">
        <v>3</v>
      </c>
      <c r="J12" s="50">
        <v>1</v>
      </c>
      <c r="K12" s="50">
        <v>3</v>
      </c>
      <c r="L12" s="50">
        <v>11</v>
      </c>
      <c r="M12" s="50">
        <v>16</v>
      </c>
      <c r="N12" s="50">
        <v>0</v>
      </c>
      <c r="O12" s="15">
        <f t="shared" si="0"/>
        <v>58</v>
      </c>
      <c r="P12" s="15">
        <f t="shared" si="1"/>
        <v>74</v>
      </c>
      <c r="R12" s="1" t="s">
        <v>8</v>
      </c>
      <c r="S12" s="17">
        <f t="shared" ref="S12:AF12" si="4">SUM(C18:C21)</f>
        <v>33</v>
      </c>
      <c r="T12" s="17">
        <f t="shared" si="4"/>
        <v>8</v>
      </c>
      <c r="U12" s="17">
        <f t="shared" si="4"/>
        <v>13</v>
      </c>
      <c r="V12" s="17">
        <f t="shared" si="4"/>
        <v>116</v>
      </c>
      <c r="W12" s="17">
        <f t="shared" si="4"/>
        <v>3</v>
      </c>
      <c r="X12" s="17">
        <f t="shared" si="4"/>
        <v>4</v>
      </c>
      <c r="Y12" s="17">
        <f t="shared" si="4"/>
        <v>17</v>
      </c>
      <c r="Z12" s="17">
        <f t="shared" si="4"/>
        <v>14</v>
      </c>
      <c r="AA12" s="17">
        <f t="shared" si="4"/>
        <v>3</v>
      </c>
      <c r="AB12" s="17">
        <f t="shared" si="4"/>
        <v>58</v>
      </c>
      <c r="AC12" s="17">
        <f t="shared" si="4"/>
        <v>66</v>
      </c>
      <c r="AD12" s="17">
        <f t="shared" si="4"/>
        <v>0</v>
      </c>
      <c r="AE12" s="31">
        <f t="shared" si="4"/>
        <v>269</v>
      </c>
      <c r="AF12" s="31">
        <f t="shared" si="4"/>
        <v>335</v>
      </c>
    </row>
    <row r="13" spans="2:32" ht="23.1" customHeight="1" x14ac:dyDescent="0.25">
      <c r="B13" s="23" t="s">
        <v>40</v>
      </c>
      <c r="C13" s="50">
        <v>7</v>
      </c>
      <c r="D13" s="50">
        <v>3</v>
      </c>
      <c r="E13" s="50">
        <v>1</v>
      </c>
      <c r="F13" s="50">
        <v>42</v>
      </c>
      <c r="G13" s="50">
        <v>1</v>
      </c>
      <c r="H13" s="50">
        <v>1</v>
      </c>
      <c r="I13" s="50">
        <v>2</v>
      </c>
      <c r="J13" s="50">
        <v>3</v>
      </c>
      <c r="K13" s="50">
        <v>5</v>
      </c>
      <c r="L13" s="50">
        <v>10</v>
      </c>
      <c r="M13" s="50">
        <v>21</v>
      </c>
      <c r="N13" s="50">
        <v>0</v>
      </c>
      <c r="O13" s="15">
        <f t="shared" si="0"/>
        <v>75</v>
      </c>
      <c r="P13" s="15">
        <f t="shared" si="1"/>
        <v>96</v>
      </c>
      <c r="R13" s="1" t="s">
        <v>9</v>
      </c>
      <c r="S13" s="17">
        <f t="shared" ref="S13:AF13" si="5">SUM(C22:C25)</f>
        <v>41</v>
      </c>
      <c r="T13" s="17">
        <f t="shared" si="5"/>
        <v>11</v>
      </c>
      <c r="U13" s="17">
        <f t="shared" si="5"/>
        <v>18</v>
      </c>
      <c r="V13" s="17">
        <f t="shared" si="5"/>
        <v>94</v>
      </c>
      <c r="W13" s="17">
        <f t="shared" si="5"/>
        <v>5</v>
      </c>
      <c r="X13" s="17">
        <f t="shared" si="5"/>
        <v>2</v>
      </c>
      <c r="Y13" s="17">
        <f t="shared" si="5"/>
        <v>16</v>
      </c>
      <c r="Z13" s="17">
        <f t="shared" si="5"/>
        <v>11</v>
      </c>
      <c r="AA13" s="17">
        <f t="shared" si="5"/>
        <v>4</v>
      </c>
      <c r="AB13" s="17">
        <f t="shared" si="5"/>
        <v>48</v>
      </c>
      <c r="AC13" s="17">
        <f t="shared" si="5"/>
        <v>71</v>
      </c>
      <c r="AD13" s="17">
        <f t="shared" si="5"/>
        <v>0</v>
      </c>
      <c r="AE13" s="31">
        <f t="shared" si="5"/>
        <v>250</v>
      </c>
      <c r="AF13" s="31">
        <f t="shared" si="5"/>
        <v>321</v>
      </c>
    </row>
    <row r="14" spans="2:32" ht="23.1" customHeight="1" x14ac:dyDescent="0.25">
      <c r="B14" s="23" t="s">
        <v>41</v>
      </c>
      <c r="C14" s="50">
        <v>17</v>
      </c>
      <c r="D14" s="50">
        <v>2</v>
      </c>
      <c r="E14" s="50">
        <v>4</v>
      </c>
      <c r="F14" s="50">
        <v>36</v>
      </c>
      <c r="G14" s="50">
        <v>0</v>
      </c>
      <c r="H14" s="50">
        <v>0</v>
      </c>
      <c r="I14" s="50">
        <v>4</v>
      </c>
      <c r="J14" s="50">
        <v>2</v>
      </c>
      <c r="K14" s="50">
        <v>0</v>
      </c>
      <c r="L14" s="50">
        <v>13</v>
      </c>
      <c r="M14" s="50">
        <v>18</v>
      </c>
      <c r="N14" s="50">
        <v>0</v>
      </c>
      <c r="O14" s="15">
        <f t="shared" si="0"/>
        <v>78</v>
      </c>
      <c r="P14" s="15">
        <f t="shared" si="1"/>
        <v>96</v>
      </c>
      <c r="R14" s="1" t="s">
        <v>10</v>
      </c>
      <c r="S14" s="17">
        <f t="shared" ref="S14:AF14" si="6">SUM(C26:C29)</f>
        <v>40</v>
      </c>
      <c r="T14" s="17">
        <f t="shared" si="6"/>
        <v>10</v>
      </c>
      <c r="U14" s="17">
        <f t="shared" si="6"/>
        <v>13</v>
      </c>
      <c r="V14" s="17">
        <f t="shared" si="6"/>
        <v>87</v>
      </c>
      <c r="W14" s="17">
        <f t="shared" si="6"/>
        <v>0</v>
      </c>
      <c r="X14" s="17">
        <f t="shared" si="6"/>
        <v>2</v>
      </c>
      <c r="Y14" s="17">
        <f t="shared" si="6"/>
        <v>23</v>
      </c>
      <c r="Z14" s="17">
        <f t="shared" si="6"/>
        <v>18</v>
      </c>
      <c r="AA14" s="17">
        <f t="shared" si="6"/>
        <v>4</v>
      </c>
      <c r="AB14" s="17">
        <f t="shared" si="6"/>
        <v>53</v>
      </c>
      <c r="AC14" s="17">
        <f t="shared" si="6"/>
        <v>80</v>
      </c>
      <c r="AD14" s="17">
        <f t="shared" si="6"/>
        <v>0</v>
      </c>
      <c r="AE14" s="31">
        <f t="shared" si="6"/>
        <v>250</v>
      </c>
      <c r="AF14" s="31">
        <f t="shared" si="6"/>
        <v>330</v>
      </c>
    </row>
    <row r="15" spans="2:32" ht="23.1" customHeight="1" x14ac:dyDescent="0.25">
      <c r="B15" s="23" t="s">
        <v>42</v>
      </c>
      <c r="C15" s="50">
        <v>11</v>
      </c>
      <c r="D15" s="50">
        <v>2</v>
      </c>
      <c r="E15" s="50">
        <v>2</v>
      </c>
      <c r="F15" s="50">
        <v>30</v>
      </c>
      <c r="G15" s="50">
        <v>0</v>
      </c>
      <c r="H15" s="50">
        <v>0</v>
      </c>
      <c r="I15" s="50">
        <v>3</v>
      </c>
      <c r="J15" s="50">
        <v>5</v>
      </c>
      <c r="K15" s="50">
        <v>0</v>
      </c>
      <c r="L15" s="50">
        <v>15</v>
      </c>
      <c r="M15" s="50">
        <v>22</v>
      </c>
      <c r="N15" s="50">
        <v>0</v>
      </c>
      <c r="O15" s="15">
        <f t="shared" si="0"/>
        <v>68</v>
      </c>
      <c r="P15" s="15">
        <f t="shared" si="1"/>
        <v>90</v>
      </c>
      <c r="R15" s="1" t="s">
        <v>11</v>
      </c>
      <c r="S15" s="17">
        <f t="shared" ref="S15:AF15" si="7">SUM(C30:C33)</f>
        <v>51</v>
      </c>
      <c r="T15" s="17">
        <f t="shared" si="7"/>
        <v>5</v>
      </c>
      <c r="U15" s="17">
        <f t="shared" si="7"/>
        <v>11</v>
      </c>
      <c r="V15" s="17">
        <f t="shared" si="7"/>
        <v>84</v>
      </c>
      <c r="W15" s="17">
        <f t="shared" si="7"/>
        <v>2</v>
      </c>
      <c r="X15" s="17">
        <f t="shared" si="7"/>
        <v>1</v>
      </c>
      <c r="Y15" s="17">
        <f t="shared" si="7"/>
        <v>21</v>
      </c>
      <c r="Z15" s="17">
        <f t="shared" si="7"/>
        <v>20</v>
      </c>
      <c r="AA15" s="17">
        <f t="shared" si="7"/>
        <v>8</v>
      </c>
      <c r="AB15" s="17">
        <f t="shared" si="7"/>
        <v>44</v>
      </c>
      <c r="AC15" s="17">
        <f t="shared" si="7"/>
        <v>65</v>
      </c>
      <c r="AD15" s="17">
        <f t="shared" si="7"/>
        <v>1</v>
      </c>
      <c r="AE15" s="31">
        <f t="shared" si="7"/>
        <v>248</v>
      </c>
      <c r="AF15" s="31">
        <f t="shared" si="7"/>
        <v>313</v>
      </c>
    </row>
    <row r="16" spans="2:32" ht="23.1" customHeight="1" x14ac:dyDescent="0.25">
      <c r="B16" s="23" t="s">
        <v>43</v>
      </c>
      <c r="C16" s="50">
        <v>15</v>
      </c>
      <c r="D16" s="50">
        <v>6</v>
      </c>
      <c r="E16" s="50">
        <v>1</v>
      </c>
      <c r="F16" s="50">
        <v>24</v>
      </c>
      <c r="G16" s="50">
        <v>0</v>
      </c>
      <c r="H16" s="50">
        <v>2</v>
      </c>
      <c r="I16" s="50">
        <v>4</v>
      </c>
      <c r="J16" s="50">
        <v>3</v>
      </c>
      <c r="K16" s="50">
        <v>0</v>
      </c>
      <c r="L16" s="50">
        <v>23</v>
      </c>
      <c r="M16" s="50">
        <v>14</v>
      </c>
      <c r="N16" s="50">
        <v>0</v>
      </c>
      <c r="O16" s="15">
        <f t="shared" si="0"/>
        <v>78</v>
      </c>
      <c r="P16" s="15">
        <f t="shared" si="1"/>
        <v>92</v>
      </c>
      <c r="R16" s="1" t="s">
        <v>12</v>
      </c>
      <c r="S16" s="17">
        <f t="shared" ref="S16:AF16" si="8">SUM(C34:C37)</f>
        <v>68</v>
      </c>
      <c r="T16" s="17">
        <f t="shared" si="8"/>
        <v>15</v>
      </c>
      <c r="U16" s="17">
        <f t="shared" si="8"/>
        <v>14</v>
      </c>
      <c r="V16" s="17">
        <f t="shared" si="8"/>
        <v>105</v>
      </c>
      <c r="W16" s="17">
        <f t="shared" si="8"/>
        <v>0</v>
      </c>
      <c r="X16" s="17">
        <f t="shared" si="8"/>
        <v>0</v>
      </c>
      <c r="Y16" s="17">
        <f t="shared" si="8"/>
        <v>21</v>
      </c>
      <c r="Z16" s="17">
        <f t="shared" si="8"/>
        <v>24</v>
      </c>
      <c r="AA16" s="17">
        <f t="shared" si="8"/>
        <v>6</v>
      </c>
      <c r="AB16" s="17">
        <f t="shared" si="8"/>
        <v>31</v>
      </c>
      <c r="AC16" s="17">
        <f t="shared" si="8"/>
        <v>92</v>
      </c>
      <c r="AD16" s="17">
        <f t="shared" si="8"/>
        <v>0</v>
      </c>
      <c r="AE16" s="31">
        <f t="shared" si="8"/>
        <v>284</v>
      </c>
      <c r="AF16" s="31">
        <f t="shared" si="8"/>
        <v>376</v>
      </c>
    </row>
    <row r="17" spans="2:32" ht="23.1" customHeight="1" x14ac:dyDescent="0.25">
      <c r="B17" s="23" t="s">
        <v>44</v>
      </c>
      <c r="C17" s="50">
        <v>16</v>
      </c>
      <c r="D17" s="50">
        <v>0</v>
      </c>
      <c r="E17" s="50">
        <v>4</v>
      </c>
      <c r="F17" s="50">
        <v>38</v>
      </c>
      <c r="G17" s="50">
        <v>1</v>
      </c>
      <c r="H17" s="50">
        <v>1</v>
      </c>
      <c r="I17" s="50">
        <v>2</v>
      </c>
      <c r="J17" s="50">
        <v>4</v>
      </c>
      <c r="K17" s="50">
        <v>1</v>
      </c>
      <c r="L17" s="50">
        <v>11</v>
      </c>
      <c r="M17" s="50">
        <v>24</v>
      </c>
      <c r="N17" s="50">
        <v>0</v>
      </c>
      <c r="O17" s="15">
        <f t="shared" si="0"/>
        <v>78</v>
      </c>
      <c r="P17" s="15">
        <f t="shared" si="1"/>
        <v>102</v>
      </c>
      <c r="R17" s="1" t="s">
        <v>13</v>
      </c>
      <c r="S17" s="17">
        <f t="shared" ref="S17:AF17" si="9">SUM(C38:C41)</f>
        <v>56</v>
      </c>
      <c r="T17" s="17">
        <f t="shared" si="9"/>
        <v>28</v>
      </c>
      <c r="U17" s="17">
        <f t="shared" si="9"/>
        <v>15</v>
      </c>
      <c r="V17" s="17">
        <f t="shared" si="9"/>
        <v>105</v>
      </c>
      <c r="W17" s="17">
        <f t="shared" si="9"/>
        <v>0</v>
      </c>
      <c r="X17" s="17">
        <f t="shared" si="9"/>
        <v>4</v>
      </c>
      <c r="Y17" s="17">
        <f t="shared" si="9"/>
        <v>25</v>
      </c>
      <c r="Z17" s="17">
        <f t="shared" si="9"/>
        <v>19</v>
      </c>
      <c r="AA17" s="17">
        <f t="shared" si="9"/>
        <v>5</v>
      </c>
      <c r="AB17" s="17">
        <f t="shared" si="9"/>
        <v>55</v>
      </c>
      <c r="AC17" s="17">
        <f t="shared" si="9"/>
        <v>93</v>
      </c>
      <c r="AD17" s="17">
        <f t="shared" si="9"/>
        <v>0</v>
      </c>
      <c r="AE17" s="31">
        <f t="shared" si="9"/>
        <v>312</v>
      </c>
      <c r="AF17" s="31">
        <f t="shared" si="9"/>
        <v>405</v>
      </c>
    </row>
    <row r="18" spans="2:32" ht="23.1" customHeight="1" x14ac:dyDescent="0.25">
      <c r="B18" s="23" t="s">
        <v>45</v>
      </c>
      <c r="C18" s="50">
        <v>4</v>
      </c>
      <c r="D18" s="50">
        <v>3</v>
      </c>
      <c r="E18" s="50">
        <v>4</v>
      </c>
      <c r="F18" s="50">
        <v>20</v>
      </c>
      <c r="G18" s="50">
        <v>3</v>
      </c>
      <c r="H18" s="50">
        <v>2</v>
      </c>
      <c r="I18" s="50">
        <v>2</v>
      </c>
      <c r="J18" s="50">
        <v>3</v>
      </c>
      <c r="K18" s="50">
        <v>2</v>
      </c>
      <c r="L18" s="50">
        <v>14</v>
      </c>
      <c r="M18" s="50">
        <v>12</v>
      </c>
      <c r="N18" s="50">
        <v>0</v>
      </c>
      <c r="O18" s="15">
        <f t="shared" si="0"/>
        <v>57</v>
      </c>
      <c r="P18" s="15">
        <f t="shared" si="1"/>
        <v>69</v>
      </c>
      <c r="R18" s="1" t="s">
        <v>14</v>
      </c>
      <c r="S18" s="17">
        <f t="shared" ref="S18:AF18" si="10">SUM(C42:C45)</f>
        <v>70</v>
      </c>
      <c r="T18" s="17">
        <f t="shared" si="10"/>
        <v>22</v>
      </c>
      <c r="U18" s="17">
        <f t="shared" si="10"/>
        <v>17</v>
      </c>
      <c r="V18" s="17">
        <f t="shared" si="10"/>
        <v>107</v>
      </c>
      <c r="W18" s="17">
        <f t="shared" si="10"/>
        <v>7</v>
      </c>
      <c r="X18" s="17">
        <f t="shared" si="10"/>
        <v>2</v>
      </c>
      <c r="Y18" s="17">
        <f t="shared" si="10"/>
        <v>19</v>
      </c>
      <c r="Z18" s="17">
        <f t="shared" si="10"/>
        <v>32</v>
      </c>
      <c r="AA18" s="17">
        <f t="shared" si="10"/>
        <v>2</v>
      </c>
      <c r="AB18" s="17">
        <f t="shared" si="10"/>
        <v>30</v>
      </c>
      <c r="AC18" s="17">
        <f t="shared" si="10"/>
        <v>71</v>
      </c>
      <c r="AD18" s="17">
        <f t="shared" si="10"/>
        <v>29</v>
      </c>
      <c r="AE18" s="31">
        <f t="shared" si="10"/>
        <v>337</v>
      </c>
      <c r="AF18" s="31">
        <f t="shared" si="10"/>
        <v>408</v>
      </c>
    </row>
    <row r="19" spans="2:32" ht="23.1" customHeight="1" x14ac:dyDescent="0.25">
      <c r="B19" s="23" t="s">
        <v>46</v>
      </c>
      <c r="C19" s="50">
        <v>9</v>
      </c>
      <c r="D19" s="50">
        <v>4</v>
      </c>
      <c r="E19" s="50">
        <v>6</v>
      </c>
      <c r="F19" s="50">
        <v>41</v>
      </c>
      <c r="G19" s="50">
        <v>0</v>
      </c>
      <c r="H19" s="50">
        <v>1</v>
      </c>
      <c r="I19" s="50">
        <v>4</v>
      </c>
      <c r="J19" s="50">
        <v>6</v>
      </c>
      <c r="K19" s="50">
        <v>0</v>
      </c>
      <c r="L19" s="50">
        <v>17</v>
      </c>
      <c r="M19" s="50">
        <v>14</v>
      </c>
      <c r="N19" s="50">
        <v>0</v>
      </c>
      <c r="O19" s="15">
        <f t="shared" si="0"/>
        <v>88</v>
      </c>
      <c r="P19" s="15">
        <f t="shared" si="1"/>
        <v>102</v>
      </c>
      <c r="R19" s="1" t="s">
        <v>15</v>
      </c>
      <c r="S19" s="17">
        <f t="shared" ref="S19:AF19" si="11">SUM(C46:C49)</f>
        <v>63</v>
      </c>
      <c r="T19" s="17">
        <f t="shared" si="11"/>
        <v>12</v>
      </c>
      <c r="U19" s="17">
        <f t="shared" si="11"/>
        <v>14</v>
      </c>
      <c r="V19" s="17">
        <f t="shared" si="11"/>
        <v>101</v>
      </c>
      <c r="W19" s="17">
        <f t="shared" si="11"/>
        <v>2</v>
      </c>
      <c r="X19" s="17">
        <f t="shared" si="11"/>
        <v>2</v>
      </c>
      <c r="Y19" s="17">
        <f t="shared" si="11"/>
        <v>20</v>
      </c>
      <c r="Z19" s="17">
        <f t="shared" si="11"/>
        <v>24</v>
      </c>
      <c r="AA19" s="17">
        <f t="shared" si="11"/>
        <v>5</v>
      </c>
      <c r="AB19" s="17">
        <f t="shared" si="11"/>
        <v>58</v>
      </c>
      <c r="AC19" s="17">
        <f t="shared" si="11"/>
        <v>102</v>
      </c>
      <c r="AD19" s="17">
        <f t="shared" si="11"/>
        <v>0</v>
      </c>
      <c r="AE19" s="31">
        <f t="shared" si="11"/>
        <v>301</v>
      </c>
      <c r="AF19" s="31">
        <f t="shared" si="11"/>
        <v>403</v>
      </c>
    </row>
    <row r="20" spans="2:32" ht="23.1" customHeight="1" x14ac:dyDescent="0.25">
      <c r="B20" s="23" t="s">
        <v>47</v>
      </c>
      <c r="C20" s="50">
        <v>11</v>
      </c>
      <c r="D20" s="50">
        <v>0</v>
      </c>
      <c r="E20" s="50">
        <v>1</v>
      </c>
      <c r="F20" s="50">
        <v>36</v>
      </c>
      <c r="G20" s="50">
        <v>0</v>
      </c>
      <c r="H20" s="50">
        <v>0</v>
      </c>
      <c r="I20" s="50">
        <v>6</v>
      </c>
      <c r="J20" s="50">
        <v>1</v>
      </c>
      <c r="K20" s="50">
        <v>1</v>
      </c>
      <c r="L20" s="50">
        <v>15</v>
      </c>
      <c r="M20" s="50">
        <v>17</v>
      </c>
      <c r="N20" s="50">
        <v>0</v>
      </c>
      <c r="O20" s="15">
        <f t="shared" si="0"/>
        <v>71</v>
      </c>
      <c r="P20" s="15">
        <f t="shared" si="1"/>
        <v>88</v>
      </c>
      <c r="R20" s="1" t="s">
        <v>16</v>
      </c>
      <c r="S20" s="17">
        <f t="shared" ref="S20:AF20" si="12">SUM(C50:C53)</f>
        <v>74</v>
      </c>
      <c r="T20" s="17">
        <f t="shared" si="12"/>
        <v>18</v>
      </c>
      <c r="U20" s="17">
        <f t="shared" si="12"/>
        <v>20</v>
      </c>
      <c r="V20" s="17">
        <f t="shared" si="12"/>
        <v>115</v>
      </c>
      <c r="W20" s="17">
        <f t="shared" si="12"/>
        <v>3</v>
      </c>
      <c r="X20" s="17">
        <f t="shared" si="12"/>
        <v>3</v>
      </c>
      <c r="Y20" s="17">
        <f t="shared" si="12"/>
        <v>22</v>
      </c>
      <c r="Z20" s="17">
        <f t="shared" si="12"/>
        <v>24</v>
      </c>
      <c r="AA20" s="17">
        <f t="shared" si="12"/>
        <v>9</v>
      </c>
      <c r="AB20" s="17">
        <f t="shared" si="12"/>
        <v>52</v>
      </c>
      <c r="AC20" s="17">
        <f t="shared" si="12"/>
        <v>107</v>
      </c>
      <c r="AD20" s="17">
        <f t="shared" si="12"/>
        <v>0</v>
      </c>
      <c r="AE20" s="31">
        <f t="shared" si="12"/>
        <v>340</v>
      </c>
      <c r="AF20" s="31">
        <f t="shared" si="12"/>
        <v>447</v>
      </c>
    </row>
    <row r="21" spans="2:32" ht="23.1" customHeight="1" x14ac:dyDescent="0.25">
      <c r="B21" s="23" t="s">
        <v>48</v>
      </c>
      <c r="C21" s="50">
        <v>9</v>
      </c>
      <c r="D21" s="50">
        <v>1</v>
      </c>
      <c r="E21" s="50">
        <v>2</v>
      </c>
      <c r="F21" s="50">
        <v>19</v>
      </c>
      <c r="G21" s="50">
        <v>0</v>
      </c>
      <c r="H21" s="50">
        <v>1</v>
      </c>
      <c r="I21" s="50">
        <v>5</v>
      </c>
      <c r="J21" s="50">
        <v>4</v>
      </c>
      <c r="K21" s="50">
        <v>0</v>
      </c>
      <c r="L21" s="50">
        <v>12</v>
      </c>
      <c r="M21" s="50">
        <v>23</v>
      </c>
      <c r="N21" s="50">
        <v>0</v>
      </c>
      <c r="O21" s="15">
        <f t="shared" si="0"/>
        <v>53</v>
      </c>
      <c r="P21" s="15">
        <f t="shared" si="1"/>
        <v>76</v>
      </c>
      <c r="R21" s="36" t="s">
        <v>20</v>
      </c>
      <c r="S21" s="34">
        <f t="shared" ref="S21:AF21" si="13">SUM(C54:C57)</f>
        <v>58</v>
      </c>
      <c r="T21" s="17">
        <f t="shared" si="13"/>
        <v>13</v>
      </c>
      <c r="U21" s="17">
        <f t="shared" si="13"/>
        <v>17</v>
      </c>
      <c r="V21" s="17">
        <f t="shared" si="13"/>
        <v>93</v>
      </c>
      <c r="W21" s="17">
        <f t="shared" si="13"/>
        <v>7</v>
      </c>
      <c r="X21" s="17">
        <f t="shared" si="13"/>
        <v>2</v>
      </c>
      <c r="Y21" s="17">
        <f t="shared" si="13"/>
        <v>25</v>
      </c>
      <c r="Z21" s="17">
        <f t="shared" si="13"/>
        <v>27</v>
      </c>
      <c r="AA21" s="17">
        <f t="shared" si="13"/>
        <v>9</v>
      </c>
      <c r="AB21" s="17">
        <f t="shared" si="13"/>
        <v>38</v>
      </c>
      <c r="AC21" s="17">
        <f t="shared" si="13"/>
        <v>64</v>
      </c>
      <c r="AD21" s="17">
        <f t="shared" si="13"/>
        <v>0</v>
      </c>
      <c r="AE21" s="31">
        <f t="shared" si="13"/>
        <v>289</v>
      </c>
      <c r="AF21" s="31">
        <f t="shared" si="13"/>
        <v>353</v>
      </c>
    </row>
    <row r="22" spans="2:32" ht="23.1" customHeight="1" x14ac:dyDescent="0.25">
      <c r="B22" s="23" t="s">
        <v>49</v>
      </c>
      <c r="C22" s="50">
        <v>15</v>
      </c>
      <c r="D22" s="50">
        <v>3</v>
      </c>
      <c r="E22" s="50">
        <v>4</v>
      </c>
      <c r="F22" s="50">
        <v>19</v>
      </c>
      <c r="G22" s="50">
        <v>1</v>
      </c>
      <c r="H22" s="50">
        <v>2</v>
      </c>
      <c r="I22" s="50">
        <v>4</v>
      </c>
      <c r="J22" s="50">
        <v>0</v>
      </c>
      <c r="K22" s="50">
        <v>0</v>
      </c>
      <c r="L22" s="50">
        <v>14</v>
      </c>
      <c r="M22" s="50">
        <v>19</v>
      </c>
      <c r="N22" s="50">
        <v>0</v>
      </c>
      <c r="O22" s="15">
        <f t="shared" si="0"/>
        <v>62</v>
      </c>
      <c r="P22" s="15">
        <f t="shared" si="1"/>
        <v>81</v>
      </c>
      <c r="R22" s="38" t="s">
        <v>90</v>
      </c>
      <c r="S22" s="39">
        <f>MAX(S10:S12)</f>
        <v>59</v>
      </c>
      <c r="T22" s="39">
        <f t="shared" ref="T22:AF22" si="14">MAX(T10:T12)</f>
        <v>10</v>
      </c>
      <c r="U22" s="39">
        <f t="shared" si="14"/>
        <v>13</v>
      </c>
      <c r="V22" s="39">
        <f t="shared" si="14"/>
        <v>144</v>
      </c>
      <c r="W22" s="39">
        <f t="shared" si="14"/>
        <v>4</v>
      </c>
      <c r="X22" s="39">
        <f t="shared" si="14"/>
        <v>4</v>
      </c>
      <c r="Y22" s="39">
        <f t="shared" si="14"/>
        <v>17</v>
      </c>
      <c r="Z22" s="39">
        <f t="shared" si="14"/>
        <v>14</v>
      </c>
      <c r="AA22" s="39">
        <f t="shared" si="14"/>
        <v>9</v>
      </c>
      <c r="AB22" s="39">
        <f t="shared" si="14"/>
        <v>62</v>
      </c>
      <c r="AC22" s="39">
        <f t="shared" si="14"/>
        <v>82</v>
      </c>
      <c r="AD22" s="39">
        <f t="shared" si="14"/>
        <v>0</v>
      </c>
      <c r="AE22" s="40">
        <f t="shared" si="14"/>
        <v>302</v>
      </c>
      <c r="AF22" s="40">
        <f t="shared" si="14"/>
        <v>380</v>
      </c>
    </row>
    <row r="23" spans="2:32" ht="23.1" customHeight="1" x14ac:dyDescent="0.25">
      <c r="B23" s="23" t="s">
        <v>50</v>
      </c>
      <c r="C23" s="50">
        <v>7</v>
      </c>
      <c r="D23" s="50">
        <v>0</v>
      </c>
      <c r="E23" s="50">
        <v>4</v>
      </c>
      <c r="F23" s="50">
        <v>26</v>
      </c>
      <c r="G23" s="50">
        <v>0</v>
      </c>
      <c r="H23" s="50">
        <v>0</v>
      </c>
      <c r="I23" s="50">
        <v>3</v>
      </c>
      <c r="J23" s="50">
        <v>6</v>
      </c>
      <c r="K23" s="50">
        <v>1</v>
      </c>
      <c r="L23" s="50">
        <v>11</v>
      </c>
      <c r="M23" s="50">
        <v>16</v>
      </c>
      <c r="N23" s="50">
        <v>0</v>
      </c>
      <c r="O23" s="15">
        <f t="shared" si="0"/>
        <v>58</v>
      </c>
      <c r="P23" s="15">
        <f t="shared" si="1"/>
        <v>74</v>
      </c>
      <c r="R23" s="38" t="s">
        <v>91</v>
      </c>
      <c r="S23" s="39">
        <f>MAX(S13:S18)</f>
        <v>70</v>
      </c>
      <c r="T23" s="39">
        <f t="shared" ref="T23:AF23" si="15">MAX(T13:T18)</f>
        <v>28</v>
      </c>
      <c r="U23" s="39">
        <f t="shared" si="15"/>
        <v>18</v>
      </c>
      <c r="V23" s="39">
        <f t="shared" si="15"/>
        <v>107</v>
      </c>
      <c r="W23" s="39">
        <f t="shared" si="15"/>
        <v>7</v>
      </c>
      <c r="X23" s="39">
        <f t="shared" si="15"/>
        <v>4</v>
      </c>
      <c r="Y23" s="39">
        <f t="shared" si="15"/>
        <v>25</v>
      </c>
      <c r="Z23" s="39">
        <f t="shared" si="15"/>
        <v>32</v>
      </c>
      <c r="AA23" s="39">
        <f t="shared" si="15"/>
        <v>8</v>
      </c>
      <c r="AB23" s="39">
        <f t="shared" si="15"/>
        <v>55</v>
      </c>
      <c r="AC23" s="39">
        <f t="shared" si="15"/>
        <v>93</v>
      </c>
      <c r="AD23" s="39">
        <f t="shared" si="15"/>
        <v>29</v>
      </c>
      <c r="AE23" s="40">
        <f t="shared" si="15"/>
        <v>337</v>
      </c>
      <c r="AF23" s="40">
        <f t="shared" si="15"/>
        <v>408</v>
      </c>
    </row>
    <row r="24" spans="2:32" ht="23.1" customHeight="1" x14ac:dyDescent="0.25">
      <c r="B24" s="23" t="s">
        <v>51</v>
      </c>
      <c r="C24" s="50">
        <v>13</v>
      </c>
      <c r="D24" s="50">
        <v>7</v>
      </c>
      <c r="E24" s="50">
        <v>4</v>
      </c>
      <c r="F24" s="50">
        <v>26</v>
      </c>
      <c r="G24" s="50">
        <v>1</v>
      </c>
      <c r="H24" s="50">
        <v>0</v>
      </c>
      <c r="I24" s="50">
        <v>6</v>
      </c>
      <c r="J24" s="50">
        <v>2</v>
      </c>
      <c r="K24" s="50">
        <v>1</v>
      </c>
      <c r="L24" s="50">
        <v>12</v>
      </c>
      <c r="M24" s="50">
        <v>18</v>
      </c>
      <c r="N24" s="50">
        <v>0</v>
      </c>
      <c r="O24" s="15">
        <f t="shared" si="0"/>
        <v>72</v>
      </c>
      <c r="P24" s="15">
        <f t="shared" si="1"/>
        <v>90</v>
      </c>
      <c r="R24" s="38" t="s">
        <v>92</v>
      </c>
      <c r="S24" s="39">
        <f>MAX(S19:S21)</f>
        <v>74</v>
      </c>
      <c r="T24" s="39">
        <f t="shared" ref="T24:AF24" si="16">MAX(T19:T21)</f>
        <v>18</v>
      </c>
      <c r="U24" s="39">
        <f t="shared" si="16"/>
        <v>20</v>
      </c>
      <c r="V24" s="39">
        <f t="shared" si="16"/>
        <v>115</v>
      </c>
      <c r="W24" s="39">
        <f t="shared" si="16"/>
        <v>7</v>
      </c>
      <c r="X24" s="39">
        <f t="shared" si="16"/>
        <v>3</v>
      </c>
      <c r="Y24" s="39">
        <f t="shared" si="16"/>
        <v>25</v>
      </c>
      <c r="Z24" s="39">
        <f t="shared" si="16"/>
        <v>27</v>
      </c>
      <c r="AA24" s="39">
        <f t="shared" si="16"/>
        <v>9</v>
      </c>
      <c r="AB24" s="39">
        <f t="shared" si="16"/>
        <v>58</v>
      </c>
      <c r="AC24" s="39">
        <f t="shared" si="16"/>
        <v>107</v>
      </c>
      <c r="AD24" s="39">
        <f t="shared" si="16"/>
        <v>0</v>
      </c>
      <c r="AE24" s="40">
        <f t="shared" si="16"/>
        <v>340</v>
      </c>
      <c r="AF24" s="40">
        <f t="shared" si="16"/>
        <v>447</v>
      </c>
    </row>
    <row r="25" spans="2:32" ht="23.1" customHeight="1" x14ac:dyDescent="0.25">
      <c r="B25" s="23" t="s">
        <v>52</v>
      </c>
      <c r="C25" s="50">
        <v>6</v>
      </c>
      <c r="D25" s="50">
        <v>1</v>
      </c>
      <c r="E25" s="50">
        <v>6</v>
      </c>
      <c r="F25" s="50">
        <v>23</v>
      </c>
      <c r="G25" s="50">
        <v>3</v>
      </c>
      <c r="H25" s="50">
        <v>0</v>
      </c>
      <c r="I25" s="50">
        <v>3</v>
      </c>
      <c r="J25" s="50">
        <v>3</v>
      </c>
      <c r="K25" s="50">
        <v>2</v>
      </c>
      <c r="L25" s="50">
        <v>11</v>
      </c>
      <c r="M25" s="50">
        <v>18</v>
      </c>
      <c r="N25" s="50">
        <v>0</v>
      </c>
      <c r="O25" s="15">
        <f t="shared" si="0"/>
        <v>58</v>
      </c>
      <c r="P25" s="15">
        <f t="shared" si="1"/>
        <v>76</v>
      </c>
      <c r="R25" s="37" t="s">
        <v>85</v>
      </c>
      <c r="S25" s="35">
        <f t="shared" ref="S25:AF25" si="17">SUM(S10:S12)</f>
        <v>126</v>
      </c>
      <c r="T25" s="16">
        <f t="shared" si="17"/>
        <v>26</v>
      </c>
      <c r="U25" s="16">
        <f t="shared" si="17"/>
        <v>32</v>
      </c>
      <c r="V25" s="16">
        <f t="shared" si="17"/>
        <v>388</v>
      </c>
      <c r="W25" s="16">
        <f t="shared" si="17"/>
        <v>8</v>
      </c>
      <c r="X25" s="16">
        <f t="shared" si="17"/>
        <v>10</v>
      </c>
      <c r="Y25" s="16">
        <f t="shared" si="17"/>
        <v>39</v>
      </c>
      <c r="Z25" s="16">
        <f t="shared" si="17"/>
        <v>36</v>
      </c>
      <c r="AA25" s="16">
        <f t="shared" si="17"/>
        <v>13</v>
      </c>
      <c r="AB25" s="16">
        <f t="shared" si="17"/>
        <v>172</v>
      </c>
      <c r="AC25" s="16">
        <f t="shared" si="17"/>
        <v>226</v>
      </c>
      <c r="AD25" s="16">
        <f t="shared" si="17"/>
        <v>0</v>
      </c>
      <c r="AE25" s="32">
        <f t="shared" si="17"/>
        <v>850</v>
      </c>
      <c r="AF25" s="32">
        <f t="shared" si="17"/>
        <v>1076</v>
      </c>
    </row>
    <row r="26" spans="2:32" ht="23.1" customHeight="1" x14ac:dyDescent="0.25">
      <c r="B26" s="23" t="s">
        <v>53</v>
      </c>
      <c r="C26" s="50">
        <v>5</v>
      </c>
      <c r="D26" s="50">
        <v>1</v>
      </c>
      <c r="E26" s="50">
        <v>2</v>
      </c>
      <c r="F26" s="50">
        <v>14</v>
      </c>
      <c r="G26" s="50">
        <v>0</v>
      </c>
      <c r="H26" s="50">
        <v>0</v>
      </c>
      <c r="I26" s="50">
        <v>5</v>
      </c>
      <c r="J26" s="50">
        <v>4</v>
      </c>
      <c r="K26" s="50">
        <v>0</v>
      </c>
      <c r="L26" s="50">
        <v>12</v>
      </c>
      <c r="M26" s="50">
        <v>15</v>
      </c>
      <c r="N26" s="50">
        <v>0</v>
      </c>
      <c r="O26" s="15">
        <f t="shared" si="0"/>
        <v>43</v>
      </c>
      <c r="P26" s="15">
        <f t="shared" si="1"/>
        <v>58</v>
      </c>
      <c r="R26" s="28" t="s">
        <v>86</v>
      </c>
      <c r="S26" s="16">
        <f t="shared" ref="S26:AF26" si="18">SUM(S13:S18)</f>
        <v>326</v>
      </c>
      <c r="T26" s="16">
        <f t="shared" si="18"/>
        <v>91</v>
      </c>
      <c r="U26" s="16">
        <f t="shared" si="18"/>
        <v>88</v>
      </c>
      <c r="V26" s="16">
        <f t="shared" si="18"/>
        <v>582</v>
      </c>
      <c r="W26" s="16">
        <f t="shared" si="18"/>
        <v>14</v>
      </c>
      <c r="X26" s="16">
        <f t="shared" si="18"/>
        <v>11</v>
      </c>
      <c r="Y26" s="16">
        <f t="shared" si="18"/>
        <v>125</v>
      </c>
      <c r="Z26" s="16">
        <f t="shared" si="18"/>
        <v>124</v>
      </c>
      <c r="AA26" s="16">
        <f t="shared" si="18"/>
        <v>29</v>
      </c>
      <c r="AB26" s="16">
        <f t="shared" si="18"/>
        <v>261</v>
      </c>
      <c r="AC26" s="16">
        <f t="shared" si="18"/>
        <v>472</v>
      </c>
      <c r="AD26" s="16">
        <f t="shared" si="18"/>
        <v>30</v>
      </c>
      <c r="AE26" s="32">
        <f t="shared" si="18"/>
        <v>1681</v>
      </c>
      <c r="AF26" s="32">
        <f t="shared" si="18"/>
        <v>2153</v>
      </c>
    </row>
    <row r="27" spans="2:32" ht="23.1" customHeight="1" x14ac:dyDescent="0.25">
      <c r="B27" s="23" t="s">
        <v>54</v>
      </c>
      <c r="C27" s="50">
        <v>8</v>
      </c>
      <c r="D27" s="50">
        <v>1</v>
      </c>
      <c r="E27" s="50">
        <v>7</v>
      </c>
      <c r="F27" s="50">
        <v>28</v>
      </c>
      <c r="G27" s="50">
        <v>0</v>
      </c>
      <c r="H27" s="50">
        <v>1</v>
      </c>
      <c r="I27" s="50">
        <v>7</v>
      </c>
      <c r="J27" s="50">
        <v>4</v>
      </c>
      <c r="K27" s="50">
        <v>0</v>
      </c>
      <c r="L27" s="50">
        <v>11</v>
      </c>
      <c r="M27" s="50">
        <v>27</v>
      </c>
      <c r="N27" s="50">
        <v>0</v>
      </c>
      <c r="O27" s="15">
        <f t="shared" si="0"/>
        <v>67</v>
      </c>
      <c r="P27" s="15">
        <f t="shared" si="1"/>
        <v>94</v>
      </c>
      <c r="R27" s="29" t="s">
        <v>87</v>
      </c>
      <c r="S27" s="16">
        <f t="shared" ref="S27:AF27" si="19">SUM(S19:S21)</f>
        <v>195</v>
      </c>
      <c r="T27" s="16">
        <f t="shared" si="19"/>
        <v>43</v>
      </c>
      <c r="U27" s="16">
        <f t="shared" si="19"/>
        <v>51</v>
      </c>
      <c r="V27" s="16">
        <f t="shared" si="19"/>
        <v>309</v>
      </c>
      <c r="W27" s="16">
        <f t="shared" si="19"/>
        <v>12</v>
      </c>
      <c r="X27" s="16">
        <f t="shared" si="19"/>
        <v>7</v>
      </c>
      <c r="Y27" s="16">
        <f t="shared" si="19"/>
        <v>67</v>
      </c>
      <c r="Z27" s="16">
        <f t="shared" si="19"/>
        <v>75</v>
      </c>
      <c r="AA27" s="16">
        <f t="shared" si="19"/>
        <v>23</v>
      </c>
      <c r="AB27" s="16">
        <f t="shared" si="19"/>
        <v>148</v>
      </c>
      <c r="AC27" s="16">
        <f t="shared" si="19"/>
        <v>273</v>
      </c>
      <c r="AD27" s="16">
        <f t="shared" si="19"/>
        <v>0</v>
      </c>
      <c r="AE27" s="32">
        <f t="shared" si="19"/>
        <v>930</v>
      </c>
      <c r="AF27" s="32">
        <f t="shared" si="19"/>
        <v>1203</v>
      </c>
    </row>
    <row r="28" spans="2:32" ht="23.1" customHeight="1" x14ac:dyDescent="0.25">
      <c r="B28" s="23" t="s">
        <v>55</v>
      </c>
      <c r="C28" s="50">
        <v>10</v>
      </c>
      <c r="D28" s="50">
        <v>5</v>
      </c>
      <c r="E28" s="50">
        <v>2</v>
      </c>
      <c r="F28" s="50">
        <v>21</v>
      </c>
      <c r="G28" s="50">
        <v>0</v>
      </c>
      <c r="H28" s="50">
        <v>1</v>
      </c>
      <c r="I28" s="50">
        <v>7</v>
      </c>
      <c r="J28" s="50">
        <v>4</v>
      </c>
      <c r="K28" s="50">
        <v>1</v>
      </c>
      <c r="L28" s="50">
        <v>18</v>
      </c>
      <c r="M28" s="50">
        <v>17</v>
      </c>
      <c r="N28" s="50">
        <v>0</v>
      </c>
      <c r="O28" s="15">
        <f t="shared" si="0"/>
        <v>69</v>
      </c>
      <c r="P28" s="15">
        <f t="shared" si="1"/>
        <v>86</v>
      </c>
      <c r="R28" s="5" t="s">
        <v>17</v>
      </c>
      <c r="S28" s="16">
        <f t="shared" ref="S28:AF28" si="20">SUM(S10:S21)</f>
        <v>647</v>
      </c>
      <c r="T28" s="16">
        <f t="shared" si="20"/>
        <v>160</v>
      </c>
      <c r="U28" s="16">
        <f t="shared" si="20"/>
        <v>171</v>
      </c>
      <c r="V28" s="16">
        <f t="shared" si="20"/>
        <v>1279</v>
      </c>
      <c r="W28" s="16">
        <f t="shared" si="20"/>
        <v>34</v>
      </c>
      <c r="X28" s="16">
        <f t="shared" si="20"/>
        <v>28</v>
      </c>
      <c r="Y28" s="16">
        <f t="shared" si="20"/>
        <v>231</v>
      </c>
      <c r="Z28" s="16">
        <f t="shared" si="20"/>
        <v>235</v>
      </c>
      <c r="AA28" s="16">
        <f t="shared" si="20"/>
        <v>65</v>
      </c>
      <c r="AB28" s="16">
        <f t="shared" si="20"/>
        <v>581</v>
      </c>
      <c r="AC28" s="16">
        <f t="shared" si="20"/>
        <v>971</v>
      </c>
      <c r="AD28" s="16">
        <f t="shared" si="20"/>
        <v>30</v>
      </c>
      <c r="AE28" s="32">
        <f t="shared" si="20"/>
        <v>3461</v>
      </c>
      <c r="AF28" s="32">
        <f t="shared" si="20"/>
        <v>4432</v>
      </c>
    </row>
    <row r="29" spans="2:32" ht="23.1" customHeight="1" x14ac:dyDescent="0.25">
      <c r="B29" s="23" t="s">
        <v>56</v>
      </c>
      <c r="C29" s="50">
        <v>17</v>
      </c>
      <c r="D29" s="50">
        <v>3</v>
      </c>
      <c r="E29" s="50">
        <v>2</v>
      </c>
      <c r="F29" s="50">
        <v>24</v>
      </c>
      <c r="G29" s="50">
        <v>0</v>
      </c>
      <c r="H29" s="50">
        <v>0</v>
      </c>
      <c r="I29" s="50">
        <v>4</v>
      </c>
      <c r="J29" s="50">
        <v>6</v>
      </c>
      <c r="K29" s="50">
        <v>3</v>
      </c>
      <c r="L29" s="50">
        <v>12</v>
      </c>
      <c r="M29" s="50">
        <v>21</v>
      </c>
      <c r="N29" s="50">
        <v>0</v>
      </c>
      <c r="O29" s="15">
        <f t="shared" si="0"/>
        <v>71</v>
      </c>
      <c r="P29" s="15">
        <f t="shared" si="1"/>
        <v>92</v>
      </c>
      <c r="R29"/>
      <c r="S29" s="20"/>
      <c r="T29" s="19"/>
    </row>
    <row r="30" spans="2:32" ht="23.1" customHeight="1" x14ac:dyDescent="0.25">
      <c r="B30" s="23" t="s">
        <v>57</v>
      </c>
      <c r="C30" s="50">
        <v>15</v>
      </c>
      <c r="D30" s="50">
        <v>0</v>
      </c>
      <c r="E30" s="50">
        <v>3</v>
      </c>
      <c r="F30" s="50">
        <v>19</v>
      </c>
      <c r="G30" s="50">
        <v>0</v>
      </c>
      <c r="H30" s="50">
        <v>1</v>
      </c>
      <c r="I30" s="50">
        <v>7</v>
      </c>
      <c r="J30" s="50">
        <v>8</v>
      </c>
      <c r="K30" s="50">
        <v>0</v>
      </c>
      <c r="L30" s="50">
        <v>6</v>
      </c>
      <c r="M30" s="50">
        <v>19</v>
      </c>
      <c r="N30" s="50">
        <v>0</v>
      </c>
      <c r="O30" s="15">
        <f t="shared" si="0"/>
        <v>59</v>
      </c>
      <c r="P30" s="15">
        <f t="shared" si="1"/>
        <v>78</v>
      </c>
    </row>
    <row r="31" spans="2:32" ht="23.1" customHeight="1" x14ac:dyDescent="0.25">
      <c r="B31" s="24" t="s">
        <v>58</v>
      </c>
      <c r="C31" s="50">
        <v>9</v>
      </c>
      <c r="D31" s="50">
        <v>4</v>
      </c>
      <c r="E31" s="50">
        <v>7</v>
      </c>
      <c r="F31" s="50">
        <v>16</v>
      </c>
      <c r="G31" s="50">
        <v>0</v>
      </c>
      <c r="H31" s="50">
        <v>0</v>
      </c>
      <c r="I31" s="50">
        <v>4</v>
      </c>
      <c r="J31" s="50">
        <v>4</v>
      </c>
      <c r="K31" s="50">
        <v>0</v>
      </c>
      <c r="L31" s="50">
        <v>16</v>
      </c>
      <c r="M31" s="50">
        <v>16</v>
      </c>
      <c r="N31" s="50">
        <v>1</v>
      </c>
      <c r="O31" s="15">
        <f t="shared" si="0"/>
        <v>61</v>
      </c>
      <c r="P31" s="15">
        <f t="shared" si="1"/>
        <v>77</v>
      </c>
    </row>
    <row r="32" spans="2:32" ht="23.1" customHeight="1" x14ac:dyDescent="0.25">
      <c r="B32" s="24" t="s">
        <v>59</v>
      </c>
      <c r="C32" s="50">
        <v>18</v>
      </c>
      <c r="D32" s="50">
        <v>0</v>
      </c>
      <c r="E32" s="50">
        <v>1</v>
      </c>
      <c r="F32" s="50">
        <v>27</v>
      </c>
      <c r="G32" s="50">
        <v>1</v>
      </c>
      <c r="H32" s="50">
        <v>0</v>
      </c>
      <c r="I32" s="50">
        <v>3</v>
      </c>
      <c r="J32" s="50">
        <v>4</v>
      </c>
      <c r="K32" s="50">
        <v>1</v>
      </c>
      <c r="L32" s="50">
        <v>7</v>
      </c>
      <c r="M32" s="50">
        <v>15</v>
      </c>
      <c r="N32" s="50">
        <v>0</v>
      </c>
      <c r="O32" s="15">
        <f t="shared" si="0"/>
        <v>62</v>
      </c>
      <c r="P32" s="15">
        <f t="shared" si="1"/>
        <v>77</v>
      </c>
    </row>
    <row r="33" spans="2:20" ht="23.1" customHeight="1" x14ac:dyDescent="0.25">
      <c r="B33" s="23" t="s">
        <v>60</v>
      </c>
      <c r="C33" s="50">
        <v>9</v>
      </c>
      <c r="D33" s="50">
        <v>1</v>
      </c>
      <c r="E33" s="50">
        <v>0</v>
      </c>
      <c r="F33" s="50">
        <v>22</v>
      </c>
      <c r="G33" s="50">
        <v>1</v>
      </c>
      <c r="H33" s="50">
        <v>0</v>
      </c>
      <c r="I33" s="50">
        <v>7</v>
      </c>
      <c r="J33" s="50">
        <v>4</v>
      </c>
      <c r="K33" s="50">
        <v>7</v>
      </c>
      <c r="L33" s="50">
        <v>15</v>
      </c>
      <c r="M33" s="50">
        <v>15</v>
      </c>
      <c r="N33" s="50">
        <v>0</v>
      </c>
      <c r="O33" s="15">
        <f t="shared" si="0"/>
        <v>66</v>
      </c>
      <c r="P33" s="15">
        <f t="shared" si="1"/>
        <v>81</v>
      </c>
    </row>
    <row r="34" spans="2:20" ht="23.1" customHeight="1" x14ac:dyDescent="0.25">
      <c r="B34" s="24" t="s">
        <v>61</v>
      </c>
      <c r="C34" s="50">
        <v>17</v>
      </c>
      <c r="D34" s="50">
        <v>3</v>
      </c>
      <c r="E34" s="50">
        <v>2</v>
      </c>
      <c r="F34" s="50">
        <v>34</v>
      </c>
      <c r="G34" s="50">
        <v>0</v>
      </c>
      <c r="H34" s="50">
        <v>0</v>
      </c>
      <c r="I34" s="50">
        <v>6</v>
      </c>
      <c r="J34" s="50">
        <v>10</v>
      </c>
      <c r="K34" s="50">
        <v>1</v>
      </c>
      <c r="L34" s="50">
        <v>6</v>
      </c>
      <c r="M34" s="50">
        <v>17</v>
      </c>
      <c r="N34" s="50">
        <v>0</v>
      </c>
      <c r="O34" s="15">
        <f t="shared" si="0"/>
        <v>79</v>
      </c>
      <c r="P34" s="15">
        <f t="shared" si="1"/>
        <v>96</v>
      </c>
    </row>
    <row r="35" spans="2:20" ht="23.1" customHeight="1" x14ac:dyDescent="0.25">
      <c r="B35" s="24" t="s">
        <v>62</v>
      </c>
      <c r="C35" s="50">
        <v>24</v>
      </c>
      <c r="D35" s="50">
        <v>3</v>
      </c>
      <c r="E35" s="50">
        <v>4</v>
      </c>
      <c r="F35" s="50">
        <v>26</v>
      </c>
      <c r="G35" s="50">
        <v>0</v>
      </c>
      <c r="H35" s="50">
        <v>0</v>
      </c>
      <c r="I35" s="50">
        <v>5</v>
      </c>
      <c r="J35" s="50">
        <v>7</v>
      </c>
      <c r="K35" s="50">
        <v>4</v>
      </c>
      <c r="L35" s="50">
        <v>9</v>
      </c>
      <c r="M35" s="50">
        <v>26</v>
      </c>
      <c r="N35" s="50">
        <v>0</v>
      </c>
      <c r="O35" s="15">
        <f t="shared" si="0"/>
        <v>82</v>
      </c>
      <c r="P35" s="15">
        <f t="shared" si="1"/>
        <v>108</v>
      </c>
    </row>
    <row r="36" spans="2:20" ht="23.1" customHeight="1" x14ac:dyDescent="0.25">
      <c r="B36" s="24" t="s">
        <v>63</v>
      </c>
      <c r="C36" s="50">
        <v>11</v>
      </c>
      <c r="D36" s="50">
        <v>6</v>
      </c>
      <c r="E36" s="50">
        <v>5</v>
      </c>
      <c r="F36" s="50">
        <v>21</v>
      </c>
      <c r="G36" s="50">
        <v>0</v>
      </c>
      <c r="H36" s="50">
        <v>0</v>
      </c>
      <c r="I36" s="50">
        <v>4</v>
      </c>
      <c r="J36" s="50">
        <v>5</v>
      </c>
      <c r="K36" s="50">
        <v>1</v>
      </c>
      <c r="L36" s="50">
        <v>11</v>
      </c>
      <c r="M36" s="50">
        <v>24</v>
      </c>
      <c r="N36" s="50">
        <v>0</v>
      </c>
      <c r="O36" s="15">
        <f t="shared" si="0"/>
        <v>64</v>
      </c>
      <c r="P36" s="15">
        <f t="shared" si="1"/>
        <v>88</v>
      </c>
    </row>
    <row r="37" spans="2:20" ht="23.1" customHeight="1" x14ac:dyDescent="0.25">
      <c r="B37" s="23" t="s">
        <v>64</v>
      </c>
      <c r="C37" s="50">
        <v>16</v>
      </c>
      <c r="D37" s="50">
        <v>3</v>
      </c>
      <c r="E37" s="50">
        <v>3</v>
      </c>
      <c r="F37" s="50">
        <v>24</v>
      </c>
      <c r="G37" s="50">
        <v>0</v>
      </c>
      <c r="H37" s="50">
        <v>0</v>
      </c>
      <c r="I37" s="50">
        <v>6</v>
      </c>
      <c r="J37" s="50">
        <v>2</v>
      </c>
      <c r="K37" s="50">
        <v>0</v>
      </c>
      <c r="L37" s="50">
        <v>5</v>
      </c>
      <c r="M37" s="50">
        <v>25</v>
      </c>
      <c r="N37" s="50">
        <v>0</v>
      </c>
      <c r="O37" s="15">
        <f t="shared" si="0"/>
        <v>59</v>
      </c>
      <c r="P37" s="15">
        <f t="shared" si="1"/>
        <v>84</v>
      </c>
    </row>
    <row r="38" spans="2:20" ht="23.1" customHeight="1" x14ac:dyDescent="0.25">
      <c r="B38" s="24" t="s">
        <v>65</v>
      </c>
      <c r="C38" s="50">
        <v>5</v>
      </c>
      <c r="D38" s="50">
        <v>2</v>
      </c>
      <c r="E38" s="50">
        <v>3</v>
      </c>
      <c r="F38" s="50">
        <v>25</v>
      </c>
      <c r="G38" s="50">
        <v>0</v>
      </c>
      <c r="H38" s="50">
        <v>2</v>
      </c>
      <c r="I38" s="50">
        <v>6</v>
      </c>
      <c r="J38" s="50">
        <v>4</v>
      </c>
      <c r="K38" s="50">
        <v>1</v>
      </c>
      <c r="L38" s="50">
        <v>10</v>
      </c>
      <c r="M38" s="50">
        <v>34</v>
      </c>
      <c r="N38" s="50">
        <v>0</v>
      </c>
      <c r="O38" s="15">
        <f t="shared" si="0"/>
        <v>58</v>
      </c>
      <c r="P38" s="15">
        <f t="shared" si="1"/>
        <v>92</v>
      </c>
    </row>
    <row r="39" spans="2:20" ht="23.1" customHeight="1" x14ac:dyDescent="0.25">
      <c r="B39" s="24" t="s">
        <v>66</v>
      </c>
      <c r="C39" s="50">
        <v>22</v>
      </c>
      <c r="D39" s="50">
        <v>8</v>
      </c>
      <c r="E39" s="50">
        <v>2</v>
      </c>
      <c r="F39" s="50">
        <v>31</v>
      </c>
      <c r="G39" s="50">
        <v>0</v>
      </c>
      <c r="H39" s="50">
        <v>1</v>
      </c>
      <c r="I39" s="50">
        <v>3</v>
      </c>
      <c r="J39" s="50">
        <v>5</v>
      </c>
      <c r="K39" s="50">
        <v>0</v>
      </c>
      <c r="L39" s="50">
        <v>12</v>
      </c>
      <c r="M39" s="50">
        <v>22</v>
      </c>
      <c r="N39" s="50">
        <v>0</v>
      </c>
      <c r="O39" s="15">
        <f t="shared" si="0"/>
        <v>84</v>
      </c>
      <c r="P39" s="15">
        <f t="shared" si="1"/>
        <v>106</v>
      </c>
    </row>
    <row r="40" spans="2:20" ht="23.1" customHeight="1" x14ac:dyDescent="0.25">
      <c r="B40" s="24" t="s">
        <v>67</v>
      </c>
      <c r="C40" s="50">
        <v>14</v>
      </c>
      <c r="D40" s="50">
        <v>13</v>
      </c>
      <c r="E40" s="50">
        <v>5</v>
      </c>
      <c r="F40" s="50">
        <v>24</v>
      </c>
      <c r="G40" s="50">
        <v>0</v>
      </c>
      <c r="H40" s="50">
        <v>1</v>
      </c>
      <c r="I40" s="50">
        <v>7</v>
      </c>
      <c r="J40" s="50">
        <v>3</v>
      </c>
      <c r="K40" s="50">
        <v>2</v>
      </c>
      <c r="L40" s="50">
        <v>11</v>
      </c>
      <c r="M40" s="50">
        <v>14</v>
      </c>
      <c r="N40" s="50">
        <v>0</v>
      </c>
      <c r="O40" s="15">
        <f t="shared" si="0"/>
        <v>80</v>
      </c>
      <c r="P40" s="15">
        <f t="shared" si="1"/>
        <v>94</v>
      </c>
    </row>
    <row r="41" spans="2:20" ht="23.1" customHeight="1" x14ac:dyDescent="0.25">
      <c r="B41" s="23" t="s">
        <v>68</v>
      </c>
      <c r="C41" s="50">
        <v>15</v>
      </c>
      <c r="D41" s="50">
        <v>5</v>
      </c>
      <c r="E41" s="50">
        <v>5</v>
      </c>
      <c r="F41" s="50">
        <v>25</v>
      </c>
      <c r="G41" s="50">
        <v>0</v>
      </c>
      <c r="H41" s="50">
        <v>0</v>
      </c>
      <c r="I41" s="50">
        <v>9</v>
      </c>
      <c r="J41" s="50">
        <v>7</v>
      </c>
      <c r="K41" s="50">
        <v>2</v>
      </c>
      <c r="L41" s="50">
        <v>22</v>
      </c>
      <c r="M41" s="50">
        <v>23</v>
      </c>
      <c r="N41" s="50">
        <v>0</v>
      </c>
      <c r="O41" s="15">
        <f t="shared" si="0"/>
        <v>90</v>
      </c>
      <c r="P41" s="15">
        <f t="shared" si="1"/>
        <v>113</v>
      </c>
    </row>
    <row r="42" spans="2:20" ht="23.1" customHeight="1" x14ac:dyDescent="0.25">
      <c r="B42" s="24" t="s">
        <v>69</v>
      </c>
      <c r="C42" s="50">
        <v>22</v>
      </c>
      <c r="D42" s="50">
        <v>8</v>
      </c>
      <c r="E42" s="50">
        <v>6</v>
      </c>
      <c r="F42" s="50">
        <v>29</v>
      </c>
      <c r="G42" s="50">
        <v>2</v>
      </c>
      <c r="H42" s="50">
        <v>0</v>
      </c>
      <c r="I42" s="50">
        <v>5</v>
      </c>
      <c r="J42" s="50">
        <v>12</v>
      </c>
      <c r="K42" s="50">
        <v>0</v>
      </c>
      <c r="L42" s="50">
        <v>15</v>
      </c>
      <c r="M42" s="50">
        <v>19</v>
      </c>
      <c r="N42" s="50">
        <v>0</v>
      </c>
      <c r="O42" s="15">
        <f t="shared" si="0"/>
        <v>99</v>
      </c>
      <c r="P42" s="15">
        <f t="shared" si="1"/>
        <v>118</v>
      </c>
    </row>
    <row r="43" spans="2:20" ht="23.1" customHeight="1" x14ac:dyDescent="0.25">
      <c r="B43" s="23" t="s">
        <v>70</v>
      </c>
      <c r="C43" s="50">
        <v>17</v>
      </c>
      <c r="D43" s="50">
        <v>10</v>
      </c>
      <c r="E43" s="50">
        <v>6</v>
      </c>
      <c r="F43" s="50">
        <v>20</v>
      </c>
      <c r="G43" s="50">
        <v>3</v>
      </c>
      <c r="H43" s="50">
        <v>1</v>
      </c>
      <c r="I43" s="50">
        <v>4</v>
      </c>
      <c r="J43" s="50">
        <v>3</v>
      </c>
      <c r="K43" s="50">
        <v>1</v>
      </c>
      <c r="L43" s="50">
        <v>8</v>
      </c>
      <c r="M43" s="50">
        <v>16</v>
      </c>
      <c r="N43" s="50">
        <v>0</v>
      </c>
      <c r="O43" s="15">
        <f t="shared" si="0"/>
        <v>73</v>
      </c>
      <c r="P43" s="15">
        <f t="shared" si="1"/>
        <v>89</v>
      </c>
    </row>
    <row r="44" spans="2:20" ht="23.1" customHeight="1" x14ac:dyDescent="0.25">
      <c r="B44" s="25" t="s">
        <v>71</v>
      </c>
      <c r="C44" s="50">
        <v>12</v>
      </c>
      <c r="D44" s="50">
        <v>1</v>
      </c>
      <c r="E44" s="50">
        <v>1</v>
      </c>
      <c r="F44" s="50">
        <v>30</v>
      </c>
      <c r="G44" s="50">
        <v>0</v>
      </c>
      <c r="H44" s="50">
        <v>1</v>
      </c>
      <c r="I44" s="50">
        <v>6</v>
      </c>
      <c r="J44" s="50">
        <v>5</v>
      </c>
      <c r="K44" s="50">
        <v>0</v>
      </c>
      <c r="L44" s="50">
        <v>7</v>
      </c>
      <c r="M44" s="50">
        <v>19</v>
      </c>
      <c r="N44" s="50">
        <v>0</v>
      </c>
      <c r="O44" s="15">
        <f t="shared" si="0"/>
        <v>63</v>
      </c>
      <c r="P44" s="15">
        <f t="shared" si="1"/>
        <v>82</v>
      </c>
    </row>
    <row r="45" spans="2:20" ht="23.1" customHeight="1" x14ac:dyDescent="0.25">
      <c r="B45" s="23" t="s">
        <v>72</v>
      </c>
      <c r="C45" s="50">
        <v>19</v>
      </c>
      <c r="D45" s="50">
        <v>3</v>
      </c>
      <c r="E45" s="50">
        <v>4</v>
      </c>
      <c r="F45" s="50">
        <v>28</v>
      </c>
      <c r="G45" s="50">
        <v>2</v>
      </c>
      <c r="H45" s="50">
        <v>0</v>
      </c>
      <c r="I45" s="50">
        <v>4</v>
      </c>
      <c r="J45" s="50">
        <v>12</v>
      </c>
      <c r="K45" s="50">
        <v>1</v>
      </c>
      <c r="L45" s="50">
        <v>0</v>
      </c>
      <c r="M45" s="50">
        <v>17</v>
      </c>
      <c r="N45" s="50">
        <v>29</v>
      </c>
      <c r="O45" s="15">
        <f t="shared" si="0"/>
        <v>102</v>
      </c>
      <c r="P45" s="15">
        <f t="shared" si="1"/>
        <v>119</v>
      </c>
    </row>
    <row r="46" spans="2:20" ht="23.1" customHeight="1" x14ac:dyDescent="0.25">
      <c r="B46" s="24" t="s">
        <v>73</v>
      </c>
      <c r="C46" s="50">
        <v>21</v>
      </c>
      <c r="D46" s="50">
        <v>3</v>
      </c>
      <c r="E46" s="50">
        <v>0</v>
      </c>
      <c r="F46" s="50">
        <v>31</v>
      </c>
      <c r="G46" s="50">
        <v>1</v>
      </c>
      <c r="H46" s="50">
        <v>1</v>
      </c>
      <c r="I46" s="50">
        <v>6</v>
      </c>
      <c r="J46" s="50">
        <v>9</v>
      </c>
      <c r="K46" s="50">
        <v>1</v>
      </c>
      <c r="L46" s="50">
        <v>8</v>
      </c>
      <c r="M46" s="50">
        <v>28</v>
      </c>
      <c r="N46" s="50">
        <v>0</v>
      </c>
      <c r="O46" s="15">
        <f t="shared" si="0"/>
        <v>81</v>
      </c>
      <c r="P46" s="15">
        <f t="shared" si="1"/>
        <v>109</v>
      </c>
      <c r="R46" s="8"/>
      <c r="T46"/>
    </row>
    <row r="47" spans="2:20" ht="23.1" customHeight="1" x14ac:dyDescent="0.25">
      <c r="B47" s="24" t="s">
        <v>74</v>
      </c>
      <c r="C47" s="50">
        <v>15</v>
      </c>
      <c r="D47" s="50">
        <v>4</v>
      </c>
      <c r="E47" s="50">
        <v>3</v>
      </c>
      <c r="F47" s="50">
        <v>25</v>
      </c>
      <c r="G47" s="50">
        <v>0</v>
      </c>
      <c r="H47" s="50">
        <v>0</v>
      </c>
      <c r="I47" s="50">
        <v>4</v>
      </c>
      <c r="J47" s="50">
        <v>5</v>
      </c>
      <c r="K47" s="50">
        <v>1</v>
      </c>
      <c r="L47" s="50">
        <v>17</v>
      </c>
      <c r="M47" s="50">
        <v>25</v>
      </c>
      <c r="N47" s="50">
        <v>0</v>
      </c>
      <c r="O47" s="15">
        <f t="shared" si="0"/>
        <v>74</v>
      </c>
      <c r="P47" s="15">
        <f t="shared" si="1"/>
        <v>99</v>
      </c>
      <c r="R47" s="8"/>
      <c r="T47"/>
    </row>
    <row r="48" spans="2:20" ht="23.1" customHeight="1" x14ac:dyDescent="0.25">
      <c r="B48" s="24" t="s">
        <v>75</v>
      </c>
      <c r="C48" s="50">
        <v>14</v>
      </c>
      <c r="D48" s="50">
        <v>3</v>
      </c>
      <c r="E48" s="50">
        <v>6</v>
      </c>
      <c r="F48" s="50">
        <v>20</v>
      </c>
      <c r="G48" s="50">
        <v>0</v>
      </c>
      <c r="H48" s="50">
        <v>0</v>
      </c>
      <c r="I48" s="50">
        <v>6</v>
      </c>
      <c r="J48" s="50">
        <v>5</v>
      </c>
      <c r="K48" s="50">
        <v>2</v>
      </c>
      <c r="L48" s="50">
        <v>13</v>
      </c>
      <c r="M48" s="50">
        <v>21</v>
      </c>
      <c r="N48" s="50">
        <v>0</v>
      </c>
      <c r="O48" s="15">
        <f t="shared" si="0"/>
        <v>69</v>
      </c>
      <c r="P48" s="15">
        <f t="shared" si="1"/>
        <v>90</v>
      </c>
      <c r="R48" s="8"/>
      <c r="T48"/>
    </row>
    <row r="49" spans="2:20" ht="23.1" customHeight="1" x14ac:dyDescent="0.25">
      <c r="B49" s="23" t="s">
        <v>76</v>
      </c>
      <c r="C49" s="50">
        <v>13</v>
      </c>
      <c r="D49" s="50">
        <v>2</v>
      </c>
      <c r="E49" s="50">
        <v>5</v>
      </c>
      <c r="F49" s="50">
        <v>25</v>
      </c>
      <c r="G49" s="50">
        <v>1</v>
      </c>
      <c r="H49" s="50">
        <v>1</v>
      </c>
      <c r="I49" s="50">
        <v>4</v>
      </c>
      <c r="J49" s="50">
        <v>5</v>
      </c>
      <c r="K49" s="50">
        <v>1</v>
      </c>
      <c r="L49" s="50">
        <v>20</v>
      </c>
      <c r="M49" s="50">
        <v>28</v>
      </c>
      <c r="N49" s="50">
        <v>0</v>
      </c>
      <c r="O49" s="15">
        <f t="shared" si="0"/>
        <v>77</v>
      </c>
      <c r="P49" s="15">
        <f t="shared" si="1"/>
        <v>105</v>
      </c>
      <c r="R49" s="8"/>
      <c r="T49"/>
    </row>
    <row r="50" spans="2:20" ht="23.1" customHeight="1" x14ac:dyDescent="0.25">
      <c r="B50" s="24" t="s">
        <v>77</v>
      </c>
      <c r="C50" s="50">
        <v>17</v>
      </c>
      <c r="D50" s="50">
        <v>2</v>
      </c>
      <c r="E50" s="50">
        <v>6</v>
      </c>
      <c r="F50" s="50">
        <v>25</v>
      </c>
      <c r="G50" s="50">
        <v>2</v>
      </c>
      <c r="H50" s="50">
        <v>0</v>
      </c>
      <c r="I50" s="50">
        <v>2</v>
      </c>
      <c r="J50" s="50">
        <v>6</v>
      </c>
      <c r="K50" s="50">
        <v>2</v>
      </c>
      <c r="L50" s="50">
        <v>20</v>
      </c>
      <c r="M50" s="50">
        <v>33</v>
      </c>
      <c r="N50" s="50">
        <v>0</v>
      </c>
      <c r="O50" s="15">
        <f t="shared" si="0"/>
        <v>82</v>
      </c>
      <c r="P50" s="15">
        <f t="shared" si="1"/>
        <v>115</v>
      </c>
      <c r="R50" s="8"/>
      <c r="T50"/>
    </row>
    <row r="51" spans="2:20" ht="23.1" customHeight="1" x14ac:dyDescent="0.25">
      <c r="B51" s="24" t="s">
        <v>78</v>
      </c>
      <c r="C51" s="50">
        <v>18</v>
      </c>
      <c r="D51" s="50">
        <v>5</v>
      </c>
      <c r="E51" s="50">
        <v>5</v>
      </c>
      <c r="F51" s="50">
        <v>28</v>
      </c>
      <c r="G51" s="50">
        <v>1</v>
      </c>
      <c r="H51" s="50">
        <v>1</v>
      </c>
      <c r="I51" s="50">
        <v>10</v>
      </c>
      <c r="J51" s="50">
        <v>6</v>
      </c>
      <c r="K51" s="50">
        <v>1</v>
      </c>
      <c r="L51" s="50">
        <v>13</v>
      </c>
      <c r="M51" s="50">
        <v>27</v>
      </c>
      <c r="N51" s="50">
        <v>0</v>
      </c>
      <c r="O51" s="15">
        <f t="shared" si="0"/>
        <v>88</v>
      </c>
      <c r="P51" s="15">
        <f t="shared" si="1"/>
        <v>115</v>
      </c>
      <c r="R51" s="8"/>
      <c r="T51"/>
    </row>
    <row r="52" spans="2:20" ht="23.1" customHeight="1" x14ac:dyDescent="0.25">
      <c r="B52" s="24" t="s">
        <v>79</v>
      </c>
      <c r="C52" s="50">
        <v>23</v>
      </c>
      <c r="D52" s="50">
        <v>5</v>
      </c>
      <c r="E52" s="50">
        <v>2</v>
      </c>
      <c r="F52" s="50">
        <v>32</v>
      </c>
      <c r="G52" s="50">
        <v>0</v>
      </c>
      <c r="H52" s="50">
        <v>1</v>
      </c>
      <c r="I52" s="50">
        <v>5</v>
      </c>
      <c r="J52" s="50">
        <v>5</v>
      </c>
      <c r="K52" s="50">
        <v>3</v>
      </c>
      <c r="L52" s="50">
        <v>13</v>
      </c>
      <c r="M52" s="50">
        <v>27</v>
      </c>
      <c r="N52" s="50">
        <v>0</v>
      </c>
      <c r="O52" s="15">
        <f t="shared" si="0"/>
        <v>89</v>
      </c>
      <c r="P52" s="15">
        <f t="shared" si="1"/>
        <v>116</v>
      </c>
      <c r="R52" s="8"/>
      <c r="T52"/>
    </row>
    <row r="53" spans="2:20" ht="23.1" customHeight="1" x14ac:dyDescent="0.25">
      <c r="B53" s="23" t="s">
        <v>80</v>
      </c>
      <c r="C53" s="50">
        <v>16</v>
      </c>
      <c r="D53" s="50">
        <v>6</v>
      </c>
      <c r="E53" s="50">
        <v>7</v>
      </c>
      <c r="F53" s="50">
        <v>30</v>
      </c>
      <c r="G53" s="50">
        <v>0</v>
      </c>
      <c r="H53" s="50">
        <v>1</v>
      </c>
      <c r="I53" s="50">
        <v>5</v>
      </c>
      <c r="J53" s="50">
        <v>7</v>
      </c>
      <c r="K53" s="50">
        <v>3</v>
      </c>
      <c r="L53" s="50">
        <v>6</v>
      </c>
      <c r="M53" s="50">
        <v>20</v>
      </c>
      <c r="N53" s="50">
        <v>0</v>
      </c>
      <c r="O53" s="15">
        <f t="shared" si="0"/>
        <v>81</v>
      </c>
      <c r="P53" s="15">
        <f t="shared" si="1"/>
        <v>101</v>
      </c>
      <c r="R53" s="8"/>
      <c r="T53"/>
    </row>
    <row r="54" spans="2:20" ht="23.1" customHeight="1" x14ac:dyDescent="0.25">
      <c r="B54" s="23" t="s">
        <v>81</v>
      </c>
      <c r="C54" s="50">
        <v>21</v>
      </c>
      <c r="D54" s="50">
        <v>3</v>
      </c>
      <c r="E54" s="50">
        <v>3</v>
      </c>
      <c r="F54" s="50">
        <v>41</v>
      </c>
      <c r="G54" s="50">
        <v>5</v>
      </c>
      <c r="H54" s="50">
        <v>1</v>
      </c>
      <c r="I54" s="50">
        <v>9</v>
      </c>
      <c r="J54" s="50">
        <v>11</v>
      </c>
      <c r="K54" s="50">
        <v>3</v>
      </c>
      <c r="L54" s="50">
        <v>15</v>
      </c>
      <c r="M54" s="50">
        <v>21</v>
      </c>
      <c r="N54" s="50">
        <v>0</v>
      </c>
      <c r="O54" s="15">
        <f t="shared" si="0"/>
        <v>112</v>
      </c>
      <c r="P54" s="15">
        <f t="shared" si="1"/>
        <v>133</v>
      </c>
      <c r="R54" s="8"/>
      <c r="T54"/>
    </row>
    <row r="55" spans="2:20" ht="23.1" customHeight="1" x14ac:dyDescent="0.25">
      <c r="B55" s="23" t="s">
        <v>82</v>
      </c>
      <c r="C55" s="50">
        <v>18</v>
      </c>
      <c r="D55" s="50">
        <v>1</v>
      </c>
      <c r="E55" s="50">
        <v>8</v>
      </c>
      <c r="F55" s="50">
        <v>27</v>
      </c>
      <c r="G55" s="50">
        <v>2</v>
      </c>
      <c r="H55" s="50">
        <v>0</v>
      </c>
      <c r="I55" s="50">
        <v>6</v>
      </c>
      <c r="J55" s="50">
        <v>9</v>
      </c>
      <c r="K55" s="50">
        <v>4</v>
      </c>
      <c r="L55" s="50">
        <v>10</v>
      </c>
      <c r="M55" s="50">
        <v>27</v>
      </c>
      <c r="N55" s="50">
        <v>0</v>
      </c>
      <c r="O55" s="15">
        <f t="shared" si="0"/>
        <v>85</v>
      </c>
      <c r="P55" s="15">
        <f t="shared" si="1"/>
        <v>112</v>
      </c>
      <c r="R55" s="8"/>
      <c r="T55"/>
    </row>
    <row r="56" spans="2:20" ht="23.1" customHeight="1" x14ac:dyDescent="0.25">
      <c r="B56" s="23" t="s">
        <v>83</v>
      </c>
      <c r="C56" s="50">
        <v>19</v>
      </c>
      <c r="D56" s="50">
        <v>9</v>
      </c>
      <c r="E56" s="50">
        <v>6</v>
      </c>
      <c r="F56" s="50">
        <v>25</v>
      </c>
      <c r="G56" s="50">
        <v>0</v>
      </c>
      <c r="H56" s="50">
        <v>1</v>
      </c>
      <c r="I56" s="50">
        <v>10</v>
      </c>
      <c r="J56" s="50">
        <v>7</v>
      </c>
      <c r="K56" s="50">
        <v>2</v>
      </c>
      <c r="L56" s="50">
        <v>13</v>
      </c>
      <c r="M56" s="50">
        <v>16</v>
      </c>
      <c r="N56" s="50">
        <v>0</v>
      </c>
      <c r="O56" s="15">
        <f t="shared" si="0"/>
        <v>92</v>
      </c>
      <c r="P56" s="15">
        <f t="shared" si="1"/>
        <v>108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647</v>
      </c>
      <c r="D58" s="16">
        <f t="shared" si="21"/>
        <v>160</v>
      </c>
      <c r="E58" s="16">
        <f t="shared" si="21"/>
        <v>171</v>
      </c>
      <c r="F58" s="16">
        <f t="shared" si="21"/>
        <v>1279</v>
      </c>
      <c r="G58" s="16">
        <f t="shared" si="21"/>
        <v>34</v>
      </c>
      <c r="H58" s="16">
        <f t="shared" si="21"/>
        <v>28</v>
      </c>
      <c r="I58" s="16">
        <f t="shared" si="21"/>
        <v>231</v>
      </c>
      <c r="J58" s="16">
        <f t="shared" si="21"/>
        <v>235</v>
      </c>
      <c r="K58" s="16">
        <f t="shared" si="21"/>
        <v>65</v>
      </c>
      <c r="L58" s="16">
        <f t="shared" si="21"/>
        <v>581</v>
      </c>
      <c r="M58" s="16">
        <f t="shared" si="21"/>
        <v>971</v>
      </c>
      <c r="N58" s="16">
        <f t="shared" si="21"/>
        <v>30</v>
      </c>
      <c r="O58" s="16">
        <f t="shared" si="21"/>
        <v>3461</v>
      </c>
      <c r="P58" s="16">
        <f t="shared" si="21"/>
        <v>4432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0.14598375451263537</v>
      </c>
      <c r="D59" s="43">
        <f t="shared" si="22"/>
        <v>3.6101083032490974E-2</v>
      </c>
      <c r="E59" s="43">
        <f t="shared" si="22"/>
        <v>3.8583032490974729E-2</v>
      </c>
      <c r="F59" s="43">
        <f t="shared" si="22"/>
        <v>0.28858303249097472</v>
      </c>
      <c r="G59" s="43">
        <f t="shared" si="22"/>
        <v>7.6714801444043319E-3</v>
      </c>
      <c r="H59" s="43">
        <f t="shared" si="22"/>
        <v>6.3176895306859202E-3</v>
      </c>
      <c r="I59" s="43">
        <f t="shared" si="22"/>
        <v>5.2120938628158843E-2</v>
      </c>
      <c r="J59" s="43">
        <f t="shared" si="22"/>
        <v>5.3023465703971116E-2</v>
      </c>
      <c r="K59" s="43">
        <f t="shared" si="22"/>
        <v>1.4666064981949459E-2</v>
      </c>
      <c r="L59" s="43">
        <f t="shared" si="22"/>
        <v>0.13109205776173286</v>
      </c>
      <c r="M59" s="43">
        <f t="shared" si="22"/>
        <v>0.21908844765342961</v>
      </c>
      <c r="N59" s="43">
        <f t="shared" si="22"/>
        <v>6.7689530685920577E-3</v>
      </c>
      <c r="R59" s="8"/>
      <c r="T59"/>
    </row>
    <row r="60" spans="2:20" ht="23.1" customHeight="1" x14ac:dyDescent="0.25">
      <c r="B60" s="42" t="s">
        <v>94</v>
      </c>
      <c r="C60" s="44">
        <f>C58/$O$58</f>
        <v>0.18694019069633053</v>
      </c>
      <c r="D60" s="44">
        <f t="shared" ref="D60:N60" si="23">D58/$O$58</f>
        <v>4.6229413464316672E-2</v>
      </c>
      <c r="E60" s="44">
        <f t="shared" si="23"/>
        <v>4.9407685639988444E-2</v>
      </c>
      <c r="F60" s="44">
        <f t="shared" si="23"/>
        <v>0.36954637388038142</v>
      </c>
      <c r="G60" s="44">
        <f t="shared" si="23"/>
        <v>9.8237503611672931E-3</v>
      </c>
      <c r="H60" s="44">
        <f t="shared" si="23"/>
        <v>8.0901473562554182E-3</v>
      </c>
      <c r="I60" s="44">
        <f t="shared" si="23"/>
        <v>6.6743715689107197E-2</v>
      </c>
      <c r="J60" s="44">
        <f t="shared" si="23"/>
        <v>6.789945102571511E-2</v>
      </c>
      <c r="K60" s="44">
        <f t="shared" si="23"/>
        <v>1.8780699219878648E-2</v>
      </c>
      <c r="L60" s="44">
        <f t="shared" si="23"/>
        <v>0.16787055764229991</v>
      </c>
      <c r="M60" s="44"/>
      <c r="N60" s="44">
        <f t="shared" si="23"/>
        <v>8.6680150245593765E-3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topLeftCell="A7" zoomScale="60" workbookViewId="0">
      <selection activeCell="F28" sqref="F2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jinja-kampala'!C3:G3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'17.10 jinja-kampala'!D5</f>
        <v>17.10.19</v>
      </c>
      <c r="E5" s="3"/>
      <c r="F5" s="41" t="s">
        <v>1</v>
      </c>
      <c r="G5" s="60" t="str">
        <f>'17.10 jinja-kampala'!G5:H5</f>
        <v>Nakibbizi</v>
      </c>
      <c r="H5" s="61"/>
      <c r="I5" s="14"/>
      <c r="J5" s="2" t="s">
        <v>5</v>
      </c>
      <c r="K5" s="60" t="s">
        <v>170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166</v>
      </c>
      <c r="E6" s="55"/>
      <c r="F6" s="2" t="s">
        <v>2</v>
      </c>
      <c r="G6" s="54" t="s">
        <v>165</v>
      </c>
      <c r="H6" s="55"/>
      <c r="J6" s="2" t="s">
        <v>21</v>
      </c>
      <c r="K6" s="60" t="str">
        <f>'17.10 jinja-kampala'!K6:L6</f>
        <v>Emma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64</v>
      </c>
      <c r="D10" s="50">
        <v>5</v>
      </c>
      <c r="E10" s="50">
        <v>2</v>
      </c>
      <c r="F10" s="50">
        <v>30</v>
      </c>
      <c r="G10" s="50">
        <v>1</v>
      </c>
      <c r="H10" s="50">
        <v>0</v>
      </c>
      <c r="I10" s="50">
        <v>4</v>
      </c>
      <c r="J10" s="50">
        <v>7</v>
      </c>
      <c r="K10" s="50">
        <v>4</v>
      </c>
      <c r="L10" s="50">
        <v>10</v>
      </c>
      <c r="M10" s="50">
        <v>25</v>
      </c>
      <c r="N10" s="50">
        <v>0</v>
      </c>
      <c r="O10" s="15">
        <f t="shared" ref="O10:O57" si="0">SUM(C10:L10,N10)</f>
        <v>127</v>
      </c>
      <c r="P10" s="15">
        <f t="shared" ref="P10:P57" si="1">SUM(C10:N10)</f>
        <v>152</v>
      </c>
      <c r="R10" s="1" t="s">
        <v>6</v>
      </c>
      <c r="S10" s="17">
        <f t="shared" ref="S10:AF10" si="2">SUM(C10:C13)</f>
        <v>97</v>
      </c>
      <c r="T10" s="17">
        <f t="shared" si="2"/>
        <v>26</v>
      </c>
      <c r="U10" s="17">
        <f t="shared" si="2"/>
        <v>11</v>
      </c>
      <c r="V10" s="17">
        <f t="shared" si="2"/>
        <v>107</v>
      </c>
      <c r="W10" s="17">
        <f t="shared" si="2"/>
        <v>3</v>
      </c>
      <c r="X10" s="17">
        <f t="shared" si="2"/>
        <v>0</v>
      </c>
      <c r="Y10" s="17">
        <f t="shared" si="2"/>
        <v>17</v>
      </c>
      <c r="Z10" s="17">
        <f t="shared" si="2"/>
        <v>28</v>
      </c>
      <c r="AA10" s="17">
        <f t="shared" si="2"/>
        <v>10</v>
      </c>
      <c r="AB10" s="17">
        <f t="shared" si="2"/>
        <v>28</v>
      </c>
      <c r="AC10" s="17">
        <f t="shared" si="2"/>
        <v>91</v>
      </c>
      <c r="AD10" s="17">
        <f t="shared" si="2"/>
        <v>0</v>
      </c>
      <c r="AE10" s="31">
        <f t="shared" si="2"/>
        <v>327</v>
      </c>
      <c r="AF10" s="31">
        <f t="shared" si="2"/>
        <v>418</v>
      </c>
    </row>
    <row r="11" spans="2:32" s="6" customFormat="1" ht="23.1" customHeight="1" x14ac:dyDescent="0.25">
      <c r="B11" s="23" t="s">
        <v>38</v>
      </c>
      <c r="C11" s="50">
        <v>8</v>
      </c>
      <c r="D11" s="50">
        <v>6</v>
      </c>
      <c r="E11" s="50">
        <v>3</v>
      </c>
      <c r="F11" s="50">
        <v>23</v>
      </c>
      <c r="G11" s="50">
        <v>2</v>
      </c>
      <c r="H11" s="50">
        <v>0</v>
      </c>
      <c r="I11" s="50">
        <v>4</v>
      </c>
      <c r="J11" s="50">
        <v>6</v>
      </c>
      <c r="K11" s="50">
        <v>3</v>
      </c>
      <c r="L11" s="50">
        <v>6</v>
      </c>
      <c r="M11" s="50">
        <v>25</v>
      </c>
      <c r="N11" s="50">
        <v>0</v>
      </c>
      <c r="O11" s="15">
        <f t="shared" si="0"/>
        <v>61</v>
      </c>
      <c r="P11" s="15">
        <f t="shared" si="1"/>
        <v>86</v>
      </c>
      <c r="R11" s="1" t="s">
        <v>7</v>
      </c>
      <c r="S11" s="17">
        <f t="shared" ref="S11:AF11" si="3">SUM(C14:C17)</f>
        <v>32</v>
      </c>
      <c r="T11" s="17">
        <f t="shared" si="3"/>
        <v>15</v>
      </c>
      <c r="U11" s="17">
        <f t="shared" si="3"/>
        <v>13</v>
      </c>
      <c r="V11" s="17">
        <f t="shared" si="3"/>
        <v>101</v>
      </c>
      <c r="W11" s="17">
        <f t="shared" si="3"/>
        <v>1</v>
      </c>
      <c r="X11" s="17">
        <f t="shared" si="3"/>
        <v>2</v>
      </c>
      <c r="Y11" s="17">
        <f t="shared" si="3"/>
        <v>8</v>
      </c>
      <c r="Z11" s="17">
        <f t="shared" si="3"/>
        <v>10</v>
      </c>
      <c r="AA11" s="17">
        <f t="shared" si="3"/>
        <v>8</v>
      </c>
      <c r="AB11" s="17">
        <f t="shared" si="3"/>
        <v>16</v>
      </c>
      <c r="AC11" s="17">
        <f t="shared" si="3"/>
        <v>59</v>
      </c>
      <c r="AD11" s="17">
        <f t="shared" si="3"/>
        <v>0</v>
      </c>
      <c r="AE11" s="31">
        <f t="shared" si="3"/>
        <v>206</v>
      </c>
      <c r="AF11" s="31">
        <f t="shared" si="3"/>
        <v>265</v>
      </c>
    </row>
    <row r="12" spans="2:32" ht="23.1" customHeight="1" x14ac:dyDescent="0.25">
      <c r="B12" s="23" t="s">
        <v>39</v>
      </c>
      <c r="C12" s="50">
        <v>11</v>
      </c>
      <c r="D12" s="50">
        <v>8</v>
      </c>
      <c r="E12" s="50">
        <v>3</v>
      </c>
      <c r="F12" s="50">
        <v>30</v>
      </c>
      <c r="G12" s="50">
        <v>0</v>
      </c>
      <c r="H12" s="50">
        <v>0</v>
      </c>
      <c r="I12" s="50">
        <v>7</v>
      </c>
      <c r="J12" s="50">
        <v>5</v>
      </c>
      <c r="K12" s="50">
        <v>2</v>
      </c>
      <c r="L12" s="50">
        <v>6</v>
      </c>
      <c r="M12" s="50">
        <v>20</v>
      </c>
      <c r="N12" s="50">
        <v>0</v>
      </c>
      <c r="O12" s="15">
        <f t="shared" si="0"/>
        <v>72</v>
      </c>
      <c r="P12" s="15">
        <f t="shared" si="1"/>
        <v>92</v>
      </c>
      <c r="R12" s="1" t="s">
        <v>8</v>
      </c>
      <c r="S12" s="17">
        <f t="shared" ref="S12:AF12" si="4">SUM(C18:C21)</f>
        <v>35</v>
      </c>
      <c r="T12" s="17">
        <f t="shared" si="4"/>
        <v>18</v>
      </c>
      <c r="U12" s="17">
        <f t="shared" si="4"/>
        <v>11</v>
      </c>
      <c r="V12" s="17">
        <f t="shared" si="4"/>
        <v>121</v>
      </c>
      <c r="W12" s="17">
        <f t="shared" si="4"/>
        <v>2</v>
      </c>
      <c r="X12" s="17">
        <f t="shared" si="4"/>
        <v>2</v>
      </c>
      <c r="Y12" s="17">
        <f t="shared" si="4"/>
        <v>14</v>
      </c>
      <c r="Z12" s="17">
        <f t="shared" si="4"/>
        <v>14</v>
      </c>
      <c r="AA12" s="17">
        <f t="shared" si="4"/>
        <v>6</v>
      </c>
      <c r="AB12" s="17">
        <f t="shared" si="4"/>
        <v>10</v>
      </c>
      <c r="AC12" s="17">
        <f t="shared" si="4"/>
        <v>57</v>
      </c>
      <c r="AD12" s="17">
        <f t="shared" si="4"/>
        <v>1</v>
      </c>
      <c r="AE12" s="31">
        <f t="shared" si="4"/>
        <v>234</v>
      </c>
      <c r="AF12" s="31">
        <f t="shared" si="4"/>
        <v>291</v>
      </c>
    </row>
    <row r="13" spans="2:32" ht="23.1" customHeight="1" x14ac:dyDescent="0.25">
      <c r="B13" s="23" t="s">
        <v>40</v>
      </c>
      <c r="C13" s="50">
        <v>14</v>
      </c>
      <c r="D13" s="50">
        <v>7</v>
      </c>
      <c r="E13" s="50">
        <v>3</v>
      </c>
      <c r="F13" s="50">
        <v>24</v>
      </c>
      <c r="G13" s="50">
        <v>0</v>
      </c>
      <c r="H13" s="50">
        <v>0</v>
      </c>
      <c r="I13" s="50">
        <v>2</v>
      </c>
      <c r="J13" s="50">
        <v>10</v>
      </c>
      <c r="K13" s="50">
        <v>1</v>
      </c>
      <c r="L13" s="50">
        <v>6</v>
      </c>
      <c r="M13" s="50">
        <v>21</v>
      </c>
      <c r="N13" s="50">
        <v>0</v>
      </c>
      <c r="O13" s="15">
        <f t="shared" si="0"/>
        <v>67</v>
      </c>
      <c r="P13" s="15">
        <f t="shared" si="1"/>
        <v>88</v>
      </c>
      <c r="R13" s="1" t="s">
        <v>9</v>
      </c>
      <c r="S13" s="17">
        <f t="shared" ref="S13:AF13" si="5">SUM(C22:C25)</f>
        <v>28</v>
      </c>
      <c r="T13" s="17">
        <f t="shared" si="5"/>
        <v>12</v>
      </c>
      <c r="U13" s="17">
        <f t="shared" si="5"/>
        <v>8</v>
      </c>
      <c r="V13" s="17">
        <f t="shared" si="5"/>
        <v>93</v>
      </c>
      <c r="W13" s="17">
        <f t="shared" si="5"/>
        <v>4</v>
      </c>
      <c r="X13" s="17">
        <f t="shared" si="5"/>
        <v>1</v>
      </c>
      <c r="Y13" s="17">
        <f t="shared" si="5"/>
        <v>13</v>
      </c>
      <c r="Z13" s="17">
        <f t="shared" si="5"/>
        <v>13</v>
      </c>
      <c r="AA13" s="17">
        <f t="shared" si="5"/>
        <v>6</v>
      </c>
      <c r="AB13" s="17">
        <f t="shared" si="5"/>
        <v>10</v>
      </c>
      <c r="AC13" s="17">
        <f t="shared" si="5"/>
        <v>79</v>
      </c>
      <c r="AD13" s="17">
        <f t="shared" si="5"/>
        <v>0</v>
      </c>
      <c r="AE13" s="31">
        <f t="shared" si="5"/>
        <v>188</v>
      </c>
      <c r="AF13" s="31">
        <f t="shared" si="5"/>
        <v>267</v>
      </c>
    </row>
    <row r="14" spans="2:32" ht="23.1" customHeight="1" x14ac:dyDescent="0.25">
      <c r="B14" s="23" t="s">
        <v>41</v>
      </c>
      <c r="C14" s="50">
        <v>7</v>
      </c>
      <c r="D14" s="50">
        <v>4</v>
      </c>
      <c r="E14" s="50">
        <v>3</v>
      </c>
      <c r="F14" s="50">
        <v>28</v>
      </c>
      <c r="G14" s="50">
        <v>0</v>
      </c>
      <c r="H14" s="50">
        <v>1</v>
      </c>
      <c r="I14" s="50">
        <v>4</v>
      </c>
      <c r="J14" s="50">
        <v>4</v>
      </c>
      <c r="K14" s="50">
        <v>0</v>
      </c>
      <c r="L14" s="50">
        <v>4</v>
      </c>
      <c r="M14" s="50">
        <v>14</v>
      </c>
      <c r="N14" s="50">
        <v>0</v>
      </c>
      <c r="O14" s="15">
        <f t="shared" si="0"/>
        <v>55</v>
      </c>
      <c r="P14" s="15">
        <f t="shared" si="1"/>
        <v>69</v>
      </c>
      <c r="R14" s="1" t="s">
        <v>10</v>
      </c>
      <c r="S14" s="17">
        <f t="shared" ref="S14:AF14" si="6">SUM(C26:C29)</f>
        <v>52</v>
      </c>
      <c r="T14" s="17">
        <f t="shared" si="6"/>
        <v>22</v>
      </c>
      <c r="U14" s="17">
        <f t="shared" si="6"/>
        <v>12</v>
      </c>
      <c r="V14" s="17">
        <f t="shared" si="6"/>
        <v>97</v>
      </c>
      <c r="W14" s="17">
        <f t="shared" si="6"/>
        <v>3</v>
      </c>
      <c r="X14" s="17">
        <f t="shared" si="6"/>
        <v>0</v>
      </c>
      <c r="Y14" s="17">
        <f t="shared" si="6"/>
        <v>26</v>
      </c>
      <c r="Z14" s="17">
        <f t="shared" si="6"/>
        <v>25</v>
      </c>
      <c r="AA14" s="17">
        <f t="shared" si="6"/>
        <v>5</v>
      </c>
      <c r="AB14" s="17">
        <f t="shared" si="6"/>
        <v>30</v>
      </c>
      <c r="AC14" s="17">
        <f t="shared" si="6"/>
        <v>70</v>
      </c>
      <c r="AD14" s="17">
        <f t="shared" si="6"/>
        <v>0</v>
      </c>
      <c r="AE14" s="31">
        <f t="shared" si="6"/>
        <v>272</v>
      </c>
      <c r="AF14" s="31">
        <f t="shared" si="6"/>
        <v>342</v>
      </c>
    </row>
    <row r="15" spans="2:32" ht="23.1" customHeight="1" x14ac:dyDescent="0.25">
      <c r="B15" s="23" t="s">
        <v>42</v>
      </c>
      <c r="C15" s="50">
        <v>12</v>
      </c>
      <c r="D15" s="50">
        <v>4</v>
      </c>
      <c r="E15" s="50">
        <v>5</v>
      </c>
      <c r="F15" s="50">
        <v>29</v>
      </c>
      <c r="G15" s="50">
        <v>1</v>
      </c>
      <c r="H15" s="50">
        <v>0</v>
      </c>
      <c r="I15" s="50">
        <v>3</v>
      </c>
      <c r="J15" s="50">
        <v>1</v>
      </c>
      <c r="K15" s="50">
        <v>3</v>
      </c>
      <c r="L15" s="50">
        <v>4</v>
      </c>
      <c r="M15" s="50">
        <v>13</v>
      </c>
      <c r="N15" s="50">
        <v>0</v>
      </c>
      <c r="O15" s="15">
        <f t="shared" si="0"/>
        <v>62</v>
      </c>
      <c r="P15" s="15">
        <f t="shared" si="1"/>
        <v>75</v>
      </c>
      <c r="R15" s="1" t="s">
        <v>11</v>
      </c>
      <c r="S15" s="17">
        <f t="shared" ref="S15:AF15" si="7">SUM(C30:C33)</f>
        <v>43</v>
      </c>
      <c r="T15" s="17">
        <f t="shared" si="7"/>
        <v>29</v>
      </c>
      <c r="U15" s="17">
        <f t="shared" si="7"/>
        <v>21</v>
      </c>
      <c r="V15" s="17">
        <f t="shared" si="7"/>
        <v>127</v>
      </c>
      <c r="W15" s="17">
        <f t="shared" si="7"/>
        <v>6</v>
      </c>
      <c r="X15" s="17">
        <f t="shared" si="7"/>
        <v>2</v>
      </c>
      <c r="Y15" s="17">
        <f t="shared" si="7"/>
        <v>11</v>
      </c>
      <c r="Z15" s="17">
        <f t="shared" si="7"/>
        <v>18</v>
      </c>
      <c r="AA15" s="17">
        <f t="shared" si="7"/>
        <v>4</v>
      </c>
      <c r="AB15" s="17">
        <f t="shared" si="7"/>
        <v>30</v>
      </c>
      <c r="AC15" s="17">
        <f t="shared" si="7"/>
        <v>62</v>
      </c>
      <c r="AD15" s="17">
        <f t="shared" si="7"/>
        <v>0</v>
      </c>
      <c r="AE15" s="31">
        <f t="shared" si="7"/>
        <v>291</v>
      </c>
      <c r="AF15" s="31">
        <f t="shared" si="7"/>
        <v>353</v>
      </c>
    </row>
    <row r="16" spans="2:32" ht="23.1" customHeight="1" x14ac:dyDescent="0.25">
      <c r="B16" s="23" t="s">
        <v>43</v>
      </c>
      <c r="C16" s="50">
        <v>7</v>
      </c>
      <c r="D16" s="50">
        <v>1</v>
      </c>
      <c r="E16" s="50">
        <v>3</v>
      </c>
      <c r="F16" s="50">
        <v>18</v>
      </c>
      <c r="G16" s="50">
        <v>0</v>
      </c>
      <c r="H16" s="50">
        <v>1</v>
      </c>
      <c r="I16" s="50">
        <v>1</v>
      </c>
      <c r="J16" s="50">
        <v>4</v>
      </c>
      <c r="K16" s="50">
        <v>4</v>
      </c>
      <c r="L16" s="50">
        <v>3</v>
      </c>
      <c r="M16" s="50">
        <v>18</v>
      </c>
      <c r="N16" s="50">
        <v>0</v>
      </c>
      <c r="O16" s="15">
        <f t="shared" si="0"/>
        <v>42</v>
      </c>
      <c r="P16" s="15">
        <f t="shared" si="1"/>
        <v>60</v>
      </c>
      <c r="R16" s="1" t="s">
        <v>12</v>
      </c>
      <c r="S16" s="17">
        <f t="shared" ref="S16:AF16" si="8">SUM(C34:C37)</f>
        <v>51</v>
      </c>
      <c r="T16" s="17">
        <f t="shared" si="8"/>
        <v>19</v>
      </c>
      <c r="U16" s="17">
        <f t="shared" si="8"/>
        <v>10</v>
      </c>
      <c r="V16" s="17">
        <f t="shared" si="8"/>
        <v>125</v>
      </c>
      <c r="W16" s="17">
        <f t="shared" si="8"/>
        <v>3</v>
      </c>
      <c r="X16" s="17">
        <f t="shared" si="8"/>
        <v>3</v>
      </c>
      <c r="Y16" s="17">
        <f t="shared" si="8"/>
        <v>16</v>
      </c>
      <c r="Z16" s="17">
        <f t="shared" si="8"/>
        <v>17</v>
      </c>
      <c r="AA16" s="17">
        <f t="shared" si="8"/>
        <v>6</v>
      </c>
      <c r="AB16" s="17">
        <f t="shared" si="8"/>
        <v>46</v>
      </c>
      <c r="AC16" s="17">
        <f t="shared" si="8"/>
        <v>71</v>
      </c>
      <c r="AD16" s="17">
        <f t="shared" si="8"/>
        <v>0</v>
      </c>
      <c r="AE16" s="31">
        <f t="shared" si="8"/>
        <v>296</v>
      </c>
      <c r="AF16" s="31">
        <f t="shared" si="8"/>
        <v>367</v>
      </c>
    </row>
    <row r="17" spans="2:32" ht="23.1" customHeight="1" x14ac:dyDescent="0.25">
      <c r="B17" s="23" t="s">
        <v>44</v>
      </c>
      <c r="C17" s="50">
        <v>6</v>
      </c>
      <c r="D17" s="50">
        <v>6</v>
      </c>
      <c r="E17" s="50">
        <v>2</v>
      </c>
      <c r="F17" s="50">
        <v>26</v>
      </c>
      <c r="G17" s="50">
        <v>0</v>
      </c>
      <c r="H17" s="50">
        <v>0</v>
      </c>
      <c r="I17" s="50">
        <v>0</v>
      </c>
      <c r="J17" s="50">
        <v>1</v>
      </c>
      <c r="K17" s="50">
        <v>1</v>
      </c>
      <c r="L17" s="50">
        <v>5</v>
      </c>
      <c r="M17" s="50">
        <v>14</v>
      </c>
      <c r="N17" s="50">
        <v>0</v>
      </c>
      <c r="O17" s="15">
        <f t="shared" si="0"/>
        <v>47</v>
      </c>
      <c r="P17" s="15">
        <f t="shared" si="1"/>
        <v>61</v>
      </c>
      <c r="R17" s="1" t="s">
        <v>13</v>
      </c>
      <c r="S17" s="17">
        <f t="shared" ref="S17:AF17" si="9">SUM(C38:C41)</f>
        <v>31</v>
      </c>
      <c r="T17" s="17">
        <f t="shared" si="9"/>
        <v>14</v>
      </c>
      <c r="U17" s="17">
        <f t="shared" si="9"/>
        <v>14</v>
      </c>
      <c r="V17" s="17">
        <f t="shared" si="9"/>
        <v>115</v>
      </c>
      <c r="W17" s="17">
        <f t="shared" si="9"/>
        <v>6</v>
      </c>
      <c r="X17" s="17">
        <f t="shared" si="9"/>
        <v>1</v>
      </c>
      <c r="Y17" s="17">
        <f t="shared" si="9"/>
        <v>19</v>
      </c>
      <c r="Z17" s="17">
        <f t="shared" si="9"/>
        <v>16</v>
      </c>
      <c r="AA17" s="17">
        <f t="shared" si="9"/>
        <v>12</v>
      </c>
      <c r="AB17" s="17">
        <f t="shared" si="9"/>
        <v>47</v>
      </c>
      <c r="AC17" s="17">
        <f t="shared" si="9"/>
        <v>64</v>
      </c>
      <c r="AD17" s="17">
        <f t="shared" si="9"/>
        <v>0</v>
      </c>
      <c r="AE17" s="31">
        <f t="shared" si="9"/>
        <v>275</v>
      </c>
      <c r="AF17" s="31">
        <f t="shared" si="9"/>
        <v>339</v>
      </c>
    </row>
    <row r="18" spans="2:32" ht="23.1" customHeight="1" x14ac:dyDescent="0.25">
      <c r="B18" s="23" t="s">
        <v>45</v>
      </c>
      <c r="C18" s="50">
        <v>7</v>
      </c>
      <c r="D18" s="50">
        <v>5</v>
      </c>
      <c r="E18" s="50">
        <v>5</v>
      </c>
      <c r="F18" s="50">
        <v>36</v>
      </c>
      <c r="G18" s="50">
        <v>1</v>
      </c>
      <c r="H18" s="50">
        <v>1</v>
      </c>
      <c r="I18" s="50">
        <v>5</v>
      </c>
      <c r="J18" s="50">
        <v>5</v>
      </c>
      <c r="K18" s="50">
        <v>2</v>
      </c>
      <c r="L18" s="50">
        <v>5</v>
      </c>
      <c r="M18" s="50">
        <v>17</v>
      </c>
      <c r="N18" s="50">
        <v>0</v>
      </c>
      <c r="O18" s="15">
        <f t="shared" si="0"/>
        <v>72</v>
      </c>
      <c r="P18" s="15">
        <f t="shared" si="1"/>
        <v>89</v>
      </c>
      <c r="R18" s="1" t="s">
        <v>14</v>
      </c>
      <c r="S18" s="17">
        <f t="shared" ref="S18:AF18" si="10">SUM(C42:C45)</f>
        <v>39</v>
      </c>
      <c r="T18" s="17">
        <f t="shared" si="10"/>
        <v>23</v>
      </c>
      <c r="U18" s="17">
        <f t="shared" si="10"/>
        <v>15</v>
      </c>
      <c r="V18" s="17">
        <f t="shared" si="10"/>
        <v>111</v>
      </c>
      <c r="W18" s="17">
        <f t="shared" si="10"/>
        <v>4</v>
      </c>
      <c r="X18" s="17">
        <f t="shared" si="10"/>
        <v>2</v>
      </c>
      <c r="Y18" s="17">
        <f t="shared" si="10"/>
        <v>17</v>
      </c>
      <c r="Z18" s="17">
        <f t="shared" si="10"/>
        <v>38</v>
      </c>
      <c r="AA18" s="17">
        <f t="shared" si="10"/>
        <v>6</v>
      </c>
      <c r="AB18" s="17">
        <f t="shared" si="10"/>
        <v>71</v>
      </c>
      <c r="AC18" s="17">
        <f t="shared" si="10"/>
        <v>68</v>
      </c>
      <c r="AD18" s="17">
        <f t="shared" si="10"/>
        <v>0</v>
      </c>
      <c r="AE18" s="31">
        <f t="shared" si="10"/>
        <v>326</v>
      </c>
      <c r="AF18" s="31">
        <f t="shared" si="10"/>
        <v>394</v>
      </c>
    </row>
    <row r="19" spans="2:32" ht="23.1" customHeight="1" x14ac:dyDescent="0.25">
      <c r="B19" s="23" t="s">
        <v>46</v>
      </c>
      <c r="C19" s="50">
        <v>8</v>
      </c>
      <c r="D19" s="50">
        <v>2</v>
      </c>
      <c r="E19" s="50">
        <v>2</v>
      </c>
      <c r="F19" s="50">
        <v>23</v>
      </c>
      <c r="G19" s="50">
        <v>0</v>
      </c>
      <c r="H19" s="50">
        <v>0</v>
      </c>
      <c r="I19" s="50">
        <v>2</v>
      </c>
      <c r="J19" s="50">
        <v>3</v>
      </c>
      <c r="K19" s="50">
        <v>2</v>
      </c>
      <c r="L19" s="50">
        <v>1</v>
      </c>
      <c r="M19" s="50">
        <v>12</v>
      </c>
      <c r="N19" s="50">
        <v>0</v>
      </c>
      <c r="O19" s="15">
        <f t="shared" si="0"/>
        <v>43</v>
      </c>
      <c r="P19" s="15">
        <f t="shared" si="1"/>
        <v>55</v>
      </c>
      <c r="R19" s="1" t="s">
        <v>15</v>
      </c>
      <c r="S19" s="17">
        <f t="shared" ref="S19:AF19" si="11">SUM(C46:C49)</f>
        <v>36</v>
      </c>
      <c r="T19" s="17">
        <f t="shared" si="11"/>
        <v>17</v>
      </c>
      <c r="U19" s="17">
        <f t="shared" si="11"/>
        <v>13</v>
      </c>
      <c r="V19" s="17">
        <f t="shared" si="11"/>
        <v>91</v>
      </c>
      <c r="W19" s="17">
        <f t="shared" si="11"/>
        <v>3</v>
      </c>
      <c r="X19" s="17">
        <f t="shared" si="11"/>
        <v>2</v>
      </c>
      <c r="Y19" s="17">
        <f t="shared" si="11"/>
        <v>16</v>
      </c>
      <c r="Z19" s="17">
        <f t="shared" si="11"/>
        <v>22</v>
      </c>
      <c r="AA19" s="17">
        <f t="shared" si="11"/>
        <v>10</v>
      </c>
      <c r="AB19" s="17">
        <f t="shared" si="11"/>
        <v>76</v>
      </c>
      <c r="AC19" s="17">
        <f t="shared" si="11"/>
        <v>86</v>
      </c>
      <c r="AD19" s="17">
        <f t="shared" si="11"/>
        <v>0</v>
      </c>
      <c r="AE19" s="31">
        <f t="shared" si="11"/>
        <v>286</v>
      </c>
      <c r="AF19" s="31">
        <f t="shared" si="11"/>
        <v>372</v>
      </c>
    </row>
    <row r="20" spans="2:32" ht="23.1" customHeight="1" x14ac:dyDescent="0.25">
      <c r="B20" s="23" t="s">
        <v>47</v>
      </c>
      <c r="C20" s="50">
        <v>9</v>
      </c>
      <c r="D20" s="50">
        <v>6</v>
      </c>
      <c r="E20" s="50">
        <v>2</v>
      </c>
      <c r="F20" s="50">
        <v>26</v>
      </c>
      <c r="G20" s="50">
        <v>0</v>
      </c>
      <c r="H20" s="50">
        <v>0</v>
      </c>
      <c r="I20" s="50">
        <v>4</v>
      </c>
      <c r="J20" s="50">
        <v>1</v>
      </c>
      <c r="K20" s="50">
        <v>1</v>
      </c>
      <c r="L20" s="50">
        <v>1</v>
      </c>
      <c r="M20" s="50">
        <v>18</v>
      </c>
      <c r="N20" s="50">
        <v>0</v>
      </c>
      <c r="O20" s="15">
        <f t="shared" si="0"/>
        <v>50</v>
      </c>
      <c r="P20" s="15">
        <f t="shared" si="1"/>
        <v>68</v>
      </c>
      <c r="R20" s="1" t="s">
        <v>16</v>
      </c>
      <c r="S20" s="17">
        <f t="shared" ref="S20:AF20" si="12">SUM(C50:C53)</f>
        <v>25</v>
      </c>
      <c r="T20" s="17">
        <f t="shared" si="12"/>
        <v>18</v>
      </c>
      <c r="U20" s="17">
        <f t="shared" si="12"/>
        <v>12</v>
      </c>
      <c r="V20" s="17">
        <f t="shared" si="12"/>
        <v>128</v>
      </c>
      <c r="W20" s="17">
        <f t="shared" si="12"/>
        <v>3</v>
      </c>
      <c r="X20" s="17">
        <f t="shared" si="12"/>
        <v>1</v>
      </c>
      <c r="Y20" s="17">
        <f t="shared" si="12"/>
        <v>16</v>
      </c>
      <c r="Z20" s="17">
        <f t="shared" si="12"/>
        <v>30</v>
      </c>
      <c r="AA20" s="17">
        <f t="shared" si="12"/>
        <v>5</v>
      </c>
      <c r="AB20" s="17">
        <f t="shared" si="12"/>
        <v>62</v>
      </c>
      <c r="AC20" s="17">
        <f t="shared" si="12"/>
        <v>89</v>
      </c>
      <c r="AD20" s="17">
        <f t="shared" si="12"/>
        <v>1</v>
      </c>
      <c r="AE20" s="31">
        <f t="shared" si="12"/>
        <v>301</v>
      </c>
      <c r="AF20" s="31">
        <f t="shared" si="12"/>
        <v>390</v>
      </c>
    </row>
    <row r="21" spans="2:32" ht="23.1" customHeight="1" x14ac:dyDescent="0.25">
      <c r="B21" s="23" t="s">
        <v>48</v>
      </c>
      <c r="C21" s="50">
        <v>11</v>
      </c>
      <c r="D21" s="50">
        <v>5</v>
      </c>
      <c r="E21" s="50">
        <v>2</v>
      </c>
      <c r="F21" s="50">
        <v>36</v>
      </c>
      <c r="G21" s="50">
        <v>1</v>
      </c>
      <c r="H21" s="50">
        <v>1</v>
      </c>
      <c r="I21" s="50">
        <v>3</v>
      </c>
      <c r="J21" s="50">
        <v>5</v>
      </c>
      <c r="K21" s="50">
        <v>1</v>
      </c>
      <c r="L21" s="50">
        <v>3</v>
      </c>
      <c r="M21" s="50">
        <v>10</v>
      </c>
      <c r="N21" s="50">
        <v>1</v>
      </c>
      <c r="O21" s="15">
        <f t="shared" si="0"/>
        <v>69</v>
      </c>
      <c r="P21" s="15">
        <f t="shared" si="1"/>
        <v>79</v>
      </c>
      <c r="R21" s="36" t="s">
        <v>20</v>
      </c>
      <c r="S21" s="34">
        <f t="shared" ref="S21:AF21" si="13">SUM(C54:C57)</f>
        <v>47</v>
      </c>
      <c r="T21" s="17">
        <f t="shared" si="13"/>
        <v>22</v>
      </c>
      <c r="U21" s="17">
        <f t="shared" si="13"/>
        <v>19</v>
      </c>
      <c r="V21" s="17">
        <f t="shared" si="13"/>
        <v>105</v>
      </c>
      <c r="W21" s="17">
        <f t="shared" si="13"/>
        <v>5</v>
      </c>
      <c r="X21" s="17">
        <f t="shared" si="13"/>
        <v>5</v>
      </c>
      <c r="Y21" s="17">
        <f t="shared" si="13"/>
        <v>21</v>
      </c>
      <c r="Z21" s="17">
        <f t="shared" si="13"/>
        <v>24</v>
      </c>
      <c r="AA21" s="17">
        <f t="shared" si="13"/>
        <v>8</v>
      </c>
      <c r="AB21" s="17">
        <f t="shared" si="13"/>
        <v>76</v>
      </c>
      <c r="AC21" s="17">
        <f t="shared" si="13"/>
        <v>62</v>
      </c>
      <c r="AD21" s="17">
        <f t="shared" si="13"/>
        <v>0</v>
      </c>
      <c r="AE21" s="31">
        <f t="shared" si="13"/>
        <v>332</v>
      </c>
      <c r="AF21" s="31">
        <f t="shared" si="13"/>
        <v>394</v>
      </c>
    </row>
    <row r="22" spans="2:32" ht="23.1" customHeight="1" x14ac:dyDescent="0.25">
      <c r="B22" s="23" t="s">
        <v>49</v>
      </c>
      <c r="C22" s="50">
        <v>7</v>
      </c>
      <c r="D22" s="50">
        <v>4</v>
      </c>
      <c r="E22" s="50">
        <v>5</v>
      </c>
      <c r="F22" s="50">
        <v>25</v>
      </c>
      <c r="G22" s="50">
        <v>1</v>
      </c>
      <c r="H22" s="50">
        <v>1</v>
      </c>
      <c r="I22" s="50">
        <v>4</v>
      </c>
      <c r="J22" s="50">
        <v>4</v>
      </c>
      <c r="K22" s="50">
        <v>0</v>
      </c>
      <c r="L22" s="50">
        <v>2</v>
      </c>
      <c r="M22" s="50">
        <v>25</v>
      </c>
      <c r="N22" s="50">
        <v>0</v>
      </c>
      <c r="O22" s="15">
        <f t="shared" si="0"/>
        <v>53</v>
      </c>
      <c r="P22" s="15">
        <f t="shared" si="1"/>
        <v>78</v>
      </c>
      <c r="R22" s="38" t="s">
        <v>90</v>
      </c>
      <c r="S22" s="39">
        <f>MAX(S10:S12)</f>
        <v>97</v>
      </c>
      <c r="T22" s="39">
        <f t="shared" ref="T22:AF22" si="14">MAX(T10:T12)</f>
        <v>26</v>
      </c>
      <c r="U22" s="39">
        <f t="shared" si="14"/>
        <v>13</v>
      </c>
      <c r="V22" s="39">
        <f t="shared" si="14"/>
        <v>121</v>
      </c>
      <c r="W22" s="39">
        <f t="shared" si="14"/>
        <v>3</v>
      </c>
      <c r="X22" s="39">
        <f t="shared" si="14"/>
        <v>2</v>
      </c>
      <c r="Y22" s="39">
        <f t="shared" si="14"/>
        <v>17</v>
      </c>
      <c r="Z22" s="39">
        <f t="shared" si="14"/>
        <v>28</v>
      </c>
      <c r="AA22" s="39">
        <f t="shared" si="14"/>
        <v>10</v>
      </c>
      <c r="AB22" s="39">
        <f t="shared" si="14"/>
        <v>28</v>
      </c>
      <c r="AC22" s="39">
        <f t="shared" si="14"/>
        <v>91</v>
      </c>
      <c r="AD22" s="39">
        <f t="shared" si="14"/>
        <v>1</v>
      </c>
      <c r="AE22" s="40">
        <f t="shared" si="14"/>
        <v>327</v>
      </c>
      <c r="AF22" s="40">
        <f t="shared" si="14"/>
        <v>418</v>
      </c>
    </row>
    <row r="23" spans="2:32" ht="23.1" customHeight="1" x14ac:dyDescent="0.25">
      <c r="B23" s="23" t="s">
        <v>50</v>
      </c>
      <c r="C23" s="50">
        <v>10</v>
      </c>
      <c r="D23" s="50">
        <v>2</v>
      </c>
      <c r="E23" s="50">
        <v>0</v>
      </c>
      <c r="F23" s="50">
        <v>10</v>
      </c>
      <c r="G23" s="50">
        <v>2</v>
      </c>
      <c r="H23" s="50">
        <v>0</v>
      </c>
      <c r="I23" s="50">
        <v>1</v>
      </c>
      <c r="J23" s="50">
        <v>1</v>
      </c>
      <c r="K23" s="50">
        <v>1</v>
      </c>
      <c r="L23" s="50">
        <v>1</v>
      </c>
      <c r="M23" s="50">
        <v>17</v>
      </c>
      <c r="N23" s="50">
        <v>0</v>
      </c>
      <c r="O23" s="15">
        <f t="shared" si="0"/>
        <v>28</v>
      </c>
      <c r="P23" s="15">
        <f t="shared" si="1"/>
        <v>45</v>
      </c>
      <c r="R23" s="38" t="s">
        <v>91</v>
      </c>
      <c r="S23" s="39">
        <f>MAX(S13:S18)</f>
        <v>52</v>
      </c>
      <c r="T23" s="39">
        <f t="shared" ref="T23:AF23" si="15">MAX(T13:T18)</f>
        <v>29</v>
      </c>
      <c r="U23" s="39">
        <f t="shared" si="15"/>
        <v>21</v>
      </c>
      <c r="V23" s="39">
        <f t="shared" si="15"/>
        <v>127</v>
      </c>
      <c r="W23" s="39">
        <f t="shared" si="15"/>
        <v>6</v>
      </c>
      <c r="X23" s="39">
        <f t="shared" si="15"/>
        <v>3</v>
      </c>
      <c r="Y23" s="39">
        <f t="shared" si="15"/>
        <v>26</v>
      </c>
      <c r="Z23" s="39">
        <f t="shared" si="15"/>
        <v>38</v>
      </c>
      <c r="AA23" s="39">
        <f t="shared" si="15"/>
        <v>12</v>
      </c>
      <c r="AB23" s="39">
        <f t="shared" si="15"/>
        <v>71</v>
      </c>
      <c r="AC23" s="39">
        <f t="shared" si="15"/>
        <v>79</v>
      </c>
      <c r="AD23" s="39">
        <f t="shared" si="15"/>
        <v>0</v>
      </c>
      <c r="AE23" s="40">
        <f t="shared" si="15"/>
        <v>326</v>
      </c>
      <c r="AF23" s="40">
        <f t="shared" si="15"/>
        <v>394</v>
      </c>
    </row>
    <row r="24" spans="2:32" ht="23.1" customHeight="1" x14ac:dyDescent="0.25">
      <c r="B24" s="23" t="s">
        <v>51</v>
      </c>
      <c r="C24" s="50">
        <v>5</v>
      </c>
      <c r="D24" s="50">
        <v>1</v>
      </c>
      <c r="E24" s="50">
        <v>1</v>
      </c>
      <c r="F24" s="50">
        <v>33</v>
      </c>
      <c r="G24" s="50">
        <v>1</v>
      </c>
      <c r="H24" s="50">
        <v>0</v>
      </c>
      <c r="I24" s="50">
        <v>4</v>
      </c>
      <c r="J24" s="50">
        <v>5</v>
      </c>
      <c r="K24" s="50">
        <v>1</v>
      </c>
      <c r="L24" s="50">
        <v>4</v>
      </c>
      <c r="M24" s="50">
        <v>23</v>
      </c>
      <c r="N24" s="50">
        <v>0</v>
      </c>
      <c r="O24" s="15">
        <f t="shared" si="0"/>
        <v>55</v>
      </c>
      <c r="P24" s="15">
        <f t="shared" si="1"/>
        <v>78</v>
      </c>
      <c r="R24" s="38" t="s">
        <v>92</v>
      </c>
      <c r="S24" s="39">
        <f>MAX(S19:S21)</f>
        <v>47</v>
      </c>
      <c r="T24" s="39">
        <f t="shared" ref="T24:AF24" si="16">MAX(T19:T21)</f>
        <v>22</v>
      </c>
      <c r="U24" s="39">
        <f t="shared" si="16"/>
        <v>19</v>
      </c>
      <c r="V24" s="39">
        <f t="shared" si="16"/>
        <v>128</v>
      </c>
      <c r="W24" s="39">
        <f t="shared" si="16"/>
        <v>5</v>
      </c>
      <c r="X24" s="39">
        <f t="shared" si="16"/>
        <v>5</v>
      </c>
      <c r="Y24" s="39">
        <f t="shared" si="16"/>
        <v>21</v>
      </c>
      <c r="Z24" s="39">
        <f t="shared" si="16"/>
        <v>30</v>
      </c>
      <c r="AA24" s="39">
        <f t="shared" si="16"/>
        <v>10</v>
      </c>
      <c r="AB24" s="39">
        <f t="shared" si="16"/>
        <v>76</v>
      </c>
      <c r="AC24" s="39">
        <f t="shared" si="16"/>
        <v>89</v>
      </c>
      <c r="AD24" s="39">
        <f t="shared" si="16"/>
        <v>1</v>
      </c>
      <c r="AE24" s="40">
        <f t="shared" si="16"/>
        <v>332</v>
      </c>
      <c r="AF24" s="40">
        <f t="shared" si="16"/>
        <v>394</v>
      </c>
    </row>
    <row r="25" spans="2:32" ht="23.1" customHeight="1" x14ac:dyDescent="0.25">
      <c r="B25" s="23" t="s">
        <v>52</v>
      </c>
      <c r="C25" s="50">
        <v>6</v>
      </c>
      <c r="D25" s="50">
        <v>5</v>
      </c>
      <c r="E25" s="50">
        <v>2</v>
      </c>
      <c r="F25" s="50">
        <v>25</v>
      </c>
      <c r="G25" s="50">
        <v>0</v>
      </c>
      <c r="H25" s="50">
        <v>0</v>
      </c>
      <c r="I25" s="50">
        <v>4</v>
      </c>
      <c r="J25" s="50">
        <v>3</v>
      </c>
      <c r="K25" s="50">
        <v>4</v>
      </c>
      <c r="L25" s="50">
        <v>3</v>
      </c>
      <c r="M25" s="50">
        <v>14</v>
      </c>
      <c r="N25" s="50">
        <v>0</v>
      </c>
      <c r="O25" s="15">
        <f t="shared" si="0"/>
        <v>52</v>
      </c>
      <c r="P25" s="15">
        <f t="shared" si="1"/>
        <v>66</v>
      </c>
      <c r="R25" s="37" t="s">
        <v>85</v>
      </c>
      <c r="S25" s="35">
        <f t="shared" ref="S25:AF25" si="17">SUM(S10:S12)</f>
        <v>164</v>
      </c>
      <c r="T25" s="16">
        <f t="shared" si="17"/>
        <v>59</v>
      </c>
      <c r="U25" s="16">
        <f t="shared" si="17"/>
        <v>35</v>
      </c>
      <c r="V25" s="16">
        <f t="shared" si="17"/>
        <v>329</v>
      </c>
      <c r="W25" s="16">
        <f t="shared" si="17"/>
        <v>6</v>
      </c>
      <c r="X25" s="16">
        <f t="shared" si="17"/>
        <v>4</v>
      </c>
      <c r="Y25" s="16">
        <f t="shared" si="17"/>
        <v>39</v>
      </c>
      <c r="Z25" s="16">
        <f t="shared" si="17"/>
        <v>52</v>
      </c>
      <c r="AA25" s="16">
        <f t="shared" si="17"/>
        <v>24</v>
      </c>
      <c r="AB25" s="16">
        <f t="shared" si="17"/>
        <v>54</v>
      </c>
      <c r="AC25" s="16">
        <f t="shared" si="17"/>
        <v>207</v>
      </c>
      <c r="AD25" s="16">
        <f t="shared" si="17"/>
        <v>1</v>
      </c>
      <c r="AE25" s="32">
        <f t="shared" si="17"/>
        <v>767</v>
      </c>
      <c r="AF25" s="32">
        <f t="shared" si="17"/>
        <v>974</v>
      </c>
    </row>
    <row r="26" spans="2:32" ht="23.1" customHeight="1" x14ac:dyDescent="0.25">
      <c r="B26" s="23" t="s">
        <v>53</v>
      </c>
      <c r="C26" s="50">
        <v>11</v>
      </c>
      <c r="D26" s="50">
        <v>7</v>
      </c>
      <c r="E26" s="50">
        <v>4</v>
      </c>
      <c r="F26" s="50">
        <v>2</v>
      </c>
      <c r="G26" s="50">
        <v>2</v>
      </c>
      <c r="H26" s="50">
        <v>0</v>
      </c>
      <c r="I26" s="50">
        <v>8</v>
      </c>
      <c r="J26" s="50">
        <v>7</v>
      </c>
      <c r="K26" s="50">
        <v>1</v>
      </c>
      <c r="L26" s="50">
        <v>5</v>
      </c>
      <c r="M26" s="50">
        <v>15</v>
      </c>
      <c r="N26" s="50">
        <v>0</v>
      </c>
      <c r="O26" s="15">
        <f t="shared" si="0"/>
        <v>47</v>
      </c>
      <c r="P26" s="15">
        <f t="shared" si="1"/>
        <v>62</v>
      </c>
      <c r="R26" s="28" t="s">
        <v>86</v>
      </c>
      <c r="S26" s="16">
        <f t="shared" ref="S26:AF26" si="18">SUM(S13:S18)</f>
        <v>244</v>
      </c>
      <c r="T26" s="16">
        <f t="shared" si="18"/>
        <v>119</v>
      </c>
      <c r="U26" s="16">
        <f t="shared" si="18"/>
        <v>80</v>
      </c>
      <c r="V26" s="16">
        <f t="shared" si="18"/>
        <v>668</v>
      </c>
      <c r="W26" s="16">
        <f t="shared" si="18"/>
        <v>26</v>
      </c>
      <c r="X26" s="16">
        <f t="shared" si="18"/>
        <v>9</v>
      </c>
      <c r="Y26" s="16">
        <f t="shared" si="18"/>
        <v>102</v>
      </c>
      <c r="Z26" s="16">
        <f t="shared" si="18"/>
        <v>127</v>
      </c>
      <c r="AA26" s="16">
        <f t="shared" si="18"/>
        <v>39</v>
      </c>
      <c r="AB26" s="16">
        <f t="shared" si="18"/>
        <v>234</v>
      </c>
      <c r="AC26" s="16">
        <f t="shared" si="18"/>
        <v>414</v>
      </c>
      <c r="AD26" s="16">
        <f t="shared" si="18"/>
        <v>0</v>
      </c>
      <c r="AE26" s="32">
        <f t="shared" si="18"/>
        <v>1648</v>
      </c>
      <c r="AF26" s="32">
        <f t="shared" si="18"/>
        <v>2062</v>
      </c>
    </row>
    <row r="27" spans="2:32" ht="23.1" customHeight="1" x14ac:dyDescent="0.25">
      <c r="B27" s="23" t="s">
        <v>54</v>
      </c>
      <c r="C27" s="50">
        <v>14</v>
      </c>
      <c r="D27" s="50">
        <v>5</v>
      </c>
      <c r="E27" s="50">
        <v>1</v>
      </c>
      <c r="F27" s="50">
        <v>43</v>
      </c>
      <c r="G27" s="50">
        <v>1</v>
      </c>
      <c r="H27" s="50">
        <v>0</v>
      </c>
      <c r="I27" s="50">
        <v>6</v>
      </c>
      <c r="J27" s="50">
        <v>5</v>
      </c>
      <c r="K27" s="50">
        <v>0</v>
      </c>
      <c r="L27" s="50">
        <v>11</v>
      </c>
      <c r="M27" s="50">
        <v>18</v>
      </c>
      <c r="N27" s="50">
        <v>0</v>
      </c>
      <c r="O27" s="15">
        <f t="shared" si="0"/>
        <v>86</v>
      </c>
      <c r="P27" s="15">
        <f t="shared" si="1"/>
        <v>104</v>
      </c>
      <c r="R27" s="29" t="s">
        <v>87</v>
      </c>
      <c r="S27" s="16">
        <f t="shared" ref="S27:AF27" si="19">SUM(S19:S21)</f>
        <v>108</v>
      </c>
      <c r="T27" s="16">
        <f t="shared" si="19"/>
        <v>57</v>
      </c>
      <c r="U27" s="16">
        <f t="shared" si="19"/>
        <v>44</v>
      </c>
      <c r="V27" s="16">
        <f t="shared" si="19"/>
        <v>324</v>
      </c>
      <c r="W27" s="16">
        <f t="shared" si="19"/>
        <v>11</v>
      </c>
      <c r="X27" s="16">
        <f t="shared" si="19"/>
        <v>8</v>
      </c>
      <c r="Y27" s="16">
        <f t="shared" si="19"/>
        <v>53</v>
      </c>
      <c r="Z27" s="16">
        <f t="shared" si="19"/>
        <v>76</v>
      </c>
      <c r="AA27" s="16">
        <f t="shared" si="19"/>
        <v>23</v>
      </c>
      <c r="AB27" s="16">
        <f t="shared" si="19"/>
        <v>214</v>
      </c>
      <c r="AC27" s="16">
        <f t="shared" si="19"/>
        <v>237</v>
      </c>
      <c r="AD27" s="16">
        <f t="shared" si="19"/>
        <v>1</v>
      </c>
      <c r="AE27" s="32">
        <f t="shared" si="19"/>
        <v>919</v>
      </c>
      <c r="AF27" s="32">
        <f t="shared" si="19"/>
        <v>1156</v>
      </c>
    </row>
    <row r="28" spans="2:32" ht="23.1" customHeight="1" x14ac:dyDescent="0.25">
      <c r="B28" s="23" t="s">
        <v>55</v>
      </c>
      <c r="C28" s="50">
        <v>15</v>
      </c>
      <c r="D28" s="50">
        <v>5</v>
      </c>
      <c r="E28" s="50">
        <v>3</v>
      </c>
      <c r="F28" s="50">
        <v>35</v>
      </c>
      <c r="G28" s="50">
        <v>0</v>
      </c>
      <c r="H28" s="50">
        <v>0</v>
      </c>
      <c r="I28" s="50">
        <v>4</v>
      </c>
      <c r="J28" s="50">
        <v>6</v>
      </c>
      <c r="K28" s="50">
        <v>2</v>
      </c>
      <c r="L28" s="50">
        <v>7</v>
      </c>
      <c r="M28" s="50">
        <v>18</v>
      </c>
      <c r="N28" s="50">
        <v>0</v>
      </c>
      <c r="O28" s="15">
        <f t="shared" si="0"/>
        <v>77</v>
      </c>
      <c r="P28" s="15">
        <f t="shared" si="1"/>
        <v>95</v>
      </c>
      <c r="R28" s="5" t="s">
        <v>17</v>
      </c>
      <c r="S28" s="16">
        <f t="shared" ref="S28:AF28" si="20">SUM(S10:S21)</f>
        <v>516</v>
      </c>
      <c r="T28" s="16">
        <f t="shared" si="20"/>
        <v>235</v>
      </c>
      <c r="U28" s="16">
        <f t="shared" si="20"/>
        <v>159</v>
      </c>
      <c r="V28" s="16">
        <f t="shared" si="20"/>
        <v>1321</v>
      </c>
      <c r="W28" s="16">
        <f t="shared" si="20"/>
        <v>43</v>
      </c>
      <c r="X28" s="16">
        <f t="shared" si="20"/>
        <v>21</v>
      </c>
      <c r="Y28" s="16">
        <f t="shared" si="20"/>
        <v>194</v>
      </c>
      <c r="Z28" s="16">
        <f t="shared" si="20"/>
        <v>255</v>
      </c>
      <c r="AA28" s="16">
        <f t="shared" si="20"/>
        <v>86</v>
      </c>
      <c r="AB28" s="16">
        <f t="shared" si="20"/>
        <v>502</v>
      </c>
      <c r="AC28" s="16">
        <f t="shared" si="20"/>
        <v>858</v>
      </c>
      <c r="AD28" s="16">
        <f t="shared" si="20"/>
        <v>2</v>
      </c>
      <c r="AE28" s="32">
        <f t="shared" si="20"/>
        <v>3334</v>
      </c>
      <c r="AF28" s="32">
        <f t="shared" si="20"/>
        <v>4192</v>
      </c>
    </row>
    <row r="29" spans="2:32" ht="23.1" customHeight="1" x14ac:dyDescent="0.25">
      <c r="B29" s="23" t="s">
        <v>56</v>
      </c>
      <c r="C29" s="50">
        <v>12</v>
      </c>
      <c r="D29" s="50">
        <v>5</v>
      </c>
      <c r="E29" s="50">
        <v>4</v>
      </c>
      <c r="F29" s="50">
        <v>17</v>
      </c>
      <c r="G29" s="50">
        <v>0</v>
      </c>
      <c r="H29" s="50">
        <v>0</v>
      </c>
      <c r="I29" s="50">
        <v>8</v>
      </c>
      <c r="J29" s="50">
        <v>7</v>
      </c>
      <c r="K29" s="50">
        <v>2</v>
      </c>
      <c r="L29" s="50">
        <v>7</v>
      </c>
      <c r="M29" s="50">
        <v>19</v>
      </c>
      <c r="N29" s="50">
        <v>0</v>
      </c>
      <c r="O29" s="15">
        <f t="shared" si="0"/>
        <v>62</v>
      </c>
      <c r="P29" s="15">
        <f t="shared" si="1"/>
        <v>81</v>
      </c>
      <c r="R29"/>
      <c r="S29" s="20"/>
      <c r="T29" s="19"/>
    </row>
    <row r="30" spans="2:32" ht="23.1" customHeight="1" x14ac:dyDescent="0.25">
      <c r="B30" s="23" t="s">
        <v>57</v>
      </c>
      <c r="C30" s="50">
        <v>9</v>
      </c>
      <c r="D30" s="50">
        <v>5</v>
      </c>
      <c r="E30" s="50">
        <v>3</v>
      </c>
      <c r="F30" s="50">
        <v>25</v>
      </c>
      <c r="G30" s="50">
        <v>2</v>
      </c>
      <c r="H30" s="50">
        <v>1</v>
      </c>
      <c r="I30" s="50">
        <v>4</v>
      </c>
      <c r="J30" s="50">
        <v>2</v>
      </c>
      <c r="K30" s="50">
        <v>0</v>
      </c>
      <c r="L30" s="50">
        <v>8</v>
      </c>
      <c r="M30" s="50">
        <v>19</v>
      </c>
      <c r="N30" s="50">
        <v>0</v>
      </c>
      <c r="O30" s="15">
        <f t="shared" si="0"/>
        <v>59</v>
      </c>
      <c r="P30" s="15">
        <f t="shared" si="1"/>
        <v>78</v>
      </c>
    </row>
    <row r="31" spans="2:32" ht="23.1" customHeight="1" x14ac:dyDescent="0.25">
      <c r="B31" s="24" t="s">
        <v>58</v>
      </c>
      <c r="C31" s="50">
        <v>16</v>
      </c>
      <c r="D31" s="50">
        <v>7</v>
      </c>
      <c r="E31" s="50">
        <v>7</v>
      </c>
      <c r="F31" s="50">
        <v>32</v>
      </c>
      <c r="G31" s="50">
        <v>0</v>
      </c>
      <c r="H31" s="50">
        <v>0</v>
      </c>
      <c r="I31" s="50">
        <v>4</v>
      </c>
      <c r="J31" s="50">
        <v>5</v>
      </c>
      <c r="K31" s="50">
        <v>1</v>
      </c>
      <c r="L31" s="50">
        <v>8</v>
      </c>
      <c r="M31" s="50">
        <v>14</v>
      </c>
      <c r="N31" s="50">
        <v>0</v>
      </c>
      <c r="O31" s="15">
        <f t="shared" si="0"/>
        <v>80</v>
      </c>
      <c r="P31" s="15">
        <f t="shared" si="1"/>
        <v>94</v>
      </c>
    </row>
    <row r="32" spans="2:32" ht="23.1" customHeight="1" x14ac:dyDescent="0.25">
      <c r="B32" s="24" t="s">
        <v>59</v>
      </c>
      <c r="C32" s="50">
        <v>8</v>
      </c>
      <c r="D32" s="50">
        <v>10</v>
      </c>
      <c r="E32" s="50">
        <v>5</v>
      </c>
      <c r="F32" s="50">
        <v>47</v>
      </c>
      <c r="G32" s="50">
        <v>1</v>
      </c>
      <c r="H32" s="50">
        <v>1</v>
      </c>
      <c r="I32" s="50">
        <v>2</v>
      </c>
      <c r="J32" s="50">
        <v>8</v>
      </c>
      <c r="K32" s="50">
        <v>1</v>
      </c>
      <c r="L32" s="50">
        <v>7</v>
      </c>
      <c r="M32" s="50">
        <v>12</v>
      </c>
      <c r="N32" s="50">
        <v>0</v>
      </c>
      <c r="O32" s="15">
        <f t="shared" si="0"/>
        <v>90</v>
      </c>
      <c r="P32" s="15">
        <f t="shared" si="1"/>
        <v>102</v>
      </c>
    </row>
    <row r="33" spans="2:20" ht="23.1" customHeight="1" x14ac:dyDescent="0.25">
      <c r="B33" s="23" t="s">
        <v>60</v>
      </c>
      <c r="C33" s="50">
        <v>10</v>
      </c>
      <c r="D33" s="50">
        <v>7</v>
      </c>
      <c r="E33" s="50">
        <v>6</v>
      </c>
      <c r="F33" s="50">
        <v>23</v>
      </c>
      <c r="G33" s="50">
        <v>3</v>
      </c>
      <c r="H33" s="50">
        <v>0</v>
      </c>
      <c r="I33" s="50">
        <v>1</v>
      </c>
      <c r="J33" s="50">
        <v>3</v>
      </c>
      <c r="K33" s="50">
        <v>2</v>
      </c>
      <c r="L33" s="50">
        <v>7</v>
      </c>
      <c r="M33" s="50">
        <v>17</v>
      </c>
      <c r="N33" s="50">
        <v>0</v>
      </c>
      <c r="O33" s="15">
        <f t="shared" si="0"/>
        <v>62</v>
      </c>
      <c r="P33" s="15">
        <f t="shared" si="1"/>
        <v>79</v>
      </c>
    </row>
    <row r="34" spans="2:20" ht="23.1" customHeight="1" x14ac:dyDescent="0.25">
      <c r="B34" s="24" t="s">
        <v>61</v>
      </c>
      <c r="C34" s="50">
        <v>16</v>
      </c>
      <c r="D34" s="50">
        <v>2</v>
      </c>
      <c r="E34" s="50">
        <v>1</v>
      </c>
      <c r="F34" s="50">
        <v>32</v>
      </c>
      <c r="G34" s="50">
        <v>1</v>
      </c>
      <c r="H34" s="50">
        <v>0</v>
      </c>
      <c r="I34" s="50">
        <v>5</v>
      </c>
      <c r="J34" s="50">
        <v>5</v>
      </c>
      <c r="K34" s="50">
        <v>2</v>
      </c>
      <c r="L34" s="50">
        <v>5</v>
      </c>
      <c r="M34" s="50">
        <v>24</v>
      </c>
      <c r="N34" s="50">
        <v>0</v>
      </c>
      <c r="O34" s="15">
        <f t="shared" si="0"/>
        <v>69</v>
      </c>
      <c r="P34" s="15">
        <f t="shared" si="1"/>
        <v>93</v>
      </c>
    </row>
    <row r="35" spans="2:20" ht="23.1" customHeight="1" x14ac:dyDescent="0.25">
      <c r="B35" s="24" t="s">
        <v>62</v>
      </c>
      <c r="C35" s="50">
        <v>7</v>
      </c>
      <c r="D35" s="50">
        <v>2</v>
      </c>
      <c r="E35" s="50">
        <v>5</v>
      </c>
      <c r="F35" s="50">
        <v>30</v>
      </c>
      <c r="G35" s="50">
        <v>1</v>
      </c>
      <c r="H35" s="50">
        <v>2</v>
      </c>
      <c r="I35" s="50">
        <v>3</v>
      </c>
      <c r="J35" s="50">
        <v>5</v>
      </c>
      <c r="K35" s="50">
        <v>1</v>
      </c>
      <c r="L35" s="50">
        <v>10</v>
      </c>
      <c r="M35" s="50">
        <v>13</v>
      </c>
      <c r="N35" s="50">
        <v>0</v>
      </c>
      <c r="O35" s="15">
        <f t="shared" si="0"/>
        <v>66</v>
      </c>
      <c r="P35" s="15">
        <f t="shared" si="1"/>
        <v>79</v>
      </c>
    </row>
    <row r="36" spans="2:20" ht="23.1" customHeight="1" x14ac:dyDescent="0.25">
      <c r="B36" s="24" t="s">
        <v>63</v>
      </c>
      <c r="C36" s="50">
        <v>14</v>
      </c>
      <c r="D36" s="50">
        <v>7</v>
      </c>
      <c r="E36" s="50">
        <v>0</v>
      </c>
      <c r="F36" s="50">
        <v>30</v>
      </c>
      <c r="G36" s="50">
        <v>0</v>
      </c>
      <c r="H36" s="50">
        <v>1</v>
      </c>
      <c r="I36" s="50">
        <v>4</v>
      </c>
      <c r="J36" s="50">
        <v>2</v>
      </c>
      <c r="K36" s="50">
        <v>1</v>
      </c>
      <c r="L36" s="50">
        <v>22</v>
      </c>
      <c r="M36" s="50">
        <v>20</v>
      </c>
      <c r="N36" s="50">
        <v>0</v>
      </c>
      <c r="O36" s="15">
        <f t="shared" si="0"/>
        <v>81</v>
      </c>
      <c r="P36" s="15">
        <f t="shared" si="1"/>
        <v>101</v>
      </c>
    </row>
    <row r="37" spans="2:20" ht="23.1" customHeight="1" x14ac:dyDescent="0.25">
      <c r="B37" s="23" t="s">
        <v>64</v>
      </c>
      <c r="C37" s="50">
        <v>14</v>
      </c>
      <c r="D37" s="50">
        <v>8</v>
      </c>
      <c r="E37" s="50">
        <v>4</v>
      </c>
      <c r="F37" s="50">
        <v>33</v>
      </c>
      <c r="G37" s="50">
        <v>1</v>
      </c>
      <c r="H37" s="50">
        <v>0</v>
      </c>
      <c r="I37" s="50">
        <v>4</v>
      </c>
      <c r="J37" s="50">
        <v>5</v>
      </c>
      <c r="K37" s="50">
        <v>2</v>
      </c>
      <c r="L37" s="50">
        <v>9</v>
      </c>
      <c r="M37" s="50">
        <v>14</v>
      </c>
      <c r="N37" s="50">
        <v>0</v>
      </c>
      <c r="O37" s="15">
        <f t="shared" si="0"/>
        <v>80</v>
      </c>
      <c r="P37" s="15">
        <f t="shared" si="1"/>
        <v>94</v>
      </c>
    </row>
    <row r="38" spans="2:20" ht="23.1" customHeight="1" x14ac:dyDescent="0.25">
      <c r="B38" s="24" t="s">
        <v>65</v>
      </c>
      <c r="C38" s="50">
        <v>6</v>
      </c>
      <c r="D38" s="50">
        <v>4</v>
      </c>
      <c r="E38" s="50">
        <v>2</v>
      </c>
      <c r="F38" s="50">
        <v>35</v>
      </c>
      <c r="G38" s="50">
        <v>3</v>
      </c>
      <c r="H38" s="50">
        <v>0</v>
      </c>
      <c r="I38" s="50">
        <v>3</v>
      </c>
      <c r="J38" s="50">
        <v>4</v>
      </c>
      <c r="K38" s="50">
        <v>4</v>
      </c>
      <c r="L38" s="50">
        <v>8</v>
      </c>
      <c r="M38" s="50">
        <v>17</v>
      </c>
      <c r="N38" s="50">
        <v>0</v>
      </c>
      <c r="O38" s="15">
        <f t="shared" si="0"/>
        <v>69</v>
      </c>
      <c r="P38" s="15">
        <f t="shared" si="1"/>
        <v>86</v>
      </c>
    </row>
    <row r="39" spans="2:20" ht="23.1" customHeight="1" x14ac:dyDescent="0.25">
      <c r="B39" s="24" t="s">
        <v>66</v>
      </c>
      <c r="C39" s="50">
        <v>4</v>
      </c>
      <c r="D39" s="50">
        <v>2</v>
      </c>
      <c r="E39" s="50">
        <v>2</v>
      </c>
      <c r="F39" s="50">
        <v>29</v>
      </c>
      <c r="G39" s="50">
        <v>0</v>
      </c>
      <c r="H39" s="50">
        <v>0</v>
      </c>
      <c r="I39" s="50">
        <v>4</v>
      </c>
      <c r="J39" s="50">
        <v>3</v>
      </c>
      <c r="K39" s="50">
        <v>1</v>
      </c>
      <c r="L39" s="50">
        <v>11</v>
      </c>
      <c r="M39" s="50">
        <v>16</v>
      </c>
      <c r="N39" s="50">
        <v>0</v>
      </c>
      <c r="O39" s="15">
        <f t="shared" si="0"/>
        <v>56</v>
      </c>
      <c r="P39" s="15">
        <f t="shared" si="1"/>
        <v>72</v>
      </c>
    </row>
    <row r="40" spans="2:20" ht="23.1" customHeight="1" x14ac:dyDescent="0.25">
      <c r="B40" s="24" t="s">
        <v>67</v>
      </c>
      <c r="C40" s="50">
        <v>12</v>
      </c>
      <c r="D40" s="50">
        <v>6</v>
      </c>
      <c r="E40" s="50">
        <v>5</v>
      </c>
      <c r="F40" s="50">
        <v>37</v>
      </c>
      <c r="G40" s="50">
        <v>1</v>
      </c>
      <c r="H40" s="50">
        <v>1</v>
      </c>
      <c r="I40" s="50">
        <v>4</v>
      </c>
      <c r="J40" s="50">
        <v>5</v>
      </c>
      <c r="K40" s="50">
        <v>6</v>
      </c>
      <c r="L40" s="50">
        <v>13</v>
      </c>
      <c r="M40" s="50">
        <v>16</v>
      </c>
      <c r="N40" s="50">
        <v>0</v>
      </c>
      <c r="O40" s="15">
        <f t="shared" si="0"/>
        <v>90</v>
      </c>
      <c r="P40" s="15">
        <f t="shared" si="1"/>
        <v>106</v>
      </c>
    </row>
    <row r="41" spans="2:20" ht="23.1" customHeight="1" x14ac:dyDescent="0.25">
      <c r="B41" s="23" t="s">
        <v>68</v>
      </c>
      <c r="C41" s="50">
        <v>9</v>
      </c>
      <c r="D41" s="50">
        <v>2</v>
      </c>
      <c r="E41" s="50">
        <v>5</v>
      </c>
      <c r="F41" s="50">
        <v>14</v>
      </c>
      <c r="G41" s="50">
        <v>2</v>
      </c>
      <c r="H41" s="50">
        <v>0</v>
      </c>
      <c r="I41" s="50">
        <v>8</v>
      </c>
      <c r="J41" s="50">
        <v>4</v>
      </c>
      <c r="K41" s="50">
        <v>1</v>
      </c>
      <c r="L41" s="50">
        <v>15</v>
      </c>
      <c r="M41" s="50">
        <v>15</v>
      </c>
      <c r="N41" s="50">
        <v>0</v>
      </c>
      <c r="O41" s="15">
        <f t="shared" si="0"/>
        <v>60</v>
      </c>
      <c r="P41" s="15">
        <f t="shared" si="1"/>
        <v>75</v>
      </c>
    </row>
    <row r="42" spans="2:20" ht="23.1" customHeight="1" x14ac:dyDescent="0.25">
      <c r="B42" s="24" t="s">
        <v>69</v>
      </c>
      <c r="C42" s="50">
        <v>11</v>
      </c>
      <c r="D42" s="50">
        <v>8</v>
      </c>
      <c r="E42" s="50">
        <v>3</v>
      </c>
      <c r="F42" s="50">
        <v>29</v>
      </c>
      <c r="G42" s="50">
        <v>2</v>
      </c>
      <c r="H42" s="50">
        <v>1</v>
      </c>
      <c r="I42" s="50">
        <v>2</v>
      </c>
      <c r="J42" s="50">
        <v>13</v>
      </c>
      <c r="K42" s="50">
        <v>1</v>
      </c>
      <c r="L42" s="50">
        <v>21</v>
      </c>
      <c r="M42" s="50">
        <v>17</v>
      </c>
      <c r="N42" s="50">
        <v>0</v>
      </c>
      <c r="O42" s="15">
        <f t="shared" si="0"/>
        <v>91</v>
      </c>
      <c r="P42" s="15">
        <f t="shared" si="1"/>
        <v>108</v>
      </c>
    </row>
    <row r="43" spans="2:20" ht="23.1" customHeight="1" x14ac:dyDescent="0.25">
      <c r="B43" s="23" t="s">
        <v>70</v>
      </c>
      <c r="C43" s="50">
        <v>4</v>
      </c>
      <c r="D43" s="50">
        <v>3</v>
      </c>
      <c r="E43" s="50">
        <v>3</v>
      </c>
      <c r="F43" s="50">
        <v>15</v>
      </c>
      <c r="G43" s="50">
        <v>1</v>
      </c>
      <c r="H43" s="50">
        <v>1</v>
      </c>
      <c r="I43" s="50">
        <v>2</v>
      </c>
      <c r="J43" s="50">
        <v>1</v>
      </c>
      <c r="K43" s="50">
        <v>1</v>
      </c>
      <c r="L43" s="50">
        <v>13</v>
      </c>
      <c r="M43" s="50">
        <v>13</v>
      </c>
      <c r="N43" s="50">
        <v>0</v>
      </c>
      <c r="O43" s="15">
        <f t="shared" si="0"/>
        <v>44</v>
      </c>
      <c r="P43" s="15">
        <f t="shared" si="1"/>
        <v>57</v>
      </c>
    </row>
    <row r="44" spans="2:20" ht="23.1" customHeight="1" x14ac:dyDescent="0.25">
      <c r="B44" s="25" t="s">
        <v>71</v>
      </c>
      <c r="C44" s="50">
        <v>17</v>
      </c>
      <c r="D44" s="50">
        <v>10</v>
      </c>
      <c r="E44" s="50">
        <v>6</v>
      </c>
      <c r="F44" s="50">
        <v>40</v>
      </c>
      <c r="G44" s="50">
        <v>1</v>
      </c>
      <c r="H44" s="50">
        <v>0</v>
      </c>
      <c r="I44" s="50">
        <v>8</v>
      </c>
      <c r="J44" s="50">
        <v>11</v>
      </c>
      <c r="K44" s="50">
        <v>3</v>
      </c>
      <c r="L44" s="50">
        <v>13</v>
      </c>
      <c r="M44" s="50">
        <v>16</v>
      </c>
      <c r="N44" s="50">
        <v>0</v>
      </c>
      <c r="O44" s="15">
        <f t="shared" si="0"/>
        <v>109</v>
      </c>
      <c r="P44" s="15">
        <f t="shared" si="1"/>
        <v>125</v>
      </c>
    </row>
    <row r="45" spans="2:20" ht="23.1" customHeight="1" x14ac:dyDescent="0.25">
      <c r="B45" s="23" t="s">
        <v>72</v>
      </c>
      <c r="C45" s="50">
        <v>7</v>
      </c>
      <c r="D45" s="50">
        <v>2</v>
      </c>
      <c r="E45" s="50">
        <v>3</v>
      </c>
      <c r="F45" s="50">
        <v>27</v>
      </c>
      <c r="G45" s="50">
        <v>0</v>
      </c>
      <c r="H45" s="50">
        <v>0</v>
      </c>
      <c r="I45" s="50">
        <v>5</v>
      </c>
      <c r="J45" s="50">
        <v>13</v>
      </c>
      <c r="K45" s="50">
        <v>1</v>
      </c>
      <c r="L45" s="50">
        <v>24</v>
      </c>
      <c r="M45" s="50">
        <v>22</v>
      </c>
      <c r="N45" s="50">
        <v>0</v>
      </c>
      <c r="O45" s="15">
        <f t="shared" si="0"/>
        <v>82</v>
      </c>
      <c r="P45" s="15">
        <f t="shared" si="1"/>
        <v>104</v>
      </c>
    </row>
    <row r="46" spans="2:20" ht="23.1" customHeight="1" x14ac:dyDescent="0.25">
      <c r="B46" s="24" t="s">
        <v>73</v>
      </c>
      <c r="C46" s="50">
        <v>9</v>
      </c>
      <c r="D46" s="50">
        <v>6</v>
      </c>
      <c r="E46" s="50">
        <v>3</v>
      </c>
      <c r="F46" s="50">
        <v>24</v>
      </c>
      <c r="G46" s="50">
        <v>1</v>
      </c>
      <c r="H46" s="50">
        <v>1</v>
      </c>
      <c r="I46" s="50">
        <v>4</v>
      </c>
      <c r="J46" s="50">
        <v>3</v>
      </c>
      <c r="K46" s="50">
        <v>2</v>
      </c>
      <c r="L46" s="50">
        <v>25</v>
      </c>
      <c r="M46" s="50">
        <v>35</v>
      </c>
      <c r="N46" s="50">
        <v>0</v>
      </c>
      <c r="O46" s="15">
        <f t="shared" si="0"/>
        <v>78</v>
      </c>
      <c r="P46" s="15">
        <f t="shared" si="1"/>
        <v>113</v>
      </c>
      <c r="R46" s="8"/>
      <c r="T46"/>
    </row>
    <row r="47" spans="2:20" ht="23.1" customHeight="1" x14ac:dyDescent="0.25">
      <c r="B47" s="24" t="s">
        <v>74</v>
      </c>
      <c r="C47" s="50">
        <v>8</v>
      </c>
      <c r="D47" s="50">
        <v>2</v>
      </c>
      <c r="E47" s="50">
        <v>2</v>
      </c>
      <c r="F47" s="50">
        <v>30</v>
      </c>
      <c r="G47" s="50">
        <v>1</v>
      </c>
      <c r="H47" s="50">
        <v>1</v>
      </c>
      <c r="I47" s="50">
        <v>3</v>
      </c>
      <c r="J47" s="50">
        <v>5</v>
      </c>
      <c r="K47" s="50">
        <v>2</v>
      </c>
      <c r="L47" s="50">
        <v>20</v>
      </c>
      <c r="M47" s="50">
        <v>13</v>
      </c>
      <c r="N47" s="50">
        <v>0</v>
      </c>
      <c r="O47" s="15">
        <f t="shared" si="0"/>
        <v>74</v>
      </c>
      <c r="P47" s="15">
        <f t="shared" si="1"/>
        <v>87</v>
      </c>
      <c r="R47" s="8"/>
      <c r="T47"/>
    </row>
    <row r="48" spans="2:20" ht="23.1" customHeight="1" x14ac:dyDescent="0.25">
      <c r="B48" s="24" t="s">
        <v>75</v>
      </c>
      <c r="C48" s="50">
        <v>7</v>
      </c>
      <c r="D48" s="50">
        <v>5</v>
      </c>
      <c r="E48" s="50">
        <v>4</v>
      </c>
      <c r="F48" s="50">
        <v>19</v>
      </c>
      <c r="G48" s="50">
        <v>0</v>
      </c>
      <c r="H48" s="50">
        <v>0</v>
      </c>
      <c r="I48" s="50">
        <v>6</v>
      </c>
      <c r="J48" s="50">
        <v>8</v>
      </c>
      <c r="K48" s="50">
        <v>4</v>
      </c>
      <c r="L48" s="50">
        <v>7</v>
      </c>
      <c r="M48" s="50">
        <v>17</v>
      </c>
      <c r="N48" s="50">
        <v>0</v>
      </c>
      <c r="O48" s="15">
        <f t="shared" si="0"/>
        <v>60</v>
      </c>
      <c r="P48" s="15">
        <f t="shared" si="1"/>
        <v>77</v>
      </c>
      <c r="R48" s="8"/>
      <c r="T48"/>
    </row>
    <row r="49" spans="2:20" ht="23.1" customHeight="1" x14ac:dyDescent="0.25">
      <c r="B49" s="23" t="s">
        <v>76</v>
      </c>
      <c r="C49" s="50">
        <v>12</v>
      </c>
      <c r="D49" s="50">
        <v>4</v>
      </c>
      <c r="E49" s="50">
        <v>4</v>
      </c>
      <c r="F49" s="50">
        <v>18</v>
      </c>
      <c r="G49" s="50">
        <v>1</v>
      </c>
      <c r="H49" s="50">
        <v>0</v>
      </c>
      <c r="I49" s="50">
        <v>3</v>
      </c>
      <c r="J49" s="50">
        <v>6</v>
      </c>
      <c r="K49" s="50">
        <v>2</v>
      </c>
      <c r="L49" s="50">
        <v>24</v>
      </c>
      <c r="M49" s="50">
        <v>21</v>
      </c>
      <c r="N49" s="50">
        <v>0</v>
      </c>
      <c r="O49" s="15">
        <f t="shared" si="0"/>
        <v>74</v>
      </c>
      <c r="P49" s="15">
        <f t="shared" si="1"/>
        <v>95</v>
      </c>
      <c r="R49" s="8"/>
      <c r="T49"/>
    </row>
    <row r="50" spans="2:20" ht="23.1" customHeight="1" x14ac:dyDescent="0.25">
      <c r="B50" s="24" t="s">
        <v>77</v>
      </c>
      <c r="C50" s="50">
        <v>10</v>
      </c>
      <c r="D50" s="50">
        <v>6</v>
      </c>
      <c r="E50" s="50">
        <v>6</v>
      </c>
      <c r="F50" s="50">
        <v>40</v>
      </c>
      <c r="G50" s="50">
        <v>1</v>
      </c>
      <c r="H50" s="50">
        <v>1</v>
      </c>
      <c r="I50" s="50">
        <v>6</v>
      </c>
      <c r="J50" s="50">
        <v>10</v>
      </c>
      <c r="K50" s="50">
        <v>1</v>
      </c>
      <c r="L50" s="50">
        <v>15</v>
      </c>
      <c r="M50" s="50">
        <v>21</v>
      </c>
      <c r="N50" s="50">
        <v>0</v>
      </c>
      <c r="O50" s="15">
        <f t="shared" si="0"/>
        <v>96</v>
      </c>
      <c r="P50" s="15">
        <f t="shared" si="1"/>
        <v>117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2</v>
      </c>
      <c r="E51" s="50">
        <v>2</v>
      </c>
      <c r="F51" s="50">
        <v>23</v>
      </c>
      <c r="G51" s="50">
        <v>1</v>
      </c>
      <c r="H51" s="50">
        <v>0</v>
      </c>
      <c r="I51" s="50">
        <v>6</v>
      </c>
      <c r="J51" s="50">
        <v>5</v>
      </c>
      <c r="K51" s="50">
        <v>1</v>
      </c>
      <c r="L51" s="50">
        <v>9</v>
      </c>
      <c r="M51" s="50">
        <v>23</v>
      </c>
      <c r="N51" s="50">
        <v>1</v>
      </c>
      <c r="O51" s="15">
        <f t="shared" si="0"/>
        <v>53</v>
      </c>
      <c r="P51" s="15">
        <f t="shared" si="1"/>
        <v>76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5</v>
      </c>
      <c r="E52" s="50">
        <v>1</v>
      </c>
      <c r="F52" s="50">
        <v>27</v>
      </c>
      <c r="G52" s="50">
        <v>1</v>
      </c>
      <c r="H52" s="50">
        <v>0</v>
      </c>
      <c r="I52" s="50">
        <v>1</v>
      </c>
      <c r="J52" s="50">
        <v>8</v>
      </c>
      <c r="K52" s="50">
        <v>2</v>
      </c>
      <c r="L52" s="50">
        <v>14</v>
      </c>
      <c r="M52" s="50">
        <v>28</v>
      </c>
      <c r="N52" s="50">
        <v>0</v>
      </c>
      <c r="O52" s="15">
        <f t="shared" si="0"/>
        <v>64</v>
      </c>
      <c r="P52" s="15">
        <f t="shared" si="1"/>
        <v>92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5</v>
      </c>
      <c r="E53" s="50">
        <v>3</v>
      </c>
      <c r="F53" s="50">
        <v>38</v>
      </c>
      <c r="G53" s="50">
        <v>0</v>
      </c>
      <c r="H53" s="50">
        <v>0</v>
      </c>
      <c r="I53" s="50">
        <v>3</v>
      </c>
      <c r="J53" s="50">
        <v>7</v>
      </c>
      <c r="K53" s="50">
        <v>1</v>
      </c>
      <c r="L53" s="50">
        <v>24</v>
      </c>
      <c r="M53" s="50">
        <v>17</v>
      </c>
      <c r="N53" s="50">
        <v>0</v>
      </c>
      <c r="O53" s="15">
        <f t="shared" si="0"/>
        <v>88</v>
      </c>
      <c r="P53" s="15">
        <f t="shared" si="1"/>
        <v>105</v>
      </c>
      <c r="R53" s="8"/>
      <c r="T53"/>
    </row>
    <row r="54" spans="2:20" ht="23.1" customHeight="1" x14ac:dyDescent="0.25">
      <c r="B54" s="23" t="s">
        <v>81</v>
      </c>
      <c r="C54" s="50">
        <v>10</v>
      </c>
      <c r="D54" s="50">
        <v>5</v>
      </c>
      <c r="E54" s="50">
        <v>5</v>
      </c>
      <c r="F54" s="50">
        <v>31</v>
      </c>
      <c r="G54" s="50">
        <v>3</v>
      </c>
      <c r="H54" s="50">
        <v>2</v>
      </c>
      <c r="I54" s="50">
        <v>4</v>
      </c>
      <c r="J54" s="50">
        <v>13</v>
      </c>
      <c r="K54" s="50">
        <v>3</v>
      </c>
      <c r="L54" s="50">
        <v>24</v>
      </c>
      <c r="M54" s="50">
        <v>19</v>
      </c>
      <c r="N54" s="50">
        <v>0</v>
      </c>
      <c r="O54" s="15">
        <f t="shared" si="0"/>
        <v>100</v>
      </c>
      <c r="P54" s="15">
        <f t="shared" si="1"/>
        <v>119</v>
      </c>
      <c r="R54" s="8"/>
      <c r="T54"/>
    </row>
    <row r="55" spans="2:20" ht="23.1" customHeight="1" x14ac:dyDescent="0.25">
      <c r="B55" s="23" t="s">
        <v>82</v>
      </c>
      <c r="C55" s="50">
        <v>24</v>
      </c>
      <c r="D55" s="50">
        <v>7</v>
      </c>
      <c r="E55" s="50">
        <v>11</v>
      </c>
      <c r="F55" s="50">
        <v>47</v>
      </c>
      <c r="G55" s="50">
        <v>1</v>
      </c>
      <c r="H55" s="50">
        <v>3</v>
      </c>
      <c r="I55" s="50">
        <v>10</v>
      </c>
      <c r="J55" s="50">
        <v>7</v>
      </c>
      <c r="K55" s="50">
        <v>5</v>
      </c>
      <c r="L55" s="50">
        <v>26</v>
      </c>
      <c r="M55" s="50">
        <v>25</v>
      </c>
      <c r="N55" s="50">
        <v>0</v>
      </c>
      <c r="O55" s="15">
        <f t="shared" si="0"/>
        <v>141</v>
      </c>
      <c r="P55" s="15">
        <f t="shared" si="1"/>
        <v>166</v>
      </c>
      <c r="R55" s="8"/>
      <c r="T55"/>
    </row>
    <row r="56" spans="2:20" ht="23.1" customHeight="1" x14ac:dyDescent="0.25">
      <c r="B56" s="23" t="s">
        <v>83</v>
      </c>
      <c r="C56" s="50">
        <v>13</v>
      </c>
      <c r="D56" s="50">
        <v>10</v>
      </c>
      <c r="E56" s="50">
        <v>3</v>
      </c>
      <c r="F56" s="50">
        <v>27</v>
      </c>
      <c r="G56" s="50">
        <v>1</v>
      </c>
      <c r="H56" s="50">
        <v>0</v>
      </c>
      <c r="I56" s="50">
        <v>7</v>
      </c>
      <c r="J56" s="50">
        <v>4</v>
      </c>
      <c r="K56" s="50">
        <v>0</v>
      </c>
      <c r="L56" s="50">
        <v>26</v>
      </c>
      <c r="M56" s="50">
        <v>18</v>
      </c>
      <c r="N56" s="50">
        <v>0</v>
      </c>
      <c r="O56" s="15">
        <f t="shared" si="0"/>
        <v>91</v>
      </c>
      <c r="P56" s="15">
        <f t="shared" si="1"/>
        <v>109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516</v>
      </c>
      <c r="D58" s="16">
        <f t="shared" si="21"/>
        <v>235</v>
      </c>
      <c r="E58" s="16">
        <f t="shared" si="21"/>
        <v>159</v>
      </c>
      <c r="F58" s="16">
        <f t="shared" si="21"/>
        <v>1321</v>
      </c>
      <c r="G58" s="16">
        <f t="shared" si="21"/>
        <v>43</v>
      </c>
      <c r="H58" s="16">
        <f t="shared" si="21"/>
        <v>21</v>
      </c>
      <c r="I58" s="16">
        <f t="shared" si="21"/>
        <v>194</v>
      </c>
      <c r="J58" s="16">
        <f t="shared" si="21"/>
        <v>255</v>
      </c>
      <c r="K58" s="16">
        <f t="shared" si="21"/>
        <v>86</v>
      </c>
      <c r="L58" s="16">
        <f t="shared" si="21"/>
        <v>502</v>
      </c>
      <c r="M58" s="16">
        <f t="shared" si="21"/>
        <v>858</v>
      </c>
      <c r="N58" s="16">
        <f t="shared" si="21"/>
        <v>2</v>
      </c>
      <c r="O58" s="16">
        <f t="shared" si="21"/>
        <v>3334</v>
      </c>
      <c r="P58" s="16">
        <f t="shared" si="21"/>
        <v>4192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0.12309160305343511</v>
      </c>
      <c r="D59" s="43">
        <f t="shared" si="22"/>
        <v>5.6059160305343511E-2</v>
      </c>
      <c r="E59" s="43">
        <f t="shared" si="22"/>
        <v>3.7929389312977096E-2</v>
      </c>
      <c r="F59" s="43">
        <f t="shared" si="22"/>
        <v>0.3151240458015267</v>
      </c>
      <c r="G59" s="43">
        <f t="shared" si="22"/>
        <v>1.0257633587786259E-2</v>
      </c>
      <c r="H59" s="43">
        <f t="shared" si="22"/>
        <v>5.0095419847328241E-3</v>
      </c>
      <c r="I59" s="43">
        <f t="shared" si="22"/>
        <v>4.6278625954198474E-2</v>
      </c>
      <c r="J59" s="43">
        <f t="shared" si="22"/>
        <v>6.0830152671755726E-2</v>
      </c>
      <c r="K59" s="43">
        <f t="shared" si="22"/>
        <v>2.0515267175572519E-2</v>
      </c>
      <c r="L59" s="43">
        <f t="shared" si="22"/>
        <v>0.11975190839694656</v>
      </c>
      <c r="M59" s="43">
        <f t="shared" si="22"/>
        <v>0.20467557251908397</v>
      </c>
      <c r="N59" s="43">
        <f t="shared" si="22"/>
        <v>4.7709923664122136E-4</v>
      </c>
      <c r="R59" s="8"/>
      <c r="T59"/>
    </row>
    <row r="60" spans="2:20" ht="23.1" customHeight="1" x14ac:dyDescent="0.25">
      <c r="B60" s="42" t="s">
        <v>94</v>
      </c>
      <c r="C60" s="44">
        <f>C58/$O$58</f>
        <v>0.15476904619076184</v>
      </c>
      <c r="D60" s="44">
        <f t="shared" ref="D60:N60" si="23">D58/$O$58</f>
        <v>7.0485902819436119E-2</v>
      </c>
      <c r="E60" s="44">
        <f t="shared" si="23"/>
        <v>4.7690461907618477E-2</v>
      </c>
      <c r="F60" s="44">
        <f t="shared" si="23"/>
        <v>0.39622075584883021</v>
      </c>
      <c r="G60" s="44">
        <f t="shared" si="23"/>
        <v>1.289742051589682E-2</v>
      </c>
      <c r="H60" s="44">
        <f t="shared" si="23"/>
        <v>6.2987402519496102E-3</v>
      </c>
      <c r="I60" s="44">
        <f t="shared" si="23"/>
        <v>5.8188362327534493E-2</v>
      </c>
      <c r="J60" s="44">
        <f t="shared" si="23"/>
        <v>7.6484703059388121E-2</v>
      </c>
      <c r="K60" s="44">
        <f t="shared" si="23"/>
        <v>2.579484103179364E-2</v>
      </c>
      <c r="L60" s="44">
        <f t="shared" si="23"/>
        <v>0.15056988602279545</v>
      </c>
      <c r="M60" s="44"/>
      <c r="N60" s="44">
        <f t="shared" si="23"/>
        <v>5.9988002399520091E-4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jinja-kampala'!C3:G3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'17.10 jinja-kampala'!G5:H5</f>
        <v>Nakibbizi</v>
      </c>
      <c r="H5" s="64"/>
      <c r="I5" s="14"/>
      <c r="J5" s="2" t="s">
        <v>5</v>
      </c>
      <c r="K5" s="63" t="str">
        <f>'17.10 jinja-kampala'!K5:L5</f>
        <v>Micheal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jinja-kampala'!D6:E6</f>
        <v>Jinja</v>
      </c>
      <c r="E6" s="64"/>
      <c r="F6" s="2" t="s">
        <v>2</v>
      </c>
      <c r="G6" s="63" t="str">
        <f>'17.10 jinja-kampala'!G6:H6</f>
        <v>Kampala</v>
      </c>
      <c r="H6" s="64"/>
      <c r="J6" s="2" t="s">
        <v>21</v>
      </c>
      <c r="K6" s="63" t="str">
        <f>'17.10 jinja-kampala'!K6:L6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1</v>
      </c>
      <c r="E10" s="50">
        <v>0</v>
      </c>
      <c r="F10" s="50">
        <v>18</v>
      </c>
      <c r="G10" s="50">
        <v>6</v>
      </c>
      <c r="H10" s="50">
        <v>0</v>
      </c>
      <c r="I10" s="50">
        <v>1</v>
      </c>
      <c r="J10" s="50">
        <v>2</v>
      </c>
      <c r="K10" s="50">
        <v>1</v>
      </c>
      <c r="L10" s="50">
        <v>17</v>
      </c>
      <c r="M10" s="50">
        <v>6</v>
      </c>
      <c r="N10" s="50">
        <v>0</v>
      </c>
      <c r="O10" s="15">
        <f t="shared" ref="O10:O57" si="0">SUM(C10:L10,N10)</f>
        <v>49</v>
      </c>
      <c r="P10" s="15">
        <f t="shared" ref="P10:P57" si="1">SUM(C10:N10)</f>
        <v>55</v>
      </c>
      <c r="R10" s="1" t="s">
        <v>6</v>
      </c>
      <c r="S10" s="17">
        <f t="shared" ref="S10:AF10" si="2">SUM(C10:C13)</f>
        <v>30</v>
      </c>
      <c r="T10" s="17">
        <f t="shared" si="2"/>
        <v>9</v>
      </c>
      <c r="U10" s="17">
        <f t="shared" si="2"/>
        <v>6</v>
      </c>
      <c r="V10" s="17">
        <f t="shared" si="2"/>
        <v>106</v>
      </c>
      <c r="W10" s="17">
        <f t="shared" si="2"/>
        <v>15</v>
      </c>
      <c r="X10" s="17">
        <f t="shared" si="2"/>
        <v>3</v>
      </c>
      <c r="Y10" s="17">
        <f t="shared" si="2"/>
        <v>7</v>
      </c>
      <c r="Z10" s="17">
        <f t="shared" si="2"/>
        <v>10</v>
      </c>
      <c r="AA10" s="17">
        <f t="shared" si="2"/>
        <v>8</v>
      </c>
      <c r="AB10" s="17">
        <f t="shared" si="2"/>
        <v>46</v>
      </c>
      <c r="AC10" s="17">
        <f t="shared" si="2"/>
        <v>55</v>
      </c>
      <c r="AD10" s="17">
        <f t="shared" si="2"/>
        <v>1</v>
      </c>
      <c r="AE10" s="31">
        <f t="shared" si="2"/>
        <v>241</v>
      </c>
      <c r="AF10" s="31">
        <f t="shared" si="2"/>
        <v>296</v>
      </c>
    </row>
    <row r="11" spans="2:32" s="6" customFormat="1" ht="23.1" customHeight="1" x14ac:dyDescent="0.25">
      <c r="B11" s="23" t="s">
        <v>38</v>
      </c>
      <c r="C11" s="50">
        <v>9</v>
      </c>
      <c r="D11" s="50">
        <v>0</v>
      </c>
      <c r="E11" s="50">
        <v>3</v>
      </c>
      <c r="F11" s="50">
        <v>29</v>
      </c>
      <c r="G11" s="50">
        <v>1</v>
      </c>
      <c r="H11" s="50">
        <v>2</v>
      </c>
      <c r="I11" s="50">
        <v>4</v>
      </c>
      <c r="J11" s="50">
        <v>2</v>
      </c>
      <c r="K11" s="50">
        <v>1</v>
      </c>
      <c r="L11" s="50">
        <v>6</v>
      </c>
      <c r="M11" s="50">
        <v>19</v>
      </c>
      <c r="N11" s="50">
        <v>0</v>
      </c>
      <c r="O11" s="15">
        <f t="shared" si="0"/>
        <v>57</v>
      </c>
      <c r="P11" s="15">
        <f t="shared" si="1"/>
        <v>76</v>
      </c>
      <c r="R11" s="1" t="s">
        <v>7</v>
      </c>
      <c r="S11" s="17">
        <f t="shared" ref="S11:AF11" si="3">SUM(C14:C17)</f>
        <v>40</v>
      </c>
      <c r="T11" s="17">
        <f t="shared" si="3"/>
        <v>6</v>
      </c>
      <c r="U11" s="17">
        <f t="shared" si="3"/>
        <v>7</v>
      </c>
      <c r="V11" s="17">
        <f t="shared" si="3"/>
        <v>111</v>
      </c>
      <c r="W11" s="17">
        <f t="shared" si="3"/>
        <v>9</v>
      </c>
      <c r="X11" s="17">
        <f t="shared" si="3"/>
        <v>8</v>
      </c>
      <c r="Y11" s="17">
        <f t="shared" si="3"/>
        <v>10</v>
      </c>
      <c r="Z11" s="17">
        <f t="shared" si="3"/>
        <v>8</v>
      </c>
      <c r="AA11" s="17">
        <f t="shared" si="3"/>
        <v>3</v>
      </c>
      <c r="AB11" s="17">
        <f t="shared" si="3"/>
        <v>53</v>
      </c>
      <c r="AC11" s="17">
        <f t="shared" si="3"/>
        <v>72</v>
      </c>
      <c r="AD11" s="17">
        <f t="shared" si="3"/>
        <v>0</v>
      </c>
      <c r="AE11" s="31">
        <f t="shared" si="3"/>
        <v>255</v>
      </c>
      <c r="AF11" s="31">
        <f t="shared" si="3"/>
        <v>327</v>
      </c>
    </row>
    <row r="12" spans="2:32" ht="23.1" customHeight="1" x14ac:dyDescent="0.25">
      <c r="B12" s="23" t="s">
        <v>39</v>
      </c>
      <c r="C12" s="50">
        <v>9</v>
      </c>
      <c r="D12" s="50">
        <v>6</v>
      </c>
      <c r="E12" s="50">
        <v>1</v>
      </c>
      <c r="F12" s="50">
        <v>30</v>
      </c>
      <c r="G12" s="50">
        <v>1</v>
      </c>
      <c r="H12" s="50">
        <v>0</v>
      </c>
      <c r="I12" s="50">
        <v>1</v>
      </c>
      <c r="J12" s="50">
        <v>2</v>
      </c>
      <c r="K12" s="50">
        <v>3</v>
      </c>
      <c r="L12" s="50">
        <v>9</v>
      </c>
      <c r="M12" s="50">
        <v>17</v>
      </c>
      <c r="N12" s="50">
        <v>1</v>
      </c>
      <c r="O12" s="15">
        <f t="shared" si="0"/>
        <v>63</v>
      </c>
      <c r="P12" s="15">
        <f t="shared" si="1"/>
        <v>80</v>
      </c>
      <c r="R12" s="1" t="s">
        <v>8</v>
      </c>
      <c r="S12" s="17">
        <f t="shared" ref="S12:AF12" si="4">SUM(C18:C21)</f>
        <v>46</v>
      </c>
      <c r="T12" s="17">
        <f t="shared" si="4"/>
        <v>23</v>
      </c>
      <c r="U12" s="17">
        <f t="shared" si="4"/>
        <v>22</v>
      </c>
      <c r="V12" s="17">
        <f t="shared" si="4"/>
        <v>121</v>
      </c>
      <c r="W12" s="17">
        <f t="shared" si="4"/>
        <v>7</v>
      </c>
      <c r="X12" s="17">
        <f t="shared" si="4"/>
        <v>6</v>
      </c>
      <c r="Y12" s="17">
        <f t="shared" si="4"/>
        <v>5</v>
      </c>
      <c r="Z12" s="17">
        <f t="shared" si="4"/>
        <v>16</v>
      </c>
      <c r="AA12" s="17">
        <f t="shared" si="4"/>
        <v>5</v>
      </c>
      <c r="AB12" s="17">
        <f t="shared" si="4"/>
        <v>42</v>
      </c>
      <c r="AC12" s="17">
        <f t="shared" si="4"/>
        <v>72</v>
      </c>
      <c r="AD12" s="17">
        <f t="shared" si="4"/>
        <v>0</v>
      </c>
      <c r="AE12" s="31">
        <f t="shared" si="4"/>
        <v>293</v>
      </c>
      <c r="AF12" s="31">
        <f t="shared" si="4"/>
        <v>365</v>
      </c>
    </row>
    <row r="13" spans="2:32" ht="23.1" customHeight="1" x14ac:dyDescent="0.25">
      <c r="B13" s="23" t="s">
        <v>40</v>
      </c>
      <c r="C13" s="50">
        <v>9</v>
      </c>
      <c r="D13" s="50">
        <v>2</v>
      </c>
      <c r="E13" s="50">
        <v>2</v>
      </c>
      <c r="F13" s="50">
        <v>29</v>
      </c>
      <c r="G13" s="50">
        <v>7</v>
      </c>
      <c r="H13" s="50">
        <v>1</v>
      </c>
      <c r="I13" s="50">
        <v>1</v>
      </c>
      <c r="J13" s="50">
        <v>4</v>
      </c>
      <c r="K13" s="50">
        <v>3</v>
      </c>
      <c r="L13" s="50">
        <v>14</v>
      </c>
      <c r="M13" s="50">
        <v>13</v>
      </c>
      <c r="N13" s="50">
        <v>0</v>
      </c>
      <c r="O13" s="15">
        <f t="shared" si="0"/>
        <v>72</v>
      </c>
      <c r="P13" s="15">
        <f t="shared" si="1"/>
        <v>85</v>
      </c>
      <c r="R13" s="1" t="s">
        <v>9</v>
      </c>
      <c r="S13" s="17">
        <f t="shared" ref="S13:AF13" si="5">SUM(C22:C25)</f>
        <v>56</v>
      </c>
      <c r="T13" s="17">
        <f t="shared" si="5"/>
        <v>26</v>
      </c>
      <c r="U13" s="17">
        <f t="shared" si="5"/>
        <v>9</v>
      </c>
      <c r="V13" s="17">
        <f t="shared" si="5"/>
        <v>104</v>
      </c>
      <c r="W13" s="17">
        <f t="shared" si="5"/>
        <v>1</v>
      </c>
      <c r="X13" s="17">
        <f t="shared" si="5"/>
        <v>5</v>
      </c>
      <c r="Y13" s="17">
        <f t="shared" si="5"/>
        <v>15</v>
      </c>
      <c r="Z13" s="17">
        <f t="shared" si="5"/>
        <v>24</v>
      </c>
      <c r="AA13" s="17">
        <f t="shared" si="5"/>
        <v>3</v>
      </c>
      <c r="AB13" s="17">
        <f t="shared" si="5"/>
        <v>49</v>
      </c>
      <c r="AC13" s="17">
        <f t="shared" si="5"/>
        <v>107</v>
      </c>
      <c r="AD13" s="17">
        <f t="shared" si="5"/>
        <v>0</v>
      </c>
      <c r="AE13" s="31">
        <f t="shared" si="5"/>
        <v>292</v>
      </c>
      <c r="AF13" s="31">
        <f t="shared" si="5"/>
        <v>399</v>
      </c>
    </row>
    <row r="14" spans="2:32" ht="23.1" customHeight="1" x14ac:dyDescent="0.25">
      <c r="B14" s="23" t="s">
        <v>41</v>
      </c>
      <c r="C14" s="50">
        <v>8</v>
      </c>
      <c r="D14" s="50">
        <v>1</v>
      </c>
      <c r="E14" s="50">
        <v>1</v>
      </c>
      <c r="F14" s="50">
        <v>34</v>
      </c>
      <c r="G14" s="50">
        <v>1</v>
      </c>
      <c r="H14" s="50">
        <v>0</v>
      </c>
      <c r="I14" s="50">
        <v>3</v>
      </c>
      <c r="J14" s="50">
        <v>1</v>
      </c>
      <c r="K14" s="50">
        <v>0</v>
      </c>
      <c r="L14" s="50">
        <v>13</v>
      </c>
      <c r="M14" s="50">
        <v>12</v>
      </c>
      <c r="N14" s="50">
        <v>0</v>
      </c>
      <c r="O14" s="15">
        <f t="shared" si="0"/>
        <v>62</v>
      </c>
      <c r="P14" s="15">
        <f t="shared" si="1"/>
        <v>74</v>
      </c>
      <c r="R14" s="1" t="s">
        <v>10</v>
      </c>
      <c r="S14" s="17">
        <f t="shared" ref="S14:AF14" si="6">SUM(C26:C29)</f>
        <v>44</v>
      </c>
      <c r="T14" s="17">
        <f t="shared" si="6"/>
        <v>15</v>
      </c>
      <c r="U14" s="17">
        <f t="shared" si="6"/>
        <v>15</v>
      </c>
      <c r="V14" s="17">
        <f t="shared" si="6"/>
        <v>104</v>
      </c>
      <c r="W14" s="17">
        <f t="shared" si="6"/>
        <v>2</v>
      </c>
      <c r="X14" s="17">
        <f t="shared" si="6"/>
        <v>3</v>
      </c>
      <c r="Y14" s="17">
        <f t="shared" si="6"/>
        <v>10</v>
      </c>
      <c r="Z14" s="17">
        <f t="shared" si="6"/>
        <v>31</v>
      </c>
      <c r="AA14" s="17">
        <f t="shared" si="6"/>
        <v>3</v>
      </c>
      <c r="AB14" s="17">
        <f t="shared" si="6"/>
        <v>37</v>
      </c>
      <c r="AC14" s="17">
        <f t="shared" si="6"/>
        <v>87</v>
      </c>
      <c r="AD14" s="17">
        <f t="shared" si="6"/>
        <v>0</v>
      </c>
      <c r="AE14" s="31">
        <f t="shared" si="6"/>
        <v>264</v>
      </c>
      <c r="AF14" s="31">
        <f t="shared" si="6"/>
        <v>351</v>
      </c>
    </row>
    <row r="15" spans="2:32" ht="23.1" customHeight="1" x14ac:dyDescent="0.25">
      <c r="B15" s="23" t="s">
        <v>42</v>
      </c>
      <c r="C15" s="50">
        <v>10</v>
      </c>
      <c r="D15" s="50">
        <v>0</v>
      </c>
      <c r="E15" s="50">
        <v>2</v>
      </c>
      <c r="F15" s="50">
        <v>22</v>
      </c>
      <c r="G15" s="50">
        <v>1</v>
      </c>
      <c r="H15" s="50">
        <v>4</v>
      </c>
      <c r="I15" s="50">
        <v>2</v>
      </c>
      <c r="J15" s="50">
        <v>1</v>
      </c>
      <c r="K15" s="50">
        <v>0</v>
      </c>
      <c r="L15" s="50">
        <v>11</v>
      </c>
      <c r="M15" s="50">
        <v>19</v>
      </c>
      <c r="N15" s="50">
        <v>0</v>
      </c>
      <c r="O15" s="15">
        <f t="shared" si="0"/>
        <v>53</v>
      </c>
      <c r="P15" s="15">
        <f t="shared" si="1"/>
        <v>72</v>
      </c>
      <c r="R15" s="1" t="s">
        <v>11</v>
      </c>
      <c r="S15" s="17">
        <f t="shared" ref="S15:AF15" si="7">SUM(C30:C33)</f>
        <v>54</v>
      </c>
      <c r="T15" s="17">
        <f t="shared" si="7"/>
        <v>15</v>
      </c>
      <c r="U15" s="17">
        <f t="shared" si="7"/>
        <v>9</v>
      </c>
      <c r="V15" s="17">
        <f t="shared" si="7"/>
        <v>117</v>
      </c>
      <c r="W15" s="17">
        <f t="shared" si="7"/>
        <v>1</v>
      </c>
      <c r="X15" s="17">
        <f t="shared" si="7"/>
        <v>1</v>
      </c>
      <c r="Y15" s="17">
        <f t="shared" si="7"/>
        <v>12</v>
      </c>
      <c r="Z15" s="17">
        <f t="shared" si="7"/>
        <v>28</v>
      </c>
      <c r="AA15" s="17">
        <f t="shared" si="7"/>
        <v>6</v>
      </c>
      <c r="AB15" s="17">
        <f t="shared" si="7"/>
        <v>47</v>
      </c>
      <c r="AC15" s="17">
        <f t="shared" si="7"/>
        <v>79</v>
      </c>
      <c r="AD15" s="17">
        <f t="shared" si="7"/>
        <v>0</v>
      </c>
      <c r="AE15" s="31">
        <f t="shared" si="7"/>
        <v>290</v>
      </c>
      <c r="AF15" s="31">
        <f t="shared" si="7"/>
        <v>369</v>
      </c>
    </row>
    <row r="16" spans="2:32" ht="23.1" customHeight="1" x14ac:dyDescent="0.25">
      <c r="B16" s="23" t="s">
        <v>43</v>
      </c>
      <c r="C16" s="50">
        <v>16</v>
      </c>
      <c r="D16" s="50">
        <v>2</v>
      </c>
      <c r="E16" s="50">
        <v>1</v>
      </c>
      <c r="F16" s="50">
        <v>29</v>
      </c>
      <c r="G16" s="50">
        <v>6</v>
      </c>
      <c r="H16" s="50">
        <v>3</v>
      </c>
      <c r="I16" s="50">
        <v>2</v>
      </c>
      <c r="J16" s="50">
        <v>4</v>
      </c>
      <c r="K16" s="50">
        <v>2</v>
      </c>
      <c r="L16" s="50">
        <v>15</v>
      </c>
      <c r="M16" s="50">
        <v>19</v>
      </c>
      <c r="N16" s="50">
        <v>0</v>
      </c>
      <c r="O16" s="15">
        <f t="shared" si="0"/>
        <v>80</v>
      </c>
      <c r="P16" s="15">
        <f t="shared" si="1"/>
        <v>99</v>
      </c>
      <c r="R16" s="1" t="s">
        <v>12</v>
      </c>
      <c r="S16" s="17">
        <f t="shared" ref="S16:AF16" si="8">SUM(C34:C37)</f>
        <v>46</v>
      </c>
      <c r="T16" s="17">
        <f t="shared" si="8"/>
        <v>30</v>
      </c>
      <c r="U16" s="17">
        <f t="shared" si="8"/>
        <v>18</v>
      </c>
      <c r="V16" s="17">
        <f t="shared" si="8"/>
        <v>100</v>
      </c>
      <c r="W16" s="17">
        <f t="shared" si="8"/>
        <v>3</v>
      </c>
      <c r="X16" s="17">
        <f t="shared" si="8"/>
        <v>1</v>
      </c>
      <c r="Y16" s="17">
        <f t="shared" si="8"/>
        <v>9</v>
      </c>
      <c r="Z16" s="17">
        <f t="shared" si="8"/>
        <v>22</v>
      </c>
      <c r="AA16" s="17">
        <f t="shared" si="8"/>
        <v>10</v>
      </c>
      <c r="AB16" s="17">
        <f t="shared" si="8"/>
        <v>48</v>
      </c>
      <c r="AC16" s="17">
        <f t="shared" si="8"/>
        <v>99</v>
      </c>
      <c r="AD16" s="17">
        <f t="shared" si="8"/>
        <v>0</v>
      </c>
      <c r="AE16" s="31">
        <f t="shared" si="8"/>
        <v>287</v>
      </c>
      <c r="AF16" s="31">
        <f t="shared" si="8"/>
        <v>386</v>
      </c>
    </row>
    <row r="17" spans="2:32" ht="23.1" customHeight="1" x14ac:dyDescent="0.25">
      <c r="B17" s="23" t="s">
        <v>44</v>
      </c>
      <c r="C17" s="50">
        <v>6</v>
      </c>
      <c r="D17" s="50">
        <v>3</v>
      </c>
      <c r="E17" s="50">
        <v>3</v>
      </c>
      <c r="F17" s="50">
        <v>26</v>
      </c>
      <c r="G17" s="50">
        <v>1</v>
      </c>
      <c r="H17" s="50">
        <v>1</v>
      </c>
      <c r="I17" s="50">
        <v>3</v>
      </c>
      <c r="J17" s="50">
        <v>2</v>
      </c>
      <c r="K17" s="50">
        <v>1</v>
      </c>
      <c r="L17" s="50">
        <v>14</v>
      </c>
      <c r="M17" s="50">
        <v>22</v>
      </c>
      <c r="N17" s="50">
        <v>0</v>
      </c>
      <c r="O17" s="15">
        <f t="shared" si="0"/>
        <v>60</v>
      </c>
      <c r="P17" s="15">
        <f t="shared" si="1"/>
        <v>82</v>
      </c>
      <c r="R17" s="1" t="s">
        <v>13</v>
      </c>
      <c r="S17" s="17">
        <f t="shared" ref="S17:AF17" si="9">SUM(C38:C41)</f>
        <v>72</v>
      </c>
      <c r="T17" s="17">
        <f t="shared" si="9"/>
        <v>28</v>
      </c>
      <c r="U17" s="17">
        <f t="shared" si="9"/>
        <v>14</v>
      </c>
      <c r="V17" s="17">
        <f t="shared" si="9"/>
        <v>120</v>
      </c>
      <c r="W17" s="17">
        <f t="shared" si="9"/>
        <v>4</v>
      </c>
      <c r="X17" s="17">
        <f t="shared" si="9"/>
        <v>2</v>
      </c>
      <c r="Y17" s="17">
        <f t="shared" si="9"/>
        <v>12</v>
      </c>
      <c r="Z17" s="17">
        <f t="shared" si="9"/>
        <v>26</v>
      </c>
      <c r="AA17" s="17">
        <f t="shared" si="9"/>
        <v>8</v>
      </c>
      <c r="AB17" s="17">
        <f t="shared" si="9"/>
        <v>42</v>
      </c>
      <c r="AC17" s="17">
        <f t="shared" si="9"/>
        <v>80</v>
      </c>
      <c r="AD17" s="17">
        <f t="shared" si="9"/>
        <v>0</v>
      </c>
      <c r="AE17" s="31">
        <f t="shared" si="9"/>
        <v>328</v>
      </c>
      <c r="AF17" s="31">
        <f t="shared" si="9"/>
        <v>408</v>
      </c>
    </row>
    <row r="18" spans="2:32" ht="23.1" customHeight="1" x14ac:dyDescent="0.25">
      <c r="B18" s="23" t="s">
        <v>45</v>
      </c>
      <c r="C18" s="50">
        <v>18</v>
      </c>
      <c r="D18" s="50">
        <v>7</v>
      </c>
      <c r="E18" s="50">
        <v>8</v>
      </c>
      <c r="F18" s="50">
        <v>28</v>
      </c>
      <c r="G18" s="50">
        <v>1</v>
      </c>
      <c r="H18" s="50">
        <v>1</v>
      </c>
      <c r="I18" s="50">
        <v>2</v>
      </c>
      <c r="J18" s="50">
        <v>6</v>
      </c>
      <c r="K18" s="50">
        <v>1</v>
      </c>
      <c r="L18" s="50">
        <v>8</v>
      </c>
      <c r="M18" s="50">
        <v>17</v>
      </c>
      <c r="N18" s="50">
        <v>0</v>
      </c>
      <c r="O18" s="15">
        <f t="shared" si="0"/>
        <v>80</v>
      </c>
      <c r="P18" s="15">
        <f t="shared" si="1"/>
        <v>97</v>
      </c>
      <c r="R18" s="1" t="s">
        <v>14</v>
      </c>
      <c r="S18" s="17">
        <f t="shared" ref="S18:AF18" si="10">SUM(C42:C45)</f>
        <v>81</v>
      </c>
      <c r="T18" s="17">
        <f t="shared" si="10"/>
        <v>20</v>
      </c>
      <c r="U18" s="17">
        <f t="shared" si="10"/>
        <v>15</v>
      </c>
      <c r="V18" s="17">
        <f t="shared" si="10"/>
        <v>104</v>
      </c>
      <c r="W18" s="17">
        <f t="shared" si="10"/>
        <v>5</v>
      </c>
      <c r="X18" s="17">
        <f t="shared" si="10"/>
        <v>2</v>
      </c>
      <c r="Y18" s="17">
        <f t="shared" si="10"/>
        <v>13</v>
      </c>
      <c r="Z18" s="17">
        <f t="shared" si="10"/>
        <v>40</v>
      </c>
      <c r="AA18" s="17">
        <f t="shared" si="10"/>
        <v>4</v>
      </c>
      <c r="AB18" s="17">
        <f t="shared" si="10"/>
        <v>41</v>
      </c>
      <c r="AC18" s="17">
        <f t="shared" si="10"/>
        <v>105</v>
      </c>
      <c r="AD18" s="17">
        <f t="shared" si="10"/>
        <v>0</v>
      </c>
      <c r="AE18" s="31">
        <f t="shared" si="10"/>
        <v>325</v>
      </c>
      <c r="AF18" s="31">
        <f t="shared" si="10"/>
        <v>430</v>
      </c>
    </row>
    <row r="19" spans="2:32" ht="23.1" customHeight="1" x14ac:dyDescent="0.25">
      <c r="B19" s="23" t="s">
        <v>46</v>
      </c>
      <c r="C19" s="50">
        <v>11</v>
      </c>
      <c r="D19" s="50">
        <v>9</v>
      </c>
      <c r="E19" s="50">
        <v>3</v>
      </c>
      <c r="F19" s="50">
        <v>35</v>
      </c>
      <c r="G19" s="50">
        <v>1</v>
      </c>
      <c r="H19" s="50">
        <v>3</v>
      </c>
      <c r="I19" s="50">
        <v>2</v>
      </c>
      <c r="J19" s="50">
        <v>4</v>
      </c>
      <c r="K19" s="50">
        <v>2</v>
      </c>
      <c r="L19" s="50">
        <v>12</v>
      </c>
      <c r="M19" s="50">
        <v>15</v>
      </c>
      <c r="N19" s="50">
        <v>0</v>
      </c>
      <c r="O19" s="15">
        <f t="shared" si="0"/>
        <v>82</v>
      </c>
      <c r="P19" s="15">
        <f t="shared" si="1"/>
        <v>97</v>
      </c>
      <c r="R19" s="1" t="s">
        <v>15</v>
      </c>
      <c r="S19" s="17">
        <f t="shared" ref="S19:AF19" si="11">SUM(C46:C49)</f>
        <v>107</v>
      </c>
      <c r="T19" s="17">
        <f t="shared" si="11"/>
        <v>23</v>
      </c>
      <c r="U19" s="17">
        <f t="shared" si="11"/>
        <v>36</v>
      </c>
      <c r="V19" s="17">
        <f t="shared" si="11"/>
        <v>121</v>
      </c>
      <c r="W19" s="17">
        <f t="shared" si="11"/>
        <v>3</v>
      </c>
      <c r="X19" s="17">
        <f t="shared" si="11"/>
        <v>2</v>
      </c>
      <c r="Y19" s="17">
        <f t="shared" si="11"/>
        <v>12</v>
      </c>
      <c r="Z19" s="17">
        <f t="shared" si="11"/>
        <v>41</v>
      </c>
      <c r="AA19" s="17">
        <f t="shared" si="11"/>
        <v>9</v>
      </c>
      <c r="AB19" s="17">
        <f t="shared" si="11"/>
        <v>43</v>
      </c>
      <c r="AC19" s="17">
        <f t="shared" si="11"/>
        <v>111</v>
      </c>
      <c r="AD19" s="17">
        <f t="shared" si="11"/>
        <v>0</v>
      </c>
      <c r="AE19" s="31">
        <f t="shared" si="11"/>
        <v>397</v>
      </c>
      <c r="AF19" s="31">
        <f t="shared" si="11"/>
        <v>508</v>
      </c>
    </row>
    <row r="20" spans="2:32" ht="23.1" customHeight="1" x14ac:dyDescent="0.25">
      <c r="B20" s="23" t="s">
        <v>47</v>
      </c>
      <c r="C20" s="50">
        <v>7</v>
      </c>
      <c r="D20" s="50">
        <v>2</v>
      </c>
      <c r="E20" s="50">
        <v>4</v>
      </c>
      <c r="F20" s="50">
        <v>23</v>
      </c>
      <c r="G20" s="50">
        <v>3</v>
      </c>
      <c r="H20" s="50">
        <v>1</v>
      </c>
      <c r="I20" s="50">
        <v>1</v>
      </c>
      <c r="J20" s="50">
        <v>2</v>
      </c>
      <c r="K20" s="50">
        <v>0</v>
      </c>
      <c r="L20" s="50">
        <v>10</v>
      </c>
      <c r="M20" s="50">
        <v>18</v>
      </c>
      <c r="N20" s="50">
        <v>0</v>
      </c>
      <c r="O20" s="15">
        <f t="shared" si="0"/>
        <v>53</v>
      </c>
      <c r="P20" s="15">
        <f t="shared" si="1"/>
        <v>71</v>
      </c>
      <c r="R20" s="1" t="s">
        <v>16</v>
      </c>
      <c r="S20" s="17">
        <f t="shared" ref="S20:AF20" si="12">SUM(C50:C53)</f>
        <v>92</v>
      </c>
      <c r="T20" s="17">
        <f t="shared" si="12"/>
        <v>20</v>
      </c>
      <c r="U20" s="17">
        <f t="shared" si="12"/>
        <v>29</v>
      </c>
      <c r="V20" s="17">
        <f t="shared" si="12"/>
        <v>128</v>
      </c>
      <c r="W20" s="17">
        <f t="shared" si="12"/>
        <v>3</v>
      </c>
      <c r="X20" s="17">
        <f t="shared" si="12"/>
        <v>6</v>
      </c>
      <c r="Y20" s="17">
        <f t="shared" si="12"/>
        <v>17</v>
      </c>
      <c r="Z20" s="17">
        <f t="shared" si="12"/>
        <v>26</v>
      </c>
      <c r="AA20" s="17">
        <f t="shared" si="12"/>
        <v>8</v>
      </c>
      <c r="AB20" s="17">
        <f t="shared" si="12"/>
        <v>55</v>
      </c>
      <c r="AC20" s="17">
        <f t="shared" si="12"/>
        <v>108</v>
      </c>
      <c r="AD20" s="17">
        <f t="shared" si="12"/>
        <v>0</v>
      </c>
      <c r="AE20" s="31">
        <f t="shared" si="12"/>
        <v>384</v>
      </c>
      <c r="AF20" s="31">
        <f t="shared" si="12"/>
        <v>492</v>
      </c>
    </row>
    <row r="21" spans="2:32" ht="23.1" customHeight="1" x14ac:dyDescent="0.25">
      <c r="B21" s="23" t="s">
        <v>48</v>
      </c>
      <c r="C21" s="50">
        <v>10</v>
      </c>
      <c r="D21" s="50">
        <v>5</v>
      </c>
      <c r="E21" s="50">
        <v>7</v>
      </c>
      <c r="F21" s="50">
        <v>35</v>
      </c>
      <c r="G21" s="50">
        <v>2</v>
      </c>
      <c r="H21" s="50">
        <v>1</v>
      </c>
      <c r="I21" s="50">
        <v>0</v>
      </c>
      <c r="J21" s="50">
        <v>4</v>
      </c>
      <c r="K21" s="50">
        <v>2</v>
      </c>
      <c r="L21" s="50">
        <v>12</v>
      </c>
      <c r="M21" s="50">
        <v>22</v>
      </c>
      <c r="N21" s="50">
        <v>0</v>
      </c>
      <c r="O21" s="15">
        <f t="shared" si="0"/>
        <v>78</v>
      </c>
      <c r="P21" s="15">
        <f t="shared" si="1"/>
        <v>100</v>
      </c>
      <c r="R21" s="36" t="s">
        <v>20</v>
      </c>
      <c r="S21" s="34">
        <f t="shared" ref="S21:AF21" si="13">SUM(C54:C57)</f>
        <v>77</v>
      </c>
      <c r="T21" s="17">
        <f t="shared" si="13"/>
        <v>26</v>
      </c>
      <c r="U21" s="17">
        <f t="shared" si="13"/>
        <v>22</v>
      </c>
      <c r="V21" s="17">
        <f t="shared" si="13"/>
        <v>110</v>
      </c>
      <c r="W21" s="17">
        <f t="shared" si="13"/>
        <v>10</v>
      </c>
      <c r="X21" s="17">
        <f t="shared" si="13"/>
        <v>2</v>
      </c>
      <c r="Y21" s="17">
        <f t="shared" si="13"/>
        <v>2</v>
      </c>
      <c r="Z21" s="17">
        <f t="shared" si="13"/>
        <v>31</v>
      </c>
      <c r="AA21" s="17">
        <f t="shared" si="13"/>
        <v>17</v>
      </c>
      <c r="AB21" s="17">
        <f t="shared" si="13"/>
        <v>61</v>
      </c>
      <c r="AC21" s="17">
        <f t="shared" si="13"/>
        <v>91</v>
      </c>
      <c r="AD21" s="17">
        <f t="shared" si="13"/>
        <v>0</v>
      </c>
      <c r="AE21" s="31">
        <f t="shared" si="13"/>
        <v>358</v>
      </c>
      <c r="AF21" s="31">
        <f t="shared" si="13"/>
        <v>449</v>
      </c>
    </row>
    <row r="22" spans="2:32" ht="23.1" customHeight="1" x14ac:dyDescent="0.25">
      <c r="B22" s="23" t="s">
        <v>49</v>
      </c>
      <c r="C22" s="50">
        <v>16</v>
      </c>
      <c r="D22" s="50">
        <v>3</v>
      </c>
      <c r="E22" s="50">
        <v>4</v>
      </c>
      <c r="F22" s="50">
        <v>24</v>
      </c>
      <c r="G22" s="50">
        <v>0</v>
      </c>
      <c r="H22" s="50">
        <v>4</v>
      </c>
      <c r="I22" s="50">
        <v>3</v>
      </c>
      <c r="J22" s="50">
        <v>5</v>
      </c>
      <c r="K22" s="50">
        <v>0</v>
      </c>
      <c r="L22" s="50">
        <v>15</v>
      </c>
      <c r="M22" s="50">
        <v>16</v>
      </c>
      <c r="N22" s="50">
        <v>0</v>
      </c>
      <c r="O22" s="15">
        <f t="shared" si="0"/>
        <v>74</v>
      </c>
      <c r="P22" s="15">
        <f t="shared" si="1"/>
        <v>90</v>
      </c>
      <c r="R22" s="38" t="s">
        <v>90</v>
      </c>
      <c r="S22" s="39">
        <f>MAX(S10:S12)</f>
        <v>46</v>
      </c>
      <c r="T22" s="39">
        <f t="shared" ref="T22:AF22" si="14">MAX(T10:T12)</f>
        <v>23</v>
      </c>
      <c r="U22" s="39">
        <f t="shared" si="14"/>
        <v>22</v>
      </c>
      <c r="V22" s="39">
        <f t="shared" si="14"/>
        <v>121</v>
      </c>
      <c r="W22" s="39">
        <f t="shared" si="14"/>
        <v>15</v>
      </c>
      <c r="X22" s="39">
        <f t="shared" si="14"/>
        <v>8</v>
      </c>
      <c r="Y22" s="39">
        <f t="shared" si="14"/>
        <v>10</v>
      </c>
      <c r="Z22" s="39">
        <f t="shared" si="14"/>
        <v>16</v>
      </c>
      <c r="AA22" s="39">
        <f t="shared" si="14"/>
        <v>8</v>
      </c>
      <c r="AB22" s="39">
        <f t="shared" si="14"/>
        <v>53</v>
      </c>
      <c r="AC22" s="39">
        <f t="shared" si="14"/>
        <v>72</v>
      </c>
      <c r="AD22" s="39">
        <f t="shared" si="14"/>
        <v>1</v>
      </c>
      <c r="AE22" s="40">
        <f t="shared" si="14"/>
        <v>293</v>
      </c>
      <c r="AF22" s="40">
        <f t="shared" si="14"/>
        <v>365</v>
      </c>
    </row>
    <row r="23" spans="2:32" ht="23.1" customHeight="1" x14ac:dyDescent="0.25">
      <c r="B23" s="23" t="s">
        <v>50</v>
      </c>
      <c r="C23" s="50">
        <v>15</v>
      </c>
      <c r="D23" s="50">
        <v>7</v>
      </c>
      <c r="E23" s="50">
        <v>1</v>
      </c>
      <c r="F23" s="50">
        <v>27</v>
      </c>
      <c r="G23" s="50">
        <v>1</v>
      </c>
      <c r="H23" s="50">
        <v>0</v>
      </c>
      <c r="I23" s="50">
        <v>2</v>
      </c>
      <c r="J23" s="50">
        <v>5</v>
      </c>
      <c r="K23" s="50">
        <v>3</v>
      </c>
      <c r="L23" s="50">
        <v>11</v>
      </c>
      <c r="M23" s="50">
        <v>35</v>
      </c>
      <c r="N23" s="50">
        <v>0</v>
      </c>
      <c r="O23" s="15">
        <f t="shared" si="0"/>
        <v>72</v>
      </c>
      <c r="P23" s="15">
        <f t="shared" si="1"/>
        <v>107</v>
      </c>
      <c r="R23" s="38" t="s">
        <v>91</v>
      </c>
      <c r="S23" s="39">
        <f>MAX(S13:S18)</f>
        <v>81</v>
      </c>
      <c r="T23" s="39">
        <f t="shared" ref="T23:AF23" si="15">MAX(T13:T18)</f>
        <v>30</v>
      </c>
      <c r="U23" s="39">
        <f t="shared" si="15"/>
        <v>18</v>
      </c>
      <c r="V23" s="39">
        <f t="shared" si="15"/>
        <v>120</v>
      </c>
      <c r="W23" s="39">
        <f t="shared" si="15"/>
        <v>5</v>
      </c>
      <c r="X23" s="39">
        <f t="shared" si="15"/>
        <v>5</v>
      </c>
      <c r="Y23" s="39">
        <f t="shared" si="15"/>
        <v>15</v>
      </c>
      <c r="Z23" s="39">
        <f t="shared" si="15"/>
        <v>40</v>
      </c>
      <c r="AA23" s="39">
        <f t="shared" si="15"/>
        <v>10</v>
      </c>
      <c r="AB23" s="39">
        <f t="shared" si="15"/>
        <v>49</v>
      </c>
      <c r="AC23" s="39">
        <f t="shared" si="15"/>
        <v>107</v>
      </c>
      <c r="AD23" s="39">
        <f t="shared" si="15"/>
        <v>0</v>
      </c>
      <c r="AE23" s="40">
        <f t="shared" si="15"/>
        <v>328</v>
      </c>
      <c r="AF23" s="40">
        <f t="shared" si="15"/>
        <v>430</v>
      </c>
    </row>
    <row r="24" spans="2:32" ht="23.1" customHeight="1" x14ac:dyDescent="0.25">
      <c r="B24" s="23" t="s">
        <v>51</v>
      </c>
      <c r="C24" s="50">
        <v>14</v>
      </c>
      <c r="D24" s="50">
        <v>4</v>
      </c>
      <c r="E24" s="50">
        <v>2</v>
      </c>
      <c r="F24" s="50">
        <v>28</v>
      </c>
      <c r="G24" s="50">
        <v>0</v>
      </c>
      <c r="H24" s="50">
        <v>0</v>
      </c>
      <c r="I24" s="50">
        <v>4</v>
      </c>
      <c r="J24" s="50">
        <v>9</v>
      </c>
      <c r="K24" s="50">
        <v>0</v>
      </c>
      <c r="L24" s="50">
        <v>11</v>
      </c>
      <c r="M24" s="50">
        <v>23</v>
      </c>
      <c r="N24" s="50">
        <v>0</v>
      </c>
      <c r="O24" s="15">
        <f t="shared" si="0"/>
        <v>72</v>
      </c>
      <c r="P24" s="15">
        <f t="shared" si="1"/>
        <v>95</v>
      </c>
      <c r="R24" s="38" t="s">
        <v>92</v>
      </c>
      <c r="S24" s="39">
        <f>MAX(S19:S21)</f>
        <v>107</v>
      </c>
      <c r="T24" s="39">
        <f t="shared" ref="T24:AF24" si="16">MAX(T19:T21)</f>
        <v>26</v>
      </c>
      <c r="U24" s="39">
        <f t="shared" si="16"/>
        <v>36</v>
      </c>
      <c r="V24" s="39">
        <f t="shared" si="16"/>
        <v>128</v>
      </c>
      <c r="W24" s="39">
        <f t="shared" si="16"/>
        <v>10</v>
      </c>
      <c r="X24" s="39">
        <f t="shared" si="16"/>
        <v>6</v>
      </c>
      <c r="Y24" s="39">
        <f t="shared" si="16"/>
        <v>17</v>
      </c>
      <c r="Z24" s="39">
        <f t="shared" si="16"/>
        <v>41</v>
      </c>
      <c r="AA24" s="39">
        <f t="shared" si="16"/>
        <v>17</v>
      </c>
      <c r="AB24" s="39">
        <f t="shared" si="16"/>
        <v>61</v>
      </c>
      <c r="AC24" s="39">
        <f t="shared" si="16"/>
        <v>111</v>
      </c>
      <c r="AD24" s="39">
        <f t="shared" si="16"/>
        <v>0</v>
      </c>
      <c r="AE24" s="40">
        <f t="shared" si="16"/>
        <v>397</v>
      </c>
      <c r="AF24" s="40">
        <f t="shared" si="16"/>
        <v>508</v>
      </c>
    </row>
    <row r="25" spans="2:32" ht="23.1" customHeight="1" x14ac:dyDescent="0.25">
      <c r="B25" s="23" t="s">
        <v>52</v>
      </c>
      <c r="C25" s="50">
        <v>11</v>
      </c>
      <c r="D25" s="50">
        <v>12</v>
      </c>
      <c r="E25" s="50">
        <v>2</v>
      </c>
      <c r="F25" s="50">
        <v>25</v>
      </c>
      <c r="G25" s="50">
        <v>0</v>
      </c>
      <c r="H25" s="50">
        <v>1</v>
      </c>
      <c r="I25" s="50">
        <v>6</v>
      </c>
      <c r="J25" s="50">
        <v>5</v>
      </c>
      <c r="K25" s="50">
        <v>0</v>
      </c>
      <c r="L25" s="50">
        <v>12</v>
      </c>
      <c r="M25" s="50">
        <v>33</v>
      </c>
      <c r="N25" s="50">
        <v>0</v>
      </c>
      <c r="O25" s="15">
        <f t="shared" si="0"/>
        <v>74</v>
      </c>
      <c r="P25" s="15">
        <f t="shared" si="1"/>
        <v>107</v>
      </c>
      <c r="R25" s="37" t="s">
        <v>85</v>
      </c>
      <c r="S25" s="35">
        <f t="shared" ref="S25:AF25" si="17">SUM(S10:S12)</f>
        <v>116</v>
      </c>
      <c r="T25" s="16">
        <f t="shared" si="17"/>
        <v>38</v>
      </c>
      <c r="U25" s="16">
        <f t="shared" si="17"/>
        <v>35</v>
      </c>
      <c r="V25" s="16">
        <f t="shared" si="17"/>
        <v>338</v>
      </c>
      <c r="W25" s="16">
        <f t="shared" si="17"/>
        <v>31</v>
      </c>
      <c r="X25" s="16">
        <f t="shared" si="17"/>
        <v>17</v>
      </c>
      <c r="Y25" s="16">
        <f t="shared" si="17"/>
        <v>22</v>
      </c>
      <c r="Z25" s="16">
        <f t="shared" si="17"/>
        <v>34</v>
      </c>
      <c r="AA25" s="16">
        <f t="shared" si="17"/>
        <v>16</v>
      </c>
      <c r="AB25" s="16">
        <f t="shared" si="17"/>
        <v>141</v>
      </c>
      <c r="AC25" s="16">
        <f t="shared" si="17"/>
        <v>199</v>
      </c>
      <c r="AD25" s="16">
        <f t="shared" si="17"/>
        <v>1</v>
      </c>
      <c r="AE25" s="32">
        <f t="shared" si="17"/>
        <v>789</v>
      </c>
      <c r="AF25" s="32">
        <f t="shared" si="17"/>
        <v>988</v>
      </c>
    </row>
    <row r="26" spans="2:32" ht="23.1" customHeight="1" x14ac:dyDescent="0.25">
      <c r="B26" s="23" t="s">
        <v>53</v>
      </c>
      <c r="C26" s="50">
        <v>12</v>
      </c>
      <c r="D26" s="50">
        <v>5</v>
      </c>
      <c r="E26" s="50">
        <v>2</v>
      </c>
      <c r="F26" s="50">
        <v>23</v>
      </c>
      <c r="G26" s="50">
        <v>2</v>
      </c>
      <c r="H26" s="50">
        <v>0</v>
      </c>
      <c r="I26" s="50">
        <v>1</v>
      </c>
      <c r="J26" s="50">
        <v>7</v>
      </c>
      <c r="K26" s="50">
        <v>1</v>
      </c>
      <c r="L26" s="50">
        <v>10</v>
      </c>
      <c r="M26" s="50">
        <v>30</v>
      </c>
      <c r="N26" s="50">
        <v>0</v>
      </c>
      <c r="O26" s="15">
        <f t="shared" si="0"/>
        <v>63</v>
      </c>
      <c r="P26" s="15">
        <f t="shared" si="1"/>
        <v>93</v>
      </c>
      <c r="R26" s="28" t="s">
        <v>86</v>
      </c>
      <c r="S26" s="16">
        <f t="shared" ref="S26:AF26" si="18">SUM(S13:S18)</f>
        <v>353</v>
      </c>
      <c r="T26" s="16">
        <f t="shared" si="18"/>
        <v>134</v>
      </c>
      <c r="U26" s="16">
        <f t="shared" si="18"/>
        <v>80</v>
      </c>
      <c r="V26" s="16">
        <f t="shared" si="18"/>
        <v>649</v>
      </c>
      <c r="W26" s="16">
        <f t="shared" si="18"/>
        <v>16</v>
      </c>
      <c r="X26" s="16">
        <f t="shared" si="18"/>
        <v>14</v>
      </c>
      <c r="Y26" s="16">
        <f t="shared" si="18"/>
        <v>71</v>
      </c>
      <c r="Z26" s="16">
        <f t="shared" si="18"/>
        <v>171</v>
      </c>
      <c r="AA26" s="16">
        <f t="shared" si="18"/>
        <v>34</v>
      </c>
      <c r="AB26" s="16">
        <f t="shared" si="18"/>
        <v>264</v>
      </c>
      <c r="AC26" s="16">
        <f t="shared" si="18"/>
        <v>557</v>
      </c>
      <c r="AD26" s="16">
        <f t="shared" si="18"/>
        <v>0</v>
      </c>
      <c r="AE26" s="32">
        <f t="shared" si="18"/>
        <v>1786</v>
      </c>
      <c r="AF26" s="32">
        <f t="shared" si="18"/>
        <v>2343</v>
      </c>
    </row>
    <row r="27" spans="2:32" ht="23.1" customHeight="1" x14ac:dyDescent="0.25">
      <c r="B27" s="23" t="s">
        <v>54</v>
      </c>
      <c r="C27" s="50">
        <v>7</v>
      </c>
      <c r="D27" s="50">
        <v>2</v>
      </c>
      <c r="E27" s="50">
        <v>5</v>
      </c>
      <c r="F27" s="50">
        <v>24</v>
      </c>
      <c r="G27" s="50">
        <v>0</v>
      </c>
      <c r="H27" s="50">
        <v>2</v>
      </c>
      <c r="I27" s="50">
        <v>3</v>
      </c>
      <c r="J27" s="50">
        <v>9</v>
      </c>
      <c r="K27" s="50">
        <v>0</v>
      </c>
      <c r="L27" s="50">
        <v>10</v>
      </c>
      <c r="M27" s="50">
        <v>15</v>
      </c>
      <c r="N27" s="50">
        <v>0</v>
      </c>
      <c r="O27" s="15">
        <f t="shared" si="0"/>
        <v>62</v>
      </c>
      <c r="P27" s="15">
        <f t="shared" si="1"/>
        <v>77</v>
      </c>
      <c r="R27" s="29" t="s">
        <v>87</v>
      </c>
      <c r="S27" s="16">
        <f t="shared" ref="S27:AF27" si="19">SUM(S19:S21)</f>
        <v>276</v>
      </c>
      <c r="T27" s="16">
        <f t="shared" si="19"/>
        <v>69</v>
      </c>
      <c r="U27" s="16">
        <f t="shared" si="19"/>
        <v>87</v>
      </c>
      <c r="V27" s="16">
        <f t="shared" si="19"/>
        <v>359</v>
      </c>
      <c r="W27" s="16">
        <f t="shared" si="19"/>
        <v>16</v>
      </c>
      <c r="X27" s="16">
        <f t="shared" si="19"/>
        <v>10</v>
      </c>
      <c r="Y27" s="16">
        <f t="shared" si="19"/>
        <v>31</v>
      </c>
      <c r="Z27" s="16">
        <f t="shared" si="19"/>
        <v>98</v>
      </c>
      <c r="AA27" s="16">
        <f t="shared" si="19"/>
        <v>34</v>
      </c>
      <c r="AB27" s="16">
        <f t="shared" si="19"/>
        <v>159</v>
      </c>
      <c r="AC27" s="16">
        <f t="shared" si="19"/>
        <v>310</v>
      </c>
      <c r="AD27" s="16">
        <f t="shared" si="19"/>
        <v>0</v>
      </c>
      <c r="AE27" s="32">
        <f t="shared" si="19"/>
        <v>1139</v>
      </c>
      <c r="AF27" s="32">
        <f t="shared" si="19"/>
        <v>1449</v>
      </c>
    </row>
    <row r="28" spans="2:32" ht="23.1" customHeight="1" x14ac:dyDescent="0.25">
      <c r="B28" s="23" t="s">
        <v>55</v>
      </c>
      <c r="C28" s="50">
        <v>10</v>
      </c>
      <c r="D28" s="50">
        <v>6</v>
      </c>
      <c r="E28" s="50">
        <v>4</v>
      </c>
      <c r="F28" s="50">
        <v>28</v>
      </c>
      <c r="G28" s="50">
        <v>0</v>
      </c>
      <c r="H28" s="50">
        <v>1</v>
      </c>
      <c r="I28" s="50">
        <v>5</v>
      </c>
      <c r="J28" s="50">
        <v>4</v>
      </c>
      <c r="K28" s="50">
        <v>1</v>
      </c>
      <c r="L28" s="50">
        <v>11</v>
      </c>
      <c r="M28" s="50">
        <v>23</v>
      </c>
      <c r="N28" s="50">
        <v>0</v>
      </c>
      <c r="O28" s="15">
        <f t="shared" si="0"/>
        <v>70</v>
      </c>
      <c r="P28" s="15">
        <f t="shared" si="1"/>
        <v>93</v>
      </c>
      <c r="R28" s="5" t="s">
        <v>17</v>
      </c>
      <c r="S28" s="16">
        <f t="shared" ref="S28:AF28" si="20">SUM(S10:S21)</f>
        <v>745</v>
      </c>
      <c r="T28" s="16">
        <f t="shared" si="20"/>
        <v>241</v>
      </c>
      <c r="U28" s="16">
        <f t="shared" si="20"/>
        <v>202</v>
      </c>
      <c r="V28" s="16">
        <f t="shared" si="20"/>
        <v>1346</v>
      </c>
      <c r="W28" s="16">
        <f t="shared" si="20"/>
        <v>63</v>
      </c>
      <c r="X28" s="16">
        <f t="shared" si="20"/>
        <v>41</v>
      </c>
      <c r="Y28" s="16">
        <f t="shared" si="20"/>
        <v>124</v>
      </c>
      <c r="Z28" s="16">
        <f t="shared" si="20"/>
        <v>303</v>
      </c>
      <c r="AA28" s="16">
        <f t="shared" si="20"/>
        <v>84</v>
      </c>
      <c r="AB28" s="16">
        <f t="shared" si="20"/>
        <v>564</v>
      </c>
      <c r="AC28" s="16">
        <f t="shared" si="20"/>
        <v>1066</v>
      </c>
      <c r="AD28" s="16">
        <f t="shared" si="20"/>
        <v>1</v>
      </c>
      <c r="AE28" s="32">
        <f t="shared" si="20"/>
        <v>3714</v>
      </c>
      <c r="AF28" s="32">
        <f t="shared" si="20"/>
        <v>4780</v>
      </c>
    </row>
    <row r="29" spans="2:32" ht="23.1" customHeight="1" x14ac:dyDescent="0.25">
      <c r="B29" s="23" t="s">
        <v>56</v>
      </c>
      <c r="C29" s="50">
        <v>15</v>
      </c>
      <c r="D29" s="50">
        <v>2</v>
      </c>
      <c r="E29" s="50">
        <v>4</v>
      </c>
      <c r="F29" s="50">
        <v>29</v>
      </c>
      <c r="G29" s="50">
        <v>0</v>
      </c>
      <c r="H29" s="50">
        <v>0</v>
      </c>
      <c r="I29" s="50">
        <v>1</v>
      </c>
      <c r="J29" s="50">
        <v>11</v>
      </c>
      <c r="K29" s="50">
        <v>1</v>
      </c>
      <c r="L29" s="50">
        <v>6</v>
      </c>
      <c r="M29" s="50">
        <v>19</v>
      </c>
      <c r="N29" s="50">
        <v>0</v>
      </c>
      <c r="O29" s="15">
        <f t="shared" si="0"/>
        <v>69</v>
      </c>
      <c r="P29" s="15">
        <f t="shared" si="1"/>
        <v>88</v>
      </c>
      <c r="R29"/>
      <c r="S29" s="20"/>
      <c r="T29" s="19"/>
    </row>
    <row r="30" spans="2:32" ht="23.1" customHeight="1" x14ac:dyDescent="0.25">
      <c r="B30" s="23" t="s">
        <v>57</v>
      </c>
      <c r="C30" s="50">
        <v>18</v>
      </c>
      <c r="D30" s="50">
        <v>2</v>
      </c>
      <c r="E30" s="50">
        <v>2</v>
      </c>
      <c r="F30" s="50">
        <v>29</v>
      </c>
      <c r="G30" s="50">
        <v>0</v>
      </c>
      <c r="H30" s="50">
        <v>0</v>
      </c>
      <c r="I30" s="50">
        <v>2</v>
      </c>
      <c r="J30" s="50">
        <v>7</v>
      </c>
      <c r="K30" s="50">
        <v>4</v>
      </c>
      <c r="L30" s="50">
        <v>15</v>
      </c>
      <c r="M30" s="50">
        <v>16</v>
      </c>
      <c r="N30" s="50">
        <v>0</v>
      </c>
      <c r="O30" s="15">
        <f t="shared" si="0"/>
        <v>79</v>
      </c>
      <c r="P30" s="15">
        <f t="shared" si="1"/>
        <v>95</v>
      </c>
    </row>
    <row r="31" spans="2:32" ht="23.1" customHeight="1" x14ac:dyDescent="0.25">
      <c r="B31" s="24" t="s">
        <v>58</v>
      </c>
      <c r="C31" s="50">
        <v>12</v>
      </c>
      <c r="D31" s="50">
        <v>2</v>
      </c>
      <c r="E31" s="50">
        <v>2</v>
      </c>
      <c r="F31" s="50">
        <v>34</v>
      </c>
      <c r="G31" s="50">
        <v>1</v>
      </c>
      <c r="H31" s="50">
        <v>0</v>
      </c>
      <c r="I31" s="50">
        <v>4</v>
      </c>
      <c r="J31" s="50">
        <v>6</v>
      </c>
      <c r="K31" s="50">
        <v>0</v>
      </c>
      <c r="L31" s="50">
        <v>7</v>
      </c>
      <c r="M31" s="50">
        <v>24</v>
      </c>
      <c r="N31" s="50">
        <v>0</v>
      </c>
      <c r="O31" s="15">
        <f t="shared" si="0"/>
        <v>68</v>
      </c>
      <c r="P31" s="15">
        <f t="shared" si="1"/>
        <v>92</v>
      </c>
    </row>
    <row r="32" spans="2:32" ht="23.1" customHeight="1" x14ac:dyDescent="0.25">
      <c r="B32" s="24" t="s">
        <v>59</v>
      </c>
      <c r="C32" s="50">
        <v>12</v>
      </c>
      <c r="D32" s="50">
        <v>7</v>
      </c>
      <c r="E32" s="50">
        <v>5</v>
      </c>
      <c r="F32" s="50">
        <v>30</v>
      </c>
      <c r="G32" s="50">
        <v>0</v>
      </c>
      <c r="H32" s="50">
        <v>0</v>
      </c>
      <c r="I32" s="50">
        <v>3</v>
      </c>
      <c r="J32" s="50">
        <v>7</v>
      </c>
      <c r="K32" s="50">
        <v>0</v>
      </c>
      <c r="L32" s="50">
        <v>10</v>
      </c>
      <c r="M32" s="50">
        <v>21</v>
      </c>
      <c r="N32" s="50">
        <v>0</v>
      </c>
      <c r="O32" s="15">
        <f t="shared" si="0"/>
        <v>74</v>
      </c>
      <c r="P32" s="15">
        <f t="shared" si="1"/>
        <v>95</v>
      </c>
    </row>
    <row r="33" spans="2:20" ht="23.1" customHeight="1" x14ac:dyDescent="0.25">
      <c r="B33" s="23" t="s">
        <v>60</v>
      </c>
      <c r="C33" s="50">
        <v>12</v>
      </c>
      <c r="D33" s="50">
        <v>4</v>
      </c>
      <c r="E33" s="50">
        <v>0</v>
      </c>
      <c r="F33" s="50">
        <v>24</v>
      </c>
      <c r="G33" s="50">
        <v>0</v>
      </c>
      <c r="H33" s="50">
        <v>1</v>
      </c>
      <c r="I33" s="50">
        <v>3</v>
      </c>
      <c r="J33" s="50">
        <v>8</v>
      </c>
      <c r="K33" s="50">
        <v>2</v>
      </c>
      <c r="L33" s="50">
        <v>15</v>
      </c>
      <c r="M33" s="50">
        <v>18</v>
      </c>
      <c r="N33" s="50">
        <v>0</v>
      </c>
      <c r="O33" s="15">
        <f t="shared" si="0"/>
        <v>69</v>
      </c>
      <c r="P33" s="15">
        <f t="shared" si="1"/>
        <v>87</v>
      </c>
    </row>
    <row r="34" spans="2:20" ht="23.1" customHeight="1" x14ac:dyDescent="0.25">
      <c r="B34" s="24" t="s">
        <v>61</v>
      </c>
      <c r="C34" s="50">
        <v>9</v>
      </c>
      <c r="D34" s="50">
        <v>6</v>
      </c>
      <c r="E34" s="50">
        <v>5</v>
      </c>
      <c r="F34" s="50">
        <v>22</v>
      </c>
      <c r="G34" s="50">
        <v>0</v>
      </c>
      <c r="H34" s="50">
        <v>0</v>
      </c>
      <c r="I34" s="50">
        <v>1</v>
      </c>
      <c r="J34" s="50">
        <v>1</v>
      </c>
      <c r="K34" s="50">
        <v>3</v>
      </c>
      <c r="L34" s="50">
        <v>12</v>
      </c>
      <c r="M34" s="50">
        <v>26</v>
      </c>
      <c r="N34" s="50">
        <v>0</v>
      </c>
      <c r="O34" s="15">
        <f t="shared" si="0"/>
        <v>59</v>
      </c>
      <c r="P34" s="15">
        <f t="shared" si="1"/>
        <v>85</v>
      </c>
    </row>
    <row r="35" spans="2:20" ht="23.1" customHeight="1" x14ac:dyDescent="0.25">
      <c r="B35" s="24" t="s">
        <v>62</v>
      </c>
      <c r="C35" s="50">
        <v>11</v>
      </c>
      <c r="D35" s="50">
        <v>12</v>
      </c>
      <c r="E35" s="50">
        <v>2</v>
      </c>
      <c r="F35" s="50">
        <v>36</v>
      </c>
      <c r="G35" s="50">
        <v>1</v>
      </c>
      <c r="H35" s="50">
        <v>0</v>
      </c>
      <c r="I35" s="50">
        <v>5</v>
      </c>
      <c r="J35" s="50">
        <v>12</v>
      </c>
      <c r="K35" s="50">
        <v>5</v>
      </c>
      <c r="L35" s="50">
        <v>15</v>
      </c>
      <c r="M35" s="50">
        <v>35</v>
      </c>
      <c r="N35" s="50">
        <v>0</v>
      </c>
      <c r="O35" s="15">
        <f t="shared" si="0"/>
        <v>99</v>
      </c>
      <c r="P35" s="15">
        <f t="shared" si="1"/>
        <v>134</v>
      </c>
    </row>
    <row r="36" spans="2:20" ht="23.1" customHeight="1" x14ac:dyDescent="0.25">
      <c r="B36" s="24" t="s">
        <v>63</v>
      </c>
      <c r="C36" s="50">
        <v>14</v>
      </c>
      <c r="D36" s="50">
        <v>8</v>
      </c>
      <c r="E36" s="50">
        <v>9</v>
      </c>
      <c r="F36" s="50">
        <v>23</v>
      </c>
      <c r="G36" s="50">
        <v>1</v>
      </c>
      <c r="H36" s="50">
        <v>1</v>
      </c>
      <c r="I36" s="50">
        <v>1</v>
      </c>
      <c r="J36" s="50">
        <v>4</v>
      </c>
      <c r="K36" s="50">
        <v>2</v>
      </c>
      <c r="L36" s="50">
        <v>5</v>
      </c>
      <c r="M36" s="50">
        <v>16</v>
      </c>
      <c r="N36" s="50">
        <v>0</v>
      </c>
      <c r="O36" s="15">
        <f t="shared" si="0"/>
        <v>68</v>
      </c>
      <c r="P36" s="15">
        <f t="shared" si="1"/>
        <v>84</v>
      </c>
    </row>
    <row r="37" spans="2:20" ht="23.1" customHeight="1" x14ac:dyDescent="0.25">
      <c r="B37" s="23" t="s">
        <v>64</v>
      </c>
      <c r="C37" s="50">
        <v>12</v>
      </c>
      <c r="D37" s="50">
        <v>4</v>
      </c>
      <c r="E37" s="50">
        <v>2</v>
      </c>
      <c r="F37" s="50">
        <v>19</v>
      </c>
      <c r="G37" s="50">
        <v>1</v>
      </c>
      <c r="H37" s="50">
        <v>0</v>
      </c>
      <c r="I37" s="50">
        <v>2</v>
      </c>
      <c r="J37" s="50">
        <v>5</v>
      </c>
      <c r="K37" s="50">
        <v>0</v>
      </c>
      <c r="L37" s="50">
        <v>16</v>
      </c>
      <c r="M37" s="50">
        <v>22</v>
      </c>
      <c r="N37" s="50">
        <v>0</v>
      </c>
      <c r="O37" s="15">
        <f t="shared" si="0"/>
        <v>61</v>
      </c>
      <c r="P37" s="15">
        <f t="shared" si="1"/>
        <v>83</v>
      </c>
    </row>
    <row r="38" spans="2:20" ht="23.1" customHeight="1" x14ac:dyDescent="0.25">
      <c r="B38" s="24" t="s">
        <v>65</v>
      </c>
      <c r="C38" s="50">
        <v>18</v>
      </c>
      <c r="D38" s="50">
        <v>9</v>
      </c>
      <c r="E38" s="50">
        <v>4</v>
      </c>
      <c r="F38" s="50">
        <v>23</v>
      </c>
      <c r="G38" s="50">
        <v>0</v>
      </c>
      <c r="H38" s="50">
        <v>1</v>
      </c>
      <c r="I38" s="50">
        <v>4</v>
      </c>
      <c r="J38" s="50">
        <v>2</v>
      </c>
      <c r="K38" s="50">
        <v>1</v>
      </c>
      <c r="L38" s="50">
        <v>12</v>
      </c>
      <c r="M38" s="50">
        <v>17</v>
      </c>
      <c r="N38" s="50">
        <v>0</v>
      </c>
      <c r="O38" s="15">
        <f t="shared" si="0"/>
        <v>74</v>
      </c>
      <c r="P38" s="15">
        <f t="shared" si="1"/>
        <v>91</v>
      </c>
    </row>
    <row r="39" spans="2:20" ht="23.1" customHeight="1" x14ac:dyDescent="0.25">
      <c r="B39" s="24" t="s">
        <v>66</v>
      </c>
      <c r="C39" s="50">
        <v>21</v>
      </c>
      <c r="D39" s="50">
        <v>8</v>
      </c>
      <c r="E39" s="50">
        <v>2</v>
      </c>
      <c r="F39" s="50">
        <v>25</v>
      </c>
      <c r="G39" s="50">
        <v>2</v>
      </c>
      <c r="H39" s="50">
        <v>0</v>
      </c>
      <c r="I39" s="50">
        <v>5</v>
      </c>
      <c r="J39" s="50">
        <v>7</v>
      </c>
      <c r="K39" s="50">
        <v>2</v>
      </c>
      <c r="L39" s="50">
        <v>13</v>
      </c>
      <c r="M39" s="50">
        <v>20</v>
      </c>
      <c r="N39" s="50">
        <v>0</v>
      </c>
      <c r="O39" s="15">
        <f t="shared" si="0"/>
        <v>85</v>
      </c>
      <c r="P39" s="15">
        <f t="shared" si="1"/>
        <v>105</v>
      </c>
    </row>
    <row r="40" spans="2:20" ht="23.1" customHeight="1" x14ac:dyDescent="0.25">
      <c r="B40" s="24" t="s">
        <v>67</v>
      </c>
      <c r="C40" s="50">
        <v>23</v>
      </c>
      <c r="D40" s="50">
        <v>7</v>
      </c>
      <c r="E40" s="50">
        <v>5</v>
      </c>
      <c r="F40" s="50">
        <v>33</v>
      </c>
      <c r="G40" s="50">
        <v>0</v>
      </c>
      <c r="H40" s="50">
        <v>1</v>
      </c>
      <c r="I40" s="50">
        <v>3</v>
      </c>
      <c r="J40" s="50">
        <v>10</v>
      </c>
      <c r="K40" s="50">
        <v>5</v>
      </c>
      <c r="L40" s="50">
        <v>12</v>
      </c>
      <c r="M40" s="50">
        <v>25</v>
      </c>
      <c r="N40" s="50">
        <v>0</v>
      </c>
      <c r="O40" s="15">
        <f t="shared" si="0"/>
        <v>99</v>
      </c>
      <c r="P40" s="15">
        <f t="shared" si="1"/>
        <v>124</v>
      </c>
    </row>
    <row r="41" spans="2:20" ht="23.1" customHeight="1" x14ac:dyDescent="0.25">
      <c r="B41" s="23" t="s">
        <v>68</v>
      </c>
      <c r="C41" s="50">
        <v>10</v>
      </c>
      <c r="D41" s="50">
        <v>4</v>
      </c>
      <c r="E41" s="50">
        <v>3</v>
      </c>
      <c r="F41" s="50">
        <v>39</v>
      </c>
      <c r="G41" s="50">
        <v>2</v>
      </c>
      <c r="H41" s="50">
        <v>0</v>
      </c>
      <c r="I41" s="50">
        <v>0</v>
      </c>
      <c r="J41" s="50">
        <v>7</v>
      </c>
      <c r="K41" s="50">
        <v>0</v>
      </c>
      <c r="L41" s="50">
        <v>5</v>
      </c>
      <c r="M41" s="50">
        <v>18</v>
      </c>
      <c r="N41" s="50">
        <v>0</v>
      </c>
      <c r="O41" s="15">
        <f t="shared" si="0"/>
        <v>70</v>
      </c>
      <c r="P41" s="15">
        <f t="shared" si="1"/>
        <v>88</v>
      </c>
    </row>
    <row r="42" spans="2:20" ht="23.1" customHeight="1" x14ac:dyDescent="0.25">
      <c r="B42" s="24" t="s">
        <v>69</v>
      </c>
      <c r="C42" s="50">
        <v>13</v>
      </c>
      <c r="D42" s="50">
        <v>7</v>
      </c>
      <c r="E42" s="50">
        <v>4</v>
      </c>
      <c r="F42" s="50">
        <v>29</v>
      </c>
      <c r="G42" s="50">
        <v>4</v>
      </c>
      <c r="H42" s="50">
        <v>1</v>
      </c>
      <c r="I42" s="50">
        <v>2</v>
      </c>
      <c r="J42" s="50">
        <v>8</v>
      </c>
      <c r="K42" s="50">
        <v>3</v>
      </c>
      <c r="L42" s="50">
        <v>11</v>
      </c>
      <c r="M42" s="50">
        <v>29</v>
      </c>
      <c r="N42" s="50">
        <v>0</v>
      </c>
      <c r="O42" s="15">
        <f t="shared" si="0"/>
        <v>82</v>
      </c>
      <c r="P42" s="15">
        <f t="shared" si="1"/>
        <v>111</v>
      </c>
    </row>
    <row r="43" spans="2:20" ht="23.1" customHeight="1" x14ac:dyDescent="0.25">
      <c r="B43" s="23" t="s">
        <v>70</v>
      </c>
      <c r="C43" s="50">
        <v>20</v>
      </c>
      <c r="D43" s="50">
        <v>4</v>
      </c>
      <c r="E43" s="50">
        <v>4</v>
      </c>
      <c r="F43" s="50">
        <v>27</v>
      </c>
      <c r="G43" s="50">
        <v>0</v>
      </c>
      <c r="H43" s="50">
        <v>0</v>
      </c>
      <c r="I43" s="50">
        <v>7</v>
      </c>
      <c r="J43" s="50">
        <v>4</v>
      </c>
      <c r="K43" s="50">
        <v>1</v>
      </c>
      <c r="L43" s="50">
        <v>15</v>
      </c>
      <c r="M43" s="50">
        <v>26</v>
      </c>
      <c r="N43" s="50">
        <v>0</v>
      </c>
      <c r="O43" s="15">
        <f t="shared" si="0"/>
        <v>82</v>
      </c>
      <c r="P43" s="15">
        <f t="shared" si="1"/>
        <v>108</v>
      </c>
    </row>
    <row r="44" spans="2:20" ht="23.1" customHeight="1" x14ac:dyDescent="0.25">
      <c r="B44" s="25" t="s">
        <v>71</v>
      </c>
      <c r="C44" s="50">
        <v>20</v>
      </c>
      <c r="D44" s="50">
        <v>4</v>
      </c>
      <c r="E44" s="50">
        <v>4</v>
      </c>
      <c r="F44" s="50">
        <v>20</v>
      </c>
      <c r="G44" s="50">
        <v>0</v>
      </c>
      <c r="H44" s="50">
        <v>1</v>
      </c>
      <c r="I44" s="50">
        <v>2</v>
      </c>
      <c r="J44" s="50">
        <v>14</v>
      </c>
      <c r="K44" s="50">
        <v>0</v>
      </c>
      <c r="L44" s="50">
        <v>5</v>
      </c>
      <c r="M44" s="50">
        <v>23</v>
      </c>
      <c r="N44" s="50">
        <v>0</v>
      </c>
      <c r="O44" s="15">
        <f t="shared" si="0"/>
        <v>70</v>
      </c>
      <c r="P44" s="15">
        <f t="shared" si="1"/>
        <v>93</v>
      </c>
    </row>
    <row r="45" spans="2:20" ht="23.1" customHeight="1" x14ac:dyDescent="0.25">
      <c r="B45" s="23" t="s">
        <v>72</v>
      </c>
      <c r="C45" s="50">
        <v>28</v>
      </c>
      <c r="D45" s="50">
        <v>5</v>
      </c>
      <c r="E45" s="50">
        <v>3</v>
      </c>
      <c r="F45" s="50">
        <v>28</v>
      </c>
      <c r="G45" s="50">
        <v>1</v>
      </c>
      <c r="H45" s="50">
        <v>0</v>
      </c>
      <c r="I45" s="50">
        <v>2</v>
      </c>
      <c r="J45" s="50">
        <v>14</v>
      </c>
      <c r="K45" s="50">
        <v>0</v>
      </c>
      <c r="L45" s="50">
        <v>10</v>
      </c>
      <c r="M45" s="50">
        <v>27</v>
      </c>
      <c r="N45" s="50">
        <v>0</v>
      </c>
      <c r="O45" s="15">
        <f t="shared" si="0"/>
        <v>91</v>
      </c>
      <c r="P45" s="15">
        <f t="shared" si="1"/>
        <v>118</v>
      </c>
    </row>
    <row r="46" spans="2:20" ht="23.1" customHeight="1" x14ac:dyDescent="0.25">
      <c r="B46" s="24" t="s">
        <v>73</v>
      </c>
      <c r="C46" s="50">
        <v>26</v>
      </c>
      <c r="D46" s="50">
        <v>4</v>
      </c>
      <c r="E46" s="50">
        <v>9</v>
      </c>
      <c r="F46" s="50">
        <v>29</v>
      </c>
      <c r="G46" s="50">
        <v>1</v>
      </c>
      <c r="H46" s="50">
        <v>0</v>
      </c>
      <c r="I46" s="50">
        <v>4</v>
      </c>
      <c r="J46" s="50">
        <v>13</v>
      </c>
      <c r="K46" s="50">
        <v>1</v>
      </c>
      <c r="L46" s="50">
        <v>8</v>
      </c>
      <c r="M46" s="50">
        <v>28</v>
      </c>
      <c r="N46" s="50">
        <v>0</v>
      </c>
      <c r="O46" s="15">
        <f t="shared" si="0"/>
        <v>95</v>
      </c>
      <c r="P46" s="15">
        <f t="shared" si="1"/>
        <v>123</v>
      </c>
      <c r="R46" s="8"/>
      <c r="T46"/>
    </row>
    <row r="47" spans="2:20" ht="23.1" customHeight="1" x14ac:dyDescent="0.25">
      <c r="B47" s="24" t="s">
        <v>74</v>
      </c>
      <c r="C47" s="50">
        <v>28</v>
      </c>
      <c r="D47" s="50">
        <v>11</v>
      </c>
      <c r="E47" s="50">
        <v>7</v>
      </c>
      <c r="F47" s="50">
        <v>31</v>
      </c>
      <c r="G47" s="50">
        <v>1</v>
      </c>
      <c r="H47" s="50">
        <v>0</v>
      </c>
      <c r="I47" s="50">
        <v>1</v>
      </c>
      <c r="J47" s="50">
        <v>4</v>
      </c>
      <c r="K47" s="50">
        <v>6</v>
      </c>
      <c r="L47" s="50">
        <v>8</v>
      </c>
      <c r="M47" s="50">
        <v>21</v>
      </c>
      <c r="N47" s="50">
        <v>0</v>
      </c>
      <c r="O47" s="15">
        <f t="shared" si="0"/>
        <v>97</v>
      </c>
      <c r="P47" s="15">
        <f t="shared" si="1"/>
        <v>118</v>
      </c>
      <c r="R47" s="8"/>
      <c r="T47"/>
    </row>
    <row r="48" spans="2:20" ht="23.1" customHeight="1" x14ac:dyDescent="0.25">
      <c r="B48" s="24" t="s">
        <v>75</v>
      </c>
      <c r="C48" s="50">
        <v>31</v>
      </c>
      <c r="D48" s="50">
        <v>6</v>
      </c>
      <c r="E48" s="50">
        <v>10</v>
      </c>
      <c r="F48" s="50">
        <v>29</v>
      </c>
      <c r="G48" s="50">
        <v>1</v>
      </c>
      <c r="H48" s="50">
        <v>1</v>
      </c>
      <c r="I48" s="50">
        <v>4</v>
      </c>
      <c r="J48" s="50">
        <v>11</v>
      </c>
      <c r="K48" s="50">
        <v>0</v>
      </c>
      <c r="L48" s="50">
        <v>11</v>
      </c>
      <c r="M48" s="50">
        <v>36</v>
      </c>
      <c r="N48" s="50">
        <v>0</v>
      </c>
      <c r="O48" s="15">
        <f t="shared" si="0"/>
        <v>104</v>
      </c>
      <c r="P48" s="15">
        <f t="shared" si="1"/>
        <v>140</v>
      </c>
      <c r="R48" s="8"/>
      <c r="T48"/>
    </row>
    <row r="49" spans="2:20" ht="23.1" customHeight="1" x14ac:dyDescent="0.25">
      <c r="B49" s="23" t="s">
        <v>76</v>
      </c>
      <c r="C49" s="50">
        <v>22</v>
      </c>
      <c r="D49" s="50">
        <v>2</v>
      </c>
      <c r="E49" s="50">
        <v>10</v>
      </c>
      <c r="F49" s="50">
        <v>32</v>
      </c>
      <c r="G49" s="50">
        <v>0</v>
      </c>
      <c r="H49" s="50">
        <v>1</v>
      </c>
      <c r="I49" s="50">
        <v>3</v>
      </c>
      <c r="J49" s="50">
        <v>13</v>
      </c>
      <c r="K49" s="50">
        <v>2</v>
      </c>
      <c r="L49" s="50">
        <v>16</v>
      </c>
      <c r="M49" s="50">
        <v>26</v>
      </c>
      <c r="N49" s="50">
        <v>0</v>
      </c>
      <c r="O49" s="15">
        <f t="shared" si="0"/>
        <v>101</v>
      </c>
      <c r="P49" s="15">
        <f t="shared" si="1"/>
        <v>127</v>
      </c>
      <c r="R49" s="8"/>
      <c r="T49"/>
    </row>
    <row r="50" spans="2:20" ht="23.1" customHeight="1" x14ac:dyDescent="0.25">
      <c r="B50" s="24" t="s">
        <v>77</v>
      </c>
      <c r="C50" s="50">
        <v>23</v>
      </c>
      <c r="D50" s="50">
        <v>3</v>
      </c>
      <c r="E50" s="50">
        <v>8</v>
      </c>
      <c r="F50" s="50">
        <v>29</v>
      </c>
      <c r="G50" s="50">
        <v>0</v>
      </c>
      <c r="H50" s="50">
        <v>0</v>
      </c>
      <c r="I50" s="50">
        <v>3</v>
      </c>
      <c r="J50" s="50">
        <v>4</v>
      </c>
      <c r="K50" s="50">
        <v>1</v>
      </c>
      <c r="L50" s="50">
        <v>15</v>
      </c>
      <c r="M50" s="50">
        <v>23</v>
      </c>
      <c r="N50" s="50">
        <v>0</v>
      </c>
      <c r="O50" s="15">
        <f t="shared" si="0"/>
        <v>86</v>
      </c>
      <c r="P50" s="15">
        <f t="shared" si="1"/>
        <v>109</v>
      </c>
      <c r="R50" s="8"/>
      <c r="T50"/>
    </row>
    <row r="51" spans="2:20" ht="23.1" customHeight="1" x14ac:dyDescent="0.25">
      <c r="B51" s="24" t="s">
        <v>78</v>
      </c>
      <c r="C51" s="50">
        <v>25</v>
      </c>
      <c r="D51" s="50">
        <v>4</v>
      </c>
      <c r="E51" s="50">
        <v>9</v>
      </c>
      <c r="F51" s="50">
        <v>34</v>
      </c>
      <c r="G51" s="50">
        <v>1</v>
      </c>
      <c r="H51" s="50">
        <v>0</v>
      </c>
      <c r="I51" s="50">
        <v>3</v>
      </c>
      <c r="J51" s="50">
        <v>5</v>
      </c>
      <c r="K51" s="50">
        <v>2</v>
      </c>
      <c r="L51" s="50">
        <v>11</v>
      </c>
      <c r="M51" s="50">
        <v>34</v>
      </c>
      <c r="N51" s="50">
        <v>0</v>
      </c>
      <c r="O51" s="15">
        <f t="shared" si="0"/>
        <v>94</v>
      </c>
      <c r="P51" s="15">
        <f t="shared" si="1"/>
        <v>128</v>
      </c>
      <c r="R51" s="8"/>
      <c r="T51"/>
    </row>
    <row r="52" spans="2:20" ht="23.1" customHeight="1" x14ac:dyDescent="0.25">
      <c r="B52" s="24" t="s">
        <v>79</v>
      </c>
      <c r="C52" s="50">
        <v>19</v>
      </c>
      <c r="D52" s="50">
        <v>4</v>
      </c>
      <c r="E52" s="50">
        <v>8</v>
      </c>
      <c r="F52" s="50">
        <v>30</v>
      </c>
      <c r="G52" s="50">
        <v>0</v>
      </c>
      <c r="H52" s="50">
        <v>1</v>
      </c>
      <c r="I52" s="50">
        <v>5</v>
      </c>
      <c r="J52" s="50">
        <v>4</v>
      </c>
      <c r="K52" s="50">
        <v>4</v>
      </c>
      <c r="L52" s="50">
        <v>14</v>
      </c>
      <c r="M52" s="50">
        <v>27</v>
      </c>
      <c r="N52" s="50">
        <v>0</v>
      </c>
      <c r="O52" s="15">
        <f t="shared" si="0"/>
        <v>89</v>
      </c>
      <c r="P52" s="15">
        <f t="shared" si="1"/>
        <v>116</v>
      </c>
      <c r="R52" s="8"/>
      <c r="T52"/>
    </row>
    <row r="53" spans="2:20" ht="23.1" customHeight="1" x14ac:dyDescent="0.25">
      <c r="B53" s="23" t="s">
        <v>80</v>
      </c>
      <c r="C53" s="50">
        <v>25</v>
      </c>
      <c r="D53" s="50">
        <v>9</v>
      </c>
      <c r="E53" s="50">
        <v>4</v>
      </c>
      <c r="F53" s="50">
        <v>35</v>
      </c>
      <c r="G53" s="50">
        <v>2</v>
      </c>
      <c r="H53" s="50">
        <v>5</v>
      </c>
      <c r="I53" s="50">
        <v>6</v>
      </c>
      <c r="J53" s="50">
        <v>13</v>
      </c>
      <c r="K53" s="50">
        <v>1</v>
      </c>
      <c r="L53" s="50">
        <v>15</v>
      </c>
      <c r="M53" s="50">
        <v>24</v>
      </c>
      <c r="N53" s="50">
        <v>0</v>
      </c>
      <c r="O53" s="15">
        <f t="shared" si="0"/>
        <v>115</v>
      </c>
      <c r="P53" s="15">
        <f t="shared" si="1"/>
        <v>139</v>
      </c>
      <c r="R53" s="8"/>
      <c r="T53"/>
    </row>
    <row r="54" spans="2:20" ht="23.1" customHeight="1" x14ac:dyDescent="0.25">
      <c r="B54" s="23" t="s">
        <v>81</v>
      </c>
      <c r="C54" s="50">
        <v>15</v>
      </c>
      <c r="D54" s="50">
        <v>4</v>
      </c>
      <c r="E54" s="50">
        <v>4</v>
      </c>
      <c r="F54" s="50">
        <v>22</v>
      </c>
      <c r="G54" s="50">
        <v>5</v>
      </c>
      <c r="H54" s="50">
        <v>2</v>
      </c>
      <c r="I54" s="50">
        <v>0</v>
      </c>
      <c r="J54" s="50">
        <v>8</v>
      </c>
      <c r="K54" s="50">
        <v>3</v>
      </c>
      <c r="L54" s="50">
        <v>16</v>
      </c>
      <c r="M54" s="50">
        <v>27</v>
      </c>
      <c r="N54" s="50">
        <v>0</v>
      </c>
      <c r="O54" s="15">
        <f t="shared" si="0"/>
        <v>79</v>
      </c>
      <c r="P54" s="15">
        <f t="shared" si="1"/>
        <v>106</v>
      </c>
      <c r="R54" s="8"/>
      <c r="T54"/>
    </row>
    <row r="55" spans="2:20" ht="23.1" customHeight="1" x14ac:dyDescent="0.25">
      <c r="B55" s="23" t="s">
        <v>82</v>
      </c>
      <c r="C55" s="50">
        <v>24</v>
      </c>
      <c r="D55" s="50">
        <v>7</v>
      </c>
      <c r="E55" s="50">
        <v>11</v>
      </c>
      <c r="F55" s="50">
        <v>37</v>
      </c>
      <c r="G55" s="50">
        <v>1</v>
      </c>
      <c r="H55" s="50">
        <v>0</v>
      </c>
      <c r="I55" s="50">
        <v>0</v>
      </c>
      <c r="J55" s="50">
        <v>12</v>
      </c>
      <c r="K55" s="50">
        <v>6</v>
      </c>
      <c r="L55" s="50">
        <v>17</v>
      </c>
      <c r="M55" s="50">
        <v>17</v>
      </c>
      <c r="N55" s="50">
        <v>0</v>
      </c>
      <c r="O55" s="15">
        <f t="shared" si="0"/>
        <v>115</v>
      </c>
      <c r="P55" s="15">
        <f t="shared" si="1"/>
        <v>132</v>
      </c>
      <c r="R55" s="8"/>
      <c r="T55"/>
    </row>
    <row r="56" spans="2:20" ht="23.1" customHeight="1" x14ac:dyDescent="0.25">
      <c r="B56" s="23" t="s">
        <v>83</v>
      </c>
      <c r="C56" s="50">
        <v>17</v>
      </c>
      <c r="D56" s="50">
        <v>6</v>
      </c>
      <c r="E56" s="50">
        <v>5</v>
      </c>
      <c r="F56" s="50">
        <v>28</v>
      </c>
      <c r="G56" s="50">
        <v>3</v>
      </c>
      <c r="H56" s="50">
        <v>0</v>
      </c>
      <c r="I56" s="50">
        <v>0</v>
      </c>
      <c r="J56" s="50">
        <v>6</v>
      </c>
      <c r="K56" s="50">
        <v>0</v>
      </c>
      <c r="L56" s="50">
        <v>6</v>
      </c>
      <c r="M56" s="50">
        <v>20</v>
      </c>
      <c r="N56" s="50">
        <v>0</v>
      </c>
      <c r="O56" s="15">
        <f t="shared" si="0"/>
        <v>71</v>
      </c>
      <c r="P56" s="15">
        <f t="shared" si="1"/>
        <v>91</v>
      </c>
      <c r="R56" s="8"/>
      <c r="T56"/>
    </row>
    <row r="57" spans="2:20" ht="23.1" customHeight="1" x14ac:dyDescent="0.25">
      <c r="B57" s="23" t="s">
        <v>84</v>
      </c>
      <c r="C57" s="50">
        <v>21</v>
      </c>
      <c r="D57" s="50">
        <v>9</v>
      </c>
      <c r="E57" s="50">
        <v>2</v>
      </c>
      <c r="F57" s="50">
        <v>23</v>
      </c>
      <c r="G57" s="50">
        <v>1</v>
      </c>
      <c r="H57" s="50">
        <v>0</v>
      </c>
      <c r="I57" s="50">
        <v>2</v>
      </c>
      <c r="J57" s="50">
        <v>5</v>
      </c>
      <c r="K57" s="50">
        <v>8</v>
      </c>
      <c r="L57" s="50">
        <v>22</v>
      </c>
      <c r="M57" s="50">
        <v>27</v>
      </c>
      <c r="N57" s="50">
        <v>0</v>
      </c>
      <c r="O57" s="15">
        <f t="shared" si="0"/>
        <v>93</v>
      </c>
      <c r="P57" s="15">
        <f t="shared" si="1"/>
        <v>120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745</v>
      </c>
      <c r="D58" s="16">
        <f t="shared" si="21"/>
        <v>241</v>
      </c>
      <c r="E58" s="16">
        <f t="shared" si="21"/>
        <v>202</v>
      </c>
      <c r="F58" s="16">
        <f t="shared" si="21"/>
        <v>1346</v>
      </c>
      <c r="G58" s="16">
        <f t="shared" si="21"/>
        <v>63</v>
      </c>
      <c r="H58" s="16">
        <f t="shared" si="21"/>
        <v>41</v>
      </c>
      <c r="I58" s="16">
        <f t="shared" si="21"/>
        <v>124</v>
      </c>
      <c r="J58" s="16">
        <f t="shared" si="21"/>
        <v>303</v>
      </c>
      <c r="K58" s="16">
        <f t="shared" si="21"/>
        <v>84</v>
      </c>
      <c r="L58" s="16">
        <f t="shared" si="21"/>
        <v>564</v>
      </c>
      <c r="M58" s="16">
        <f t="shared" si="21"/>
        <v>1066</v>
      </c>
      <c r="N58" s="16">
        <f t="shared" si="21"/>
        <v>1</v>
      </c>
      <c r="O58" s="16">
        <f t="shared" si="21"/>
        <v>3714</v>
      </c>
      <c r="P58" s="16">
        <f t="shared" si="21"/>
        <v>4780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0.15585774058577406</v>
      </c>
      <c r="D59" s="43">
        <f t="shared" si="22"/>
        <v>5.0418410041841007E-2</v>
      </c>
      <c r="E59" s="43">
        <f t="shared" si="22"/>
        <v>4.225941422594142E-2</v>
      </c>
      <c r="F59" s="43">
        <f t="shared" si="22"/>
        <v>0.28158995815899579</v>
      </c>
      <c r="G59" s="43">
        <f t="shared" si="22"/>
        <v>1.3179916317991631E-2</v>
      </c>
      <c r="H59" s="43">
        <f t="shared" si="22"/>
        <v>8.5774058577405849E-3</v>
      </c>
      <c r="I59" s="43">
        <f t="shared" si="22"/>
        <v>2.5941422594142258E-2</v>
      </c>
      <c r="J59" s="43">
        <f t="shared" si="22"/>
        <v>6.3389121338912127E-2</v>
      </c>
      <c r="K59" s="43">
        <f t="shared" si="22"/>
        <v>1.7573221757322177E-2</v>
      </c>
      <c r="L59" s="43">
        <f t="shared" si="22"/>
        <v>0.11799163179916318</v>
      </c>
      <c r="M59" s="43">
        <f t="shared" si="22"/>
        <v>0.22301255230125522</v>
      </c>
      <c r="N59" s="43">
        <f t="shared" si="22"/>
        <v>2.0920502092050208E-4</v>
      </c>
      <c r="R59" s="8"/>
      <c r="T59"/>
    </row>
    <row r="60" spans="2:20" ht="23.1" customHeight="1" x14ac:dyDescent="0.25">
      <c r="B60" s="42" t="s">
        <v>94</v>
      </c>
      <c r="C60" s="44">
        <f>C58/$O$58</f>
        <v>0.20059235325794292</v>
      </c>
      <c r="D60" s="44">
        <f t="shared" ref="D60:N60" si="23">D58/$O$58</f>
        <v>6.4889606892837917E-2</v>
      </c>
      <c r="E60" s="44">
        <f t="shared" si="23"/>
        <v>5.4388799138395262E-2</v>
      </c>
      <c r="F60" s="44">
        <f t="shared" si="23"/>
        <v>0.362412493268713</v>
      </c>
      <c r="G60" s="44">
        <f t="shared" si="23"/>
        <v>1.6962843295638127E-2</v>
      </c>
      <c r="H60" s="44">
        <f t="shared" si="23"/>
        <v>1.1039310716208939E-2</v>
      </c>
      <c r="I60" s="44">
        <f t="shared" si="23"/>
        <v>3.3387183629509959E-2</v>
      </c>
      <c r="J60" s="44">
        <f t="shared" si="23"/>
        <v>8.1583198707592897E-2</v>
      </c>
      <c r="K60" s="44">
        <f t="shared" si="23"/>
        <v>2.2617124394184167E-2</v>
      </c>
      <c r="L60" s="44">
        <f t="shared" si="23"/>
        <v>0.15185783521809371</v>
      </c>
      <c r="M60" s="44"/>
      <c r="N60" s="44">
        <f t="shared" si="23"/>
        <v>2.6925148088314486E-4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zoomScale="60" workbookViewId="0">
      <selection activeCell="G50" sqref="G5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Kampala-Jinja'!C3:G3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'18.10 Jinja-Kampala'!D5</f>
        <v>18.10.19</v>
      </c>
      <c r="E5" s="3"/>
      <c r="F5" s="41" t="s">
        <v>1</v>
      </c>
      <c r="G5" s="63" t="str">
        <f>'17.10 jinja-kampala'!G5:H5</f>
        <v>Nakibbizi</v>
      </c>
      <c r="H5" s="64"/>
      <c r="I5" s="14"/>
      <c r="J5" s="2" t="s">
        <v>5</v>
      </c>
      <c r="K5" s="63" t="s">
        <v>170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Kampala-Jinja'!D6:E6</f>
        <v>Kampala</v>
      </c>
      <c r="E6" s="64"/>
      <c r="F6" s="2" t="s">
        <v>2</v>
      </c>
      <c r="G6" s="63" t="str">
        <f>'17.10 Kampala-Jinja'!G6:H6</f>
        <v>Jinja</v>
      </c>
      <c r="H6" s="64"/>
      <c r="J6" s="2" t="s">
        <v>21</v>
      </c>
      <c r="K6" s="63" t="str">
        <f>'17.10 jinja-kampala'!K6:L6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0</v>
      </c>
      <c r="E10" s="50">
        <v>2</v>
      </c>
      <c r="F10" s="50">
        <v>30</v>
      </c>
      <c r="G10" s="50">
        <v>1</v>
      </c>
      <c r="H10" s="50">
        <v>0</v>
      </c>
      <c r="I10" s="50">
        <v>4</v>
      </c>
      <c r="J10" s="50">
        <v>3</v>
      </c>
      <c r="K10" s="50">
        <v>1</v>
      </c>
      <c r="L10" s="50">
        <v>19</v>
      </c>
      <c r="M10" s="50">
        <v>12</v>
      </c>
      <c r="N10" s="50">
        <v>0</v>
      </c>
      <c r="O10" s="15">
        <f t="shared" ref="O10:O57" si="0">SUM(C10:L10,N10)</f>
        <v>65</v>
      </c>
      <c r="P10" s="15">
        <f t="shared" ref="P10:P57" si="1">SUM(C10:N10)</f>
        <v>77</v>
      </c>
      <c r="R10" s="1" t="s">
        <v>6</v>
      </c>
      <c r="S10" s="17">
        <f t="shared" ref="S10:AF10" si="2">SUM(C10:C13)</f>
        <v>34</v>
      </c>
      <c r="T10" s="17">
        <f t="shared" si="2"/>
        <v>19</v>
      </c>
      <c r="U10" s="17">
        <f t="shared" si="2"/>
        <v>16</v>
      </c>
      <c r="V10" s="17">
        <f t="shared" si="2"/>
        <v>111</v>
      </c>
      <c r="W10" s="17">
        <f t="shared" si="2"/>
        <v>2</v>
      </c>
      <c r="X10" s="17">
        <f t="shared" si="2"/>
        <v>1</v>
      </c>
      <c r="Y10" s="17">
        <f t="shared" si="2"/>
        <v>11</v>
      </c>
      <c r="Z10" s="17">
        <f t="shared" si="2"/>
        <v>18</v>
      </c>
      <c r="AA10" s="17">
        <f t="shared" si="2"/>
        <v>7</v>
      </c>
      <c r="AB10" s="17">
        <f t="shared" si="2"/>
        <v>46</v>
      </c>
      <c r="AC10" s="17">
        <f t="shared" si="2"/>
        <v>83</v>
      </c>
      <c r="AD10" s="17">
        <f t="shared" si="2"/>
        <v>0</v>
      </c>
      <c r="AE10" s="31">
        <f t="shared" si="2"/>
        <v>265</v>
      </c>
      <c r="AF10" s="31">
        <f t="shared" si="2"/>
        <v>348</v>
      </c>
    </row>
    <row r="11" spans="2:32" s="6" customFormat="1" ht="23.1" customHeight="1" x14ac:dyDescent="0.25">
      <c r="B11" s="23" t="s">
        <v>38</v>
      </c>
      <c r="C11" s="50">
        <v>12</v>
      </c>
      <c r="D11" s="50">
        <v>7</v>
      </c>
      <c r="E11" s="50">
        <v>2</v>
      </c>
      <c r="F11" s="50">
        <v>22</v>
      </c>
      <c r="G11" s="50">
        <v>0</v>
      </c>
      <c r="H11" s="50">
        <v>0</v>
      </c>
      <c r="I11" s="50">
        <v>1</v>
      </c>
      <c r="J11" s="50">
        <v>6</v>
      </c>
      <c r="K11" s="50">
        <v>3</v>
      </c>
      <c r="L11" s="50">
        <v>7</v>
      </c>
      <c r="M11" s="50">
        <v>20</v>
      </c>
      <c r="N11" s="50">
        <v>0</v>
      </c>
      <c r="O11" s="15">
        <f t="shared" si="0"/>
        <v>60</v>
      </c>
      <c r="P11" s="15">
        <f t="shared" si="1"/>
        <v>80</v>
      </c>
      <c r="R11" s="1" t="s">
        <v>7</v>
      </c>
      <c r="S11" s="17">
        <f t="shared" ref="S11:AF11" si="3">SUM(C14:C17)</f>
        <v>45</v>
      </c>
      <c r="T11" s="17">
        <f t="shared" si="3"/>
        <v>18</v>
      </c>
      <c r="U11" s="17">
        <f t="shared" si="3"/>
        <v>16</v>
      </c>
      <c r="V11" s="17">
        <f t="shared" si="3"/>
        <v>117</v>
      </c>
      <c r="W11" s="17">
        <f t="shared" si="3"/>
        <v>1</v>
      </c>
      <c r="X11" s="17">
        <f t="shared" si="3"/>
        <v>2</v>
      </c>
      <c r="Y11" s="17">
        <f t="shared" si="3"/>
        <v>8</v>
      </c>
      <c r="Z11" s="17">
        <f t="shared" si="3"/>
        <v>17</v>
      </c>
      <c r="AA11" s="17">
        <f t="shared" si="3"/>
        <v>5</v>
      </c>
      <c r="AB11" s="17">
        <f t="shared" si="3"/>
        <v>21</v>
      </c>
      <c r="AC11" s="17">
        <f t="shared" si="3"/>
        <v>71</v>
      </c>
      <c r="AD11" s="17">
        <f t="shared" si="3"/>
        <v>0</v>
      </c>
      <c r="AE11" s="31">
        <f t="shared" si="3"/>
        <v>250</v>
      </c>
      <c r="AF11" s="31">
        <f t="shared" si="3"/>
        <v>321</v>
      </c>
    </row>
    <row r="12" spans="2:32" ht="23.1" customHeight="1" x14ac:dyDescent="0.25">
      <c r="B12" s="23" t="s">
        <v>39</v>
      </c>
      <c r="C12" s="50">
        <v>4</v>
      </c>
      <c r="D12" s="50">
        <v>3</v>
      </c>
      <c r="E12" s="50">
        <v>3</v>
      </c>
      <c r="F12" s="50">
        <v>31</v>
      </c>
      <c r="G12" s="50">
        <v>1</v>
      </c>
      <c r="H12" s="50">
        <v>0</v>
      </c>
      <c r="I12" s="50">
        <v>4</v>
      </c>
      <c r="J12" s="50">
        <v>6</v>
      </c>
      <c r="K12" s="50">
        <v>2</v>
      </c>
      <c r="L12" s="50">
        <v>16</v>
      </c>
      <c r="M12" s="50">
        <v>26</v>
      </c>
      <c r="N12" s="50">
        <v>0</v>
      </c>
      <c r="O12" s="15">
        <f t="shared" si="0"/>
        <v>70</v>
      </c>
      <c r="P12" s="15">
        <f t="shared" si="1"/>
        <v>96</v>
      </c>
      <c r="R12" s="1" t="s">
        <v>8</v>
      </c>
      <c r="S12" s="17">
        <f t="shared" ref="S12:AF12" si="4">SUM(C18:C21)</f>
        <v>56</v>
      </c>
      <c r="T12" s="17">
        <f t="shared" si="4"/>
        <v>34</v>
      </c>
      <c r="U12" s="17">
        <f t="shared" si="4"/>
        <v>18</v>
      </c>
      <c r="V12" s="17">
        <f t="shared" si="4"/>
        <v>109</v>
      </c>
      <c r="W12" s="17">
        <f t="shared" si="4"/>
        <v>4</v>
      </c>
      <c r="X12" s="17">
        <f t="shared" si="4"/>
        <v>0</v>
      </c>
      <c r="Y12" s="17">
        <f t="shared" si="4"/>
        <v>9</v>
      </c>
      <c r="Z12" s="17">
        <f t="shared" si="4"/>
        <v>14</v>
      </c>
      <c r="AA12" s="17">
        <f t="shared" si="4"/>
        <v>4</v>
      </c>
      <c r="AB12" s="17">
        <f t="shared" si="4"/>
        <v>17</v>
      </c>
      <c r="AC12" s="17">
        <f t="shared" si="4"/>
        <v>71</v>
      </c>
      <c r="AD12" s="17">
        <f t="shared" si="4"/>
        <v>0</v>
      </c>
      <c r="AE12" s="31">
        <f t="shared" si="4"/>
        <v>265</v>
      </c>
      <c r="AF12" s="31">
        <f t="shared" si="4"/>
        <v>336</v>
      </c>
    </row>
    <row r="13" spans="2:32" ht="23.1" customHeight="1" x14ac:dyDescent="0.25">
      <c r="B13" s="23" t="s">
        <v>40</v>
      </c>
      <c r="C13" s="50">
        <v>13</v>
      </c>
      <c r="D13" s="50">
        <v>9</v>
      </c>
      <c r="E13" s="50">
        <v>9</v>
      </c>
      <c r="F13" s="50">
        <v>28</v>
      </c>
      <c r="G13" s="50">
        <v>0</v>
      </c>
      <c r="H13" s="50">
        <v>1</v>
      </c>
      <c r="I13" s="50">
        <v>2</v>
      </c>
      <c r="J13" s="50">
        <v>3</v>
      </c>
      <c r="K13" s="50">
        <v>1</v>
      </c>
      <c r="L13" s="50">
        <v>4</v>
      </c>
      <c r="M13" s="50">
        <v>25</v>
      </c>
      <c r="N13" s="50">
        <v>0</v>
      </c>
      <c r="O13" s="15">
        <f t="shared" si="0"/>
        <v>70</v>
      </c>
      <c r="P13" s="15">
        <f t="shared" si="1"/>
        <v>95</v>
      </c>
      <c r="R13" s="1" t="s">
        <v>9</v>
      </c>
      <c r="S13" s="17">
        <f t="shared" ref="S13:AF13" si="5">SUM(C22:C25)</f>
        <v>51</v>
      </c>
      <c r="T13" s="17">
        <f t="shared" si="5"/>
        <v>23</v>
      </c>
      <c r="U13" s="17">
        <f t="shared" si="5"/>
        <v>16</v>
      </c>
      <c r="V13" s="17">
        <f t="shared" si="5"/>
        <v>129</v>
      </c>
      <c r="W13" s="17">
        <f t="shared" si="5"/>
        <v>4</v>
      </c>
      <c r="X13" s="17">
        <f t="shared" si="5"/>
        <v>2</v>
      </c>
      <c r="Y13" s="17">
        <f t="shared" si="5"/>
        <v>2</v>
      </c>
      <c r="Z13" s="17">
        <f t="shared" si="5"/>
        <v>21</v>
      </c>
      <c r="AA13" s="17">
        <f t="shared" si="5"/>
        <v>0</v>
      </c>
      <c r="AB13" s="17">
        <f t="shared" si="5"/>
        <v>11</v>
      </c>
      <c r="AC13" s="17">
        <f t="shared" si="5"/>
        <v>84</v>
      </c>
      <c r="AD13" s="17">
        <f t="shared" si="5"/>
        <v>0</v>
      </c>
      <c r="AE13" s="31">
        <f t="shared" si="5"/>
        <v>259</v>
      </c>
      <c r="AF13" s="31">
        <f t="shared" si="5"/>
        <v>343</v>
      </c>
    </row>
    <row r="14" spans="2:32" ht="23.1" customHeight="1" x14ac:dyDescent="0.25">
      <c r="B14" s="23" t="s">
        <v>41</v>
      </c>
      <c r="C14" s="50">
        <v>12</v>
      </c>
      <c r="D14" s="50">
        <v>9</v>
      </c>
      <c r="E14" s="50">
        <v>3</v>
      </c>
      <c r="F14" s="50">
        <v>34</v>
      </c>
      <c r="G14" s="50">
        <v>1</v>
      </c>
      <c r="H14" s="50">
        <v>0</v>
      </c>
      <c r="I14" s="50">
        <v>2</v>
      </c>
      <c r="J14" s="50">
        <v>3</v>
      </c>
      <c r="K14" s="50">
        <v>0</v>
      </c>
      <c r="L14" s="50">
        <v>7</v>
      </c>
      <c r="M14" s="50">
        <v>13</v>
      </c>
      <c r="N14" s="50">
        <v>0</v>
      </c>
      <c r="O14" s="15">
        <f t="shared" si="0"/>
        <v>71</v>
      </c>
      <c r="P14" s="15">
        <f t="shared" si="1"/>
        <v>84</v>
      </c>
      <c r="R14" s="1" t="s">
        <v>10</v>
      </c>
      <c r="S14" s="17">
        <f t="shared" ref="S14:AF14" si="6">SUM(C26:C29)</f>
        <v>53</v>
      </c>
      <c r="T14" s="17">
        <f t="shared" si="6"/>
        <v>29</v>
      </c>
      <c r="U14" s="17">
        <f t="shared" si="6"/>
        <v>22</v>
      </c>
      <c r="V14" s="17">
        <f t="shared" si="6"/>
        <v>103</v>
      </c>
      <c r="W14" s="17">
        <f t="shared" si="6"/>
        <v>2</v>
      </c>
      <c r="X14" s="17">
        <f t="shared" si="6"/>
        <v>3</v>
      </c>
      <c r="Y14" s="17">
        <f t="shared" si="6"/>
        <v>6</v>
      </c>
      <c r="Z14" s="17">
        <f t="shared" si="6"/>
        <v>28</v>
      </c>
      <c r="AA14" s="17">
        <f t="shared" si="6"/>
        <v>2</v>
      </c>
      <c r="AB14" s="17">
        <f t="shared" si="6"/>
        <v>24</v>
      </c>
      <c r="AC14" s="17">
        <f t="shared" si="6"/>
        <v>94</v>
      </c>
      <c r="AD14" s="17">
        <f t="shared" si="6"/>
        <v>0</v>
      </c>
      <c r="AE14" s="31">
        <f t="shared" si="6"/>
        <v>272</v>
      </c>
      <c r="AF14" s="31">
        <f t="shared" si="6"/>
        <v>366</v>
      </c>
    </row>
    <row r="15" spans="2:32" ht="23.1" customHeight="1" x14ac:dyDescent="0.25">
      <c r="B15" s="23" t="s">
        <v>42</v>
      </c>
      <c r="C15" s="50">
        <v>14</v>
      </c>
      <c r="D15" s="50">
        <v>6</v>
      </c>
      <c r="E15" s="50">
        <v>7</v>
      </c>
      <c r="F15" s="50">
        <v>32</v>
      </c>
      <c r="G15" s="50">
        <v>0</v>
      </c>
      <c r="H15" s="50">
        <v>0</v>
      </c>
      <c r="I15" s="50">
        <v>4</v>
      </c>
      <c r="J15" s="50">
        <v>4</v>
      </c>
      <c r="K15" s="50">
        <v>0</v>
      </c>
      <c r="L15" s="50">
        <v>7</v>
      </c>
      <c r="M15" s="50">
        <v>13</v>
      </c>
      <c r="N15" s="50">
        <v>0</v>
      </c>
      <c r="O15" s="15">
        <f t="shared" si="0"/>
        <v>74</v>
      </c>
      <c r="P15" s="15">
        <f t="shared" si="1"/>
        <v>87</v>
      </c>
      <c r="R15" s="1" t="s">
        <v>11</v>
      </c>
      <c r="S15" s="17">
        <f t="shared" ref="S15:AF15" si="7">SUM(C30:C33)</f>
        <v>41</v>
      </c>
      <c r="T15" s="17">
        <f t="shared" si="7"/>
        <v>21</v>
      </c>
      <c r="U15" s="17">
        <f t="shared" si="7"/>
        <v>15</v>
      </c>
      <c r="V15" s="17">
        <f t="shared" si="7"/>
        <v>121</v>
      </c>
      <c r="W15" s="17">
        <f t="shared" si="7"/>
        <v>7</v>
      </c>
      <c r="X15" s="17">
        <f t="shared" si="7"/>
        <v>3</v>
      </c>
      <c r="Y15" s="17">
        <f t="shared" si="7"/>
        <v>7</v>
      </c>
      <c r="Z15" s="17">
        <f t="shared" si="7"/>
        <v>24</v>
      </c>
      <c r="AA15" s="17">
        <f t="shared" si="7"/>
        <v>7</v>
      </c>
      <c r="AB15" s="17">
        <f t="shared" si="7"/>
        <v>35</v>
      </c>
      <c r="AC15" s="17">
        <f t="shared" si="7"/>
        <v>89</v>
      </c>
      <c r="AD15" s="17">
        <f t="shared" si="7"/>
        <v>0</v>
      </c>
      <c r="AE15" s="31">
        <f t="shared" si="7"/>
        <v>281</v>
      </c>
      <c r="AF15" s="31">
        <f t="shared" si="7"/>
        <v>370</v>
      </c>
    </row>
    <row r="16" spans="2:32" ht="23.1" customHeight="1" x14ac:dyDescent="0.25">
      <c r="B16" s="23" t="s">
        <v>43</v>
      </c>
      <c r="C16" s="50">
        <v>10</v>
      </c>
      <c r="D16" s="50">
        <v>2</v>
      </c>
      <c r="E16" s="50">
        <v>2</v>
      </c>
      <c r="F16" s="50">
        <v>21</v>
      </c>
      <c r="G16" s="50">
        <v>0</v>
      </c>
      <c r="H16" s="50">
        <v>1</v>
      </c>
      <c r="I16" s="50">
        <v>1</v>
      </c>
      <c r="J16" s="50">
        <v>4</v>
      </c>
      <c r="K16" s="50">
        <v>2</v>
      </c>
      <c r="L16" s="50">
        <v>2</v>
      </c>
      <c r="M16" s="50">
        <v>23</v>
      </c>
      <c r="N16" s="50">
        <v>0</v>
      </c>
      <c r="O16" s="15">
        <f t="shared" si="0"/>
        <v>45</v>
      </c>
      <c r="P16" s="15">
        <f t="shared" si="1"/>
        <v>68</v>
      </c>
      <c r="R16" s="1" t="s">
        <v>12</v>
      </c>
      <c r="S16" s="17">
        <f t="shared" ref="S16:AF16" si="8">SUM(C34:C37)</f>
        <v>60</v>
      </c>
      <c r="T16" s="17">
        <f t="shared" si="8"/>
        <v>29</v>
      </c>
      <c r="U16" s="17">
        <f t="shared" si="8"/>
        <v>13</v>
      </c>
      <c r="V16" s="17">
        <f t="shared" si="8"/>
        <v>120</v>
      </c>
      <c r="W16" s="17">
        <f t="shared" si="8"/>
        <v>8</v>
      </c>
      <c r="X16" s="17">
        <f t="shared" si="8"/>
        <v>1</v>
      </c>
      <c r="Y16" s="17">
        <f t="shared" si="8"/>
        <v>22</v>
      </c>
      <c r="Z16" s="17">
        <f t="shared" si="8"/>
        <v>31</v>
      </c>
      <c r="AA16" s="17">
        <f t="shared" si="8"/>
        <v>2</v>
      </c>
      <c r="AB16" s="17">
        <f t="shared" si="8"/>
        <v>55</v>
      </c>
      <c r="AC16" s="17">
        <f t="shared" si="8"/>
        <v>94</v>
      </c>
      <c r="AD16" s="17">
        <f t="shared" si="8"/>
        <v>0</v>
      </c>
      <c r="AE16" s="31">
        <f t="shared" si="8"/>
        <v>341</v>
      </c>
      <c r="AF16" s="31">
        <f t="shared" si="8"/>
        <v>435</v>
      </c>
    </row>
    <row r="17" spans="2:32" ht="23.1" customHeight="1" x14ac:dyDescent="0.25">
      <c r="B17" s="23" t="s">
        <v>44</v>
      </c>
      <c r="C17" s="50">
        <v>9</v>
      </c>
      <c r="D17" s="50">
        <v>1</v>
      </c>
      <c r="E17" s="50">
        <v>4</v>
      </c>
      <c r="F17" s="50">
        <v>30</v>
      </c>
      <c r="G17" s="50">
        <v>0</v>
      </c>
      <c r="H17" s="50">
        <v>1</v>
      </c>
      <c r="I17" s="50">
        <v>1</v>
      </c>
      <c r="J17" s="50">
        <v>6</v>
      </c>
      <c r="K17" s="50">
        <v>3</v>
      </c>
      <c r="L17" s="50">
        <v>5</v>
      </c>
      <c r="M17" s="50">
        <v>22</v>
      </c>
      <c r="N17" s="50">
        <v>0</v>
      </c>
      <c r="O17" s="15">
        <f t="shared" si="0"/>
        <v>60</v>
      </c>
      <c r="P17" s="15">
        <f t="shared" si="1"/>
        <v>82</v>
      </c>
      <c r="R17" s="1" t="s">
        <v>13</v>
      </c>
      <c r="S17" s="17">
        <f t="shared" ref="S17:AF17" si="9">SUM(C38:C41)</f>
        <v>46</v>
      </c>
      <c r="T17" s="17">
        <f t="shared" si="9"/>
        <v>17</v>
      </c>
      <c r="U17" s="17">
        <f t="shared" si="9"/>
        <v>19</v>
      </c>
      <c r="V17" s="17">
        <f t="shared" si="9"/>
        <v>135</v>
      </c>
      <c r="W17" s="17">
        <f t="shared" si="9"/>
        <v>8</v>
      </c>
      <c r="X17" s="17">
        <f t="shared" si="9"/>
        <v>4</v>
      </c>
      <c r="Y17" s="17">
        <f t="shared" si="9"/>
        <v>17</v>
      </c>
      <c r="Z17" s="17">
        <f t="shared" si="9"/>
        <v>27</v>
      </c>
      <c r="AA17" s="17">
        <f t="shared" si="9"/>
        <v>14</v>
      </c>
      <c r="AB17" s="17">
        <f t="shared" si="9"/>
        <v>67</v>
      </c>
      <c r="AC17" s="17">
        <f t="shared" si="9"/>
        <v>70</v>
      </c>
      <c r="AD17" s="17">
        <f t="shared" si="9"/>
        <v>0</v>
      </c>
      <c r="AE17" s="31">
        <f t="shared" si="9"/>
        <v>354</v>
      </c>
      <c r="AF17" s="31">
        <f t="shared" si="9"/>
        <v>424</v>
      </c>
    </row>
    <row r="18" spans="2:32" ht="23.1" customHeight="1" x14ac:dyDescent="0.25">
      <c r="B18" s="23" t="s">
        <v>45</v>
      </c>
      <c r="C18" s="50">
        <v>12</v>
      </c>
      <c r="D18" s="50">
        <v>9</v>
      </c>
      <c r="E18" s="50">
        <v>5</v>
      </c>
      <c r="F18" s="50">
        <v>24</v>
      </c>
      <c r="G18" s="50">
        <v>3</v>
      </c>
      <c r="H18" s="50">
        <v>0</v>
      </c>
      <c r="I18" s="50">
        <v>1</v>
      </c>
      <c r="J18" s="50">
        <v>2</v>
      </c>
      <c r="K18" s="50">
        <v>1</v>
      </c>
      <c r="L18" s="50">
        <v>5</v>
      </c>
      <c r="M18" s="50">
        <v>17</v>
      </c>
      <c r="N18" s="50">
        <v>0</v>
      </c>
      <c r="O18" s="15">
        <f t="shared" si="0"/>
        <v>62</v>
      </c>
      <c r="P18" s="15">
        <f t="shared" si="1"/>
        <v>79</v>
      </c>
      <c r="R18" s="1" t="s">
        <v>14</v>
      </c>
      <c r="S18" s="17">
        <f t="shared" ref="S18:AF18" si="10">SUM(C42:C45)</f>
        <v>46</v>
      </c>
      <c r="T18" s="17">
        <f t="shared" si="10"/>
        <v>31</v>
      </c>
      <c r="U18" s="17">
        <f t="shared" si="10"/>
        <v>18</v>
      </c>
      <c r="V18" s="17">
        <f t="shared" si="10"/>
        <v>124</v>
      </c>
      <c r="W18" s="17">
        <f t="shared" si="10"/>
        <v>6</v>
      </c>
      <c r="X18" s="17">
        <f t="shared" si="10"/>
        <v>3</v>
      </c>
      <c r="Y18" s="17">
        <f t="shared" si="10"/>
        <v>22</v>
      </c>
      <c r="Z18" s="17">
        <f t="shared" si="10"/>
        <v>26</v>
      </c>
      <c r="AA18" s="17">
        <f t="shared" si="10"/>
        <v>7</v>
      </c>
      <c r="AB18" s="17">
        <f t="shared" si="10"/>
        <v>46</v>
      </c>
      <c r="AC18" s="17">
        <f t="shared" si="10"/>
        <v>73</v>
      </c>
      <c r="AD18" s="17">
        <f t="shared" si="10"/>
        <v>1</v>
      </c>
      <c r="AE18" s="31">
        <f t="shared" si="10"/>
        <v>330</v>
      </c>
      <c r="AF18" s="31">
        <f t="shared" si="10"/>
        <v>403</v>
      </c>
    </row>
    <row r="19" spans="2:32" ht="23.1" customHeight="1" x14ac:dyDescent="0.25">
      <c r="B19" s="23" t="s">
        <v>46</v>
      </c>
      <c r="C19" s="50">
        <v>15</v>
      </c>
      <c r="D19" s="50">
        <v>8</v>
      </c>
      <c r="E19" s="50">
        <v>9</v>
      </c>
      <c r="F19" s="50">
        <v>28</v>
      </c>
      <c r="G19" s="50">
        <v>0</v>
      </c>
      <c r="H19" s="50">
        <v>0</v>
      </c>
      <c r="I19" s="50">
        <v>2</v>
      </c>
      <c r="J19" s="50">
        <v>3</v>
      </c>
      <c r="K19" s="50">
        <v>1</v>
      </c>
      <c r="L19" s="50">
        <v>4</v>
      </c>
      <c r="M19" s="50">
        <v>17</v>
      </c>
      <c r="N19" s="50">
        <v>0</v>
      </c>
      <c r="O19" s="15">
        <f t="shared" si="0"/>
        <v>70</v>
      </c>
      <c r="P19" s="15">
        <f t="shared" si="1"/>
        <v>87</v>
      </c>
      <c r="R19" s="1" t="s">
        <v>15</v>
      </c>
      <c r="S19" s="17">
        <f t="shared" ref="S19:AF19" si="11">SUM(C46:C49)</f>
        <v>62</v>
      </c>
      <c r="T19" s="17">
        <f t="shared" si="11"/>
        <v>28</v>
      </c>
      <c r="U19" s="17">
        <f t="shared" si="11"/>
        <v>25</v>
      </c>
      <c r="V19" s="17">
        <f t="shared" si="11"/>
        <v>106</v>
      </c>
      <c r="W19" s="17">
        <f t="shared" si="11"/>
        <v>5</v>
      </c>
      <c r="X19" s="17">
        <f t="shared" si="11"/>
        <v>1</v>
      </c>
      <c r="Y19" s="17">
        <f t="shared" si="11"/>
        <v>16</v>
      </c>
      <c r="Z19" s="17">
        <f t="shared" si="11"/>
        <v>33</v>
      </c>
      <c r="AA19" s="17">
        <f t="shared" si="11"/>
        <v>6</v>
      </c>
      <c r="AB19" s="17">
        <f t="shared" si="11"/>
        <v>51</v>
      </c>
      <c r="AC19" s="17">
        <f t="shared" si="11"/>
        <v>81</v>
      </c>
      <c r="AD19" s="17">
        <f t="shared" si="11"/>
        <v>0</v>
      </c>
      <c r="AE19" s="31">
        <f t="shared" si="11"/>
        <v>333</v>
      </c>
      <c r="AF19" s="31">
        <f t="shared" si="11"/>
        <v>414</v>
      </c>
    </row>
    <row r="20" spans="2:32" ht="23.1" customHeight="1" x14ac:dyDescent="0.25">
      <c r="B20" s="23" t="s">
        <v>47</v>
      </c>
      <c r="C20" s="50">
        <v>8</v>
      </c>
      <c r="D20" s="50">
        <v>5</v>
      </c>
      <c r="E20" s="50">
        <v>3</v>
      </c>
      <c r="F20" s="50">
        <v>21</v>
      </c>
      <c r="G20" s="50">
        <v>0</v>
      </c>
      <c r="H20" s="50">
        <v>0</v>
      </c>
      <c r="I20" s="50">
        <v>2</v>
      </c>
      <c r="J20" s="50">
        <v>5</v>
      </c>
      <c r="K20" s="50">
        <v>0</v>
      </c>
      <c r="L20" s="50">
        <v>3</v>
      </c>
      <c r="M20" s="50">
        <v>22</v>
      </c>
      <c r="N20" s="50">
        <v>0</v>
      </c>
      <c r="O20" s="15">
        <f t="shared" si="0"/>
        <v>47</v>
      </c>
      <c r="P20" s="15">
        <f t="shared" si="1"/>
        <v>69</v>
      </c>
      <c r="R20" s="1" t="s">
        <v>16</v>
      </c>
      <c r="S20" s="17">
        <f t="shared" ref="S20:AF20" si="12">SUM(C50:C53)</f>
        <v>86</v>
      </c>
      <c r="T20" s="17">
        <f t="shared" si="12"/>
        <v>42</v>
      </c>
      <c r="U20" s="17">
        <f t="shared" si="12"/>
        <v>21</v>
      </c>
      <c r="V20" s="17">
        <f t="shared" si="12"/>
        <v>152</v>
      </c>
      <c r="W20" s="17">
        <f t="shared" si="12"/>
        <v>7</v>
      </c>
      <c r="X20" s="17">
        <f t="shared" si="12"/>
        <v>2</v>
      </c>
      <c r="Y20" s="17">
        <f t="shared" si="12"/>
        <v>22</v>
      </c>
      <c r="Z20" s="17">
        <f t="shared" si="12"/>
        <v>30</v>
      </c>
      <c r="AA20" s="17">
        <f t="shared" si="12"/>
        <v>6</v>
      </c>
      <c r="AB20" s="17">
        <f t="shared" si="12"/>
        <v>105</v>
      </c>
      <c r="AC20" s="17">
        <f t="shared" si="12"/>
        <v>89</v>
      </c>
      <c r="AD20" s="17">
        <f t="shared" si="12"/>
        <v>0</v>
      </c>
      <c r="AE20" s="31">
        <f t="shared" si="12"/>
        <v>473</v>
      </c>
      <c r="AF20" s="31">
        <f t="shared" si="12"/>
        <v>562</v>
      </c>
    </row>
    <row r="21" spans="2:32" ht="23.1" customHeight="1" x14ac:dyDescent="0.25">
      <c r="B21" s="23" t="s">
        <v>48</v>
      </c>
      <c r="C21" s="50">
        <v>21</v>
      </c>
      <c r="D21" s="50">
        <v>12</v>
      </c>
      <c r="E21" s="50">
        <v>1</v>
      </c>
      <c r="F21" s="50">
        <v>36</v>
      </c>
      <c r="G21" s="50">
        <v>1</v>
      </c>
      <c r="H21" s="50">
        <v>0</v>
      </c>
      <c r="I21" s="50">
        <v>4</v>
      </c>
      <c r="J21" s="50">
        <v>4</v>
      </c>
      <c r="K21" s="50">
        <v>2</v>
      </c>
      <c r="L21" s="50">
        <v>5</v>
      </c>
      <c r="M21" s="50">
        <v>15</v>
      </c>
      <c r="N21" s="50">
        <v>0</v>
      </c>
      <c r="O21" s="15">
        <f t="shared" si="0"/>
        <v>86</v>
      </c>
      <c r="P21" s="15">
        <f t="shared" si="1"/>
        <v>101</v>
      </c>
      <c r="R21" s="36" t="s">
        <v>20</v>
      </c>
      <c r="S21" s="34">
        <f t="shared" ref="S21:AF21" si="13">SUM(C54:C57)</f>
        <v>68</v>
      </c>
      <c r="T21" s="17">
        <f t="shared" si="13"/>
        <v>24</v>
      </c>
      <c r="U21" s="17">
        <f t="shared" si="13"/>
        <v>20</v>
      </c>
      <c r="V21" s="17">
        <f t="shared" si="13"/>
        <v>109</v>
      </c>
      <c r="W21" s="17">
        <f t="shared" si="13"/>
        <v>4</v>
      </c>
      <c r="X21" s="17">
        <f t="shared" si="13"/>
        <v>5</v>
      </c>
      <c r="Y21" s="17">
        <f t="shared" si="13"/>
        <v>16</v>
      </c>
      <c r="Z21" s="17">
        <f t="shared" si="13"/>
        <v>23</v>
      </c>
      <c r="AA21" s="17">
        <f t="shared" si="13"/>
        <v>7</v>
      </c>
      <c r="AB21" s="17">
        <f t="shared" si="13"/>
        <v>92</v>
      </c>
      <c r="AC21" s="17">
        <f t="shared" si="13"/>
        <v>86</v>
      </c>
      <c r="AD21" s="17">
        <f t="shared" si="13"/>
        <v>1</v>
      </c>
      <c r="AE21" s="31">
        <f t="shared" si="13"/>
        <v>369</v>
      </c>
      <c r="AF21" s="31">
        <f t="shared" si="13"/>
        <v>455</v>
      </c>
    </row>
    <row r="22" spans="2:32" ht="23.1" customHeight="1" x14ac:dyDescent="0.25">
      <c r="B22" s="23" t="s">
        <v>49</v>
      </c>
      <c r="C22" s="50">
        <v>12</v>
      </c>
      <c r="D22" s="50">
        <v>7</v>
      </c>
      <c r="E22" s="50">
        <v>4</v>
      </c>
      <c r="F22" s="50">
        <v>29</v>
      </c>
      <c r="G22" s="50">
        <v>2</v>
      </c>
      <c r="H22" s="50">
        <v>1</v>
      </c>
      <c r="I22" s="50">
        <v>1</v>
      </c>
      <c r="J22" s="50">
        <v>3</v>
      </c>
      <c r="K22" s="50">
        <v>0</v>
      </c>
      <c r="L22" s="50">
        <v>3</v>
      </c>
      <c r="M22" s="50">
        <v>25</v>
      </c>
      <c r="N22" s="50">
        <v>0</v>
      </c>
      <c r="O22" s="15">
        <f t="shared" si="0"/>
        <v>62</v>
      </c>
      <c r="P22" s="15">
        <f t="shared" si="1"/>
        <v>87</v>
      </c>
      <c r="R22" s="38" t="s">
        <v>90</v>
      </c>
      <c r="S22" s="39">
        <f>MAX(S10:S12)</f>
        <v>56</v>
      </c>
      <c r="T22" s="39">
        <f t="shared" ref="T22:AF22" si="14">MAX(T10:T12)</f>
        <v>34</v>
      </c>
      <c r="U22" s="39">
        <f t="shared" si="14"/>
        <v>18</v>
      </c>
      <c r="V22" s="39">
        <f t="shared" si="14"/>
        <v>117</v>
      </c>
      <c r="W22" s="39">
        <f t="shared" si="14"/>
        <v>4</v>
      </c>
      <c r="X22" s="39">
        <f t="shared" si="14"/>
        <v>2</v>
      </c>
      <c r="Y22" s="39">
        <f t="shared" si="14"/>
        <v>11</v>
      </c>
      <c r="Z22" s="39">
        <f t="shared" si="14"/>
        <v>18</v>
      </c>
      <c r="AA22" s="39">
        <f t="shared" si="14"/>
        <v>7</v>
      </c>
      <c r="AB22" s="39">
        <f t="shared" si="14"/>
        <v>46</v>
      </c>
      <c r="AC22" s="39">
        <f t="shared" si="14"/>
        <v>83</v>
      </c>
      <c r="AD22" s="39">
        <f t="shared" si="14"/>
        <v>0</v>
      </c>
      <c r="AE22" s="40">
        <f t="shared" si="14"/>
        <v>265</v>
      </c>
      <c r="AF22" s="40">
        <f t="shared" si="14"/>
        <v>348</v>
      </c>
    </row>
    <row r="23" spans="2:32" ht="23.1" customHeight="1" x14ac:dyDescent="0.25">
      <c r="B23" s="23" t="s">
        <v>50</v>
      </c>
      <c r="C23" s="50">
        <v>14</v>
      </c>
      <c r="D23" s="50">
        <v>3</v>
      </c>
      <c r="E23" s="50">
        <v>1</v>
      </c>
      <c r="F23" s="50">
        <v>31</v>
      </c>
      <c r="G23" s="50">
        <v>1</v>
      </c>
      <c r="H23" s="50">
        <v>0</v>
      </c>
      <c r="I23" s="50">
        <v>0</v>
      </c>
      <c r="J23" s="50">
        <v>5</v>
      </c>
      <c r="K23" s="50">
        <v>0</v>
      </c>
      <c r="L23" s="50">
        <v>2</v>
      </c>
      <c r="M23" s="50">
        <v>21</v>
      </c>
      <c r="N23" s="50">
        <v>0</v>
      </c>
      <c r="O23" s="15">
        <f t="shared" si="0"/>
        <v>57</v>
      </c>
      <c r="P23" s="15">
        <f t="shared" si="1"/>
        <v>78</v>
      </c>
      <c r="R23" s="38" t="s">
        <v>91</v>
      </c>
      <c r="S23" s="39">
        <f>MAX(S13:S18)</f>
        <v>60</v>
      </c>
      <c r="T23" s="39">
        <f t="shared" ref="T23:AF23" si="15">MAX(T13:T18)</f>
        <v>31</v>
      </c>
      <c r="U23" s="39">
        <f t="shared" si="15"/>
        <v>22</v>
      </c>
      <c r="V23" s="39">
        <f t="shared" si="15"/>
        <v>135</v>
      </c>
      <c r="W23" s="39">
        <f t="shared" si="15"/>
        <v>8</v>
      </c>
      <c r="X23" s="39">
        <f t="shared" si="15"/>
        <v>4</v>
      </c>
      <c r="Y23" s="39">
        <f t="shared" si="15"/>
        <v>22</v>
      </c>
      <c r="Z23" s="39">
        <f t="shared" si="15"/>
        <v>31</v>
      </c>
      <c r="AA23" s="39">
        <f t="shared" si="15"/>
        <v>14</v>
      </c>
      <c r="AB23" s="39">
        <f t="shared" si="15"/>
        <v>67</v>
      </c>
      <c r="AC23" s="39">
        <f t="shared" si="15"/>
        <v>94</v>
      </c>
      <c r="AD23" s="39">
        <f t="shared" si="15"/>
        <v>1</v>
      </c>
      <c r="AE23" s="40">
        <f t="shared" si="15"/>
        <v>354</v>
      </c>
      <c r="AF23" s="40">
        <f t="shared" si="15"/>
        <v>435</v>
      </c>
    </row>
    <row r="24" spans="2:32" ht="23.1" customHeight="1" x14ac:dyDescent="0.25">
      <c r="B24" s="23" t="s">
        <v>51</v>
      </c>
      <c r="C24" s="50">
        <v>14</v>
      </c>
      <c r="D24" s="50">
        <v>7</v>
      </c>
      <c r="E24" s="50">
        <v>7</v>
      </c>
      <c r="F24" s="50">
        <v>35</v>
      </c>
      <c r="G24" s="50">
        <v>0</v>
      </c>
      <c r="H24" s="50">
        <v>1</v>
      </c>
      <c r="I24" s="50">
        <v>0</v>
      </c>
      <c r="J24" s="50">
        <v>9</v>
      </c>
      <c r="K24" s="50">
        <v>0</v>
      </c>
      <c r="L24" s="50">
        <v>2</v>
      </c>
      <c r="M24" s="50">
        <v>26</v>
      </c>
      <c r="N24" s="50">
        <v>0</v>
      </c>
      <c r="O24" s="15">
        <f t="shared" si="0"/>
        <v>75</v>
      </c>
      <c r="P24" s="15">
        <f t="shared" si="1"/>
        <v>101</v>
      </c>
      <c r="R24" s="38" t="s">
        <v>92</v>
      </c>
      <c r="S24" s="39">
        <f>MAX(S19:S21)</f>
        <v>86</v>
      </c>
      <c r="T24" s="39">
        <f t="shared" ref="T24:AF24" si="16">MAX(T19:T21)</f>
        <v>42</v>
      </c>
      <c r="U24" s="39">
        <f t="shared" si="16"/>
        <v>25</v>
      </c>
      <c r="V24" s="39">
        <f t="shared" si="16"/>
        <v>152</v>
      </c>
      <c r="W24" s="39">
        <f t="shared" si="16"/>
        <v>7</v>
      </c>
      <c r="X24" s="39">
        <f t="shared" si="16"/>
        <v>5</v>
      </c>
      <c r="Y24" s="39">
        <f t="shared" si="16"/>
        <v>22</v>
      </c>
      <c r="Z24" s="39">
        <f t="shared" si="16"/>
        <v>33</v>
      </c>
      <c r="AA24" s="39">
        <f t="shared" si="16"/>
        <v>7</v>
      </c>
      <c r="AB24" s="39">
        <f t="shared" si="16"/>
        <v>105</v>
      </c>
      <c r="AC24" s="39">
        <f t="shared" si="16"/>
        <v>89</v>
      </c>
      <c r="AD24" s="39">
        <f t="shared" si="16"/>
        <v>1</v>
      </c>
      <c r="AE24" s="40">
        <f t="shared" si="16"/>
        <v>473</v>
      </c>
      <c r="AF24" s="40">
        <f t="shared" si="16"/>
        <v>562</v>
      </c>
    </row>
    <row r="25" spans="2:32" ht="23.1" customHeight="1" x14ac:dyDescent="0.25">
      <c r="B25" s="23" t="s">
        <v>52</v>
      </c>
      <c r="C25" s="50">
        <v>11</v>
      </c>
      <c r="D25" s="50">
        <v>6</v>
      </c>
      <c r="E25" s="50">
        <v>4</v>
      </c>
      <c r="F25" s="50">
        <v>34</v>
      </c>
      <c r="G25" s="50">
        <v>1</v>
      </c>
      <c r="H25" s="50">
        <v>0</v>
      </c>
      <c r="I25" s="50">
        <v>1</v>
      </c>
      <c r="J25" s="50">
        <v>4</v>
      </c>
      <c r="K25" s="50">
        <v>0</v>
      </c>
      <c r="L25" s="50">
        <v>4</v>
      </c>
      <c r="M25" s="50">
        <v>12</v>
      </c>
      <c r="N25" s="50">
        <v>0</v>
      </c>
      <c r="O25" s="15">
        <f t="shared" si="0"/>
        <v>65</v>
      </c>
      <c r="P25" s="15">
        <f t="shared" si="1"/>
        <v>77</v>
      </c>
      <c r="R25" s="37" t="s">
        <v>85</v>
      </c>
      <c r="S25" s="35">
        <f t="shared" ref="S25:AF25" si="17">SUM(S10:S12)</f>
        <v>135</v>
      </c>
      <c r="T25" s="16">
        <f t="shared" si="17"/>
        <v>71</v>
      </c>
      <c r="U25" s="16">
        <f t="shared" si="17"/>
        <v>50</v>
      </c>
      <c r="V25" s="16">
        <f t="shared" si="17"/>
        <v>337</v>
      </c>
      <c r="W25" s="16">
        <f t="shared" si="17"/>
        <v>7</v>
      </c>
      <c r="X25" s="16">
        <f t="shared" si="17"/>
        <v>3</v>
      </c>
      <c r="Y25" s="16">
        <f t="shared" si="17"/>
        <v>28</v>
      </c>
      <c r="Z25" s="16">
        <f t="shared" si="17"/>
        <v>49</v>
      </c>
      <c r="AA25" s="16">
        <f t="shared" si="17"/>
        <v>16</v>
      </c>
      <c r="AB25" s="16">
        <f t="shared" si="17"/>
        <v>84</v>
      </c>
      <c r="AC25" s="16">
        <f t="shared" si="17"/>
        <v>225</v>
      </c>
      <c r="AD25" s="16">
        <f t="shared" si="17"/>
        <v>0</v>
      </c>
      <c r="AE25" s="32">
        <f t="shared" si="17"/>
        <v>780</v>
      </c>
      <c r="AF25" s="32">
        <f t="shared" si="17"/>
        <v>1005</v>
      </c>
    </row>
    <row r="26" spans="2:32" ht="23.1" customHeight="1" x14ac:dyDescent="0.25">
      <c r="B26" s="23" t="s">
        <v>53</v>
      </c>
      <c r="C26" s="50">
        <v>13</v>
      </c>
      <c r="D26" s="50">
        <v>6</v>
      </c>
      <c r="E26" s="50">
        <v>6</v>
      </c>
      <c r="F26" s="50">
        <v>31</v>
      </c>
      <c r="G26" s="50">
        <v>0</v>
      </c>
      <c r="H26" s="50">
        <v>1</v>
      </c>
      <c r="I26" s="50">
        <v>2</v>
      </c>
      <c r="J26" s="50">
        <v>4</v>
      </c>
      <c r="K26" s="50">
        <v>0</v>
      </c>
      <c r="L26" s="50">
        <v>3</v>
      </c>
      <c r="M26" s="50">
        <v>24</v>
      </c>
      <c r="N26" s="50">
        <v>0</v>
      </c>
      <c r="O26" s="15">
        <f t="shared" si="0"/>
        <v>66</v>
      </c>
      <c r="P26" s="15">
        <f t="shared" si="1"/>
        <v>90</v>
      </c>
      <c r="R26" s="28" t="s">
        <v>86</v>
      </c>
      <c r="S26" s="16">
        <f t="shared" ref="S26:AF26" si="18">SUM(S13:S18)</f>
        <v>297</v>
      </c>
      <c r="T26" s="16">
        <f t="shared" si="18"/>
        <v>150</v>
      </c>
      <c r="U26" s="16">
        <f t="shared" si="18"/>
        <v>103</v>
      </c>
      <c r="V26" s="16">
        <f t="shared" si="18"/>
        <v>732</v>
      </c>
      <c r="W26" s="16">
        <f t="shared" si="18"/>
        <v>35</v>
      </c>
      <c r="X26" s="16">
        <f t="shared" si="18"/>
        <v>16</v>
      </c>
      <c r="Y26" s="16">
        <f t="shared" si="18"/>
        <v>76</v>
      </c>
      <c r="Z26" s="16">
        <f t="shared" si="18"/>
        <v>157</v>
      </c>
      <c r="AA26" s="16">
        <f t="shared" si="18"/>
        <v>32</v>
      </c>
      <c r="AB26" s="16">
        <f t="shared" si="18"/>
        <v>238</v>
      </c>
      <c r="AC26" s="16">
        <f t="shared" si="18"/>
        <v>504</v>
      </c>
      <c r="AD26" s="16">
        <f t="shared" si="18"/>
        <v>1</v>
      </c>
      <c r="AE26" s="32">
        <f t="shared" si="18"/>
        <v>1837</v>
      </c>
      <c r="AF26" s="32">
        <f t="shared" si="18"/>
        <v>2341</v>
      </c>
    </row>
    <row r="27" spans="2:32" ht="23.1" customHeight="1" x14ac:dyDescent="0.25">
      <c r="B27" s="23" t="s">
        <v>54</v>
      </c>
      <c r="C27" s="50">
        <v>14</v>
      </c>
      <c r="D27" s="50">
        <v>10</v>
      </c>
      <c r="E27" s="50">
        <v>5</v>
      </c>
      <c r="F27" s="50">
        <v>29</v>
      </c>
      <c r="G27" s="50">
        <v>1</v>
      </c>
      <c r="H27" s="50">
        <v>2</v>
      </c>
      <c r="I27" s="50">
        <v>0</v>
      </c>
      <c r="J27" s="50">
        <v>7</v>
      </c>
      <c r="K27" s="50">
        <v>1</v>
      </c>
      <c r="L27" s="50">
        <v>5</v>
      </c>
      <c r="M27" s="50">
        <v>32</v>
      </c>
      <c r="N27" s="50">
        <v>0</v>
      </c>
      <c r="O27" s="15">
        <f t="shared" si="0"/>
        <v>74</v>
      </c>
      <c r="P27" s="15">
        <f t="shared" si="1"/>
        <v>106</v>
      </c>
      <c r="R27" s="29" t="s">
        <v>87</v>
      </c>
      <c r="S27" s="16">
        <f t="shared" ref="S27:AF27" si="19">SUM(S19:S21)</f>
        <v>216</v>
      </c>
      <c r="T27" s="16">
        <f t="shared" si="19"/>
        <v>94</v>
      </c>
      <c r="U27" s="16">
        <f t="shared" si="19"/>
        <v>66</v>
      </c>
      <c r="V27" s="16">
        <f t="shared" si="19"/>
        <v>367</v>
      </c>
      <c r="W27" s="16">
        <f t="shared" si="19"/>
        <v>16</v>
      </c>
      <c r="X27" s="16">
        <f t="shared" si="19"/>
        <v>8</v>
      </c>
      <c r="Y27" s="16">
        <f t="shared" si="19"/>
        <v>54</v>
      </c>
      <c r="Z27" s="16">
        <f t="shared" si="19"/>
        <v>86</v>
      </c>
      <c r="AA27" s="16">
        <f t="shared" si="19"/>
        <v>19</v>
      </c>
      <c r="AB27" s="16">
        <f t="shared" si="19"/>
        <v>248</v>
      </c>
      <c r="AC27" s="16">
        <f t="shared" si="19"/>
        <v>256</v>
      </c>
      <c r="AD27" s="16">
        <f t="shared" si="19"/>
        <v>1</v>
      </c>
      <c r="AE27" s="32">
        <f t="shared" si="19"/>
        <v>1175</v>
      </c>
      <c r="AF27" s="32">
        <f t="shared" si="19"/>
        <v>1431</v>
      </c>
    </row>
    <row r="28" spans="2:32" ht="23.1" customHeight="1" x14ac:dyDescent="0.25">
      <c r="B28" s="23" t="s">
        <v>55</v>
      </c>
      <c r="C28" s="50">
        <v>8</v>
      </c>
      <c r="D28" s="50">
        <v>8</v>
      </c>
      <c r="E28" s="50">
        <v>6</v>
      </c>
      <c r="F28" s="50">
        <v>23</v>
      </c>
      <c r="G28" s="50">
        <v>0</v>
      </c>
      <c r="H28" s="50">
        <v>0</v>
      </c>
      <c r="I28" s="50">
        <v>3</v>
      </c>
      <c r="J28" s="50">
        <v>8</v>
      </c>
      <c r="K28" s="50">
        <v>0</v>
      </c>
      <c r="L28" s="50">
        <v>8</v>
      </c>
      <c r="M28" s="50">
        <v>20</v>
      </c>
      <c r="N28" s="50">
        <v>0</v>
      </c>
      <c r="O28" s="15">
        <f t="shared" si="0"/>
        <v>64</v>
      </c>
      <c r="P28" s="15">
        <f t="shared" si="1"/>
        <v>84</v>
      </c>
      <c r="R28" s="5" t="s">
        <v>17</v>
      </c>
      <c r="S28" s="16">
        <f t="shared" ref="S28:AF28" si="20">SUM(S10:S21)</f>
        <v>648</v>
      </c>
      <c r="T28" s="16">
        <f t="shared" si="20"/>
        <v>315</v>
      </c>
      <c r="U28" s="16">
        <f t="shared" si="20"/>
        <v>219</v>
      </c>
      <c r="V28" s="16">
        <f t="shared" si="20"/>
        <v>1436</v>
      </c>
      <c r="W28" s="16">
        <f t="shared" si="20"/>
        <v>58</v>
      </c>
      <c r="X28" s="16">
        <f t="shared" si="20"/>
        <v>27</v>
      </c>
      <c r="Y28" s="16">
        <f t="shared" si="20"/>
        <v>158</v>
      </c>
      <c r="Z28" s="16">
        <f t="shared" si="20"/>
        <v>292</v>
      </c>
      <c r="AA28" s="16">
        <f t="shared" si="20"/>
        <v>67</v>
      </c>
      <c r="AB28" s="16">
        <f t="shared" si="20"/>
        <v>570</v>
      </c>
      <c r="AC28" s="16">
        <f t="shared" si="20"/>
        <v>985</v>
      </c>
      <c r="AD28" s="16">
        <f t="shared" si="20"/>
        <v>2</v>
      </c>
      <c r="AE28" s="32">
        <f t="shared" si="20"/>
        <v>3792</v>
      </c>
      <c r="AF28" s="32">
        <f t="shared" si="20"/>
        <v>4777</v>
      </c>
    </row>
    <row r="29" spans="2:32" ht="23.1" customHeight="1" x14ac:dyDescent="0.25">
      <c r="B29" s="23" t="s">
        <v>56</v>
      </c>
      <c r="C29" s="50">
        <v>18</v>
      </c>
      <c r="D29" s="50">
        <v>5</v>
      </c>
      <c r="E29" s="50">
        <v>5</v>
      </c>
      <c r="F29" s="50">
        <v>20</v>
      </c>
      <c r="G29" s="50">
        <v>1</v>
      </c>
      <c r="H29" s="50">
        <v>0</v>
      </c>
      <c r="I29" s="50">
        <v>1</v>
      </c>
      <c r="J29" s="50">
        <v>9</v>
      </c>
      <c r="K29" s="50">
        <v>1</v>
      </c>
      <c r="L29" s="50">
        <v>8</v>
      </c>
      <c r="M29" s="50">
        <v>18</v>
      </c>
      <c r="N29" s="50">
        <v>0</v>
      </c>
      <c r="O29" s="15">
        <f t="shared" si="0"/>
        <v>68</v>
      </c>
      <c r="P29" s="15">
        <f t="shared" si="1"/>
        <v>86</v>
      </c>
      <c r="R29"/>
      <c r="S29" s="20"/>
      <c r="T29" s="19"/>
    </row>
    <row r="30" spans="2:32" ht="23.1" customHeight="1" x14ac:dyDescent="0.25">
      <c r="B30" s="23" t="s">
        <v>57</v>
      </c>
      <c r="C30" s="50">
        <v>14</v>
      </c>
      <c r="D30" s="50">
        <v>7</v>
      </c>
      <c r="E30" s="50">
        <v>5</v>
      </c>
      <c r="F30" s="50">
        <v>41</v>
      </c>
      <c r="G30" s="50">
        <v>1</v>
      </c>
      <c r="H30" s="50">
        <v>0</v>
      </c>
      <c r="I30" s="50">
        <v>3</v>
      </c>
      <c r="J30" s="50">
        <v>9</v>
      </c>
      <c r="K30" s="50">
        <v>2</v>
      </c>
      <c r="L30" s="50">
        <v>1</v>
      </c>
      <c r="M30" s="50">
        <v>20</v>
      </c>
      <c r="N30" s="50">
        <v>0</v>
      </c>
      <c r="O30" s="15">
        <f t="shared" si="0"/>
        <v>83</v>
      </c>
      <c r="P30" s="15">
        <f t="shared" si="1"/>
        <v>103</v>
      </c>
    </row>
    <row r="31" spans="2:32" ht="23.1" customHeight="1" x14ac:dyDescent="0.25">
      <c r="B31" s="24" t="s">
        <v>58</v>
      </c>
      <c r="C31" s="50">
        <v>9</v>
      </c>
      <c r="D31" s="50">
        <v>2</v>
      </c>
      <c r="E31" s="50">
        <v>3</v>
      </c>
      <c r="F31" s="50">
        <v>23</v>
      </c>
      <c r="G31" s="50">
        <v>2</v>
      </c>
      <c r="H31" s="50">
        <v>3</v>
      </c>
      <c r="I31" s="50">
        <v>1</v>
      </c>
      <c r="J31" s="50">
        <v>7</v>
      </c>
      <c r="K31" s="50">
        <v>1</v>
      </c>
      <c r="L31" s="50">
        <v>8</v>
      </c>
      <c r="M31" s="50">
        <v>24</v>
      </c>
      <c r="N31" s="50">
        <v>0</v>
      </c>
      <c r="O31" s="15">
        <f t="shared" si="0"/>
        <v>59</v>
      </c>
      <c r="P31" s="15">
        <f t="shared" si="1"/>
        <v>83</v>
      </c>
    </row>
    <row r="32" spans="2:32" ht="23.1" customHeight="1" x14ac:dyDescent="0.25">
      <c r="B32" s="24" t="s">
        <v>59</v>
      </c>
      <c r="C32" s="50">
        <v>11</v>
      </c>
      <c r="D32" s="50">
        <v>8</v>
      </c>
      <c r="E32" s="50">
        <v>5</v>
      </c>
      <c r="F32" s="50">
        <v>20</v>
      </c>
      <c r="G32" s="50">
        <v>0</v>
      </c>
      <c r="H32" s="50">
        <v>0</v>
      </c>
      <c r="I32" s="50">
        <v>3</v>
      </c>
      <c r="J32" s="50">
        <v>4</v>
      </c>
      <c r="K32" s="50">
        <v>1</v>
      </c>
      <c r="L32" s="50">
        <v>14</v>
      </c>
      <c r="M32" s="50">
        <v>19</v>
      </c>
      <c r="N32" s="50">
        <v>0</v>
      </c>
      <c r="O32" s="15">
        <f t="shared" si="0"/>
        <v>66</v>
      </c>
      <c r="P32" s="15">
        <f t="shared" si="1"/>
        <v>85</v>
      </c>
    </row>
    <row r="33" spans="2:20" ht="23.1" customHeight="1" x14ac:dyDescent="0.25">
      <c r="B33" s="23" t="s">
        <v>60</v>
      </c>
      <c r="C33" s="50">
        <v>7</v>
      </c>
      <c r="D33" s="50">
        <v>4</v>
      </c>
      <c r="E33" s="50">
        <v>2</v>
      </c>
      <c r="F33" s="50">
        <v>37</v>
      </c>
      <c r="G33" s="50">
        <v>4</v>
      </c>
      <c r="H33" s="50">
        <v>0</v>
      </c>
      <c r="I33" s="50">
        <v>0</v>
      </c>
      <c r="J33" s="50">
        <v>4</v>
      </c>
      <c r="K33" s="50">
        <v>3</v>
      </c>
      <c r="L33" s="50">
        <v>12</v>
      </c>
      <c r="M33" s="50">
        <v>26</v>
      </c>
      <c r="N33" s="50">
        <v>0</v>
      </c>
      <c r="O33" s="15">
        <f t="shared" si="0"/>
        <v>73</v>
      </c>
      <c r="P33" s="15">
        <f t="shared" si="1"/>
        <v>99</v>
      </c>
    </row>
    <row r="34" spans="2:20" ht="23.1" customHeight="1" x14ac:dyDescent="0.25">
      <c r="B34" s="24" t="s">
        <v>61</v>
      </c>
      <c r="C34" s="50">
        <v>14</v>
      </c>
      <c r="D34" s="50">
        <v>3</v>
      </c>
      <c r="E34" s="50">
        <v>4</v>
      </c>
      <c r="F34" s="50">
        <v>30</v>
      </c>
      <c r="G34" s="50">
        <v>2</v>
      </c>
      <c r="H34" s="50">
        <v>0</v>
      </c>
      <c r="I34" s="50">
        <v>9</v>
      </c>
      <c r="J34" s="50">
        <v>8</v>
      </c>
      <c r="K34" s="50">
        <v>1</v>
      </c>
      <c r="L34" s="50">
        <v>10</v>
      </c>
      <c r="M34" s="50">
        <v>24</v>
      </c>
      <c r="N34" s="50">
        <v>0</v>
      </c>
      <c r="O34" s="15">
        <f t="shared" si="0"/>
        <v>81</v>
      </c>
      <c r="P34" s="15">
        <f t="shared" si="1"/>
        <v>105</v>
      </c>
    </row>
    <row r="35" spans="2:20" ht="23.1" customHeight="1" x14ac:dyDescent="0.25">
      <c r="B35" s="24" t="s">
        <v>62</v>
      </c>
      <c r="C35" s="50">
        <v>12</v>
      </c>
      <c r="D35" s="50">
        <v>9</v>
      </c>
      <c r="E35" s="50">
        <v>3</v>
      </c>
      <c r="F35" s="50">
        <v>31</v>
      </c>
      <c r="G35" s="50">
        <v>4</v>
      </c>
      <c r="H35" s="50">
        <v>0</v>
      </c>
      <c r="I35" s="50">
        <v>3</v>
      </c>
      <c r="J35" s="50">
        <v>13</v>
      </c>
      <c r="K35" s="50">
        <v>0</v>
      </c>
      <c r="L35" s="50">
        <v>13</v>
      </c>
      <c r="M35" s="50">
        <v>20</v>
      </c>
      <c r="N35" s="50">
        <v>0</v>
      </c>
      <c r="O35" s="15">
        <f t="shared" si="0"/>
        <v>88</v>
      </c>
      <c r="P35" s="15">
        <f t="shared" si="1"/>
        <v>108</v>
      </c>
    </row>
    <row r="36" spans="2:20" ht="23.1" customHeight="1" x14ac:dyDescent="0.25">
      <c r="B36" s="24" t="s">
        <v>63</v>
      </c>
      <c r="C36" s="50">
        <v>21</v>
      </c>
      <c r="D36" s="50">
        <v>8</v>
      </c>
      <c r="E36" s="50">
        <v>4</v>
      </c>
      <c r="F36" s="50">
        <v>37</v>
      </c>
      <c r="G36" s="50">
        <v>0</v>
      </c>
      <c r="H36" s="50">
        <v>0</v>
      </c>
      <c r="I36" s="50">
        <v>8</v>
      </c>
      <c r="J36" s="50">
        <v>4</v>
      </c>
      <c r="K36" s="50">
        <v>1</v>
      </c>
      <c r="L36" s="50">
        <v>15</v>
      </c>
      <c r="M36" s="50">
        <v>33</v>
      </c>
      <c r="N36" s="50">
        <v>0</v>
      </c>
      <c r="O36" s="15">
        <f t="shared" si="0"/>
        <v>98</v>
      </c>
      <c r="P36" s="15">
        <f t="shared" si="1"/>
        <v>131</v>
      </c>
    </row>
    <row r="37" spans="2:20" ht="23.1" customHeight="1" x14ac:dyDescent="0.25">
      <c r="B37" s="23" t="s">
        <v>64</v>
      </c>
      <c r="C37" s="50">
        <v>13</v>
      </c>
      <c r="D37" s="50">
        <v>9</v>
      </c>
      <c r="E37" s="50">
        <v>2</v>
      </c>
      <c r="F37" s="50">
        <v>22</v>
      </c>
      <c r="G37" s="50">
        <v>2</v>
      </c>
      <c r="H37" s="50">
        <v>1</v>
      </c>
      <c r="I37" s="50">
        <v>2</v>
      </c>
      <c r="J37" s="50">
        <v>6</v>
      </c>
      <c r="K37" s="50">
        <v>0</v>
      </c>
      <c r="L37" s="50">
        <v>17</v>
      </c>
      <c r="M37" s="50">
        <v>17</v>
      </c>
      <c r="N37" s="50">
        <v>0</v>
      </c>
      <c r="O37" s="15">
        <f t="shared" si="0"/>
        <v>74</v>
      </c>
      <c r="P37" s="15">
        <f t="shared" si="1"/>
        <v>91</v>
      </c>
    </row>
    <row r="38" spans="2:20" ht="23.1" customHeight="1" x14ac:dyDescent="0.25">
      <c r="B38" s="24" t="s">
        <v>65</v>
      </c>
      <c r="C38" s="50">
        <v>9</v>
      </c>
      <c r="D38" s="50">
        <v>8</v>
      </c>
      <c r="E38" s="50">
        <v>5</v>
      </c>
      <c r="F38" s="50">
        <v>32</v>
      </c>
      <c r="G38" s="50">
        <v>4</v>
      </c>
      <c r="H38" s="50">
        <v>2</v>
      </c>
      <c r="I38" s="50">
        <v>3</v>
      </c>
      <c r="J38" s="50">
        <v>3</v>
      </c>
      <c r="K38" s="50">
        <v>9</v>
      </c>
      <c r="L38" s="50">
        <v>10</v>
      </c>
      <c r="M38" s="50">
        <v>14</v>
      </c>
      <c r="N38" s="50">
        <v>0</v>
      </c>
      <c r="O38" s="15">
        <f t="shared" si="0"/>
        <v>85</v>
      </c>
      <c r="P38" s="15">
        <f t="shared" si="1"/>
        <v>99</v>
      </c>
    </row>
    <row r="39" spans="2:20" ht="23.1" customHeight="1" x14ac:dyDescent="0.25">
      <c r="B39" s="24" t="s">
        <v>66</v>
      </c>
      <c r="C39" s="50">
        <v>12</v>
      </c>
      <c r="D39" s="50">
        <v>5</v>
      </c>
      <c r="E39" s="50">
        <v>5</v>
      </c>
      <c r="F39" s="50">
        <v>37</v>
      </c>
      <c r="G39" s="50">
        <v>1</v>
      </c>
      <c r="H39" s="50">
        <v>0</v>
      </c>
      <c r="I39" s="50">
        <v>4</v>
      </c>
      <c r="J39" s="50">
        <v>12</v>
      </c>
      <c r="K39" s="50">
        <v>2</v>
      </c>
      <c r="L39" s="50">
        <v>20</v>
      </c>
      <c r="M39" s="50">
        <v>21</v>
      </c>
      <c r="N39" s="50">
        <v>0</v>
      </c>
      <c r="O39" s="15">
        <f t="shared" si="0"/>
        <v>98</v>
      </c>
      <c r="P39" s="15">
        <f t="shared" si="1"/>
        <v>119</v>
      </c>
    </row>
    <row r="40" spans="2:20" ht="23.1" customHeight="1" x14ac:dyDescent="0.25">
      <c r="B40" s="24" t="s">
        <v>67</v>
      </c>
      <c r="C40" s="50">
        <v>14</v>
      </c>
      <c r="D40" s="50">
        <v>0</v>
      </c>
      <c r="E40" s="50">
        <v>6</v>
      </c>
      <c r="F40" s="50">
        <v>32</v>
      </c>
      <c r="G40" s="50">
        <v>2</v>
      </c>
      <c r="H40" s="50">
        <v>1</v>
      </c>
      <c r="I40" s="50">
        <v>3</v>
      </c>
      <c r="J40" s="50">
        <v>8</v>
      </c>
      <c r="K40" s="50">
        <v>1</v>
      </c>
      <c r="L40" s="50">
        <v>15</v>
      </c>
      <c r="M40" s="50">
        <v>20</v>
      </c>
      <c r="N40" s="50">
        <v>0</v>
      </c>
      <c r="O40" s="15">
        <f t="shared" si="0"/>
        <v>82</v>
      </c>
      <c r="P40" s="15">
        <f t="shared" si="1"/>
        <v>102</v>
      </c>
    </row>
    <row r="41" spans="2:20" ht="23.1" customHeight="1" x14ac:dyDescent="0.25">
      <c r="B41" s="23" t="s">
        <v>68</v>
      </c>
      <c r="C41" s="50">
        <v>11</v>
      </c>
      <c r="D41" s="50">
        <v>4</v>
      </c>
      <c r="E41" s="50">
        <v>3</v>
      </c>
      <c r="F41" s="50">
        <v>34</v>
      </c>
      <c r="G41" s="50">
        <v>1</v>
      </c>
      <c r="H41" s="50">
        <v>1</v>
      </c>
      <c r="I41" s="50">
        <v>7</v>
      </c>
      <c r="J41" s="50">
        <v>4</v>
      </c>
      <c r="K41" s="50">
        <v>2</v>
      </c>
      <c r="L41" s="50">
        <v>22</v>
      </c>
      <c r="M41" s="50">
        <v>15</v>
      </c>
      <c r="N41" s="50">
        <v>0</v>
      </c>
      <c r="O41" s="15">
        <f t="shared" si="0"/>
        <v>89</v>
      </c>
      <c r="P41" s="15">
        <f t="shared" si="1"/>
        <v>104</v>
      </c>
    </row>
    <row r="42" spans="2:20" ht="23.1" customHeight="1" x14ac:dyDescent="0.25">
      <c r="B42" s="24" t="s">
        <v>69</v>
      </c>
      <c r="C42" s="50">
        <v>7</v>
      </c>
      <c r="D42" s="50">
        <v>10</v>
      </c>
      <c r="E42" s="50">
        <v>4</v>
      </c>
      <c r="F42" s="50">
        <v>30</v>
      </c>
      <c r="G42" s="50">
        <v>2</v>
      </c>
      <c r="H42" s="50">
        <v>1</v>
      </c>
      <c r="I42" s="50">
        <v>5</v>
      </c>
      <c r="J42" s="50">
        <v>9</v>
      </c>
      <c r="K42" s="50">
        <v>2</v>
      </c>
      <c r="L42" s="50">
        <v>11</v>
      </c>
      <c r="M42" s="50">
        <v>15</v>
      </c>
      <c r="N42" s="50">
        <v>0</v>
      </c>
      <c r="O42" s="15">
        <f t="shared" si="0"/>
        <v>81</v>
      </c>
      <c r="P42" s="15">
        <f t="shared" si="1"/>
        <v>96</v>
      </c>
    </row>
    <row r="43" spans="2:20" ht="23.1" customHeight="1" x14ac:dyDescent="0.25">
      <c r="B43" s="23" t="s">
        <v>70</v>
      </c>
      <c r="C43" s="50">
        <v>13</v>
      </c>
      <c r="D43" s="50">
        <v>10</v>
      </c>
      <c r="E43" s="50">
        <v>4</v>
      </c>
      <c r="F43" s="50">
        <v>31</v>
      </c>
      <c r="G43" s="50">
        <v>3</v>
      </c>
      <c r="H43" s="50">
        <v>0</v>
      </c>
      <c r="I43" s="50">
        <v>5</v>
      </c>
      <c r="J43" s="50">
        <v>2</v>
      </c>
      <c r="K43" s="50">
        <v>2</v>
      </c>
      <c r="L43" s="50">
        <v>13</v>
      </c>
      <c r="M43" s="50">
        <v>28</v>
      </c>
      <c r="N43" s="50">
        <v>1</v>
      </c>
      <c r="O43" s="15">
        <f t="shared" si="0"/>
        <v>84</v>
      </c>
      <c r="P43" s="15">
        <f t="shared" si="1"/>
        <v>112</v>
      </c>
    </row>
    <row r="44" spans="2:20" ht="23.1" customHeight="1" x14ac:dyDescent="0.25">
      <c r="B44" s="25" t="s">
        <v>71</v>
      </c>
      <c r="C44" s="50">
        <v>10</v>
      </c>
      <c r="D44" s="50">
        <v>5</v>
      </c>
      <c r="E44" s="50">
        <v>7</v>
      </c>
      <c r="F44" s="50">
        <v>25</v>
      </c>
      <c r="G44" s="50">
        <v>0</v>
      </c>
      <c r="H44" s="50">
        <v>2</v>
      </c>
      <c r="I44" s="50">
        <v>1</v>
      </c>
      <c r="J44" s="50">
        <v>8</v>
      </c>
      <c r="K44" s="50">
        <v>1</v>
      </c>
      <c r="L44" s="50">
        <v>12</v>
      </c>
      <c r="M44" s="50">
        <v>15</v>
      </c>
      <c r="N44" s="50">
        <v>0</v>
      </c>
      <c r="O44" s="15">
        <f t="shared" si="0"/>
        <v>71</v>
      </c>
      <c r="P44" s="15">
        <f t="shared" si="1"/>
        <v>86</v>
      </c>
    </row>
    <row r="45" spans="2:20" ht="23.1" customHeight="1" x14ac:dyDescent="0.25">
      <c r="B45" s="23" t="s">
        <v>72</v>
      </c>
      <c r="C45" s="50">
        <v>16</v>
      </c>
      <c r="D45" s="50">
        <v>6</v>
      </c>
      <c r="E45" s="50">
        <v>3</v>
      </c>
      <c r="F45" s="50">
        <v>38</v>
      </c>
      <c r="G45" s="50">
        <v>1</v>
      </c>
      <c r="H45" s="50">
        <v>0</v>
      </c>
      <c r="I45" s="50">
        <v>11</v>
      </c>
      <c r="J45" s="50">
        <v>7</v>
      </c>
      <c r="K45" s="50">
        <v>2</v>
      </c>
      <c r="L45" s="50">
        <v>10</v>
      </c>
      <c r="M45" s="50">
        <v>15</v>
      </c>
      <c r="N45" s="50">
        <v>0</v>
      </c>
      <c r="O45" s="15">
        <f t="shared" si="0"/>
        <v>94</v>
      </c>
      <c r="P45" s="15">
        <f t="shared" si="1"/>
        <v>109</v>
      </c>
    </row>
    <row r="46" spans="2:20" ht="23.1" customHeight="1" x14ac:dyDescent="0.25">
      <c r="B46" s="24" t="s">
        <v>73</v>
      </c>
      <c r="C46" s="50">
        <v>16</v>
      </c>
      <c r="D46" s="50">
        <v>4</v>
      </c>
      <c r="E46" s="50">
        <v>9</v>
      </c>
      <c r="F46" s="50">
        <v>26</v>
      </c>
      <c r="G46" s="50">
        <v>0</v>
      </c>
      <c r="H46" s="50">
        <v>0</v>
      </c>
      <c r="I46" s="50">
        <v>6</v>
      </c>
      <c r="J46" s="50">
        <v>5</v>
      </c>
      <c r="K46" s="50">
        <v>1</v>
      </c>
      <c r="L46" s="50">
        <v>14</v>
      </c>
      <c r="M46" s="50">
        <v>21</v>
      </c>
      <c r="N46" s="50">
        <v>0</v>
      </c>
      <c r="O46" s="15">
        <f t="shared" si="0"/>
        <v>81</v>
      </c>
      <c r="P46" s="15">
        <f t="shared" si="1"/>
        <v>102</v>
      </c>
      <c r="R46" s="8"/>
      <c r="T46"/>
    </row>
    <row r="47" spans="2:20" ht="23.1" customHeight="1" x14ac:dyDescent="0.25">
      <c r="B47" s="24" t="s">
        <v>74</v>
      </c>
      <c r="C47" s="50">
        <v>16</v>
      </c>
      <c r="D47" s="50">
        <v>6</v>
      </c>
      <c r="E47" s="50">
        <v>7</v>
      </c>
      <c r="F47" s="50">
        <v>17</v>
      </c>
      <c r="G47" s="50">
        <v>2</v>
      </c>
      <c r="H47" s="50">
        <v>0</v>
      </c>
      <c r="I47" s="50">
        <v>6</v>
      </c>
      <c r="J47" s="50">
        <v>10</v>
      </c>
      <c r="K47" s="50">
        <v>2</v>
      </c>
      <c r="L47" s="50">
        <v>11</v>
      </c>
      <c r="M47" s="50">
        <v>21</v>
      </c>
      <c r="N47" s="50">
        <v>0</v>
      </c>
      <c r="O47" s="15">
        <f t="shared" si="0"/>
        <v>77</v>
      </c>
      <c r="P47" s="15">
        <f t="shared" si="1"/>
        <v>98</v>
      </c>
      <c r="R47" s="8"/>
      <c r="T47"/>
    </row>
    <row r="48" spans="2:20" ht="23.1" customHeight="1" x14ac:dyDescent="0.25">
      <c r="B48" s="24" t="s">
        <v>75</v>
      </c>
      <c r="C48" s="50">
        <v>23</v>
      </c>
      <c r="D48" s="50">
        <v>10</v>
      </c>
      <c r="E48" s="50">
        <v>7</v>
      </c>
      <c r="F48" s="50">
        <v>36</v>
      </c>
      <c r="G48" s="50">
        <v>1</v>
      </c>
      <c r="H48" s="50">
        <v>1</v>
      </c>
      <c r="I48" s="50">
        <v>2</v>
      </c>
      <c r="J48" s="50">
        <v>11</v>
      </c>
      <c r="K48" s="50">
        <v>2</v>
      </c>
      <c r="L48" s="50">
        <v>9</v>
      </c>
      <c r="M48" s="50">
        <v>22</v>
      </c>
      <c r="N48" s="50">
        <v>0</v>
      </c>
      <c r="O48" s="15">
        <f t="shared" si="0"/>
        <v>102</v>
      </c>
      <c r="P48" s="15">
        <f t="shared" si="1"/>
        <v>124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8</v>
      </c>
      <c r="E49" s="50">
        <v>2</v>
      </c>
      <c r="F49" s="50">
        <v>27</v>
      </c>
      <c r="G49" s="50">
        <v>2</v>
      </c>
      <c r="H49" s="50">
        <v>0</v>
      </c>
      <c r="I49" s="50">
        <v>2</v>
      </c>
      <c r="J49" s="50">
        <v>7</v>
      </c>
      <c r="K49" s="50">
        <v>1</v>
      </c>
      <c r="L49" s="50">
        <v>17</v>
      </c>
      <c r="M49" s="50">
        <v>17</v>
      </c>
      <c r="N49" s="50">
        <v>0</v>
      </c>
      <c r="O49" s="15">
        <f t="shared" si="0"/>
        <v>73</v>
      </c>
      <c r="P49" s="15">
        <f t="shared" si="1"/>
        <v>90</v>
      </c>
      <c r="R49" s="8"/>
      <c r="T49"/>
    </row>
    <row r="50" spans="2:20" ht="23.1" customHeight="1" x14ac:dyDescent="0.25">
      <c r="B50" s="24" t="s">
        <v>77</v>
      </c>
      <c r="C50" s="50">
        <v>26</v>
      </c>
      <c r="D50" s="50">
        <v>11</v>
      </c>
      <c r="E50" s="50">
        <v>3</v>
      </c>
      <c r="F50" s="50">
        <v>49</v>
      </c>
      <c r="G50" s="50">
        <v>0</v>
      </c>
      <c r="H50" s="50">
        <v>2</v>
      </c>
      <c r="I50" s="50">
        <v>4</v>
      </c>
      <c r="J50" s="50">
        <v>8</v>
      </c>
      <c r="K50" s="50">
        <v>2</v>
      </c>
      <c r="L50" s="50">
        <v>33</v>
      </c>
      <c r="M50" s="50">
        <v>17</v>
      </c>
      <c r="N50" s="50">
        <v>0</v>
      </c>
      <c r="O50" s="15">
        <f t="shared" si="0"/>
        <v>138</v>
      </c>
      <c r="P50" s="15">
        <f t="shared" si="1"/>
        <v>155</v>
      </c>
      <c r="R50" s="8"/>
      <c r="T50"/>
    </row>
    <row r="51" spans="2:20" ht="23.1" customHeight="1" x14ac:dyDescent="0.25">
      <c r="B51" s="24" t="s">
        <v>78</v>
      </c>
      <c r="C51" s="50">
        <v>24</v>
      </c>
      <c r="D51" s="50">
        <v>10</v>
      </c>
      <c r="E51" s="50">
        <v>5</v>
      </c>
      <c r="F51" s="50">
        <v>38</v>
      </c>
      <c r="G51" s="50">
        <v>3</v>
      </c>
      <c r="H51" s="50">
        <v>0</v>
      </c>
      <c r="I51" s="50">
        <v>10</v>
      </c>
      <c r="J51" s="50">
        <v>7</v>
      </c>
      <c r="K51" s="50">
        <v>2</v>
      </c>
      <c r="L51" s="50">
        <v>19</v>
      </c>
      <c r="M51" s="50">
        <v>25</v>
      </c>
      <c r="N51" s="50">
        <v>0</v>
      </c>
      <c r="O51" s="15">
        <f t="shared" si="0"/>
        <v>118</v>
      </c>
      <c r="P51" s="15">
        <f t="shared" si="1"/>
        <v>143</v>
      </c>
      <c r="R51" s="8"/>
      <c r="T51"/>
    </row>
    <row r="52" spans="2:20" ht="23.1" customHeight="1" x14ac:dyDescent="0.25">
      <c r="B52" s="24" t="s">
        <v>79</v>
      </c>
      <c r="C52" s="50">
        <v>19</v>
      </c>
      <c r="D52" s="50">
        <v>11</v>
      </c>
      <c r="E52" s="50">
        <v>6</v>
      </c>
      <c r="F52" s="50">
        <v>27</v>
      </c>
      <c r="G52" s="50">
        <v>1</v>
      </c>
      <c r="H52" s="50">
        <v>0</v>
      </c>
      <c r="I52" s="50">
        <v>3</v>
      </c>
      <c r="J52" s="50">
        <v>6</v>
      </c>
      <c r="K52" s="50">
        <v>2</v>
      </c>
      <c r="L52" s="50">
        <v>20</v>
      </c>
      <c r="M52" s="50">
        <v>26</v>
      </c>
      <c r="N52" s="50">
        <v>0</v>
      </c>
      <c r="O52" s="15">
        <f t="shared" si="0"/>
        <v>95</v>
      </c>
      <c r="P52" s="15">
        <f t="shared" si="1"/>
        <v>121</v>
      </c>
      <c r="R52" s="8"/>
      <c r="T52"/>
    </row>
    <row r="53" spans="2:20" ht="23.1" customHeight="1" x14ac:dyDescent="0.25">
      <c r="B53" s="23" t="s">
        <v>80</v>
      </c>
      <c r="C53" s="50">
        <v>17</v>
      </c>
      <c r="D53" s="50">
        <v>10</v>
      </c>
      <c r="E53" s="50">
        <v>7</v>
      </c>
      <c r="F53" s="50">
        <v>38</v>
      </c>
      <c r="G53" s="50">
        <v>3</v>
      </c>
      <c r="H53" s="50">
        <v>0</v>
      </c>
      <c r="I53" s="50">
        <v>5</v>
      </c>
      <c r="J53" s="50">
        <v>9</v>
      </c>
      <c r="K53" s="50">
        <v>0</v>
      </c>
      <c r="L53" s="50">
        <v>33</v>
      </c>
      <c r="M53" s="50">
        <v>21</v>
      </c>
      <c r="N53" s="50">
        <v>0</v>
      </c>
      <c r="O53" s="15">
        <f t="shared" si="0"/>
        <v>122</v>
      </c>
      <c r="P53" s="15">
        <f t="shared" si="1"/>
        <v>143</v>
      </c>
      <c r="R53" s="8"/>
      <c r="T53"/>
    </row>
    <row r="54" spans="2:20" ht="23.1" customHeight="1" x14ac:dyDescent="0.25">
      <c r="B54" s="23" t="s">
        <v>81</v>
      </c>
      <c r="C54" s="50">
        <v>16</v>
      </c>
      <c r="D54" s="50">
        <v>11</v>
      </c>
      <c r="E54" s="50">
        <v>3</v>
      </c>
      <c r="F54" s="50">
        <v>47</v>
      </c>
      <c r="G54" s="50">
        <v>3</v>
      </c>
      <c r="H54" s="50">
        <v>2</v>
      </c>
      <c r="I54" s="50">
        <v>6</v>
      </c>
      <c r="J54" s="50">
        <v>8</v>
      </c>
      <c r="K54" s="50">
        <v>4</v>
      </c>
      <c r="L54" s="50">
        <v>24</v>
      </c>
      <c r="M54" s="50">
        <v>15</v>
      </c>
      <c r="N54" s="50">
        <v>1</v>
      </c>
      <c r="O54" s="15">
        <f t="shared" si="0"/>
        <v>125</v>
      </c>
      <c r="P54" s="15">
        <f t="shared" si="1"/>
        <v>140</v>
      </c>
      <c r="R54" s="8"/>
      <c r="T54"/>
    </row>
    <row r="55" spans="2:20" ht="23.1" customHeight="1" x14ac:dyDescent="0.25">
      <c r="B55" s="23" t="s">
        <v>82</v>
      </c>
      <c r="C55" s="50">
        <v>11</v>
      </c>
      <c r="D55" s="50">
        <v>7</v>
      </c>
      <c r="E55" s="50">
        <v>4</v>
      </c>
      <c r="F55" s="50">
        <v>27</v>
      </c>
      <c r="G55" s="50">
        <v>0</v>
      </c>
      <c r="H55" s="50">
        <v>0</v>
      </c>
      <c r="I55" s="50">
        <v>3</v>
      </c>
      <c r="J55" s="50">
        <v>5</v>
      </c>
      <c r="K55" s="50">
        <v>1</v>
      </c>
      <c r="L55" s="50">
        <v>15</v>
      </c>
      <c r="M55" s="50">
        <v>16</v>
      </c>
      <c r="N55" s="50">
        <v>0</v>
      </c>
      <c r="O55" s="15">
        <f t="shared" si="0"/>
        <v>73</v>
      </c>
      <c r="P55" s="15">
        <f t="shared" si="1"/>
        <v>89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4</v>
      </c>
      <c r="E56" s="50">
        <v>5</v>
      </c>
      <c r="F56" s="50">
        <v>20</v>
      </c>
      <c r="G56" s="50">
        <v>0</v>
      </c>
      <c r="H56" s="50">
        <v>0</v>
      </c>
      <c r="I56" s="50">
        <v>4</v>
      </c>
      <c r="J56" s="50">
        <v>5</v>
      </c>
      <c r="K56" s="50">
        <v>2</v>
      </c>
      <c r="L56" s="50">
        <v>23</v>
      </c>
      <c r="M56" s="50">
        <v>15</v>
      </c>
      <c r="N56" s="50">
        <v>0</v>
      </c>
      <c r="O56" s="15">
        <f t="shared" si="0"/>
        <v>69</v>
      </c>
      <c r="P56" s="15">
        <f t="shared" si="1"/>
        <v>84</v>
      </c>
      <c r="R56" s="8"/>
      <c r="T56"/>
    </row>
    <row r="57" spans="2:20" ht="23.1" customHeight="1" x14ac:dyDescent="0.25">
      <c r="B57" s="23" t="s">
        <v>84</v>
      </c>
      <c r="C57" s="50">
        <v>35</v>
      </c>
      <c r="D57" s="50">
        <v>2</v>
      </c>
      <c r="E57" s="50">
        <v>8</v>
      </c>
      <c r="F57" s="50">
        <v>15</v>
      </c>
      <c r="G57" s="50">
        <v>1</v>
      </c>
      <c r="H57" s="50">
        <v>3</v>
      </c>
      <c r="I57" s="50">
        <v>3</v>
      </c>
      <c r="J57" s="50">
        <v>5</v>
      </c>
      <c r="K57" s="50">
        <v>0</v>
      </c>
      <c r="L57" s="50">
        <v>30</v>
      </c>
      <c r="M57" s="50">
        <v>40</v>
      </c>
      <c r="N57" s="50">
        <v>0</v>
      </c>
      <c r="O57" s="15">
        <f t="shared" si="0"/>
        <v>102</v>
      </c>
      <c r="P57" s="15">
        <f t="shared" si="1"/>
        <v>142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648</v>
      </c>
      <c r="D58" s="16">
        <f t="shared" si="21"/>
        <v>315</v>
      </c>
      <c r="E58" s="16">
        <f t="shared" si="21"/>
        <v>219</v>
      </c>
      <c r="F58" s="16">
        <f t="shared" si="21"/>
        <v>1436</v>
      </c>
      <c r="G58" s="16">
        <f t="shared" si="21"/>
        <v>58</v>
      </c>
      <c r="H58" s="16">
        <f t="shared" si="21"/>
        <v>27</v>
      </c>
      <c r="I58" s="16">
        <f t="shared" si="21"/>
        <v>158</v>
      </c>
      <c r="J58" s="16">
        <f t="shared" si="21"/>
        <v>292</v>
      </c>
      <c r="K58" s="16">
        <f t="shared" si="21"/>
        <v>67</v>
      </c>
      <c r="L58" s="16">
        <f t="shared" si="21"/>
        <v>570</v>
      </c>
      <c r="M58" s="16">
        <f t="shared" si="21"/>
        <v>985</v>
      </c>
      <c r="N58" s="16">
        <f t="shared" si="21"/>
        <v>2</v>
      </c>
      <c r="O58" s="16">
        <f t="shared" si="21"/>
        <v>3792</v>
      </c>
      <c r="P58" s="16">
        <f t="shared" si="21"/>
        <v>4777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0.13564998953317983</v>
      </c>
      <c r="D59" s="43">
        <f t="shared" si="22"/>
        <v>6.5940967134184639E-2</v>
      </c>
      <c r="E59" s="43">
        <f t="shared" si="22"/>
        <v>4.5844672388528365E-2</v>
      </c>
      <c r="F59" s="43">
        <f t="shared" si="22"/>
        <v>0.3006070755704417</v>
      </c>
      <c r="G59" s="43">
        <f t="shared" si="22"/>
        <v>1.2141511408833997E-2</v>
      </c>
      <c r="H59" s="43">
        <f t="shared" si="22"/>
        <v>5.6520828972158261E-3</v>
      </c>
      <c r="I59" s="43">
        <f t="shared" si="22"/>
        <v>3.3075151768892613E-2</v>
      </c>
      <c r="J59" s="43">
        <f t="shared" si="22"/>
        <v>6.1126229851371151E-2</v>
      </c>
      <c r="K59" s="43">
        <f t="shared" si="22"/>
        <v>1.4025539041239271E-2</v>
      </c>
      <c r="L59" s="43">
        <f t="shared" si="22"/>
        <v>0.1193217500523341</v>
      </c>
      <c r="M59" s="43">
        <f t="shared" si="22"/>
        <v>0.20619635754657736</v>
      </c>
      <c r="N59" s="43">
        <f t="shared" si="22"/>
        <v>4.1867280720117231E-4</v>
      </c>
      <c r="R59" s="8"/>
      <c r="T59"/>
    </row>
    <row r="60" spans="2:20" ht="23.1" customHeight="1" x14ac:dyDescent="0.25">
      <c r="B60" s="42" t="s">
        <v>94</v>
      </c>
      <c r="C60" s="44">
        <f>C58/$O$58</f>
        <v>0.17088607594936708</v>
      </c>
      <c r="D60" s="44">
        <f t="shared" ref="D60:N60" si="23">D58/$O$58</f>
        <v>8.3069620253164556E-2</v>
      </c>
      <c r="E60" s="44">
        <f t="shared" si="23"/>
        <v>5.7753164556962028E-2</v>
      </c>
      <c r="F60" s="44">
        <f t="shared" si="23"/>
        <v>0.37869198312236285</v>
      </c>
      <c r="G60" s="44">
        <f t="shared" si="23"/>
        <v>1.529535864978903E-2</v>
      </c>
      <c r="H60" s="44">
        <f t="shared" si="23"/>
        <v>7.1202531645569618E-3</v>
      </c>
      <c r="I60" s="44">
        <f t="shared" si="23"/>
        <v>4.1666666666666664E-2</v>
      </c>
      <c r="J60" s="44">
        <f t="shared" si="23"/>
        <v>7.7004219409282704E-2</v>
      </c>
      <c r="K60" s="44">
        <f t="shared" si="23"/>
        <v>1.7668776371308016E-2</v>
      </c>
      <c r="L60" s="44">
        <f t="shared" si="23"/>
        <v>0.15031645569620253</v>
      </c>
      <c r="M60" s="44"/>
      <c r="N60" s="44">
        <f t="shared" si="23"/>
        <v>5.274261603375527E-4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249977111117893"/>
  </sheetPr>
  <dimension ref="B1:AF174"/>
  <sheetViews>
    <sheetView view="pageBreakPreview" topLeftCell="A46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jinja-kampala'!C3:G3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3" t="str">
        <f>'27.10 KAMPALA-JINJA'!G5:H5</f>
        <v>Nakibbizi</v>
      </c>
      <c r="H5" s="64"/>
      <c r="I5" s="14"/>
      <c r="J5" s="2" t="s">
        <v>5</v>
      </c>
      <c r="K5" s="63" t="str">
        <f>'27.10 KAMPALA-JINJA'!K5:L5</f>
        <v>JEROME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jinja-kampala'!D6:E6</f>
        <v>Jinja</v>
      </c>
      <c r="E6" s="64"/>
      <c r="F6" s="2" t="s">
        <v>2</v>
      </c>
      <c r="G6" s="63" t="str">
        <f>'17.10 jinja-kampala'!G6:H6</f>
        <v>Kampala</v>
      </c>
      <c r="H6" s="64"/>
      <c r="J6" s="2" t="s">
        <v>21</v>
      </c>
      <c r="K6" s="63" t="str">
        <f>'27.10 KAMPALA-JINJA'!K6:L6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9</v>
      </c>
      <c r="D10" s="50">
        <v>2</v>
      </c>
      <c r="E10" s="50">
        <v>0</v>
      </c>
      <c r="F10" s="50">
        <v>32</v>
      </c>
      <c r="G10" s="50">
        <v>0</v>
      </c>
      <c r="H10" s="50">
        <v>1</v>
      </c>
      <c r="I10" s="50">
        <v>2</v>
      </c>
      <c r="J10" s="50">
        <v>6</v>
      </c>
      <c r="K10" s="50">
        <v>2</v>
      </c>
      <c r="L10" s="50">
        <v>20</v>
      </c>
      <c r="M10" s="50">
        <v>15</v>
      </c>
      <c r="N10" s="50">
        <v>0</v>
      </c>
      <c r="O10" s="15">
        <f t="shared" ref="O10:O57" si="0">SUM(C10:L10,N10)</f>
        <v>74</v>
      </c>
      <c r="P10" s="15">
        <f t="shared" ref="P10:P57" si="1">SUM(C10:N10)</f>
        <v>89</v>
      </c>
      <c r="R10" s="1" t="s">
        <v>6</v>
      </c>
      <c r="S10" s="17">
        <f t="shared" ref="S10:AF10" si="2">SUM(C10:C13)</f>
        <v>40</v>
      </c>
      <c r="T10" s="17">
        <f t="shared" si="2"/>
        <v>11</v>
      </c>
      <c r="U10" s="17">
        <f t="shared" si="2"/>
        <v>11</v>
      </c>
      <c r="V10" s="17">
        <f t="shared" si="2"/>
        <v>140</v>
      </c>
      <c r="W10" s="17">
        <f t="shared" si="2"/>
        <v>2</v>
      </c>
      <c r="X10" s="17">
        <f t="shared" si="2"/>
        <v>5</v>
      </c>
      <c r="Y10" s="17">
        <f t="shared" si="2"/>
        <v>6</v>
      </c>
      <c r="Z10" s="17">
        <f t="shared" si="2"/>
        <v>15</v>
      </c>
      <c r="AA10" s="17">
        <f t="shared" si="2"/>
        <v>5</v>
      </c>
      <c r="AB10" s="17">
        <f t="shared" si="2"/>
        <v>48</v>
      </c>
      <c r="AC10" s="17">
        <f t="shared" si="2"/>
        <v>71</v>
      </c>
      <c r="AD10" s="17">
        <f t="shared" si="2"/>
        <v>0</v>
      </c>
      <c r="AE10" s="31">
        <f t="shared" si="2"/>
        <v>283</v>
      </c>
      <c r="AF10" s="31">
        <f t="shared" si="2"/>
        <v>354</v>
      </c>
    </row>
    <row r="11" spans="2:32" s="6" customFormat="1" ht="23.1" customHeight="1" x14ac:dyDescent="0.25">
      <c r="B11" s="45" t="s">
        <v>38</v>
      </c>
      <c r="C11" s="50">
        <v>12</v>
      </c>
      <c r="D11" s="50">
        <v>4</v>
      </c>
      <c r="E11" s="50">
        <v>4</v>
      </c>
      <c r="F11" s="50">
        <v>40</v>
      </c>
      <c r="G11" s="50">
        <v>0</v>
      </c>
      <c r="H11" s="50">
        <v>3</v>
      </c>
      <c r="I11" s="50">
        <v>0</v>
      </c>
      <c r="J11" s="50">
        <v>4</v>
      </c>
      <c r="K11" s="50">
        <v>1</v>
      </c>
      <c r="L11" s="50">
        <v>5</v>
      </c>
      <c r="M11" s="50">
        <v>21</v>
      </c>
      <c r="N11" s="50">
        <v>0</v>
      </c>
      <c r="O11" s="15">
        <f t="shared" si="0"/>
        <v>73</v>
      </c>
      <c r="P11" s="15">
        <f t="shared" si="1"/>
        <v>94</v>
      </c>
      <c r="R11" s="1" t="s">
        <v>7</v>
      </c>
      <c r="S11" s="17">
        <f t="shared" ref="S11:AF11" si="3">SUM(C14:C17)</f>
        <v>59</v>
      </c>
      <c r="T11" s="17">
        <f t="shared" si="3"/>
        <v>20</v>
      </c>
      <c r="U11" s="17">
        <f t="shared" si="3"/>
        <v>11</v>
      </c>
      <c r="V11" s="17">
        <f t="shared" si="3"/>
        <v>145</v>
      </c>
      <c r="W11" s="17">
        <f t="shared" si="3"/>
        <v>2</v>
      </c>
      <c r="X11" s="17">
        <f t="shared" si="3"/>
        <v>5</v>
      </c>
      <c r="Y11" s="17">
        <f t="shared" si="3"/>
        <v>11</v>
      </c>
      <c r="Z11" s="17">
        <f t="shared" si="3"/>
        <v>19</v>
      </c>
      <c r="AA11" s="17">
        <f t="shared" si="3"/>
        <v>7</v>
      </c>
      <c r="AB11" s="17">
        <f t="shared" si="3"/>
        <v>39</v>
      </c>
      <c r="AC11" s="17">
        <f t="shared" si="3"/>
        <v>81</v>
      </c>
      <c r="AD11" s="17">
        <f t="shared" si="3"/>
        <v>0</v>
      </c>
      <c r="AE11" s="31">
        <f t="shared" si="3"/>
        <v>318</v>
      </c>
      <c r="AF11" s="31">
        <f t="shared" si="3"/>
        <v>399</v>
      </c>
    </row>
    <row r="12" spans="2:32" ht="23.1" customHeight="1" x14ac:dyDescent="0.25">
      <c r="B12" s="45" t="s">
        <v>39</v>
      </c>
      <c r="C12" s="50">
        <v>7</v>
      </c>
      <c r="D12" s="50">
        <v>0</v>
      </c>
      <c r="E12" s="50">
        <v>4</v>
      </c>
      <c r="F12" s="50">
        <v>34</v>
      </c>
      <c r="G12" s="50">
        <v>1</v>
      </c>
      <c r="H12" s="50">
        <v>1</v>
      </c>
      <c r="I12" s="50">
        <v>4</v>
      </c>
      <c r="J12" s="50">
        <v>2</v>
      </c>
      <c r="K12" s="50">
        <v>2</v>
      </c>
      <c r="L12" s="50">
        <v>6</v>
      </c>
      <c r="M12" s="50">
        <v>14</v>
      </c>
      <c r="N12" s="50">
        <v>0</v>
      </c>
      <c r="O12" s="15">
        <f t="shared" si="0"/>
        <v>61</v>
      </c>
      <c r="P12" s="15">
        <f t="shared" si="1"/>
        <v>75</v>
      </c>
      <c r="R12" s="1" t="s">
        <v>8</v>
      </c>
      <c r="S12" s="17">
        <f t="shared" ref="S12:AF12" si="4">SUM(C18:C21)</f>
        <v>66</v>
      </c>
      <c r="T12" s="17">
        <f t="shared" si="4"/>
        <v>19</v>
      </c>
      <c r="U12" s="17">
        <f t="shared" si="4"/>
        <v>15</v>
      </c>
      <c r="V12" s="17">
        <f t="shared" si="4"/>
        <v>125</v>
      </c>
      <c r="W12" s="17">
        <f t="shared" si="4"/>
        <v>4</v>
      </c>
      <c r="X12" s="17">
        <f t="shared" si="4"/>
        <v>3</v>
      </c>
      <c r="Y12" s="17">
        <f t="shared" si="4"/>
        <v>18</v>
      </c>
      <c r="Z12" s="17">
        <f t="shared" si="4"/>
        <v>8</v>
      </c>
      <c r="AA12" s="17">
        <f t="shared" si="4"/>
        <v>4</v>
      </c>
      <c r="AB12" s="17">
        <f t="shared" si="4"/>
        <v>30</v>
      </c>
      <c r="AC12" s="17">
        <f t="shared" si="4"/>
        <v>105</v>
      </c>
      <c r="AD12" s="17">
        <f t="shared" si="4"/>
        <v>0</v>
      </c>
      <c r="AE12" s="31">
        <f t="shared" si="4"/>
        <v>292</v>
      </c>
      <c r="AF12" s="31">
        <f t="shared" si="4"/>
        <v>397</v>
      </c>
    </row>
    <row r="13" spans="2:32" ht="23.1" customHeight="1" x14ac:dyDescent="0.25">
      <c r="B13" s="45" t="s">
        <v>40</v>
      </c>
      <c r="C13" s="50">
        <v>12</v>
      </c>
      <c r="D13" s="50">
        <v>5</v>
      </c>
      <c r="E13" s="50">
        <v>3</v>
      </c>
      <c r="F13" s="50">
        <v>34</v>
      </c>
      <c r="G13" s="50">
        <v>1</v>
      </c>
      <c r="H13" s="50">
        <v>0</v>
      </c>
      <c r="I13" s="50">
        <v>0</v>
      </c>
      <c r="J13" s="50">
        <v>3</v>
      </c>
      <c r="K13" s="50">
        <v>0</v>
      </c>
      <c r="L13" s="50">
        <v>17</v>
      </c>
      <c r="M13" s="50">
        <v>21</v>
      </c>
      <c r="N13" s="50">
        <v>0</v>
      </c>
      <c r="O13" s="15">
        <f t="shared" si="0"/>
        <v>75</v>
      </c>
      <c r="P13" s="15">
        <f t="shared" si="1"/>
        <v>96</v>
      </c>
      <c r="R13" s="1" t="s">
        <v>9</v>
      </c>
      <c r="S13" s="17">
        <f t="shared" ref="S13:AF13" si="5">SUM(C22:C25)</f>
        <v>65</v>
      </c>
      <c r="T13" s="17">
        <f t="shared" si="5"/>
        <v>23</v>
      </c>
      <c r="U13" s="17">
        <f t="shared" si="5"/>
        <v>14</v>
      </c>
      <c r="V13" s="17">
        <f t="shared" si="5"/>
        <v>118</v>
      </c>
      <c r="W13" s="17">
        <f t="shared" si="5"/>
        <v>5</v>
      </c>
      <c r="X13" s="17">
        <f t="shared" si="5"/>
        <v>3</v>
      </c>
      <c r="Y13" s="17">
        <f t="shared" si="5"/>
        <v>20</v>
      </c>
      <c r="Z13" s="17">
        <f t="shared" si="5"/>
        <v>16</v>
      </c>
      <c r="AA13" s="17">
        <f t="shared" si="5"/>
        <v>4</v>
      </c>
      <c r="AB13" s="17">
        <f t="shared" si="5"/>
        <v>40</v>
      </c>
      <c r="AC13" s="17">
        <f t="shared" si="5"/>
        <v>103</v>
      </c>
      <c r="AD13" s="17">
        <f t="shared" si="5"/>
        <v>0</v>
      </c>
      <c r="AE13" s="31">
        <f t="shared" si="5"/>
        <v>308</v>
      </c>
      <c r="AF13" s="31">
        <f t="shared" si="5"/>
        <v>411</v>
      </c>
    </row>
    <row r="14" spans="2:32" ht="23.1" customHeight="1" x14ac:dyDescent="0.25">
      <c r="B14" s="45" t="s">
        <v>41</v>
      </c>
      <c r="C14" s="50">
        <v>22</v>
      </c>
      <c r="D14" s="50">
        <v>9</v>
      </c>
      <c r="E14" s="50">
        <v>5</v>
      </c>
      <c r="F14" s="50">
        <v>38</v>
      </c>
      <c r="G14" s="50">
        <v>0</v>
      </c>
      <c r="H14" s="50">
        <v>0</v>
      </c>
      <c r="I14" s="50">
        <v>3</v>
      </c>
      <c r="J14" s="50">
        <v>6</v>
      </c>
      <c r="K14" s="50">
        <v>3</v>
      </c>
      <c r="L14" s="50">
        <v>12</v>
      </c>
      <c r="M14" s="50">
        <v>23</v>
      </c>
      <c r="N14" s="50">
        <v>0</v>
      </c>
      <c r="O14" s="15">
        <f t="shared" si="0"/>
        <v>98</v>
      </c>
      <c r="P14" s="15">
        <f t="shared" si="1"/>
        <v>121</v>
      </c>
      <c r="R14" s="1" t="s">
        <v>10</v>
      </c>
      <c r="S14" s="17">
        <f t="shared" ref="S14:AF14" si="6">SUM(C26:C29)</f>
        <v>67</v>
      </c>
      <c r="T14" s="17">
        <f t="shared" si="6"/>
        <v>24</v>
      </c>
      <c r="U14" s="17">
        <f t="shared" si="6"/>
        <v>19</v>
      </c>
      <c r="V14" s="17">
        <f t="shared" si="6"/>
        <v>125</v>
      </c>
      <c r="W14" s="17">
        <f t="shared" si="6"/>
        <v>4</v>
      </c>
      <c r="X14" s="17">
        <f t="shared" si="6"/>
        <v>2</v>
      </c>
      <c r="Y14" s="17">
        <f t="shared" si="6"/>
        <v>9</v>
      </c>
      <c r="Z14" s="17">
        <f t="shared" si="6"/>
        <v>12</v>
      </c>
      <c r="AA14" s="17">
        <f t="shared" si="6"/>
        <v>4</v>
      </c>
      <c r="AB14" s="17">
        <f t="shared" si="6"/>
        <v>39</v>
      </c>
      <c r="AC14" s="17">
        <f t="shared" si="6"/>
        <v>112</v>
      </c>
      <c r="AD14" s="17">
        <f t="shared" si="6"/>
        <v>1</v>
      </c>
      <c r="AE14" s="31">
        <f t="shared" si="6"/>
        <v>306</v>
      </c>
      <c r="AF14" s="31">
        <f t="shared" si="6"/>
        <v>418</v>
      </c>
    </row>
    <row r="15" spans="2:32" ht="23.1" customHeight="1" x14ac:dyDescent="0.25">
      <c r="B15" s="45" t="s">
        <v>42</v>
      </c>
      <c r="C15" s="50">
        <v>19</v>
      </c>
      <c r="D15" s="50">
        <v>6</v>
      </c>
      <c r="E15" s="50">
        <v>3</v>
      </c>
      <c r="F15" s="50">
        <v>34</v>
      </c>
      <c r="G15" s="50">
        <v>1</v>
      </c>
      <c r="H15" s="50">
        <v>3</v>
      </c>
      <c r="I15" s="50">
        <v>3</v>
      </c>
      <c r="J15" s="50">
        <v>5</v>
      </c>
      <c r="K15" s="50">
        <v>2</v>
      </c>
      <c r="L15" s="50">
        <v>9</v>
      </c>
      <c r="M15" s="50">
        <v>17</v>
      </c>
      <c r="N15" s="50">
        <v>0</v>
      </c>
      <c r="O15" s="15">
        <f t="shared" si="0"/>
        <v>85</v>
      </c>
      <c r="P15" s="15">
        <f t="shared" si="1"/>
        <v>102</v>
      </c>
      <c r="R15" s="1" t="s">
        <v>11</v>
      </c>
      <c r="S15" s="17">
        <f t="shared" ref="S15:AF15" si="7">SUM(C30:C33)</f>
        <v>97</v>
      </c>
      <c r="T15" s="17">
        <f t="shared" si="7"/>
        <v>24</v>
      </c>
      <c r="U15" s="17">
        <f t="shared" si="7"/>
        <v>15</v>
      </c>
      <c r="V15" s="17">
        <f t="shared" si="7"/>
        <v>116</v>
      </c>
      <c r="W15" s="17">
        <f t="shared" si="7"/>
        <v>1</v>
      </c>
      <c r="X15" s="17">
        <f t="shared" si="7"/>
        <v>2</v>
      </c>
      <c r="Y15" s="17">
        <f t="shared" si="7"/>
        <v>16</v>
      </c>
      <c r="Z15" s="17">
        <f t="shared" si="7"/>
        <v>27</v>
      </c>
      <c r="AA15" s="17">
        <f t="shared" si="7"/>
        <v>5</v>
      </c>
      <c r="AB15" s="17">
        <f t="shared" si="7"/>
        <v>31</v>
      </c>
      <c r="AC15" s="17">
        <f t="shared" si="7"/>
        <v>81</v>
      </c>
      <c r="AD15" s="17">
        <f t="shared" si="7"/>
        <v>0</v>
      </c>
      <c r="AE15" s="31">
        <f t="shared" si="7"/>
        <v>334</v>
      </c>
      <c r="AF15" s="31">
        <f t="shared" si="7"/>
        <v>415</v>
      </c>
    </row>
    <row r="16" spans="2:32" ht="23.1" customHeight="1" x14ac:dyDescent="0.25">
      <c r="B16" s="45" t="s">
        <v>43</v>
      </c>
      <c r="C16" s="50">
        <v>5</v>
      </c>
      <c r="D16" s="50">
        <v>4</v>
      </c>
      <c r="E16" s="50">
        <v>2</v>
      </c>
      <c r="F16" s="50">
        <v>30</v>
      </c>
      <c r="G16" s="50">
        <v>1</v>
      </c>
      <c r="H16" s="50">
        <v>0</v>
      </c>
      <c r="I16" s="50">
        <v>2</v>
      </c>
      <c r="J16" s="50">
        <v>8</v>
      </c>
      <c r="K16" s="50">
        <v>2</v>
      </c>
      <c r="L16" s="50">
        <v>10</v>
      </c>
      <c r="M16" s="50">
        <v>21</v>
      </c>
      <c r="N16" s="50">
        <v>0</v>
      </c>
      <c r="O16" s="15">
        <f t="shared" si="0"/>
        <v>64</v>
      </c>
      <c r="P16" s="15">
        <f t="shared" si="1"/>
        <v>85</v>
      </c>
      <c r="R16" s="1" t="s">
        <v>12</v>
      </c>
      <c r="S16" s="17">
        <f t="shared" ref="S16:AF16" si="8">SUM(C34:C37)</f>
        <v>94</v>
      </c>
      <c r="T16" s="17">
        <f t="shared" si="8"/>
        <v>23</v>
      </c>
      <c r="U16" s="17">
        <f t="shared" si="8"/>
        <v>22</v>
      </c>
      <c r="V16" s="17">
        <f t="shared" si="8"/>
        <v>110</v>
      </c>
      <c r="W16" s="17">
        <f t="shared" si="8"/>
        <v>1</v>
      </c>
      <c r="X16" s="17">
        <f t="shared" si="8"/>
        <v>0</v>
      </c>
      <c r="Y16" s="17">
        <f t="shared" si="8"/>
        <v>19</v>
      </c>
      <c r="Z16" s="17">
        <f t="shared" si="8"/>
        <v>27</v>
      </c>
      <c r="AA16" s="17">
        <f t="shared" si="8"/>
        <v>4</v>
      </c>
      <c r="AB16" s="17">
        <f t="shared" si="8"/>
        <v>56</v>
      </c>
      <c r="AC16" s="17">
        <f t="shared" si="8"/>
        <v>84</v>
      </c>
      <c r="AD16" s="17">
        <f t="shared" si="8"/>
        <v>0</v>
      </c>
      <c r="AE16" s="31">
        <f t="shared" si="8"/>
        <v>356</v>
      </c>
      <c r="AF16" s="31">
        <f t="shared" si="8"/>
        <v>440</v>
      </c>
    </row>
    <row r="17" spans="2:32" ht="23.1" customHeight="1" x14ac:dyDescent="0.25">
      <c r="B17" s="45" t="s">
        <v>44</v>
      </c>
      <c r="C17" s="50">
        <v>13</v>
      </c>
      <c r="D17" s="50">
        <v>1</v>
      </c>
      <c r="E17" s="50">
        <v>1</v>
      </c>
      <c r="F17" s="50">
        <v>43</v>
      </c>
      <c r="G17" s="50">
        <v>0</v>
      </c>
      <c r="H17" s="50">
        <v>2</v>
      </c>
      <c r="I17" s="50">
        <v>3</v>
      </c>
      <c r="J17" s="50">
        <v>0</v>
      </c>
      <c r="K17" s="50">
        <v>0</v>
      </c>
      <c r="L17" s="50">
        <v>8</v>
      </c>
      <c r="M17" s="50">
        <v>20</v>
      </c>
      <c r="N17" s="50">
        <v>0</v>
      </c>
      <c r="O17" s="15">
        <f t="shared" si="0"/>
        <v>71</v>
      </c>
      <c r="P17" s="15">
        <f t="shared" si="1"/>
        <v>91</v>
      </c>
      <c r="R17" s="1" t="s">
        <v>13</v>
      </c>
      <c r="S17" s="17">
        <f t="shared" ref="S17:AF17" si="9">SUM(C38:C41)</f>
        <v>68</v>
      </c>
      <c r="T17" s="17">
        <f t="shared" si="9"/>
        <v>18</v>
      </c>
      <c r="U17" s="17">
        <f t="shared" si="9"/>
        <v>7</v>
      </c>
      <c r="V17" s="17">
        <f t="shared" si="9"/>
        <v>90</v>
      </c>
      <c r="W17" s="17">
        <f t="shared" si="9"/>
        <v>0</v>
      </c>
      <c r="X17" s="17">
        <f t="shared" si="9"/>
        <v>3</v>
      </c>
      <c r="Y17" s="17">
        <f t="shared" si="9"/>
        <v>15</v>
      </c>
      <c r="Z17" s="17">
        <f t="shared" si="9"/>
        <v>13</v>
      </c>
      <c r="AA17" s="17">
        <f t="shared" si="9"/>
        <v>2</v>
      </c>
      <c r="AB17" s="17">
        <f t="shared" si="9"/>
        <v>50</v>
      </c>
      <c r="AC17" s="17">
        <f t="shared" si="9"/>
        <v>15</v>
      </c>
      <c r="AD17" s="17">
        <f t="shared" si="9"/>
        <v>0</v>
      </c>
      <c r="AE17" s="31">
        <f t="shared" si="9"/>
        <v>266</v>
      </c>
      <c r="AF17" s="31">
        <f t="shared" si="9"/>
        <v>281</v>
      </c>
    </row>
    <row r="18" spans="2:32" ht="23.1" customHeight="1" x14ac:dyDescent="0.25">
      <c r="B18" s="45" t="s">
        <v>45</v>
      </c>
      <c r="C18" s="50">
        <v>16</v>
      </c>
      <c r="D18" s="50">
        <v>6</v>
      </c>
      <c r="E18" s="50">
        <v>3</v>
      </c>
      <c r="F18" s="50">
        <v>28</v>
      </c>
      <c r="G18" s="50">
        <v>3</v>
      </c>
      <c r="H18" s="50">
        <v>1</v>
      </c>
      <c r="I18" s="50">
        <v>3</v>
      </c>
      <c r="J18" s="50">
        <v>4</v>
      </c>
      <c r="K18" s="50">
        <v>1</v>
      </c>
      <c r="L18" s="50">
        <v>11</v>
      </c>
      <c r="M18" s="50">
        <v>31</v>
      </c>
      <c r="N18" s="50">
        <v>0</v>
      </c>
      <c r="O18" s="15">
        <f t="shared" si="0"/>
        <v>76</v>
      </c>
      <c r="P18" s="15">
        <f t="shared" si="1"/>
        <v>107</v>
      </c>
      <c r="R18" s="1" t="s">
        <v>14</v>
      </c>
      <c r="S18" s="17">
        <f t="shared" ref="S18:AF18" si="10">SUM(C42:C45)</f>
        <v>94</v>
      </c>
      <c r="T18" s="17">
        <f t="shared" si="10"/>
        <v>24</v>
      </c>
      <c r="U18" s="17">
        <f t="shared" si="10"/>
        <v>20</v>
      </c>
      <c r="V18" s="17">
        <f t="shared" si="10"/>
        <v>125</v>
      </c>
      <c r="W18" s="17">
        <f t="shared" si="10"/>
        <v>2</v>
      </c>
      <c r="X18" s="17">
        <f t="shared" si="10"/>
        <v>3</v>
      </c>
      <c r="Y18" s="17">
        <f t="shared" si="10"/>
        <v>12</v>
      </c>
      <c r="Z18" s="17">
        <f t="shared" si="10"/>
        <v>10</v>
      </c>
      <c r="AA18" s="17">
        <f t="shared" si="10"/>
        <v>3</v>
      </c>
      <c r="AB18" s="17">
        <f t="shared" si="10"/>
        <v>40</v>
      </c>
      <c r="AC18" s="17">
        <f t="shared" si="10"/>
        <v>95</v>
      </c>
      <c r="AD18" s="17">
        <f t="shared" si="10"/>
        <v>0</v>
      </c>
      <c r="AE18" s="31">
        <f t="shared" si="10"/>
        <v>333</v>
      </c>
      <c r="AF18" s="31">
        <f t="shared" si="10"/>
        <v>428</v>
      </c>
    </row>
    <row r="19" spans="2:32" ht="23.1" customHeight="1" x14ac:dyDescent="0.25">
      <c r="B19" s="45" t="s">
        <v>46</v>
      </c>
      <c r="C19" s="50">
        <v>19</v>
      </c>
      <c r="D19" s="50">
        <v>3</v>
      </c>
      <c r="E19" s="50">
        <v>5</v>
      </c>
      <c r="F19" s="50">
        <v>27</v>
      </c>
      <c r="G19" s="50">
        <v>0</v>
      </c>
      <c r="H19" s="50">
        <v>1</v>
      </c>
      <c r="I19" s="50">
        <v>5</v>
      </c>
      <c r="J19" s="50">
        <v>2</v>
      </c>
      <c r="K19" s="50">
        <v>1</v>
      </c>
      <c r="L19" s="50">
        <v>7</v>
      </c>
      <c r="M19" s="50">
        <v>30</v>
      </c>
      <c r="N19" s="50">
        <v>0</v>
      </c>
      <c r="O19" s="15">
        <f t="shared" si="0"/>
        <v>70</v>
      </c>
      <c r="P19" s="15">
        <f t="shared" si="1"/>
        <v>100</v>
      </c>
      <c r="R19" s="1" t="s">
        <v>15</v>
      </c>
      <c r="S19" s="17">
        <f t="shared" ref="S19:AF19" si="11">SUM(C46:C49)</f>
        <v>53</v>
      </c>
      <c r="T19" s="17">
        <f t="shared" si="11"/>
        <v>30</v>
      </c>
      <c r="U19" s="17">
        <f t="shared" si="11"/>
        <v>14</v>
      </c>
      <c r="V19" s="17">
        <f t="shared" si="11"/>
        <v>116</v>
      </c>
      <c r="W19" s="17">
        <f t="shared" si="11"/>
        <v>6</v>
      </c>
      <c r="X19" s="17">
        <f t="shared" si="11"/>
        <v>2</v>
      </c>
      <c r="Y19" s="17">
        <f t="shared" si="11"/>
        <v>19</v>
      </c>
      <c r="Z19" s="17">
        <f t="shared" si="11"/>
        <v>18</v>
      </c>
      <c r="AA19" s="17">
        <f t="shared" si="11"/>
        <v>4</v>
      </c>
      <c r="AB19" s="17">
        <f t="shared" si="11"/>
        <v>45</v>
      </c>
      <c r="AC19" s="17">
        <f t="shared" si="11"/>
        <v>117</v>
      </c>
      <c r="AD19" s="17">
        <f t="shared" si="11"/>
        <v>0</v>
      </c>
      <c r="AE19" s="31">
        <f t="shared" si="11"/>
        <v>307</v>
      </c>
      <c r="AF19" s="31">
        <f t="shared" si="11"/>
        <v>424</v>
      </c>
    </row>
    <row r="20" spans="2:32" ht="23.1" customHeight="1" x14ac:dyDescent="0.25">
      <c r="B20" s="45" t="s">
        <v>47</v>
      </c>
      <c r="C20" s="50">
        <v>16</v>
      </c>
      <c r="D20" s="50">
        <v>7</v>
      </c>
      <c r="E20" s="50">
        <v>6</v>
      </c>
      <c r="F20" s="50">
        <v>33</v>
      </c>
      <c r="G20" s="50">
        <v>0</v>
      </c>
      <c r="H20" s="50">
        <v>0</v>
      </c>
      <c r="I20" s="50">
        <v>5</v>
      </c>
      <c r="J20" s="50">
        <v>1</v>
      </c>
      <c r="K20" s="50">
        <v>1</v>
      </c>
      <c r="L20" s="50">
        <v>4</v>
      </c>
      <c r="M20" s="50">
        <v>19</v>
      </c>
      <c r="N20" s="50">
        <v>0</v>
      </c>
      <c r="O20" s="15">
        <f t="shared" si="0"/>
        <v>73</v>
      </c>
      <c r="P20" s="15">
        <f t="shared" si="1"/>
        <v>92</v>
      </c>
      <c r="R20" s="1" t="s">
        <v>16</v>
      </c>
      <c r="S20" s="17">
        <f t="shared" ref="S20:AF20" si="12">SUM(C50:C53)</f>
        <v>90</v>
      </c>
      <c r="T20" s="17">
        <f t="shared" si="12"/>
        <v>37</v>
      </c>
      <c r="U20" s="17">
        <f t="shared" si="12"/>
        <v>19</v>
      </c>
      <c r="V20" s="17">
        <f t="shared" si="12"/>
        <v>157</v>
      </c>
      <c r="W20" s="17">
        <f t="shared" si="12"/>
        <v>8</v>
      </c>
      <c r="X20" s="17">
        <f t="shared" si="12"/>
        <v>5</v>
      </c>
      <c r="Y20" s="17">
        <f t="shared" si="12"/>
        <v>21</v>
      </c>
      <c r="Z20" s="17">
        <f t="shared" si="12"/>
        <v>24</v>
      </c>
      <c r="AA20" s="17">
        <f t="shared" si="12"/>
        <v>3</v>
      </c>
      <c r="AB20" s="17">
        <f t="shared" si="12"/>
        <v>38</v>
      </c>
      <c r="AC20" s="17">
        <f t="shared" si="12"/>
        <v>84</v>
      </c>
      <c r="AD20" s="17">
        <f t="shared" si="12"/>
        <v>0</v>
      </c>
      <c r="AE20" s="31">
        <f t="shared" si="12"/>
        <v>402</v>
      </c>
      <c r="AF20" s="31">
        <f t="shared" si="12"/>
        <v>486</v>
      </c>
    </row>
    <row r="21" spans="2:32" ht="23.1" customHeight="1" x14ac:dyDescent="0.25">
      <c r="B21" s="45" t="s">
        <v>48</v>
      </c>
      <c r="C21" s="50">
        <v>15</v>
      </c>
      <c r="D21" s="50">
        <v>3</v>
      </c>
      <c r="E21" s="50">
        <v>1</v>
      </c>
      <c r="F21" s="50">
        <v>37</v>
      </c>
      <c r="G21" s="50">
        <v>1</v>
      </c>
      <c r="H21" s="50">
        <v>1</v>
      </c>
      <c r="I21" s="50">
        <v>5</v>
      </c>
      <c r="J21" s="50">
        <v>1</v>
      </c>
      <c r="K21" s="50">
        <v>1</v>
      </c>
      <c r="L21" s="50">
        <v>8</v>
      </c>
      <c r="M21" s="50">
        <v>25</v>
      </c>
      <c r="N21" s="50">
        <v>0</v>
      </c>
      <c r="O21" s="15">
        <f t="shared" si="0"/>
        <v>73</v>
      </c>
      <c r="P21" s="15">
        <f t="shared" si="1"/>
        <v>98</v>
      </c>
      <c r="R21" s="36" t="s">
        <v>20</v>
      </c>
      <c r="S21" s="34">
        <f t="shared" ref="S21:AF21" si="13">SUM(C54:C57)</f>
        <v>116</v>
      </c>
      <c r="T21" s="17">
        <f t="shared" si="13"/>
        <v>32</v>
      </c>
      <c r="U21" s="17">
        <f t="shared" si="13"/>
        <v>17</v>
      </c>
      <c r="V21" s="17">
        <f t="shared" si="13"/>
        <v>140</v>
      </c>
      <c r="W21" s="17">
        <f t="shared" si="13"/>
        <v>11</v>
      </c>
      <c r="X21" s="17">
        <f t="shared" si="13"/>
        <v>3</v>
      </c>
      <c r="Y21" s="17">
        <f t="shared" si="13"/>
        <v>32</v>
      </c>
      <c r="Z21" s="17">
        <f t="shared" si="13"/>
        <v>29</v>
      </c>
      <c r="AA21" s="17">
        <f t="shared" si="13"/>
        <v>7</v>
      </c>
      <c r="AB21" s="17">
        <f t="shared" si="13"/>
        <v>32</v>
      </c>
      <c r="AC21" s="17">
        <f t="shared" si="13"/>
        <v>106</v>
      </c>
      <c r="AD21" s="17">
        <f t="shared" si="13"/>
        <v>0</v>
      </c>
      <c r="AE21" s="31">
        <f t="shared" si="13"/>
        <v>419</v>
      </c>
      <c r="AF21" s="31">
        <f t="shared" si="13"/>
        <v>525</v>
      </c>
    </row>
    <row r="22" spans="2:32" ht="23.1" customHeight="1" x14ac:dyDescent="0.25">
      <c r="B22" s="45" t="s">
        <v>49</v>
      </c>
      <c r="C22" s="50">
        <v>11</v>
      </c>
      <c r="D22" s="50">
        <v>2</v>
      </c>
      <c r="E22" s="50">
        <v>4</v>
      </c>
      <c r="F22" s="50">
        <v>33</v>
      </c>
      <c r="G22" s="50">
        <v>2</v>
      </c>
      <c r="H22" s="50">
        <v>1</v>
      </c>
      <c r="I22" s="50">
        <v>7</v>
      </c>
      <c r="J22" s="50">
        <v>1</v>
      </c>
      <c r="K22" s="50">
        <v>0</v>
      </c>
      <c r="L22" s="50">
        <v>9</v>
      </c>
      <c r="M22" s="50">
        <v>24</v>
      </c>
      <c r="N22" s="50">
        <v>0</v>
      </c>
      <c r="O22" s="15">
        <f t="shared" si="0"/>
        <v>70</v>
      </c>
      <c r="P22" s="15">
        <f t="shared" si="1"/>
        <v>94</v>
      </c>
      <c r="R22" s="36" t="s">
        <v>146</v>
      </c>
      <c r="S22" s="34">
        <f>SUM(C58:C61)</f>
        <v>94</v>
      </c>
      <c r="T22" s="34">
        <f t="shared" ref="T22:AF22" si="14">SUM(D58:D61)</f>
        <v>43</v>
      </c>
      <c r="U22" s="34">
        <f t="shared" si="14"/>
        <v>23</v>
      </c>
      <c r="V22" s="34">
        <f t="shared" si="14"/>
        <v>126</v>
      </c>
      <c r="W22" s="34">
        <f t="shared" si="14"/>
        <v>8</v>
      </c>
      <c r="X22" s="34">
        <f t="shared" si="14"/>
        <v>7</v>
      </c>
      <c r="Y22" s="34">
        <f t="shared" si="14"/>
        <v>5</v>
      </c>
      <c r="Z22" s="34">
        <f t="shared" si="14"/>
        <v>23</v>
      </c>
      <c r="AA22" s="34">
        <f t="shared" si="14"/>
        <v>8</v>
      </c>
      <c r="AB22" s="34">
        <f t="shared" si="14"/>
        <v>33</v>
      </c>
      <c r="AC22" s="34">
        <f t="shared" si="14"/>
        <v>102</v>
      </c>
      <c r="AD22" s="34">
        <f t="shared" si="14"/>
        <v>0</v>
      </c>
      <c r="AE22" s="31">
        <f t="shared" si="14"/>
        <v>370</v>
      </c>
      <c r="AF22" s="31">
        <f t="shared" si="14"/>
        <v>472</v>
      </c>
    </row>
    <row r="23" spans="2:32" ht="23.1" customHeight="1" x14ac:dyDescent="0.25">
      <c r="B23" s="45" t="s">
        <v>50</v>
      </c>
      <c r="C23" s="50">
        <v>24</v>
      </c>
      <c r="D23" s="50">
        <v>6</v>
      </c>
      <c r="E23" s="50">
        <v>6</v>
      </c>
      <c r="F23" s="50">
        <v>30</v>
      </c>
      <c r="G23" s="50">
        <v>2</v>
      </c>
      <c r="H23" s="50">
        <v>0</v>
      </c>
      <c r="I23" s="50">
        <v>7</v>
      </c>
      <c r="J23" s="50">
        <v>5</v>
      </c>
      <c r="K23" s="50">
        <v>3</v>
      </c>
      <c r="L23" s="50">
        <v>8</v>
      </c>
      <c r="M23" s="50">
        <v>26</v>
      </c>
      <c r="N23" s="50">
        <v>0</v>
      </c>
      <c r="O23" s="15">
        <f t="shared" si="0"/>
        <v>91</v>
      </c>
      <c r="P23" s="15">
        <f t="shared" si="1"/>
        <v>117</v>
      </c>
      <c r="R23" s="36" t="s">
        <v>147</v>
      </c>
      <c r="S23" s="34">
        <f>SUM(C62:C65)</f>
        <v>107</v>
      </c>
      <c r="T23" s="34">
        <f t="shared" ref="T23:AF23" si="15">SUM(D62:D65)</f>
        <v>55</v>
      </c>
      <c r="U23" s="34">
        <f t="shared" si="15"/>
        <v>25</v>
      </c>
      <c r="V23" s="34">
        <f t="shared" si="15"/>
        <v>105</v>
      </c>
      <c r="W23" s="34">
        <f t="shared" si="15"/>
        <v>7</v>
      </c>
      <c r="X23" s="34">
        <f t="shared" si="15"/>
        <v>2</v>
      </c>
      <c r="Y23" s="34">
        <f t="shared" si="15"/>
        <v>13</v>
      </c>
      <c r="Z23" s="34">
        <f t="shared" si="15"/>
        <v>24</v>
      </c>
      <c r="AA23" s="34">
        <f t="shared" si="15"/>
        <v>6</v>
      </c>
      <c r="AB23" s="34">
        <f t="shared" si="15"/>
        <v>34</v>
      </c>
      <c r="AC23" s="34">
        <f t="shared" si="15"/>
        <v>107</v>
      </c>
      <c r="AD23" s="34">
        <f t="shared" si="15"/>
        <v>0</v>
      </c>
      <c r="AE23" s="31">
        <f t="shared" si="15"/>
        <v>378</v>
      </c>
      <c r="AF23" s="31">
        <f t="shared" si="15"/>
        <v>485</v>
      </c>
    </row>
    <row r="24" spans="2:32" ht="23.1" customHeight="1" x14ac:dyDescent="0.25">
      <c r="B24" s="45" t="s">
        <v>51</v>
      </c>
      <c r="C24" s="50">
        <v>12</v>
      </c>
      <c r="D24" s="50">
        <v>6</v>
      </c>
      <c r="E24" s="50">
        <v>3</v>
      </c>
      <c r="F24" s="50">
        <v>30</v>
      </c>
      <c r="G24" s="50">
        <v>0</v>
      </c>
      <c r="H24" s="50">
        <v>1</v>
      </c>
      <c r="I24" s="50">
        <v>3</v>
      </c>
      <c r="J24" s="50">
        <v>2</v>
      </c>
      <c r="K24" s="50">
        <v>0</v>
      </c>
      <c r="L24" s="50">
        <v>9</v>
      </c>
      <c r="M24" s="50">
        <v>24</v>
      </c>
      <c r="N24" s="50">
        <v>0</v>
      </c>
      <c r="O24" s="15">
        <f t="shared" si="0"/>
        <v>66</v>
      </c>
      <c r="P24" s="15">
        <f t="shared" si="1"/>
        <v>90</v>
      </c>
      <c r="R24" s="36" t="s">
        <v>148</v>
      </c>
      <c r="S24" s="34">
        <f>SUM(C66:C69)</f>
        <v>102</v>
      </c>
      <c r="T24" s="34">
        <f t="shared" ref="T24:AF24" si="16">SUM(D66:D69)</f>
        <v>58</v>
      </c>
      <c r="U24" s="34">
        <f t="shared" si="16"/>
        <v>46</v>
      </c>
      <c r="V24" s="34">
        <f t="shared" si="16"/>
        <v>102</v>
      </c>
      <c r="W24" s="34">
        <f t="shared" si="16"/>
        <v>5</v>
      </c>
      <c r="X24" s="34">
        <f t="shared" si="16"/>
        <v>2</v>
      </c>
      <c r="Y24" s="34">
        <f t="shared" si="16"/>
        <v>6</v>
      </c>
      <c r="Z24" s="34">
        <f t="shared" si="16"/>
        <v>22</v>
      </c>
      <c r="AA24" s="34">
        <f t="shared" si="16"/>
        <v>8</v>
      </c>
      <c r="AB24" s="34">
        <f t="shared" si="16"/>
        <v>23</v>
      </c>
      <c r="AC24" s="34">
        <f t="shared" si="16"/>
        <v>97</v>
      </c>
      <c r="AD24" s="34">
        <f t="shared" si="16"/>
        <v>0</v>
      </c>
      <c r="AE24" s="31">
        <f t="shared" si="16"/>
        <v>374</v>
      </c>
      <c r="AF24" s="31">
        <f t="shared" si="16"/>
        <v>471</v>
      </c>
    </row>
    <row r="25" spans="2:32" ht="23.1" customHeight="1" x14ac:dyDescent="0.25">
      <c r="B25" s="45" t="s">
        <v>52</v>
      </c>
      <c r="C25" s="50">
        <v>18</v>
      </c>
      <c r="D25" s="50">
        <v>9</v>
      </c>
      <c r="E25" s="50">
        <v>1</v>
      </c>
      <c r="F25" s="50">
        <v>25</v>
      </c>
      <c r="G25" s="50">
        <v>1</v>
      </c>
      <c r="H25" s="50">
        <v>1</v>
      </c>
      <c r="I25" s="50">
        <v>3</v>
      </c>
      <c r="J25" s="50">
        <v>8</v>
      </c>
      <c r="K25" s="50">
        <v>1</v>
      </c>
      <c r="L25" s="50">
        <v>14</v>
      </c>
      <c r="M25" s="50">
        <v>29</v>
      </c>
      <c r="N25" s="50">
        <v>0</v>
      </c>
      <c r="O25" s="15">
        <f t="shared" si="0"/>
        <v>81</v>
      </c>
      <c r="P25" s="15">
        <f t="shared" si="1"/>
        <v>110</v>
      </c>
      <c r="R25" s="36" t="s">
        <v>149</v>
      </c>
      <c r="S25" s="34">
        <f>SUM(C70:C73)</f>
        <v>59</v>
      </c>
      <c r="T25" s="34">
        <f t="shared" ref="T25:AF25" si="17">SUM(D70:D73)</f>
        <v>26</v>
      </c>
      <c r="U25" s="34">
        <f t="shared" si="17"/>
        <v>12</v>
      </c>
      <c r="V25" s="34">
        <f t="shared" si="17"/>
        <v>69</v>
      </c>
      <c r="W25" s="34">
        <f t="shared" si="17"/>
        <v>1</v>
      </c>
      <c r="X25" s="34">
        <f t="shared" si="17"/>
        <v>2</v>
      </c>
      <c r="Y25" s="34">
        <f t="shared" si="17"/>
        <v>4</v>
      </c>
      <c r="Z25" s="34">
        <f t="shared" si="17"/>
        <v>26</v>
      </c>
      <c r="AA25" s="34">
        <f t="shared" si="17"/>
        <v>1</v>
      </c>
      <c r="AB25" s="34">
        <f t="shared" si="17"/>
        <v>18</v>
      </c>
      <c r="AC25" s="34">
        <f t="shared" si="17"/>
        <v>56</v>
      </c>
      <c r="AD25" s="34">
        <f t="shared" si="17"/>
        <v>0</v>
      </c>
      <c r="AE25" s="31">
        <f t="shared" si="17"/>
        <v>218</v>
      </c>
      <c r="AF25" s="31">
        <f t="shared" si="17"/>
        <v>274</v>
      </c>
    </row>
    <row r="26" spans="2:32" ht="23.1" customHeight="1" x14ac:dyDescent="0.25">
      <c r="B26" s="45" t="s">
        <v>53</v>
      </c>
      <c r="C26" s="50">
        <v>21</v>
      </c>
      <c r="D26" s="50">
        <v>3</v>
      </c>
      <c r="E26" s="50">
        <v>3</v>
      </c>
      <c r="F26" s="50">
        <v>38</v>
      </c>
      <c r="G26" s="50">
        <v>0</v>
      </c>
      <c r="H26" s="50">
        <v>1</v>
      </c>
      <c r="I26" s="50">
        <v>4</v>
      </c>
      <c r="J26" s="50">
        <v>1</v>
      </c>
      <c r="K26" s="50">
        <v>1</v>
      </c>
      <c r="L26" s="50">
        <v>11</v>
      </c>
      <c r="M26" s="50">
        <v>31</v>
      </c>
      <c r="N26" s="50">
        <v>0</v>
      </c>
      <c r="O26" s="15">
        <f t="shared" si="0"/>
        <v>83</v>
      </c>
      <c r="P26" s="15">
        <f t="shared" si="1"/>
        <v>114</v>
      </c>
      <c r="R26" s="36" t="s">
        <v>150</v>
      </c>
      <c r="S26" s="34">
        <f>SUM(C74:C77)</f>
        <v>27</v>
      </c>
      <c r="T26" s="34">
        <f t="shared" ref="T26:AF26" si="18">SUM(D74:D77)</f>
        <v>18</v>
      </c>
      <c r="U26" s="34">
        <f t="shared" si="18"/>
        <v>5</v>
      </c>
      <c r="V26" s="34">
        <f t="shared" si="18"/>
        <v>24</v>
      </c>
      <c r="W26" s="34">
        <f t="shared" si="18"/>
        <v>3</v>
      </c>
      <c r="X26" s="34">
        <f t="shared" si="18"/>
        <v>0</v>
      </c>
      <c r="Y26" s="34">
        <f t="shared" si="18"/>
        <v>7</v>
      </c>
      <c r="Z26" s="34">
        <f t="shared" si="18"/>
        <v>17</v>
      </c>
      <c r="AA26" s="34">
        <f t="shared" si="18"/>
        <v>2</v>
      </c>
      <c r="AB26" s="34">
        <f t="shared" si="18"/>
        <v>21</v>
      </c>
      <c r="AC26" s="34">
        <f t="shared" si="18"/>
        <v>28</v>
      </c>
      <c r="AD26" s="34">
        <f t="shared" si="18"/>
        <v>0</v>
      </c>
      <c r="AE26" s="31">
        <f t="shared" si="18"/>
        <v>124</v>
      </c>
      <c r="AF26" s="31">
        <f t="shared" si="18"/>
        <v>152</v>
      </c>
    </row>
    <row r="27" spans="2:32" ht="23.1" customHeight="1" x14ac:dyDescent="0.25">
      <c r="B27" s="45" t="s">
        <v>54</v>
      </c>
      <c r="C27" s="50">
        <v>14</v>
      </c>
      <c r="D27" s="50">
        <v>9</v>
      </c>
      <c r="E27" s="50">
        <v>5</v>
      </c>
      <c r="F27" s="50">
        <v>29</v>
      </c>
      <c r="G27" s="50">
        <v>2</v>
      </c>
      <c r="H27" s="50">
        <v>0</v>
      </c>
      <c r="I27" s="50">
        <v>1</v>
      </c>
      <c r="J27" s="50">
        <v>5</v>
      </c>
      <c r="K27" s="50">
        <v>1</v>
      </c>
      <c r="L27" s="50">
        <v>10</v>
      </c>
      <c r="M27" s="50">
        <v>28</v>
      </c>
      <c r="N27" s="50">
        <v>0</v>
      </c>
      <c r="O27" s="15">
        <f t="shared" si="0"/>
        <v>76</v>
      </c>
      <c r="P27" s="15">
        <f t="shared" si="1"/>
        <v>104</v>
      </c>
      <c r="R27" s="36" t="s">
        <v>151</v>
      </c>
      <c r="S27" s="34">
        <f>SUM(C78:C81)</f>
        <v>2</v>
      </c>
      <c r="T27" s="34">
        <f t="shared" ref="T27:AF27" si="19">SUM(D78:D81)</f>
        <v>1</v>
      </c>
      <c r="U27" s="34">
        <f t="shared" si="19"/>
        <v>1</v>
      </c>
      <c r="V27" s="34">
        <f t="shared" si="19"/>
        <v>4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0</v>
      </c>
      <c r="AD27" s="34">
        <f t="shared" si="19"/>
        <v>0</v>
      </c>
      <c r="AE27" s="31">
        <f t="shared" si="19"/>
        <v>9</v>
      </c>
      <c r="AF27" s="31">
        <f t="shared" si="19"/>
        <v>9</v>
      </c>
    </row>
    <row r="28" spans="2:32" ht="23.1" customHeight="1" x14ac:dyDescent="0.25">
      <c r="B28" s="45" t="s">
        <v>55</v>
      </c>
      <c r="C28" s="50">
        <v>16</v>
      </c>
      <c r="D28" s="50">
        <v>5</v>
      </c>
      <c r="E28" s="50">
        <v>5</v>
      </c>
      <c r="F28" s="50">
        <v>27</v>
      </c>
      <c r="G28" s="50">
        <v>0</v>
      </c>
      <c r="H28" s="50">
        <v>0</v>
      </c>
      <c r="I28" s="50">
        <v>2</v>
      </c>
      <c r="J28" s="50">
        <v>3</v>
      </c>
      <c r="K28" s="50">
        <v>0</v>
      </c>
      <c r="L28" s="50">
        <v>9</v>
      </c>
      <c r="M28" s="50">
        <v>30</v>
      </c>
      <c r="N28" s="50">
        <v>1</v>
      </c>
      <c r="O28" s="15">
        <f t="shared" si="0"/>
        <v>68</v>
      </c>
      <c r="P28" s="15">
        <f t="shared" si="1"/>
        <v>98</v>
      </c>
      <c r="R28" s="36" t="s">
        <v>152</v>
      </c>
      <c r="S28" s="34">
        <f>SUM(C82:C85)</f>
        <v>6</v>
      </c>
      <c r="T28" s="34">
        <f t="shared" ref="T28:AF28" si="20">SUM(D82:D85)</f>
        <v>2</v>
      </c>
      <c r="U28" s="34">
        <f t="shared" si="20"/>
        <v>1</v>
      </c>
      <c r="V28" s="34">
        <f t="shared" si="20"/>
        <v>13</v>
      </c>
      <c r="W28" s="34">
        <f t="shared" si="20"/>
        <v>1</v>
      </c>
      <c r="X28" s="34">
        <f t="shared" si="20"/>
        <v>3</v>
      </c>
      <c r="Y28" s="34">
        <f t="shared" si="20"/>
        <v>5</v>
      </c>
      <c r="Z28" s="34">
        <f t="shared" si="20"/>
        <v>7</v>
      </c>
      <c r="AA28" s="34">
        <f t="shared" si="20"/>
        <v>0</v>
      </c>
      <c r="AB28" s="34">
        <f t="shared" si="20"/>
        <v>11</v>
      </c>
      <c r="AC28" s="34">
        <f t="shared" si="20"/>
        <v>6</v>
      </c>
      <c r="AD28" s="34">
        <f t="shared" si="20"/>
        <v>0</v>
      </c>
      <c r="AE28" s="31">
        <f t="shared" si="20"/>
        <v>49</v>
      </c>
      <c r="AF28" s="31">
        <f t="shared" si="20"/>
        <v>55</v>
      </c>
    </row>
    <row r="29" spans="2:32" ht="23.1" customHeight="1" x14ac:dyDescent="0.25">
      <c r="B29" s="45" t="s">
        <v>56</v>
      </c>
      <c r="C29" s="50">
        <v>16</v>
      </c>
      <c r="D29" s="50">
        <v>7</v>
      </c>
      <c r="E29" s="50">
        <v>6</v>
      </c>
      <c r="F29" s="50">
        <v>31</v>
      </c>
      <c r="G29" s="50">
        <v>2</v>
      </c>
      <c r="H29" s="50">
        <v>1</v>
      </c>
      <c r="I29" s="50">
        <v>2</v>
      </c>
      <c r="J29" s="50">
        <v>3</v>
      </c>
      <c r="K29" s="50">
        <v>2</v>
      </c>
      <c r="L29" s="50">
        <v>9</v>
      </c>
      <c r="M29" s="50">
        <v>23</v>
      </c>
      <c r="N29" s="50">
        <v>0</v>
      </c>
      <c r="O29" s="15">
        <f t="shared" si="0"/>
        <v>79</v>
      </c>
      <c r="P29" s="15">
        <f t="shared" si="1"/>
        <v>102</v>
      </c>
      <c r="R29" s="36" t="s">
        <v>153</v>
      </c>
      <c r="S29" s="34">
        <f>SUM(C86:C89)</f>
        <v>3</v>
      </c>
      <c r="T29" s="34">
        <f t="shared" ref="T29:AF29" si="21">SUM(D86:D89)</f>
        <v>3</v>
      </c>
      <c r="U29" s="34">
        <f t="shared" si="21"/>
        <v>0</v>
      </c>
      <c r="V29" s="34">
        <f t="shared" si="21"/>
        <v>3</v>
      </c>
      <c r="W29" s="34">
        <f t="shared" si="21"/>
        <v>0</v>
      </c>
      <c r="X29" s="34">
        <f t="shared" si="21"/>
        <v>3</v>
      </c>
      <c r="Y29" s="34">
        <f t="shared" si="21"/>
        <v>1</v>
      </c>
      <c r="Z29" s="34">
        <f t="shared" si="21"/>
        <v>9</v>
      </c>
      <c r="AA29" s="34">
        <f t="shared" si="21"/>
        <v>6</v>
      </c>
      <c r="AB29" s="34">
        <f t="shared" si="21"/>
        <v>13</v>
      </c>
      <c r="AC29" s="34">
        <f t="shared" si="21"/>
        <v>3</v>
      </c>
      <c r="AD29" s="34">
        <f t="shared" si="21"/>
        <v>0</v>
      </c>
      <c r="AE29" s="31">
        <f t="shared" si="21"/>
        <v>41</v>
      </c>
      <c r="AF29" s="31">
        <f t="shared" si="21"/>
        <v>44</v>
      </c>
    </row>
    <row r="30" spans="2:32" ht="23.1" customHeight="1" x14ac:dyDescent="0.25">
      <c r="B30" s="45" t="s">
        <v>57</v>
      </c>
      <c r="C30" s="50">
        <v>30</v>
      </c>
      <c r="D30" s="50">
        <v>10</v>
      </c>
      <c r="E30" s="50">
        <v>3</v>
      </c>
      <c r="F30" s="50">
        <v>27</v>
      </c>
      <c r="G30" s="50">
        <v>0</v>
      </c>
      <c r="H30" s="50">
        <v>0</v>
      </c>
      <c r="I30" s="50">
        <v>2</v>
      </c>
      <c r="J30" s="50">
        <v>8</v>
      </c>
      <c r="K30" s="50">
        <v>0</v>
      </c>
      <c r="L30" s="50">
        <v>2</v>
      </c>
      <c r="M30" s="50">
        <v>20</v>
      </c>
      <c r="N30" s="50">
        <v>0</v>
      </c>
      <c r="O30" s="15">
        <f t="shared" si="0"/>
        <v>82</v>
      </c>
      <c r="P30" s="15">
        <f t="shared" si="1"/>
        <v>102</v>
      </c>
      <c r="R30" s="36" t="s">
        <v>154</v>
      </c>
      <c r="S30" s="34">
        <f>SUM(C90:C93)</f>
        <v>5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5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6</v>
      </c>
      <c r="AA30" s="34">
        <f t="shared" si="22"/>
        <v>2</v>
      </c>
      <c r="AB30" s="34">
        <f t="shared" si="22"/>
        <v>13</v>
      </c>
      <c r="AC30" s="34">
        <f t="shared" si="22"/>
        <v>6</v>
      </c>
      <c r="AD30" s="34">
        <f t="shared" si="22"/>
        <v>0</v>
      </c>
      <c r="AE30" s="31">
        <f t="shared" si="22"/>
        <v>34</v>
      </c>
      <c r="AF30" s="31">
        <f t="shared" si="22"/>
        <v>40</v>
      </c>
    </row>
    <row r="31" spans="2:32" ht="23.1" customHeight="1" x14ac:dyDescent="0.25">
      <c r="B31" s="46" t="s">
        <v>58</v>
      </c>
      <c r="C31" s="50">
        <v>19</v>
      </c>
      <c r="D31" s="50">
        <v>3</v>
      </c>
      <c r="E31" s="50">
        <v>5</v>
      </c>
      <c r="F31" s="50">
        <v>35</v>
      </c>
      <c r="G31" s="50">
        <v>0</v>
      </c>
      <c r="H31" s="50">
        <v>1</v>
      </c>
      <c r="I31" s="50">
        <v>3</v>
      </c>
      <c r="J31" s="50">
        <v>5</v>
      </c>
      <c r="K31" s="50">
        <v>2</v>
      </c>
      <c r="L31" s="50">
        <v>3</v>
      </c>
      <c r="M31" s="50">
        <v>16</v>
      </c>
      <c r="N31" s="50">
        <v>0</v>
      </c>
      <c r="O31" s="15">
        <f t="shared" si="0"/>
        <v>76</v>
      </c>
      <c r="P31" s="15">
        <f t="shared" si="1"/>
        <v>92</v>
      </c>
      <c r="R31" s="36" t="s">
        <v>155</v>
      </c>
      <c r="S31" s="34">
        <f>SUM(C94:C97)</f>
        <v>10</v>
      </c>
      <c r="T31" s="34">
        <f t="shared" ref="T31:AF31" si="23">SUM(D94:D97)</f>
        <v>5</v>
      </c>
      <c r="U31" s="34">
        <f t="shared" si="23"/>
        <v>3</v>
      </c>
      <c r="V31" s="34">
        <f t="shared" si="23"/>
        <v>17</v>
      </c>
      <c r="W31" s="34">
        <f t="shared" si="23"/>
        <v>4</v>
      </c>
      <c r="X31" s="34">
        <f t="shared" si="23"/>
        <v>4</v>
      </c>
      <c r="Y31" s="34">
        <f t="shared" si="23"/>
        <v>0</v>
      </c>
      <c r="Z31" s="34">
        <f t="shared" si="23"/>
        <v>10</v>
      </c>
      <c r="AA31" s="34">
        <f t="shared" si="23"/>
        <v>2</v>
      </c>
      <c r="AB31" s="34">
        <f t="shared" si="23"/>
        <v>18</v>
      </c>
      <c r="AC31" s="34">
        <f t="shared" si="23"/>
        <v>7</v>
      </c>
      <c r="AD31" s="34">
        <f t="shared" si="23"/>
        <v>0</v>
      </c>
      <c r="AE31" s="31">
        <f t="shared" si="23"/>
        <v>73</v>
      </c>
      <c r="AF31" s="31">
        <f t="shared" si="23"/>
        <v>80</v>
      </c>
    </row>
    <row r="32" spans="2:32" ht="23.1" customHeight="1" x14ac:dyDescent="0.25">
      <c r="B32" s="46" t="s">
        <v>59</v>
      </c>
      <c r="C32" s="50">
        <v>24</v>
      </c>
      <c r="D32" s="50">
        <v>3</v>
      </c>
      <c r="E32" s="50">
        <v>5</v>
      </c>
      <c r="F32" s="50">
        <v>28</v>
      </c>
      <c r="G32" s="50">
        <v>0</v>
      </c>
      <c r="H32" s="50">
        <v>1</v>
      </c>
      <c r="I32" s="50">
        <v>6</v>
      </c>
      <c r="J32" s="50">
        <v>5</v>
      </c>
      <c r="K32" s="50">
        <v>1</v>
      </c>
      <c r="L32" s="50">
        <v>12</v>
      </c>
      <c r="M32" s="50">
        <v>25</v>
      </c>
      <c r="N32" s="50">
        <v>0</v>
      </c>
      <c r="O32" s="15">
        <f t="shared" si="0"/>
        <v>85</v>
      </c>
      <c r="P32" s="15">
        <f t="shared" si="1"/>
        <v>110</v>
      </c>
      <c r="R32" s="33" t="s">
        <v>156</v>
      </c>
      <c r="S32" s="34">
        <f>SUM(C98:C101)</f>
        <v>6</v>
      </c>
      <c r="T32" s="34">
        <f t="shared" ref="T32:AF32" si="24">SUM(D98:D101)</f>
        <v>0</v>
      </c>
      <c r="U32" s="34">
        <f t="shared" si="24"/>
        <v>3</v>
      </c>
      <c r="V32" s="34">
        <f t="shared" si="24"/>
        <v>40</v>
      </c>
      <c r="W32" s="34">
        <f t="shared" si="24"/>
        <v>0</v>
      </c>
      <c r="X32" s="34">
        <f t="shared" si="24"/>
        <v>1</v>
      </c>
      <c r="Y32" s="34">
        <f t="shared" si="24"/>
        <v>5</v>
      </c>
      <c r="Z32" s="34">
        <f t="shared" si="24"/>
        <v>13</v>
      </c>
      <c r="AA32" s="34">
        <f t="shared" si="24"/>
        <v>7</v>
      </c>
      <c r="AB32" s="34">
        <f t="shared" si="24"/>
        <v>35</v>
      </c>
      <c r="AC32" s="34">
        <f t="shared" si="24"/>
        <v>12</v>
      </c>
      <c r="AD32" s="34">
        <f t="shared" si="24"/>
        <v>0</v>
      </c>
      <c r="AE32" s="31">
        <f t="shared" si="24"/>
        <v>110</v>
      </c>
      <c r="AF32" s="31">
        <f t="shared" si="24"/>
        <v>122</v>
      </c>
    </row>
    <row r="33" spans="2:32" ht="23.1" customHeight="1" x14ac:dyDescent="0.25">
      <c r="B33" s="45" t="s">
        <v>60</v>
      </c>
      <c r="C33" s="50">
        <v>24</v>
      </c>
      <c r="D33" s="50">
        <v>8</v>
      </c>
      <c r="E33" s="50">
        <v>2</v>
      </c>
      <c r="F33" s="50">
        <v>26</v>
      </c>
      <c r="G33" s="50">
        <v>1</v>
      </c>
      <c r="H33" s="50">
        <v>0</v>
      </c>
      <c r="I33" s="50">
        <v>5</v>
      </c>
      <c r="J33" s="50">
        <v>9</v>
      </c>
      <c r="K33" s="50">
        <v>2</v>
      </c>
      <c r="L33" s="50">
        <v>14</v>
      </c>
      <c r="M33" s="50">
        <v>20</v>
      </c>
      <c r="N33" s="50">
        <v>0</v>
      </c>
      <c r="O33" s="15">
        <f t="shared" si="0"/>
        <v>91</v>
      </c>
      <c r="P33" s="15">
        <f t="shared" si="1"/>
        <v>111</v>
      </c>
      <c r="R33" s="33" t="s">
        <v>157</v>
      </c>
      <c r="S33" s="34">
        <f>SUM(C102:C105)</f>
        <v>21</v>
      </c>
      <c r="T33" s="34">
        <f t="shared" ref="T33:AF33" si="25">SUM(D102:D105)</f>
        <v>6</v>
      </c>
      <c r="U33" s="34">
        <f t="shared" si="25"/>
        <v>5</v>
      </c>
      <c r="V33" s="34">
        <f t="shared" si="25"/>
        <v>85</v>
      </c>
      <c r="W33" s="34">
        <f t="shared" si="25"/>
        <v>0</v>
      </c>
      <c r="X33" s="34">
        <f t="shared" si="25"/>
        <v>2</v>
      </c>
      <c r="Y33" s="34">
        <f t="shared" si="25"/>
        <v>1</v>
      </c>
      <c r="Z33" s="34">
        <f t="shared" si="25"/>
        <v>11</v>
      </c>
      <c r="AA33" s="34">
        <f t="shared" si="25"/>
        <v>5</v>
      </c>
      <c r="AB33" s="34">
        <f t="shared" si="25"/>
        <v>120</v>
      </c>
      <c r="AC33" s="34">
        <f t="shared" si="25"/>
        <v>43</v>
      </c>
      <c r="AD33" s="34">
        <f t="shared" si="25"/>
        <v>0</v>
      </c>
      <c r="AE33" s="31">
        <f t="shared" si="25"/>
        <v>256</v>
      </c>
      <c r="AF33" s="31">
        <f t="shared" si="25"/>
        <v>299</v>
      </c>
    </row>
    <row r="34" spans="2:32" ht="23.1" customHeight="1" x14ac:dyDescent="0.25">
      <c r="B34" s="46" t="s">
        <v>61</v>
      </c>
      <c r="C34" s="50">
        <v>20</v>
      </c>
      <c r="D34" s="50">
        <v>8</v>
      </c>
      <c r="E34" s="50">
        <v>4</v>
      </c>
      <c r="F34" s="50">
        <v>31</v>
      </c>
      <c r="G34" s="50">
        <v>0</v>
      </c>
      <c r="H34" s="50">
        <v>0</v>
      </c>
      <c r="I34" s="50">
        <v>3</v>
      </c>
      <c r="J34" s="50">
        <v>6</v>
      </c>
      <c r="K34" s="50">
        <v>0</v>
      </c>
      <c r="L34" s="50">
        <v>15</v>
      </c>
      <c r="M34" s="50">
        <v>21</v>
      </c>
      <c r="N34" s="50">
        <v>0</v>
      </c>
      <c r="O34" s="15">
        <f t="shared" si="0"/>
        <v>87</v>
      </c>
      <c r="P34" s="15">
        <f t="shared" si="1"/>
        <v>108</v>
      </c>
      <c r="R34" s="38" t="s">
        <v>90</v>
      </c>
      <c r="S34" s="39">
        <f t="shared" ref="S34:AF34" si="26">MAX(S10:S12)</f>
        <v>66</v>
      </c>
      <c r="T34" s="39">
        <f t="shared" si="26"/>
        <v>20</v>
      </c>
      <c r="U34" s="39">
        <f t="shared" si="26"/>
        <v>15</v>
      </c>
      <c r="V34" s="39">
        <f t="shared" si="26"/>
        <v>145</v>
      </c>
      <c r="W34" s="39">
        <f t="shared" si="26"/>
        <v>4</v>
      </c>
      <c r="X34" s="39">
        <f t="shared" si="26"/>
        <v>5</v>
      </c>
      <c r="Y34" s="39">
        <f t="shared" si="26"/>
        <v>18</v>
      </c>
      <c r="Z34" s="39">
        <f t="shared" si="26"/>
        <v>19</v>
      </c>
      <c r="AA34" s="39">
        <f t="shared" si="26"/>
        <v>7</v>
      </c>
      <c r="AB34" s="39">
        <f t="shared" si="26"/>
        <v>48</v>
      </c>
      <c r="AC34" s="39">
        <f t="shared" si="26"/>
        <v>105</v>
      </c>
      <c r="AD34" s="39">
        <f t="shared" si="26"/>
        <v>0</v>
      </c>
      <c r="AE34" s="40">
        <f t="shared" si="26"/>
        <v>318</v>
      </c>
      <c r="AF34" s="40">
        <f t="shared" si="26"/>
        <v>399</v>
      </c>
    </row>
    <row r="35" spans="2:32" ht="23.1" customHeight="1" x14ac:dyDescent="0.25">
      <c r="B35" s="46" t="s">
        <v>62</v>
      </c>
      <c r="C35" s="50">
        <v>28</v>
      </c>
      <c r="D35" s="50">
        <v>6</v>
      </c>
      <c r="E35" s="50">
        <v>6</v>
      </c>
      <c r="F35" s="50">
        <v>30</v>
      </c>
      <c r="G35" s="50">
        <v>0</v>
      </c>
      <c r="H35" s="50">
        <v>0</v>
      </c>
      <c r="I35" s="50">
        <v>4</v>
      </c>
      <c r="J35" s="50">
        <v>3</v>
      </c>
      <c r="K35" s="50">
        <v>2</v>
      </c>
      <c r="L35" s="50">
        <v>11</v>
      </c>
      <c r="M35" s="50">
        <v>17</v>
      </c>
      <c r="N35" s="50">
        <v>0</v>
      </c>
      <c r="O35" s="15">
        <f t="shared" si="0"/>
        <v>90</v>
      </c>
      <c r="P35" s="15">
        <f t="shared" si="1"/>
        <v>107</v>
      </c>
      <c r="R35" s="38" t="s">
        <v>91</v>
      </c>
      <c r="S35" s="39">
        <f t="shared" ref="S35:AF35" si="27">MAX(S13:S18)</f>
        <v>97</v>
      </c>
      <c r="T35" s="39">
        <f t="shared" si="27"/>
        <v>24</v>
      </c>
      <c r="U35" s="39">
        <f t="shared" si="27"/>
        <v>22</v>
      </c>
      <c r="V35" s="39">
        <f t="shared" si="27"/>
        <v>125</v>
      </c>
      <c r="W35" s="39">
        <f t="shared" si="27"/>
        <v>5</v>
      </c>
      <c r="X35" s="39">
        <f t="shared" si="27"/>
        <v>3</v>
      </c>
      <c r="Y35" s="39">
        <f t="shared" si="27"/>
        <v>20</v>
      </c>
      <c r="Z35" s="39">
        <f t="shared" si="27"/>
        <v>27</v>
      </c>
      <c r="AA35" s="39">
        <f t="shared" si="27"/>
        <v>5</v>
      </c>
      <c r="AB35" s="39">
        <f t="shared" si="27"/>
        <v>56</v>
      </c>
      <c r="AC35" s="39">
        <f t="shared" si="27"/>
        <v>112</v>
      </c>
      <c r="AD35" s="39">
        <f t="shared" si="27"/>
        <v>1</v>
      </c>
      <c r="AE35" s="40">
        <f t="shared" si="27"/>
        <v>356</v>
      </c>
      <c r="AF35" s="40">
        <f t="shared" si="27"/>
        <v>440</v>
      </c>
    </row>
    <row r="36" spans="2:32" ht="23.1" customHeight="1" x14ac:dyDescent="0.25">
      <c r="B36" s="46" t="s">
        <v>63</v>
      </c>
      <c r="C36" s="50">
        <v>19</v>
      </c>
      <c r="D36" s="50">
        <v>5</v>
      </c>
      <c r="E36" s="50">
        <v>9</v>
      </c>
      <c r="F36" s="50">
        <v>25</v>
      </c>
      <c r="G36" s="50">
        <v>0</v>
      </c>
      <c r="H36" s="50">
        <v>0</v>
      </c>
      <c r="I36" s="50">
        <v>7</v>
      </c>
      <c r="J36" s="50">
        <v>13</v>
      </c>
      <c r="K36" s="50">
        <v>2</v>
      </c>
      <c r="L36" s="50">
        <v>11</v>
      </c>
      <c r="M36" s="50">
        <v>20</v>
      </c>
      <c r="N36" s="50">
        <v>0</v>
      </c>
      <c r="O36" s="15">
        <f t="shared" si="0"/>
        <v>91</v>
      </c>
      <c r="P36" s="15">
        <f t="shared" si="1"/>
        <v>111</v>
      </c>
      <c r="R36" s="38" t="s">
        <v>92</v>
      </c>
      <c r="S36" s="39">
        <f t="shared" ref="S36:AF36" si="28">MAX(S19:S21)</f>
        <v>116</v>
      </c>
      <c r="T36" s="39">
        <f t="shared" si="28"/>
        <v>37</v>
      </c>
      <c r="U36" s="39">
        <f t="shared" si="28"/>
        <v>19</v>
      </c>
      <c r="V36" s="39">
        <f t="shared" si="28"/>
        <v>157</v>
      </c>
      <c r="W36" s="39">
        <f t="shared" si="28"/>
        <v>11</v>
      </c>
      <c r="X36" s="39">
        <f t="shared" si="28"/>
        <v>5</v>
      </c>
      <c r="Y36" s="39">
        <f t="shared" si="28"/>
        <v>32</v>
      </c>
      <c r="Z36" s="39">
        <f t="shared" si="28"/>
        <v>29</v>
      </c>
      <c r="AA36" s="39">
        <f t="shared" si="28"/>
        <v>7</v>
      </c>
      <c r="AB36" s="39">
        <f t="shared" si="28"/>
        <v>45</v>
      </c>
      <c r="AC36" s="39">
        <f t="shared" si="28"/>
        <v>117</v>
      </c>
      <c r="AD36" s="39">
        <f t="shared" si="28"/>
        <v>0</v>
      </c>
      <c r="AE36" s="40">
        <f t="shared" si="28"/>
        <v>419</v>
      </c>
      <c r="AF36" s="40">
        <f t="shared" si="28"/>
        <v>525</v>
      </c>
    </row>
    <row r="37" spans="2:32" ht="23.1" customHeight="1" x14ac:dyDescent="0.25">
      <c r="B37" s="45" t="s">
        <v>64</v>
      </c>
      <c r="C37" s="50">
        <v>27</v>
      </c>
      <c r="D37" s="50">
        <v>4</v>
      </c>
      <c r="E37" s="50">
        <v>3</v>
      </c>
      <c r="F37" s="50">
        <v>24</v>
      </c>
      <c r="G37" s="50">
        <v>1</v>
      </c>
      <c r="H37" s="50">
        <v>0</v>
      </c>
      <c r="I37" s="50">
        <v>5</v>
      </c>
      <c r="J37" s="50">
        <v>5</v>
      </c>
      <c r="K37" s="50">
        <v>0</v>
      </c>
      <c r="L37" s="50">
        <v>19</v>
      </c>
      <c r="M37" s="50">
        <v>26</v>
      </c>
      <c r="N37" s="50">
        <v>0</v>
      </c>
      <c r="O37" s="15">
        <f t="shared" si="0"/>
        <v>88</v>
      </c>
      <c r="P37" s="15">
        <f t="shared" si="1"/>
        <v>114</v>
      </c>
      <c r="R37" s="37" t="s">
        <v>85</v>
      </c>
      <c r="S37" s="35">
        <f t="shared" ref="S37:AF37" si="29">SUM(S10:S12)</f>
        <v>165</v>
      </c>
      <c r="T37" s="16">
        <f t="shared" si="29"/>
        <v>50</v>
      </c>
      <c r="U37" s="16">
        <f t="shared" si="29"/>
        <v>37</v>
      </c>
      <c r="V37" s="16">
        <f t="shared" si="29"/>
        <v>410</v>
      </c>
      <c r="W37" s="16">
        <f t="shared" si="29"/>
        <v>8</v>
      </c>
      <c r="X37" s="16">
        <f t="shared" si="29"/>
        <v>13</v>
      </c>
      <c r="Y37" s="16">
        <f t="shared" si="29"/>
        <v>35</v>
      </c>
      <c r="Z37" s="16">
        <f t="shared" si="29"/>
        <v>42</v>
      </c>
      <c r="AA37" s="16">
        <f t="shared" si="29"/>
        <v>16</v>
      </c>
      <c r="AB37" s="16">
        <f t="shared" si="29"/>
        <v>117</v>
      </c>
      <c r="AC37" s="16">
        <f t="shared" si="29"/>
        <v>257</v>
      </c>
      <c r="AD37" s="16">
        <f t="shared" si="29"/>
        <v>0</v>
      </c>
      <c r="AE37" s="32">
        <f t="shared" si="29"/>
        <v>893</v>
      </c>
      <c r="AF37" s="32">
        <f t="shared" si="29"/>
        <v>1150</v>
      </c>
    </row>
    <row r="38" spans="2:32" ht="23.1" customHeight="1" x14ac:dyDescent="0.25">
      <c r="B38" s="46" t="s">
        <v>65</v>
      </c>
      <c r="C38" s="50">
        <v>29</v>
      </c>
      <c r="D38" s="50">
        <v>1</v>
      </c>
      <c r="E38" s="50">
        <v>3</v>
      </c>
      <c r="F38" s="50">
        <v>25</v>
      </c>
      <c r="G38" s="50">
        <v>0</v>
      </c>
      <c r="H38" s="50">
        <v>0</v>
      </c>
      <c r="I38" s="50">
        <v>8</v>
      </c>
      <c r="J38" s="50">
        <v>4</v>
      </c>
      <c r="K38" s="50">
        <v>2</v>
      </c>
      <c r="L38" s="50">
        <v>14</v>
      </c>
      <c r="M38" s="50">
        <v>4</v>
      </c>
      <c r="N38" s="50">
        <v>0</v>
      </c>
      <c r="O38" s="15">
        <f t="shared" si="0"/>
        <v>86</v>
      </c>
      <c r="P38" s="15">
        <f t="shared" si="1"/>
        <v>90</v>
      </c>
      <c r="R38" s="28" t="s">
        <v>86</v>
      </c>
      <c r="S38" s="16">
        <f t="shared" ref="S38:AF38" si="30">SUM(S13:S18)</f>
        <v>485</v>
      </c>
      <c r="T38" s="16">
        <f t="shared" si="30"/>
        <v>136</v>
      </c>
      <c r="U38" s="16">
        <f t="shared" si="30"/>
        <v>97</v>
      </c>
      <c r="V38" s="16">
        <f t="shared" si="30"/>
        <v>684</v>
      </c>
      <c r="W38" s="16">
        <f t="shared" si="30"/>
        <v>13</v>
      </c>
      <c r="X38" s="16">
        <f t="shared" si="30"/>
        <v>13</v>
      </c>
      <c r="Y38" s="16">
        <f t="shared" si="30"/>
        <v>91</v>
      </c>
      <c r="Z38" s="16">
        <f t="shared" si="30"/>
        <v>105</v>
      </c>
      <c r="AA38" s="16">
        <f t="shared" si="30"/>
        <v>22</v>
      </c>
      <c r="AB38" s="16">
        <f t="shared" si="30"/>
        <v>256</v>
      </c>
      <c r="AC38" s="16">
        <f t="shared" si="30"/>
        <v>490</v>
      </c>
      <c r="AD38" s="16">
        <f t="shared" si="30"/>
        <v>1</v>
      </c>
      <c r="AE38" s="32">
        <f t="shared" si="30"/>
        <v>1903</v>
      </c>
      <c r="AF38" s="32">
        <f t="shared" si="30"/>
        <v>2393</v>
      </c>
    </row>
    <row r="39" spans="2:32" ht="23.1" customHeight="1" x14ac:dyDescent="0.25">
      <c r="B39" s="46" t="s">
        <v>66</v>
      </c>
      <c r="C39" s="50">
        <v>14</v>
      </c>
      <c r="D39" s="50">
        <v>8</v>
      </c>
      <c r="E39" s="50">
        <v>2</v>
      </c>
      <c r="F39" s="50">
        <v>16</v>
      </c>
      <c r="G39" s="50">
        <v>0</v>
      </c>
      <c r="H39" s="50">
        <v>2</v>
      </c>
      <c r="I39" s="50">
        <v>5</v>
      </c>
      <c r="J39" s="50">
        <v>2</v>
      </c>
      <c r="K39" s="50">
        <v>0</v>
      </c>
      <c r="L39" s="50">
        <v>9</v>
      </c>
      <c r="M39" s="50">
        <v>1</v>
      </c>
      <c r="N39" s="50">
        <v>0</v>
      </c>
      <c r="O39" s="15">
        <f t="shared" si="0"/>
        <v>58</v>
      </c>
      <c r="P39" s="15">
        <f t="shared" si="1"/>
        <v>59</v>
      </c>
      <c r="R39" s="29" t="s">
        <v>87</v>
      </c>
      <c r="S39" s="16">
        <f t="shared" ref="S39:AF39" si="31">SUM(S19:S21)</f>
        <v>259</v>
      </c>
      <c r="T39" s="16">
        <f t="shared" si="31"/>
        <v>99</v>
      </c>
      <c r="U39" s="16">
        <f t="shared" si="31"/>
        <v>50</v>
      </c>
      <c r="V39" s="16">
        <f t="shared" si="31"/>
        <v>413</v>
      </c>
      <c r="W39" s="16">
        <f t="shared" si="31"/>
        <v>25</v>
      </c>
      <c r="X39" s="16">
        <f t="shared" si="31"/>
        <v>10</v>
      </c>
      <c r="Y39" s="16">
        <f t="shared" si="31"/>
        <v>72</v>
      </c>
      <c r="Z39" s="16">
        <f t="shared" si="31"/>
        <v>71</v>
      </c>
      <c r="AA39" s="16">
        <f t="shared" si="31"/>
        <v>14</v>
      </c>
      <c r="AB39" s="16">
        <f t="shared" si="31"/>
        <v>115</v>
      </c>
      <c r="AC39" s="16">
        <f t="shared" si="31"/>
        <v>307</v>
      </c>
      <c r="AD39" s="16">
        <f t="shared" si="31"/>
        <v>0</v>
      </c>
      <c r="AE39" s="32">
        <f t="shared" si="31"/>
        <v>1128</v>
      </c>
      <c r="AF39" s="32">
        <f t="shared" si="31"/>
        <v>1435</v>
      </c>
    </row>
    <row r="40" spans="2:32" ht="23.1" customHeight="1" x14ac:dyDescent="0.25">
      <c r="B40" s="46" t="s">
        <v>67</v>
      </c>
      <c r="C40" s="50">
        <v>12</v>
      </c>
      <c r="D40" s="50">
        <v>4</v>
      </c>
      <c r="E40" s="50">
        <v>2</v>
      </c>
      <c r="F40" s="50">
        <v>29</v>
      </c>
      <c r="G40" s="50">
        <v>0</v>
      </c>
      <c r="H40" s="50">
        <v>1</v>
      </c>
      <c r="I40" s="50">
        <v>1</v>
      </c>
      <c r="J40" s="50">
        <v>3</v>
      </c>
      <c r="K40" s="50">
        <v>0</v>
      </c>
      <c r="L40" s="50">
        <v>19</v>
      </c>
      <c r="M40" s="50">
        <v>2</v>
      </c>
      <c r="N40" s="50">
        <v>0</v>
      </c>
      <c r="O40" s="15">
        <f t="shared" si="0"/>
        <v>71</v>
      </c>
      <c r="P40" s="15">
        <f t="shared" si="1"/>
        <v>73</v>
      </c>
      <c r="R40" s="5" t="s">
        <v>17</v>
      </c>
      <c r="S40" s="16">
        <f t="shared" ref="S40:AF40" si="32">SUM(S10:S21)</f>
        <v>909</v>
      </c>
      <c r="T40" s="16">
        <f t="shared" si="32"/>
        <v>285</v>
      </c>
      <c r="U40" s="16">
        <f t="shared" si="32"/>
        <v>184</v>
      </c>
      <c r="V40" s="16">
        <f t="shared" si="32"/>
        <v>1507</v>
      </c>
      <c r="W40" s="16">
        <f t="shared" si="32"/>
        <v>46</v>
      </c>
      <c r="X40" s="16">
        <f t="shared" si="32"/>
        <v>36</v>
      </c>
      <c r="Y40" s="16">
        <f t="shared" si="32"/>
        <v>198</v>
      </c>
      <c r="Z40" s="16">
        <f t="shared" si="32"/>
        <v>218</v>
      </c>
      <c r="AA40" s="16">
        <f t="shared" si="32"/>
        <v>52</v>
      </c>
      <c r="AB40" s="16">
        <f t="shared" si="32"/>
        <v>488</v>
      </c>
      <c r="AC40" s="16">
        <f t="shared" si="32"/>
        <v>1054</v>
      </c>
      <c r="AD40" s="16">
        <f t="shared" si="32"/>
        <v>1</v>
      </c>
      <c r="AE40" s="32">
        <f t="shared" si="32"/>
        <v>3924</v>
      </c>
      <c r="AF40" s="32">
        <f t="shared" si="32"/>
        <v>4978</v>
      </c>
    </row>
    <row r="41" spans="2:32" ht="23.1" customHeight="1" x14ac:dyDescent="0.25">
      <c r="B41" s="45" t="s">
        <v>68</v>
      </c>
      <c r="C41" s="50">
        <v>13</v>
      </c>
      <c r="D41" s="50">
        <v>5</v>
      </c>
      <c r="E41" s="50">
        <v>0</v>
      </c>
      <c r="F41" s="50">
        <v>20</v>
      </c>
      <c r="G41" s="50">
        <v>0</v>
      </c>
      <c r="H41" s="50">
        <v>0</v>
      </c>
      <c r="I41" s="50">
        <v>1</v>
      </c>
      <c r="J41" s="50">
        <v>4</v>
      </c>
      <c r="K41" s="50">
        <v>0</v>
      </c>
      <c r="L41" s="50">
        <v>8</v>
      </c>
      <c r="M41" s="50">
        <v>8</v>
      </c>
      <c r="N41" s="50">
        <v>0</v>
      </c>
      <c r="O41" s="15">
        <f t="shared" si="0"/>
        <v>51</v>
      </c>
      <c r="P41" s="15">
        <f t="shared" si="1"/>
        <v>59</v>
      </c>
      <c r="R41" s="5" t="s">
        <v>159</v>
      </c>
      <c r="S41" s="16">
        <f>SUM(S10:S33)</f>
        <v>1351</v>
      </c>
      <c r="T41" s="16">
        <f t="shared" ref="T41:AF41" si="33">SUM(T10:T33)</f>
        <v>503</v>
      </c>
      <c r="U41" s="16">
        <f t="shared" si="33"/>
        <v>308</v>
      </c>
      <c r="V41" s="16">
        <f t="shared" si="33"/>
        <v>2100</v>
      </c>
      <c r="W41" s="16">
        <f t="shared" si="33"/>
        <v>75</v>
      </c>
      <c r="X41" s="16">
        <f t="shared" si="33"/>
        <v>62</v>
      </c>
      <c r="Y41" s="16">
        <f t="shared" si="33"/>
        <v>247</v>
      </c>
      <c r="Z41" s="16">
        <f t="shared" si="33"/>
        <v>386</v>
      </c>
      <c r="AA41" s="16">
        <f t="shared" si="33"/>
        <v>99</v>
      </c>
      <c r="AB41" s="16">
        <f t="shared" si="33"/>
        <v>828</v>
      </c>
      <c r="AC41" s="16">
        <f t="shared" si="33"/>
        <v>1521</v>
      </c>
      <c r="AD41" s="16">
        <f t="shared" si="33"/>
        <v>1</v>
      </c>
      <c r="AE41" s="32">
        <f t="shared" si="33"/>
        <v>5960</v>
      </c>
      <c r="AF41" s="32">
        <f t="shared" si="33"/>
        <v>7481</v>
      </c>
    </row>
    <row r="42" spans="2:32" ht="23.1" customHeight="1" x14ac:dyDescent="0.25">
      <c r="B42" s="46" t="s">
        <v>69</v>
      </c>
      <c r="C42" s="50">
        <v>25</v>
      </c>
      <c r="D42" s="50">
        <v>8</v>
      </c>
      <c r="E42" s="50">
        <v>3</v>
      </c>
      <c r="F42" s="50">
        <v>27</v>
      </c>
      <c r="G42" s="50">
        <v>2</v>
      </c>
      <c r="H42" s="50">
        <v>0</v>
      </c>
      <c r="I42" s="50">
        <v>7</v>
      </c>
      <c r="J42" s="50">
        <v>2</v>
      </c>
      <c r="K42" s="50">
        <v>0</v>
      </c>
      <c r="L42" s="50">
        <v>13</v>
      </c>
      <c r="M42" s="50">
        <v>20</v>
      </c>
      <c r="N42" s="50">
        <v>0</v>
      </c>
      <c r="O42" s="15">
        <f t="shared" si="0"/>
        <v>87</v>
      </c>
      <c r="P42" s="15">
        <f t="shared" si="1"/>
        <v>107</v>
      </c>
      <c r="R42" s="5" t="s">
        <v>160</v>
      </c>
      <c r="S42" s="48">
        <f>S41/S40</f>
        <v>1.4862486248624862</v>
      </c>
      <c r="T42" s="48">
        <f t="shared" ref="T42:AF42" si="34">T41/T40</f>
        <v>1.7649122807017543</v>
      </c>
      <c r="U42" s="48">
        <f t="shared" si="34"/>
        <v>1.673913043478261</v>
      </c>
      <c r="V42" s="48">
        <f t="shared" si="34"/>
        <v>1.3934970139349701</v>
      </c>
      <c r="W42" s="48">
        <f t="shared" si="34"/>
        <v>1.6304347826086956</v>
      </c>
      <c r="X42" s="48">
        <f t="shared" si="34"/>
        <v>1.7222222222222223</v>
      </c>
      <c r="Y42" s="48">
        <f t="shared" si="34"/>
        <v>1.2474747474747474</v>
      </c>
      <c r="Z42" s="48">
        <f t="shared" si="34"/>
        <v>1.7706422018348624</v>
      </c>
      <c r="AA42" s="48">
        <f t="shared" si="34"/>
        <v>1.9038461538461537</v>
      </c>
      <c r="AB42" s="48">
        <f t="shared" si="34"/>
        <v>1.6967213114754098</v>
      </c>
      <c r="AC42" s="48">
        <f t="shared" si="34"/>
        <v>1.4430740037950665</v>
      </c>
      <c r="AD42" s="48">
        <f t="shared" si="34"/>
        <v>1</v>
      </c>
      <c r="AE42" s="48">
        <f t="shared" si="34"/>
        <v>1.5188583078491336</v>
      </c>
      <c r="AF42" s="48">
        <f t="shared" si="34"/>
        <v>1.5028123744475692</v>
      </c>
    </row>
    <row r="43" spans="2:32" ht="23.1" customHeight="1" x14ac:dyDescent="0.25">
      <c r="B43" s="45" t="s">
        <v>70</v>
      </c>
      <c r="C43" s="50">
        <v>19</v>
      </c>
      <c r="D43" s="50">
        <v>7</v>
      </c>
      <c r="E43" s="50">
        <v>5</v>
      </c>
      <c r="F43" s="50">
        <v>30</v>
      </c>
      <c r="G43" s="50">
        <v>0</v>
      </c>
      <c r="H43" s="50">
        <v>1</v>
      </c>
      <c r="I43" s="50">
        <v>0</v>
      </c>
      <c r="J43" s="50">
        <v>2</v>
      </c>
      <c r="K43" s="50">
        <v>2</v>
      </c>
      <c r="L43" s="50">
        <v>4</v>
      </c>
      <c r="M43" s="50">
        <v>17</v>
      </c>
      <c r="N43" s="50">
        <v>0</v>
      </c>
      <c r="O43" s="15">
        <f t="shared" si="0"/>
        <v>70</v>
      </c>
      <c r="P43" s="15">
        <f t="shared" si="1"/>
        <v>87</v>
      </c>
    </row>
    <row r="44" spans="2:32" ht="23.1" customHeight="1" x14ac:dyDescent="0.25">
      <c r="B44" s="47" t="s">
        <v>71</v>
      </c>
      <c r="C44" s="50">
        <v>23</v>
      </c>
      <c r="D44" s="50">
        <v>5</v>
      </c>
      <c r="E44" s="50">
        <v>7</v>
      </c>
      <c r="F44" s="50">
        <v>36</v>
      </c>
      <c r="G44" s="50">
        <v>0</v>
      </c>
      <c r="H44" s="50">
        <v>1</v>
      </c>
      <c r="I44" s="50">
        <v>3</v>
      </c>
      <c r="J44" s="50">
        <v>3</v>
      </c>
      <c r="K44" s="50">
        <v>1</v>
      </c>
      <c r="L44" s="50">
        <v>12</v>
      </c>
      <c r="M44" s="50">
        <v>24</v>
      </c>
      <c r="N44" s="50">
        <v>0</v>
      </c>
      <c r="O44" s="15">
        <f t="shared" si="0"/>
        <v>91</v>
      </c>
      <c r="P44" s="15">
        <f t="shared" si="1"/>
        <v>115</v>
      </c>
    </row>
    <row r="45" spans="2:32" ht="23.1" customHeight="1" x14ac:dyDescent="0.25">
      <c r="B45" s="45" t="s">
        <v>72</v>
      </c>
      <c r="C45" s="50">
        <v>27</v>
      </c>
      <c r="D45" s="50">
        <v>4</v>
      </c>
      <c r="E45" s="50">
        <v>5</v>
      </c>
      <c r="F45" s="50">
        <v>32</v>
      </c>
      <c r="G45" s="50">
        <v>0</v>
      </c>
      <c r="H45" s="50">
        <v>1</v>
      </c>
      <c r="I45" s="50">
        <v>2</v>
      </c>
      <c r="J45" s="50">
        <v>3</v>
      </c>
      <c r="K45" s="50">
        <v>0</v>
      </c>
      <c r="L45" s="50">
        <v>11</v>
      </c>
      <c r="M45" s="50">
        <v>34</v>
      </c>
      <c r="N45" s="50">
        <v>0</v>
      </c>
      <c r="O45" s="15">
        <f t="shared" si="0"/>
        <v>85</v>
      </c>
      <c r="P45" s="15">
        <f t="shared" si="1"/>
        <v>119</v>
      </c>
    </row>
    <row r="46" spans="2:32" ht="23.1" customHeight="1" x14ac:dyDescent="0.25">
      <c r="B46" s="46" t="s">
        <v>73</v>
      </c>
      <c r="C46" s="50">
        <v>13</v>
      </c>
      <c r="D46" s="50">
        <v>6</v>
      </c>
      <c r="E46" s="50">
        <v>3</v>
      </c>
      <c r="F46" s="50">
        <v>28</v>
      </c>
      <c r="G46" s="50">
        <v>2</v>
      </c>
      <c r="H46" s="50">
        <v>1</v>
      </c>
      <c r="I46" s="50">
        <v>5</v>
      </c>
      <c r="J46" s="50">
        <v>4</v>
      </c>
      <c r="K46" s="50">
        <v>0</v>
      </c>
      <c r="L46" s="50">
        <v>5</v>
      </c>
      <c r="M46" s="50">
        <v>28</v>
      </c>
      <c r="N46" s="50">
        <v>0</v>
      </c>
      <c r="O46" s="15">
        <f t="shared" si="0"/>
        <v>67</v>
      </c>
      <c r="P46" s="15">
        <f t="shared" si="1"/>
        <v>95</v>
      </c>
      <c r="R46" s="8"/>
      <c r="T46"/>
    </row>
    <row r="47" spans="2:32" ht="23.1" customHeight="1" x14ac:dyDescent="0.25">
      <c r="B47" s="46" t="s">
        <v>74</v>
      </c>
      <c r="C47" s="50">
        <v>14</v>
      </c>
      <c r="D47" s="50">
        <v>7</v>
      </c>
      <c r="E47" s="50">
        <v>7</v>
      </c>
      <c r="F47" s="50">
        <v>28</v>
      </c>
      <c r="G47" s="50">
        <v>1</v>
      </c>
      <c r="H47" s="50">
        <v>0</v>
      </c>
      <c r="I47" s="50">
        <v>5</v>
      </c>
      <c r="J47" s="50">
        <v>6</v>
      </c>
      <c r="K47" s="50">
        <v>1</v>
      </c>
      <c r="L47" s="50">
        <v>16</v>
      </c>
      <c r="M47" s="50">
        <v>29</v>
      </c>
      <c r="N47" s="50">
        <v>0</v>
      </c>
      <c r="O47" s="15">
        <f t="shared" si="0"/>
        <v>85</v>
      </c>
      <c r="P47" s="15">
        <f t="shared" si="1"/>
        <v>114</v>
      </c>
      <c r="R47" s="8"/>
      <c r="T47"/>
    </row>
    <row r="48" spans="2:32" ht="23.1" customHeight="1" x14ac:dyDescent="0.25">
      <c r="B48" s="46" t="s">
        <v>75</v>
      </c>
      <c r="C48" s="50">
        <v>10</v>
      </c>
      <c r="D48" s="50">
        <v>12</v>
      </c>
      <c r="E48" s="50">
        <v>2</v>
      </c>
      <c r="F48" s="50">
        <v>33</v>
      </c>
      <c r="G48" s="50">
        <v>2</v>
      </c>
      <c r="H48" s="50">
        <v>0</v>
      </c>
      <c r="I48" s="50">
        <v>4</v>
      </c>
      <c r="J48" s="50">
        <v>5</v>
      </c>
      <c r="K48" s="50">
        <v>2</v>
      </c>
      <c r="L48" s="50">
        <v>16</v>
      </c>
      <c r="M48" s="50">
        <v>35</v>
      </c>
      <c r="N48" s="50">
        <v>0</v>
      </c>
      <c r="O48" s="15">
        <f t="shared" si="0"/>
        <v>86</v>
      </c>
      <c r="P48" s="15">
        <f t="shared" si="1"/>
        <v>121</v>
      </c>
      <c r="R48" s="8"/>
      <c r="T48"/>
    </row>
    <row r="49" spans="2:20" ht="23.1" customHeight="1" x14ac:dyDescent="0.25">
      <c r="B49" s="45" t="s">
        <v>76</v>
      </c>
      <c r="C49" s="50">
        <v>16</v>
      </c>
      <c r="D49" s="50">
        <v>5</v>
      </c>
      <c r="E49" s="50">
        <v>2</v>
      </c>
      <c r="F49" s="50">
        <v>27</v>
      </c>
      <c r="G49" s="50">
        <v>1</v>
      </c>
      <c r="H49" s="50">
        <v>1</v>
      </c>
      <c r="I49" s="50">
        <v>5</v>
      </c>
      <c r="J49" s="50">
        <v>3</v>
      </c>
      <c r="K49" s="50">
        <v>1</v>
      </c>
      <c r="L49" s="50">
        <v>8</v>
      </c>
      <c r="M49" s="50">
        <v>25</v>
      </c>
      <c r="N49" s="50">
        <v>0</v>
      </c>
      <c r="O49" s="15">
        <f t="shared" si="0"/>
        <v>69</v>
      </c>
      <c r="P49" s="15">
        <f t="shared" si="1"/>
        <v>94</v>
      </c>
      <c r="R49" s="8"/>
      <c r="T49"/>
    </row>
    <row r="50" spans="2:20" ht="23.1" customHeight="1" x14ac:dyDescent="0.25">
      <c r="B50" s="46" t="s">
        <v>77</v>
      </c>
      <c r="C50" s="50">
        <v>19</v>
      </c>
      <c r="D50" s="50">
        <v>7</v>
      </c>
      <c r="E50" s="50">
        <v>5</v>
      </c>
      <c r="F50" s="50">
        <v>40</v>
      </c>
      <c r="G50" s="50">
        <v>4</v>
      </c>
      <c r="H50" s="50">
        <v>0</v>
      </c>
      <c r="I50" s="50">
        <v>8</v>
      </c>
      <c r="J50" s="50">
        <v>4</v>
      </c>
      <c r="K50" s="50">
        <v>1</v>
      </c>
      <c r="L50" s="50">
        <v>15</v>
      </c>
      <c r="M50" s="50">
        <v>27</v>
      </c>
      <c r="N50" s="50">
        <v>0</v>
      </c>
      <c r="O50" s="15">
        <f t="shared" si="0"/>
        <v>103</v>
      </c>
      <c r="P50" s="15">
        <f t="shared" si="1"/>
        <v>130</v>
      </c>
      <c r="R50" s="8"/>
      <c r="T50"/>
    </row>
    <row r="51" spans="2:20" ht="23.1" customHeight="1" x14ac:dyDescent="0.25">
      <c r="B51" s="46" t="s">
        <v>78</v>
      </c>
      <c r="C51" s="50">
        <v>21</v>
      </c>
      <c r="D51" s="50">
        <v>11</v>
      </c>
      <c r="E51" s="50">
        <v>6</v>
      </c>
      <c r="F51" s="50">
        <v>37</v>
      </c>
      <c r="G51" s="50">
        <v>1</v>
      </c>
      <c r="H51" s="50">
        <v>3</v>
      </c>
      <c r="I51" s="50">
        <v>3</v>
      </c>
      <c r="J51" s="50">
        <v>5</v>
      </c>
      <c r="K51" s="50">
        <v>1</v>
      </c>
      <c r="L51" s="50">
        <v>7</v>
      </c>
      <c r="M51" s="50">
        <v>24</v>
      </c>
      <c r="N51" s="50">
        <v>0</v>
      </c>
      <c r="O51" s="15">
        <f t="shared" si="0"/>
        <v>95</v>
      </c>
      <c r="P51" s="15">
        <f t="shared" si="1"/>
        <v>119</v>
      </c>
      <c r="R51" s="8"/>
      <c r="T51"/>
    </row>
    <row r="52" spans="2:20" ht="23.1" customHeight="1" x14ac:dyDescent="0.25">
      <c r="B52" s="46" t="s">
        <v>79</v>
      </c>
      <c r="C52" s="50">
        <v>26</v>
      </c>
      <c r="D52" s="50">
        <v>5</v>
      </c>
      <c r="E52" s="50">
        <v>4</v>
      </c>
      <c r="F52" s="50">
        <v>41</v>
      </c>
      <c r="G52" s="50">
        <v>1</v>
      </c>
      <c r="H52" s="50">
        <v>1</v>
      </c>
      <c r="I52" s="50">
        <v>5</v>
      </c>
      <c r="J52" s="50">
        <v>7</v>
      </c>
      <c r="K52" s="50">
        <v>1</v>
      </c>
      <c r="L52" s="50">
        <v>9</v>
      </c>
      <c r="M52" s="50">
        <v>14</v>
      </c>
      <c r="N52" s="50">
        <v>0</v>
      </c>
      <c r="O52" s="15">
        <f t="shared" si="0"/>
        <v>100</v>
      </c>
      <c r="P52" s="15">
        <f t="shared" si="1"/>
        <v>114</v>
      </c>
      <c r="R52" s="8"/>
      <c r="T52"/>
    </row>
    <row r="53" spans="2:20" ht="23.1" customHeight="1" x14ac:dyDescent="0.25">
      <c r="B53" s="45" t="s">
        <v>80</v>
      </c>
      <c r="C53" s="50">
        <v>24</v>
      </c>
      <c r="D53" s="50">
        <v>14</v>
      </c>
      <c r="E53" s="50">
        <v>4</v>
      </c>
      <c r="F53" s="50">
        <v>39</v>
      </c>
      <c r="G53" s="50">
        <v>2</v>
      </c>
      <c r="H53" s="50">
        <v>1</v>
      </c>
      <c r="I53" s="50">
        <v>5</v>
      </c>
      <c r="J53" s="50">
        <v>8</v>
      </c>
      <c r="K53" s="50">
        <v>0</v>
      </c>
      <c r="L53" s="50">
        <v>7</v>
      </c>
      <c r="M53" s="50">
        <v>19</v>
      </c>
      <c r="N53" s="50">
        <v>0</v>
      </c>
      <c r="O53" s="15">
        <f t="shared" si="0"/>
        <v>104</v>
      </c>
      <c r="P53" s="15">
        <f t="shared" si="1"/>
        <v>123</v>
      </c>
      <c r="R53" s="8"/>
      <c r="T53"/>
    </row>
    <row r="54" spans="2:20" ht="23.1" customHeight="1" x14ac:dyDescent="0.25">
      <c r="B54" s="45" t="s">
        <v>81</v>
      </c>
      <c r="C54" s="50">
        <v>24</v>
      </c>
      <c r="D54" s="50">
        <v>11</v>
      </c>
      <c r="E54" s="50">
        <v>2</v>
      </c>
      <c r="F54" s="50">
        <v>40</v>
      </c>
      <c r="G54" s="50">
        <v>0</v>
      </c>
      <c r="H54" s="50">
        <v>0</v>
      </c>
      <c r="I54" s="50">
        <v>6</v>
      </c>
      <c r="J54" s="50">
        <v>10</v>
      </c>
      <c r="K54" s="50">
        <v>0</v>
      </c>
      <c r="L54" s="50">
        <v>17</v>
      </c>
      <c r="M54" s="50">
        <v>23</v>
      </c>
      <c r="N54" s="50">
        <v>0</v>
      </c>
      <c r="O54" s="15">
        <f t="shared" si="0"/>
        <v>110</v>
      </c>
      <c r="P54" s="15">
        <f t="shared" si="1"/>
        <v>133</v>
      </c>
      <c r="R54" s="8"/>
      <c r="T54"/>
    </row>
    <row r="55" spans="2:20" ht="23.1" customHeight="1" x14ac:dyDescent="0.25">
      <c r="B55" s="45" t="s">
        <v>82</v>
      </c>
      <c r="C55" s="50">
        <v>36</v>
      </c>
      <c r="D55" s="50">
        <v>4</v>
      </c>
      <c r="E55" s="50">
        <v>7</v>
      </c>
      <c r="F55" s="50">
        <v>30</v>
      </c>
      <c r="G55" s="50">
        <v>4</v>
      </c>
      <c r="H55" s="50">
        <v>2</v>
      </c>
      <c r="I55" s="50">
        <v>11</v>
      </c>
      <c r="J55" s="50">
        <v>10</v>
      </c>
      <c r="K55" s="50">
        <v>2</v>
      </c>
      <c r="L55" s="50">
        <v>7</v>
      </c>
      <c r="M55" s="50">
        <v>29</v>
      </c>
      <c r="N55" s="50">
        <v>0</v>
      </c>
      <c r="O55" s="15">
        <f t="shared" si="0"/>
        <v>113</v>
      </c>
      <c r="P55" s="15">
        <f t="shared" si="1"/>
        <v>142</v>
      </c>
      <c r="R55" s="8"/>
      <c r="T55"/>
    </row>
    <row r="56" spans="2:20" ht="23.1" customHeight="1" x14ac:dyDescent="0.25">
      <c r="B56" s="45" t="s">
        <v>83</v>
      </c>
      <c r="C56" s="50">
        <v>35</v>
      </c>
      <c r="D56" s="50">
        <v>9</v>
      </c>
      <c r="E56" s="50">
        <v>5</v>
      </c>
      <c r="F56" s="50">
        <v>40</v>
      </c>
      <c r="G56" s="50">
        <v>2</v>
      </c>
      <c r="H56" s="50">
        <v>1</v>
      </c>
      <c r="I56" s="50">
        <v>14</v>
      </c>
      <c r="J56" s="50">
        <v>5</v>
      </c>
      <c r="K56" s="50">
        <v>3</v>
      </c>
      <c r="L56" s="50">
        <v>4</v>
      </c>
      <c r="M56" s="50">
        <v>33</v>
      </c>
      <c r="N56" s="50">
        <v>0</v>
      </c>
      <c r="O56" s="15">
        <f t="shared" si="0"/>
        <v>118</v>
      </c>
      <c r="P56" s="15">
        <f t="shared" si="1"/>
        <v>151</v>
      </c>
      <c r="R56" s="8"/>
      <c r="T56"/>
    </row>
    <row r="57" spans="2:20" ht="23.1" customHeight="1" x14ac:dyDescent="0.25">
      <c r="B57" s="45" t="s">
        <v>84</v>
      </c>
      <c r="C57" s="50">
        <v>21</v>
      </c>
      <c r="D57" s="50">
        <v>8</v>
      </c>
      <c r="E57" s="50">
        <v>3</v>
      </c>
      <c r="F57" s="50">
        <v>30</v>
      </c>
      <c r="G57" s="50">
        <v>5</v>
      </c>
      <c r="H57" s="50">
        <v>0</v>
      </c>
      <c r="I57" s="50">
        <v>1</v>
      </c>
      <c r="J57" s="50">
        <v>4</v>
      </c>
      <c r="K57" s="50">
        <v>2</v>
      </c>
      <c r="L57" s="50">
        <v>4</v>
      </c>
      <c r="M57" s="50">
        <v>21</v>
      </c>
      <c r="N57" s="50">
        <v>0</v>
      </c>
      <c r="O57" s="15">
        <f t="shared" si="0"/>
        <v>78</v>
      </c>
      <c r="P57" s="15">
        <f t="shared" si="1"/>
        <v>99</v>
      </c>
      <c r="R57" s="8"/>
      <c r="T57"/>
    </row>
    <row r="58" spans="2:20" ht="23.1" customHeight="1" x14ac:dyDescent="0.25">
      <c r="B58" s="45" t="s">
        <v>99</v>
      </c>
      <c r="C58" s="50">
        <v>22</v>
      </c>
      <c r="D58" s="50">
        <v>8</v>
      </c>
      <c r="E58" s="50">
        <v>5</v>
      </c>
      <c r="F58" s="50">
        <v>24</v>
      </c>
      <c r="G58" s="50">
        <v>0</v>
      </c>
      <c r="H58" s="50">
        <v>0</v>
      </c>
      <c r="I58" s="50">
        <v>0</v>
      </c>
      <c r="J58" s="50">
        <v>4</v>
      </c>
      <c r="K58" s="50">
        <v>0</v>
      </c>
      <c r="L58" s="50">
        <v>6</v>
      </c>
      <c r="M58" s="50">
        <v>21</v>
      </c>
      <c r="N58" s="50">
        <v>0</v>
      </c>
      <c r="O58" s="15">
        <f t="shared" ref="O58:O105" si="35">SUM(C58:L58,N58)</f>
        <v>69</v>
      </c>
      <c r="P58" s="15">
        <f t="shared" ref="P58:P105" si="36">SUM(C58:N58)</f>
        <v>90</v>
      </c>
      <c r="R58" s="8"/>
      <c r="T58"/>
    </row>
    <row r="59" spans="2:20" ht="23.1" customHeight="1" x14ac:dyDescent="0.25">
      <c r="B59" s="45" t="s">
        <v>100</v>
      </c>
      <c r="C59" s="50">
        <v>22</v>
      </c>
      <c r="D59" s="50">
        <v>6</v>
      </c>
      <c r="E59" s="50">
        <v>4</v>
      </c>
      <c r="F59" s="50">
        <v>43</v>
      </c>
      <c r="G59" s="50">
        <v>3</v>
      </c>
      <c r="H59" s="50">
        <v>0</v>
      </c>
      <c r="I59" s="50">
        <v>3</v>
      </c>
      <c r="J59" s="50">
        <v>6</v>
      </c>
      <c r="K59" s="50">
        <v>4</v>
      </c>
      <c r="L59" s="50">
        <v>6</v>
      </c>
      <c r="M59" s="50">
        <v>26</v>
      </c>
      <c r="N59" s="50">
        <v>0</v>
      </c>
      <c r="O59" s="15">
        <f t="shared" si="35"/>
        <v>97</v>
      </c>
      <c r="P59" s="15">
        <f t="shared" si="36"/>
        <v>123</v>
      </c>
      <c r="R59" s="8"/>
      <c r="T59"/>
    </row>
    <row r="60" spans="2:20" ht="23.1" customHeight="1" x14ac:dyDescent="0.25">
      <c r="B60" s="45" t="s">
        <v>101</v>
      </c>
      <c r="C60" s="50">
        <v>20</v>
      </c>
      <c r="D60" s="50">
        <v>11</v>
      </c>
      <c r="E60" s="50">
        <v>9</v>
      </c>
      <c r="F60" s="50">
        <v>33</v>
      </c>
      <c r="G60" s="50">
        <v>2</v>
      </c>
      <c r="H60" s="50">
        <v>5</v>
      </c>
      <c r="I60" s="50">
        <v>0</v>
      </c>
      <c r="J60" s="50">
        <v>5</v>
      </c>
      <c r="K60" s="50">
        <v>2</v>
      </c>
      <c r="L60" s="50">
        <v>4</v>
      </c>
      <c r="M60" s="50">
        <v>33</v>
      </c>
      <c r="N60" s="50">
        <v>0</v>
      </c>
      <c r="O60" s="15">
        <f t="shared" si="35"/>
        <v>91</v>
      </c>
      <c r="P60" s="15">
        <f t="shared" si="36"/>
        <v>124</v>
      </c>
      <c r="R60" s="8"/>
      <c r="T60"/>
    </row>
    <row r="61" spans="2:20" ht="23.1" customHeight="1" x14ac:dyDescent="0.25">
      <c r="B61" s="45" t="s">
        <v>102</v>
      </c>
      <c r="C61" s="50">
        <v>30</v>
      </c>
      <c r="D61" s="50">
        <v>18</v>
      </c>
      <c r="E61" s="50">
        <v>5</v>
      </c>
      <c r="F61" s="50">
        <v>26</v>
      </c>
      <c r="G61" s="50">
        <v>3</v>
      </c>
      <c r="H61" s="50">
        <v>2</v>
      </c>
      <c r="I61" s="50">
        <v>2</v>
      </c>
      <c r="J61" s="50">
        <v>8</v>
      </c>
      <c r="K61" s="50">
        <v>2</v>
      </c>
      <c r="L61" s="50">
        <v>17</v>
      </c>
      <c r="M61" s="50">
        <v>22</v>
      </c>
      <c r="N61" s="50">
        <v>0</v>
      </c>
      <c r="O61" s="15">
        <f t="shared" si="35"/>
        <v>113</v>
      </c>
      <c r="P61" s="15">
        <f t="shared" si="36"/>
        <v>135</v>
      </c>
      <c r="R61" s="8"/>
      <c r="T61"/>
    </row>
    <row r="62" spans="2:20" ht="23.1" customHeight="1" x14ac:dyDescent="0.25">
      <c r="B62" s="45" t="s">
        <v>107</v>
      </c>
      <c r="C62" s="50">
        <v>29</v>
      </c>
      <c r="D62" s="50">
        <v>16</v>
      </c>
      <c r="E62" s="50">
        <v>4</v>
      </c>
      <c r="F62" s="50">
        <v>39</v>
      </c>
      <c r="G62" s="50">
        <v>3</v>
      </c>
      <c r="H62" s="50">
        <v>1</v>
      </c>
      <c r="I62" s="50">
        <v>7</v>
      </c>
      <c r="J62" s="50">
        <v>7</v>
      </c>
      <c r="K62" s="50">
        <v>2</v>
      </c>
      <c r="L62" s="50">
        <v>9</v>
      </c>
      <c r="M62" s="50">
        <v>24</v>
      </c>
      <c r="N62" s="50">
        <v>0</v>
      </c>
      <c r="O62" s="15">
        <f t="shared" si="35"/>
        <v>117</v>
      </c>
      <c r="P62" s="15">
        <f t="shared" si="36"/>
        <v>141</v>
      </c>
      <c r="R62" s="8"/>
      <c r="T62"/>
    </row>
    <row r="63" spans="2:20" ht="23.1" customHeight="1" x14ac:dyDescent="0.25">
      <c r="B63" s="45" t="s">
        <v>108</v>
      </c>
      <c r="C63" s="50">
        <v>27</v>
      </c>
      <c r="D63" s="50">
        <v>11</v>
      </c>
      <c r="E63" s="50">
        <v>11</v>
      </c>
      <c r="F63" s="50">
        <v>30</v>
      </c>
      <c r="G63" s="50">
        <v>1</v>
      </c>
      <c r="H63" s="50">
        <v>0</v>
      </c>
      <c r="I63" s="50">
        <v>4</v>
      </c>
      <c r="J63" s="50">
        <v>8</v>
      </c>
      <c r="K63" s="50">
        <v>1</v>
      </c>
      <c r="L63" s="50">
        <v>14</v>
      </c>
      <c r="M63" s="50">
        <v>29</v>
      </c>
      <c r="N63" s="50">
        <v>0</v>
      </c>
      <c r="O63" s="15">
        <f t="shared" si="35"/>
        <v>107</v>
      </c>
      <c r="P63" s="15">
        <f t="shared" si="36"/>
        <v>136</v>
      </c>
      <c r="R63" s="8"/>
      <c r="T63"/>
    </row>
    <row r="64" spans="2:20" ht="23.1" customHeight="1" x14ac:dyDescent="0.25">
      <c r="B64" s="45" t="s">
        <v>109</v>
      </c>
      <c r="C64" s="50">
        <v>36</v>
      </c>
      <c r="D64" s="50">
        <v>13</v>
      </c>
      <c r="E64" s="50">
        <v>8</v>
      </c>
      <c r="F64" s="50">
        <v>26</v>
      </c>
      <c r="G64" s="50">
        <v>3</v>
      </c>
      <c r="H64" s="50">
        <v>1</v>
      </c>
      <c r="I64" s="50">
        <v>1</v>
      </c>
      <c r="J64" s="50">
        <v>6</v>
      </c>
      <c r="K64" s="50">
        <v>1</v>
      </c>
      <c r="L64" s="50">
        <v>6</v>
      </c>
      <c r="M64" s="50">
        <v>38</v>
      </c>
      <c r="N64" s="50">
        <v>0</v>
      </c>
      <c r="O64" s="15">
        <f t="shared" si="35"/>
        <v>101</v>
      </c>
      <c r="P64" s="15">
        <f t="shared" si="36"/>
        <v>139</v>
      </c>
      <c r="R64" s="8"/>
      <c r="T64"/>
    </row>
    <row r="65" spans="2:20" ht="23.1" customHeight="1" x14ac:dyDescent="0.25">
      <c r="B65" s="45" t="s">
        <v>158</v>
      </c>
      <c r="C65" s="50">
        <v>15</v>
      </c>
      <c r="D65" s="50">
        <v>15</v>
      </c>
      <c r="E65" s="50">
        <v>2</v>
      </c>
      <c r="F65" s="50">
        <v>10</v>
      </c>
      <c r="G65" s="50">
        <v>0</v>
      </c>
      <c r="H65" s="50">
        <v>0</v>
      </c>
      <c r="I65" s="50">
        <v>1</v>
      </c>
      <c r="J65" s="50">
        <v>3</v>
      </c>
      <c r="K65" s="50">
        <v>2</v>
      </c>
      <c r="L65" s="50">
        <v>5</v>
      </c>
      <c r="M65" s="50">
        <v>16</v>
      </c>
      <c r="N65" s="50">
        <v>0</v>
      </c>
      <c r="O65" s="15">
        <f t="shared" si="35"/>
        <v>53</v>
      </c>
      <c r="P65" s="15">
        <f t="shared" si="36"/>
        <v>69</v>
      </c>
      <c r="R65" s="8"/>
      <c r="T65"/>
    </row>
    <row r="66" spans="2:20" ht="23.1" customHeight="1" x14ac:dyDescent="0.25">
      <c r="B66" s="45" t="s">
        <v>103</v>
      </c>
      <c r="C66" s="50">
        <v>26</v>
      </c>
      <c r="D66" s="50">
        <v>15</v>
      </c>
      <c r="E66" s="50">
        <v>4</v>
      </c>
      <c r="F66" s="50">
        <v>23</v>
      </c>
      <c r="G66" s="50">
        <v>3</v>
      </c>
      <c r="H66" s="50">
        <v>1</v>
      </c>
      <c r="I66" s="50">
        <v>1</v>
      </c>
      <c r="J66" s="50">
        <v>4</v>
      </c>
      <c r="K66" s="50">
        <v>2</v>
      </c>
      <c r="L66" s="50">
        <v>7</v>
      </c>
      <c r="M66" s="50">
        <v>27</v>
      </c>
      <c r="N66" s="50">
        <v>0</v>
      </c>
      <c r="O66" s="15">
        <f t="shared" si="35"/>
        <v>86</v>
      </c>
      <c r="P66" s="15">
        <f t="shared" si="36"/>
        <v>113</v>
      </c>
      <c r="R66" s="8"/>
      <c r="T66"/>
    </row>
    <row r="67" spans="2:20" ht="23.1" customHeight="1" x14ac:dyDescent="0.25">
      <c r="B67" s="45" t="s">
        <v>104</v>
      </c>
      <c r="C67" s="50">
        <v>26</v>
      </c>
      <c r="D67" s="50">
        <v>12</v>
      </c>
      <c r="E67" s="50">
        <v>7</v>
      </c>
      <c r="F67" s="50">
        <v>25</v>
      </c>
      <c r="G67" s="50">
        <v>0</v>
      </c>
      <c r="H67" s="50">
        <v>0</v>
      </c>
      <c r="I67" s="50">
        <v>3</v>
      </c>
      <c r="J67" s="50">
        <v>9</v>
      </c>
      <c r="K67" s="50">
        <v>3</v>
      </c>
      <c r="L67" s="50">
        <v>8</v>
      </c>
      <c r="M67" s="50">
        <v>23</v>
      </c>
      <c r="N67" s="50">
        <v>0</v>
      </c>
      <c r="O67" s="15">
        <f t="shared" si="35"/>
        <v>93</v>
      </c>
      <c r="P67" s="15">
        <f t="shared" si="36"/>
        <v>116</v>
      </c>
      <c r="R67" s="8"/>
      <c r="T67"/>
    </row>
    <row r="68" spans="2:20" ht="23.1" customHeight="1" x14ac:dyDescent="0.25">
      <c r="B68" s="45" t="s">
        <v>105</v>
      </c>
      <c r="C68" s="50">
        <v>29</v>
      </c>
      <c r="D68" s="50">
        <v>19</v>
      </c>
      <c r="E68" s="50">
        <v>8</v>
      </c>
      <c r="F68" s="50">
        <v>24</v>
      </c>
      <c r="G68" s="50">
        <v>0</v>
      </c>
      <c r="H68" s="50">
        <v>1</v>
      </c>
      <c r="I68" s="50">
        <v>1</v>
      </c>
      <c r="J68" s="50">
        <v>5</v>
      </c>
      <c r="K68" s="50">
        <v>3</v>
      </c>
      <c r="L68" s="50">
        <v>7</v>
      </c>
      <c r="M68" s="50">
        <v>33</v>
      </c>
      <c r="N68" s="50">
        <v>0</v>
      </c>
      <c r="O68" s="15">
        <f t="shared" si="35"/>
        <v>97</v>
      </c>
      <c r="P68" s="15">
        <f t="shared" si="36"/>
        <v>130</v>
      </c>
      <c r="R68" s="8"/>
      <c r="T68"/>
    </row>
    <row r="69" spans="2:20" ht="23.1" customHeight="1" x14ac:dyDescent="0.25">
      <c r="B69" s="45" t="s">
        <v>106</v>
      </c>
      <c r="C69" s="50">
        <v>21</v>
      </c>
      <c r="D69" s="50">
        <v>12</v>
      </c>
      <c r="E69" s="50">
        <v>27</v>
      </c>
      <c r="F69" s="50">
        <v>30</v>
      </c>
      <c r="G69" s="50">
        <v>2</v>
      </c>
      <c r="H69" s="50">
        <v>0</v>
      </c>
      <c r="I69" s="50">
        <v>1</v>
      </c>
      <c r="J69" s="50">
        <v>4</v>
      </c>
      <c r="K69" s="50">
        <v>0</v>
      </c>
      <c r="L69" s="50">
        <v>1</v>
      </c>
      <c r="M69" s="50">
        <v>14</v>
      </c>
      <c r="N69" s="50">
        <v>0</v>
      </c>
      <c r="O69" s="15">
        <f t="shared" si="35"/>
        <v>98</v>
      </c>
      <c r="P69" s="15">
        <f t="shared" si="36"/>
        <v>112</v>
      </c>
      <c r="R69" s="8"/>
      <c r="T69"/>
    </row>
    <row r="70" spans="2:20" ht="23.1" customHeight="1" x14ac:dyDescent="0.25">
      <c r="B70" s="45" t="s">
        <v>110</v>
      </c>
      <c r="C70" s="50">
        <v>20</v>
      </c>
      <c r="D70" s="50">
        <v>13</v>
      </c>
      <c r="E70" s="50">
        <v>9</v>
      </c>
      <c r="F70" s="50">
        <v>31</v>
      </c>
      <c r="G70" s="50">
        <v>1</v>
      </c>
      <c r="H70" s="50">
        <v>1</v>
      </c>
      <c r="I70" s="50">
        <v>0</v>
      </c>
      <c r="J70" s="50">
        <v>8</v>
      </c>
      <c r="K70" s="50">
        <v>0</v>
      </c>
      <c r="L70" s="50">
        <v>8</v>
      </c>
      <c r="M70" s="50">
        <v>25</v>
      </c>
      <c r="N70" s="50">
        <v>0</v>
      </c>
      <c r="O70" s="15">
        <f t="shared" si="35"/>
        <v>91</v>
      </c>
      <c r="P70" s="15">
        <f t="shared" si="36"/>
        <v>116</v>
      </c>
      <c r="R70" s="8"/>
      <c r="T70"/>
    </row>
    <row r="71" spans="2:20" ht="23.1" customHeight="1" x14ac:dyDescent="0.25">
      <c r="B71" s="45" t="s">
        <v>111</v>
      </c>
      <c r="C71" s="50">
        <v>10</v>
      </c>
      <c r="D71" s="50">
        <v>7</v>
      </c>
      <c r="E71" s="50">
        <v>1</v>
      </c>
      <c r="F71" s="50">
        <v>14</v>
      </c>
      <c r="G71" s="50">
        <v>0</v>
      </c>
      <c r="H71" s="50">
        <v>0</v>
      </c>
      <c r="I71" s="50">
        <v>3</v>
      </c>
      <c r="J71" s="50">
        <v>7</v>
      </c>
      <c r="K71" s="50">
        <v>1</v>
      </c>
      <c r="L71" s="50">
        <v>5</v>
      </c>
      <c r="M71" s="50">
        <v>12</v>
      </c>
      <c r="N71" s="50">
        <v>0</v>
      </c>
      <c r="O71" s="15">
        <f t="shared" si="35"/>
        <v>48</v>
      </c>
      <c r="P71" s="15">
        <f t="shared" si="36"/>
        <v>60</v>
      </c>
      <c r="R71" s="8"/>
      <c r="T71"/>
    </row>
    <row r="72" spans="2:20" ht="23.1" customHeight="1" x14ac:dyDescent="0.25">
      <c r="B72" s="45" t="s">
        <v>112</v>
      </c>
      <c r="C72" s="50">
        <v>19</v>
      </c>
      <c r="D72" s="50">
        <v>3</v>
      </c>
      <c r="E72" s="50">
        <v>1</v>
      </c>
      <c r="F72" s="50">
        <v>15</v>
      </c>
      <c r="G72" s="50">
        <v>0</v>
      </c>
      <c r="H72" s="50">
        <v>0</v>
      </c>
      <c r="I72" s="50">
        <v>1</v>
      </c>
      <c r="J72" s="50">
        <v>6</v>
      </c>
      <c r="K72" s="50">
        <v>0</v>
      </c>
      <c r="L72" s="50">
        <v>5</v>
      </c>
      <c r="M72" s="50">
        <v>15</v>
      </c>
      <c r="N72" s="50">
        <v>0</v>
      </c>
      <c r="O72" s="15">
        <f t="shared" si="35"/>
        <v>50</v>
      </c>
      <c r="P72" s="15">
        <f t="shared" si="36"/>
        <v>65</v>
      </c>
      <c r="R72" s="8"/>
      <c r="T72"/>
    </row>
    <row r="73" spans="2:20" ht="23.1" customHeight="1" x14ac:dyDescent="0.25">
      <c r="B73" s="45" t="s">
        <v>113</v>
      </c>
      <c r="C73" s="50">
        <v>10</v>
      </c>
      <c r="D73" s="50">
        <v>3</v>
      </c>
      <c r="E73" s="50">
        <v>1</v>
      </c>
      <c r="F73" s="50">
        <v>9</v>
      </c>
      <c r="G73" s="50">
        <v>0</v>
      </c>
      <c r="H73" s="50">
        <v>1</v>
      </c>
      <c r="I73" s="50">
        <v>0</v>
      </c>
      <c r="J73" s="50">
        <v>5</v>
      </c>
      <c r="K73" s="50">
        <v>0</v>
      </c>
      <c r="L73" s="50">
        <v>0</v>
      </c>
      <c r="M73" s="50">
        <v>4</v>
      </c>
      <c r="N73" s="50">
        <v>0</v>
      </c>
      <c r="O73" s="15">
        <f t="shared" si="35"/>
        <v>29</v>
      </c>
      <c r="P73" s="15">
        <f t="shared" si="36"/>
        <v>33</v>
      </c>
      <c r="R73" s="8"/>
      <c r="T73"/>
    </row>
    <row r="74" spans="2:20" ht="23.1" customHeight="1" x14ac:dyDescent="0.25">
      <c r="B74" s="45" t="s">
        <v>114</v>
      </c>
      <c r="C74" s="50">
        <v>8</v>
      </c>
      <c r="D74" s="50">
        <v>4</v>
      </c>
      <c r="E74" s="50">
        <v>1</v>
      </c>
      <c r="F74" s="50">
        <v>7</v>
      </c>
      <c r="G74" s="50">
        <v>2</v>
      </c>
      <c r="H74" s="50">
        <v>0</v>
      </c>
      <c r="I74" s="50">
        <v>3</v>
      </c>
      <c r="J74" s="50">
        <v>2</v>
      </c>
      <c r="K74" s="50">
        <v>0</v>
      </c>
      <c r="L74" s="50">
        <v>8</v>
      </c>
      <c r="M74" s="50">
        <v>11</v>
      </c>
      <c r="N74" s="50">
        <v>0</v>
      </c>
      <c r="O74" s="15">
        <f t="shared" si="35"/>
        <v>35</v>
      </c>
      <c r="P74" s="15">
        <f t="shared" si="36"/>
        <v>46</v>
      </c>
      <c r="R74" s="8"/>
      <c r="T74"/>
    </row>
    <row r="75" spans="2:20" ht="23.1" customHeight="1" x14ac:dyDescent="0.25">
      <c r="B75" s="45" t="s">
        <v>115</v>
      </c>
      <c r="C75" s="50">
        <v>9</v>
      </c>
      <c r="D75" s="50">
        <v>3</v>
      </c>
      <c r="E75" s="50">
        <v>1</v>
      </c>
      <c r="F75" s="50">
        <v>8</v>
      </c>
      <c r="G75" s="50">
        <v>0</v>
      </c>
      <c r="H75" s="50">
        <v>0</v>
      </c>
      <c r="I75" s="50">
        <v>2</v>
      </c>
      <c r="J75" s="50">
        <v>7</v>
      </c>
      <c r="K75" s="50">
        <v>1</v>
      </c>
      <c r="L75" s="50">
        <v>4</v>
      </c>
      <c r="M75" s="50">
        <v>8</v>
      </c>
      <c r="N75" s="50">
        <v>0</v>
      </c>
      <c r="O75" s="15">
        <f t="shared" si="35"/>
        <v>35</v>
      </c>
      <c r="P75" s="15">
        <f t="shared" si="36"/>
        <v>43</v>
      </c>
      <c r="R75" s="8"/>
      <c r="T75"/>
    </row>
    <row r="76" spans="2:20" ht="23.1" customHeight="1" x14ac:dyDescent="0.25">
      <c r="B76" s="45" t="s">
        <v>116</v>
      </c>
      <c r="C76" s="50">
        <v>9</v>
      </c>
      <c r="D76" s="50">
        <v>9</v>
      </c>
      <c r="E76" s="50">
        <v>3</v>
      </c>
      <c r="F76" s="50">
        <v>8</v>
      </c>
      <c r="G76" s="50">
        <v>1</v>
      </c>
      <c r="H76" s="50">
        <v>0</v>
      </c>
      <c r="I76" s="50">
        <v>1</v>
      </c>
      <c r="J76" s="50">
        <v>6</v>
      </c>
      <c r="K76" s="50">
        <v>0</v>
      </c>
      <c r="L76" s="50">
        <v>7</v>
      </c>
      <c r="M76" s="50">
        <v>8</v>
      </c>
      <c r="N76" s="50">
        <v>0</v>
      </c>
      <c r="O76" s="15">
        <f t="shared" si="35"/>
        <v>44</v>
      </c>
      <c r="P76" s="15">
        <f t="shared" si="36"/>
        <v>52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2</v>
      </c>
      <c r="E77" s="50">
        <v>0</v>
      </c>
      <c r="F77" s="50">
        <v>1</v>
      </c>
      <c r="G77" s="50">
        <v>0</v>
      </c>
      <c r="H77" s="50">
        <v>0</v>
      </c>
      <c r="I77" s="50">
        <v>1</v>
      </c>
      <c r="J77" s="50">
        <v>2</v>
      </c>
      <c r="K77" s="50">
        <v>1</v>
      </c>
      <c r="L77" s="50">
        <v>2</v>
      </c>
      <c r="M77" s="50">
        <v>1</v>
      </c>
      <c r="N77" s="50">
        <v>0</v>
      </c>
      <c r="O77" s="15">
        <f t="shared" si="35"/>
        <v>10</v>
      </c>
      <c r="P77" s="15">
        <f t="shared" si="36"/>
        <v>11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1</v>
      </c>
      <c r="E78" s="50">
        <v>1</v>
      </c>
      <c r="F78" s="50">
        <v>4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1</v>
      </c>
      <c r="M78" s="50">
        <v>0</v>
      </c>
      <c r="N78" s="50">
        <v>0</v>
      </c>
      <c r="O78" s="15">
        <f t="shared" si="35"/>
        <v>9</v>
      </c>
      <c r="P78" s="15">
        <f t="shared" si="36"/>
        <v>9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3</v>
      </c>
      <c r="D82" s="50">
        <v>1</v>
      </c>
      <c r="E82" s="50">
        <v>0</v>
      </c>
      <c r="F82" s="50">
        <v>4</v>
      </c>
      <c r="G82" s="50">
        <v>0</v>
      </c>
      <c r="H82" s="50">
        <v>1</v>
      </c>
      <c r="I82" s="50">
        <v>0</v>
      </c>
      <c r="J82" s="50">
        <v>5</v>
      </c>
      <c r="K82" s="50">
        <v>0</v>
      </c>
      <c r="L82" s="50">
        <v>2</v>
      </c>
      <c r="M82" s="50">
        <v>3</v>
      </c>
      <c r="N82" s="50">
        <v>0</v>
      </c>
      <c r="O82" s="15">
        <f t="shared" si="35"/>
        <v>16</v>
      </c>
      <c r="P82" s="15">
        <f t="shared" si="36"/>
        <v>19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1</v>
      </c>
      <c r="F83" s="50">
        <v>2</v>
      </c>
      <c r="G83" s="50">
        <v>0</v>
      </c>
      <c r="H83" s="50">
        <v>0</v>
      </c>
      <c r="I83" s="50">
        <v>2</v>
      </c>
      <c r="J83" s="50">
        <v>0</v>
      </c>
      <c r="K83" s="50">
        <v>0</v>
      </c>
      <c r="L83" s="50">
        <v>3</v>
      </c>
      <c r="M83" s="50">
        <v>1</v>
      </c>
      <c r="N83" s="50">
        <v>0</v>
      </c>
      <c r="O83" s="15">
        <f t="shared" si="35"/>
        <v>9</v>
      </c>
      <c r="P83" s="15">
        <f t="shared" si="36"/>
        <v>10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1</v>
      </c>
      <c r="E84" s="50">
        <v>0</v>
      </c>
      <c r="F84" s="50">
        <v>3</v>
      </c>
      <c r="G84" s="50">
        <v>0</v>
      </c>
      <c r="H84" s="50">
        <v>2</v>
      </c>
      <c r="I84" s="50">
        <v>0</v>
      </c>
      <c r="J84" s="50">
        <v>2</v>
      </c>
      <c r="K84" s="50">
        <v>0</v>
      </c>
      <c r="L84" s="50">
        <v>3</v>
      </c>
      <c r="M84" s="50">
        <v>2</v>
      </c>
      <c r="N84" s="50">
        <v>0</v>
      </c>
      <c r="O84" s="15">
        <f t="shared" si="35"/>
        <v>11</v>
      </c>
      <c r="P84" s="15">
        <f t="shared" si="36"/>
        <v>13</v>
      </c>
      <c r="R84" s="8"/>
      <c r="T84"/>
    </row>
    <row r="85" spans="2:20" ht="23.1" customHeight="1" x14ac:dyDescent="0.25">
      <c r="B85" s="45" t="s">
        <v>125</v>
      </c>
      <c r="C85" s="50">
        <v>2</v>
      </c>
      <c r="D85" s="50">
        <v>0</v>
      </c>
      <c r="E85" s="50">
        <v>0</v>
      </c>
      <c r="F85" s="50">
        <v>4</v>
      </c>
      <c r="G85" s="50">
        <v>1</v>
      </c>
      <c r="H85" s="50">
        <v>0</v>
      </c>
      <c r="I85" s="50">
        <v>3</v>
      </c>
      <c r="J85" s="50">
        <v>0</v>
      </c>
      <c r="K85" s="50">
        <v>0</v>
      </c>
      <c r="L85" s="50">
        <v>3</v>
      </c>
      <c r="M85" s="50">
        <v>0</v>
      </c>
      <c r="N85" s="50">
        <v>0</v>
      </c>
      <c r="O85" s="15">
        <f t="shared" si="35"/>
        <v>13</v>
      </c>
      <c r="P85" s="15">
        <f t="shared" si="36"/>
        <v>13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2</v>
      </c>
      <c r="E86" s="50">
        <v>0</v>
      </c>
      <c r="F86" s="50">
        <v>1</v>
      </c>
      <c r="G86" s="50">
        <v>0</v>
      </c>
      <c r="H86" s="50">
        <v>0</v>
      </c>
      <c r="I86" s="50">
        <v>0</v>
      </c>
      <c r="J86" s="50">
        <v>1</v>
      </c>
      <c r="K86" s="50">
        <v>2</v>
      </c>
      <c r="L86" s="50">
        <v>2</v>
      </c>
      <c r="M86" s="50">
        <v>1</v>
      </c>
      <c r="N86" s="50">
        <v>0</v>
      </c>
      <c r="O86" s="15">
        <f t="shared" si="35"/>
        <v>8</v>
      </c>
      <c r="P86" s="15">
        <f t="shared" si="36"/>
        <v>9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1</v>
      </c>
      <c r="E87" s="50">
        <v>0</v>
      </c>
      <c r="F87" s="50">
        <v>0</v>
      </c>
      <c r="G87" s="50">
        <v>0</v>
      </c>
      <c r="H87" s="50">
        <v>1</v>
      </c>
      <c r="I87" s="50">
        <v>0</v>
      </c>
      <c r="J87" s="50">
        <v>2</v>
      </c>
      <c r="K87" s="50">
        <v>1</v>
      </c>
      <c r="L87" s="50">
        <v>5</v>
      </c>
      <c r="M87" s="50">
        <v>1</v>
      </c>
      <c r="N87" s="50">
        <v>0</v>
      </c>
      <c r="O87" s="15">
        <f t="shared" si="35"/>
        <v>12</v>
      </c>
      <c r="P87" s="15">
        <f t="shared" si="36"/>
        <v>13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2</v>
      </c>
      <c r="G88" s="50">
        <v>0</v>
      </c>
      <c r="H88" s="50">
        <v>1</v>
      </c>
      <c r="I88" s="50">
        <v>1</v>
      </c>
      <c r="J88" s="50">
        <v>3</v>
      </c>
      <c r="K88" s="50">
        <v>2</v>
      </c>
      <c r="L88" s="50">
        <v>3</v>
      </c>
      <c r="M88" s="50">
        <v>1</v>
      </c>
      <c r="N88" s="50">
        <v>0</v>
      </c>
      <c r="O88" s="15">
        <f t="shared" si="35"/>
        <v>12</v>
      </c>
      <c r="P88" s="15">
        <f t="shared" si="36"/>
        <v>13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0</v>
      </c>
      <c r="E89" s="50">
        <v>0</v>
      </c>
      <c r="F89" s="50">
        <v>0</v>
      </c>
      <c r="G89" s="50">
        <v>0</v>
      </c>
      <c r="H89" s="50">
        <v>1</v>
      </c>
      <c r="I89" s="50">
        <v>0</v>
      </c>
      <c r="J89" s="50">
        <v>3</v>
      </c>
      <c r="K89" s="50">
        <v>1</v>
      </c>
      <c r="L89" s="50">
        <v>3</v>
      </c>
      <c r="M89" s="50">
        <v>0</v>
      </c>
      <c r="N89" s="50">
        <v>0</v>
      </c>
      <c r="O89" s="15">
        <f t="shared" si="35"/>
        <v>9</v>
      </c>
      <c r="P89" s="15">
        <f t="shared" si="36"/>
        <v>9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2</v>
      </c>
      <c r="J90" s="50">
        <v>0</v>
      </c>
      <c r="K90" s="50">
        <v>0</v>
      </c>
      <c r="L90" s="50">
        <v>1</v>
      </c>
      <c r="M90" s="50">
        <v>1</v>
      </c>
      <c r="N90" s="50">
        <v>0</v>
      </c>
      <c r="O90" s="15">
        <f t="shared" si="35"/>
        <v>5</v>
      </c>
      <c r="P90" s="15">
        <f t="shared" si="36"/>
        <v>6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0</v>
      </c>
      <c r="J91" s="50">
        <v>4</v>
      </c>
      <c r="K91" s="50">
        <v>2</v>
      </c>
      <c r="L91" s="50">
        <v>4</v>
      </c>
      <c r="M91" s="50">
        <v>0</v>
      </c>
      <c r="N91" s="50">
        <v>0</v>
      </c>
      <c r="O91" s="15">
        <f t="shared" si="35"/>
        <v>11</v>
      </c>
      <c r="P91" s="15">
        <f t="shared" si="36"/>
        <v>11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2</v>
      </c>
      <c r="M92" s="50">
        <v>3</v>
      </c>
      <c r="N92" s="50">
        <v>0</v>
      </c>
      <c r="O92" s="15">
        <f t="shared" si="35"/>
        <v>3</v>
      </c>
      <c r="P92" s="15">
        <f t="shared" si="36"/>
        <v>6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0</v>
      </c>
      <c r="E93" s="50">
        <v>0</v>
      </c>
      <c r="F93" s="50">
        <v>4</v>
      </c>
      <c r="G93" s="50">
        <v>0</v>
      </c>
      <c r="H93" s="50">
        <v>0</v>
      </c>
      <c r="I93" s="50">
        <v>0</v>
      </c>
      <c r="J93" s="50">
        <v>2</v>
      </c>
      <c r="K93" s="50">
        <v>0</v>
      </c>
      <c r="L93" s="50">
        <v>6</v>
      </c>
      <c r="M93" s="50">
        <v>2</v>
      </c>
      <c r="N93" s="50">
        <v>0</v>
      </c>
      <c r="O93" s="15">
        <f t="shared" si="35"/>
        <v>15</v>
      </c>
      <c r="P93" s="15">
        <f t="shared" si="36"/>
        <v>17</v>
      </c>
      <c r="R93" s="8"/>
      <c r="T93"/>
    </row>
    <row r="94" spans="2:20" ht="23.1" customHeight="1" x14ac:dyDescent="0.25">
      <c r="B94" s="46" t="s">
        <v>134</v>
      </c>
      <c r="C94" s="50">
        <v>3</v>
      </c>
      <c r="D94" s="50">
        <v>2</v>
      </c>
      <c r="E94" s="50">
        <v>0</v>
      </c>
      <c r="F94" s="50">
        <v>4</v>
      </c>
      <c r="G94" s="50">
        <v>1</v>
      </c>
      <c r="H94" s="50">
        <v>0</v>
      </c>
      <c r="I94" s="50">
        <v>0</v>
      </c>
      <c r="J94" s="50">
        <v>4</v>
      </c>
      <c r="K94" s="50">
        <v>2</v>
      </c>
      <c r="L94" s="50">
        <v>6</v>
      </c>
      <c r="M94" s="50">
        <v>2</v>
      </c>
      <c r="N94" s="50">
        <v>0</v>
      </c>
      <c r="O94" s="15">
        <f t="shared" si="35"/>
        <v>22</v>
      </c>
      <c r="P94" s="15">
        <f t="shared" si="36"/>
        <v>24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2</v>
      </c>
      <c r="E95" s="50">
        <v>3</v>
      </c>
      <c r="F95" s="50">
        <v>4</v>
      </c>
      <c r="G95" s="50">
        <v>3</v>
      </c>
      <c r="H95" s="50">
        <v>2</v>
      </c>
      <c r="I95" s="50">
        <v>0</v>
      </c>
      <c r="J95" s="50">
        <v>0</v>
      </c>
      <c r="K95" s="50">
        <v>0</v>
      </c>
      <c r="L95" s="50">
        <v>5</v>
      </c>
      <c r="M95" s="50">
        <v>2</v>
      </c>
      <c r="N95" s="50">
        <v>0</v>
      </c>
      <c r="O95" s="15">
        <f t="shared" si="35"/>
        <v>21</v>
      </c>
      <c r="P95" s="15">
        <f t="shared" si="36"/>
        <v>23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1</v>
      </c>
      <c r="E96" s="50">
        <v>0</v>
      </c>
      <c r="F96" s="50">
        <v>2</v>
      </c>
      <c r="G96" s="50">
        <v>0</v>
      </c>
      <c r="H96" s="50">
        <v>0</v>
      </c>
      <c r="I96" s="50">
        <v>0</v>
      </c>
      <c r="J96" s="50">
        <v>4</v>
      </c>
      <c r="K96" s="50">
        <v>0</v>
      </c>
      <c r="L96" s="50">
        <v>4</v>
      </c>
      <c r="M96" s="50">
        <v>0</v>
      </c>
      <c r="N96" s="50">
        <v>0</v>
      </c>
      <c r="O96" s="15">
        <f t="shared" si="35"/>
        <v>14</v>
      </c>
      <c r="P96" s="15">
        <f t="shared" si="36"/>
        <v>14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0</v>
      </c>
      <c r="F97" s="50">
        <v>7</v>
      </c>
      <c r="G97" s="50">
        <v>0</v>
      </c>
      <c r="H97" s="50">
        <v>2</v>
      </c>
      <c r="I97" s="50">
        <v>0</v>
      </c>
      <c r="J97" s="50">
        <v>2</v>
      </c>
      <c r="K97" s="50">
        <v>0</v>
      </c>
      <c r="L97" s="50">
        <v>3</v>
      </c>
      <c r="M97" s="50">
        <v>3</v>
      </c>
      <c r="N97" s="50">
        <v>0</v>
      </c>
      <c r="O97" s="15">
        <f t="shared" si="35"/>
        <v>16</v>
      </c>
      <c r="P97" s="15">
        <f t="shared" si="36"/>
        <v>19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1</v>
      </c>
      <c r="F98" s="50">
        <v>4</v>
      </c>
      <c r="G98" s="50">
        <v>0</v>
      </c>
      <c r="H98" s="50">
        <v>0</v>
      </c>
      <c r="I98" s="50">
        <v>1</v>
      </c>
      <c r="J98" s="50">
        <v>5</v>
      </c>
      <c r="K98" s="50">
        <v>2</v>
      </c>
      <c r="L98" s="50">
        <v>4</v>
      </c>
      <c r="M98" s="50">
        <v>4</v>
      </c>
      <c r="N98" s="50">
        <v>0</v>
      </c>
      <c r="O98" s="15">
        <f t="shared" si="35"/>
        <v>18</v>
      </c>
      <c r="P98" s="15">
        <f t="shared" si="36"/>
        <v>22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1</v>
      </c>
      <c r="F99" s="50">
        <v>6</v>
      </c>
      <c r="G99" s="50">
        <v>0</v>
      </c>
      <c r="H99" s="50">
        <v>1</v>
      </c>
      <c r="I99" s="50">
        <v>0</v>
      </c>
      <c r="J99" s="50">
        <v>1</v>
      </c>
      <c r="K99" s="50">
        <v>1</v>
      </c>
      <c r="L99" s="50">
        <v>12</v>
      </c>
      <c r="M99" s="50">
        <v>2</v>
      </c>
      <c r="N99" s="50">
        <v>0</v>
      </c>
      <c r="O99" s="15">
        <f t="shared" si="35"/>
        <v>24</v>
      </c>
      <c r="P99" s="15">
        <f t="shared" si="36"/>
        <v>26</v>
      </c>
      <c r="R99" s="8"/>
      <c r="T99"/>
    </row>
    <row r="100" spans="2:20" ht="23.1" customHeight="1" x14ac:dyDescent="0.25">
      <c r="B100" s="47" t="s">
        <v>140</v>
      </c>
      <c r="C100" s="50">
        <v>2</v>
      </c>
      <c r="D100" s="50">
        <v>0</v>
      </c>
      <c r="E100" s="50">
        <v>0</v>
      </c>
      <c r="F100" s="50">
        <v>13</v>
      </c>
      <c r="G100" s="50">
        <v>0</v>
      </c>
      <c r="H100" s="50">
        <v>0</v>
      </c>
      <c r="I100" s="50">
        <v>2</v>
      </c>
      <c r="J100" s="50">
        <v>6</v>
      </c>
      <c r="K100" s="50">
        <v>3</v>
      </c>
      <c r="L100" s="50">
        <v>12</v>
      </c>
      <c r="M100" s="50">
        <v>1</v>
      </c>
      <c r="N100" s="50">
        <v>0</v>
      </c>
      <c r="O100" s="15">
        <f t="shared" si="35"/>
        <v>38</v>
      </c>
      <c r="P100" s="15">
        <f t="shared" si="36"/>
        <v>39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1</v>
      </c>
      <c r="F101" s="50">
        <v>17</v>
      </c>
      <c r="G101" s="50">
        <v>0</v>
      </c>
      <c r="H101" s="50">
        <v>0</v>
      </c>
      <c r="I101" s="50">
        <v>2</v>
      </c>
      <c r="J101" s="50">
        <v>1</v>
      </c>
      <c r="K101" s="50">
        <v>1</v>
      </c>
      <c r="L101" s="50">
        <v>7</v>
      </c>
      <c r="M101" s="50">
        <v>5</v>
      </c>
      <c r="N101" s="50">
        <v>0</v>
      </c>
      <c r="O101" s="15">
        <f t="shared" si="35"/>
        <v>30</v>
      </c>
      <c r="P101" s="15">
        <f t="shared" si="36"/>
        <v>35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1</v>
      </c>
      <c r="E102" s="50">
        <v>0</v>
      </c>
      <c r="F102" s="50">
        <v>18</v>
      </c>
      <c r="G102" s="50">
        <v>0</v>
      </c>
      <c r="H102" s="50">
        <v>1</v>
      </c>
      <c r="I102" s="50">
        <v>0</v>
      </c>
      <c r="J102" s="50">
        <v>6</v>
      </c>
      <c r="K102" s="50">
        <v>2</v>
      </c>
      <c r="L102" s="50">
        <v>6</v>
      </c>
      <c r="M102" s="50">
        <v>21</v>
      </c>
      <c r="N102" s="50">
        <v>0</v>
      </c>
      <c r="O102" s="15">
        <f t="shared" si="35"/>
        <v>35</v>
      </c>
      <c r="P102" s="15">
        <f t="shared" si="36"/>
        <v>56</v>
      </c>
      <c r="R102" s="8"/>
      <c r="T102"/>
    </row>
    <row r="103" spans="2:20" ht="23.1" customHeight="1" x14ac:dyDescent="0.25">
      <c r="B103" s="45" t="s">
        <v>143</v>
      </c>
      <c r="C103" s="50">
        <v>6</v>
      </c>
      <c r="D103" s="50">
        <v>2</v>
      </c>
      <c r="E103" s="50">
        <v>0</v>
      </c>
      <c r="F103" s="50">
        <v>29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86</v>
      </c>
      <c r="M103" s="50">
        <v>0</v>
      </c>
      <c r="N103" s="50">
        <v>0</v>
      </c>
      <c r="O103" s="15">
        <f t="shared" si="35"/>
        <v>123</v>
      </c>
      <c r="P103" s="15">
        <f t="shared" si="36"/>
        <v>123</v>
      </c>
      <c r="R103" s="8"/>
      <c r="T103"/>
    </row>
    <row r="104" spans="2:20" ht="23.1" customHeight="1" x14ac:dyDescent="0.25">
      <c r="B104" s="47" t="s">
        <v>144</v>
      </c>
      <c r="C104" s="50">
        <v>5</v>
      </c>
      <c r="D104" s="50">
        <v>3</v>
      </c>
      <c r="E104" s="50">
        <v>2</v>
      </c>
      <c r="F104" s="50">
        <v>20</v>
      </c>
      <c r="G104" s="50">
        <v>0</v>
      </c>
      <c r="H104" s="50">
        <v>0</v>
      </c>
      <c r="I104" s="50">
        <v>0</v>
      </c>
      <c r="J104" s="50">
        <v>4</v>
      </c>
      <c r="K104" s="50">
        <v>0</v>
      </c>
      <c r="L104" s="50">
        <v>10</v>
      </c>
      <c r="M104" s="50">
        <v>17</v>
      </c>
      <c r="N104" s="50">
        <v>0</v>
      </c>
      <c r="O104" s="15">
        <f t="shared" si="35"/>
        <v>44</v>
      </c>
      <c r="P104" s="15">
        <f t="shared" si="36"/>
        <v>61</v>
      </c>
      <c r="R104" s="8"/>
      <c r="T104"/>
    </row>
    <row r="105" spans="2:20" ht="23.1" customHeight="1" x14ac:dyDescent="0.25">
      <c r="B105" s="45" t="s">
        <v>145</v>
      </c>
      <c r="C105" s="50">
        <v>9</v>
      </c>
      <c r="D105" s="50">
        <v>0</v>
      </c>
      <c r="E105" s="50">
        <v>3</v>
      </c>
      <c r="F105" s="50">
        <v>18</v>
      </c>
      <c r="G105" s="50">
        <v>0</v>
      </c>
      <c r="H105" s="50">
        <v>1</v>
      </c>
      <c r="I105" s="50">
        <v>1</v>
      </c>
      <c r="J105" s="50">
        <v>1</v>
      </c>
      <c r="K105" s="50">
        <v>3</v>
      </c>
      <c r="L105" s="50">
        <v>18</v>
      </c>
      <c r="M105" s="50">
        <v>5</v>
      </c>
      <c r="N105" s="50">
        <v>0</v>
      </c>
      <c r="O105" s="15">
        <f t="shared" si="35"/>
        <v>54</v>
      </c>
      <c r="P105" s="15">
        <f t="shared" si="36"/>
        <v>59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1351</v>
      </c>
      <c r="D106" s="16">
        <f t="shared" ref="D106:P106" si="37">SUM(D10:D105)</f>
        <v>503</v>
      </c>
      <c r="E106" s="16">
        <f t="shared" si="37"/>
        <v>308</v>
      </c>
      <c r="F106" s="16">
        <f t="shared" si="37"/>
        <v>2100</v>
      </c>
      <c r="G106" s="16">
        <f t="shared" si="37"/>
        <v>75</v>
      </c>
      <c r="H106" s="16">
        <f t="shared" si="37"/>
        <v>62</v>
      </c>
      <c r="I106" s="16">
        <f t="shared" si="37"/>
        <v>247</v>
      </c>
      <c r="J106" s="16">
        <f t="shared" si="37"/>
        <v>386</v>
      </c>
      <c r="K106" s="16">
        <f t="shared" si="37"/>
        <v>99</v>
      </c>
      <c r="L106" s="16">
        <f t="shared" si="37"/>
        <v>828</v>
      </c>
      <c r="M106" s="16">
        <f t="shared" si="37"/>
        <v>1521</v>
      </c>
      <c r="N106" s="16">
        <f t="shared" si="37"/>
        <v>1</v>
      </c>
      <c r="O106" s="16">
        <f t="shared" si="37"/>
        <v>5960</v>
      </c>
      <c r="P106" s="16">
        <f t="shared" si="37"/>
        <v>7481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0.18059083010292742</v>
      </c>
      <c r="D107" s="43">
        <f t="shared" si="38"/>
        <v>6.7237000401015906E-2</v>
      </c>
      <c r="E107" s="43">
        <f t="shared" si="38"/>
        <v>4.1170966448335782E-2</v>
      </c>
      <c r="F107" s="43">
        <f t="shared" si="38"/>
        <v>0.2807111348750167</v>
      </c>
      <c r="G107" s="43">
        <f t="shared" si="38"/>
        <v>1.002539767410774E-2</v>
      </c>
      <c r="H107" s="43">
        <f t="shared" si="38"/>
        <v>8.2876620772623973E-3</v>
      </c>
      <c r="I107" s="43">
        <f t="shared" si="38"/>
        <v>3.3016976340061489E-2</v>
      </c>
      <c r="J107" s="43">
        <f t="shared" si="38"/>
        <v>5.1597380029407836E-2</v>
      </c>
      <c r="K107" s="43">
        <f t="shared" si="38"/>
        <v>1.3233524929822216E-2</v>
      </c>
      <c r="L107" s="43">
        <f t="shared" si="38"/>
        <v>0.11068039032214945</v>
      </c>
      <c r="M107" s="43">
        <f t="shared" si="38"/>
        <v>0.20331506483090495</v>
      </c>
      <c r="N107" s="43">
        <f t="shared" si="38"/>
        <v>1.3367196898810319E-4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0.22667785234899329</v>
      </c>
      <c r="D108" s="44">
        <f t="shared" ref="D108:N108" si="39">D106/$O$106</f>
        <v>8.4395973154362411E-2</v>
      </c>
      <c r="E108" s="44">
        <f t="shared" si="39"/>
        <v>5.1677852348993289E-2</v>
      </c>
      <c r="F108" s="44">
        <f t="shared" si="39"/>
        <v>0.3523489932885906</v>
      </c>
      <c r="G108" s="44">
        <f t="shared" si="39"/>
        <v>1.2583892617449664E-2</v>
      </c>
      <c r="H108" s="44">
        <f t="shared" si="39"/>
        <v>1.040268456375839E-2</v>
      </c>
      <c r="I108" s="44">
        <f t="shared" si="39"/>
        <v>4.1442953020134225E-2</v>
      </c>
      <c r="J108" s="44">
        <f t="shared" si="39"/>
        <v>6.476510067114094E-2</v>
      </c>
      <c r="K108" s="44">
        <f t="shared" si="39"/>
        <v>1.6610738255033557E-2</v>
      </c>
      <c r="L108" s="44">
        <f t="shared" si="39"/>
        <v>0.13892617449664429</v>
      </c>
      <c r="M108" s="44"/>
      <c r="N108" s="44">
        <f t="shared" si="39"/>
        <v>1.6778523489932885E-4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249977111117893"/>
  </sheetPr>
  <dimension ref="B1:AF174"/>
  <sheetViews>
    <sheetView view="pageBreakPreview" topLeftCell="A54" zoomScale="60" workbookViewId="0">
      <selection activeCell="J104" sqref="J10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jinja-kampala'!C3:G3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3" t="str">
        <f>'21.10 jinja-Kampala-24h'!G5:H5</f>
        <v>Nakibbizi</v>
      </c>
      <c r="H5" s="64"/>
      <c r="I5" s="14"/>
      <c r="J5" s="2" t="s">
        <v>5</v>
      </c>
      <c r="K5" s="63" t="s">
        <v>174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166</v>
      </c>
      <c r="E6" s="64"/>
      <c r="F6" s="2" t="s">
        <v>2</v>
      </c>
      <c r="G6" s="63" t="s">
        <v>165</v>
      </c>
      <c r="H6" s="64"/>
      <c r="J6" s="2" t="s">
        <v>21</v>
      </c>
      <c r="K6" s="63" t="str">
        <f>'21.10 jinja-Kampala-24h'!K6:L6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10</v>
      </c>
      <c r="D10" s="50">
        <v>6</v>
      </c>
      <c r="E10" s="50">
        <v>3</v>
      </c>
      <c r="F10" s="50">
        <v>23</v>
      </c>
      <c r="G10" s="50">
        <v>1</v>
      </c>
      <c r="H10" s="50">
        <v>0</v>
      </c>
      <c r="I10" s="50">
        <v>0</v>
      </c>
      <c r="J10" s="50">
        <v>2</v>
      </c>
      <c r="K10" s="50">
        <v>1</v>
      </c>
      <c r="L10" s="50">
        <v>6</v>
      </c>
      <c r="M10" s="50">
        <v>17</v>
      </c>
      <c r="N10" s="50">
        <v>0</v>
      </c>
      <c r="O10" s="15">
        <f t="shared" ref="O10:O73" si="0">SUM(C10:L10,N10)</f>
        <v>52</v>
      </c>
      <c r="P10" s="15">
        <f t="shared" ref="P10:P73" si="1">SUM(C10:N10)</f>
        <v>69</v>
      </c>
      <c r="R10" s="1" t="s">
        <v>6</v>
      </c>
      <c r="S10" s="17">
        <f t="shared" ref="S10:AF10" si="2">SUM(C10:C13)</f>
        <v>52</v>
      </c>
      <c r="T10" s="17">
        <f t="shared" si="2"/>
        <v>40</v>
      </c>
      <c r="U10" s="17">
        <f t="shared" si="2"/>
        <v>16</v>
      </c>
      <c r="V10" s="17">
        <f t="shared" si="2"/>
        <v>147</v>
      </c>
      <c r="W10" s="17">
        <f t="shared" si="2"/>
        <v>3</v>
      </c>
      <c r="X10" s="17">
        <f t="shared" si="2"/>
        <v>1</v>
      </c>
      <c r="Y10" s="17">
        <f t="shared" si="2"/>
        <v>8</v>
      </c>
      <c r="Z10" s="17">
        <f t="shared" si="2"/>
        <v>27</v>
      </c>
      <c r="AA10" s="17">
        <f t="shared" si="2"/>
        <v>7</v>
      </c>
      <c r="AB10" s="17">
        <f t="shared" si="2"/>
        <v>42</v>
      </c>
      <c r="AC10" s="17">
        <f t="shared" si="2"/>
        <v>76</v>
      </c>
      <c r="AD10" s="17">
        <f t="shared" si="2"/>
        <v>0</v>
      </c>
      <c r="AE10" s="31">
        <f t="shared" si="2"/>
        <v>343</v>
      </c>
      <c r="AF10" s="31">
        <f t="shared" si="2"/>
        <v>419</v>
      </c>
    </row>
    <row r="11" spans="2:32" s="6" customFormat="1" ht="23.1" customHeight="1" x14ac:dyDescent="0.25">
      <c r="B11" s="45" t="s">
        <v>38</v>
      </c>
      <c r="C11" s="50">
        <v>11</v>
      </c>
      <c r="D11" s="50">
        <v>6</v>
      </c>
      <c r="E11" s="50">
        <v>2</v>
      </c>
      <c r="F11" s="50">
        <v>32</v>
      </c>
      <c r="G11" s="50">
        <v>0</v>
      </c>
      <c r="H11" s="50">
        <v>0</v>
      </c>
      <c r="I11" s="50">
        <v>4</v>
      </c>
      <c r="J11" s="50">
        <v>7</v>
      </c>
      <c r="K11" s="50">
        <v>2</v>
      </c>
      <c r="L11" s="50">
        <v>15</v>
      </c>
      <c r="M11" s="50">
        <v>24</v>
      </c>
      <c r="N11" s="50">
        <v>0</v>
      </c>
      <c r="O11" s="15">
        <f t="shared" si="0"/>
        <v>79</v>
      </c>
      <c r="P11" s="15">
        <f t="shared" si="1"/>
        <v>103</v>
      </c>
      <c r="R11" s="1" t="s">
        <v>7</v>
      </c>
      <c r="S11" s="17">
        <f t="shared" ref="S11:AF11" si="3">SUM(C14:C17)</f>
        <v>85</v>
      </c>
      <c r="T11" s="17">
        <f t="shared" si="3"/>
        <v>53</v>
      </c>
      <c r="U11" s="17">
        <f t="shared" si="3"/>
        <v>22</v>
      </c>
      <c r="V11" s="17">
        <f t="shared" si="3"/>
        <v>159</v>
      </c>
      <c r="W11" s="17">
        <f t="shared" si="3"/>
        <v>4</v>
      </c>
      <c r="X11" s="17">
        <f t="shared" si="3"/>
        <v>2</v>
      </c>
      <c r="Y11" s="17">
        <f t="shared" si="3"/>
        <v>12</v>
      </c>
      <c r="Z11" s="17">
        <f t="shared" si="3"/>
        <v>18</v>
      </c>
      <c r="AA11" s="17">
        <f t="shared" si="3"/>
        <v>6</v>
      </c>
      <c r="AB11" s="17">
        <f t="shared" si="3"/>
        <v>17</v>
      </c>
      <c r="AC11" s="17">
        <f t="shared" si="3"/>
        <v>73</v>
      </c>
      <c r="AD11" s="17">
        <f t="shared" si="3"/>
        <v>0</v>
      </c>
      <c r="AE11" s="31">
        <f t="shared" si="3"/>
        <v>378</v>
      </c>
      <c r="AF11" s="31">
        <f t="shared" si="3"/>
        <v>451</v>
      </c>
    </row>
    <row r="12" spans="2:32" ht="23.1" customHeight="1" x14ac:dyDescent="0.25">
      <c r="B12" s="45" t="s">
        <v>39</v>
      </c>
      <c r="C12" s="50">
        <v>12</v>
      </c>
      <c r="D12" s="50">
        <v>15</v>
      </c>
      <c r="E12" s="50">
        <v>5</v>
      </c>
      <c r="F12" s="50">
        <v>55</v>
      </c>
      <c r="G12" s="50">
        <v>2</v>
      </c>
      <c r="H12" s="50">
        <v>1</v>
      </c>
      <c r="I12" s="50">
        <v>0</v>
      </c>
      <c r="J12" s="50">
        <v>11</v>
      </c>
      <c r="K12" s="50">
        <v>2</v>
      </c>
      <c r="L12" s="50">
        <v>11</v>
      </c>
      <c r="M12" s="50">
        <v>17</v>
      </c>
      <c r="N12" s="50">
        <v>0</v>
      </c>
      <c r="O12" s="15">
        <f t="shared" si="0"/>
        <v>114</v>
      </c>
      <c r="P12" s="15">
        <f t="shared" si="1"/>
        <v>131</v>
      </c>
      <c r="R12" s="1" t="s">
        <v>8</v>
      </c>
      <c r="S12" s="17">
        <f t="shared" ref="S12:AF12" si="4">SUM(C18:C21)</f>
        <v>67</v>
      </c>
      <c r="T12" s="17">
        <f t="shared" si="4"/>
        <v>39</v>
      </c>
      <c r="U12" s="17">
        <f t="shared" si="4"/>
        <v>21</v>
      </c>
      <c r="V12" s="17">
        <f t="shared" si="4"/>
        <v>155</v>
      </c>
      <c r="W12" s="17">
        <f t="shared" si="4"/>
        <v>6</v>
      </c>
      <c r="X12" s="17">
        <f t="shared" si="4"/>
        <v>1</v>
      </c>
      <c r="Y12" s="17">
        <f t="shared" si="4"/>
        <v>5</v>
      </c>
      <c r="Z12" s="17">
        <f t="shared" si="4"/>
        <v>15</v>
      </c>
      <c r="AA12" s="17">
        <f t="shared" si="4"/>
        <v>3</v>
      </c>
      <c r="AB12" s="17">
        <f t="shared" si="4"/>
        <v>15</v>
      </c>
      <c r="AC12" s="17">
        <f t="shared" si="4"/>
        <v>71</v>
      </c>
      <c r="AD12" s="17">
        <f t="shared" si="4"/>
        <v>0</v>
      </c>
      <c r="AE12" s="31">
        <f t="shared" si="4"/>
        <v>327</v>
      </c>
      <c r="AF12" s="31">
        <f t="shared" si="4"/>
        <v>398</v>
      </c>
    </row>
    <row r="13" spans="2:32" ht="23.1" customHeight="1" x14ac:dyDescent="0.25">
      <c r="B13" s="45" t="s">
        <v>40</v>
      </c>
      <c r="C13" s="50">
        <v>19</v>
      </c>
      <c r="D13" s="50">
        <v>13</v>
      </c>
      <c r="E13" s="50">
        <v>6</v>
      </c>
      <c r="F13" s="50">
        <v>37</v>
      </c>
      <c r="G13" s="50">
        <v>0</v>
      </c>
      <c r="H13" s="50">
        <v>0</v>
      </c>
      <c r="I13" s="50">
        <v>4</v>
      </c>
      <c r="J13" s="50">
        <v>7</v>
      </c>
      <c r="K13" s="50">
        <v>2</v>
      </c>
      <c r="L13" s="50">
        <v>10</v>
      </c>
      <c r="M13" s="50">
        <v>18</v>
      </c>
      <c r="N13" s="50">
        <v>0</v>
      </c>
      <c r="O13" s="15">
        <f t="shared" si="0"/>
        <v>98</v>
      </c>
      <c r="P13" s="15">
        <f t="shared" si="1"/>
        <v>116</v>
      </c>
      <c r="R13" s="1" t="s">
        <v>9</v>
      </c>
      <c r="S13" s="17">
        <f t="shared" ref="S13:AF13" si="5">SUM(C22:C25)</f>
        <v>69</v>
      </c>
      <c r="T13" s="17">
        <f t="shared" si="5"/>
        <v>38</v>
      </c>
      <c r="U13" s="17">
        <f t="shared" si="5"/>
        <v>17</v>
      </c>
      <c r="V13" s="17">
        <f t="shared" si="5"/>
        <v>131</v>
      </c>
      <c r="W13" s="17">
        <f t="shared" si="5"/>
        <v>3</v>
      </c>
      <c r="X13" s="17">
        <f t="shared" si="5"/>
        <v>2</v>
      </c>
      <c r="Y13" s="17">
        <f t="shared" si="5"/>
        <v>10</v>
      </c>
      <c r="Z13" s="17">
        <f t="shared" si="5"/>
        <v>10</v>
      </c>
      <c r="AA13" s="17">
        <f t="shared" si="5"/>
        <v>5</v>
      </c>
      <c r="AB13" s="17">
        <f t="shared" si="5"/>
        <v>13</v>
      </c>
      <c r="AC13" s="17">
        <f t="shared" si="5"/>
        <v>84</v>
      </c>
      <c r="AD13" s="17">
        <f t="shared" si="5"/>
        <v>0</v>
      </c>
      <c r="AE13" s="31">
        <f t="shared" si="5"/>
        <v>298</v>
      </c>
      <c r="AF13" s="31">
        <f t="shared" si="5"/>
        <v>382</v>
      </c>
    </row>
    <row r="14" spans="2:32" ht="23.1" customHeight="1" x14ac:dyDescent="0.25">
      <c r="B14" s="45" t="s">
        <v>41</v>
      </c>
      <c r="C14" s="50">
        <v>18</v>
      </c>
      <c r="D14" s="50">
        <v>13</v>
      </c>
      <c r="E14" s="50">
        <v>3</v>
      </c>
      <c r="F14" s="50">
        <v>35</v>
      </c>
      <c r="G14" s="50">
        <v>0</v>
      </c>
      <c r="H14" s="50">
        <v>1</v>
      </c>
      <c r="I14" s="50">
        <v>4</v>
      </c>
      <c r="J14" s="50">
        <v>3</v>
      </c>
      <c r="K14" s="50">
        <v>2</v>
      </c>
      <c r="L14" s="50">
        <v>7</v>
      </c>
      <c r="M14" s="50">
        <v>13</v>
      </c>
      <c r="N14" s="50">
        <v>0</v>
      </c>
      <c r="O14" s="15">
        <f t="shared" si="0"/>
        <v>86</v>
      </c>
      <c r="P14" s="15">
        <f t="shared" si="1"/>
        <v>99</v>
      </c>
      <c r="R14" s="1" t="s">
        <v>10</v>
      </c>
      <c r="S14" s="17">
        <f t="shared" ref="S14:AF14" si="6">SUM(C26:C29)</f>
        <v>99</v>
      </c>
      <c r="T14" s="17">
        <f t="shared" si="6"/>
        <v>43</v>
      </c>
      <c r="U14" s="17">
        <f t="shared" si="6"/>
        <v>17</v>
      </c>
      <c r="V14" s="17">
        <f t="shared" si="6"/>
        <v>117</v>
      </c>
      <c r="W14" s="17">
        <f t="shared" si="6"/>
        <v>5</v>
      </c>
      <c r="X14" s="17">
        <f t="shared" si="6"/>
        <v>4</v>
      </c>
      <c r="Y14" s="17">
        <f t="shared" si="6"/>
        <v>12</v>
      </c>
      <c r="Z14" s="17">
        <f t="shared" si="6"/>
        <v>14</v>
      </c>
      <c r="AA14" s="17">
        <f t="shared" si="6"/>
        <v>2</v>
      </c>
      <c r="AB14" s="17">
        <f t="shared" si="6"/>
        <v>18</v>
      </c>
      <c r="AC14" s="17">
        <f t="shared" si="6"/>
        <v>85</v>
      </c>
      <c r="AD14" s="17">
        <f t="shared" si="6"/>
        <v>0</v>
      </c>
      <c r="AE14" s="31">
        <f t="shared" si="6"/>
        <v>331</v>
      </c>
      <c r="AF14" s="31">
        <f t="shared" si="6"/>
        <v>416</v>
      </c>
    </row>
    <row r="15" spans="2:32" ht="23.1" customHeight="1" x14ac:dyDescent="0.25">
      <c r="B15" s="45" t="s">
        <v>42</v>
      </c>
      <c r="C15" s="50">
        <v>33</v>
      </c>
      <c r="D15" s="50">
        <v>17</v>
      </c>
      <c r="E15" s="50">
        <v>6</v>
      </c>
      <c r="F15" s="50">
        <v>40</v>
      </c>
      <c r="G15" s="50">
        <v>2</v>
      </c>
      <c r="H15" s="50">
        <v>1</v>
      </c>
      <c r="I15" s="50">
        <v>4</v>
      </c>
      <c r="J15" s="50">
        <v>5</v>
      </c>
      <c r="K15" s="50">
        <v>3</v>
      </c>
      <c r="L15" s="50">
        <v>3</v>
      </c>
      <c r="M15" s="50">
        <v>13</v>
      </c>
      <c r="N15" s="50">
        <v>0</v>
      </c>
      <c r="O15" s="15">
        <f t="shared" si="0"/>
        <v>114</v>
      </c>
      <c r="P15" s="15">
        <f t="shared" si="1"/>
        <v>127</v>
      </c>
      <c r="R15" s="1" t="s">
        <v>11</v>
      </c>
      <c r="S15" s="17">
        <f t="shared" ref="S15:AF15" si="7">SUM(C30:C33)</f>
        <v>101</v>
      </c>
      <c r="T15" s="17">
        <f t="shared" si="7"/>
        <v>33</v>
      </c>
      <c r="U15" s="17">
        <f t="shared" si="7"/>
        <v>18</v>
      </c>
      <c r="V15" s="17">
        <f t="shared" si="7"/>
        <v>111</v>
      </c>
      <c r="W15" s="17">
        <f t="shared" si="7"/>
        <v>63</v>
      </c>
      <c r="X15" s="17">
        <f t="shared" si="7"/>
        <v>3</v>
      </c>
      <c r="Y15" s="17">
        <f t="shared" si="7"/>
        <v>16</v>
      </c>
      <c r="Z15" s="17">
        <f t="shared" si="7"/>
        <v>10</v>
      </c>
      <c r="AA15" s="17">
        <f t="shared" si="7"/>
        <v>7</v>
      </c>
      <c r="AB15" s="17">
        <f t="shared" si="7"/>
        <v>31</v>
      </c>
      <c r="AC15" s="17">
        <f t="shared" si="7"/>
        <v>77</v>
      </c>
      <c r="AD15" s="17">
        <f t="shared" si="7"/>
        <v>1</v>
      </c>
      <c r="AE15" s="31">
        <f t="shared" si="7"/>
        <v>394</v>
      </c>
      <c r="AF15" s="31">
        <f t="shared" si="7"/>
        <v>471</v>
      </c>
    </row>
    <row r="16" spans="2:32" ht="23.1" customHeight="1" x14ac:dyDescent="0.25">
      <c r="B16" s="45" t="s">
        <v>43</v>
      </c>
      <c r="C16" s="50">
        <v>20</v>
      </c>
      <c r="D16" s="50">
        <v>14</v>
      </c>
      <c r="E16" s="50">
        <v>8</v>
      </c>
      <c r="F16" s="50">
        <v>47</v>
      </c>
      <c r="G16" s="50">
        <v>2</v>
      </c>
      <c r="H16" s="50">
        <v>0</v>
      </c>
      <c r="I16" s="50">
        <v>2</v>
      </c>
      <c r="J16" s="50">
        <v>8</v>
      </c>
      <c r="K16" s="50">
        <v>0</v>
      </c>
      <c r="L16" s="50">
        <v>4</v>
      </c>
      <c r="M16" s="50">
        <v>25</v>
      </c>
      <c r="N16" s="50">
        <v>0</v>
      </c>
      <c r="O16" s="15">
        <f t="shared" si="0"/>
        <v>105</v>
      </c>
      <c r="P16" s="15">
        <f t="shared" si="1"/>
        <v>130</v>
      </c>
      <c r="R16" s="1" t="s">
        <v>12</v>
      </c>
      <c r="S16" s="17">
        <f t="shared" ref="S16:AF16" si="8">SUM(C34:C37)</f>
        <v>93</v>
      </c>
      <c r="T16" s="17">
        <f t="shared" si="8"/>
        <v>51</v>
      </c>
      <c r="U16" s="17">
        <f t="shared" si="8"/>
        <v>14</v>
      </c>
      <c r="V16" s="17">
        <f t="shared" si="8"/>
        <v>181</v>
      </c>
      <c r="W16" s="17">
        <f t="shared" si="8"/>
        <v>4</v>
      </c>
      <c r="X16" s="17">
        <f t="shared" si="8"/>
        <v>5</v>
      </c>
      <c r="Y16" s="17">
        <f t="shared" si="8"/>
        <v>20</v>
      </c>
      <c r="Z16" s="17">
        <f t="shared" si="8"/>
        <v>13</v>
      </c>
      <c r="AA16" s="17">
        <f t="shared" si="8"/>
        <v>5</v>
      </c>
      <c r="AB16" s="17">
        <f t="shared" si="8"/>
        <v>53</v>
      </c>
      <c r="AC16" s="17">
        <f t="shared" si="8"/>
        <v>70</v>
      </c>
      <c r="AD16" s="17">
        <f t="shared" si="8"/>
        <v>0</v>
      </c>
      <c r="AE16" s="31">
        <f t="shared" si="8"/>
        <v>439</v>
      </c>
      <c r="AF16" s="31">
        <f t="shared" si="8"/>
        <v>509</v>
      </c>
    </row>
    <row r="17" spans="2:32" ht="23.1" customHeight="1" x14ac:dyDescent="0.25">
      <c r="B17" s="45" t="s">
        <v>44</v>
      </c>
      <c r="C17" s="50">
        <v>14</v>
      </c>
      <c r="D17" s="50">
        <v>9</v>
      </c>
      <c r="E17" s="50">
        <v>5</v>
      </c>
      <c r="F17" s="50">
        <v>37</v>
      </c>
      <c r="G17" s="50">
        <v>0</v>
      </c>
      <c r="H17" s="50">
        <v>0</v>
      </c>
      <c r="I17" s="50">
        <v>2</v>
      </c>
      <c r="J17" s="50">
        <v>2</v>
      </c>
      <c r="K17" s="50">
        <v>1</v>
      </c>
      <c r="L17" s="50">
        <v>3</v>
      </c>
      <c r="M17" s="50">
        <v>22</v>
      </c>
      <c r="N17" s="50">
        <v>0</v>
      </c>
      <c r="O17" s="15">
        <f t="shared" si="0"/>
        <v>73</v>
      </c>
      <c r="P17" s="15">
        <f t="shared" si="1"/>
        <v>95</v>
      </c>
      <c r="R17" s="1" t="s">
        <v>13</v>
      </c>
      <c r="S17" s="17">
        <f t="shared" ref="S17:AF17" si="9">SUM(C38:C41)</f>
        <v>64</v>
      </c>
      <c r="T17" s="17">
        <f t="shared" si="9"/>
        <v>23</v>
      </c>
      <c r="U17" s="17">
        <f t="shared" si="9"/>
        <v>17</v>
      </c>
      <c r="V17" s="17">
        <f t="shared" si="9"/>
        <v>109</v>
      </c>
      <c r="W17" s="17">
        <f t="shared" si="9"/>
        <v>10</v>
      </c>
      <c r="X17" s="17">
        <f t="shared" si="9"/>
        <v>1</v>
      </c>
      <c r="Y17" s="17">
        <f t="shared" si="9"/>
        <v>13</v>
      </c>
      <c r="Z17" s="17">
        <f t="shared" si="9"/>
        <v>14</v>
      </c>
      <c r="AA17" s="17">
        <f t="shared" si="9"/>
        <v>15</v>
      </c>
      <c r="AB17" s="17">
        <f t="shared" si="9"/>
        <v>26</v>
      </c>
      <c r="AC17" s="17">
        <f t="shared" si="9"/>
        <v>30</v>
      </c>
      <c r="AD17" s="17">
        <f t="shared" si="9"/>
        <v>0</v>
      </c>
      <c r="AE17" s="31">
        <f t="shared" si="9"/>
        <v>292</v>
      </c>
      <c r="AF17" s="31">
        <f t="shared" si="9"/>
        <v>322</v>
      </c>
    </row>
    <row r="18" spans="2:32" ht="23.1" customHeight="1" x14ac:dyDescent="0.25">
      <c r="B18" s="45" t="s">
        <v>45</v>
      </c>
      <c r="C18" s="50">
        <v>19</v>
      </c>
      <c r="D18" s="50">
        <v>15</v>
      </c>
      <c r="E18" s="50">
        <v>7</v>
      </c>
      <c r="F18" s="50">
        <v>29</v>
      </c>
      <c r="G18" s="50">
        <v>1</v>
      </c>
      <c r="H18" s="50">
        <v>1</v>
      </c>
      <c r="I18" s="50">
        <v>1</v>
      </c>
      <c r="J18" s="50">
        <v>4</v>
      </c>
      <c r="K18" s="50">
        <v>1</v>
      </c>
      <c r="L18" s="50">
        <v>3</v>
      </c>
      <c r="M18" s="50">
        <v>20</v>
      </c>
      <c r="N18" s="50">
        <v>0</v>
      </c>
      <c r="O18" s="15">
        <f t="shared" si="0"/>
        <v>81</v>
      </c>
      <c r="P18" s="15">
        <f t="shared" si="1"/>
        <v>101</v>
      </c>
      <c r="R18" s="1" t="s">
        <v>14</v>
      </c>
      <c r="S18" s="17">
        <f t="shared" ref="S18:AF18" si="10">SUM(C42:C45)</f>
        <v>77</v>
      </c>
      <c r="T18" s="17">
        <f t="shared" si="10"/>
        <v>22</v>
      </c>
      <c r="U18" s="17">
        <f t="shared" si="10"/>
        <v>13</v>
      </c>
      <c r="V18" s="17">
        <f t="shared" si="10"/>
        <v>177</v>
      </c>
      <c r="W18" s="17">
        <f t="shared" si="10"/>
        <v>5</v>
      </c>
      <c r="X18" s="17">
        <f t="shared" si="10"/>
        <v>1</v>
      </c>
      <c r="Y18" s="17">
        <f t="shared" si="10"/>
        <v>13</v>
      </c>
      <c r="Z18" s="17">
        <f t="shared" si="10"/>
        <v>21</v>
      </c>
      <c r="AA18" s="17">
        <f t="shared" si="10"/>
        <v>6</v>
      </c>
      <c r="AB18" s="17">
        <f t="shared" si="10"/>
        <v>52</v>
      </c>
      <c r="AC18" s="17">
        <f t="shared" si="10"/>
        <v>69</v>
      </c>
      <c r="AD18" s="17">
        <f t="shared" si="10"/>
        <v>0</v>
      </c>
      <c r="AE18" s="31">
        <f t="shared" si="10"/>
        <v>387</v>
      </c>
      <c r="AF18" s="31">
        <f t="shared" si="10"/>
        <v>456</v>
      </c>
    </row>
    <row r="19" spans="2:32" ht="23.1" customHeight="1" x14ac:dyDescent="0.25">
      <c r="B19" s="45" t="s">
        <v>46</v>
      </c>
      <c r="C19" s="50">
        <v>11</v>
      </c>
      <c r="D19" s="50">
        <v>9</v>
      </c>
      <c r="E19" s="50">
        <v>4</v>
      </c>
      <c r="F19" s="50">
        <v>45</v>
      </c>
      <c r="G19" s="50">
        <v>3</v>
      </c>
      <c r="H19" s="50">
        <v>0</v>
      </c>
      <c r="I19" s="50">
        <v>0</v>
      </c>
      <c r="J19" s="50">
        <v>4</v>
      </c>
      <c r="K19" s="50">
        <v>1</v>
      </c>
      <c r="L19" s="50">
        <v>1</v>
      </c>
      <c r="M19" s="50">
        <v>20</v>
      </c>
      <c r="N19" s="50">
        <v>0</v>
      </c>
      <c r="O19" s="15">
        <f t="shared" si="0"/>
        <v>78</v>
      </c>
      <c r="P19" s="15">
        <f t="shared" si="1"/>
        <v>98</v>
      </c>
      <c r="R19" s="1" t="s">
        <v>15</v>
      </c>
      <c r="S19" s="17">
        <f t="shared" ref="S19:AF19" si="11">SUM(C46:C49)</f>
        <v>83</v>
      </c>
      <c r="T19" s="17">
        <f t="shared" si="11"/>
        <v>29</v>
      </c>
      <c r="U19" s="17">
        <f t="shared" si="11"/>
        <v>21</v>
      </c>
      <c r="V19" s="17">
        <f t="shared" si="11"/>
        <v>126</v>
      </c>
      <c r="W19" s="17">
        <f t="shared" si="11"/>
        <v>8</v>
      </c>
      <c r="X19" s="17">
        <f t="shared" si="11"/>
        <v>4</v>
      </c>
      <c r="Y19" s="17">
        <f t="shared" si="11"/>
        <v>14</v>
      </c>
      <c r="Z19" s="17">
        <f t="shared" si="11"/>
        <v>19</v>
      </c>
      <c r="AA19" s="17">
        <f t="shared" si="11"/>
        <v>4</v>
      </c>
      <c r="AB19" s="17">
        <f t="shared" si="11"/>
        <v>81</v>
      </c>
      <c r="AC19" s="17">
        <f t="shared" si="11"/>
        <v>78</v>
      </c>
      <c r="AD19" s="17">
        <f t="shared" si="11"/>
        <v>0</v>
      </c>
      <c r="AE19" s="31">
        <f t="shared" si="11"/>
        <v>389</v>
      </c>
      <c r="AF19" s="31">
        <f t="shared" si="11"/>
        <v>467</v>
      </c>
    </row>
    <row r="20" spans="2:32" ht="23.1" customHeight="1" x14ac:dyDescent="0.25">
      <c r="B20" s="45" t="s">
        <v>47</v>
      </c>
      <c r="C20" s="50">
        <v>21</v>
      </c>
      <c r="D20" s="50">
        <v>9</v>
      </c>
      <c r="E20" s="50">
        <v>4</v>
      </c>
      <c r="F20" s="50">
        <v>40</v>
      </c>
      <c r="G20" s="50">
        <v>2</v>
      </c>
      <c r="H20" s="50">
        <v>0</v>
      </c>
      <c r="I20" s="50">
        <v>2</v>
      </c>
      <c r="J20" s="50">
        <v>4</v>
      </c>
      <c r="K20" s="50">
        <v>0</v>
      </c>
      <c r="L20" s="50">
        <v>5</v>
      </c>
      <c r="M20" s="50">
        <v>11</v>
      </c>
      <c r="N20" s="50">
        <v>0</v>
      </c>
      <c r="O20" s="15">
        <f t="shared" si="0"/>
        <v>87</v>
      </c>
      <c r="P20" s="15">
        <f t="shared" si="1"/>
        <v>98</v>
      </c>
      <c r="R20" s="1" t="s">
        <v>16</v>
      </c>
      <c r="S20" s="17">
        <f t="shared" ref="S20:AF20" si="12">SUM(C50:C53)</f>
        <v>44</v>
      </c>
      <c r="T20" s="17">
        <f t="shared" si="12"/>
        <v>13</v>
      </c>
      <c r="U20" s="17">
        <f t="shared" si="12"/>
        <v>12</v>
      </c>
      <c r="V20" s="17">
        <f t="shared" si="12"/>
        <v>130</v>
      </c>
      <c r="W20" s="17">
        <f t="shared" si="12"/>
        <v>3</v>
      </c>
      <c r="X20" s="17">
        <f t="shared" si="12"/>
        <v>3</v>
      </c>
      <c r="Y20" s="17">
        <f t="shared" si="12"/>
        <v>12</v>
      </c>
      <c r="Z20" s="17">
        <f t="shared" si="12"/>
        <v>15</v>
      </c>
      <c r="AA20" s="17">
        <f t="shared" si="12"/>
        <v>6</v>
      </c>
      <c r="AB20" s="17">
        <f t="shared" si="12"/>
        <v>76</v>
      </c>
      <c r="AC20" s="17">
        <f t="shared" si="12"/>
        <v>63</v>
      </c>
      <c r="AD20" s="17">
        <f t="shared" si="12"/>
        <v>0</v>
      </c>
      <c r="AE20" s="31">
        <f t="shared" si="12"/>
        <v>314</v>
      </c>
      <c r="AF20" s="31">
        <f t="shared" si="12"/>
        <v>377</v>
      </c>
    </row>
    <row r="21" spans="2:32" ht="23.1" customHeight="1" x14ac:dyDescent="0.25">
      <c r="B21" s="45" t="s">
        <v>48</v>
      </c>
      <c r="C21" s="50">
        <v>16</v>
      </c>
      <c r="D21" s="50">
        <v>6</v>
      </c>
      <c r="E21" s="50">
        <v>6</v>
      </c>
      <c r="F21" s="50">
        <v>41</v>
      </c>
      <c r="G21" s="50">
        <v>0</v>
      </c>
      <c r="H21" s="50">
        <v>0</v>
      </c>
      <c r="I21" s="50">
        <v>2</v>
      </c>
      <c r="J21" s="50">
        <v>3</v>
      </c>
      <c r="K21" s="50">
        <v>1</v>
      </c>
      <c r="L21" s="50">
        <v>6</v>
      </c>
      <c r="M21" s="50">
        <v>20</v>
      </c>
      <c r="N21" s="50">
        <v>0</v>
      </c>
      <c r="O21" s="15">
        <f t="shared" si="0"/>
        <v>81</v>
      </c>
      <c r="P21" s="15">
        <f t="shared" si="1"/>
        <v>101</v>
      </c>
      <c r="R21" s="36" t="s">
        <v>20</v>
      </c>
      <c r="S21" s="34">
        <f t="shared" ref="S21:AF21" si="13">SUM(C54:C57)</f>
        <v>75</v>
      </c>
      <c r="T21" s="17">
        <f t="shared" si="13"/>
        <v>25</v>
      </c>
      <c r="U21" s="17">
        <f t="shared" si="13"/>
        <v>9</v>
      </c>
      <c r="V21" s="17">
        <f t="shared" si="13"/>
        <v>125</v>
      </c>
      <c r="W21" s="17">
        <f t="shared" si="13"/>
        <v>5</v>
      </c>
      <c r="X21" s="17">
        <f t="shared" si="13"/>
        <v>2</v>
      </c>
      <c r="Y21" s="17">
        <f t="shared" si="13"/>
        <v>16</v>
      </c>
      <c r="Z21" s="17">
        <f t="shared" si="13"/>
        <v>30</v>
      </c>
      <c r="AA21" s="17">
        <f t="shared" si="13"/>
        <v>8</v>
      </c>
      <c r="AB21" s="17">
        <f t="shared" si="13"/>
        <v>106</v>
      </c>
      <c r="AC21" s="17">
        <f t="shared" si="13"/>
        <v>69</v>
      </c>
      <c r="AD21" s="17">
        <f t="shared" si="13"/>
        <v>0</v>
      </c>
      <c r="AE21" s="31">
        <f t="shared" si="13"/>
        <v>401</v>
      </c>
      <c r="AF21" s="31">
        <f t="shared" si="13"/>
        <v>470</v>
      </c>
    </row>
    <row r="22" spans="2:32" ht="23.1" customHeight="1" x14ac:dyDescent="0.25">
      <c r="B22" s="45" t="s">
        <v>49</v>
      </c>
      <c r="C22" s="50">
        <v>17</v>
      </c>
      <c r="D22" s="50">
        <v>13</v>
      </c>
      <c r="E22" s="50">
        <v>3</v>
      </c>
      <c r="F22" s="50">
        <v>32</v>
      </c>
      <c r="G22" s="50">
        <v>1</v>
      </c>
      <c r="H22" s="50">
        <v>1</v>
      </c>
      <c r="I22" s="50">
        <v>4</v>
      </c>
      <c r="J22" s="50">
        <v>6</v>
      </c>
      <c r="K22" s="50">
        <v>0</v>
      </c>
      <c r="L22" s="50">
        <v>5</v>
      </c>
      <c r="M22" s="50">
        <v>23</v>
      </c>
      <c r="N22" s="50">
        <v>0</v>
      </c>
      <c r="O22" s="15">
        <f t="shared" si="0"/>
        <v>82</v>
      </c>
      <c r="P22" s="15">
        <f t="shared" si="1"/>
        <v>105</v>
      </c>
      <c r="R22" s="36" t="s">
        <v>146</v>
      </c>
      <c r="S22" s="34">
        <f>SUM(C58:C61)</f>
        <v>107</v>
      </c>
      <c r="T22" s="34">
        <f t="shared" ref="T22:AF22" si="14">SUM(D58:D61)</f>
        <v>23</v>
      </c>
      <c r="U22" s="34">
        <f t="shared" si="14"/>
        <v>12</v>
      </c>
      <c r="V22" s="34">
        <f t="shared" si="14"/>
        <v>104</v>
      </c>
      <c r="W22" s="34">
        <f t="shared" si="14"/>
        <v>5</v>
      </c>
      <c r="X22" s="34">
        <f t="shared" si="14"/>
        <v>4</v>
      </c>
      <c r="Y22" s="34">
        <f t="shared" si="14"/>
        <v>32</v>
      </c>
      <c r="Z22" s="34">
        <f t="shared" si="14"/>
        <v>10</v>
      </c>
      <c r="AA22" s="34">
        <f t="shared" si="14"/>
        <v>9</v>
      </c>
      <c r="AB22" s="34">
        <f t="shared" si="14"/>
        <v>73</v>
      </c>
      <c r="AC22" s="34">
        <f t="shared" si="14"/>
        <v>114</v>
      </c>
      <c r="AD22" s="34">
        <f t="shared" si="14"/>
        <v>0</v>
      </c>
      <c r="AE22" s="31">
        <f t="shared" si="14"/>
        <v>379</v>
      </c>
      <c r="AF22" s="31">
        <f t="shared" si="14"/>
        <v>493</v>
      </c>
    </row>
    <row r="23" spans="2:32" ht="23.1" customHeight="1" x14ac:dyDescent="0.25">
      <c r="B23" s="45" t="s">
        <v>50</v>
      </c>
      <c r="C23" s="50">
        <v>16</v>
      </c>
      <c r="D23" s="50">
        <v>5</v>
      </c>
      <c r="E23" s="50">
        <v>3</v>
      </c>
      <c r="F23" s="50">
        <v>25</v>
      </c>
      <c r="G23" s="50">
        <v>0</v>
      </c>
      <c r="H23" s="50">
        <v>0</v>
      </c>
      <c r="I23" s="50">
        <v>0</v>
      </c>
      <c r="J23" s="50">
        <v>0</v>
      </c>
      <c r="K23" s="50">
        <v>2</v>
      </c>
      <c r="L23" s="50">
        <v>1</v>
      </c>
      <c r="M23" s="50">
        <v>10</v>
      </c>
      <c r="N23" s="50">
        <v>0</v>
      </c>
      <c r="O23" s="15">
        <f t="shared" si="0"/>
        <v>52</v>
      </c>
      <c r="P23" s="15">
        <f t="shared" si="1"/>
        <v>62</v>
      </c>
      <c r="R23" s="36" t="s">
        <v>147</v>
      </c>
      <c r="S23" s="34">
        <f>SUM(C62:C65)</f>
        <v>73</v>
      </c>
      <c r="T23" s="34">
        <f t="shared" ref="T23:AF23" si="15">SUM(D62:D65)</f>
        <v>27</v>
      </c>
      <c r="U23" s="34">
        <f t="shared" si="15"/>
        <v>15</v>
      </c>
      <c r="V23" s="34">
        <f t="shared" si="15"/>
        <v>117</v>
      </c>
      <c r="W23" s="34">
        <f t="shared" si="15"/>
        <v>3</v>
      </c>
      <c r="X23" s="34">
        <f t="shared" si="15"/>
        <v>3</v>
      </c>
      <c r="Y23" s="34">
        <f t="shared" si="15"/>
        <v>37</v>
      </c>
      <c r="Z23" s="34">
        <f t="shared" si="15"/>
        <v>39</v>
      </c>
      <c r="AA23" s="34">
        <f t="shared" si="15"/>
        <v>16</v>
      </c>
      <c r="AB23" s="34">
        <f t="shared" si="15"/>
        <v>83</v>
      </c>
      <c r="AC23" s="34">
        <f t="shared" si="15"/>
        <v>95</v>
      </c>
      <c r="AD23" s="34">
        <f t="shared" si="15"/>
        <v>0</v>
      </c>
      <c r="AE23" s="31">
        <f t="shared" si="15"/>
        <v>413</v>
      </c>
      <c r="AF23" s="31">
        <f t="shared" si="15"/>
        <v>508</v>
      </c>
    </row>
    <row r="24" spans="2:32" ht="23.1" customHeight="1" x14ac:dyDescent="0.25">
      <c r="B24" s="45" t="s">
        <v>51</v>
      </c>
      <c r="C24" s="50">
        <v>14</v>
      </c>
      <c r="D24" s="50">
        <v>9</v>
      </c>
      <c r="E24" s="50">
        <v>2</v>
      </c>
      <c r="F24" s="50">
        <v>29</v>
      </c>
      <c r="G24" s="50">
        <v>2</v>
      </c>
      <c r="H24" s="50">
        <v>1</v>
      </c>
      <c r="I24" s="50">
        <v>4</v>
      </c>
      <c r="J24" s="50">
        <v>2</v>
      </c>
      <c r="K24" s="50">
        <v>2</v>
      </c>
      <c r="L24" s="50">
        <v>1</v>
      </c>
      <c r="M24" s="50">
        <v>20</v>
      </c>
      <c r="N24" s="50">
        <v>0</v>
      </c>
      <c r="O24" s="15">
        <f t="shared" si="0"/>
        <v>66</v>
      </c>
      <c r="P24" s="15">
        <f t="shared" si="1"/>
        <v>86</v>
      </c>
      <c r="R24" s="36" t="s">
        <v>148</v>
      </c>
      <c r="S24" s="34">
        <f>SUM(C66:C69)</f>
        <v>64</v>
      </c>
      <c r="T24" s="34">
        <f t="shared" ref="T24:AF24" si="16">SUM(D66:D69)</f>
        <v>23</v>
      </c>
      <c r="U24" s="34">
        <f t="shared" si="16"/>
        <v>4</v>
      </c>
      <c r="V24" s="34">
        <f t="shared" si="16"/>
        <v>77</v>
      </c>
      <c r="W24" s="34">
        <f t="shared" si="16"/>
        <v>6</v>
      </c>
      <c r="X24" s="34">
        <f t="shared" si="16"/>
        <v>3</v>
      </c>
      <c r="Y24" s="34">
        <f t="shared" si="16"/>
        <v>13</v>
      </c>
      <c r="Z24" s="34">
        <f t="shared" si="16"/>
        <v>23</v>
      </c>
      <c r="AA24" s="34">
        <f t="shared" si="16"/>
        <v>8</v>
      </c>
      <c r="AB24" s="34">
        <f t="shared" si="16"/>
        <v>31</v>
      </c>
      <c r="AC24" s="34">
        <f t="shared" si="16"/>
        <v>104</v>
      </c>
      <c r="AD24" s="34">
        <f t="shared" si="16"/>
        <v>0</v>
      </c>
      <c r="AE24" s="31">
        <f t="shared" si="16"/>
        <v>252</v>
      </c>
      <c r="AF24" s="31">
        <f t="shared" si="16"/>
        <v>356</v>
      </c>
    </row>
    <row r="25" spans="2:32" ht="23.1" customHeight="1" x14ac:dyDescent="0.25">
      <c r="B25" s="45" t="s">
        <v>52</v>
      </c>
      <c r="C25" s="50">
        <v>22</v>
      </c>
      <c r="D25" s="50">
        <v>11</v>
      </c>
      <c r="E25" s="50">
        <v>9</v>
      </c>
      <c r="F25" s="50">
        <v>45</v>
      </c>
      <c r="G25" s="50">
        <v>0</v>
      </c>
      <c r="H25" s="50">
        <v>0</v>
      </c>
      <c r="I25" s="50">
        <v>2</v>
      </c>
      <c r="J25" s="50">
        <v>2</v>
      </c>
      <c r="K25" s="50">
        <v>1</v>
      </c>
      <c r="L25" s="50">
        <v>6</v>
      </c>
      <c r="M25" s="50">
        <v>31</v>
      </c>
      <c r="N25" s="50">
        <v>0</v>
      </c>
      <c r="O25" s="15">
        <f t="shared" si="0"/>
        <v>98</v>
      </c>
      <c r="P25" s="15">
        <f t="shared" si="1"/>
        <v>129</v>
      </c>
      <c r="R25" s="36" t="s">
        <v>149</v>
      </c>
      <c r="S25" s="34">
        <f>SUM(C70:C73)</f>
        <v>44</v>
      </c>
      <c r="T25" s="34">
        <f t="shared" ref="T25:AF25" si="17">SUM(D70:D73)</f>
        <v>9</v>
      </c>
      <c r="U25" s="34">
        <f t="shared" si="17"/>
        <v>13</v>
      </c>
      <c r="V25" s="34">
        <f t="shared" si="17"/>
        <v>68</v>
      </c>
      <c r="W25" s="34">
        <f t="shared" si="17"/>
        <v>5</v>
      </c>
      <c r="X25" s="34">
        <f t="shared" si="17"/>
        <v>5</v>
      </c>
      <c r="Y25" s="34">
        <f t="shared" si="17"/>
        <v>5</v>
      </c>
      <c r="Z25" s="34">
        <f t="shared" si="17"/>
        <v>15</v>
      </c>
      <c r="AA25" s="34">
        <f t="shared" si="17"/>
        <v>10</v>
      </c>
      <c r="AB25" s="34">
        <f t="shared" si="17"/>
        <v>22</v>
      </c>
      <c r="AC25" s="34">
        <f t="shared" si="17"/>
        <v>67</v>
      </c>
      <c r="AD25" s="34">
        <f t="shared" si="17"/>
        <v>0</v>
      </c>
      <c r="AE25" s="31">
        <f t="shared" si="17"/>
        <v>196</v>
      </c>
      <c r="AF25" s="31">
        <f t="shared" si="17"/>
        <v>263</v>
      </c>
    </row>
    <row r="26" spans="2:32" ht="23.1" customHeight="1" x14ac:dyDescent="0.25">
      <c r="B26" s="45" t="s">
        <v>53</v>
      </c>
      <c r="C26" s="50">
        <v>21</v>
      </c>
      <c r="D26" s="50">
        <v>15</v>
      </c>
      <c r="E26" s="50">
        <v>4</v>
      </c>
      <c r="F26" s="50">
        <v>36</v>
      </c>
      <c r="G26" s="50">
        <v>0</v>
      </c>
      <c r="H26" s="50">
        <v>1</v>
      </c>
      <c r="I26" s="50">
        <v>6</v>
      </c>
      <c r="J26" s="50">
        <v>4</v>
      </c>
      <c r="K26" s="50">
        <v>1</v>
      </c>
      <c r="L26" s="50">
        <v>6</v>
      </c>
      <c r="M26" s="50">
        <v>21</v>
      </c>
      <c r="N26" s="50">
        <v>0</v>
      </c>
      <c r="O26" s="15">
        <f t="shared" si="0"/>
        <v>94</v>
      </c>
      <c r="P26" s="15">
        <f t="shared" si="1"/>
        <v>115</v>
      </c>
      <c r="R26" s="36" t="s">
        <v>150</v>
      </c>
      <c r="S26" s="34">
        <f>SUM(C74:C77)</f>
        <v>30</v>
      </c>
      <c r="T26" s="34">
        <f t="shared" ref="T26:AF26" si="18">SUM(D74:D77)</f>
        <v>10</v>
      </c>
      <c r="U26" s="34">
        <f t="shared" si="18"/>
        <v>4</v>
      </c>
      <c r="V26" s="34">
        <f t="shared" si="18"/>
        <v>29</v>
      </c>
      <c r="W26" s="34">
        <f t="shared" si="18"/>
        <v>4</v>
      </c>
      <c r="X26" s="34">
        <f t="shared" si="18"/>
        <v>1</v>
      </c>
      <c r="Y26" s="34">
        <f t="shared" si="18"/>
        <v>5</v>
      </c>
      <c r="Z26" s="34">
        <f t="shared" si="18"/>
        <v>18</v>
      </c>
      <c r="AA26" s="34">
        <f t="shared" si="18"/>
        <v>2</v>
      </c>
      <c r="AB26" s="34">
        <f t="shared" si="18"/>
        <v>13</v>
      </c>
      <c r="AC26" s="34">
        <f t="shared" si="18"/>
        <v>39</v>
      </c>
      <c r="AD26" s="34">
        <f t="shared" si="18"/>
        <v>0</v>
      </c>
      <c r="AE26" s="31">
        <f t="shared" si="18"/>
        <v>116</v>
      </c>
      <c r="AF26" s="31">
        <f t="shared" si="18"/>
        <v>155</v>
      </c>
    </row>
    <row r="27" spans="2:32" ht="23.1" customHeight="1" x14ac:dyDescent="0.25">
      <c r="B27" s="45" t="s">
        <v>54</v>
      </c>
      <c r="C27" s="50">
        <v>27</v>
      </c>
      <c r="D27" s="50">
        <v>8</v>
      </c>
      <c r="E27" s="50">
        <v>4</v>
      </c>
      <c r="F27" s="50">
        <v>34</v>
      </c>
      <c r="G27" s="50">
        <v>0</v>
      </c>
      <c r="H27" s="50">
        <v>1</v>
      </c>
      <c r="I27" s="50">
        <v>1</v>
      </c>
      <c r="J27" s="50">
        <v>1</v>
      </c>
      <c r="K27" s="50">
        <v>0</v>
      </c>
      <c r="L27" s="50">
        <v>1</v>
      </c>
      <c r="M27" s="50">
        <v>27</v>
      </c>
      <c r="N27" s="50">
        <v>0</v>
      </c>
      <c r="O27" s="15">
        <f t="shared" si="0"/>
        <v>77</v>
      </c>
      <c r="P27" s="15">
        <f t="shared" si="1"/>
        <v>104</v>
      </c>
      <c r="R27" s="36" t="s">
        <v>151</v>
      </c>
      <c r="S27" s="34">
        <f>SUM(C78:C81)</f>
        <v>6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5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2</v>
      </c>
      <c r="AA27" s="34">
        <f t="shared" si="19"/>
        <v>0</v>
      </c>
      <c r="AB27" s="34">
        <f t="shared" si="19"/>
        <v>3</v>
      </c>
      <c r="AC27" s="34">
        <f t="shared" si="19"/>
        <v>3</v>
      </c>
      <c r="AD27" s="34">
        <f t="shared" si="19"/>
        <v>0</v>
      </c>
      <c r="AE27" s="31">
        <f t="shared" si="19"/>
        <v>17</v>
      </c>
      <c r="AF27" s="31">
        <f t="shared" si="19"/>
        <v>20</v>
      </c>
    </row>
    <row r="28" spans="2:32" ht="23.1" customHeight="1" x14ac:dyDescent="0.25">
      <c r="B28" s="45" t="s">
        <v>55</v>
      </c>
      <c r="C28" s="50">
        <v>21</v>
      </c>
      <c r="D28" s="50">
        <v>10</v>
      </c>
      <c r="E28" s="50">
        <v>4</v>
      </c>
      <c r="F28" s="50">
        <v>23</v>
      </c>
      <c r="G28" s="50">
        <v>2</v>
      </c>
      <c r="H28" s="50">
        <v>1</v>
      </c>
      <c r="I28" s="50">
        <v>2</v>
      </c>
      <c r="J28" s="50">
        <v>6</v>
      </c>
      <c r="K28" s="50">
        <v>1</v>
      </c>
      <c r="L28" s="50">
        <v>3</v>
      </c>
      <c r="M28" s="50">
        <v>17</v>
      </c>
      <c r="N28" s="50">
        <v>0</v>
      </c>
      <c r="O28" s="15">
        <f t="shared" si="0"/>
        <v>73</v>
      </c>
      <c r="P28" s="15">
        <f t="shared" si="1"/>
        <v>90</v>
      </c>
      <c r="R28" s="36" t="s">
        <v>152</v>
      </c>
      <c r="S28" s="34">
        <f>SUM(C82:C85)</f>
        <v>5</v>
      </c>
      <c r="T28" s="34">
        <f t="shared" ref="T28:AF28" si="20">SUM(D82:D85)</f>
        <v>2</v>
      </c>
      <c r="U28" s="34">
        <f t="shared" si="20"/>
        <v>2</v>
      </c>
      <c r="V28" s="34">
        <f t="shared" si="20"/>
        <v>3</v>
      </c>
      <c r="W28" s="34">
        <f t="shared" si="20"/>
        <v>0</v>
      </c>
      <c r="X28" s="34">
        <f t="shared" si="20"/>
        <v>1</v>
      </c>
      <c r="Y28" s="34">
        <f t="shared" si="20"/>
        <v>9</v>
      </c>
      <c r="Z28" s="34">
        <f t="shared" si="20"/>
        <v>15</v>
      </c>
      <c r="AA28" s="34">
        <f t="shared" si="20"/>
        <v>1</v>
      </c>
      <c r="AB28" s="34">
        <f t="shared" si="20"/>
        <v>15</v>
      </c>
      <c r="AC28" s="34">
        <f t="shared" si="20"/>
        <v>1</v>
      </c>
      <c r="AD28" s="34">
        <f t="shared" si="20"/>
        <v>0</v>
      </c>
      <c r="AE28" s="31">
        <f t="shared" si="20"/>
        <v>53</v>
      </c>
      <c r="AF28" s="31">
        <f t="shared" si="20"/>
        <v>54</v>
      </c>
    </row>
    <row r="29" spans="2:32" ht="23.1" customHeight="1" x14ac:dyDescent="0.25">
      <c r="B29" s="45" t="s">
        <v>56</v>
      </c>
      <c r="C29" s="50">
        <v>30</v>
      </c>
      <c r="D29" s="50">
        <v>10</v>
      </c>
      <c r="E29" s="50">
        <v>5</v>
      </c>
      <c r="F29" s="50">
        <v>24</v>
      </c>
      <c r="G29" s="50">
        <v>3</v>
      </c>
      <c r="H29" s="50">
        <v>1</v>
      </c>
      <c r="I29" s="50">
        <v>3</v>
      </c>
      <c r="J29" s="50">
        <v>3</v>
      </c>
      <c r="K29" s="50">
        <v>0</v>
      </c>
      <c r="L29" s="50">
        <v>8</v>
      </c>
      <c r="M29" s="50">
        <v>20</v>
      </c>
      <c r="N29" s="50">
        <v>0</v>
      </c>
      <c r="O29" s="15">
        <f t="shared" si="0"/>
        <v>87</v>
      </c>
      <c r="P29" s="15">
        <f t="shared" si="1"/>
        <v>107</v>
      </c>
      <c r="R29" s="36" t="s">
        <v>153</v>
      </c>
      <c r="S29" s="34">
        <f>SUM(C86:C89)</f>
        <v>11</v>
      </c>
      <c r="T29" s="34">
        <f t="shared" ref="T29:AF29" si="21">SUM(D86:D89)</f>
        <v>4</v>
      </c>
      <c r="U29" s="34">
        <f t="shared" si="21"/>
        <v>4</v>
      </c>
      <c r="V29" s="34">
        <f t="shared" si="21"/>
        <v>4</v>
      </c>
      <c r="W29" s="34">
        <f t="shared" si="21"/>
        <v>1</v>
      </c>
      <c r="X29" s="34">
        <f t="shared" si="21"/>
        <v>4</v>
      </c>
      <c r="Y29" s="34">
        <f t="shared" si="21"/>
        <v>3</v>
      </c>
      <c r="Z29" s="34">
        <f t="shared" si="21"/>
        <v>25</v>
      </c>
      <c r="AA29" s="34">
        <f t="shared" si="21"/>
        <v>3</v>
      </c>
      <c r="AB29" s="34">
        <f t="shared" si="21"/>
        <v>17</v>
      </c>
      <c r="AC29" s="34">
        <f t="shared" si="21"/>
        <v>5</v>
      </c>
      <c r="AD29" s="34">
        <f t="shared" si="21"/>
        <v>0</v>
      </c>
      <c r="AE29" s="31">
        <f t="shared" si="21"/>
        <v>76</v>
      </c>
      <c r="AF29" s="31">
        <f t="shared" si="21"/>
        <v>81</v>
      </c>
    </row>
    <row r="30" spans="2:32" ht="23.1" customHeight="1" x14ac:dyDescent="0.25">
      <c r="B30" s="45" t="s">
        <v>57</v>
      </c>
      <c r="C30" s="50">
        <v>17</v>
      </c>
      <c r="D30" s="50">
        <v>7</v>
      </c>
      <c r="E30" s="50">
        <v>7</v>
      </c>
      <c r="F30" s="50">
        <v>32</v>
      </c>
      <c r="G30" s="50">
        <v>1</v>
      </c>
      <c r="H30" s="50">
        <v>0</v>
      </c>
      <c r="I30" s="50">
        <v>6</v>
      </c>
      <c r="J30" s="50">
        <v>0</v>
      </c>
      <c r="K30" s="50">
        <v>0</v>
      </c>
      <c r="L30" s="50">
        <v>6</v>
      </c>
      <c r="M30" s="50">
        <v>26</v>
      </c>
      <c r="N30" s="50">
        <v>0</v>
      </c>
      <c r="O30" s="15">
        <f t="shared" si="0"/>
        <v>76</v>
      </c>
      <c r="P30" s="15">
        <f t="shared" si="1"/>
        <v>102</v>
      </c>
      <c r="R30" s="36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5</v>
      </c>
      <c r="V30" s="34">
        <f t="shared" si="22"/>
        <v>1</v>
      </c>
      <c r="W30" s="34">
        <f t="shared" si="22"/>
        <v>0</v>
      </c>
      <c r="X30" s="34">
        <f t="shared" si="22"/>
        <v>2</v>
      </c>
      <c r="Y30" s="34">
        <f t="shared" si="22"/>
        <v>0</v>
      </c>
      <c r="Z30" s="34">
        <f t="shared" si="22"/>
        <v>11</v>
      </c>
      <c r="AA30" s="34">
        <f t="shared" si="22"/>
        <v>0</v>
      </c>
      <c r="AB30" s="34">
        <f t="shared" si="22"/>
        <v>10</v>
      </c>
      <c r="AC30" s="34">
        <f t="shared" si="22"/>
        <v>4</v>
      </c>
      <c r="AD30" s="34">
        <f t="shared" si="22"/>
        <v>0</v>
      </c>
      <c r="AE30" s="31">
        <f t="shared" si="22"/>
        <v>32</v>
      </c>
      <c r="AF30" s="31">
        <f t="shared" si="22"/>
        <v>36</v>
      </c>
    </row>
    <row r="31" spans="2:32" ht="23.1" customHeight="1" x14ac:dyDescent="0.25">
      <c r="B31" s="46" t="s">
        <v>58</v>
      </c>
      <c r="C31" s="50">
        <v>32</v>
      </c>
      <c r="D31" s="50">
        <v>9</v>
      </c>
      <c r="E31" s="50">
        <v>4</v>
      </c>
      <c r="F31" s="50">
        <v>28</v>
      </c>
      <c r="G31" s="50">
        <v>2</v>
      </c>
      <c r="H31" s="50">
        <v>1</v>
      </c>
      <c r="I31" s="50">
        <v>5</v>
      </c>
      <c r="J31" s="50">
        <v>4</v>
      </c>
      <c r="K31" s="50">
        <v>0</v>
      </c>
      <c r="L31" s="50">
        <v>12</v>
      </c>
      <c r="M31" s="50">
        <v>22</v>
      </c>
      <c r="N31" s="50">
        <v>0</v>
      </c>
      <c r="O31" s="15">
        <f t="shared" si="0"/>
        <v>97</v>
      </c>
      <c r="P31" s="15">
        <f t="shared" si="1"/>
        <v>119</v>
      </c>
      <c r="R31" s="36" t="s">
        <v>155</v>
      </c>
      <c r="S31" s="34">
        <f>SUM(C94:C97)</f>
        <v>7</v>
      </c>
      <c r="T31" s="34">
        <f t="shared" ref="T31:AF31" si="23">SUM(D94:D97)</f>
        <v>3</v>
      </c>
      <c r="U31" s="34">
        <f t="shared" si="23"/>
        <v>2</v>
      </c>
      <c r="V31" s="34">
        <f t="shared" si="23"/>
        <v>7</v>
      </c>
      <c r="W31" s="34">
        <f t="shared" si="23"/>
        <v>1</v>
      </c>
      <c r="X31" s="34">
        <f t="shared" si="23"/>
        <v>1</v>
      </c>
      <c r="Y31" s="34">
        <f t="shared" si="23"/>
        <v>2</v>
      </c>
      <c r="Z31" s="34">
        <f t="shared" si="23"/>
        <v>12</v>
      </c>
      <c r="AA31" s="34">
        <f t="shared" si="23"/>
        <v>3</v>
      </c>
      <c r="AB31" s="34">
        <f t="shared" si="23"/>
        <v>11</v>
      </c>
      <c r="AC31" s="34">
        <f t="shared" si="23"/>
        <v>4</v>
      </c>
      <c r="AD31" s="34">
        <f t="shared" si="23"/>
        <v>0</v>
      </c>
      <c r="AE31" s="31">
        <f t="shared" si="23"/>
        <v>49</v>
      </c>
      <c r="AF31" s="31">
        <f t="shared" si="23"/>
        <v>53</v>
      </c>
    </row>
    <row r="32" spans="2:32" ht="23.1" customHeight="1" x14ac:dyDescent="0.25">
      <c r="B32" s="46" t="s">
        <v>59</v>
      </c>
      <c r="C32" s="50">
        <v>32</v>
      </c>
      <c r="D32" s="50">
        <v>9</v>
      </c>
      <c r="E32" s="50">
        <v>4</v>
      </c>
      <c r="F32" s="50">
        <v>28</v>
      </c>
      <c r="G32" s="50">
        <v>2</v>
      </c>
      <c r="H32" s="50">
        <v>1</v>
      </c>
      <c r="I32" s="50">
        <v>5</v>
      </c>
      <c r="J32" s="50">
        <v>4</v>
      </c>
      <c r="K32" s="50">
        <v>0</v>
      </c>
      <c r="L32" s="50">
        <v>12</v>
      </c>
      <c r="M32" s="50">
        <v>22</v>
      </c>
      <c r="N32" s="50">
        <v>0</v>
      </c>
      <c r="O32" s="15">
        <f t="shared" si="0"/>
        <v>97</v>
      </c>
      <c r="P32" s="15">
        <f t="shared" si="1"/>
        <v>119</v>
      </c>
      <c r="R32" s="33" t="s">
        <v>156</v>
      </c>
      <c r="S32" s="34">
        <f>SUM(C98:C101)</f>
        <v>8</v>
      </c>
      <c r="T32" s="34">
        <f t="shared" ref="T32:AF32" si="24">SUM(D98:D101)</f>
        <v>6</v>
      </c>
      <c r="U32" s="34">
        <f t="shared" si="24"/>
        <v>1</v>
      </c>
      <c r="V32" s="34">
        <f t="shared" si="24"/>
        <v>26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16</v>
      </c>
      <c r="AA32" s="34">
        <f t="shared" si="24"/>
        <v>8</v>
      </c>
      <c r="AB32" s="34">
        <f t="shared" si="24"/>
        <v>15</v>
      </c>
      <c r="AC32" s="34">
        <f t="shared" si="24"/>
        <v>8</v>
      </c>
      <c r="AD32" s="34">
        <f t="shared" si="24"/>
        <v>0</v>
      </c>
      <c r="AE32" s="31">
        <f t="shared" si="24"/>
        <v>83</v>
      </c>
      <c r="AF32" s="31">
        <f t="shared" si="24"/>
        <v>91</v>
      </c>
    </row>
    <row r="33" spans="2:32" ht="23.1" customHeight="1" x14ac:dyDescent="0.25">
      <c r="B33" s="45" t="s">
        <v>60</v>
      </c>
      <c r="C33" s="50">
        <v>20</v>
      </c>
      <c r="D33" s="50">
        <v>8</v>
      </c>
      <c r="E33" s="50">
        <v>3</v>
      </c>
      <c r="F33" s="50">
        <v>23</v>
      </c>
      <c r="G33" s="50">
        <v>58</v>
      </c>
      <c r="H33" s="50">
        <v>1</v>
      </c>
      <c r="I33" s="50">
        <v>0</v>
      </c>
      <c r="J33" s="50">
        <v>2</v>
      </c>
      <c r="K33" s="50">
        <v>7</v>
      </c>
      <c r="L33" s="50">
        <v>1</v>
      </c>
      <c r="M33" s="50">
        <v>7</v>
      </c>
      <c r="N33" s="50">
        <v>1</v>
      </c>
      <c r="O33" s="15">
        <f t="shared" si="0"/>
        <v>124</v>
      </c>
      <c r="P33" s="15">
        <f t="shared" si="1"/>
        <v>131</v>
      </c>
      <c r="R33" s="33" t="s">
        <v>157</v>
      </c>
      <c r="S33" s="34">
        <f>SUM(C102:C105)</f>
        <v>30</v>
      </c>
      <c r="T33" s="34">
        <f t="shared" ref="T33:AF33" si="25">SUM(D102:D105)</f>
        <v>17</v>
      </c>
      <c r="U33" s="34">
        <f t="shared" si="25"/>
        <v>3</v>
      </c>
      <c r="V33" s="34">
        <f t="shared" si="25"/>
        <v>59</v>
      </c>
      <c r="W33" s="34">
        <f t="shared" si="25"/>
        <v>0</v>
      </c>
      <c r="X33" s="34">
        <f t="shared" si="25"/>
        <v>3</v>
      </c>
      <c r="Y33" s="34">
        <f t="shared" si="25"/>
        <v>9</v>
      </c>
      <c r="Z33" s="34">
        <f t="shared" si="25"/>
        <v>13</v>
      </c>
      <c r="AA33" s="34">
        <f t="shared" si="25"/>
        <v>9</v>
      </c>
      <c r="AB33" s="34">
        <f t="shared" si="25"/>
        <v>29</v>
      </c>
      <c r="AC33" s="34">
        <f t="shared" si="25"/>
        <v>66</v>
      </c>
      <c r="AD33" s="34">
        <f t="shared" si="25"/>
        <v>0</v>
      </c>
      <c r="AE33" s="31">
        <f t="shared" si="25"/>
        <v>172</v>
      </c>
      <c r="AF33" s="31">
        <f t="shared" si="25"/>
        <v>238</v>
      </c>
    </row>
    <row r="34" spans="2:32" ht="23.1" customHeight="1" x14ac:dyDescent="0.25">
      <c r="B34" s="46" t="s">
        <v>61</v>
      </c>
      <c r="C34" s="50">
        <v>21</v>
      </c>
      <c r="D34" s="50">
        <v>12</v>
      </c>
      <c r="E34" s="50">
        <v>1</v>
      </c>
      <c r="F34" s="50">
        <v>45</v>
      </c>
      <c r="G34" s="50">
        <v>0</v>
      </c>
      <c r="H34" s="50">
        <v>0</v>
      </c>
      <c r="I34" s="50">
        <v>8</v>
      </c>
      <c r="J34" s="50">
        <v>6</v>
      </c>
      <c r="K34" s="50">
        <v>2</v>
      </c>
      <c r="L34" s="50">
        <v>12</v>
      </c>
      <c r="M34" s="50">
        <v>21</v>
      </c>
      <c r="N34" s="50">
        <v>0</v>
      </c>
      <c r="O34" s="15">
        <f t="shared" si="0"/>
        <v>107</v>
      </c>
      <c r="P34" s="15">
        <f t="shared" si="1"/>
        <v>128</v>
      </c>
      <c r="R34" s="38" t="s">
        <v>90</v>
      </c>
      <c r="S34" s="39">
        <f t="shared" ref="S34:AF34" si="26">MAX(S10:S12)</f>
        <v>85</v>
      </c>
      <c r="T34" s="39">
        <f t="shared" si="26"/>
        <v>53</v>
      </c>
      <c r="U34" s="39">
        <f t="shared" si="26"/>
        <v>22</v>
      </c>
      <c r="V34" s="39">
        <f t="shared" si="26"/>
        <v>159</v>
      </c>
      <c r="W34" s="39">
        <f t="shared" si="26"/>
        <v>6</v>
      </c>
      <c r="X34" s="39">
        <f t="shared" si="26"/>
        <v>2</v>
      </c>
      <c r="Y34" s="39">
        <f t="shared" si="26"/>
        <v>12</v>
      </c>
      <c r="Z34" s="39">
        <f t="shared" si="26"/>
        <v>27</v>
      </c>
      <c r="AA34" s="39">
        <f t="shared" si="26"/>
        <v>7</v>
      </c>
      <c r="AB34" s="39">
        <f t="shared" si="26"/>
        <v>42</v>
      </c>
      <c r="AC34" s="39">
        <f t="shared" si="26"/>
        <v>76</v>
      </c>
      <c r="AD34" s="39">
        <f t="shared" si="26"/>
        <v>0</v>
      </c>
      <c r="AE34" s="40">
        <f t="shared" si="26"/>
        <v>378</v>
      </c>
      <c r="AF34" s="40">
        <f t="shared" si="26"/>
        <v>451</v>
      </c>
    </row>
    <row r="35" spans="2:32" ht="23.1" customHeight="1" x14ac:dyDescent="0.25">
      <c r="B35" s="46" t="s">
        <v>62</v>
      </c>
      <c r="C35" s="50">
        <v>21</v>
      </c>
      <c r="D35" s="50">
        <v>15</v>
      </c>
      <c r="E35" s="50">
        <v>4</v>
      </c>
      <c r="F35" s="50">
        <v>51</v>
      </c>
      <c r="G35" s="50">
        <v>2</v>
      </c>
      <c r="H35" s="50">
        <v>2</v>
      </c>
      <c r="I35" s="50">
        <v>3</v>
      </c>
      <c r="J35" s="50">
        <v>1</v>
      </c>
      <c r="K35" s="50">
        <v>1</v>
      </c>
      <c r="L35" s="50">
        <v>11</v>
      </c>
      <c r="M35" s="50">
        <v>16</v>
      </c>
      <c r="N35" s="50">
        <v>0</v>
      </c>
      <c r="O35" s="15">
        <f t="shared" si="0"/>
        <v>111</v>
      </c>
      <c r="P35" s="15">
        <f t="shared" si="1"/>
        <v>127</v>
      </c>
      <c r="R35" s="38" t="s">
        <v>91</v>
      </c>
      <c r="S35" s="39">
        <f t="shared" ref="S35:AF35" si="27">MAX(S13:S18)</f>
        <v>101</v>
      </c>
      <c r="T35" s="39">
        <f t="shared" si="27"/>
        <v>51</v>
      </c>
      <c r="U35" s="39">
        <f t="shared" si="27"/>
        <v>18</v>
      </c>
      <c r="V35" s="39">
        <f t="shared" si="27"/>
        <v>181</v>
      </c>
      <c r="W35" s="39">
        <f t="shared" si="27"/>
        <v>63</v>
      </c>
      <c r="X35" s="39">
        <f t="shared" si="27"/>
        <v>5</v>
      </c>
      <c r="Y35" s="39">
        <f t="shared" si="27"/>
        <v>20</v>
      </c>
      <c r="Z35" s="39">
        <f t="shared" si="27"/>
        <v>21</v>
      </c>
      <c r="AA35" s="39">
        <f t="shared" si="27"/>
        <v>15</v>
      </c>
      <c r="AB35" s="39">
        <f t="shared" si="27"/>
        <v>53</v>
      </c>
      <c r="AC35" s="39">
        <f t="shared" si="27"/>
        <v>85</v>
      </c>
      <c r="AD35" s="39">
        <f t="shared" si="27"/>
        <v>1</v>
      </c>
      <c r="AE35" s="40">
        <f t="shared" si="27"/>
        <v>439</v>
      </c>
      <c r="AF35" s="40">
        <f t="shared" si="27"/>
        <v>509</v>
      </c>
    </row>
    <row r="36" spans="2:32" ht="23.1" customHeight="1" x14ac:dyDescent="0.25">
      <c r="B36" s="46" t="s">
        <v>63</v>
      </c>
      <c r="C36" s="50">
        <v>25</v>
      </c>
      <c r="D36" s="50">
        <v>15</v>
      </c>
      <c r="E36" s="50">
        <v>5</v>
      </c>
      <c r="F36" s="50">
        <v>41</v>
      </c>
      <c r="G36" s="50">
        <v>1</v>
      </c>
      <c r="H36" s="50">
        <v>0</v>
      </c>
      <c r="I36" s="50">
        <v>3</v>
      </c>
      <c r="J36" s="50">
        <v>3</v>
      </c>
      <c r="K36" s="50">
        <v>2</v>
      </c>
      <c r="L36" s="50">
        <v>15</v>
      </c>
      <c r="M36" s="50">
        <v>15</v>
      </c>
      <c r="N36" s="50">
        <v>0</v>
      </c>
      <c r="O36" s="15">
        <f t="shared" si="0"/>
        <v>110</v>
      </c>
      <c r="P36" s="15">
        <f t="shared" si="1"/>
        <v>125</v>
      </c>
      <c r="R36" s="38" t="s">
        <v>92</v>
      </c>
      <c r="S36" s="39">
        <f t="shared" ref="S36:AF36" si="28">MAX(S19:S21)</f>
        <v>83</v>
      </c>
      <c r="T36" s="39">
        <f t="shared" si="28"/>
        <v>29</v>
      </c>
      <c r="U36" s="39">
        <f t="shared" si="28"/>
        <v>21</v>
      </c>
      <c r="V36" s="39">
        <f t="shared" si="28"/>
        <v>130</v>
      </c>
      <c r="W36" s="39">
        <f t="shared" si="28"/>
        <v>8</v>
      </c>
      <c r="X36" s="39">
        <f t="shared" si="28"/>
        <v>4</v>
      </c>
      <c r="Y36" s="39">
        <f t="shared" si="28"/>
        <v>16</v>
      </c>
      <c r="Z36" s="39">
        <f t="shared" si="28"/>
        <v>30</v>
      </c>
      <c r="AA36" s="39">
        <f t="shared" si="28"/>
        <v>8</v>
      </c>
      <c r="AB36" s="39">
        <f t="shared" si="28"/>
        <v>106</v>
      </c>
      <c r="AC36" s="39">
        <f t="shared" si="28"/>
        <v>78</v>
      </c>
      <c r="AD36" s="39">
        <f t="shared" si="28"/>
        <v>0</v>
      </c>
      <c r="AE36" s="40">
        <f t="shared" si="28"/>
        <v>401</v>
      </c>
      <c r="AF36" s="40">
        <f t="shared" si="28"/>
        <v>470</v>
      </c>
    </row>
    <row r="37" spans="2:32" ht="23.1" customHeight="1" x14ac:dyDescent="0.25">
      <c r="B37" s="45" t="s">
        <v>64</v>
      </c>
      <c r="C37" s="50">
        <v>26</v>
      </c>
      <c r="D37" s="50">
        <v>9</v>
      </c>
      <c r="E37" s="50">
        <v>4</v>
      </c>
      <c r="F37" s="50">
        <v>44</v>
      </c>
      <c r="G37" s="50">
        <v>1</v>
      </c>
      <c r="H37" s="50">
        <v>3</v>
      </c>
      <c r="I37" s="50">
        <v>6</v>
      </c>
      <c r="J37" s="50">
        <v>3</v>
      </c>
      <c r="K37" s="50">
        <v>0</v>
      </c>
      <c r="L37" s="50">
        <v>15</v>
      </c>
      <c r="M37" s="50">
        <v>18</v>
      </c>
      <c r="N37" s="50">
        <v>0</v>
      </c>
      <c r="O37" s="15">
        <f t="shared" si="0"/>
        <v>111</v>
      </c>
      <c r="P37" s="15">
        <f t="shared" si="1"/>
        <v>129</v>
      </c>
      <c r="R37" s="37" t="s">
        <v>85</v>
      </c>
      <c r="S37" s="35">
        <f t="shared" ref="S37:AF37" si="29">SUM(S10:S12)</f>
        <v>204</v>
      </c>
      <c r="T37" s="16">
        <f t="shared" si="29"/>
        <v>132</v>
      </c>
      <c r="U37" s="16">
        <f t="shared" si="29"/>
        <v>59</v>
      </c>
      <c r="V37" s="16">
        <f t="shared" si="29"/>
        <v>461</v>
      </c>
      <c r="W37" s="16">
        <f t="shared" si="29"/>
        <v>13</v>
      </c>
      <c r="X37" s="16">
        <f t="shared" si="29"/>
        <v>4</v>
      </c>
      <c r="Y37" s="16">
        <f t="shared" si="29"/>
        <v>25</v>
      </c>
      <c r="Z37" s="16">
        <f t="shared" si="29"/>
        <v>60</v>
      </c>
      <c r="AA37" s="16">
        <f t="shared" si="29"/>
        <v>16</v>
      </c>
      <c r="AB37" s="16">
        <f t="shared" si="29"/>
        <v>74</v>
      </c>
      <c r="AC37" s="16">
        <f t="shared" si="29"/>
        <v>220</v>
      </c>
      <c r="AD37" s="16">
        <f t="shared" si="29"/>
        <v>0</v>
      </c>
      <c r="AE37" s="32">
        <f t="shared" si="29"/>
        <v>1048</v>
      </c>
      <c r="AF37" s="32">
        <f t="shared" si="29"/>
        <v>1268</v>
      </c>
    </row>
    <row r="38" spans="2:32" ht="23.1" customHeight="1" x14ac:dyDescent="0.25">
      <c r="B38" s="46" t="s">
        <v>65</v>
      </c>
      <c r="C38" s="50">
        <v>11</v>
      </c>
      <c r="D38" s="50">
        <v>4</v>
      </c>
      <c r="E38" s="50">
        <v>2</v>
      </c>
      <c r="F38" s="50">
        <v>26</v>
      </c>
      <c r="G38" s="50">
        <v>3</v>
      </c>
      <c r="H38" s="50">
        <v>0</v>
      </c>
      <c r="I38" s="50">
        <v>2</v>
      </c>
      <c r="J38" s="50">
        <v>4</v>
      </c>
      <c r="K38" s="50">
        <v>0</v>
      </c>
      <c r="L38" s="50">
        <v>2</v>
      </c>
      <c r="M38" s="50">
        <v>10</v>
      </c>
      <c r="N38" s="50">
        <v>0</v>
      </c>
      <c r="O38" s="15">
        <f t="shared" si="0"/>
        <v>54</v>
      </c>
      <c r="P38" s="15">
        <f t="shared" si="1"/>
        <v>64</v>
      </c>
      <c r="R38" s="28" t="s">
        <v>86</v>
      </c>
      <c r="S38" s="16">
        <f t="shared" ref="S38:AF38" si="30">SUM(S13:S18)</f>
        <v>503</v>
      </c>
      <c r="T38" s="16">
        <f t="shared" si="30"/>
        <v>210</v>
      </c>
      <c r="U38" s="16">
        <f t="shared" si="30"/>
        <v>96</v>
      </c>
      <c r="V38" s="16">
        <f t="shared" si="30"/>
        <v>826</v>
      </c>
      <c r="W38" s="16">
        <f t="shared" si="30"/>
        <v>90</v>
      </c>
      <c r="X38" s="16">
        <f t="shared" si="30"/>
        <v>16</v>
      </c>
      <c r="Y38" s="16">
        <f t="shared" si="30"/>
        <v>84</v>
      </c>
      <c r="Z38" s="16">
        <f t="shared" si="30"/>
        <v>82</v>
      </c>
      <c r="AA38" s="16">
        <f t="shared" si="30"/>
        <v>40</v>
      </c>
      <c r="AB38" s="16">
        <f t="shared" si="30"/>
        <v>193</v>
      </c>
      <c r="AC38" s="16">
        <f t="shared" si="30"/>
        <v>415</v>
      </c>
      <c r="AD38" s="16">
        <f t="shared" si="30"/>
        <v>1</v>
      </c>
      <c r="AE38" s="32">
        <f t="shared" si="30"/>
        <v>2141</v>
      </c>
      <c r="AF38" s="32">
        <f t="shared" si="30"/>
        <v>2556</v>
      </c>
    </row>
    <row r="39" spans="2:32" ht="23.1" customHeight="1" x14ac:dyDescent="0.25">
      <c r="B39" s="46" t="s">
        <v>66</v>
      </c>
      <c r="C39" s="50">
        <v>20</v>
      </c>
      <c r="D39" s="50">
        <v>7</v>
      </c>
      <c r="E39" s="50">
        <v>2</v>
      </c>
      <c r="F39" s="50">
        <v>29</v>
      </c>
      <c r="G39" s="50">
        <v>3</v>
      </c>
      <c r="H39" s="50">
        <v>0</v>
      </c>
      <c r="I39" s="50">
        <v>3</v>
      </c>
      <c r="J39" s="50">
        <v>0</v>
      </c>
      <c r="K39" s="50">
        <v>2</v>
      </c>
      <c r="L39" s="50">
        <v>7</v>
      </c>
      <c r="M39" s="50">
        <v>8</v>
      </c>
      <c r="N39" s="50">
        <v>0</v>
      </c>
      <c r="O39" s="15">
        <f t="shared" si="0"/>
        <v>73</v>
      </c>
      <c r="P39" s="15">
        <f t="shared" si="1"/>
        <v>81</v>
      </c>
      <c r="R39" s="29" t="s">
        <v>87</v>
      </c>
      <c r="S39" s="16">
        <f t="shared" ref="S39:AF39" si="31">SUM(S19:S21)</f>
        <v>202</v>
      </c>
      <c r="T39" s="16">
        <f t="shared" si="31"/>
        <v>67</v>
      </c>
      <c r="U39" s="16">
        <f t="shared" si="31"/>
        <v>42</v>
      </c>
      <c r="V39" s="16">
        <f t="shared" si="31"/>
        <v>381</v>
      </c>
      <c r="W39" s="16">
        <f t="shared" si="31"/>
        <v>16</v>
      </c>
      <c r="X39" s="16">
        <f t="shared" si="31"/>
        <v>9</v>
      </c>
      <c r="Y39" s="16">
        <f t="shared" si="31"/>
        <v>42</v>
      </c>
      <c r="Z39" s="16">
        <f t="shared" si="31"/>
        <v>64</v>
      </c>
      <c r="AA39" s="16">
        <f t="shared" si="31"/>
        <v>18</v>
      </c>
      <c r="AB39" s="16">
        <f t="shared" si="31"/>
        <v>263</v>
      </c>
      <c r="AC39" s="16">
        <f t="shared" si="31"/>
        <v>210</v>
      </c>
      <c r="AD39" s="16">
        <f t="shared" si="31"/>
        <v>0</v>
      </c>
      <c r="AE39" s="32">
        <f t="shared" si="31"/>
        <v>1104</v>
      </c>
      <c r="AF39" s="32">
        <f t="shared" si="31"/>
        <v>1314</v>
      </c>
    </row>
    <row r="40" spans="2:32" ht="23.1" customHeight="1" x14ac:dyDescent="0.25">
      <c r="B40" s="46" t="s">
        <v>67</v>
      </c>
      <c r="C40" s="50">
        <v>15</v>
      </c>
      <c r="D40" s="50">
        <v>10</v>
      </c>
      <c r="E40" s="50">
        <v>10</v>
      </c>
      <c r="F40" s="50">
        <v>40</v>
      </c>
      <c r="G40" s="50">
        <v>2</v>
      </c>
      <c r="H40" s="50">
        <v>1</v>
      </c>
      <c r="I40" s="50">
        <v>7</v>
      </c>
      <c r="J40" s="50">
        <v>5</v>
      </c>
      <c r="K40" s="50">
        <v>10</v>
      </c>
      <c r="L40" s="50">
        <v>5</v>
      </c>
      <c r="M40" s="50">
        <v>6</v>
      </c>
      <c r="N40" s="50">
        <v>0</v>
      </c>
      <c r="O40" s="15">
        <f t="shared" si="0"/>
        <v>105</v>
      </c>
      <c r="P40" s="15">
        <f t="shared" si="1"/>
        <v>111</v>
      </c>
      <c r="R40" s="5" t="s">
        <v>17</v>
      </c>
      <c r="S40" s="16">
        <f t="shared" ref="S40:AF40" si="32">SUM(S10:S21)</f>
        <v>909</v>
      </c>
      <c r="T40" s="16">
        <f t="shared" si="32"/>
        <v>409</v>
      </c>
      <c r="U40" s="16">
        <f t="shared" si="32"/>
        <v>197</v>
      </c>
      <c r="V40" s="16">
        <f t="shared" si="32"/>
        <v>1668</v>
      </c>
      <c r="W40" s="16">
        <f t="shared" si="32"/>
        <v>119</v>
      </c>
      <c r="X40" s="16">
        <f t="shared" si="32"/>
        <v>29</v>
      </c>
      <c r="Y40" s="16">
        <f t="shared" si="32"/>
        <v>151</v>
      </c>
      <c r="Z40" s="16">
        <f t="shared" si="32"/>
        <v>206</v>
      </c>
      <c r="AA40" s="16">
        <f t="shared" si="32"/>
        <v>74</v>
      </c>
      <c r="AB40" s="16">
        <f t="shared" si="32"/>
        <v>530</v>
      </c>
      <c r="AC40" s="16">
        <f t="shared" si="32"/>
        <v>845</v>
      </c>
      <c r="AD40" s="16">
        <f t="shared" si="32"/>
        <v>1</v>
      </c>
      <c r="AE40" s="32">
        <f t="shared" si="32"/>
        <v>4293</v>
      </c>
      <c r="AF40" s="32">
        <f t="shared" si="32"/>
        <v>5138</v>
      </c>
    </row>
    <row r="41" spans="2:32" ht="23.1" customHeight="1" x14ac:dyDescent="0.25">
      <c r="B41" s="45" t="s">
        <v>68</v>
      </c>
      <c r="C41" s="50">
        <v>18</v>
      </c>
      <c r="D41" s="50">
        <v>2</v>
      </c>
      <c r="E41" s="50">
        <v>3</v>
      </c>
      <c r="F41" s="50">
        <v>14</v>
      </c>
      <c r="G41" s="50">
        <v>2</v>
      </c>
      <c r="H41" s="50">
        <v>0</v>
      </c>
      <c r="I41" s="50">
        <v>1</v>
      </c>
      <c r="J41" s="50">
        <v>5</v>
      </c>
      <c r="K41" s="50">
        <v>3</v>
      </c>
      <c r="L41" s="50">
        <v>12</v>
      </c>
      <c r="M41" s="50">
        <v>6</v>
      </c>
      <c r="N41" s="50">
        <v>0</v>
      </c>
      <c r="O41" s="15">
        <f t="shared" si="0"/>
        <v>60</v>
      </c>
      <c r="P41" s="15">
        <f t="shared" si="1"/>
        <v>66</v>
      </c>
      <c r="R41" s="5" t="s">
        <v>159</v>
      </c>
      <c r="S41" s="16">
        <f>SUM(S10:S33)</f>
        <v>1297</v>
      </c>
      <c r="T41" s="16">
        <f t="shared" ref="T41:AF41" si="33">SUM(T10:T33)</f>
        <v>533</v>
      </c>
      <c r="U41" s="16">
        <f t="shared" si="33"/>
        <v>262</v>
      </c>
      <c r="V41" s="16">
        <f t="shared" si="33"/>
        <v>2168</v>
      </c>
      <c r="W41" s="16">
        <f t="shared" si="33"/>
        <v>144</v>
      </c>
      <c r="X41" s="16">
        <f t="shared" si="33"/>
        <v>56</v>
      </c>
      <c r="Y41" s="16">
        <f t="shared" si="33"/>
        <v>270</v>
      </c>
      <c r="Z41" s="16">
        <f t="shared" si="33"/>
        <v>405</v>
      </c>
      <c r="AA41" s="16">
        <f t="shared" si="33"/>
        <v>143</v>
      </c>
      <c r="AB41" s="16">
        <f t="shared" si="33"/>
        <v>852</v>
      </c>
      <c r="AC41" s="16">
        <f t="shared" si="33"/>
        <v>1355</v>
      </c>
      <c r="AD41" s="16">
        <f t="shared" si="33"/>
        <v>1</v>
      </c>
      <c r="AE41" s="32">
        <f t="shared" si="33"/>
        <v>6131</v>
      </c>
      <c r="AF41" s="32">
        <f t="shared" si="33"/>
        <v>7486</v>
      </c>
    </row>
    <row r="42" spans="2:32" ht="23.1" customHeight="1" x14ac:dyDescent="0.25">
      <c r="B42" s="46" t="s">
        <v>69</v>
      </c>
      <c r="C42" s="50">
        <v>10</v>
      </c>
      <c r="D42" s="50">
        <v>7</v>
      </c>
      <c r="E42" s="50">
        <v>2</v>
      </c>
      <c r="F42" s="50">
        <v>30</v>
      </c>
      <c r="G42" s="50">
        <v>0</v>
      </c>
      <c r="H42" s="50">
        <v>0</v>
      </c>
      <c r="I42" s="50">
        <v>2</v>
      </c>
      <c r="J42" s="50">
        <v>5</v>
      </c>
      <c r="K42" s="50">
        <v>2</v>
      </c>
      <c r="L42" s="50">
        <v>15</v>
      </c>
      <c r="M42" s="50">
        <v>10</v>
      </c>
      <c r="N42" s="50">
        <v>0</v>
      </c>
      <c r="O42" s="15">
        <f t="shared" si="0"/>
        <v>73</v>
      </c>
      <c r="P42" s="15">
        <f t="shared" si="1"/>
        <v>83</v>
      </c>
      <c r="R42" s="5" t="s">
        <v>160</v>
      </c>
      <c r="S42" s="48">
        <f>S41/S40</f>
        <v>1.4268426842684268</v>
      </c>
      <c r="T42" s="48">
        <f t="shared" ref="T42:AF42" si="34">T41/T40</f>
        <v>1.3031784841075795</v>
      </c>
      <c r="U42" s="48">
        <f t="shared" si="34"/>
        <v>1.3299492385786802</v>
      </c>
      <c r="V42" s="48">
        <f t="shared" si="34"/>
        <v>1.2997601918465227</v>
      </c>
      <c r="W42" s="48">
        <f t="shared" si="34"/>
        <v>1.2100840336134453</v>
      </c>
      <c r="X42" s="48">
        <f t="shared" si="34"/>
        <v>1.9310344827586208</v>
      </c>
      <c r="Y42" s="48">
        <f t="shared" si="34"/>
        <v>1.7880794701986755</v>
      </c>
      <c r="Z42" s="48">
        <f t="shared" si="34"/>
        <v>1.9660194174757282</v>
      </c>
      <c r="AA42" s="48">
        <f t="shared" si="34"/>
        <v>1.9324324324324325</v>
      </c>
      <c r="AB42" s="48">
        <f t="shared" si="34"/>
        <v>1.6075471698113208</v>
      </c>
      <c r="AC42" s="48">
        <f t="shared" si="34"/>
        <v>1.6035502958579881</v>
      </c>
      <c r="AD42" s="48">
        <f t="shared" si="34"/>
        <v>1</v>
      </c>
      <c r="AE42" s="48">
        <f t="shared" si="34"/>
        <v>1.4281388306545539</v>
      </c>
      <c r="AF42" s="48">
        <f t="shared" si="34"/>
        <v>1.4569871545348385</v>
      </c>
    </row>
    <row r="43" spans="2:32" ht="23.1" customHeight="1" x14ac:dyDescent="0.25">
      <c r="B43" s="45" t="s">
        <v>70</v>
      </c>
      <c r="C43" s="50">
        <v>22</v>
      </c>
      <c r="D43" s="50">
        <v>3</v>
      </c>
      <c r="E43" s="50">
        <v>2</v>
      </c>
      <c r="F43" s="50">
        <v>67</v>
      </c>
      <c r="G43" s="50">
        <v>4</v>
      </c>
      <c r="H43" s="50">
        <v>1</v>
      </c>
      <c r="I43" s="50">
        <v>6</v>
      </c>
      <c r="J43" s="50">
        <v>6</v>
      </c>
      <c r="K43" s="50">
        <v>2</v>
      </c>
      <c r="L43" s="50">
        <v>17</v>
      </c>
      <c r="M43" s="50">
        <v>15</v>
      </c>
      <c r="N43" s="50">
        <v>0</v>
      </c>
      <c r="O43" s="15">
        <f t="shared" si="0"/>
        <v>130</v>
      </c>
      <c r="P43" s="15">
        <f t="shared" si="1"/>
        <v>145</v>
      </c>
    </row>
    <row r="44" spans="2:32" ht="23.1" customHeight="1" x14ac:dyDescent="0.25">
      <c r="B44" s="47" t="s">
        <v>71</v>
      </c>
      <c r="C44" s="50">
        <v>20</v>
      </c>
      <c r="D44" s="50">
        <v>7</v>
      </c>
      <c r="E44" s="50">
        <v>6</v>
      </c>
      <c r="F44" s="50">
        <v>35</v>
      </c>
      <c r="G44" s="50">
        <v>0</v>
      </c>
      <c r="H44" s="50">
        <v>0</v>
      </c>
      <c r="I44" s="50">
        <v>2</v>
      </c>
      <c r="J44" s="50">
        <v>3</v>
      </c>
      <c r="K44" s="50">
        <v>2</v>
      </c>
      <c r="L44" s="50">
        <v>10</v>
      </c>
      <c r="M44" s="50">
        <v>27</v>
      </c>
      <c r="N44" s="50">
        <v>0</v>
      </c>
      <c r="O44" s="15">
        <f t="shared" si="0"/>
        <v>85</v>
      </c>
      <c r="P44" s="15">
        <f t="shared" si="1"/>
        <v>112</v>
      </c>
    </row>
    <row r="45" spans="2:32" ht="23.1" customHeight="1" x14ac:dyDescent="0.25">
      <c r="B45" s="45" t="s">
        <v>72</v>
      </c>
      <c r="C45" s="50">
        <v>25</v>
      </c>
      <c r="D45" s="50">
        <v>5</v>
      </c>
      <c r="E45" s="50">
        <v>3</v>
      </c>
      <c r="F45" s="50">
        <v>45</v>
      </c>
      <c r="G45" s="50">
        <v>1</v>
      </c>
      <c r="H45" s="50">
        <v>0</v>
      </c>
      <c r="I45" s="50">
        <v>3</v>
      </c>
      <c r="J45" s="50">
        <v>7</v>
      </c>
      <c r="K45" s="50">
        <v>0</v>
      </c>
      <c r="L45" s="50">
        <v>10</v>
      </c>
      <c r="M45" s="50">
        <v>17</v>
      </c>
      <c r="N45" s="50">
        <v>0</v>
      </c>
      <c r="O45" s="15">
        <f t="shared" si="0"/>
        <v>99</v>
      </c>
      <c r="P45" s="15">
        <f t="shared" si="1"/>
        <v>116</v>
      </c>
    </row>
    <row r="46" spans="2:32" ht="23.1" customHeight="1" x14ac:dyDescent="0.25">
      <c r="B46" s="46" t="s">
        <v>73</v>
      </c>
      <c r="C46" s="50">
        <v>21</v>
      </c>
      <c r="D46" s="50">
        <v>6</v>
      </c>
      <c r="E46" s="50">
        <v>1</v>
      </c>
      <c r="F46" s="50">
        <v>21</v>
      </c>
      <c r="G46" s="50">
        <v>1</v>
      </c>
      <c r="H46" s="50">
        <v>1</v>
      </c>
      <c r="I46" s="50">
        <v>3</v>
      </c>
      <c r="J46" s="50">
        <v>7</v>
      </c>
      <c r="K46" s="50">
        <v>1</v>
      </c>
      <c r="L46" s="50">
        <v>21</v>
      </c>
      <c r="M46" s="50">
        <v>26</v>
      </c>
      <c r="N46" s="50">
        <v>0</v>
      </c>
      <c r="O46" s="15">
        <f t="shared" si="0"/>
        <v>83</v>
      </c>
      <c r="P46" s="15">
        <f t="shared" si="1"/>
        <v>109</v>
      </c>
      <c r="R46" s="8"/>
      <c r="T46"/>
    </row>
    <row r="47" spans="2:32" ht="23.1" customHeight="1" x14ac:dyDescent="0.25">
      <c r="B47" s="46" t="s">
        <v>74</v>
      </c>
      <c r="C47" s="50">
        <v>12</v>
      </c>
      <c r="D47" s="50">
        <v>6</v>
      </c>
      <c r="E47" s="50">
        <v>3</v>
      </c>
      <c r="F47" s="50">
        <v>20</v>
      </c>
      <c r="G47" s="50">
        <v>0</v>
      </c>
      <c r="H47" s="50">
        <v>0</v>
      </c>
      <c r="I47" s="50">
        <v>3</v>
      </c>
      <c r="J47" s="50">
        <v>3</v>
      </c>
      <c r="K47" s="50">
        <v>1</v>
      </c>
      <c r="L47" s="50">
        <v>11</v>
      </c>
      <c r="M47" s="50">
        <v>15</v>
      </c>
      <c r="N47" s="50">
        <v>0</v>
      </c>
      <c r="O47" s="15">
        <f t="shared" si="0"/>
        <v>59</v>
      </c>
      <c r="P47" s="15">
        <f t="shared" si="1"/>
        <v>74</v>
      </c>
      <c r="R47" s="8"/>
      <c r="T47"/>
    </row>
    <row r="48" spans="2:32" ht="23.1" customHeight="1" x14ac:dyDescent="0.25">
      <c r="B48" s="46" t="s">
        <v>75</v>
      </c>
      <c r="C48" s="50">
        <v>25</v>
      </c>
      <c r="D48" s="50">
        <v>13</v>
      </c>
      <c r="E48" s="50">
        <v>11</v>
      </c>
      <c r="F48" s="50">
        <v>40</v>
      </c>
      <c r="G48" s="50">
        <v>0</v>
      </c>
      <c r="H48" s="50">
        <v>1</v>
      </c>
      <c r="I48" s="50">
        <v>7</v>
      </c>
      <c r="J48" s="50">
        <v>5</v>
      </c>
      <c r="K48" s="50">
        <v>2</v>
      </c>
      <c r="L48" s="50">
        <v>26</v>
      </c>
      <c r="M48" s="50">
        <v>27</v>
      </c>
      <c r="N48" s="50">
        <v>0</v>
      </c>
      <c r="O48" s="15">
        <f t="shared" si="0"/>
        <v>130</v>
      </c>
      <c r="P48" s="15">
        <f t="shared" si="1"/>
        <v>157</v>
      </c>
      <c r="R48" s="8"/>
      <c r="T48"/>
    </row>
    <row r="49" spans="2:20" ht="23.1" customHeight="1" x14ac:dyDescent="0.25">
      <c r="B49" s="45" t="s">
        <v>76</v>
      </c>
      <c r="C49" s="50">
        <v>25</v>
      </c>
      <c r="D49" s="50">
        <v>4</v>
      </c>
      <c r="E49" s="50">
        <v>6</v>
      </c>
      <c r="F49" s="50">
        <v>45</v>
      </c>
      <c r="G49" s="50">
        <v>7</v>
      </c>
      <c r="H49" s="50">
        <v>2</v>
      </c>
      <c r="I49" s="50">
        <v>1</v>
      </c>
      <c r="J49" s="50">
        <v>4</v>
      </c>
      <c r="K49" s="50">
        <v>0</v>
      </c>
      <c r="L49" s="50">
        <v>23</v>
      </c>
      <c r="M49" s="50">
        <v>10</v>
      </c>
      <c r="N49" s="50">
        <v>0</v>
      </c>
      <c r="O49" s="15">
        <f t="shared" si="0"/>
        <v>117</v>
      </c>
      <c r="P49" s="15">
        <f t="shared" si="1"/>
        <v>127</v>
      </c>
      <c r="R49" s="8"/>
      <c r="T49"/>
    </row>
    <row r="50" spans="2:20" ht="23.1" customHeight="1" x14ac:dyDescent="0.25">
      <c r="B50" s="46" t="s">
        <v>77</v>
      </c>
      <c r="C50" s="50">
        <v>13</v>
      </c>
      <c r="D50" s="50">
        <v>3</v>
      </c>
      <c r="E50" s="50">
        <v>5</v>
      </c>
      <c r="F50" s="50">
        <v>35</v>
      </c>
      <c r="G50" s="50">
        <v>1</v>
      </c>
      <c r="H50" s="50">
        <v>0</v>
      </c>
      <c r="I50" s="50">
        <v>3</v>
      </c>
      <c r="J50" s="50">
        <v>8</v>
      </c>
      <c r="K50" s="50">
        <v>1</v>
      </c>
      <c r="L50" s="50">
        <v>27</v>
      </c>
      <c r="M50" s="50">
        <v>18</v>
      </c>
      <c r="N50" s="50">
        <v>0</v>
      </c>
      <c r="O50" s="15">
        <f t="shared" si="0"/>
        <v>96</v>
      </c>
      <c r="P50" s="15">
        <f t="shared" si="1"/>
        <v>114</v>
      </c>
      <c r="R50" s="8"/>
      <c r="T50"/>
    </row>
    <row r="51" spans="2:20" ht="23.1" customHeight="1" x14ac:dyDescent="0.25">
      <c r="B51" s="46" t="s">
        <v>78</v>
      </c>
      <c r="C51" s="50">
        <v>9</v>
      </c>
      <c r="D51" s="50">
        <v>1</v>
      </c>
      <c r="E51" s="50">
        <v>1</v>
      </c>
      <c r="F51" s="50">
        <v>25</v>
      </c>
      <c r="G51" s="50">
        <v>0</v>
      </c>
      <c r="H51" s="50">
        <v>3</v>
      </c>
      <c r="I51" s="50">
        <v>5</v>
      </c>
      <c r="J51" s="50">
        <v>2</v>
      </c>
      <c r="K51" s="50">
        <v>0</v>
      </c>
      <c r="L51" s="50">
        <v>18</v>
      </c>
      <c r="M51" s="50">
        <v>11</v>
      </c>
      <c r="N51" s="50">
        <v>0</v>
      </c>
      <c r="O51" s="15">
        <f t="shared" si="0"/>
        <v>64</v>
      </c>
      <c r="P51" s="15">
        <f t="shared" si="1"/>
        <v>75</v>
      </c>
      <c r="R51" s="8"/>
      <c r="T51"/>
    </row>
    <row r="52" spans="2:20" ht="23.1" customHeight="1" x14ac:dyDescent="0.25">
      <c r="B52" s="46" t="s">
        <v>79</v>
      </c>
      <c r="C52" s="50">
        <v>8</v>
      </c>
      <c r="D52" s="50">
        <v>5</v>
      </c>
      <c r="E52" s="50">
        <v>1</v>
      </c>
      <c r="F52" s="50">
        <v>25</v>
      </c>
      <c r="G52" s="50">
        <v>1</v>
      </c>
      <c r="H52" s="50">
        <v>0</v>
      </c>
      <c r="I52" s="50">
        <v>4</v>
      </c>
      <c r="J52" s="50">
        <v>1</v>
      </c>
      <c r="K52" s="50">
        <v>3</v>
      </c>
      <c r="L52" s="50">
        <v>12</v>
      </c>
      <c r="M52" s="50">
        <v>13</v>
      </c>
      <c r="N52" s="50">
        <v>0</v>
      </c>
      <c r="O52" s="15">
        <f t="shared" si="0"/>
        <v>60</v>
      </c>
      <c r="P52" s="15">
        <f t="shared" si="1"/>
        <v>73</v>
      </c>
      <c r="R52" s="8"/>
      <c r="T52"/>
    </row>
    <row r="53" spans="2:20" ht="23.1" customHeight="1" x14ac:dyDescent="0.25">
      <c r="B53" s="45" t="s">
        <v>80</v>
      </c>
      <c r="C53" s="50">
        <v>14</v>
      </c>
      <c r="D53" s="50">
        <v>4</v>
      </c>
      <c r="E53" s="50">
        <v>5</v>
      </c>
      <c r="F53" s="50">
        <v>45</v>
      </c>
      <c r="G53" s="50">
        <v>1</v>
      </c>
      <c r="H53" s="50">
        <v>0</v>
      </c>
      <c r="I53" s="50">
        <v>0</v>
      </c>
      <c r="J53" s="50">
        <v>4</v>
      </c>
      <c r="K53" s="50">
        <v>2</v>
      </c>
      <c r="L53" s="50">
        <v>19</v>
      </c>
      <c r="M53" s="50">
        <v>21</v>
      </c>
      <c r="N53" s="50">
        <v>0</v>
      </c>
      <c r="O53" s="15">
        <f t="shared" si="0"/>
        <v>94</v>
      </c>
      <c r="P53" s="15">
        <f t="shared" si="1"/>
        <v>115</v>
      </c>
      <c r="R53" s="8"/>
      <c r="T53"/>
    </row>
    <row r="54" spans="2:20" ht="23.1" customHeight="1" x14ac:dyDescent="0.25">
      <c r="B54" s="45" t="s">
        <v>81</v>
      </c>
      <c r="C54" s="50">
        <v>17</v>
      </c>
      <c r="D54" s="50">
        <v>9</v>
      </c>
      <c r="E54" s="50">
        <v>2</v>
      </c>
      <c r="F54" s="50">
        <v>38</v>
      </c>
      <c r="G54" s="50">
        <v>1</v>
      </c>
      <c r="H54" s="50">
        <v>1</v>
      </c>
      <c r="I54" s="50">
        <v>7</v>
      </c>
      <c r="J54" s="50">
        <v>7</v>
      </c>
      <c r="K54" s="50">
        <v>3</v>
      </c>
      <c r="L54" s="50">
        <v>32</v>
      </c>
      <c r="M54" s="50">
        <v>22</v>
      </c>
      <c r="N54" s="50">
        <v>0</v>
      </c>
      <c r="O54" s="15">
        <f t="shared" si="0"/>
        <v>117</v>
      </c>
      <c r="P54" s="15">
        <f t="shared" si="1"/>
        <v>139</v>
      </c>
      <c r="R54" s="8"/>
      <c r="T54"/>
    </row>
    <row r="55" spans="2:20" ht="23.1" customHeight="1" x14ac:dyDescent="0.25">
      <c r="B55" s="45" t="s">
        <v>82</v>
      </c>
      <c r="C55" s="50">
        <v>25</v>
      </c>
      <c r="D55" s="50">
        <v>10</v>
      </c>
      <c r="E55" s="50">
        <v>1</v>
      </c>
      <c r="F55" s="50">
        <v>36</v>
      </c>
      <c r="G55" s="50">
        <v>1</v>
      </c>
      <c r="H55" s="50">
        <v>0</v>
      </c>
      <c r="I55" s="50">
        <v>5</v>
      </c>
      <c r="J55" s="50">
        <v>8</v>
      </c>
      <c r="K55" s="50">
        <v>3</v>
      </c>
      <c r="L55" s="50">
        <v>30</v>
      </c>
      <c r="M55" s="50">
        <v>13</v>
      </c>
      <c r="N55" s="50">
        <v>0</v>
      </c>
      <c r="O55" s="15">
        <f t="shared" si="0"/>
        <v>119</v>
      </c>
      <c r="P55" s="15">
        <f t="shared" si="1"/>
        <v>132</v>
      </c>
      <c r="R55" s="8"/>
      <c r="T55"/>
    </row>
    <row r="56" spans="2:20" ht="23.1" customHeight="1" x14ac:dyDescent="0.25">
      <c r="B56" s="45" t="s">
        <v>83</v>
      </c>
      <c r="C56" s="50">
        <v>25</v>
      </c>
      <c r="D56" s="50">
        <v>4</v>
      </c>
      <c r="E56" s="50">
        <v>6</v>
      </c>
      <c r="F56" s="50">
        <v>32</v>
      </c>
      <c r="G56" s="50">
        <v>2</v>
      </c>
      <c r="H56" s="50">
        <v>0</v>
      </c>
      <c r="I56" s="50">
        <v>2</v>
      </c>
      <c r="J56" s="50">
        <v>9</v>
      </c>
      <c r="K56" s="50">
        <v>1</v>
      </c>
      <c r="L56" s="50">
        <v>27</v>
      </c>
      <c r="M56" s="50">
        <v>25</v>
      </c>
      <c r="N56" s="50">
        <v>0</v>
      </c>
      <c r="O56" s="15">
        <f t="shared" si="0"/>
        <v>108</v>
      </c>
      <c r="P56" s="15">
        <f t="shared" si="1"/>
        <v>133</v>
      </c>
      <c r="R56" s="8"/>
      <c r="T56"/>
    </row>
    <row r="57" spans="2:20" ht="23.1" customHeight="1" x14ac:dyDescent="0.25">
      <c r="B57" s="45" t="s">
        <v>84</v>
      </c>
      <c r="C57" s="50">
        <v>8</v>
      </c>
      <c r="D57" s="50">
        <v>2</v>
      </c>
      <c r="E57" s="50">
        <v>0</v>
      </c>
      <c r="F57" s="50">
        <v>19</v>
      </c>
      <c r="G57" s="50">
        <v>1</v>
      </c>
      <c r="H57" s="50">
        <v>1</v>
      </c>
      <c r="I57" s="50">
        <v>2</v>
      </c>
      <c r="J57" s="50">
        <v>6</v>
      </c>
      <c r="K57" s="50">
        <v>1</v>
      </c>
      <c r="L57" s="50">
        <v>17</v>
      </c>
      <c r="M57" s="50">
        <v>9</v>
      </c>
      <c r="N57" s="50">
        <v>0</v>
      </c>
      <c r="O57" s="15">
        <f t="shared" si="0"/>
        <v>57</v>
      </c>
      <c r="P57" s="15">
        <f t="shared" si="1"/>
        <v>66</v>
      </c>
      <c r="R57" s="8"/>
      <c r="T57"/>
    </row>
    <row r="58" spans="2:20" ht="23.1" customHeight="1" x14ac:dyDescent="0.25">
      <c r="B58" s="45" t="s">
        <v>99</v>
      </c>
      <c r="C58" s="50">
        <v>30</v>
      </c>
      <c r="D58" s="50">
        <v>4</v>
      </c>
      <c r="E58" s="50">
        <v>2</v>
      </c>
      <c r="F58" s="50">
        <v>22</v>
      </c>
      <c r="G58" s="50">
        <v>1</v>
      </c>
      <c r="H58" s="50">
        <v>0</v>
      </c>
      <c r="I58" s="50">
        <v>5</v>
      </c>
      <c r="J58" s="50">
        <v>3</v>
      </c>
      <c r="K58" s="50">
        <v>1</v>
      </c>
      <c r="L58" s="50">
        <v>12</v>
      </c>
      <c r="M58" s="50">
        <v>32</v>
      </c>
      <c r="N58" s="50">
        <v>0</v>
      </c>
      <c r="O58" s="15">
        <f t="shared" si="0"/>
        <v>80</v>
      </c>
      <c r="P58" s="15">
        <f t="shared" si="1"/>
        <v>112</v>
      </c>
      <c r="R58" s="8"/>
      <c r="T58"/>
    </row>
    <row r="59" spans="2:20" ht="23.1" customHeight="1" x14ac:dyDescent="0.25">
      <c r="B59" s="45" t="s">
        <v>100</v>
      </c>
      <c r="C59" s="50">
        <v>25</v>
      </c>
      <c r="D59" s="50">
        <v>10</v>
      </c>
      <c r="E59" s="50">
        <v>4</v>
      </c>
      <c r="F59" s="50">
        <v>43</v>
      </c>
      <c r="G59" s="50">
        <v>1</v>
      </c>
      <c r="H59" s="50">
        <v>1</v>
      </c>
      <c r="I59" s="50">
        <v>7</v>
      </c>
      <c r="J59" s="50">
        <v>1</v>
      </c>
      <c r="K59" s="50">
        <v>4</v>
      </c>
      <c r="L59" s="50">
        <v>27</v>
      </c>
      <c r="M59" s="50">
        <v>29</v>
      </c>
      <c r="N59" s="50">
        <v>0</v>
      </c>
      <c r="O59" s="15">
        <f t="shared" si="0"/>
        <v>123</v>
      </c>
      <c r="P59" s="15">
        <f t="shared" si="1"/>
        <v>152</v>
      </c>
      <c r="R59" s="8"/>
      <c r="T59"/>
    </row>
    <row r="60" spans="2:20" ht="23.1" customHeight="1" x14ac:dyDescent="0.25">
      <c r="B60" s="45" t="s">
        <v>101</v>
      </c>
      <c r="C60" s="50">
        <v>23</v>
      </c>
      <c r="D60" s="50">
        <v>0</v>
      </c>
      <c r="E60" s="50">
        <v>1</v>
      </c>
      <c r="F60" s="50">
        <v>19</v>
      </c>
      <c r="G60" s="50">
        <v>0</v>
      </c>
      <c r="H60" s="50">
        <v>2</v>
      </c>
      <c r="I60" s="50">
        <v>2</v>
      </c>
      <c r="J60" s="50">
        <v>5</v>
      </c>
      <c r="K60" s="50">
        <v>1</v>
      </c>
      <c r="L60" s="50">
        <v>12</v>
      </c>
      <c r="M60" s="50">
        <v>17</v>
      </c>
      <c r="N60" s="50">
        <v>0</v>
      </c>
      <c r="O60" s="15">
        <f t="shared" si="0"/>
        <v>65</v>
      </c>
      <c r="P60" s="15">
        <f t="shared" si="1"/>
        <v>82</v>
      </c>
      <c r="R60" s="8"/>
      <c r="T60"/>
    </row>
    <row r="61" spans="2:20" ht="23.1" customHeight="1" x14ac:dyDescent="0.25">
      <c r="B61" s="45" t="s">
        <v>102</v>
      </c>
      <c r="C61" s="50">
        <v>29</v>
      </c>
      <c r="D61" s="50">
        <v>9</v>
      </c>
      <c r="E61" s="50">
        <v>5</v>
      </c>
      <c r="F61" s="50">
        <v>20</v>
      </c>
      <c r="G61" s="50">
        <v>3</v>
      </c>
      <c r="H61" s="50">
        <v>1</v>
      </c>
      <c r="I61" s="50">
        <v>18</v>
      </c>
      <c r="J61" s="50">
        <v>1</v>
      </c>
      <c r="K61" s="50">
        <v>3</v>
      </c>
      <c r="L61" s="50">
        <v>22</v>
      </c>
      <c r="M61" s="50">
        <v>36</v>
      </c>
      <c r="N61" s="50">
        <v>0</v>
      </c>
      <c r="O61" s="15">
        <f t="shared" si="0"/>
        <v>111</v>
      </c>
      <c r="P61" s="15">
        <f t="shared" si="1"/>
        <v>147</v>
      </c>
      <c r="R61" s="8"/>
      <c r="T61"/>
    </row>
    <row r="62" spans="2:20" ht="23.1" customHeight="1" x14ac:dyDescent="0.25">
      <c r="B62" s="45" t="s">
        <v>107</v>
      </c>
      <c r="C62" s="50">
        <v>25</v>
      </c>
      <c r="D62" s="50">
        <v>12</v>
      </c>
      <c r="E62" s="50">
        <v>7</v>
      </c>
      <c r="F62" s="50">
        <v>39</v>
      </c>
      <c r="G62" s="50">
        <v>1</v>
      </c>
      <c r="H62" s="50">
        <v>2</v>
      </c>
      <c r="I62" s="50">
        <v>18</v>
      </c>
      <c r="J62" s="50">
        <v>6</v>
      </c>
      <c r="K62" s="50">
        <v>6</v>
      </c>
      <c r="L62" s="50">
        <v>30</v>
      </c>
      <c r="M62" s="50">
        <v>27</v>
      </c>
      <c r="N62" s="50">
        <v>0</v>
      </c>
      <c r="O62" s="15">
        <f t="shared" si="0"/>
        <v>146</v>
      </c>
      <c r="P62" s="15">
        <f t="shared" si="1"/>
        <v>173</v>
      </c>
      <c r="R62" s="8"/>
      <c r="T62"/>
    </row>
    <row r="63" spans="2:20" ht="23.1" customHeight="1" x14ac:dyDescent="0.25">
      <c r="B63" s="45" t="s">
        <v>108</v>
      </c>
      <c r="C63" s="50">
        <v>18</v>
      </c>
      <c r="D63" s="50">
        <v>3</v>
      </c>
      <c r="E63" s="50">
        <v>4</v>
      </c>
      <c r="F63" s="50">
        <v>29</v>
      </c>
      <c r="G63" s="50">
        <v>2</v>
      </c>
      <c r="H63" s="50">
        <v>0</v>
      </c>
      <c r="I63" s="50">
        <v>10</v>
      </c>
      <c r="J63" s="50">
        <v>13</v>
      </c>
      <c r="K63" s="50">
        <v>7</v>
      </c>
      <c r="L63" s="50">
        <v>25</v>
      </c>
      <c r="M63" s="50">
        <v>24</v>
      </c>
      <c r="N63" s="50">
        <v>0</v>
      </c>
      <c r="O63" s="15">
        <f t="shared" si="0"/>
        <v>111</v>
      </c>
      <c r="P63" s="15">
        <f t="shared" si="1"/>
        <v>135</v>
      </c>
      <c r="R63" s="8"/>
      <c r="T63"/>
    </row>
    <row r="64" spans="2:20" ht="23.1" customHeight="1" x14ac:dyDescent="0.25">
      <c r="B64" s="45" t="s">
        <v>109</v>
      </c>
      <c r="C64" s="50">
        <v>12</v>
      </c>
      <c r="D64" s="50">
        <v>4</v>
      </c>
      <c r="E64" s="50">
        <v>2</v>
      </c>
      <c r="F64" s="50">
        <v>18</v>
      </c>
      <c r="G64" s="50">
        <v>0</v>
      </c>
      <c r="H64" s="50">
        <v>1</v>
      </c>
      <c r="I64" s="50">
        <v>2</v>
      </c>
      <c r="J64" s="50">
        <v>9</v>
      </c>
      <c r="K64" s="50">
        <v>2</v>
      </c>
      <c r="L64" s="50">
        <v>12</v>
      </c>
      <c r="M64" s="50">
        <v>22</v>
      </c>
      <c r="N64" s="50">
        <v>0</v>
      </c>
      <c r="O64" s="15">
        <f t="shared" si="0"/>
        <v>62</v>
      </c>
      <c r="P64" s="15">
        <f t="shared" si="1"/>
        <v>84</v>
      </c>
      <c r="R64" s="8"/>
      <c r="T64"/>
    </row>
    <row r="65" spans="2:20" ht="23.1" customHeight="1" x14ac:dyDescent="0.25">
      <c r="B65" s="45" t="s">
        <v>158</v>
      </c>
      <c r="C65" s="50">
        <v>18</v>
      </c>
      <c r="D65" s="50">
        <v>8</v>
      </c>
      <c r="E65" s="50">
        <v>2</v>
      </c>
      <c r="F65" s="50">
        <v>31</v>
      </c>
      <c r="G65" s="50">
        <v>0</v>
      </c>
      <c r="H65" s="50">
        <v>0</v>
      </c>
      <c r="I65" s="50">
        <v>7</v>
      </c>
      <c r="J65" s="50">
        <v>11</v>
      </c>
      <c r="K65" s="50">
        <v>1</v>
      </c>
      <c r="L65" s="50">
        <v>16</v>
      </c>
      <c r="M65" s="50">
        <v>22</v>
      </c>
      <c r="N65" s="50">
        <v>0</v>
      </c>
      <c r="O65" s="15">
        <f t="shared" si="0"/>
        <v>94</v>
      </c>
      <c r="P65" s="15">
        <f t="shared" si="1"/>
        <v>116</v>
      </c>
      <c r="R65" s="8"/>
      <c r="T65"/>
    </row>
    <row r="66" spans="2:20" ht="23.1" customHeight="1" x14ac:dyDescent="0.25">
      <c r="B66" s="45" t="s">
        <v>103</v>
      </c>
      <c r="C66" s="50">
        <v>7</v>
      </c>
      <c r="D66" s="50">
        <v>7</v>
      </c>
      <c r="E66" s="50">
        <v>3</v>
      </c>
      <c r="F66" s="50">
        <v>13</v>
      </c>
      <c r="G66" s="50">
        <v>1</v>
      </c>
      <c r="H66" s="50">
        <v>0</v>
      </c>
      <c r="I66" s="50">
        <v>2</v>
      </c>
      <c r="J66" s="50">
        <v>3</v>
      </c>
      <c r="K66" s="50">
        <v>2</v>
      </c>
      <c r="L66" s="50">
        <v>7</v>
      </c>
      <c r="M66" s="50">
        <v>26</v>
      </c>
      <c r="N66" s="50">
        <v>0</v>
      </c>
      <c r="O66" s="15">
        <f t="shared" si="0"/>
        <v>45</v>
      </c>
      <c r="P66" s="15">
        <f t="shared" si="1"/>
        <v>71</v>
      </c>
      <c r="R66" s="8"/>
      <c r="T66"/>
    </row>
    <row r="67" spans="2:20" ht="23.1" customHeight="1" x14ac:dyDescent="0.25">
      <c r="B67" s="45" t="s">
        <v>104</v>
      </c>
      <c r="C67" s="50">
        <v>24</v>
      </c>
      <c r="D67" s="50">
        <v>9</v>
      </c>
      <c r="E67" s="50">
        <v>1</v>
      </c>
      <c r="F67" s="50">
        <v>20</v>
      </c>
      <c r="G67" s="50">
        <v>2</v>
      </c>
      <c r="H67" s="50">
        <v>0</v>
      </c>
      <c r="I67" s="50">
        <v>2</v>
      </c>
      <c r="J67" s="50">
        <v>7</v>
      </c>
      <c r="K67" s="50">
        <v>2</v>
      </c>
      <c r="L67" s="50">
        <v>12</v>
      </c>
      <c r="M67" s="50">
        <v>24</v>
      </c>
      <c r="N67" s="50">
        <v>0</v>
      </c>
      <c r="O67" s="15">
        <f t="shared" si="0"/>
        <v>79</v>
      </c>
      <c r="P67" s="15">
        <f t="shared" si="1"/>
        <v>103</v>
      </c>
      <c r="R67" s="8"/>
      <c r="T67"/>
    </row>
    <row r="68" spans="2:20" ht="23.1" customHeight="1" x14ac:dyDescent="0.25">
      <c r="B68" s="45" t="s">
        <v>105</v>
      </c>
      <c r="C68" s="50">
        <v>16</v>
      </c>
      <c r="D68" s="50">
        <v>2</v>
      </c>
      <c r="E68" s="50">
        <v>0</v>
      </c>
      <c r="F68" s="50">
        <v>19</v>
      </c>
      <c r="G68" s="50">
        <v>0</v>
      </c>
      <c r="H68" s="50">
        <v>1</v>
      </c>
      <c r="I68" s="50">
        <v>6</v>
      </c>
      <c r="J68" s="50">
        <v>6</v>
      </c>
      <c r="K68" s="50">
        <v>1</v>
      </c>
      <c r="L68" s="50">
        <v>3</v>
      </c>
      <c r="M68" s="50">
        <v>23</v>
      </c>
      <c r="N68" s="50">
        <v>0</v>
      </c>
      <c r="O68" s="15">
        <f t="shared" si="0"/>
        <v>54</v>
      </c>
      <c r="P68" s="15">
        <f t="shared" si="1"/>
        <v>77</v>
      </c>
      <c r="R68" s="8"/>
      <c r="T68"/>
    </row>
    <row r="69" spans="2:20" ht="23.1" customHeight="1" x14ac:dyDescent="0.25">
      <c r="B69" s="45" t="s">
        <v>106</v>
      </c>
      <c r="C69" s="50">
        <v>17</v>
      </c>
      <c r="D69" s="50">
        <v>5</v>
      </c>
      <c r="E69" s="50">
        <v>0</v>
      </c>
      <c r="F69" s="50">
        <v>25</v>
      </c>
      <c r="G69" s="50">
        <v>3</v>
      </c>
      <c r="H69" s="50">
        <v>2</v>
      </c>
      <c r="I69" s="50">
        <v>3</v>
      </c>
      <c r="J69" s="50">
        <v>7</v>
      </c>
      <c r="K69" s="50">
        <v>3</v>
      </c>
      <c r="L69" s="50">
        <v>9</v>
      </c>
      <c r="M69" s="50">
        <v>31</v>
      </c>
      <c r="N69" s="50">
        <v>0</v>
      </c>
      <c r="O69" s="15">
        <f t="shared" si="0"/>
        <v>74</v>
      </c>
      <c r="P69" s="15">
        <f t="shared" si="1"/>
        <v>105</v>
      </c>
      <c r="R69" s="8"/>
      <c r="T69"/>
    </row>
    <row r="70" spans="2:20" ht="23.1" customHeight="1" x14ac:dyDescent="0.25">
      <c r="B70" s="45" t="s">
        <v>110</v>
      </c>
      <c r="C70" s="50">
        <v>16</v>
      </c>
      <c r="D70" s="50">
        <v>5</v>
      </c>
      <c r="E70" s="50">
        <v>2</v>
      </c>
      <c r="F70" s="50">
        <v>18</v>
      </c>
      <c r="G70" s="50">
        <v>3</v>
      </c>
      <c r="H70" s="50">
        <v>1</v>
      </c>
      <c r="I70" s="50">
        <v>0</v>
      </c>
      <c r="J70" s="50">
        <v>4</v>
      </c>
      <c r="K70" s="50">
        <v>3</v>
      </c>
      <c r="L70" s="50">
        <v>7</v>
      </c>
      <c r="M70" s="50">
        <v>20</v>
      </c>
      <c r="N70" s="50">
        <v>0</v>
      </c>
      <c r="O70" s="15">
        <f t="shared" si="0"/>
        <v>59</v>
      </c>
      <c r="P70" s="15">
        <f t="shared" si="1"/>
        <v>79</v>
      </c>
      <c r="R70" s="8"/>
      <c r="T70"/>
    </row>
    <row r="71" spans="2:20" ht="23.1" customHeight="1" x14ac:dyDescent="0.25">
      <c r="B71" s="45" t="s">
        <v>111</v>
      </c>
      <c r="C71" s="50">
        <v>8</v>
      </c>
      <c r="D71" s="50">
        <v>1</v>
      </c>
      <c r="E71" s="50">
        <v>6</v>
      </c>
      <c r="F71" s="50">
        <v>26</v>
      </c>
      <c r="G71" s="50">
        <v>1</v>
      </c>
      <c r="H71" s="50">
        <v>2</v>
      </c>
      <c r="I71" s="50">
        <v>3</v>
      </c>
      <c r="J71" s="50">
        <v>8</v>
      </c>
      <c r="K71" s="50">
        <v>3</v>
      </c>
      <c r="L71" s="50">
        <v>8</v>
      </c>
      <c r="M71" s="50">
        <v>18</v>
      </c>
      <c r="N71" s="50">
        <v>0</v>
      </c>
      <c r="O71" s="15">
        <f t="shared" si="0"/>
        <v>66</v>
      </c>
      <c r="P71" s="15">
        <f t="shared" si="1"/>
        <v>84</v>
      </c>
      <c r="R71" s="8"/>
      <c r="T71"/>
    </row>
    <row r="72" spans="2:20" ht="23.1" customHeight="1" x14ac:dyDescent="0.25">
      <c r="B72" s="45" t="s">
        <v>112</v>
      </c>
      <c r="C72" s="50">
        <v>10</v>
      </c>
      <c r="D72" s="50">
        <v>1</v>
      </c>
      <c r="E72" s="50">
        <v>4</v>
      </c>
      <c r="F72" s="50">
        <v>15</v>
      </c>
      <c r="G72" s="50">
        <v>0</v>
      </c>
      <c r="H72" s="50">
        <v>1</v>
      </c>
      <c r="I72" s="50">
        <v>2</v>
      </c>
      <c r="J72" s="50">
        <v>1</v>
      </c>
      <c r="K72" s="50">
        <v>4</v>
      </c>
      <c r="L72" s="50">
        <v>3</v>
      </c>
      <c r="M72" s="50">
        <v>18</v>
      </c>
      <c r="N72" s="50">
        <v>0</v>
      </c>
      <c r="O72" s="15">
        <f t="shared" si="0"/>
        <v>41</v>
      </c>
      <c r="P72" s="15">
        <f t="shared" si="1"/>
        <v>59</v>
      </c>
      <c r="R72" s="8"/>
      <c r="T72"/>
    </row>
    <row r="73" spans="2:20" ht="23.1" customHeight="1" x14ac:dyDescent="0.25">
      <c r="B73" s="45" t="s">
        <v>113</v>
      </c>
      <c r="C73" s="50">
        <v>10</v>
      </c>
      <c r="D73" s="50">
        <v>2</v>
      </c>
      <c r="E73" s="50">
        <v>1</v>
      </c>
      <c r="F73" s="50">
        <v>9</v>
      </c>
      <c r="G73" s="50">
        <v>1</v>
      </c>
      <c r="H73" s="50">
        <v>1</v>
      </c>
      <c r="I73" s="50">
        <v>0</v>
      </c>
      <c r="J73" s="50">
        <v>2</v>
      </c>
      <c r="K73" s="50">
        <v>0</v>
      </c>
      <c r="L73" s="50">
        <v>4</v>
      </c>
      <c r="M73" s="50">
        <v>11</v>
      </c>
      <c r="N73" s="50">
        <v>0</v>
      </c>
      <c r="O73" s="15">
        <f t="shared" si="0"/>
        <v>30</v>
      </c>
      <c r="P73" s="15">
        <f t="shared" si="1"/>
        <v>41</v>
      </c>
      <c r="R73" s="8"/>
      <c r="T73"/>
    </row>
    <row r="74" spans="2:20" ht="23.1" customHeight="1" x14ac:dyDescent="0.25">
      <c r="B74" s="45" t="s">
        <v>114</v>
      </c>
      <c r="C74" s="50">
        <v>8</v>
      </c>
      <c r="D74" s="50">
        <v>3</v>
      </c>
      <c r="E74" s="50">
        <v>1</v>
      </c>
      <c r="F74" s="50">
        <v>7</v>
      </c>
      <c r="G74" s="50">
        <v>2</v>
      </c>
      <c r="H74" s="50">
        <v>0</v>
      </c>
      <c r="I74" s="50">
        <v>3</v>
      </c>
      <c r="J74" s="50">
        <v>7</v>
      </c>
      <c r="K74" s="50">
        <v>1</v>
      </c>
      <c r="L74" s="50">
        <v>7</v>
      </c>
      <c r="M74" s="50">
        <v>14</v>
      </c>
      <c r="N74" s="50">
        <v>0</v>
      </c>
      <c r="O74" s="15">
        <f t="shared" ref="O74:O105" si="35">SUM(C74:L74,N74)</f>
        <v>39</v>
      </c>
      <c r="P74" s="15">
        <f t="shared" ref="P74:P105" si="36">SUM(C74:N74)</f>
        <v>53</v>
      </c>
      <c r="R74" s="8"/>
      <c r="T74"/>
    </row>
    <row r="75" spans="2:20" ht="23.1" customHeight="1" x14ac:dyDescent="0.25">
      <c r="B75" s="45" t="s">
        <v>115</v>
      </c>
      <c r="C75" s="50">
        <v>11</v>
      </c>
      <c r="D75" s="50">
        <v>1</v>
      </c>
      <c r="E75" s="50">
        <v>1</v>
      </c>
      <c r="F75" s="50">
        <v>14</v>
      </c>
      <c r="G75" s="50">
        <v>1</v>
      </c>
      <c r="H75" s="50">
        <v>1</v>
      </c>
      <c r="I75" s="50">
        <v>1</v>
      </c>
      <c r="J75" s="50">
        <v>3</v>
      </c>
      <c r="K75" s="50">
        <v>1</v>
      </c>
      <c r="L75" s="50">
        <v>3</v>
      </c>
      <c r="M75" s="50">
        <v>14</v>
      </c>
      <c r="N75" s="50">
        <v>0</v>
      </c>
      <c r="O75" s="15">
        <f t="shared" si="35"/>
        <v>37</v>
      </c>
      <c r="P75" s="15">
        <f t="shared" si="36"/>
        <v>51</v>
      </c>
      <c r="R75" s="8"/>
      <c r="T75"/>
    </row>
    <row r="76" spans="2:20" ht="23.1" customHeight="1" x14ac:dyDescent="0.25">
      <c r="B76" s="45" t="s">
        <v>116</v>
      </c>
      <c r="C76" s="50">
        <v>8</v>
      </c>
      <c r="D76" s="50">
        <v>4</v>
      </c>
      <c r="E76" s="50">
        <v>2</v>
      </c>
      <c r="F76" s="50">
        <v>7</v>
      </c>
      <c r="G76" s="50">
        <v>0</v>
      </c>
      <c r="H76" s="50">
        <v>0</v>
      </c>
      <c r="I76" s="50">
        <v>1</v>
      </c>
      <c r="J76" s="50">
        <v>6</v>
      </c>
      <c r="K76" s="50">
        <v>0</v>
      </c>
      <c r="L76" s="50">
        <v>3</v>
      </c>
      <c r="M76" s="50">
        <v>9</v>
      </c>
      <c r="N76" s="50">
        <v>0</v>
      </c>
      <c r="O76" s="15">
        <f t="shared" si="35"/>
        <v>31</v>
      </c>
      <c r="P76" s="15">
        <f t="shared" si="36"/>
        <v>40</v>
      </c>
      <c r="R76" s="8"/>
      <c r="T76"/>
    </row>
    <row r="77" spans="2:20" ht="23.1" customHeight="1" x14ac:dyDescent="0.25">
      <c r="B77" s="45" t="s">
        <v>117</v>
      </c>
      <c r="C77" s="50">
        <v>3</v>
      </c>
      <c r="D77" s="50">
        <v>2</v>
      </c>
      <c r="E77" s="50">
        <v>0</v>
      </c>
      <c r="F77" s="50">
        <v>1</v>
      </c>
      <c r="G77" s="50">
        <v>1</v>
      </c>
      <c r="H77" s="50">
        <v>0</v>
      </c>
      <c r="I77" s="50">
        <v>0</v>
      </c>
      <c r="J77" s="50">
        <v>2</v>
      </c>
      <c r="K77" s="50">
        <v>0</v>
      </c>
      <c r="L77" s="50">
        <v>0</v>
      </c>
      <c r="M77" s="50">
        <v>2</v>
      </c>
      <c r="N77" s="50">
        <v>0</v>
      </c>
      <c r="O77" s="15">
        <f t="shared" si="35"/>
        <v>9</v>
      </c>
      <c r="P77" s="15">
        <f t="shared" si="36"/>
        <v>11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6</v>
      </c>
      <c r="D79" s="50">
        <v>0</v>
      </c>
      <c r="E79" s="50">
        <v>0</v>
      </c>
      <c r="F79" s="50">
        <v>5</v>
      </c>
      <c r="G79" s="50">
        <v>0</v>
      </c>
      <c r="H79" s="50">
        <v>0</v>
      </c>
      <c r="I79" s="50">
        <v>1</v>
      </c>
      <c r="J79" s="50">
        <v>2</v>
      </c>
      <c r="K79" s="50">
        <v>0</v>
      </c>
      <c r="L79" s="50">
        <v>3</v>
      </c>
      <c r="M79" s="50">
        <v>3</v>
      </c>
      <c r="N79" s="50">
        <v>0</v>
      </c>
      <c r="O79" s="15">
        <f t="shared" si="35"/>
        <v>17</v>
      </c>
      <c r="P79" s="15">
        <f t="shared" si="36"/>
        <v>20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4</v>
      </c>
      <c r="D82" s="50">
        <v>0</v>
      </c>
      <c r="E82" s="50">
        <v>1</v>
      </c>
      <c r="F82" s="50">
        <v>2</v>
      </c>
      <c r="G82" s="50">
        <v>0</v>
      </c>
      <c r="H82" s="50">
        <v>0</v>
      </c>
      <c r="I82" s="50">
        <v>2</v>
      </c>
      <c r="J82" s="50">
        <v>4</v>
      </c>
      <c r="K82" s="50">
        <v>1</v>
      </c>
      <c r="L82" s="50">
        <v>6</v>
      </c>
      <c r="M82" s="50">
        <v>1</v>
      </c>
      <c r="N82" s="50">
        <v>0</v>
      </c>
      <c r="O82" s="15">
        <f t="shared" si="35"/>
        <v>20</v>
      </c>
      <c r="P82" s="15">
        <f t="shared" si="36"/>
        <v>21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1</v>
      </c>
      <c r="G83" s="50">
        <v>0</v>
      </c>
      <c r="H83" s="50">
        <v>0</v>
      </c>
      <c r="I83" s="50">
        <v>4</v>
      </c>
      <c r="J83" s="50">
        <v>5</v>
      </c>
      <c r="K83" s="50">
        <v>0</v>
      </c>
      <c r="L83" s="50">
        <v>4</v>
      </c>
      <c r="M83" s="50">
        <v>0</v>
      </c>
      <c r="N83" s="50">
        <v>0</v>
      </c>
      <c r="O83" s="15">
        <f t="shared" si="35"/>
        <v>14</v>
      </c>
      <c r="P83" s="15">
        <f t="shared" si="36"/>
        <v>14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2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3</v>
      </c>
      <c r="M84" s="50">
        <v>0</v>
      </c>
      <c r="N84" s="50">
        <v>0</v>
      </c>
      <c r="O84" s="15">
        <f t="shared" si="35"/>
        <v>8</v>
      </c>
      <c r="P84" s="15">
        <f t="shared" si="36"/>
        <v>8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1</v>
      </c>
      <c r="I85" s="50">
        <v>3</v>
      </c>
      <c r="J85" s="50">
        <v>5</v>
      </c>
      <c r="K85" s="50">
        <v>0</v>
      </c>
      <c r="L85" s="50">
        <v>2</v>
      </c>
      <c r="M85" s="50">
        <v>0</v>
      </c>
      <c r="N85" s="50">
        <v>0</v>
      </c>
      <c r="O85" s="15">
        <f t="shared" si="35"/>
        <v>11</v>
      </c>
      <c r="P85" s="15">
        <f t="shared" si="36"/>
        <v>11</v>
      </c>
      <c r="R85" s="8"/>
      <c r="T85"/>
    </row>
    <row r="86" spans="2:20" ht="23.1" customHeight="1" x14ac:dyDescent="0.25">
      <c r="B86" s="46" t="s">
        <v>126</v>
      </c>
      <c r="C86" s="50">
        <v>5</v>
      </c>
      <c r="D86" s="50">
        <v>1</v>
      </c>
      <c r="E86" s="50">
        <v>2</v>
      </c>
      <c r="F86" s="50">
        <v>1</v>
      </c>
      <c r="G86" s="50">
        <v>0</v>
      </c>
      <c r="H86" s="50">
        <v>2</v>
      </c>
      <c r="I86" s="50">
        <v>0</v>
      </c>
      <c r="J86" s="50">
        <v>7</v>
      </c>
      <c r="K86" s="50">
        <v>1</v>
      </c>
      <c r="L86" s="50">
        <v>4</v>
      </c>
      <c r="M86" s="50">
        <v>1</v>
      </c>
      <c r="N86" s="50">
        <v>0</v>
      </c>
      <c r="O86" s="15">
        <f t="shared" si="35"/>
        <v>23</v>
      </c>
      <c r="P86" s="15">
        <f t="shared" si="36"/>
        <v>24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2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5</v>
      </c>
      <c r="K87" s="50">
        <v>0</v>
      </c>
      <c r="L87" s="50">
        <v>5</v>
      </c>
      <c r="M87" s="50">
        <v>1</v>
      </c>
      <c r="N87" s="50">
        <v>0</v>
      </c>
      <c r="O87" s="15">
        <f t="shared" si="35"/>
        <v>13</v>
      </c>
      <c r="P87" s="15">
        <f t="shared" si="36"/>
        <v>14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1</v>
      </c>
      <c r="F88" s="50">
        <v>2</v>
      </c>
      <c r="G88" s="50">
        <v>1</v>
      </c>
      <c r="H88" s="50">
        <v>0</v>
      </c>
      <c r="I88" s="50">
        <v>0</v>
      </c>
      <c r="J88" s="50">
        <v>8</v>
      </c>
      <c r="K88" s="50">
        <v>2</v>
      </c>
      <c r="L88" s="50">
        <v>3</v>
      </c>
      <c r="M88" s="50">
        <v>1</v>
      </c>
      <c r="N88" s="50">
        <v>0</v>
      </c>
      <c r="O88" s="15">
        <f t="shared" si="35"/>
        <v>18</v>
      </c>
      <c r="P88" s="15">
        <f t="shared" si="36"/>
        <v>19</v>
      </c>
      <c r="R88" s="8"/>
      <c r="T88"/>
    </row>
    <row r="89" spans="2:20" ht="23.1" customHeight="1" x14ac:dyDescent="0.25">
      <c r="B89" s="45" t="s">
        <v>129</v>
      </c>
      <c r="C89" s="50">
        <v>5</v>
      </c>
      <c r="D89" s="50">
        <v>1</v>
      </c>
      <c r="E89" s="50">
        <v>1</v>
      </c>
      <c r="F89" s="50">
        <v>1</v>
      </c>
      <c r="G89" s="50">
        <v>0</v>
      </c>
      <c r="H89" s="50">
        <v>2</v>
      </c>
      <c r="I89" s="50">
        <v>2</v>
      </c>
      <c r="J89" s="50">
        <v>5</v>
      </c>
      <c r="K89" s="50">
        <v>0</v>
      </c>
      <c r="L89" s="50">
        <v>5</v>
      </c>
      <c r="M89" s="50">
        <v>2</v>
      </c>
      <c r="N89" s="50">
        <v>0</v>
      </c>
      <c r="O89" s="15">
        <f t="shared" si="35"/>
        <v>22</v>
      </c>
      <c r="P89" s="15">
        <f t="shared" si="36"/>
        <v>24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3</v>
      </c>
      <c r="F90" s="50">
        <v>0</v>
      </c>
      <c r="G90" s="50">
        <v>0</v>
      </c>
      <c r="H90" s="50">
        <v>1</v>
      </c>
      <c r="I90" s="50">
        <v>0</v>
      </c>
      <c r="J90" s="50">
        <v>3</v>
      </c>
      <c r="K90" s="50">
        <v>0</v>
      </c>
      <c r="L90" s="50">
        <v>3</v>
      </c>
      <c r="M90" s="50">
        <v>0</v>
      </c>
      <c r="N90" s="50">
        <v>0</v>
      </c>
      <c r="O90" s="15">
        <f t="shared" si="35"/>
        <v>10</v>
      </c>
      <c r="P90" s="15">
        <f t="shared" si="36"/>
        <v>10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3</v>
      </c>
      <c r="K91" s="50">
        <v>0</v>
      </c>
      <c r="L91" s="50">
        <v>1</v>
      </c>
      <c r="M91" s="50">
        <v>2</v>
      </c>
      <c r="N91" s="50">
        <v>0</v>
      </c>
      <c r="O91" s="15">
        <f t="shared" si="35"/>
        <v>5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1</v>
      </c>
      <c r="G92" s="50">
        <v>0</v>
      </c>
      <c r="H92" s="50">
        <v>1</v>
      </c>
      <c r="I92" s="50">
        <v>0</v>
      </c>
      <c r="J92" s="50">
        <v>2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5</v>
      </c>
      <c r="P92" s="15">
        <f t="shared" si="36"/>
        <v>5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3</v>
      </c>
      <c r="K93" s="50">
        <v>0</v>
      </c>
      <c r="L93" s="50">
        <v>6</v>
      </c>
      <c r="M93" s="50">
        <v>2</v>
      </c>
      <c r="N93" s="50">
        <v>0</v>
      </c>
      <c r="O93" s="15">
        <f t="shared" si="35"/>
        <v>12</v>
      </c>
      <c r="P93" s="15">
        <f t="shared" si="36"/>
        <v>14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1</v>
      </c>
      <c r="E94" s="50">
        <v>1</v>
      </c>
      <c r="F94" s="50">
        <v>1</v>
      </c>
      <c r="G94" s="50">
        <v>1</v>
      </c>
      <c r="H94" s="50">
        <v>0</v>
      </c>
      <c r="I94" s="50">
        <v>0</v>
      </c>
      <c r="J94" s="50">
        <v>1</v>
      </c>
      <c r="K94" s="50">
        <v>1</v>
      </c>
      <c r="L94" s="50">
        <v>4</v>
      </c>
      <c r="M94" s="50">
        <v>0</v>
      </c>
      <c r="N94" s="50">
        <v>0</v>
      </c>
      <c r="O94" s="15">
        <f t="shared" si="35"/>
        <v>12</v>
      </c>
      <c r="P94" s="15">
        <f t="shared" si="36"/>
        <v>12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2</v>
      </c>
      <c r="E95" s="50">
        <v>1</v>
      </c>
      <c r="F95" s="50">
        <v>3</v>
      </c>
      <c r="G95" s="50">
        <v>0</v>
      </c>
      <c r="H95" s="50">
        <v>0</v>
      </c>
      <c r="I95" s="50">
        <v>1</v>
      </c>
      <c r="J95" s="50">
        <v>2</v>
      </c>
      <c r="K95" s="50">
        <v>2</v>
      </c>
      <c r="L95" s="50">
        <v>5</v>
      </c>
      <c r="M95" s="50">
        <v>1</v>
      </c>
      <c r="N95" s="50">
        <v>0</v>
      </c>
      <c r="O95" s="15">
        <f t="shared" si="35"/>
        <v>19</v>
      </c>
      <c r="P95" s="15">
        <f t="shared" si="36"/>
        <v>20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7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8</v>
      </c>
      <c r="P96" s="15">
        <f t="shared" si="36"/>
        <v>9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0</v>
      </c>
      <c r="F97" s="50">
        <v>3</v>
      </c>
      <c r="G97" s="50">
        <v>0</v>
      </c>
      <c r="H97" s="50">
        <v>1</v>
      </c>
      <c r="I97" s="50">
        <v>0</v>
      </c>
      <c r="J97" s="50">
        <v>2</v>
      </c>
      <c r="K97" s="50">
        <v>0</v>
      </c>
      <c r="L97" s="50">
        <v>2</v>
      </c>
      <c r="M97" s="50">
        <v>2</v>
      </c>
      <c r="N97" s="50">
        <v>0</v>
      </c>
      <c r="O97" s="15">
        <f t="shared" si="35"/>
        <v>10</v>
      </c>
      <c r="P97" s="15">
        <f t="shared" si="36"/>
        <v>12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1</v>
      </c>
      <c r="F98" s="50">
        <v>4</v>
      </c>
      <c r="G98" s="50">
        <v>0</v>
      </c>
      <c r="H98" s="50">
        <v>0</v>
      </c>
      <c r="I98" s="50">
        <v>0</v>
      </c>
      <c r="J98" s="50">
        <v>5</v>
      </c>
      <c r="K98" s="50">
        <v>1</v>
      </c>
      <c r="L98" s="50">
        <v>2</v>
      </c>
      <c r="M98" s="50">
        <v>2</v>
      </c>
      <c r="N98" s="50">
        <v>0</v>
      </c>
      <c r="O98" s="15">
        <f t="shared" si="35"/>
        <v>14</v>
      </c>
      <c r="P98" s="15">
        <f t="shared" si="36"/>
        <v>16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4</v>
      </c>
      <c r="E99" s="50">
        <v>0</v>
      </c>
      <c r="F99" s="50">
        <v>6</v>
      </c>
      <c r="G99" s="50">
        <v>0</v>
      </c>
      <c r="H99" s="50">
        <v>0</v>
      </c>
      <c r="I99" s="50">
        <v>0</v>
      </c>
      <c r="J99" s="50">
        <v>1</v>
      </c>
      <c r="K99" s="50">
        <v>1</v>
      </c>
      <c r="L99" s="50">
        <v>6</v>
      </c>
      <c r="M99" s="50">
        <v>2</v>
      </c>
      <c r="N99" s="50">
        <v>0</v>
      </c>
      <c r="O99" s="15">
        <f t="shared" si="35"/>
        <v>18</v>
      </c>
      <c r="P99" s="15">
        <f t="shared" si="36"/>
        <v>20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1</v>
      </c>
      <c r="E100" s="50">
        <v>0</v>
      </c>
      <c r="F100" s="50">
        <v>8</v>
      </c>
      <c r="G100" s="50">
        <v>0</v>
      </c>
      <c r="H100" s="50">
        <v>0</v>
      </c>
      <c r="I100" s="50">
        <v>2</v>
      </c>
      <c r="J100" s="50">
        <v>3</v>
      </c>
      <c r="K100" s="50">
        <v>4</v>
      </c>
      <c r="L100" s="50">
        <v>4</v>
      </c>
      <c r="M100" s="50">
        <v>2</v>
      </c>
      <c r="N100" s="50">
        <v>0</v>
      </c>
      <c r="O100" s="15">
        <f t="shared" si="35"/>
        <v>27</v>
      </c>
      <c r="P100" s="15">
        <f t="shared" si="36"/>
        <v>29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1</v>
      </c>
      <c r="E101" s="50">
        <v>0</v>
      </c>
      <c r="F101" s="50">
        <v>8</v>
      </c>
      <c r="G101" s="50">
        <v>0</v>
      </c>
      <c r="H101" s="50">
        <v>0</v>
      </c>
      <c r="I101" s="50">
        <v>1</v>
      </c>
      <c r="J101" s="50">
        <v>7</v>
      </c>
      <c r="K101" s="50">
        <v>2</v>
      </c>
      <c r="L101" s="50">
        <v>3</v>
      </c>
      <c r="M101" s="50">
        <v>2</v>
      </c>
      <c r="N101" s="50">
        <v>0</v>
      </c>
      <c r="O101" s="15">
        <f t="shared" si="35"/>
        <v>24</v>
      </c>
      <c r="P101" s="15">
        <f t="shared" si="36"/>
        <v>26</v>
      </c>
      <c r="R101" s="8"/>
      <c r="T101"/>
    </row>
    <row r="102" spans="2:20" ht="23.1" customHeight="1" x14ac:dyDescent="0.25">
      <c r="B102" s="46" t="s">
        <v>142</v>
      </c>
      <c r="C102" s="50">
        <v>8</v>
      </c>
      <c r="D102" s="50">
        <v>3</v>
      </c>
      <c r="E102" s="50">
        <v>0</v>
      </c>
      <c r="F102" s="50">
        <v>7</v>
      </c>
      <c r="G102" s="50">
        <v>0</v>
      </c>
      <c r="H102" s="50">
        <v>1</v>
      </c>
      <c r="I102" s="50">
        <v>2</v>
      </c>
      <c r="J102" s="50">
        <v>3</v>
      </c>
      <c r="K102" s="50">
        <v>1</v>
      </c>
      <c r="L102" s="50">
        <v>6</v>
      </c>
      <c r="M102" s="50">
        <v>15</v>
      </c>
      <c r="N102" s="50">
        <v>0</v>
      </c>
      <c r="O102" s="15">
        <f t="shared" si="35"/>
        <v>31</v>
      </c>
      <c r="P102" s="15">
        <f t="shared" si="36"/>
        <v>46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5</v>
      </c>
      <c r="E103" s="50">
        <v>1</v>
      </c>
      <c r="F103" s="50">
        <v>18</v>
      </c>
      <c r="G103" s="50">
        <v>0</v>
      </c>
      <c r="H103" s="50">
        <v>2</v>
      </c>
      <c r="I103" s="50">
        <v>1</v>
      </c>
      <c r="J103" s="50">
        <v>2</v>
      </c>
      <c r="K103" s="50">
        <v>2</v>
      </c>
      <c r="L103" s="50">
        <v>8</v>
      </c>
      <c r="M103" s="50">
        <v>11</v>
      </c>
      <c r="N103" s="50">
        <v>0</v>
      </c>
      <c r="O103" s="15">
        <f t="shared" si="35"/>
        <v>42</v>
      </c>
      <c r="P103" s="15">
        <f t="shared" si="36"/>
        <v>53</v>
      </c>
      <c r="R103" s="8"/>
      <c r="T103"/>
    </row>
    <row r="104" spans="2:20" ht="23.1" customHeight="1" x14ac:dyDescent="0.25">
      <c r="B104" s="47" t="s">
        <v>144</v>
      </c>
      <c r="C104" s="50">
        <v>13</v>
      </c>
      <c r="D104" s="50">
        <v>6</v>
      </c>
      <c r="E104" s="50">
        <v>1</v>
      </c>
      <c r="F104" s="50">
        <v>20</v>
      </c>
      <c r="G104" s="50">
        <v>0</v>
      </c>
      <c r="H104" s="50">
        <v>0</v>
      </c>
      <c r="I104" s="50">
        <v>3</v>
      </c>
      <c r="J104" s="50">
        <v>4</v>
      </c>
      <c r="K104" s="50">
        <v>3</v>
      </c>
      <c r="L104" s="50">
        <v>4</v>
      </c>
      <c r="M104" s="50">
        <v>23</v>
      </c>
      <c r="N104" s="50">
        <v>0</v>
      </c>
      <c r="O104" s="15">
        <f t="shared" si="35"/>
        <v>54</v>
      </c>
      <c r="P104" s="15">
        <f t="shared" si="36"/>
        <v>77</v>
      </c>
      <c r="R104" s="8"/>
      <c r="T104"/>
    </row>
    <row r="105" spans="2:20" ht="23.1" customHeight="1" x14ac:dyDescent="0.25">
      <c r="B105" s="45" t="s">
        <v>145</v>
      </c>
      <c r="C105" s="50">
        <v>6</v>
      </c>
      <c r="D105" s="50">
        <v>3</v>
      </c>
      <c r="E105" s="50">
        <v>1</v>
      </c>
      <c r="F105" s="50">
        <v>14</v>
      </c>
      <c r="G105" s="50">
        <v>0</v>
      </c>
      <c r="H105" s="50">
        <v>0</v>
      </c>
      <c r="I105" s="50">
        <v>3</v>
      </c>
      <c r="J105" s="50">
        <v>4</v>
      </c>
      <c r="K105" s="50">
        <v>3</v>
      </c>
      <c r="L105" s="50">
        <v>11</v>
      </c>
      <c r="M105" s="50">
        <v>17</v>
      </c>
      <c r="N105" s="50">
        <v>0</v>
      </c>
      <c r="O105" s="15">
        <f t="shared" si="35"/>
        <v>45</v>
      </c>
      <c r="P105" s="15">
        <f t="shared" si="36"/>
        <v>62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1297</v>
      </c>
      <c r="D106" s="16">
        <f t="shared" ref="D106:P106" si="37">SUM(D10:D105)</f>
        <v>533</v>
      </c>
      <c r="E106" s="16">
        <f t="shared" si="37"/>
        <v>262</v>
      </c>
      <c r="F106" s="16">
        <f t="shared" si="37"/>
        <v>2168</v>
      </c>
      <c r="G106" s="16">
        <f t="shared" si="37"/>
        <v>144</v>
      </c>
      <c r="H106" s="16">
        <f t="shared" si="37"/>
        <v>56</v>
      </c>
      <c r="I106" s="16">
        <f t="shared" si="37"/>
        <v>270</v>
      </c>
      <c r="J106" s="16">
        <f t="shared" si="37"/>
        <v>405</v>
      </c>
      <c r="K106" s="16">
        <f t="shared" si="37"/>
        <v>143</v>
      </c>
      <c r="L106" s="16">
        <f t="shared" si="37"/>
        <v>852</v>
      </c>
      <c r="M106" s="16">
        <f t="shared" si="37"/>
        <v>1355</v>
      </c>
      <c r="N106" s="16">
        <f t="shared" si="37"/>
        <v>1</v>
      </c>
      <c r="O106" s="16">
        <f t="shared" si="37"/>
        <v>6131</v>
      </c>
      <c r="P106" s="16">
        <f t="shared" si="37"/>
        <v>7486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0.17325674592572801</v>
      </c>
      <c r="D107" s="43">
        <f t="shared" si="38"/>
        <v>7.1199572535399408E-2</v>
      </c>
      <c r="E107" s="43">
        <f t="shared" si="38"/>
        <v>3.499866417312316E-2</v>
      </c>
      <c r="F107" s="43">
        <f t="shared" si="38"/>
        <v>0.28960726689820998</v>
      </c>
      <c r="G107" s="43">
        <f t="shared" si="38"/>
        <v>1.923590702644937E-2</v>
      </c>
      <c r="H107" s="43">
        <f t="shared" si="38"/>
        <v>7.4806305102858668E-3</v>
      </c>
      <c r="I107" s="43">
        <f t="shared" si="38"/>
        <v>3.6067325674592574E-2</v>
      </c>
      <c r="J107" s="43">
        <f t="shared" si="38"/>
        <v>5.410098851188886E-2</v>
      </c>
      <c r="K107" s="43">
        <f t="shared" si="38"/>
        <v>1.9102324338765696E-2</v>
      </c>
      <c r="L107" s="43">
        <f t="shared" si="38"/>
        <v>0.11381244990649211</v>
      </c>
      <c r="M107" s="43">
        <f t="shared" si="38"/>
        <v>0.18100454181138126</v>
      </c>
      <c r="N107" s="43">
        <f t="shared" si="38"/>
        <v>1.3358268768367621E-4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0.21154787147284293</v>
      </c>
      <c r="D108" s="44">
        <f t="shared" ref="D108:N108" si="39">D106/$O$106</f>
        <v>8.693524710487685E-2</v>
      </c>
      <c r="E108" s="44">
        <f t="shared" si="39"/>
        <v>4.2733648670689933E-2</v>
      </c>
      <c r="F108" s="44">
        <f t="shared" si="39"/>
        <v>0.35361278747349534</v>
      </c>
      <c r="G108" s="44">
        <f t="shared" si="39"/>
        <v>2.348719621595172E-2</v>
      </c>
      <c r="H108" s="44">
        <f t="shared" si="39"/>
        <v>9.1339096395367803E-3</v>
      </c>
      <c r="I108" s="44">
        <f t="shared" si="39"/>
        <v>4.4038492904909479E-2</v>
      </c>
      <c r="J108" s="44">
        <f t="shared" si="39"/>
        <v>6.6057739357364212E-2</v>
      </c>
      <c r="K108" s="44">
        <f t="shared" si="39"/>
        <v>2.3324090686674279E-2</v>
      </c>
      <c r="L108" s="44">
        <f t="shared" si="39"/>
        <v>0.13896591094438102</v>
      </c>
      <c r="M108" s="44"/>
      <c r="N108" s="44">
        <f t="shared" si="39"/>
        <v>1.6310552927744252E-4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topLeftCell="A4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jinja-kampala'!C3:G3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63" t="str">
        <f>'17.10 jinja-kampala'!G5:H5</f>
        <v>Nakibbizi</v>
      </c>
      <c r="H5" s="64"/>
      <c r="I5" s="14"/>
      <c r="J5" s="2" t="s">
        <v>5</v>
      </c>
      <c r="K5" s="63" t="str">
        <f>'17.10 jinja-kampala'!K5:L5</f>
        <v>Micheal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jinja-kampala'!D6:E6</f>
        <v>Jinja</v>
      </c>
      <c r="E6" s="64"/>
      <c r="F6" s="2" t="s">
        <v>2</v>
      </c>
      <c r="G6" s="63" t="str">
        <f>'17.10 jinja-kampala'!G6:H6</f>
        <v>Kampala</v>
      </c>
      <c r="H6" s="64"/>
      <c r="J6" s="2" t="s">
        <v>21</v>
      </c>
      <c r="K6" s="63" t="str">
        <f>'17.10 jinja-kampala'!K6:L6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2</v>
      </c>
      <c r="E10" s="50">
        <v>0</v>
      </c>
      <c r="F10" s="50">
        <v>27</v>
      </c>
      <c r="G10" s="50">
        <v>0</v>
      </c>
      <c r="H10" s="50">
        <v>2</v>
      </c>
      <c r="I10" s="50">
        <v>1</v>
      </c>
      <c r="J10" s="50">
        <v>2</v>
      </c>
      <c r="K10" s="50">
        <v>2</v>
      </c>
      <c r="L10" s="50">
        <v>10</v>
      </c>
      <c r="M10" s="50">
        <v>10</v>
      </c>
      <c r="N10" s="50">
        <v>0</v>
      </c>
      <c r="O10" s="15">
        <f t="shared" ref="O10:O57" si="0">SUM(C10:L10,N10)</f>
        <v>52</v>
      </c>
      <c r="P10" s="15">
        <f t="shared" ref="P10:P57" si="1">SUM(C10:N10)</f>
        <v>62</v>
      </c>
      <c r="R10" s="1" t="s">
        <v>6</v>
      </c>
      <c r="S10" s="17">
        <f t="shared" ref="S10:AF10" si="2">SUM(C10:C13)</f>
        <v>40</v>
      </c>
      <c r="T10" s="17">
        <f t="shared" si="2"/>
        <v>15</v>
      </c>
      <c r="U10" s="17">
        <f t="shared" si="2"/>
        <v>9</v>
      </c>
      <c r="V10" s="17">
        <f t="shared" si="2"/>
        <v>144</v>
      </c>
      <c r="W10" s="17">
        <f t="shared" si="2"/>
        <v>1</v>
      </c>
      <c r="X10" s="17">
        <f t="shared" si="2"/>
        <v>7</v>
      </c>
      <c r="Y10" s="17">
        <f t="shared" si="2"/>
        <v>4</v>
      </c>
      <c r="Z10" s="17">
        <f t="shared" si="2"/>
        <v>7</v>
      </c>
      <c r="AA10" s="17">
        <f t="shared" si="2"/>
        <v>8</v>
      </c>
      <c r="AB10" s="17">
        <f t="shared" si="2"/>
        <v>59</v>
      </c>
      <c r="AC10" s="17">
        <f t="shared" si="2"/>
        <v>53</v>
      </c>
      <c r="AD10" s="17">
        <f t="shared" si="2"/>
        <v>0</v>
      </c>
      <c r="AE10" s="31">
        <f t="shared" si="2"/>
        <v>294</v>
      </c>
      <c r="AF10" s="31">
        <f t="shared" si="2"/>
        <v>347</v>
      </c>
    </row>
    <row r="11" spans="2:32" s="6" customFormat="1" ht="23.1" customHeight="1" x14ac:dyDescent="0.25">
      <c r="B11" s="23" t="s">
        <v>38</v>
      </c>
      <c r="C11" s="50">
        <v>12</v>
      </c>
      <c r="D11" s="50">
        <v>6</v>
      </c>
      <c r="E11" s="50">
        <v>4</v>
      </c>
      <c r="F11" s="50">
        <v>42</v>
      </c>
      <c r="G11" s="50">
        <v>0</v>
      </c>
      <c r="H11" s="50">
        <v>2</v>
      </c>
      <c r="I11" s="50">
        <v>1</v>
      </c>
      <c r="J11" s="50">
        <v>0</v>
      </c>
      <c r="K11" s="50">
        <v>1</v>
      </c>
      <c r="L11" s="50">
        <v>16</v>
      </c>
      <c r="M11" s="50">
        <v>11</v>
      </c>
      <c r="N11" s="50">
        <v>0</v>
      </c>
      <c r="O11" s="15">
        <f t="shared" si="0"/>
        <v>84</v>
      </c>
      <c r="P11" s="15">
        <f t="shared" si="1"/>
        <v>95</v>
      </c>
      <c r="R11" s="1" t="s">
        <v>7</v>
      </c>
      <c r="S11" s="17">
        <f t="shared" ref="S11:AF11" si="3">SUM(C14:C17)</f>
        <v>57</v>
      </c>
      <c r="T11" s="17">
        <f t="shared" si="3"/>
        <v>15</v>
      </c>
      <c r="U11" s="17">
        <f t="shared" si="3"/>
        <v>8</v>
      </c>
      <c r="V11" s="17">
        <f t="shared" si="3"/>
        <v>127</v>
      </c>
      <c r="W11" s="17">
        <f t="shared" si="3"/>
        <v>2</v>
      </c>
      <c r="X11" s="17">
        <f t="shared" si="3"/>
        <v>6</v>
      </c>
      <c r="Y11" s="17">
        <f t="shared" si="3"/>
        <v>8</v>
      </c>
      <c r="Z11" s="17">
        <f t="shared" si="3"/>
        <v>8</v>
      </c>
      <c r="AA11" s="17">
        <f t="shared" si="3"/>
        <v>2</v>
      </c>
      <c r="AB11" s="17">
        <f t="shared" si="3"/>
        <v>40</v>
      </c>
      <c r="AC11" s="17">
        <f t="shared" si="3"/>
        <v>77</v>
      </c>
      <c r="AD11" s="17">
        <f t="shared" si="3"/>
        <v>0</v>
      </c>
      <c r="AE11" s="31">
        <f t="shared" si="3"/>
        <v>273</v>
      </c>
      <c r="AF11" s="31">
        <f t="shared" si="3"/>
        <v>350</v>
      </c>
    </row>
    <row r="12" spans="2:32" ht="23.1" customHeight="1" x14ac:dyDescent="0.25">
      <c r="B12" s="23" t="s">
        <v>39</v>
      </c>
      <c r="C12" s="50">
        <v>11</v>
      </c>
      <c r="D12" s="50">
        <v>3</v>
      </c>
      <c r="E12" s="50">
        <v>2</v>
      </c>
      <c r="F12" s="50">
        <v>36</v>
      </c>
      <c r="G12" s="50">
        <v>1</v>
      </c>
      <c r="H12" s="50">
        <v>3</v>
      </c>
      <c r="I12" s="50">
        <v>1</v>
      </c>
      <c r="J12" s="50">
        <v>2</v>
      </c>
      <c r="K12" s="50">
        <v>1</v>
      </c>
      <c r="L12" s="50">
        <v>7</v>
      </c>
      <c r="M12" s="50">
        <v>11</v>
      </c>
      <c r="N12" s="50">
        <v>0</v>
      </c>
      <c r="O12" s="15">
        <f t="shared" si="0"/>
        <v>67</v>
      </c>
      <c r="P12" s="15">
        <f t="shared" si="1"/>
        <v>78</v>
      </c>
      <c r="R12" s="1" t="s">
        <v>8</v>
      </c>
      <c r="S12" s="17">
        <f t="shared" ref="S12:AF12" si="4">SUM(C18:C21)</f>
        <v>63</v>
      </c>
      <c r="T12" s="17">
        <f t="shared" si="4"/>
        <v>34</v>
      </c>
      <c r="U12" s="17">
        <f t="shared" si="4"/>
        <v>12</v>
      </c>
      <c r="V12" s="17">
        <f t="shared" si="4"/>
        <v>127</v>
      </c>
      <c r="W12" s="17">
        <f t="shared" si="4"/>
        <v>7</v>
      </c>
      <c r="X12" s="17">
        <f t="shared" si="4"/>
        <v>1</v>
      </c>
      <c r="Y12" s="17">
        <f t="shared" si="4"/>
        <v>13</v>
      </c>
      <c r="Z12" s="17">
        <f t="shared" si="4"/>
        <v>7</v>
      </c>
      <c r="AA12" s="17">
        <f t="shared" si="4"/>
        <v>2</v>
      </c>
      <c r="AB12" s="17">
        <f t="shared" si="4"/>
        <v>46</v>
      </c>
      <c r="AC12" s="17">
        <f t="shared" si="4"/>
        <v>96</v>
      </c>
      <c r="AD12" s="17">
        <f t="shared" si="4"/>
        <v>0</v>
      </c>
      <c r="AE12" s="31">
        <f t="shared" si="4"/>
        <v>312</v>
      </c>
      <c r="AF12" s="31">
        <f t="shared" si="4"/>
        <v>408</v>
      </c>
    </row>
    <row r="13" spans="2:32" ht="23.1" customHeight="1" x14ac:dyDescent="0.25">
      <c r="B13" s="23" t="s">
        <v>40</v>
      </c>
      <c r="C13" s="50">
        <v>11</v>
      </c>
      <c r="D13" s="50">
        <v>4</v>
      </c>
      <c r="E13" s="50">
        <v>3</v>
      </c>
      <c r="F13" s="50">
        <v>39</v>
      </c>
      <c r="G13" s="50">
        <v>0</v>
      </c>
      <c r="H13" s="50">
        <v>0</v>
      </c>
      <c r="I13" s="50">
        <v>1</v>
      </c>
      <c r="J13" s="50">
        <v>3</v>
      </c>
      <c r="K13" s="50">
        <v>4</v>
      </c>
      <c r="L13" s="50">
        <v>26</v>
      </c>
      <c r="M13" s="50">
        <v>21</v>
      </c>
      <c r="N13" s="50">
        <v>0</v>
      </c>
      <c r="O13" s="15">
        <f t="shared" si="0"/>
        <v>91</v>
      </c>
      <c r="P13" s="15">
        <f t="shared" si="1"/>
        <v>112</v>
      </c>
      <c r="R13" s="1" t="s">
        <v>9</v>
      </c>
      <c r="S13" s="17">
        <f t="shared" ref="S13:AF13" si="5">SUM(C22:C25)</f>
        <v>74</v>
      </c>
      <c r="T13" s="17">
        <f t="shared" si="5"/>
        <v>36</v>
      </c>
      <c r="U13" s="17">
        <f t="shared" si="5"/>
        <v>12</v>
      </c>
      <c r="V13" s="17">
        <f t="shared" si="5"/>
        <v>128</v>
      </c>
      <c r="W13" s="17">
        <f t="shared" si="5"/>
        <v>3</v>
      </c>
      <c r="X13" s="17">
        <f t="shared" si="5"/>
        <v>0</v>
      </c>
      <c r="Y13" s="17">
        <f t="shared" si="5"/>
        <v>14</v>
      </c>
      <c r="Z13" s="17">
        <f t="shared" si="5"/>
        <v>19</v>
      </c>
      <c r="AA13" s="17">
        <f t="shared" si="5"/>
        <v>3</v>
      </c>
      <c r="AB13" s="17">
        <f t="shared" si="5"/>
        <v>41</v>
      </c>
      <c r="AC13" s="17">
        <f t="shared" si="5"/>
        <v>98</v>
      </c>
      <c r="AD13" s="17">
        <f t="shared" si="5"/>
        <v>0</v>
      </c>
      <c r="AE13" s="31">
        <f t="shared" si="5"/>
        <v>330</v>
      </c>
      <c r="AF13" s="31">
        <f t="shared" si="5"/>
        <v>428</v>
      </c>
    </row>
    <row r="14" spans="2:32" ht="23.1" customHeight="1" x14ac:dyDescent="0.25">
      <c r="B14" s="23" t="s">
        <v>41</v>
      </c>
      <c r="C14" s="50">
        <v>5</v>
      </c>
      <c r="D14" s="50">
        <v>4</v>
      </c>
      <c r="E14" s="50">
        <v>3</v>
      </c>
      <c r="F14" s="50">
        <v>30</v>
      </c>
      <c r="G14" s="50">
        <v>0</v>
      </c>
      <c r="H14" s="50">
        <v>1</v>
      </c>
      <c r="I14" s="50">
        <v>1</v>
      </c>
      <c r="J14" s="50">
        <v>1</v>
      </c>
      <c r="K14" s="50">
        <v>0</v>
      </c>
      <c r="L14" s="50">
        <v>12</v>
      </c>
      <c r="M14" s="50">
        <v>3</v>
      </c>
      <c r="N14" s="50">
        <v>0</v>
      </c>
      <c r="O14" s="15">
        <f t="shared" si="0"/>
        <v>57</v>
      </c>
      <c r="P14" s="15">
        <f t="shared" si="1"/>
        <v>60</v>
      </c>
      <c r="R14" s="1" t="s">
        <v>10</v>
      </c>
      <c r="S14" s="17">
        <f t="shared" ref="S14:AF14" si="6">SUM(C26:C29)</f>
        <v>82</v>
      </c>
      <c r="T14" s="17">
        <f t="shared" si="6"/>
        <v>38</v>
      </c>
      <c r="U14" s="17">
        <f t="shared" si="6"/>
        <v>11</v>
      </c>
      <c r="V14" s="17">
        <f t="shared" si="6"/>
        <v>100</v>
      </c>
      <c r="W14" s="17">
        <f t="shared" si="6"/>
        <v>5</v>
      </c>
      <c r="X14" s="17">
        <f t="shared" si="6"/>
        <v>2</v>
      </c>
      <c r="Y14" s="17">
        <f t="shared" si="6"/>
        <v>19</v>
      </c>
      <c r="Z14" s="17">
        <f t="shared" si="6"/>
        <v>7</v>
      </c>
      <c r="AA14" s="17">
        <f t="shared" si="6"/>
        <v>10</v>
      </c>
      <c r="AB14" s="17">
        <f t="shared" si="6"/>
        <v>45</v>
      </c>
      <c r="AC14" s="17">
        <f t="shared" si="6"/>
        <v>83</v>
      </c>
      <c r="AD14" s="17">
        <f t="shared" si="6"/>
        <v>0</v>
      </c>
      <c r="AE14" s="31">
        <f t="shared" si="6"/>
        <v>319</v>
      </c>
      <c r="AF14" s="31">
        <f t="shared" si="6"/>
        <v>402</v>
      </c>
    </row>
    <row r="15" spans="2:32" ht="23.1" customHeight="1" x14ac:dyDescent="0.25">
      <c r="B15" s="23" t="s">
        <v>42</v>
      </c>
      <c r="C15" s="50">
        <v>13</v>
      </c>
      <c r="D15" s="50">
        <v>2</v>
      </c>
      <c r="E15" s="50">
        <v>2</v>
      </c>
      <c r="F15" s="50">
        <v>38</v>
      </c>
      <c r="G15" s="50">
        <v>2</v>
      </c>
      <c r="H15" s="50">
        <v>1</v>
      </c>
      <c r="I15" s="50">
        <v>3</v>
      </c>
      <c r="J15" s="50">
        <v>3</v>
      </c>
      <c r="K15" s="50">
        <v>0</v>
      </c>
      <c r="L15" s="50">
        <v>10</v>
      </c>
      <c r="M15" s="50">
        <v>23</v>
      </c>
      <c r="N15" s="50">
        <v>0</v>
      </c>
      <c r="O15" s="15">
        <f t="shared" si="0"/>
        <v>74</v>
      </c>
      <c r="P15" s="15">
        <f t="shared" si="1"/>
        <v>97</v>
      </c>
      <c r="R15" s="1" t="s">
        <v>11</v>
      </c>
      <c r="S15" s="17">
        <f t="shared" ref="S15:AF15" si="7">SUM(C30:C33)</f>
        <v>80</v>
      </c>
      <c r="T15" s="17">
        <f t="shared" si="7"/>
        <v>39</v>
      </c>
      <c r="U15" s="17">
        <f t="shared" si="7"/>
        <v>9</v>
      </c>
      <c r="V15" s="17">
        <f t="shared" si="7"/>
        <v>113</v>
      </c>
      <c r="W15" s="17">
        <f t="shared" si="7"/>
        <v>2</v>
      </c>
      <c r="X15" s="17">
        <f t="shared" si="7"/>
        <v>4</v>
      </c>
      <c r="Y15" s="17">
        <f t="shared" si="7"/>
        <v>16</v>
      </c>
      <c r="Z15" s="17">
        <f t="shared" si="7"/>
        <v>13</v>
      </c>
      <c r="AA15" s="17">
        <f t="shared" si="7"/>
        <v>1</v>
      </c>
      <c r="AB15" s="17">
        <f t="shared" si="7"/>
        <v>43</v>
      </c>
      <c r="AC15" s="17">
        <f t="shared" si="7"/>
        <v>77</v>
      </c>
      <c r="AD15" s="17">
        <f t="shared" si="7"/>
        <v>0</v>
      </c>
      <c r="AE15" s="31">
        <f t="shared" si="7"/>
        <v>320</v>
      </c>
      <c r="AF15" s="31">
        <f t="shared" si="7"/>
        <v>397</v>
      </c>
    </row>
    <row r="16" spans="2:32" ht="23.1" customHeight="1" x14ac:dyDescent="0.25">
      <c r="B16" s="23" t="s">
        <v>43</v>
      </c>
      <c r="C16" s="50">
        <v>18</v>
      </c>
      <c r="D16" s="50">
        <v>6</v>
      </c>
      <c r="E16" s="50">
        <v>1</v>
      </c>
      <c r="F16" s="50">
        <v>30</v>
      </c>
      <c r="G16" s="50">
        <v>0</v>
      </c>
      <c r="H16" s="50">
        <v>1</v>
      </c>
      <c r="I16" s="50">
        <v>2</v>
      </c>
      <c r="J16" s="50">
        <v>2</v>
      </c>
      <c r="K16" s="50">
        <v>1</v>
      </c>
      <c r="L16" s="50">
        <v>12</v>
      </c>
      <c r="M16" s="50">
        <v>22</v>
      </c>
      <c r="N16" s="50">
        <v>0</v>
      </c>
      <c r="O16" s="15">
        <f t="shared" si="0"/>
        <v>73</v>
      </c>
      <c r="P16" s="15">
        <f t="shared" si="1"/>
        <v>95</v>
      </c>
      <c r="R16" s="1" t="s">
        <v>12</v>
      </c>
      <c r="S16" s="17">
        <f t="shared" ref="S16:AF16" si="8">SUM(C34:C37)</f>
        <v>112</v>
      </c>
      <c r="T16" s="17">
        <f t="shared" si="8"/>
        <v>39</v>
      </c>
      <c r="U16" s="17">
        <f t="shared" si="8"/>
        <v>19</v>
      </c>
      <c r="V16" s="17">
        <f t="shared" si="8"/>
        <v>120</v>
      </c>
      <c r="W16" s="17">
        <f t="shared" si="8"/>
        <v>4</v>
      </c>
      <c r="X16" s="17">
        <f t="shared" si="8"/>
        <v>4</v>
      </c>
      <c r="Y16" s="17">
        <f t="shared" si="8"/>
        <v>10</v>
      </c>
      <c r="Z16" s="17">
        <f t="shared" si="8"/>
        <v>13</v>
      </c>
      <c r="AA16" s="17">
        <f t="shared" si="8"/>
        <v>5</v>
      </c>
      <c r="AB16" s="17">
        <f t="shared" si="8"/>
        <v>46</v>
      </c>
      <c r="AC16" s="17">
        <f t="shared" si="8"/>
        <v>83</v>
      </c>
      <c r="AD16" s="17">
        <f t="shared" si="8"/>
        <v>0</v>
      </c>
      <c r="AE16" s="31">
        <f t="shared" si="8"/>
        <v>372</v>
      </c>
      <c r="AF16" s="31">
        <f t="shared" si="8"/>
        <v>455</v>
      </c>
    </row>
    <row r="17" spans="2:32" ht="23.1" customHeight="1" x14ac:dyDescent="0.25">
      <c r="B17" s="23" t="s">
        <v>44</v>
      </c>
      <c r="C17" s="50">
        <v>21</v>
      </c>
      <c r="D17" s="50">
        <v>3</v>
      </c>
      <c r="E17" s="50">
        <v>2</v>
      </c>
      <c r="F17" s="50">
        <v>29</v>
      </c>
      <c r="G17" s="50">
        <v>0</v>
      </c>
      <c r="H17" s="50">
        <v>3</v>
      </c>
      <c r="I17" s="50">
        <v>2</v>
      </c>
      <c r="J17" s="50">
        <v>2</v>
      </c>
      <c r="K17" s="50">
        <v>1</v>
      </c>
      <c r="L17" s="50">
        <v>6</v>
      </c>
      <c r="M17" s="50">
        <v>29</v>
      </c>
      <c r="N17" s="50">
        <v>0</v>
      </c>
      <c r="O17" s="15">
        <f t="shared" si="0"/>
        <v>69</v>
      </c>
      <c r="P17" s="15">
        <f t="shared" si="1"/>
        <v>98</v>
      </c>
      <c r="R17" s="1" t="s">
        <v>13</v>
      </c>
      <c r="S17" s="17">
        <f t="shared" ref="S17:AF17" si="9">SUM(C38:C41)</f>
        <v>108</v>
      </c>
      <c r="T17" s="17">
        <f t="shared" si="9"/>
        <v>43</v>
      </c>
      <c r="U17" s="17">
        <f t="shared" si="9"/>
        <v>17</v>
      </c>
      <c r="V17" s="17">
        <f t="shared" si="9"/>
        <v>124</v>
      </c>
      <c r="W17" s="17">
        <f t="shared" si="9"/>
        <v>3</v>
      </c>
      <c r="X17" s="17">
        <f t="shared" si="9"/>
        <v>3</v>
      </c>
      <c r="Y17" s="17">
        <f t="shared" si="9"/>
        <v>14</v>
      </c>
      <c r="Z17" s="17">
        <f t="shared" si="9"/>
        <v>22</v>
      </c>
      <c r="AA17" s="17">
        <f t="shared" si="9"/>
        <v>7</v>
      </c>
      <c r="AB17" s="17">
        <f t="shared" si="9"/>
        <v>31</v>
      </c>
      <c r="AC17" s="17">
        <f t="shared" si="9"/>
        <v>83</v>
      </c>
      <c r="AD17" s="17">
        <f t="shared" si="9"/>
        <v>0</v>
      </c>
      <c r="AE17" s="31">
        <f t="shared" si="9"/>
        <v>372</v>
      </c>
      <c r="AF17" s="31">
        <f t="shared" si="9"/>
        <v>455</v>
      </c>
    </row>
    <row r="18" spans="2:32" ht="23.1" customHeight="1" x14ac:dyDescent="0.25">
      <c r="B18" s="23" t="s">
        <v>45</v>
      </c>
      <c r="C18" s="50">
        <v>16</v>
      </c>
      <c r="D18" s="50">
        <v>8</v>
      </c>
      <c r="E18" s="50">
        <v>4</v>
      </c>
      <c r="F18" s="50">
        <v>30</v>
      </c>
      <c r="G18" s="50">
        <v>2</v>
      </c>
      <c r="H18" s="50">
        <v>0</v>
      </c>
      <c r="I18" s="50">
        <v>4</v>
      </c>
      <c r="J18" s="50">
        <v>1</v>
      </c>
      <c r="K18" s="50">
        <v>0</v>
      </c>
      <c r="L18" s="50">
        <v>15</v>
      </c>
      <c r="M18" s="50">
        <v>21</v>
      </c>
      <c r="N18" s="50">
        <v>0</v>
      </c>
      <c r="O18" s="15">
        <f t="shared" si="0"/>
        <v>80</v>
      </c>
      <c r="P18" s="15">
        <f t="shared" si="1"/>
        <v>101</v>
      </c>
      <c r="R18" s="1" t="s">
        <v>14</v>
      </c>
      <c r="S18" s="17">
        <f t="shared" ref="S18:AF18" si="10">SUM(C42:C45)</f>
        <v>104</v>
      </c>
      <c r="T18" s="17">
        <f t="shared" si="10"/>
        <v>62</v>
      </c>
      <c r="U18" s="17">
        <f t="shared" si="10"/>
        <v>31</v>
      </c>
      <c r="V18" s="17">
        <f t="shared" si="10"/>
        <v>133</v>
      </c>
      <c r="W18" s="17">
        <f t="shared" si="10"/>
        <v>3</v>
      </c>
      <c r="X18" s="17">
        <f t="shared" si="10"/>
        <v>1</v>
      </c>
      <c r="Y18" s="17">
        <f t="shared" si="10"/>
        <v>17</v>
      </c>
      <c r="Z18" s="17">
        <f t="shared" si="10"/>
        <v>27</v>
      </c>
      <c r="AA18" s="17">
        <f t="shared" si="10"/>
        <v>3</v>
      </c>
      <c r="AB18" s="17">
        <f t="shared" si="10"/>
        <v>40</v>
      </c>
      <c r="AC18" s="17">
        <f t="shared" si="10"/>
        <v>88</v>
      </c>
      <c r="AD18" s="17">
        <f t="shared" si="10"/>
        <v>0</v>
      </c>
      <c r="AE18" s="31">
        <f t="shared" si="10"/>
        <v>421</v>
      </c>
      <c r="AF18" s="31">
        <f t="shared" si="10"/>
        <v>509</v>
      </c>
    </row>
    <row r="19" spans="2:32" ht="23.1" customHeight="1" x14ac:dyDescent="0.25">
      <c r="B19" s="23" t="s">
        <v>46</v>
      </c>
      <c r="C19" s="50">
        <v>14</v>
      </c>
      <c r="D19" s="50">
        <v>10</v>
      </c>
      <c r="E19" s="50">
        <v>5</v>
      </c>
      <c r="F19" s="50">
        <v>26</v>
      </c>
      <c r="G19" s="50">
        <v>3</v>
      </c>
      <c r="H19" s="50">
        <v>0</v>
      </c>
      <c r="I19" s="50">
        <v>2</v>
      </c>
      <c r="J19" s="50">
        <v>3</v>
      </c>
      <c r="K19" s="50">
        <v>0</v>
      </c>
      <c r="L19" s="50">
        <v>14</v>
      </c>
      <c r="M19" s="50">
        <v>25</v>
      </c>
      <c r="N19" s="50">
        <v>0</v>
      </c>
      <c r="O19" s="15">
        <f t="shared" si="0"/>
        <v>77</v>
      </c>
      <c r="P19" s="15">
        <f t="shared" si="1"/>
        <v>102</v>
      </c>
      <c r="R19" s="1" t="s">
        <v>15</v>
      </c>
      <c r="S19" s="17">
        <f t="shared" ref="S19:AF19" si="11">SUM(C46:C49)</f>
        <v>101</v>
      </c>
      <c r="T19" s="17">
        <f t="shared" si="11"/>
        <v>45</v>
      </c>
      <c r="U19" s="17">
        <f t="shared" si="11"/>
        <v>20</v>
      </c>
      <c r="V19" s="17">
        <f t="shared" si="11"/>
        <v>157</v>
      </c>
      <c r="W19" s="17">
        <f t="shared" si="11"/>
        <v>4</v>
      </c>
      <c r="X19" s="17">
        <f t="shared" si="11"/>
        <v>4</v>
      </c>
      <c r="Y19" s="17">
        <f t="shared" si="11"/>
        <v>15</v>
      </c>
      <c r="Z19" s="17">
        <f t="shared" si="11"/>
        <v>18</v>
      </c>
      <c r="AA19" s="17">
        <f t="shared" si="11"/>
        <v>6</v>
      </c>
      <c r="AB19" s="17">
        <f t="shared" si="11"/>
        <v>38</v>
      </c>
      <c r="AC19" s="17">
        <f t="shared" si="11"/>
        <v>120</v>
      </c>
      <c r="AD19" s="17">
        <f t="shared" si="11"/>
        <v>0</v>
      </c>
      <c r="AE19" s="31">
        <f t="shared" si="11"/>
        <v>408</v>
      </c>
      <c r="AF19" s="31">
        <f t="shared" si="11"/>
        <v>528</v>
      </c>
    </row>
    <row r="20" spans="2:32" ht="23.1" customHeight="1" x14ac:dyDescent="0.25">
      <c r="B20" s="23" t="s">
        <v>47</v>
      </c>
      <c r="C20" s="50">
        <v>15</v>
      </c>
      <c r="D20" s="50">
        <v>11</v>
      </c>
      <c r="E20" s="50">
        <v>3</v>
      </c>
      <c r="F20" s="50">
        <v>46</v>
      </c>
      <c r="G20" s="50">
        <v>0</v>
      </c>
      <c r="H20" s="50">
        <v>0</v>
      </c>
      <c r="I20" s="50">
        <v>2</v>
      </c>
      <c r="J20" s="50">
        <v>0</v>
      </c>
      <c r="K20" s="50">
        <v>1</v>
      </c>
      <c r="L20" s="50">
        <v>9</v>
      </c>
      <c r="M20" s="50">
        <v>26</v>
      </c>
      <c r="N20" s="50">
        <v>0</v>
      </c>
      <c r="O20" s="15">
        <f t="shared" si="0"/>
        <v>87</v>
      </c>
      <c r="P20" s="15">
        <f t="shared" si="1"/>
        <v>113</v>
      </c>
      <c r="R20" s="1" t="s">
        <v>16</v>
      </c>
      <c r="S20" s="17">
        <f t="shared" ref="S20:AF20" si="12">SUM(C50:C53)</f>
        <v>90</v>
      </c>
      <c r="T20" s="17">
        <f t="shared" si="12"/>
        <v>39</v>
      </c>
      <c r="U20" s="17">
        <f t="shared" si="12"/>
        <v>16</v>
      </c>
      <c r="V20" s="17">
        <f t="shared" si="12"/>
        <v>145</v>
      </c>
      <c r="W20" s="17">
        <f t="shared" si="12"/>
        <v>7</v>
      </c>
      <c r="X20" s="17">
        <f t="shared" si="12"/>
        <v>2</v>
      </c>
      <c r="Y20" s="17">
        <f t="shared" si="12"/>
        <v>12</v>
      </c>
      <c r="Z20" s="17">
        <f t="shared" si="12"/>
        <v>19</v>
      </c>
      <c r="AA20" s="17">
        <f t="shared" si="12"/>
        <v>4</v>
      </c>
      <c r="AB20" s="17">
        <f t="shared" si="12"/>
        <v>45</v>
      </c>
      <c r="AC20" s="17">
        <f t="shared" si="12"/>
        <v>103</v>
      </c>
      <c r="AD20" s="17">
        <f t="shared" si="12"/>
        <v>0</v>
      </c>
      <c r="AE20" s="31">
        <f t="shared" si="12"/>
        <v>379</v>
      </c>
      <c r="AF20" s="31">
        <f t="shared" si="12"/>
        <v>482</v>
      </c>
    </row>
    <row r="21" spans="2:32" ht="23.1" customHeight="1" x14ac:dyDescent="0.25">
      <c r="B21" s="23" t="s">
        <v>48</v>
      </c>
      <c r="C21" s="50">
        <v>18</v>
      </c>
      <c r="D21" s="50">
        <v>5</v>
      </c>
      <c r="E21" s="50">
        <v>0</v>
      </c>
      <c r="F21" s="50">
        <v>25</v>
      </c>
      <c r="G21" s="50">
        <v>2</v>
      </c>
      <c r="H21" s="50">
        <v>1</v>
      </c>
      <c r="I21" s="50">
        <v>5</v>
      </c>
      <c r="J21" s="50">
        <v>3</v>
      </c>
      <c r="K21" s="50">
        <v>1</v>
      </c>
      <c r="L21" s="50">
        <v>8</v>
      </c>
      <c r="M21" s="50">
        <v>24</v>
      </c>
      <c r="N21" s="50">
        <v>0</v>
      </c>
      <c r="O21" s="15">
        <f t="shared" si="0"/>
        <v>68</v>
      </c>
      <c r="P21" s="15">
        <f t="shared" si="1"/>
        <v>92</v>
      </c>
      <c r="R21" s="36" t="s">
        <v>20</v>
      </c>
      <c r="S21" s="34">
        <f t="shared" ref="S21:AF21" si="13">SUM(C54:C57)</f>
        <v>112</v>
      </c>
      <c r="T21" s="17">
        <f t="shared" si="13"/>
        <v>47</v>
      </c>
      <c r="U21" s="17">
        <f t="shared" si="13"/>
        <v>21</v>
      </c>
      <c r="V21" s="17">
        <f t="shared" si="13"/>
        <v>158</v>
      </c>
      <c r="W21" s="17">
        <f t="shared" si="13"/>
        <v>9</v>
      </c>
      <c r="X21" s="17">
        <f t="shared" si="13"/>
        <v>2</v>
      </c>
      <c r="Y21" s="17">
        <f t="shared" si="13"/>
        <v>24</v>
      </c>
      <c r="Z21" s="17">
        <f t="shared" si="13"/>
        <v>13</v>
      </c>
      <c r="AA21" s="17">
        <f t="shared" si="13"/>
        <v>4</v>
      </c>
      <c r="AB21" s="17">
        <f t="shared" si="13"/>
        <v>30</v>
      </c>
      <c r="AC21" s="17">
        <f t="shared" si="13"/>
        <v>121</v>
      </c>
      <c r="AD21" s="17">
        <f t="shared" si="13"/>
        <v>0</v>
      </c>
      <c r="AE21" s="31">
        <f t="shared" si="13"/>
        <v>420</v>
      </c>
      <c r="AF21" s="31">
        <f t="shared" si="13"/>
        <v>541</v>
      </c>
    </row>
    <row r="22" spans="2:32" ht="23.1" customHeight="1" x14ac:dyDescent="0.25">
      <c r="B22" s="23" t="s">
        <v>49</v>
      </c>
      <c r="C22" s="50">
        <v>19</v>
      </c>
      <c r="D22" s="50">
        <v>10</v>
      </c>
      <c r="E22" s="50">
        <v>4</v>
      </c>
      <c r="F22" s="50">
        <v>36</v>
      </c>
      <c r="G22" s="50">
        <v>0</v>
      </c>
      <c r="H22" s="50">
        <v>0</v>
      </c>
      <c r="I22" s="50">
        <v>0</v>
      </c>
      <c r="J22" s="50">
        <v>6</v>
      </c>
      <c r="K22" s="50">
        <v>1</v>
      </c>
      <c r="L22" s="50">
        <v>10</v>
      </c>
      <c r="M22" s="50">
        <v>29</v>
      </c>
      <c r="N22" s="50">
        <v>0</v>
      </c>
      <c r="O22" s="15">
        <f t="shared" si="0"/>
        <v>86</v>
      </c>
      <c r="P22" s="15">
        <f t="shared" si="1"/>
        <v>115</v>
      </c>
      <c r="R22" s="38" t="s">
        <v>90</v>
      </c>
      <c r="S22" s="39">
        <f>MAX(S10:S12)</f>
        <v>63</v>
      </c>
      <c r="T22" s="39">
        <f t="shared" ref="T22:AF22" si="14">MAX(T10:T12)</f>
        <v>34</v>
      </c>
      <c r="U22" s="39">
        <f t="shared" si="14"/>
        <v>12</v>
      </c>
      <c r="V22" s="39">
        <f t="shared" si="14"/>
        <v>144</v>
      </c>
      <c r="W22" s="39">
        <f t="shared" si="14"/>
        <v>7</v>
      </c>
      <c r="X22" s="39">
        <f t="shared" si="14"/>
        <v>7</v>
      </c>
      <c r="Y22" s="39">
        <f t="shared" si="14"/>
        <v>13</v>
      </c>
      <c r="Z22" s="39">
        <f t="shared" si="14"/>
        <v>8</v>
      </c>
      <c r="AA22" s="39">
        <f t="shared" si="14"/>
        <v>8</v>
      </c>
      <c r="AB22" s="39">
        <f t="shared" si="14"/>
        <v>59</v>
      </c>
      <c r="AC22" s="39">
        <f t="shared" si="14"/>
        <v>96</v>
      </c>
      <c r="AD22" s="39">
        <f t="shared" si="14"/>
        <v>0</v>
      </c>
      <c r="AE22" s="40">
        <f t="shared" si="14"/>
        <v>312</v>
      </c>
      <c r="AF22" s="40">
        <f t="shared" si="14"/>
        <v>408</v>
      </c>
    </row>
    <row r="23" spans="2:32" ht="23.1" customHeight="1" x14ac:dyDescent="0.25">
      <c r="B23" s="23" t="s">
        <v>50</v>
      </c>
      <c r="C23" s="50">
        <v>17</v>
      </c>
      <c r="D23" s="50">
        <v>10</v>
      </c>
      <c r="E23" s="50">
        <v>3</v>
      </c>
      <c r="F23" s="50">
        <v>31</v>
      </c>
      <c r="G23" s="50">
        <v>2</v>
      </c>
      <c r="H23" s="50">
        <v>0</v>
      </c>
      <c r="I23" s="50">
        <v>4</v>
      </c>
      <c r="J23" s="50">
        <v>5</v>
      </c>
      <c r="K23" s="50">
        <v>0</v>
      </c>
      <c r="L23" s="50">
        <v>13</v>
      </c>
      <c r="M23" s="50">
        <v>31</v>
      </c>
      <c r="N23" s="50">
        <v>0</v>
      </c>
      <c r="O23" s="15">
        <f t="shared" si="0"/>
        <v>85</v>
      </c>
      <c r="P23" s="15">
        <f t="shared" si="1"/>
        <v>116</v>
      </c>
      <c r="R23" s="38" t="s">
        <v>91</v>
      </c>
      <c r="S23" s="39">
        <f>MAX(S13:S18)</f>
        <v>112</v>
      </c>
      <c r="T23" s="39">
        <f t="shared" ref="T23:AF23" si="15">MAX(T13:T18)</f>
        <v>62</v>
      </c>
      <c r="U23" s="39">
        <f t="shared" si="15"/>
        <v>31</v>
      </c>
      <c r="V23" s="39">
        <f t="shared" si="15"/>
        <v>133</v>
      </c>
      <c r="W23" s="39">
        <f t="shared" si="15"/>
        <v>5</v>
      </c>
      <c r="X23" s="39">
        <f t="shared" si="15"/>
        <v>4</v>
      </c>
      <c r="Y23" s="39">
        <f t="shared" si="15"/>
        <v>19</v>
      </c>
      <c r="Z23" s="39">
        <f t="shared" si="15"/>
        <v>27</v>
      </c>
      <c r="AA23" s="39">
        <f t="shared" si="15"/>
        <v>10</v>
      </c>
      <c r="AB23" s="39">
        <f t="shared" si="15"/>
        <v>46</v>
      </c>
      <c r="AC23" s="39">
        <f t="shared" si="15"/>
        <v>98</v>
      </c>
      <c r="AD23" s="39">
        <f t="shared" si="15"/>
        <v>0</v>
      </c>
      <c r="AE23" s="40">
        <f t="shared" si="15"/>
        <v>421</v>
      </c>
      <c r="AF23" s="40">
        <f t="shared" si="15"/>
        <v>509</v>
      </c>
    </row>
    <row r="24" spans="2:32" ht="23.1" customHeight="1" x14ac:dyDescent="0.25">
      <c r="B24" s="23" t="s">
        <v>51</v>
      </c>
      <c r="C24" s="50">
        <v>21</v>
      </c>
      <c r="D24" s="50">
        <v>8</v>
      </c>
      <c r="E24" s="50">
        <v>3</v>
      </c>
      <c r="F24" s="50">
        <v>35</v>
      </c>
      <c r="G24" s="50">
        <v>0</v>
      </c>
      <c r="H24" s="50">
        <v>0</v>
      </c>
      <c r="I24" s="50">
        <v>4</v>
      </c>
      <c r="J24" s="50">
        <v>2</v>
      </c>
      <c r="K24" s="50">
        <v>1</v>
      </c>
      <c r="L24" s="50">
        <v>9</v>
      </c>
      <c r="M24" s="50">
        <v>20</v>
      </c>
      <c r="N24" s="50">
        <v>0</v>
      </c>
      <c r="O24" s="15">
        <f t="shared" si="0"/>
        <v>83</v>
      </c>
      <c r="P24" s="15">
        <f t="shared" si="1"/>
        <v>103</v>
      </c>
      <c r="R24" s="38" t="s">
        <v>92</v>
      </c>
      <c r="S24" s="39">
        <f>MAX(S19:S21)</f>
        <v>112</v>
      </c>
      <c r="T24" s="39">
        <f t="shared" ref="T24:AF24" si="16">MAX(T19:T21)</f>
        <v>47</v>
      </c>
      <c r="U24" s="39">
        <f t="shared" si="16"/>
        <v>21</v>
      </c>
      <c r="V24" s="39">
        <f t="shared" si="16"/>
        <v>158</v>
      </c>
      <c r="W24" s="39">
        <f t="shared" si="16"/>
        <v>9</v>
      </c>
      <c r="X24" s="39">
        <f t="shared" si="16"/>
        <v>4</v>
      </c>
      <c r="Y24" s="39">
        <f t="shared" si="16"/>
        <v>24</v>
      </c>
      <c r="Z24" s="39">
        <f t="shared" si="16"/>
        <v>19</v>
      </c>
      <c r="AA24" s="39">
        <f t="shared" si="16"/>
        <v>6</v>
      </c>
      <c r="AB24" s="39">
        <f t="shared" si="16"/>
        <v>45</v>
      </c>
      <c r="AC24" s="39">
        <f t="shared" si="16"/>
        <v>121</v>
      </c>
      <c r="AD24" s="39">
        <f t="shared" si="16"/>
        <v>0</v>
      </c>
      <c r="AE24" s="40">
        <f t="shared" si="16"/>
        <v>420</v>
      </c>
      <c r="AF24" s="40">
        <f t="shared" si="16"/>
        <v>541</v>
      </c>
    </row>
    <row r="25" spans="2:32" ht="23.1" customHeight="1" x14ac:dyDescent="0.25">
      <c r="B25" s="23" t="s">
        <v>52</v>
      </c>
      <c r="C25" s="50">
        <v>17</v>
      </c>
      <c r="D25" s="50">
        <v>8</v>
      </c>
      <c r="E25" s="50">
        <v>2</v>
      </c>
      <c r="F25" s="50">
        <v>26</v>
      </c>
      <c r="G25" s="50">
        <v>1</v>
      </c>
      <c r="H25" s="50">
        <v>0</v>
      </c>
      <c r="I25" s="50">
        <v>6</v>
      </c>
      <c r="J25" s="50">
        <v>6</v>
      </c>
      <c r="K25" s="50">
        <v>1</v>
      </c>
      <c r="L25" s="50">
        <v>9</v>
      </c>
      <c r="M25" s="50">
        <v>18</v>
      </c>
      <c r="N25" s="50">
        <v>0</v>
      </c>
      <c r="O25" s="15">
        <f t="shared" si="0"/>
        <v>76</v>
      </c>
      <c r="P25" s="15">
        <f t="shared" si="1"/>
        <v>94</v>
      </c>
      <c r="R25" s="37" t="s">
        <v>85</v>
      </c>
      <c r="S25" s="35">
        <f t="shared" ref="S25:AF25" si="17">SUM(S10:S12)</f>
        <v>160</v>
      </c>
      <c r="T25" s="16">
        <f t="shared" si="17"/>
        <v>64</v>
      </c>
      <c r="U25" s="16">
        <f t="shared" si="17"/>
        <v>29</v>
      </c>
      <c r="V25" s="16">
        <f t="shared" si="17"/>
        <v>398</v>
      </c>
      <c r="W25" s="16">
        <f t="shared" si="17"/>
        <v>10</v>
      </c>
      <c r="X25" s="16">
        <f t="shared" si="17"/>
        <v>14</v>
      </c>
      <c r="Y25" s="16">
        <f t="shared" si="17"/>
        <v>25</v>
      </c>
      <c r="Z25" s="16">
        <f t="shared" si="17"/>
        <v>22</v>
      </c>
      <c r="AA25" s="16">
        <f t="shared" si="17"/>
        <v>12</v>
      </c>
      <c r="AB25" s="16">
        <f t="shared" si="17"/>
        <v>145</v>
      </c>
      <c r="AC25" s="16">
        <f t="shared" si="17"/>
        <v>226</v>
      </c>
      <c r="AD25" s="16">
        <f t="shared" si="17"/>
        <v>0</v>
      </c>
      <c r="AE25" s="32">
        <f t="shared" si="17"/>
        <v>879</v>
      </c>
      <c r="AF25" s="32">
        <f t="shared" si="17"/>
        <v>1105</v>
      </c>
    </row>
    <row r="26" spans="2:32" ht="23.1" customHeight="1" x14ac:dyDescent="0.25">
      <c r="B26" s="23" t="s">
        <v>53</v>
      </c>
      <c r="C26" s="50">
        <v>29</v>
      </c>
      <c r="D26" s="50">
        <v>6</v>
      </c>
      <c r="E26" s="50">
        <v>2</v>
      </c>
      <c r="F26" s="50">
        <v>4</v>
      </c>
      <c r="G26" s="50">
        <v>0</v>
      </c>
      <c r="H26" s="50">
        <v>1</v>
      </c>
      <c r="I26" s="50">
        <v>7</v>
      </c>
      <c r="J26" s="50">
        <v>0</v>
      </c>
      <c r="K26" s="50">
        <v>9</v>
      </c>
      <c r="L26" s="50">
        <v>23</v>
      </c>
      <c r="M26" s="50">
        <v>0</v>
      </c>
      <c r="N26" s="50">
        <v>0</v>
      </c>
      <c r="O26" s="15">
        <f t="shared" si="0"/>
        <v>81</v>
      </c>
      <c r="P26" s="15">
        <f t="shared" si="1"/>
        <v>81</v>
      </c>
      <c r="R26" s="28" t="s">
        <v>86</v>
      </c>
      <c r="S26" s="16">
        <f t="shared" ref="S26:AF26" si="18">SUM(S13:S18)</f>
        <v>560</v>
      </c>
      <c r="T26" s="16">
        <f t="shared" si="18"/>
        <v>257</v>
      </c>
      <c r="U26" s="16">
        <f t="shared" si="18"/>
        <v>99</v>
      </c>
      <c r="V26" s="16">
        <f t="shared" si="18"/>
        <v>718</v>
      </c>
      <c r="W26" s="16">
        <f t="shared" si="18"/>
        <v>20</v>
      </c>
      <c r="X26" s="16">
        <f t="shared" si="18"/>
        <v>14</v>
      </c>
      <c r="Y26" s="16">
        <f t="shared" si="18"/>
        <v>90</v>
      </c>
      <c r="Z26" s="16">
        <f t="shared" si="18"/>
        <v>101</v>
      </c>
      <c r="AA26" s="16">
        <f t="shared" si="18"/>
        <v>29</v>
      </c>
      <c r="AB26" s="16">
        <f t="shared" si="18"/>
        <v>246</v>
      </c>
      <c r="AC26" s="16">
        <f t="shared" si="18"/>
        <v>512</v>
      </c>
      <c r="AD26" s="16">
        <f t="shared" si="18"/>
        <v>0</v>
      </c>
      <c r="AE26" s="32">
        <f t="shared" si="18"/>
        <v>2134</v>
      </c>
      <c r="AF26" s="32">
        <f t="shared" si="18"/>
        <v>2646</v>
      </c>
    </row>
    <row r="27" spans="2:32" ht="23.1" customHeight="1" x14ac:dyDescent="0.25">
      <c r="B27" s="23" t="s">
        <v>54</v>
      </c>
      <c r="C27" s="50">
        <v>19</v>
      </c>
      <c r="D27" s="50">
        <v>11</v>
      </c>
      <c r="E27" s="50">
        <v>6</v>
      </c>
      <c r="F27" s="50">
        <v>23</v>
      </c>
      <c r="G27" s="50">
        <v>0</v>
      </c>
      <c r="H27" s="50">
        <v>0</v>
      </c>
      <c r="I27" s="50">
        <v>5</v>
      </c>
      <c r="J27" s="50">
        <v>1</v>
      </c>
      <c r="K27" s="50">
        <v>1</v>
      </c>
      <c r="L27" s="50">
        <v>3</v>
      </c>
      <c r="M27" s="50">
        <v>34</v>
      </c>
      <c r="N27" s="50">
        <v>0</v>
      </c>
      <c r="O27" s="15">
        <f t="shared" si="0"/>
        <v>69</v>
      </c>
      <c r="P27" s="15">
        <f t="shared" si="1"/>
        <v>103</v>
      </c>
      <c r="R27" s="29" t="s">
        <v>87</v>
      </c>
      <c r="S27" s="16">
        <f t="shared" ref="S27:AF27" si="19">SUM(S19:S21)</f>
        <v>303</v>
      </c>
      <c r="T27" s="16">
        <f t="shared" si="19"/>
        <v>131</v>
      </c>
      <c r="U27" s="16">
        <f t="shared" si="19"/>
        <v>57</v>
      </c>
      <c r="V27" s="16">
        <f t="shared" si="19"/>
        <v>460</v>
      </c>
      <c r="W27" s="16">
        <f t="shared" si="19"/>
        <v>20</v>
      </c>
      <c r="X27" s="16">
        <f t="shared" si="19"/>
        <v>8</v>
      </c>
      <c r="Y27" s="16">
        <f t="shared" si="19"/>
        <v>51</v>
      </c>
      <c r="Z27" s="16">
        <f t="shared" si="19"/>
        <v>50</v>
      </c>
      <c r="AA27" s="16">
        <f t="shared" si="19"/>
        <v>14</v>
      </c>
      <c r="AB27" s="16">
        <f t="shared" si="19"/>
        <v>113</v>
      </c>
      <c r="AC27" s="16">
        <f t="shared" si="19"/>
        <v>344</v>
      </c>
      <c r="AD27" s="16">
        <f t="shared" si="19"/>
        <v>0</v>
      </c>
      <c r="AE27" s="32">
        <f t="shared" si="19"/>
        <v>1207</v>
      </c>
      <c r="AF27" s="32">
        <f t="shared" si="19"/>
        <v>1551</v>
      </c>
    </row>
    <row r="28" spans="2:32" ht="23.1" customHeight="1" x14ac:dyDescent="0.25">
      <c r="B28" s="23" t="s">
        <v>55</v>
      </c>
      <c r="C28" s="50">
        <v>22</v>
      </c>
      <c r="D28" s="50">
        <v>5</v>
      </c>
      <c r="E28" s="50">
        <v>2</v>
      </c>
      <c r="F28" s="50">
        <v>38</v>
      </c>
      <c r="G28" s="50">
        <v>2</v>
      </c>
      <c r="H28" s="50">
        <v>1</v>
      </c>
      <c r="I28" s="50">
        <v>4</v>
      </c>
      <c r="J28" s="50">
        <v>4</v>
      </c>
      <c r="K28" s="50">
        <v>0</v>
      </c>
      <c r="L28" s="50">
        <v>13</v>
      </c>
      <c r="M28" s="50">
        <v>28</v>
      </c>
      <c r="N28" s="50">
        <v>0</v>
      </c>
      <c r="O28" s="15">
        <f t="shared" si="0"/>
        <v>91</v>
      </c>
      <c r="P28" s="15">
        <f t="shared" si="1"/>
        <v>119</v>
      </c>
      <c r="R28" s="5" t="s">
        <v>17</v>
      </c>
      <c r="S28" s="16">
        <f t="shared" ref="S28:AF28" si="20">SUM(S10:S21)</f>
        <v>1023</v>
      </c>
      <c r="T28" s="16">
        <f t="shared" si="20"/>
        <v>452</v>
      </c>
      <c r="U28" s="16">
        <f t="shared" si="20"/>
        <v>185</v>
      </c>
      <c r="V28" s="16">
        <f t="shared" si="20"/>
        <v>1576</v>
      </c>
      <c r="W28" s="16">
        <f t="shared" si="20"/>
        <v>50</v>
      </c>
      <c r="X28" s="16">
        <f t="shared" si="20"/>
        <v>36</v>
      </c>
      <c r="Y28" s="16">
        <f t="shared" si="20"/>
        <v>166</v>
      </c>
      <c r="Z28" s="16">
        <f t="shared" si="20"/>
        <v>173</v>
      </c>
      <c r="AA28" s="16">
        <f t="shared" si="20"/>
        <v>55</v>
      </c>
      <c r="AB28" s="16">
        <f t="shared" si="20"/>
        <v>504</v>
      </c>
      <c r="AC28" s="16">
        <f t="shared" si="20"/>
        <v>1082</v>
      </c>
      <c r="AD28" s="16">
        <f t="shared" si="20"/>
        <v>0</v>
      </c>
      <c r="AE28" s="32">
        <f t="shared" si="20"/>
        <v>4220</v>
      </c>
      <c r="AF28" s="32">
        <f t="shared" si="20"/>
        <v>5302</v>
      </c>
    </row>
    <row r="29" spans="2:32" ht="23.1" customHeight="1" x14ac:dyDescent="0.25">
      <c r="B29" s="23" t="s">
        <v>56</v>
      </c>
      <c r="C29" s="50">
        <v>12</v>
      </c>
      <c r="D29" s="50">
        <v>16</v>
      </c>
      <c r="E29" s="50">
        <v>1</v>
      </c>
      <c r="F29" s="50">
        <v>35</v>
      </c>
      <c r="G29" s="50">
        <v>3</v>
      </c>
      <c r="H29" s="50">
        <v>0</v>
      </c>
      <c r="I29" s="50">
        <v>3</v>
      </c>
      <c r="J29" s="50">
        <v>2</v>
      </c>
      <c r="K29" s="50">
        <v>0</v>
      </c>
      <c r="L29" s="50">
        <v>6</v>
      </c>
      <c r="M29" s="50">
        <v>21</v>
      </c>
      <c r="N29" s="50">
        <v>0</v>
      </c>
      <c r="O29" s="15">
        <f t="shared" si="0"/>
        <v>78</v>
      </c>
      <c r="P29" s="15">
        <f t="shared" si="1"/>
        <v>99</v>
      </c>
      <c r="R29"/>
      <c r="S29" s="20"/>
      <c r="T29" s="19"/>
    </row>
    <row r="30" spans="2:32" ht="23.1" customHeight="1" x14ac:dyDescent="0.25">
      <c r="B30" s="23" t="s">
        <v>57</v>
      </c>
      <c r="C30" s="50">
        <v>25</v>
      </c>
      <c r="D30" s="50">
        <v>10</v>
      </c>
      <c r="E30" s="50">
        <v>2</v>
      </c>
      <c r="F30" s="50">
        <v>30</v>
      </c>
      <c r="G30" s="50">
        <v>1</v>
      </c>
      <c r="H30" s="50">
        <v>2</v>
      </c>
      <c r="I30" s="50">
        <v>3</v>
      </c>
      <c r="J30" s="50">
        <v>1</v>
      </c>
      <c r="K30" s="50">
        <v>0</v>
      </c>
      <c r="L30" s="50">
        <v>18</v>
      </c>
      <c r="M30" s="50">
        <v>26</v>
      </c>
      <c r="N30" s="50">
        <v>0</v>
      </c>
      <c r="O30" s="15">
        <f t="shared" si="0"/>
        <v>92</v>
      </c>
      <c r="P30" s="15">
        <f t="shared" si="1"/>
        <v>118</v>
      </c>
    </row>
    <row r="31" spans="2:32" ht="23.1" customHeight="1" x14ac:dyDescent="0.25">
      <c r="B31" s="24" t="s">
        <v>58</v>
      </c>
      <c r="C31" s="50">
        <v>20</v>
      </c>
      <c r="D31" s="50">
        <v>11</v>
      </c>
      <c r="E31" s="50">
        <v>3</v>
      </c>
      <c r="F31" s="50">
        <v>35</v>
      </c>
      <c r="G31" s="50">
        <v>1</v>
      </c>
      <c r="H31" s="50">
        <v>0</v>
      </c>
      <c r="I31" s="50">
        <v>6</v>
      </c>
      <c r="J31" s="50">
        <v>6</v>
      </c>
      <c r="K31" s="50">
        <v>0</v>
      </c>
      <c r="L31" s="50">
        <v>9</v>
      </c>
      <c r="M31" s="50">
        <v>21</v>
      </c>
      <c r="N31" s="50">
        <v>0</v>
      </c>
      <c r="O31" s="15">
        <f t="shared" si="0"/>
        <v>91</v>
      </c>
      <c r="P31" s="15">
        <f t="shared" si="1"/>
        <v>112</v>
      </c>
    </row>
    <row r="32" spans="2:32" ht="23.1" customHeight="1" x14ac:dyDescent="0.25">
      <c r="B32" s="24" t="s">
        <v>59</v>
      </c>
      <c r="C32" s="50">
        <v>16</v>
      </c>
      <c r="D32" s="50">
        <v>9</v>
      </c>
      <c r="E32" s="50">
        <v>1</v>
      </c>
      <c r="F32" s="50">
        <v>29</v>
      </c>
      <c r="G32" s="50">
        <v>0</v>
      </c>
      <c r="H32" s="50">
        <v>1</v>
      </c>
      <c r="I32" s="50">
        <v>4</v>
      </c>
      <c r="J32" s="50">
        <v>1</v>
      </c>
      <c r="K32" s="50">
        <v>1</v>
      </c>
      <c r="L32" s="50">
        <v>7</v>
      </c>
      <c r="M32" s="50">
        <v>17</v>
      </c>
      <c r="N32" s="50">
        <v>0</v>
      </c>
      <c r="O32" s="15">
        <f t="shared" si="0"/>
        <v>69</v>
      </c>
      <c r="P32" s="15">
        <f t="shared" si="1"/>
        <v>86</v>
      </c>
    </row>
    <row r="33" spans="2:20" ht="23.1" customHeight="1" x14ac:dyDescent="0.25">
      <c r="B33" s="23" t="s">
        <v>60</v>
      </c>
      <c r="C33" s="50">
        <v>19</v>
      </c>
      <c r="D33" s="50">
        <v>9</v>
      </c>
      <c r="E33" s="50">
        <v>3</v>
      </c>
      <c r="F33" s="50">
        <v>19</v>
      </c>
      <c r="G33" s="50">
        <v>0</v>
      </c>
      <c r="H33" s="50">
        <v>1</v>
      </c>
      <c r="I33" s="50">
        <v>3</v>
      </c>
      <c r="J33" s="50">
        <v>5</v>
      </c>
      <c r="K33" s="50">
        <v>0</v>
      </c>
      <c r="L33" s="50">
        <v>9</v>
      </c>
      <c r="M33" s="50">
        <v>13</v>
      </c>
      <c r="N33" s="50">
        <v>0</v>
      </c>
      <c r="O33" s="15">
        <f t="shared" si="0"/>
        <v>68</v>
      </c>
      <c r="P33" s="15">
        <f t="shared" si="1"/>
        <v>81</v>
      </c>
    </row>
    <row r="34" spans="2:20" ht="23.1" customHeight="1" x14ac:dyDescent="0.25">
      <c r="B34" s="24" t="s">
        <v>61</v>
      </c>
      <c r="C34" s="50">
        <v>25</v>
      </c>
      <c r="D34" s="50">
        <v>11</v>
      </c>
      <c r="E34" s="50">
        <v>6</v>
      </c>
      <c r="F34" s="50">
        <v>33</v>
      </c>
      <c r="G34" s="50">
        <v>1</v>
      </c>
      <c r="H34" s="50">
        <v>0</v>
      </c>
      <c r="I34" s="50">
        <v>5</v>
      </c>
      <c r="J34" s="50">
        <v>6</v>
      </c>
      <c r="K34" s="50">
        <v>0</v>
      </c>
      <c r="L34" s="50">
        <v>13</v>
      </c>
      <c r="M34" s="50">
        <v>12</v>
      </c>
      <c r="N34" s="50">
        <v>0</v>
      </c>
      <c r="O34" s="15">
        <f t="shared" si="0"/>
        <v>100</v>
      </c>
      <c r="P34" s="15">
        <f t="shared" si="1"/>
        <v>112</v>
      </c>
    </row>
    <row r="35" spans="2:20" ht="23.1" customHeight="1" x14ac:dyDescent="0.25">
      <c r="B35" s="24" t="s">
        <v>62</v>
      </c>
      <c r="C35" s="50">
        <v>30</v>
      </c>
      <c r="D35" s="50">
        <v>8</v>
      </c>
      <c r="E35" s="50">
        <v>1</v>
      </c>
      <c r="F35" s="50">
        <v>35</v>
      </c>
      <c r="G35" s="50">
        <v>1</v>
      </c>
      <c r="H35" s="50">
        <v>0</v>
      </c>
      <c r="I35" s="50">
        <v>1</v>
      </c>
      <c r="J35" s="50">
        <v>3</v>
      </c>
      <c r="K35" s="50">
        <v>1</v>
      </c>
      <c r="L35" s="50">
        <v>6</v>
      </c>
      <c r="M35" s="50">
        <v>23</v>
      </c>
      <c r="N35" s="50">
        <v>0</v>
      </c>
      <c r="O35" s="15">
        <f t="shared" si="0"/>
        <v>86</v>
      </c>
      <c r="P35" s="15">
        <f t="shared" si="1"/>
        <v>109</v>
      </c>
    </row>
    <row r="36" spans="2:20" ht="23.1" customHeight="1" x14ac:dyDescent="0.25">
      <c r="B36" s="24" t="s">
        <v>63</v>
      </c>
      <c r="C36" s="50">
        <v>28</v>
      </c>
      <c r="D36" s="50">
        <v>8</v>
      </c>
      <c r="E36" s="50">
        <v>4</v>
      </c>
      <c r="F36" s="50">
        <v>21</v>
      </c>
      <c r="G36" s="50">
        <v>1</v>
      </c>
      <c r="H36" s="50">
        <v>1</v>
      </c>
      <c r="I36" s="50">
        <v>2</v>
      </c>
      <c r="J36" s="50">
        <v>2</v>
      </c>
      <c r="K36" s="50">
        <v>3</v>
      </c>
      <c r="L36" s="50">
        <v>13</v>
      </c>
      <c r="M36" s="50">
        <v>24</v>
      </c>
      <c r="N36" s="50">
        <v>0</v>
      </c>
      <c r="O36" s="15">
        <f t="shared" si="0"/>
        <v>83</v>
      </c>
      <c r="P36" s="15">
        <f t="shared" si="1"/>
        <v>107</v>
      </c>
    </row>
    <row r="37" spans="2:20" ht="23.1" customHeight="1" x14ac:dyDescent="0.25">
      <c r="B37" s="23" t="s">
        <v>64</v>
      </c>
      <c r="C37" s="50">
        <v>29</v>
      </c>
      <c r="D37" s="50">
        <v>12</v>
      </c>
      <c r="E37" s="50">
        <v>8</v>
      </c>
      <c r="F37" s="50">
        <v>31</v>
      </c>
      <c r="G37" s="50">
        <v>1</v>
      </c>
      <c r="H37" s="50">
        <v>3</v>
      </c>
      <c r="I37" s="50">
        <v>2</v>
      </c>
      <c r="J37" s="50">
        <v>2</v>
      </c>
      <c r="K37" s="50">
        <v>1</v>
      </c>
      <c r="L37" s="50">
        <v>14</v>
      </c>
      <c r="M37" s="50">
        <v>24</v>
      </c>
      <c r="N37" s="50">
        <v>0</v>
      </c>
      <c r="O37" s="15">
        <f t="shared" si="0"/>
        <v>103</v>
      </c>
      <c r="P37" s="15">
        <f t="shared" si="1"/>
        <v>127</v>
      </c>
    </row>
    <row r="38" spans="2:20" ht="23.1" customHeight="1" x14ac:dyDescent="0.25">
      <c r="B38" s="24" t="s">
        <v>65</v>
      </c>
      <c r="C38" s="50">
        <v>33</v>
      </c>
      <c r="D38" s="50">
        <v>5</v>
      </c>
      <c r="E38" s="50">
        <v>5</v>
      </c>
      <c r="F38" s="50">
        <v>39</v>
      </c>
      <c r="G38" s="50">
        <v>0</v>
      </c>
      <c r="H38" s="50">
        <v>1</v>
      </c>
      <c r="I38" s="50">
        <v>5</v>
      </c>
      <c r="J38" s="50">
        <v>5</v>
      </c>
      <c r="K38" s="50">
        <v>0</v>
      </c>
      <c r="L38" s="50">
        <v>9</v>
      </c>
      <c r="M38" s="50">
        <v>24</v>
      </c>
      <c r="N38" s="50">
        <v>0</v>
      </c>
      <c r="O38" s="15">
        <f t="shared" si="0"/>
        <v>102</v>
      </c>
      <c r="P38" s="15">
        <f t="shared" si="1"/>
        <v>126</v>
      </c>
    </row>
    <row r="39" spans="2:20" ht="23.1" customHeight="1" x14ac:dyDescent="0.25">
      <c r="B39" s="24" t="s">
        <v>66</v>
      </c>
      <c r="C39" s="50">
        <v>25</v>
      </c>
      <c r="D39" s="50">
        <v>6</v>
      </c>
      <c r="E39" s="50">
        <v>3</v>
      </c>
      <c r="F39" s="50">
        <v>21</v>
      </c>
      <c r="G39" s="50">
        <v>2</v>
      </c>
      <c r="H39" s="50">
        <v>1</v>
      </c>
      <c r="I39" s="50">
        <v>3</v>
      </c>
      <c r="J39" s="50">
        <v>2</v>
      </c>
      <c r="K39" s="50">
        <v>1</v>
      </c>
      <c r="L39" s="50">
        <v>6</v>
      </c>
      <c r="M39" s="50">
        <v>18</v>
      </c>
      <c r="N39" s="50">
        <v>0</v>
      </c>
      <c r="O39" s="15">
        <f t="shared" si="0"/>
        <v>70</v>
      </c>
      <c r="P39" s="15">
        <f t="shared" si="1"/>
        <v>88</v>
      </c>
    </row>
    <row r="40" spans="2:20" ht="23.1" customHeight="1" x14ac:dyDescent="0.25">
      <c r="B40" s="24" t="s">
        <v>67</v>
      </c>
      <c r="C40" s="50">
        <v>23</v>
      </c>
      <c r="D40" s="50">
        <v>17</v>
      </c>
      <c r="E40" s="50">
        <v>1</v>
      </c>
      <c r="F40" s="50">
        <v>39</v>
      </c>
      <c r="G40" s="50">
        <v>0</v>
      </c>
      <c r="H40" s="50">
        <v>0</v>
      </c>
      <c r="I40" s="50">
        <v>3</v>
      </c>
      <c r="J40" s="50">
        <v>8</v>
      </c>
      <c r="K40" s="50">
        <v>5</v>
      </c>
      <c r="L40" s="50">
        <v>8</v>
      </c>
      <c r="M40" s="50">
        <v>17</v>
      </c>
      <c r="N40" s="50">
        <v>0</v>
      </c>
      <c r="O40" s="15">
        <f t="shared" si="0"/>
        <v>104</v>
      </c>
      <c r="P40" s="15">
        <f t="shared" si="1"/>
        <v>121</v>
      </c>
    </row>
    <row r="41" spans="2:20" ht="23.1" customHeight="1" x14ac:dyDescent="0.25">
      <c r="B41" s="23" t="s">
        <v>68</v>
      </c>
      <c r="C41" s="50">
        <v>27</v>
      </c>
      <c r="D41" s="50">
        <v>15</v>
      </c>
      <c r="E41" s="50">
        <v>8</v>
      </c>
      <c r="F41" s="50">
        <v>25</v>
      </c>
      <c r="G41" s="50">
        <v>1</v>
      </c>
      <c r="H41" s="50">
        <v>1</v>
      </c>
      <c r="I41" s="50">
        <v>3</v>
      </c>
      <c r="J41" s="50">
        <v>7</v>
      </c>
      <c r="K41" s="50">
        <v>1</v>
      </c>
      <c r="L41" s="50">
        <v>8</v>
      </c>
      <c r="M41" s="50">
        <v>24</v>
      </c>
      <c r="N41" s="50">
        <v>0</v>
      </c>
      <c r="O41" s="15">
        <f t="shared" si="0"/>
        <v>96</v>
      </c>
      <c r="P41" s="15">
        <f t="shared" si="1"/>
        <v>120</v>
      </c>
    </row>
    <row r="42" spans="2:20" ht="23.1" customHeight="1" x14ac:dyDescent="0.25">
      <c r="B42" s="24" t="s">
        <v>69</v>
      </c>
      <c r="C42" s="50">
        <v>19</v>
      </c>
      <c r="D42" s="50">
        <v>22</v>
      </c>
      <c r="E42" s="50">
        <v>9</v>
      </c>
      <c r="F42" s="50">
        <v>55</v>
      </c>
      <c r="G42" s="50">
        <v>1</v>
      </c>
      <c r="H42" s="50">
        <v>1</v>
      </c>
      <c r="I42" s="50">
        <v>5</v>
      </c>
      <c r="J42" s="50">
        <v>8</v>
      </c>
      <c r="K42" s="50">
        <v>0</v>
      </c>
      <c r="L42" s="50">
        <v>8</v>
      </c>
      <c r="M42" s="50">
        <v>29</v>
      </c>
      <c r="N42" s="50">
        <v>0</v>
      </c>
      <c r="O42" s="15">
        <f t="shared" si="0"/>
        <v>128</v>
      </c>
      <c r="P42" s="15">
        <f t="shared" si="1"/>
        <v>157</v>
      </c>
    </row>
    <row r="43" spans="2:20" ht="23.1" customHeight="1" x14ac:dyDescent="0.25">
      <c r="B43" s="23" t="s">
        <v>70</v>
      </c>
      <c r="C43" s="50">
        <v>21</v>
      </c>
      <c r="D43" s="50">
        <v>13</v>
      </c>
      <c r="E43" s="50">
        <v>4</v>
      </c>
      <c r="F43" s="50">
        <v>28</v>
      </c>
      <c r="G43" s="50">
        <v>0</v>
      </c>
      <c r="H43" s="50">
        <v>0</v>
      </c>
      <c r="I43" s="50">
        <v>3</v>
      </c>
      <c r="J43" s="50">
        <v>4</v>
      </c>
      <c r="K43" s="50">
        <v>1</v>
      </c>
      <c r="L43" s="50">
        <v>13</v>
      </c>
      <c r="M43" s="50">
        <v>17</v>
      </c>
      <c r="N43" s="50">
        <v>0</v>
      </c>
      <c r="O43" s="15">
        <f t="shared" si="0"/>
        <v>87</v>
      </c>
      <c r="P43" s="15">
        <f t="shared" si="1"/>
        <v>104</v>
      </c>
    </row>
    <row r="44" spans="2:20" ht="23.1" customHeight="1" x14ac:dyDescent="0.25">
      <c r="B44" s="25" t="s">
        <v>71</v>
      </c>
      <c r="C44" s="50">
        <v>30</v>
      </c>
      <c r="D44" s="50">
        <v>13</v>
      </c>
      <c r="E44" s="50">
        <v>10</v>
      </c>
      <c r="F44" s="50">
        <v>27</v>
      </c>
      <c r="G44" s="50">
        <v>0</v>
      </c>
      <c r="H44" s="50">
        <v>0</v>
      </c>
      <c r="I44" s="50">
        <v>4</v>
      </c>
      <c r="J44" s="50">
        <v>6</v>
      </c>
      <c r="K44" s="50">
        <v>1</v>
      </c>
      <c r="L44" s="50">
        <v>10</v>
      </c>
      <c r="M44" s="50">
        <v>24</v>
      </c>
      <c r="N44" s="50">
        <v>0</v>
      </c>
      <c r="O44" s="15">
        <f t="shared" si="0"/>
        <v>101</v>
      </c>
      <c r="P44" s="15">
        <f t="shared" si="1"/>
        <v>125</v>
      </c>
    </row>
    <row r="45" spans="2:20" ht="23.1" customHeight="1" x14ac:dyDescent="0.25">
      <c r="B45" s="23" t="s">
        <v>72</v>
      </c>
      <c r="C45" s="50">
        <v>34</v>
      </c>
      <c r="D45" s="50">
        <v>14</v>
      </c>
      <c r="E45" s="50">
        <v>8</v>
      </c>
      <c r="F45" s="50">
        <v>23</v>
      </c>
      <c r="G45" s="50">
        <v>2</v>
      </c>
      <c r="H45" s="50">
        <v>0</v>
      </c>
      <c r="I45" s="50">
        <v>5</v>
      </c>
      <c r="J45" s="50">
        <v>9</v>
      </c>
      <c r="K45" s="50">
        <v>1</v>
      </c>
      <c r="L45" s="50">
        <v>9</v>
      </c>
      <c r="M45" s="50">
        <v>18</v>
      </c>
      <c r="N45" s="50">
        <v>0</v>
      </c>
      <c r="O45" s="15">
        <f t="shared" si="0"/>
        <v>105</v>
      </c>
      <c r="P45" s="15">
        <f t="shared" si="1"/>
        <v>123</v>
      </c>
    </row>
    <row r="46" spans="2:20" ht="23.1" customHeight="1" x14ac:dyDescent="0.25">
      <c r="B46" s="24" t="s">
        <v>73</v>
      </c>
      <c r="C46" s="50">
        <v>28</v>
      </c>
      <c r="D46" s="50">
        <v>15</v>
      </c>
      <c r="E46" s="50">
        <v>4</v>
      </c>
      <c r="F46" s="50">
        <v>39</v>
      </c>
      <c r="G46" s="50">
        <v>0</v>
      </c>
      <c r="H46" s="50">
        <v>2</v>
      </c>
      <c r="I46" s="50">
        <v>3</v>
      </c>
      <c r="J46" s="50">
        <v>6</v>
      </c>
      <c r="K46" s="50">
        <v>2</v>
      </c>
      <c r="L46" s="50">
        <v>12</v>
      </c>
      <c r="M46" s="50">
        <v>33</v>
      </c>
      <c r="N46" s="50">
        <v>0</v>
      </c>
      <c r="O46" s="15">
        <f t="shared" si="0"/>
        <v>111</v>
      </c>
      <c r="P46" s="15">
        <f t="shared" si="1"/>
        <v>144</v>
      </c>
      <c r="R46" s="8"/>
      <c r="T46"/>
    </row>
    <row r="47" spans="2:20" ht="23.1" customHeight="1" x14ac:dyDescent="0.25">
      <c r="B47" s="24" t="s">
        <v>74</v>
      </c>
      <c r="C47" s="50">
        <v>25</v>
      </c>
      <c r="D47" s="50">
        <v>10</v>
      </c>
      <c r="E47" s="50">
        <v>6</v>
      </c>
      <c r="F47" s="50">
        <v>33</v>
      </c>
      <c r="G47" s="50">
        <v>1</v>
      </c>
      <c r="H47" s="50">
        <v>1</v>
      </c>
      <c r="I47" s="50">
        <v>4</v>
      </c>
      <c r="J47" s="50">
        <v>3</v>
      </c>
      <c r="K47" s="50">
        <v>2</v>
      </c>
      <c r="L47" s="50">
        <v>6</v>
      </c>
      <c r="M47" s="50">
        <v>28</v>
      </c>
      <c r="N47" s="50">
        <v>0</v>
      </c>
      <c r="O47" s="15">
        <f t="shared" si="0"/>
        <v>91</v>
      </c>
      <c r="P47" s="15">
        <f t="shared" si="1"/>
        <v>119</v>
      </c>
      <c r="R47" s="8"/>
      <c r="T47"/>
    </row>
    <row r="48" spans="2:20" ht="23.1" customHeight="1" x14ac:dyDescent="0.25">
      <c r="B48" s="24" t="s">
        <v>75</v>
      </c>
      <c r="C48" s="50">
        <v>13</v>
      </c>
      <c r="D48" s="50">
        <v>9</v>
      </c>
      <c r="E48" s="50">
        <v>7</v>
      </c>
      <c r="F48" s="50">
        <v>41</v>
      </c>
      <c r="G48" s="50">
        <v>1</v>
      </c>
      <c r="H48" s="50">
        <v>0</v>
      </c>
      <c r="I48" s="50">
        <v>5</v>
      </c>
      <c r="J48" s="50">
        <v>5</v>
      </c>
      <c r="K48" s="50">
        <v>0</v>
      </c>
      <c r="L48" s="50">
        <v>11</v>
      </c>
      <c r="M48" s="50">
        <v>23</v>
      </c>
      <c r="N48" s="50">
        <v>0</v>
      </c>
      <c r="O48" s="15">
        <f t="shared" si="0"/>
        <v>92</v>
      </c>
      <c r="P48" s="15">
        <f t="shared" si="1"/>
        <v>115</v>
      </c>
      <c r="R48" s="8"/>
      <c r="T48"/>
    </row>
    <row r="49" spans="2:20" ht="23.1" customHeight="1" x14ac:dyDescent="0.25">
      <c r="B49" s="23" t="s">
        <v>76</v>
      </c>
      <c r="C49" s="50">
        <v>35</v>
      </c>
      <c r="D49" s="50">
        <v>11</v>
      </c>
      <c r="E49" s="50">
        <v>3</v>
      </c>
      <c r="F49" s="50">
        <v>44</v>
      </c>
      <c r="G49" s="50">
        <v>2</v>
      </c>
      <c r="H49" s="50">
        <v>1</v>
      </c>
      <c r="I49" s="50">
        <v>3</v>
      </c>
      <c r="J49" s="50">
        <v>4</v>
      </c>
      <c r="K49" s="50">
        <v>2</v>
      </c>
      <c r="L49" s="50">
        <v>9</v>
      </c>
      <c r="M49" s="50">
        <v>36</v>
      </c>
      <c r="N49" s="50">
        <v>0</v>
      </c>
      <c r="O49" s="15">
        <f t="shared" si="0"/>
        <v>114</v>
      </c>
      <c r="P49" s="15">
        <f t="shared" si="1"/>
        <v>150</v>
      </c>
      <c r="R49" s="8"/>
      <c r="T49"/>
    </row>
    <row r="50" spans="2:20" ht="23.1" customHeight="1" x14ac:dyDescent="0.25">
      <c r="B50" s="24" t="s">
        <v>77</v>
      </c>
      <c r="C50" s="50">
        <v>24</v>
      </c>
      <c r="D50" s="50">
        <v>7</v>
      </c>
      <c r="E50" s="50">
        <v>4</v>
      </c>
      <c r="F50" s="50">
        <v>37</v>
      </c>
      <c r="G50" s="50">
        <v>2</v>
      </c>
      <c r="H50" s="50">
        <v>1</v>
      </c>
      <c r="I50" s="50">
        <v>4</v>
      </c>
      <c r="J50" s="50">
        <v>5</v>
      </c>
      <c r="K50" s="50">
        <v>0</v>
      </c>
      <c r="L50" s="50">
        <v>13</v>
      </c>
      <c r="M50" s="50">
        <v>24</v>
      </c>
      <c r="N50" s="50">
        <v>0</v>
      </c>
      <c r="O50" s="15">
        <f t="shared" si="0"/>
        <v>97</v>
      </c>
      <c r="P50" s="15">
        <f t="shared" si="1"/>
        <v>121</v>
      </c>
      <c r="R50" s="8"/>
      <c r="T50"/>
    </row>
    <row r="51" spans="2:20" ht="23.1" customHeight="1" x14ac:dyDescent="0.25">
      <c r="B51" s="24" t="s">
        <v>78</v>
      </c>
      <c r="C51" s="50">
        <v>27</v>
      </c>
      <c r="D51" s="50">
        <v>18</v>
      </c>
      <c r="E51" s="50">
        <v>3</v>
      </c>
      <c r="F51" s="50">
        <v>33</v>
      </c>
      <c r="G51" s="50">
        <v>3</v>
      </c>
      <c r="H51" s="50">
        <v>0</v>
      </c>
      <c r="I51" s="50">
        <v>4</v>
      </c>
      <c r="J51" s="50">
        <v>4</v>
      </c>
      <c r="K51" s="50">
        <v>3</v>
      </c>
      <c r="L51" s="50">
        <v>11</v>
      </c>
      <c r="M51" s="50">
        <v>30</v>
      </c>
      <c r="N51" s="50">
        <v>0</v>
      </c>
      <c r="O51" s="15">
        <f t="shared" si="0"/>
        <v>106</v>
      </c>
      <c r="P51" s="15">
        <f t="shared" si="1"/>
        <v>136</v>
      </c>
      <c r="R51" s="8"/>
      <c r="T51"/>
    </row>
    <row r="52" spans="2:20" ht="23.1" customHeight="1" x14ac:dyDescent="0.25">
      <c r="B52" s="24" t="s">
        <v>79</v>
      </c>
      <c r="C52" s="50">
        <v>19</v>
      </c>
      <c r="D52" s="50">
        <v>10</v>
      </c>
      <c r="E52" s="50">
        <v>6</v>
      </c>
      <c r="F52" s="50">
        <v>46</v>
      </c>
      <c r="G52" s="50">
        <v>1</v>
      </c>
      <c r="H52" s="50">
        <v>1</v>
      </c>
      <c r="I52" s="50">
        <v>3</v>
      </c>
      <c r="J52" s="50">
        <v>6</v>
      </c>
      <c r="K52" s="50">
        <v>1</v>
      </c>
      <c r="L52" s="50">
        <v>16</v>
      </c>
      <c r="M52" s="50">
        <v>26</v>
      </c>
      <c r="N52" s="50">
        <v>0</v>
      </c>
      <c r="O52" s="15">
        <f t="shared" si="0"/>
        <v>109</v>
      </c>
      <c r="P52" s="15">
        <f t="shared" si="1"/>
        <v>135</v>
      </c>
      <c r="R52" s="8"/>
      <c r="T52"/>
    </row>
    <row r="53" spans="2:20" ht="23.1" customHeight="1" x14ac:dyDescent="0.25">
      <c r="B53" s="23" t="s">
        <v>80</v>
      </c>
      <c r="C53" s="50">
        <v>20</v>
      </c>
      <c r="D53" s="50">
        <v>4</v>
      </c>
      <c r="E53" s="50">
        <v>3</v>
      </c>
      <c r="F53" s="50">
        <v>29</v>
      </c>
      <c r="G53" s="50">
        <v>1</v>
      </c>
      <c r="H53" s="50">
        <v>0</v>
      </c>
      <c r="I53" s="50">
        <v>1</v>
      </c>
      <c r="J53" s="50">
        <v>4</v>
      </c>
      <c r="K53" s="50">
        <v>0</v>
      </c>
      <c r="L53" s="50">
        <v>5</v>
      </c>
      <c r="M53" s="50">
        <v>23</v>
      </c>
      <c r="N53" s="50">
        <v>0</v>
      </c>
      <c r="O53" s="15">
        <f t="shared" si="0"/>
        <v>67</v>
      </c>
      <c r="P53" s="15">
        <f t="shared" si="1"/>
        <v>90</v>
      </c>
      <c r="R53" s="8"/>
      <c r="T53"/>
    </row>
    <row r="54" spans="2:20" ht="23.1" customHeight="1" x14ac:dyDescent="0.25">
      <c r="B54" s="23" t="s">
        <v>81</v>
      </c>
      <c r="C54" s="50">
        <v>35</v>
      </c>
      <c r="D54" s="50">
        <v>19</v>
      </c>
      <c r="E54" s="50">
        <v>9</v>
      </c>
      <c r="F54" s="50">
        <v>47</v>
      </c>
      <c r="G54" s="50">
        <v>2</v>
      </c>
      <c r="H54" s="50">
        <v>0</v>
      </c>
      <c r="I54" s="50">
        <v>7</v>
      </c>
      <c r="J54" s="50">
        <v>5</v>
      </c>
      <c r="K54" s="50">
        <v>2</v>
      </c>
      <c r="L54" s="50">
        <v>16</v>
      </c>
      <c r="M54" s="50">
        <v>36</v>
      </c>
      <c r="N54" s="50">
        <v>0</v>
      </c>
      <c r="O54" s="15">
        <f t="shared" si="0"/>
        <v>142</v>
      </c>
      <c r="P54" s="15">
        <f t="shared" si="1"/>
        <v>178</v>
      </c>
      <c r="R54" s="8"/>
      <c r="T54"/>
    </row>
    <row r="55" spans="2:20" ht="23.1" customHeight="1" x14ac:dyDescent="0.25">
      <c r="B55" s="23" t="s">
        <v>82</v>
      </c>
      <c r="C55" s="50">
        <v>30</v>
      </c>
      <c r="D55" s="50">
        <v>7</v>
      </c>
      <c r="E55" s="50">
        <v>6</v>
      </c>
      <c r="F55" s="50">
        <v>45</v>
      </c>
      <c r="G55" s="50">
        <v>2</v>
      </c>
      <c r="H55" s="50">
        <v>1</v>
      </c>
      <c r="I55" s="50">
        <v>3</v>
      </c>
      <c r="J55" s="50">
        <v>3</v>
      </c>
      <c r="K55" s="50">
        <v>2</v>
      </c>
      <c r="L55" s="50">
        <v>6</v>
      </c>
      <c r="M55" s="50">
        <v>34</v>
      </c>
      <c r="N55" s="50">
        <v>0</v>
      </c>
      <c r="O55" s="15">
        <f t="shared" si="0"/>
        <v>105</v>
      </c>
      <c r="P55" s="15">
        <f t="shared" si="1"/>
        <v>139</v>
      </c>
      <c r="R55" s="8"/>
      <c r="T55"/>
    </row>
    <row r="56" spans="2:20" ht="23.1" customHeight="1" x14ac:dyDescent="0.25">
      <c r="B56" s="23" t="s">
        <v>83</v>
      </c>
      <c r="C56" s="50">
        <v>28</v>
      </c>
      <c r="D56" s="50">
        <v>16</v>
      </c>
      <c r="E56" s="50">
        <v>6</v>
      </c>
      <c r="F56" s="50">
        <v>33</v>
      </c>
      <c r="G56" s="50">
        <v>4</v>
      </c>
      <c r="H56" s="50">
        <v>1</v>
      </c>
      <c r="I56" s="50">
        <v>3</v>
      </c>
      <c r="J56" s="50">
        <v>3</v>
      </c>
      <c r="K56" s="50">
        <v>0</v>
      </c>
      <c r="L56" s="50">
        <v>6</v>
      </c>
      <c r="M56" s="50">
        <v>21</v>
      </c>
      <c r="N56" s="50">
        <v>0</v>
      </c>
      <c r="O56" s="15">
        <f t="shared" si="0"/>
        <v>100</v>
      </c>
      <c r="P56" s="15">
        <f t="shared" si="1"/>
        <v>121</v>
      </c>
      <c r="R56" s="8"/>
      <c r="T56"/>
    </row>
    <row r="57" spans="2:20" ht="23.1" customHeight="1" x14ac:dyDescent="0.25">
      <c r="B57" s="23" t="s">
        <v>84</v>
      </c>
      <c r="C57" s="50">
        <v>19</v>
      </c>
      <c r="D57" s="50">
        <v>5</v>
      </c>
      <c r="E57" s="50">
        <v>0</v>
      </c>
      <c r="F57" s="50">
        <v>33</v>
      </c>
      <c r="G57" s="50">
        <v>1</v>
      </c>
      <c r="H57" s="50">
        <v>0</v>
      </c>
      <c r="I57" s="50">
        <v>11</v>
      </c>
      <c r="J57" s="50">
        <v>2</v>
      </c>
      <c r="K57" s="50">
        <v>0</v>
      </c>
      <c r="L57" s="50">
        <v>2</v>
      </c>
      <c r="M57" s="50">
        <v>30</v>
      </c>
      <c r="N57" s="50">
        <v>0</v>
      </c>
      <c r="O57" s="15">
        <f t="shared" si="0"/>
        <v>73</v>
      </c>
      <c r="P57" s="15">
        <f t="shared" si="1"/>
        <v>103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1023</v>
      </c>
      <c r="D58" s="16">
        <f t="shared" si="21"/>
        <v>452</v>
      </c>
      <c r="E58" s="16">
        <f t="shared" si="21"/>
        <v>185</v>
      </c>
      <c r="F58" s="16">
        <f t="shared" si="21"/>
        <v>1576</v>
      </c>
      <c r="G58" s="16">
        <f t="shared" si="21"/>
        <v>50</v>
      </c>
      <c r="H58" s="16">
        <f t="shared" si="21"/>
        <v>36</v>
      </c>
      <c r="I58" s="16">
        <f t="shared" si="21"/>
        <v>166</v>
      </c>
      <c r="J58" s="16">
        <f t="shared" si="21"/>
        <v>173</v>
      </c>
      <c r="K58" s="16">
        <f t="shared" si="21"/>
        <v>55</v>
      </c>
      <c r="L58" s="16">
        <f t="shared" si="21"/>
        <v>504</v>
      </c>
      <c r="M58" s="16">
        <f t="shared" si="21"/>
        <v>1082</v>
      </c>
      <c r="N58" s="16">
        <f t="shared" si="21"/>
        <v>0</v>
      </c>
      <c r="O58" s="16">
        <f t="shared" si="21"/>
        <v>4220</v>
      </c>
      <c r="P58" s="16">
        <f t="shared" si="21"/>
        <v>5302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0.19294605809128632</v>
      </c>
      <c r="D59" s="43">
        <f t="shared" si="22"/>
        <v>8.5250848736325921E-2</v>
      </c>
      <c r="E59" s="43">
        <f t="shared" si="22"/>
        <v>3.4892493398717465E-2</v>
      </c>
      <c r="F59" s="43">
        <f t="shared" si="22"/>
        <v>0.29724632214258773</v>
      </c>
      <c r="G59" s="43">
        <f t="shared" si="22"/>
        <v>9.4304036212749902E-3</v>
      </c>
      <c r="H59" s="43">
        <f t="shared" si="22"/>
        <v>6.7898906073179935E-3</v>
      </c>
      <c r="I59" s="43">
        <f t="shared" si="22"/>
        <v>3.1308940022632965E-2</v>
      </c>
      <c r="J59" s="43">
        <f t="shared" si="22"/>
        <v>3.2629196529611465E-2</v>
      </c>
      <c r="K59" s="43">
        <f t="shared" si="22"/>
        <v>1.0373443983402489E-2</v>
      </c>
      <c r="L59" s="43">
        <f t="shared" si="22"/>
        <v>9.5058468502451907E-2</v>
      </c>
      <c r="M59" s="43">
        <f t="shared" si="22"/>
        <v>0.20407393436439081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0.24241706161137441</v>
      </c>
      <c r="D60" s="44">
        <f t="shared" ref="D60:N60" si="23">D58/$O$58</f>
        <v>0.10710900473933649</v>
      </c>
      <c r="E60" s="44">
        <f t="shared" si="23"/>
        <v>4.3838862559241708E-2</v>
      </c>
      <c r="F60" s="44">
        <f t="shared" si="23"/>
        <v>0.37345971563981045</v>
      </c>
      <c r="G60" s="44">
        <f t="shared" si="23"/>
        <v>1.1848341232227487E-2</v>
      </c>
      <c r="H60" s="44">
        <f t="shared" si="23"/>
        <v>8.5308056872037911E-3</v>
      </c>
      <c r="I60" s="44">
        <f t="shared" si="23"/>
        <v>3.9336492890995257E-2</v>
      </c>
      <c r="J60" s="44">
        <f t="shared" si="23"/>
        <v>4.0995260663507109E-2</v>
      </c>
      <c r="K60" s="44">
        <f t="shared" si="23"/>
        <v>1.3033175355450236E-2</v>
      </c>
      <c r="L60" s="44">
        <f t="shared" si="23"/>
        <v>0.11943127962085308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26"/>
  <sheetViews>
    <sheetView view="pageBreakPreview" topLeftCell="A4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Kampala-Jinja'!C3:G3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'20.10 Jinja-Kampala'!D5</f>
        <v>20.10.19</v>
      </c>
      <c r="E5" s="3"/>
      <c r="F5" s="41" t="s">
        <v>1</v>
      </c>
      <c r="G5" s="63" t="str">
        <f>'17.10 jinja-kampala'!G5:H5</f>
        <v>Nakibbizi</v>
      </c>
      <c r="H5" s="64"/>
      <c r="I5" s="14"/>
      <c r="J5" s="2" t="s">
        <v>5</v>
      </c>
      <c r="K5" s="63" t="s">
        <v>170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Kampala-Jinja'!D6:E6</f>
        <v>Kampala</v>
      </c>
      <c r="E6" s="64"/>
      <c r="F6" s="2" t="s">
        <v>2</v>
      </c>
      <c r="G6" s="63" t="str">
        <f>'17.10 Kampala-Jinja'!G6:H6</f>
        <v>Jinja</v>
      </c>
      <c r="H6" s="64"/>
      <c r="J6" s="2" t="s">
        <v>21</v>
      </c>
      <c r="K6" s="63" t="str">
        <f>'17.10 jinja-kampala'!K6:L6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3</v>
      </c>
      <c r="E10" s="50">
        <v>0</v>
      </c>
      <c r="F10" s="50">
        <v>2</v>
      </c>
      <c r="G10" s="50">
        <v>0</v>
      </c>
      <c r="H10" s="50">
        <v>0</v>
      </c>
      <c r="I10" s="50">
        <v>1</v>
      </c>
      <c r="J10" s="50">
        <v>2</v>
      </c>
      <c r="K10" s="50">
        <v>3</v>
      </c>
      <c r="L10" s="50">
        <v>6</v>
      </c>
      <c r="M10" s="50">
        <v>16</v>
      </c>
      <c r="N10" s="50">
        <v>0</v>
      </c>
      <c r="O10" s="15">
        <f t="shared" ref="O10:O57" si="0">SUM(C10:L10,N10)</f>
        <v>23</v>
      </c>
      <c r="P10" s="15">
        <f t="shared" ref="P10:P57" si="1">SUM(C10:N10)</f>
        <v>39</v>
      </c>
      <c r="R10" s="1" t="s">
        <v>6</v>
      </c>
      <c r="S10" s="17">
        <f t="shared" ref="S10:AF10" si="2">SUM(C10:C13)</f>
        <v>30</v>
      </c>
      <c r="T10" s="17">
        <f t="shared" si="2"/>
        <v>17</v>
      </c>
      <c r="U10" s="17">
        <f t="shared" si="2"/>
        <v>5</v>
      </c>
      <c r="V10" s="17">
        <f t="shared" si="2"/>
        <v>79</v>
      </c>
      <c r="W10" s="17">
        <f t="shared" si="2"/>
        <v>0</v>
      </c>
      <c r="X10" s="17">
        <f t="shared" si="2"/>
        <v>1</v>
      </c>
      <c r="Y10" s="17">
        <f t="shared" si="2"/>
        <v>2</v>
      </c>
      <c r="Z10" s="17">
        <f t="shared" si="2"/>
        <v>22</v>
      </c>
      <c r="AA10" s="17">
        <f t="shared" si="2"/>
        <v>6</v>
      </c>
      <c r="AB10" s="17">
        <f t="shared" si="2"/>
        <v>31</v>
      </c>
      <c r="AC10" s="17">
        <f t="shared" si="2"/>
        <v>48</v>
      </c>
      <c r="AD10" s="17">
        <f t="shared" si="2"/>
        <v>0</v>
      </c>
      <c r="AE10" s="31">
        <f t="shared" si="2"/>
        <v>193</v>
      </c>
      <c r="AF10" s="31">
        <f t="shared" si="2"/>
        <v>241</v>
      </c>
    </row>
    <row r="11" spans="2:32" s="6" customFormat="1" ht="23.1" customHeight="1" x14ac:dyDescent="0.25">
      <c r="B11" s="23" t="s">
        <v>38</v>
      </c>
      <c r="C11" s="50">
        <v>10</v>
      </c>
      <c r="D11" s="50">
        <v>3</v>
      </c>
      <c r="E11" s="50">
        <v>3</v>
      </c>
      <c r="F11" s="50">
        <v>27</v>
      </c>
      <c r="G11" s="50">
        <v>0</v>
      </c>
      <c r="H11" s="50">
        <v>0</v>
      </c>
      <c r="I11" s="50">
        <v>0</v>
      </c>
      <c r="J11" s="50">
        <v>6</v>
      </c>
      <c r="K11" s="50">
        <v>1</v>
      </c>
      <c r="L11" s="50">
        <v>12</v>
      </c>
      <c r="M11" s="50">
        <v>14</v>
      </c>
      <c r="N11" s="50">
        <v>0</v>
      </c>
      <c r="O11" s="15">
        <f t="shared" si="0"/>
        <v>62</v>
      </c>
      <c r="P11" s="15">
        <f t="shared" si="1"/>
        <v>76</v>
      </c>
      <c r="R11" s="1" t="s">
        <v>7</v>
      </c>
      <c r="S11" s="17">
        <f t="shared" ref="S11:AF11" si="3">SUM(C14:C17)</f>
        <v>42</v>
      </c>
      <c r="T11" s="17">
        <f t="shared" si="3"/>
        <v>22</v>
      </c>
      <c r="U11" s="17">
        <f t="shared" si="3"/>
        <v>7</v>
      </c>
      <c r="V11" s="17">
        <f t="shared" si="3"/>
        <v>120</v>
      </c>
      <c r="W11" s="17">
        <f t="shared" si="3"/>
        <v>3</v>
      </c>
      <c r="X11" s="17">
        <f t="shared" si="3"/>
        <v>3</v>
      </c>
      <c r="Y11" s="17">
        <f t="shared" si="3"/>
        <v>9</v>
      </c>
      <c r="Z11" s="17">
        <f t="shared" si="3"/>
        <v>11</v>
      </c>
      <c r="AA11" s="17">
        <f t="shared" si="3"/>
        <v>2</v>
      </c>
      <c r="AB11" s="17">
        <f t="shared" si="3"/>
        <v>24</v>
      </c>
      <c r="AC11" s="17">
        <f t="shared" si="3"/>
        <v>63</v>
      </c>
      <c r="AD11" s="17">
        <f t="shared" si="3"/>
        <v>1</v>
      </c>
      <c r="AE11" s="31">
        <f t="shared" si="3"/>
        <v>244</v>
      </c>
      <c r="AF11" s="31">
        <f t="shared" si="3"/>
        <v>307</v>
      </c>
    </row>
    <row r="12" spans="2:32" ht="23.1" customHeight="1" x14ac:dyDescent="0.25">
      <c r="B12" s="23" t="s">
        <v>39</v>
      </c>
      <c r="C12" s="50">
        <v>5</v>
      </c>
      <c r="D12" s="50">
        <v>3</v>
      </c>
      <c r="E12" s="50">
        <v>1</v>
      </c>
      <c r="F12" s="50">
        <v>25</v>
      </c>
      <c r="G12" s="50">
        <v>0</v>
      </c>
      <c r="H12" s="50">
        <v>0</v>
      </c>
      <c r="I12" s="50">
        <v>0</v>
      </c>
      <c r="J12" s="50">
        <v>9</v>
      </c>
      <c r="K12" s="50">
        <v>2</v>
      </c>
      <c r="L12" s="50">
        <v>9</v>
      </c>
      <c r="M12" s="50">
        <v>7</v>
      </c>
      <c r="N12" s="50">
        <v>0</v>
      </c>
      <c r="O12" s="15">
        <f t="shared" si="0"/>
        <v>54</v>
      </c>
      <c r="P12" s="15">
        <f t="shared" si="1"/>
        <v>61</v>
      </c>
      <c r="R12" s="1" t="s">
        <v>8</v>
      </c>
      <c r="S12" s="17">
        <f t="shared" ref="S12:AF12" si="4">SUM(C18:C21)</f>
        <v>62</v>
      </c>
      <c r="T12" s="17">
        <f t="shared" si="4"/>
        <v>35</v>
      </c>
      <c r="U12" s="17">
        <f t="shared" si="4"/>
        <v>15</v>
      </c>
      <c r="V12" s="17">
        <f t="shared" si="4"/>
        <v>124</v>
      </c>
      <c r="W12" s="17">
        <f t="shared" si="4"/>
        <v>3</v>
      </c>
      <c r="X12" s="17">
        <f t="shared" si="4"/>
        <v>2</v>
      </c>
      <c r="Y12" s="17">
        <f t="shared" si="4"/>
        <v>9</v>
      </c>
      <c r="Z12" s="17">
        <f t="shared" si="4"/>
        <v>17</v>
      </c>
      <c r="AA12" s="17">
        <f t="shared" si="4"/>
        <v>6</v>
      </c>
      <c r="AB12" s="17">
        <f t="shared" si="4"/>
        <v>31</v>
      </c>
      <c r="AC12" s="17">
        <f t="shared" si="4"/>
        <v>64</v>
      </c>
      <c r="AD12" s="17">
        <f t="shared" si="4"/>
        <v>0</v>
      </c>
      <c r="AE12" s="31">
        <f t="shared" si="4"/>
        <v>304</v>
      </c>
      <c r="AF12" s="31">
        <f t="shared" si="4"/>
        <v>368</v>
      </c>
    </row>
    <row r="13" spans="2:32" ht="23.1" customHeight="1" x14ac:dyDescent="0.25">
      <c r="B13" s="23" t="s">
        <v>40</v>
      </c>
      <c r="C13" s="50">
        <v>9</v>
      </c>
      <c r="D13" s="50">
        <v>8</v>
      </c>
      <c r="E13" s="50">
        <v>1</v>
      </c>
      <c r="F13" s="50">
        <v>25</v>
      </c>
      <c r="G13" s="50">
        <v>0</v>
      </c>
      <c r="H13" s="50">
        <v>1</v>
      </c>
      <c r="I13" s="50">
        <v>1</v>
      </c>
      <c r="J13" s="50">
        <v>5</v>
      </c>
      <c r="K13" s="50">
        <v>0</v>
      </c>
      <c r="L13" s="50">
        <v>4</v>
      </c>
      <c r="M13" s="50">
        <v>11</v>
      </c>
      <c r="N13" s="50">
        <v>0</v>
      </c>
      <c r="O13" s="15">
        <f t="shared" si="0"/>
        <v>54</v>
      </c>
      <c r="P13" s="15">
        <f t="shared" si="1"/>
        <v>65</v>
      </c>
      <c r="R13" s="1" t="s">
        <v>9</v>
      </c>
      <c r="S13" s="17">
        <f t="shared" ref="S13:AF13" si="5">SUM(C22:C25)</f>
        <v>84</v>
      </c>
      <c r="T13" s="17">
        <f t="shared" si="5"/>
        <v>32</v>
      </c>
      <c r="U13" s="17">
        <f t="shared" si="5"/>
        <v>13</v>
      </c>
      <c r="V13" s="17">
        <f t="shared" si="5"/>
        <v>155</v>
      </c>
      <c r="W13" s="17">
        <f t="shared" si="5"/>
        <v>5</v>
      </c>
      <c r="X13" s="17">
        <f t="shared" si="5"/>
        <v>1</v>
      </c>
      <c r="Y13" s="17">
        <f t="shared" si="5"/>
        <v>5</v>
      </c>
      <c r="Z13" s="17">
        <f t="shared" si="5"/>
        <v>14</v>
      </c>
      <c r="AA13" s="17">
        <f t="shared" si="5"/>
        <v>3</v>
      </c>
      <c r="AB13" s="17">
        <f t="shared" si="5"/>
        <v>28</v>
      </c>
      <c r="AC13" s="17">
        <f t="shared" si="5"/>
        <v>82</v>
      </c>
      <c r="AD13" s="17">
        <f t="shared" si="5"/>
        <v>0</v>
      </c>
      <c r="AE13" s="31">
        <f t="shared" si="5"/>
        <v>340</v>
      </c>
      <c r="AF13" s="31">
        <f t="shared" si="5"/>
        <v>422</v>
      </c>
    </row>
    <row r="14" spans="2:32" ht="23.1" customHeight="1" x14ac:dyDescent="0.25">
      <c r="B14" s="23" t="s">
        <v>41</v>
      </c>
      <c r="C14" s="50">
        <v>15</v>
      </c>
      <c r="D14" s="50">
        <v>8</v>
      </c>
      <c r="E14" s="50">
        <v>3</v>
      </c>
      <c r="F14" s="50">
        <v>32</v>
      </c>
      <c r="G14" s="50">
        <v>1</v>
      </c>
      <c r="H14" s="50">
        <v>2</v>
      </c>
      <c r="I14" s="50">
        <v>2</v>
      </c>
      <c r="J14" s="50">
        <v>2</v>
      </c>
      <c r="K14" s="50">
        <v>1</v>
      </c>
      <c r="L14" s="50">
        <v>11</v>
      </c>
      <c r="M14" s="50">
        <v>15</v>
      </c>
      <c r="N14" s="50">
        <v>1</v>
      </c>
      <c r="O14" s="15">
        <f t="shared" si="0"/>
        <v>78</v>
      </c>
      <c r="P14" s="15">
        <f t="shared" si="1"/>
        <v>93</v>
      </c>
      <c r="R14" s="1" t="s">
        <v>10</v>
      </c>
      <c r="S14" s="17">
        <f t="shared" ref="S14:AF14" si="6">SUM(C26:C29)</f>
        <v>65</v>
      </c>
      <c r="T14" s="17">
        <f t="shared" si="6"/>
        <v>47</v>
      </c>
      <c r="U14" s="17">
        <f t="shared" si="6"/>
        <v>13</v>
      </c>
      <c r="V14" s="17">
        <f t="shared" si="6"/>
        <v>129</v>
      </c>
      <c r="W14" s="17">
        <f t="shared" si="6"/>
        <v>7</v>
      </c>
      <c r="X14" s="17">
        <f t="shared" si="6"/>
        <v>2</v>
      </c>
      <c r="Y14" s="17">
        <f t="shared" si="6"/>
        <v>5</v>
      </c>
      <c r="Z14" s="17">
        <f t="shared" si="6"/>
        <v>13</v>
      </c>
      <c r="AA14" s="17">
        <f t="shared" si="6"/>
        <v>5</v>
      </c>
      <c r="AB14" s="17">
        <f t="shared" si="6"/>
        <v>28</v>
      </c>
      <c r="AC14" s="17">
        <f t="shared" si="6"/>
        <v>74</v>
      </c>
      <c r="AD14" s="17">
        <f t="shared" si="6"/>
        <v>0</v>
      </c>
      <c r="AE14" s="31">
        <f t="shared" si="6"/>
        <v>314</v>
      </c>
      <c r="AF14" s="31">
        <f t="shared" si="6"/>
        <v>388</v>
      </c>
    </row>
    <row r="15" spans="2:32" ht="23.1" customHeight="1" x14ac:dyDescent="0.25">
      <c r="B15" s="23" t="s">
        <v>42</v>
      </c>
      <c r="C15" s="50">
        <v>8</v>
      </c>
      <c r="D15" s="50">
        <v>4</v>
      </c>
      <c r="E15" s="50">
        <v>1</v>
      </c>
      <c r="F15" s="50">
        <v>31</v>
      </c>
      <c r="G15" s="50">
        <v>0</v>
      </c>
      <c r="H15" s="50">
        <v>0</v>
      </c>
      <c r="I15" s="50">
        <v>2</v>
      </c>
      <c r="J15" s="50">
        <v>3</v>
      </c>
      <c r="K15" s="50">
        <v>0</v>
      </c>
      <c r="L15" s="50">
        <v>3</v>
      </c>
      <c r="M15" s="50">
        <v>15</v>
      </c>
      <c r="N15" s="50">
        <v>0</v>
      </c>
      <c r="O15" s="15">
        <f t="shared" si="0"/>
        <v>52</v>
      </c>
      <c r="P15" s="15">
        <f t="shared" si="1"/>
        <v>67</v>
      </c>
      <c r="R15" s="1" t="s">
        <v>11</v>
      </c>
      <c r="S15" s="17">
        <f t="shared" ref="S15:AF15" si="7">SUM(C30:C33)</f>
        <v>70</v>
      </c>
      <c r="T15" s="17">
        <f t="shared" si="7"/>
        <v>35</v>
      </c>
      <c r="U15" s="17">
        <f t="shared" si="7"/>
        <v>13</v>
      </c>
      <c r="V15" s="17">
        <f t="shared" si="7"/>
        <v>122</v>
      </c>
      <c r="W15" s="17">
        <f t="shared" si="7"/>
        <v>6</v>
      </c>
      <c r="X15" s="17">
        <f t="shared" si="7"/>
        <v>1</v>
      </c>
      <c r="Y15" s="17">
        <f t="shared" si="7"/>
        <v>16</v>
      </c>
      <c r="Z15" s="17">
        <f t="shared" si="7"/>
        <v>10</v>
      </c>
      <c r="AA15" s="17">
        <f t="shared" si="7"/>
        <v>5</v>
      </c>
      <c r="AB15" s="17">
        <f t="shared" si="7"/>
        <v>22</v>
      </c>
      <c r="AC15" s="17">
        <f t="shared" si="7"/>
        <v>62</v>
      </c>
      <c r="AD15" s="17">
        <f t="shared" si="7"/>
        <v>0</v>
      </c>
      <c r="AE15" s="31">
        <f t="shared" si="7"/>
        <v>300</v>
      </c>
      <c r="AF15" s="31">
        <f t="shared" si="7"/>
        <v>362</v>
      </c>
    </row>
    <row r="16" spans="2:32" ht="23.1" customHeight="1" x14ac:dyDescent="0.25">
      <c r="B16" s="23" t="s">
        <v>43</v>
      </c>
      <c r="C16" s="50">
        <v>3</v>
      </c>
      <c r="D16" s="50">
        <v>4</v>
      </c>
      <c r="E16" s="50">
        <v>1</v>
      </c>
      <c r="F16" s="50">
        <v>23</v>
      </c>
      <c r="G16" s="50">
        <v>2</v>
      </c>
      <c r="H16" s="50">
        <v>0</v>
      </c>
      <c r="I16" s="50">
        <v>2</v>
      </c>
      <c r="J16" s="50">
        <v>5</v>
      </c>
      <c r="K16" s="50">
        <v>0</v>
      </c>
      <c r="L16" s="50">
        <v>4</v>
      </c>
      <c r="M16" s="50">
        <v>11</v>
      </c>
      <c r="N16" s="50">
        <v>0</v>
      </c>
      <c r="O16" s="15">
        <f t="shared" si="0"/>
        <v>44</v>
      </c>
      <c r="P16" s="15">
        <f t="shared" si="1"/>
        <v>55</v>
      </c>
      <c r="R16" s="1" t="s">
        <v>12</v>
      </c>
      <c r="S16" s="17">
        <f t="shared" ref="S16:AF16" si="8">SUM(C34:C37)</f>
        <v>62</v>
      </c>
      <c r="T16" s="17">
        <f t="shared" si="8"/>
        <v>30</v>
      </c>
      <c r="U16" s="17">
        <f t="shared" si="8"/>
        <v>13</v>
      </c>
      <c r="V16" s="17">
        <f t="shared" si="8"/>
        <v>130</v>
      </c>
      <c r="W16" s="17">
        <f t="shared" si="8"/>
        <v>9</v>
      </c>
      <c r="X16" s="17">
        <f t="shared" si="8"/>
        <v>1</v>
      </c>
      <c r="Y16" s="17">
        <f t="shared" si="8"/>
        <v>12</v>
      </c>
      <c r="Z16" s="17">
        <f t="shared" si="8"/>
        <v>10</v>
      </c>
      <c r="AA16" s="17">
        <f t="shared" si="8"/>
        <v>2</v>
      </c>
      <c r="AB16" s="17">
        <f t="shared" si="8"/>
        <v>22</v>
      </c>
      <c r="AC16" s="17">
        <f t="shared" si="8"/>
        <v>54</v>
      </c>
      <c r="AD16" s="17">
        <f t="shared" si="8"/>
        <v>0</v>
      </c>
      <c r="AE16" s="31">
        <f t="shared" si="8"/>
        <v>291</v>
      </c>
      <c r="AF16" s="31">
        <f t="shared" si="8"/>
        <v>345</v>
      </c>
    </row>
    <row r="17" spans="2:32" ht="23.1" customHeight="1" x14ac:dyDescent="0.25">
      <c r="B17" s="23" t="s">
        <v>44</v>
      </c>
      <c r="C17" s="50">
        <v>16</v>
      </c>
      <c r="D17" s="50">
        <v>6</v>
      </c>
      <c r="E17" s="50">
        <v>2</v>
      </c>
      <c r="F17" s="50">
        <v>34</v>
      </c>
      <c r="G17" s="50">
        <v>0</v>
      </c>
      <c r="H17" s="50">
        <v>1</v>
      </c>
      <c r="I17" s="50">
        <v>3</v>
      </c>
      <c r="J17" s="50">
        <v>1</v>
      </c>
      <c r="K17" s="50">
        <v>1</v>
      </c>
      <c r="L17" s="50">
        <v>6</v>
      </c>
      <c r="M17" s="50">
        <v>22</v>
      </c>
      <c r="N17" s="50">
        <v>0</v>
      </c>
      <c r="O17" s="15">
        <f t="shared" si="0"/>
        <v>70</v>
      </c>
      <c r="P17" s="15">
        <f t="shared" si="1"/>
        <v>92</v>
      </c>
      <c r="R17" s="1" t="s">
        <v>13</v>
      </c>
      <c r="S17" s="17">
        <f t="shared" ref="S17:AF17" si="9">SUM(C38:C41)</f>
        <v>56</v>
      </c>
      <c r="T17" s="17">
        <f t="shared" si="9"/>
        <v>38</v>
      </c>
      <c r="U17" s="17">
        <f t="shared" si="9"/>
        <v>9</v>
      </c>
      <c r="V17" s="17">
        <f t="shared" si="9"/>
        <v>127</v>
      </c>
      <c r="W17" s="17">
        <f t="shared" si="9"/>
        <v>3</v>
      </c>
      <c r="X17" s="17">
        <f t="shared" si="9"/>
        <v>3</v>
      </c>
      <c r="Y17" s="17">
        <f t="shared" si="9"/>
        <v>13</v>
      </c>
      <c r="Z17" s="17">
        <f t="shared" si="9"/>
        <v>10</v>
      </c>
      <c r="AA17" s="17">
        <f t="shared" si="9"/>
        <v>4</v>
      </c>
      <c r="AB17" s="17">
        <f t="shared" si="9"/>
        <v>29</v>
      </c>
      <c r="AC17" s="17">
        <f t="shared" si="9"/>
        <v>73</v>
      </c>
      <c r="AD17" s="17">
        <f t="shared" si="9"/>
        <v>0</v>
      </c>
      <c r="AE17" s="31">
        <f t="shared" si="9"/>
        <v>292</v>
      </c>
      <c r="AF17" s="31">
        <f t="shared" si="9"/>
        <v>365</v>
      </c>
    </row>
    <row r="18" spans="2:32" ht="23.1" customHeight="1" x14ac:dyDescent="0.25">
      <c r="B18" s="23" t="s">
        <v>45</v>
      </c>
      <c r="C18" s="50">
        <v>16</v>
      </c>
      <c r="D18" s="50">
        <v>9</v>
      </c>
      <c r="E18" s="50">
        <v>1</v>
      </c>
      <c r="F18" s="50">
        <v>27</v>
      </c>
      <c r="G18" s="50">
        <v>1</v>
      </c>
      <c r="H18" s="50">
        <v>0</v>
      </c>
      <c r="I18" s="50">
        <v>2</v>
      </c>
      <c r="J18" s="50">
        <v>5</v>
      </c>
      <c r="K18" s="50">
        <v>1</v>
      </c>
      <c r="L18" s="50">
        <v>6</v>
      </c>
      <c r="M18" s="50">
        <v>14</v>
      </c>
      <c r="N18" s="50">
        <v>0</v>
      </c>
      <c r="O18" s="15">
        <f t="shared" si="0"/>
        <v>68</v>
      </c>
      <c r="P18" s="15">
        <f t="shared" si="1"/>
        <v>82</v>
      </c>
      <c r="R18" s="1" t="s">
        <v>14</v>
      </c>
      <c r="S18" s="17">
        <f t="shared" ref="S18:AF18" si="10">SUM(C42:C45)</f>
        <v>95</v>
      </c>
      <c r="T18" s="17">
        <f t="shared" si="10"/>
        <v>28</v>
      </c>
      <c r="U18" s="17">
        <f t="shared" si="10"/>
        <v>17</v>
      </c>
      <c r="V18" s="17">
        <f t="shared" si="10"/>
        <v>144</v>
      </c>
      <c r="W18" s="17">
        <f t="shared" si="10"/>
        <v>9</v>
      </c>
      <c r="X18" s="17">
        <f t="shared" si="10"/>
        <v>3</v>
      </c>
      <c r="Y18" s="17">
        <f t="shared" si="10"/>
        <v>8</v>
      </c>
      <c r="Z18" s="17">
        <f t="shared" si="10"/>
        <v>13</v>
      </c>
      <c r="AA18" s="17">
        <f t="shared" si="10"/>
        <v>2</v>
      </c>
      <c r="AB18" s="17">
        <f t="shared" si="10"/>
        <v>38</v>
      </c>
      <c r="AC18" s="17">
        <f t="shared" si="10"/>
        <v>62</v>
      </c>
      <c r="AD18" s="17">
        <f t="shared" si="10"/>
        <v>0</v>
      </c>
      <c r="AE18" s="31">
        <f t="shared" si="10"/>
        <v>357</v>
      </c>
      <c r="AF18" s="31">
        <f t="shared" si="10"/>
        <v>419</v>
      </c>
    </row>
    <row r="19" spans="2:32" ht="23.1" customHeight="1" x14ac:dyDescent="0.25">
      <c r="B19" s="23" t="s">
        <v>46</v>
      </c>
      <c r="C19" s="50">
        <v>12</v>
      </c>
      <c r="D19" s="50">
        <v>12</v>
      </c>
      <c r="E19" s="50">
        <v>8</v>
      </c>
      <c r="F19" s="50">
        <v>37</v>
      </c>
      <c r="G19" s="50">
        <v>2</v>
      </c>
      <c r="H19" s="50">
        <v>1</v>
      </c>
      <c r="I19" s="50">
        <v>2</v>
      </c>
      <c r="J19" s="50">
        <v>5</v>
      </c>
      <c r="K19" s="50">
        <v>2</v>
      </c>
      <c r="L19" s="50">
        <v>7</v>
      </c>
      <c r="M19" s="50">
        <v>18</v>
      </c>
      <c r="N19" s="50">
        <v>0</v>
      </c>
      <c r="O19" s="15">
        <f t="shared" si="0"/>
        <v>88</v>
      </c>
      <c r="P19" s="15">
        <f t="shared" si="1"/>
        <v>106</v>
      </c>
      <c r="R19" s="1" t="s">
        <v>15</v>
      </c>
      <c r="S19" s="17">
        <f t="shared" ref="S19:AF19" si="11">SUM(C46:C49)</f>
        <v>69</v>
      </c>
      <c r="T19" s="17">
        <f t="shared" si="11"/>
        <v>38</v>
      </c>
      <c r="U19" s="17">
        <f t="shared" si="11"/>
        <v>12</v>
      </c>
      <c r="V19" s="17">
        <f t="shared" si="11"/>
        <v>136</v>
      </c>
      <c r="W19" s="17">
        <f t="shared" si="11"/>
        <v>4</v>
      </c>
      <c r="X19" s="17">
        <f t="shared" si="11"/>
        <v>2</v>
      </c>
      <c r="Y19" s="17">
        <f t="shared" si="11"/>
        <v>12</v>
      </c>
      <c r="Z19" s="17">
        <f t="shared" si="11"/>
        <v>11</v>
      </c>
      <c r="AA19" s="17">
        <f t="shared" si="11"/>
        <v>7</v>
      </c>
      <c r="AB19" s="17">
        <f t="shared" si="11"/>
        <v>34</v>
      </c>
      <c r="AC19" s="17">
        <f t="shared" si="11"/>
        <v>82</v>
      </c>
      <c r="AD19" s="17">
        <f t="shared" si="11"/>
        <v>0</v>
      </c>
      <c r="AE19" s="31">
        <f t="shared" si="11"/>
        <v>325</v>
      </c>
      <c r="AF19" s="31">
        <f t="shared" si="11"/>
        <v>407</v>
      </c>
    </row>
    <row r="20" spans="2:32" ht="23.1" customHeight="1" x14ac:dyDescent="0.25">
      <c r="B20" s="23" t="s">
        <v>47</v>
      </c>
      <c r="C20" s="50">
        <v>23</v>
      </c>
      <c r="D20" s="50">
        <v>7</v>
      </c>
      <c r="E20" s="50">
        <v>3</v>
      </c>
      <c r="F20" s="50">
        <v>30</v>
      </c>
      <c r="G20" s="50">
        <v>0</v>
      </c>
      <c r="H20" s="50">
        <v>1</v>
      </c>
      <c r="I20" s="50">
        <v>3</v>
      </c>
      <c r="J20" s="50">
        <v>3</v>
      </c>
      <c r="K20" s="50">
        <v>2</v>
      </c>
      <c r="L20" s="50">
        <v>10</v>
      </c>
      <c r="M20" s="50">
        <v>11</v>
      </c>
      <c r="N20" s="50">
        <v>0</v>
      </c>
      <c r="O20" s="15">
        <f t="shared" si="0"/>
        <v>82</v>
      </c>
      <c r="P20" s="15">
        <f t="shared" si="1"/>
        <v>93</v>
      </c>
      <c r="R20" s="1" t="s">
        <v>16</v>
      </c>
      <c r="S20" s="17">
        <f t="shared" ref="S20:AF20" si="12">SUM(C50:C53)</f>
        <v>89</v>
      </c>
      <c r="T20" s="17">
        <f t="shared" si="12"/>
        <v>34</v>
      </c>
      <c r="U20" s="17">
        <f t="shared" si="12"/>
        <v>12</v>
      </c>
      <c r="V20" s="17">
        <f t="shared" si="12"/>
        <v>133</v>
      </c>
      <c r="W20" s="17">
        <f t="shared" si="12"/>
        <v>4</v>
      </c>
      <c r="X20" s="17">
        <f t="shared" si="12"/>
        <v>2</v>
      </c>
      <c r="Y20" s="17">
        <f t="shared" si="12"/>
        <v>12</v>
      </c>
      <c r="Z20" s="17">
        <f t="shared" si="12"/>
        <v>15</v>
      </c>
      <c r="AA20" s="17">
        <f t="shared" si="12"/>
        <v>7</v>
      </c>
      <c r="AB20" s="17">
        <f t="shared" si="12"/>
        <v>27</v>
      </c>
      <c r="AC20" s="17">
        <f t="shared" si="12"/>
        <v>85</v>
      </c>
      <c r="AD20" s="17">
        <f t="shared" si="12"/>
        <v>1</v>
      </c>
      <c r="AE20" s="31">
        <f t="shared" si="12"/>
        <v>336</v>
      </c>
      <c r="AF20" s="31">
        <f t="shared" si="12"/>
        <v>421</v>
      </c>
    </row>
    <row r="21" spans="2:32" ht="23.1" customHeight="1" x14ac:dyDescent="0.25">
      <c r="B21" s="23" t="s">
        <v>48</v>
      </c>
      <c r="C21" s="50">
        <v>11</v>
      </c>
      <c r="D21" s="50">
        <v>7</v>
      </c>
      <c r="E21" s="50">
        <v>3</v>
      </c>
      <c r="F21" s="50">
        <v>30</v>
      </c>
      <c r="G21" s="50">
        <v>0</v>
      </c>
      <c r="H21" s="50">
        <v>0</v>
      </c>
      <c r="I21" s="50">
        <v>2</v>
      </c>
      <c r="J21" s="50">
        <v>4</v>
      </c>
      <c r="K21" s="50">
        <v>1</v>
      </c>
      <c r="L21" s="50">
        <v>8</v>
      </c>
      <c r="M21" s="50">
        <v>21</v>
      </c>
      <c r="N21" s="50">
        <v>0</v>
      </c>
      <c r="O21" s="15">
        <f t="shared" si="0"/>
        <v>66</v>
      </c>
      <c r="P21" s="15">
        <f t="shared" si="1"/>
        <v>87</v>
      </c>
      <c r="R21" s="36" t="s">
        <v>20</v>
      </c>
      <c r="S21" s="34">
        <f t="shared" ref="S21:AF21" si="13">SUM(C54:C57)</f>
        <v>60</v>
      </c>
      <c r="T21" s="17">
        <f t="shared" si="13"/>
        <v>27</v>
      </c>
      <c r="U21" s="17">
        <f t="shared" si="13"/>
        <v>16</v>
      </c>
      <c r="V21" s="17">
        <f t="shared" si="13"/>
        <v>132</v>
      </c>
      <c r="W21" s="17">
        <f t="shared" si="13"/>
        <v>5</v>
      </c>
      <c r="X21" s="17">
        <f t="shared" si="13"/>
        <v>4</v>
      </c>
      <c r="Y21" s="17">
        <f t="shared" si="13"/>
        <v>13</v>
      </c>
      <c r="Z21" s="17">
        <f t="shared" si="13"/>
        <v>7</v>
      </c>
      <c r="AA21" s="17">
        <f t="shared" si="13"/>
        <v>3</v>
      </c>
      <c r="AB21" s="17">
        <f t="shared" si="13"/>
        <v>18</v>
      </c>
      <c r="AC21" s="17">
        <f t="shared" si="13"/>
        <v>85</v>
      </c>
      <c r="AD21" s="17">
        <f t="shared" si="13"/>
        <v>0</v>
      </c>
      <c r="AE21" s="31">
        <f t="shared" si="13"/>
        <v>285</v>
      </c>
      <c r="AF21" s="31">
        <f t="shared" si="13"/>
        <v>370</v>
      </c>
    </row>
    <row r="22" spans="2:32" ht="23.1" customHeight="1" x14ac:dyDescent="0.25">
      <c r="B22" s="23" t="s">
        <v>49</v>
      </c>
      <c r="C22" s="50">
        <v>16</v>
      </c>
      <c r="D22" s="50">
        <v>7</v>
      </c>
      <c r="E22" s="50">
        <v>6</v>
      </c>
      <c r="F22" s="50">
        <v>37</v>
      </c>
      <c r="G22" s="50">
        <v>1</v>
      </c>
      <c r="H22" s="50">
        <v>0</v>
      </c>
      <c r="I22" s="50">
        <v>1</v>
      </c>
      <c r="J22" s="50">
        <v>4</v>
      </c>
      <c r="K22" s="50">
        <v>1</v>
      </c>
      <c r="L22" s="50">
        <v>5</v>
      </c>
      <c r="M22" s="50">
        <v>21</v>
      </c>
      <c r="N22" s="50">
        <v>0</v>
      </c>
      <c r="O22" s="15">
        <f t="shared" si="0"/>
        <v>78</v>
      </c>
      <c r="P22" s="15">
        <f t="shared" si="1"/>
        <v>99</v>
      </c>
      <c r="R22" s="38" t="s">
        <v>90</v>
      </c>
      <c r="S22" s="39">
        <f>MAX(S10:S12)</f>
        <v>62</v>
      </c>
      <c r="T22" s="39">
        <f t="shared" ref="T22:AF22" si="14">MAX(T10:T12)</f>
        <v>35</v>
      </c>
      <c r="U22" s="39">
        <f t="shared" si="14"/>
        <v>15</v>
      </c>
      <c r="V22" s="39">
        <f t="shared" si="14"/>
        <v>124</v>
      </c>
      <c r="W22" s="39">
        <f t="shared" si="14"/>
        <v>3</v>
      </c>
      <c r="X22" s="39">
        <f t="shared" si="14"/>
        <v>3</v>
      </c>
      <c r="Y22" s="39">
        <f t="shared" si="14"/>
        <v>9</v>
      </c>
      <c r="Z22" s="39">
        <f t="shared" si="14"/>
        <v>22</v>
      </c>
      <c r="AA22" s="39">
        <f t="shared" si="14"/>
        <v>6</v>
      </c>
      <c r="AB22" s="39">
        <f t="shared" si="14"/>
        <v>31</v>
      </c>
      <c r="AC22" s="39">
        <f t="shared" si="14"/>
        <v>64</v>
      </c>
      <c r="AD22" s="39">
        <f t="shared" si="14"/>
        <v>1</v>
      </c>
      <c r="AE22" s="40">
        <f t="shared" si="14"/>
        <v>304</v>
      </c>
      <c r="AF22" s="40">
        <f t="shared" si="14"/>
        <v>368</v>
      </c>
    </row>
    <row r="23" spans="2:32" ht="23.1" customHeight="1" x14ac:dyDescent="0.25">
      <c r="B23" s="23" t="s">
        <v>50</v>
      </c>
      <c r="C23" s="50">
        <v>23</v>
      </c>
      <c r="D23" s="50">
        <v>10</v>
      </c>
      <c r="E23" s="50">
        <v>1</v>
      </c>
      <c r="F23" s="50">
        <v>48</v>
      </c>
      <c r="G23" s="50">
        <v>2</v>
      </c>
      <c r="H23" s="50">
        <v>0</v>
      </c>
      <c r="I23" s="50">
        <v>3</v>
      </c>
      <c r="J23" s="50">
        <v>6</v>
      </c>
      <c r="K23" s="50">
        <v>0</v>
      </c>
      <c r="L23" s="50">
        <v>3</v>
      </c>
      <c r="M23" s="50">
        <v>28</v>
      </c>
      <c r="N23" s="50">
        <v>0</v>
      </c>
      <c r="O23" s="15">
        <f t="shared" si="0"/>
        <v>96</v>
      </c>
      <c r="P23" s="15">
        <f t="shared" si="1"/>
        <v>124</v>
      </c>
      <c r="R23" s="38" t="s">
        <v>91</v>
      </c>
      <c r="S23" s="39">
        <f>MAX(S13:S18)</f>
        <v>95</v>
      </c>
      <c r="T23" s="39">
        <f t="shared" ref="T23:AF23" si="15">MAX(T13:T18)</f>
        <v>47</v>
      </c>
      <c r="U23" s="39">
        <f t="shared" si="15"/>
        <v>17</v>
      </c>
      <c r="V23" s="39">
        <f t="shared" si="15"/>
        <v>155</v>
      </c>
      <c r="W23" s="39">
        <f t="shared" si="15"/>
        <v>9</v>
      </c>
      <c r="X23" s="39">
        <f t="shared" si="15"/>
        <v>3</v>
      </c>
      <c r="Y23" s="39">
        <f t="shared" si="15"/>
        <v>16</v>
      </c>
      <c r="Z23" s="39">
        <f t="shared" si="15"/>
        <v>14</v>
      </c>
      <c r="AA23" s="39">
        <f t="shared" si="15"/>
        <v>5</v>
      </c>
      <c r="AB23" s="39">
        <f t="shared" si="15"/>
        <v>38</v>
      </c>
      <c r="AC23" s="39">
        <f t="shared" si="15"/>
        <v>82</v>
      </c>
      <c r="AD23" s="39">
        <f t="shared" si="15"/>
        <v>0</v>
      </c>
      <c r="AE23" s="40">
        <f t="shared" si="15"/>
        <v>357</v>
      </c>
      <c r="AF23" s="40">
        <f t="shared" si="15"/>
        <v>422</v>
      </c>
    </row>
    <row r="24" spans="2:32" ht="23.1" customHeight="1" x14ac:dyDescent="0.25">
      <c r="B24" s="23" t="s">
        <v>51</v>
      </c>
      <c r="C24" s="50">
        <v>23</v>
      </c>
      <c r="D24" s="50">
        <v>11</v>
      </c>
      <c r="E24" s="50">
        <v>1</v>
      </c>
      <c r="F24" s="50">
        <v>33</v>
      </c>
      <c r="G24" s="50">
        <v>1</v>
      </c>
      <c r="H24" s="50">
        <v>1</v>
      </c>
      <c r="I24" s="50">
        <v>0</v>
      </c>
      <c r="J24" s="50">
        <v>1</v>
      </c>
      <c r="K24" s="50">
        <v>1</v>
      </c>
      <c r="L24" s="50">
        <v>10</v>
      </c>
      <c r="M24" s="50">
        <v>21</v>
      </c>
      <c r="N24" s="50">
        <v>0</v>
      </c>
      <c r="O24" s="15">
        <f t="shared" si="0"/>
        <v>82</v>
      </c>
      <c r="P24" s="15">
        <f t="shared" si="1"/>
        <v>103</v>
      </c>
      <c r="R24" s="38" t="s">
        <v>92</v>
      </c>
      <c r="S24" s="39">
        <f>MAX(S19:S21)</f>
        <v>89</v>
      </c>
      <c r="T24" s="39">
        <f t="shared" ref="T24:AF24" si="16">MAX(T19:T21)</f>
        <v>38</v>
      </c>
      <c r="U24" s="39">
        <f t="shared" si="16"/>
        <v>16</v>
      </c>
      <c r="V24" s="39">
        <f t="shared" si="16"/>
        <v>136</v>
      </c>
      <c r="W24" s="39">
        <f t="shared" si="16"/>
        <v>5</v>
      </c>
      <c r="X24" s="39">
        <f t="shared" si="16"/>
        <v>4</v>
      </c>
      <c r="Y24" s="39">
        <f t="shared" si="16"/>
        <v>13</v>
      </c>
      <c r="Z24" s="39">
        <f t="shared" si="16"/>
        <v>15</v>
      </c>
      <c r="AA24" s="39">
        <f t="shared" si="16"/>
        <v>7</v>
      </c>
      <c r="AB24" s="39">
        <f t="shared" si="16"/>
        <v>34</v>
      </c>
      <c r="AC24" s="39">
        <f t="shared" si="16"/>
        <v>85</v>
      </c>
      <c r="AD24" s="39">
        <f t="shared" si="16"/>
        <v>1</v>
      </c>
      <c r="AE24" s="40">
        <f t="shared" si="16"/>
        <v>336</v>
      </c>
      <c r="AF24" s="40">
        <f t="shared" si="16"/>
        <v>421</v>
      </c>
    </row>
    <row r="25" spans="2:32" ht="23.1" customHeight="1" x14ac:dyDescent="0.25">
      <c r="B25" s="23" t="s">
        <v>52</v>
      </c>
      <c r="C25" s="50">
        <v>22</v>
      </c>
      <c r="D25" s="50">
        <v>4</v>
      </c>
      <c r="E25" s="50">
        <v>5</v>
      </c>
      <c r="F25" s="50">
        <v>37</v>
      </c>
      <c r="G25" s="50">
        <v>1</v>
      </c>
      <c r="H25" s="50">
        <v>0</v>
      </c>
      <c r="I25" s="50">
        <v>1</v>
      </c>
      <c r="J25" s="50">
        <v>3</v>
      </c>
      <c r="K25" s="50">
        <v>1</v>
      </c>
      <c r="L25" s="50">
        <v>10</v>
      </c>
      <c r="M25" s="50">
        <v>12</v>
      </c>
      <c r="N25" s="50">
        <v>0</v>
      </c>
      <c r="O25" s="15">
        <f t="shared" si="0"/>
        <v>84</v>
      </c>
      <c r="P25" s="15">
        <f t="shared" si="1"/>
        <v>96</v>
      </c>
      <c r="R25" s="37" t="s">
        <v>85</v>
      </c>
      <c r="S25" s="35">
        <f t="shared" ref="S25:AF25" si="17">SUM(S10:S12)</f>
        <v>134</v>
      </c>
      <c r="T25" s="16">
        <f t="shared" si="17"/>
        <v>74</v>
      </c>
      <c r="U25" s="16">
        <f t="shared" si="17"/>
        <v>27</v>
      </c>
      <c r="V25" s="16">
        <f t="shared" si="17"/>
        <v>323</v>
      </c>
      <c r="W25" s="16">
        <f t="shared" si="17"/>
        <v>6</v>
      </c>
      <c r="X25" s="16">
        <f t="shared" si="17"/>
        <v>6</v>
      </c>
      <c r="Y25" s="16">
        <f t="shared" si="17"/>
        <v>20</v>
      </c>
      <c r="Z25" s="16">
        <f t="shared" si="17"/>
        <v>50</v>
      </c>
      <c r="AA25" s="16">
        <f t="shared" si="17"/>
        <v>14</v>
      </c>
      <c r="AB25" s="16">
        <f t="shared" si="17"/>
        <v>86</v>
      </c>
      <c r="AC25" s="16">
        <f t="shared" si="17"/>
        <v>175</v>
      </c>
      <c r="AD25" s="16">
        <f t="shared" si="17"/>
        <v>1</v>
      </c>
      <c r="AE25" s="32">
        <f t="shared" si="17"/>
        <v>741</v>
      </c>
      <c r="AF25" s="32">
        <f t="shared" si="17"/>
        <v>916</v>
      </c>
    </row>
    <row r="26" spans="2:32" ht="23.1" customHeight="1" x14ac:dyDescent="0.25">
      <c r="B26" s="23" t="s">
        <v>53</v>
      </c>
      <c r="C26" s="50">
        <v>19</v>
      </c>
      <c r="D26" s="50">
        <v>6</v>
      </c>
      <c r="E26" s="50">
        <v>3</v>
      </c>
      <c r="F26" s="50">
        <v>30</v>
      </c>
      <c r="G26" s="50">
        <v>1</v>
      </c>
      <c r="H26" s="50">
        <v>0</v>
      </c>
      <c r="I26" s="50">
        <v>1</v>
      </c>
      <c r="J26" s="50">
        <v>3</v>
      </c>
      <c r="K26" s="50">
        <v>0</v>
      </c>
      <c r="L26" s="50">
        <v>4</v>
      </c>
      <c r="M26" s="50">
        <v>14</v>
      </c>
      <c r="N26" s="50">
        <v>0</v>
      </c>
      <c r="O26" s="15">
        <f t="shared" si="0"/>
        <v>67</v>
      </c>
      <c r="P26" s="15">
        <f t="shared" si="1"/>
        <v>81</v>
      </c>
      <c r="R26" s="28" t="s">
        <v>86</v>
      </c>
      <c r="S26" s="16">
        <f t="shared" ref="S26:AF26" si="18">SUM(S13:S18)</f>
        <v>432</v>
      </c>
      <c r="T26" s="16">
        <f t="shared" si="18"/>
        <v>210</v>
      </c>
      <c r="U26" s="16">
        <f t="shared" si="18"/>
        <v>78</v>
      </c>
      <c r="V26" s="16">
        <f t="shared" si="18"/>
        <v>807</v>
      </c>
      <c r="W26" s="16">
        <f t="shared" si="18"/>
        <v>39</v>
      </c>
      <c r="X26" s="16">
        <f t="shared" si="18"/>
        <v>11</v>
      </c>
      <c r="Y26" s="16">
        <f t="shared" si="18"/>
        <v>59</v>
      </c>
      <c r="Z26" s="16">
        <f t="shared" si="18"/>
        <v>70</v>
      </c>
      <c r="AA26" s="16">
        <f t="shared" si="18"/>
        <v>21</v>
      </c>
      <c r="AB26" s="16">
        <f t="shared" si="18"/>
        <v>167</v>
      </c>
      <c r="AC26" s="16">
        <f t="shared" si="18"/>
        <v>407</v>
      </c>
      <c r="AD26" s="16">
        <f t="shared" si="18"/>
        <v>0</v>
      </c>
      <c r="AE26" s="32">
        <f t="shared" si="18"/>
        <v>1894</v>
      </c>
      <c r="AF26" s="32">
        <f t="shared" si="18"/>
        <v>2301</v>
      </c>
    </row>
    <row r="27" spans="2:32" ht="23.1" customHeight="1" x14ac:dyDescent="0.25">
      <c r="B27" s="23" t="s">
        <v>54</v>
      </c>
      <c r="C27" s="50">
        <v>21</v>
      </c>
      <c r="D27" s="50">
        <v>13</v>
      </c>
      <c r="E27" s="50">
        <v>4</v>
      </c>
      <c r="F27" s="50">
        <v>32</v>
      </c>
      <c r="G27" s="50">
        <v>1</v>
      </c>
      <c r="H27" s="50">
        <v>2</v>
      </c>
      <c r="I27" s="50">
        <v>2</v>
      </c>
      <c r="J27" s="50">
        <v>5</v>
      </c>
      <c r="K27" s="50">
        <v>3</v>
      </c>
      <c r="L27" s="50">
        <v>11</v>
      </c>
      <c r="M27" s="50">
        <v>27</v>
      </c>
      <c r="N27" s="50">
        <v>0</v>
      </c>
      <c r="O27" s="15">
        <f t="shared" si="0"/>
        <v>94</v>
      </c>
      <c r="P27" s="15">
        <f t="shared" si="1"/>
        <v>121</v>
      </c>
      <c r="R27" s="29" t="s">
        <v>87</v>
      </c>
      <c r="S27" s="16">
        <f t="shared" ref="S27:AF27" si="19">SUM(S19:S21)</f>
        <v>218</v>
      </c>
      <c r="T27" s="16">
        <f t="shared" si="19"/>
        <v>99</v>
      </c>
      <c r="U27" s="16">
        <f t="shared" si="19"/>
        <v>40</v>
      </c>
      <c r="V27" s="16">
        <f t="shared" si="19"/>
        <v>401</v>
      </c>
      <c r="W27" s="16">
        <f t="shared" si="19"/>
        <v>13</v>
      </c>
      <c r="X27" s="16">
        <f t="shared" si="19"/>
        <v>8</v>
      </c>
      <c r="Y27" s="16">
        <f t="shared" si="19"/>
        <v>37</v>
      </c>
      <c r="Z27" s="16">
        <f t="shared" si="19"/>
        <v>33</v>
      </c>
      <c r="AA27" s="16">
        <f t="shared" si="19"/>
        <v>17</v>
      </c>
      <c r="AB27" s="16">
        <f t="shared" si="19"/>
        <v>79</v>
      </c>
      <c r="AC27" s="16">
        <f t="shared" si="19"/>
        <v>252</v>
      </c>
      <c r="AD27" s="16">
        <f t="shared" si="19"/>
        <v>1</v>
      </c>
      <c r="AE27" s="32">
        <f t="shared" si="19"/>
        <v>946</v>
      </c>
      <c r="AF27" s="32">
        <f t="shared" si="19"/>
        <v>1198</v>
      </c>
    </row>
    <row r="28" spans="2:32" ht="23.1" customHeight="1" x14ac:dyDescent="0.25">
      <c r="B28" s="23" t="s">
        <v>55</v>
      </c>
      <c r="C28" s="50">
        <v>13</v>
      </c>
      <c r="D28" s="50">
        <v>18</v>
      </c>
      <c r="E28" s="50">
        <v>3</v>
      </c>
      <c r="F28" s="50">
        <v>38</v>
      </c>
      <c r="G28" s="50">
        <v>5</v>
      </c>
      <c r="H28" s="50">
        <v>0</v>
      </c>
      <c r="I28" s="50">
        <v>1</v>
      </c>
      <c r="J28" s="50">
        <v>3</v>
      </c>
      <c r="K28" s="50">
        <v>0</v>
      </c>
      <c r="L28" s="50">
        <v>6</v>
      </c>
      <c r="M28" s="50">
        <v>13</v>
      </c>
      <c r="N28" s="50">
        <v>0</v>
      </c>
      <c r="O28" s="15">
        <f t="shared" si="0"/>
        <v>87</v>
      </c>
      <c r="P28" s="15">
        <f t="shared" si="1"/>
        <v>100</v>
      </c>
      <c r="R28" s="5" t="s">
        <v>17</v>
      </c>
      <c r="S28" s="16">
        <f t="shared" ref="S28:AF28" si="20">SUM(S10:S21)</f>
        <v>784</v>
      </c>
      <c r="T28" s="16">
        <f t="shared" si="20"/>
        <v>383</v>
      </c>
      <c r="U28" s="16">
        <f t="shared" si="20"/>
        <v>145</v>
      </c>
      <c r="V28" s="16">
        <f t="shared" si="20"/>
        <v>1531</v>
      </c>
      <c r="W28" s="16">
        <f t="shared" si="20"/>
        <v>58</v>
      </c>
      <c r="X28" s="16">
        <f t="shared" si="20"/>
        <v>25</v>
      </c>
      <c r="Y28" s="16">
        <f t="shared" si="20"/>
        <v>116</v>
      </c>
      <c r="Z28" s="16">
        <f t="shared" si="20"/>
        <v>153</v>
      </c>
      <c r="AA28" s="16">
        <f t="shared" si="20"/>
        <v>52</v>
      </c>
      <c r="AB28" s="16">
        <f t="shared" si="20"/>
        <v>332</v>
      </c>
      <c r="AC28" s="16">
        <f t="shared" si="20"/>
        <v>834</v>
      </c>
      <c r="AD28" s="16">
        <f t="shared" si="20"/>
        <v>2</v>
      </c>
      <c r="AE28" s="32">
        <f t="shared" si="20"/>
        <v>3581</v>
      </c>
      <c r="AF28" s="32">
        <f t="shared" si="20"/>
        <v>4415</v>
      </c>
    </row>
    <row r="29" spans="2:32" ht="23.1" customHeight="1" x14ac:dyDescent="0.25">
      <c r="B29" s="23" t="s">
        <v>56</v>
      </c>
      <c r="C29" s="50">
        <v>12</v>
      </c>
      <c r="D29" s="50">
        <v>10</v>
      </c>
      <c r="E29" s="50">
        <v>3</v>
      </c>
      <c r="F29" s="50">
        <v>29</v>
      </c>
      <c r="G29" s="50">
        <v>0</v>
      </c>
      <c r="H29" s="50">
        <v>0</v>
      </c>
      <c r="I29" s="50">
        <v>1</v>
      </c>
      <c r="J29" s="50">
        <v>2</v>
      </c>
      <c r="K29" s="50">
        <v>2</v>
      </c>
      <c r="L29" s="50">
        <v>7</v>
      </c>
      <c r="M29" s="50">
        <v>20</v>
      </c>
      <c r="N29" s="50">
        <v>0</v>
      </c>
      <c r="O29" s="15">
        <f t="shared" si="0"/>
        <v>66</v>
      </c>
      <c r="P29" s="15">
        <f t="shared" si="1"/>
        <v>86</v>
      </c>
      <c r="R29"/>
      <c r="S29" s="20"/>
      <c r="T29" s="19"/>
    </row>
    <row r="30" spans="2:32" ht="23.1" customHeight="1" x14ac:dyDescent="0.25">
      <c r="B30" s="23" t="s">
        <v>57</v>
      </c>
      <c r="C30" s="50">
        <v>22</v>
      </c>
      <c r="D30" s="50">
        <v>13</v>
      </c>
      <c r="E30" s="50">
        <v>8</v>
      </c>
      <c r="F30" s="50">
        <v>36</v>
      </c>
      <c r="G30" s="50">
        <v>0</v>
      </c>
      <c r="H30" s="50">
        <v>0</v>
      </c>
      <c r="I30" s="50">
        <v>3</v>
      </c>
      <c r="J30" s="50">
        <v>5</v>
      </c>
      <c r="K30" s="50">
        <v>2</v>
      </c>
      <c r="L30" s="50">
        <v>7</v>
      </c>
      <c r="M30" s="50">
        <v>18</v>
      </c>
      <c r="N30" s="50">
        <v>0</v>
      </c>
      <c r="O30" s="15">
        <f t="shared" si="0"/>
        <v>96</v>
      </c>
      <c r="P30" s="15">
        <f t="shared" si="1"/>
        <v>114</v>
      </c>
    </row>
    <row r="31" spans="2:32" ht="23.1" customHeight="1" x14ac:dyDescent="0.25">
      <c r="B31" s="24" t="s">
        <v>58</v>
      </c>
      <c r="C31" s="50">
        <v>17</v>
      </c>
      <c r="D31" s="50">
        <v>6</v>
      </c>
      <c r="E31" s="50">
        <v>3</v>
      </c>
      <c r="F31" s="50">
        <v>32</v>
      </c>
      <c r="G31" s="50">
        <v>1</v>
      </c>
      <c r="H31" s="50">
        <v>1</v>
      </c>
      <c r="I31" s="50">
        <v>5</v>
      </c>
      <c r="J31" s="50">
        <v>1</v>
      </c>
      <c r="K31" s="50">
        <v>0</v>
      </c>
      <c r="L31" s="50">
        <v>1</v>
      </c>
      <c r="M31" s="50">
        <v>18</v>
      </c>
      <c r="N31" s="50">
        <v>0</v>
      </c>
      <c r="O31" s="15">
        <f t="shared" si="0"/>
        <v>67</v>
      </c>
      <c r="P31" s="15">
        <f t="shared" si="1"/>
        <v>85</v>
      </c>
    </row>
    <row r="32" spans="2:32" ht="23.1" customHeight="1" x14ac:dyDescent="0.25">
      <c r="B32" s="24" t="s">
        <v>59</v>
      </c>
      <c r="C32" s="50">
        <v>11</v>
      </c>
      <c r="D32" s="50">
        <v>4</v>
      </c>
      <c r="E32" s="50">
        <v>2</v>
      </c>
      <c r="F32" s="50">
        <v>34</v>
      </c>
      <c r="G32" s="50">
        <v>1</v>
      </c>
      <c r="H32" s="50">
        <v>0</v>
      </c>
      <c r="I32" s="50">
        <v>4</v>
      </c>
      <c r="J32" s="50">
        <v>2</v>
      </c>
      <c r="K32" s="50">
        <v>1</v>
      </c>
      <c r="L32" s="50">
        <v>10</v>
      </c>
      <c r="M32" s="50">
        <v>18</v>
      </c>
      <c r="N32" s="50">
        <v>0</v>
      </c>
      <c r="O32" s="15">
        <f t="shared" si="0"/>
        <v>69</v>
      </c>
      <c r="P32" s="15">
        <f t="shared" si="1"/>
        <v>87</v>
      </c>
    </row>
    <row r="33" spans="2:20" ht="23.1" customHeight="1" x14ac:dyDescent="0.25">
      <c r="B33" s="23" t="s">
        <v>60</v>
      </c>
      <c r="C33" s="50">
        <v>20</v>
      </c>
      <c r="D33" s="50">
        <v>12</v>
      </c>
      <c r="E33" s="50">
        <v>0</v>
      </c>
      <c r="F33" s="50">
        <v>20</v>
      </c>
      <c r="G33" s="50">
        <v>4</v>
      </c>
      <c r="H33" s="50">
        <v>0</v>
      </c>
      <c r="I33" s="50">
        <v>4</v>
      </c>
      <c r="J33" s="50">
        <v>2</v>
      </c>
      <c r="K33" s="50">
        <v>2</v>
      </c>
      <c r="L33" s="50">
        <v>4</v>
      </c>
      <c r="M33" s="50">
        <v>8</v>
      </c>
      <c r="N33" s="50">
        <v>0</v>
      </c>
      <c r="O33" s="15">
        <f t="shared" si="0"/>
        <v>68</v>
      </c>
      <c r="P33" s="15">
        <f t="shared" si="1"/>
        <v>76</v>
      </c>
    </row>
    <row r="34" spans="2:20" ht="23.1" customHeight="1" x14ac:dyDescent="0.25">
      <c r="B34" s="24" t="s">
        <v>61</v>
      </c>
      <c r="C34" s="50">
        <v>10</v>
      </c>
      <c r="D34" s="50">
        <v>9</v>
      </c>
      <c r="E34" s="50">
        <v>3</v>
      </c>
      <c r="F34" s="50">
        <v>29</v>
      </c>
      <c r="G34" s="50">
        <v>2</v>
      </c>
      <c r="H34" s="50">
        <v>0</v>
      </c>
      <c r="I34" s="50">
        <v>3</v>
      </c>
      <c r="J34" s="50">
        <v>3</v>
      </c>
      <c r="K34" s="50">
        <v>0</v>
      </c>
      <c r="L34" s="50">
        <v>4</v>
      </c>
      <c r="M34" s="50">
        <v>14</v>
      </c>
      <c r="N34" s="50">
        <v>0</v>
      </c>
      <c r="O34" s="15">
        <f t="shared" si="0"/>
        <v>63</v>
      </c>
      <c r="P34" s="15">
        <f t="shared" si="1"/>
        <v>77</v>
      </c>
    </row>
    <row r="35" spans="2:20" ht="23.1" customHeight="1" x14ac:dyDescent="0.25">
      <c r="B35" s="24" t="s">
        <v>62</v>
      </c>
      <c r="C35" s="50">
        <v>14</v>
      </c>
      <c r="D35" s="50">
        <v>4</v>
      </c>
      <c r="E35" s="50">
        <v>4</v>
      </c>
      <c r="F35" s="50">
        <v>29</v>
      </c>
      <c r="G35" s="50">
        <v>2</v>
      </c>
      <c r="H35" s="50">
        <v>1</v>
      </c>
      <c r="I35" s="50">
        <v>3</v>
      </c>
      <c r="J35" s="50">
        <v>2</v>
      </c>
      <c r="K35" s="50">
        <v>2</v>
      </c>
      <c r="L35" s="50">
        <v>9</v>
      </c>
      <c r="M35" s="50">
        <v>14</v>
      </c>
      <c r="N35" s="50">
        <v>0</v>
      </c>
      <c r="O35" s="15">
        <f t="shared" si="0"/>
        <v>70</v>
      </c>
      <c r="P35" s="15">
        <f t="shared" si="1"/>
        <v>84</v>
      </c>
    </row>
    <row r="36" spans="2:20" ht="23.1" customHeight="1" x14ac:dyDescent="0.25">
      <c r="B36" s="24" t="s">
        <v>63</v>
      </c>
      <c r="C36" s="50">
        <v>17</v>
      </c>
      <c r="D36" s="50">
        <v>9</v>
      </c>
      <c r="E36" s="50">
        <v>3</v>
      </c>
      <c r="F36" s="50">
        <v>29</v>
      </c>
      <c r="G36" s="50">
        <v>2</v>
      </c>
      <c r="H36" s="50">
        <v>0</v>
      </c>
      <c r="I36" s="50">
        <v>3</v>
      </c>
      <c r="J36" s="50">
        <v>3</v>
      </c>
      <c r="K36" s="50">
        <v>0</v>
      </c>
      <c r="L36" s="50">
        <v>4</v>
      </c>
      <c r="M36" s="50">
        <v>14</v>
      </c>
      <c r="N36" s="50">
        <v>0</v>
      </c>
      <c r="O36" s="15">
        <f t="shared" si="0"/>
        <v>70</v>
      </c>
      <c r="P36" s="15">
        <f t="shared" si="1"/>
        <v>84</v>
      </c>
    </row>
    <row r="37" spans="2:20" ht="23.1" customHeight="1" x14ac:dyDescent="0.25">
      <c r="B37" s="23" t="s">
        <v>64</v>
      </c>
      <c r="C37" s="50">
        <v>21</v>
      </c>
      <c r="D37" s="50">
        <v>8</v>
      </c>
      <c r="E37" s="50">
        <v>3</v>
      </c>
      <c r="F37" s="50">
        <v>43</v>
      </c>
      <c r="G37" s="50">
        <v>3</v>
      </c>
      <c r="H37" s="50">
        <v>0</v>
      </c>
      <c r="I37" s="50">
        <v>3</v>
      </c>
      <c r="J37" s="50">
        <v>2</v>
      </c>
      <c r="K37" s="50">
        <v>0</v>
      </c>
      <c r="L37" s="50">
        <v>5</v>
      </c>
      <c r="M37" s="50">
        <v>12</v>
      </c>
      <c r="N37" s="50">
        <v>0</v>
      </c>
      <c r="O37" s="15">
        <f t="shared" si="0"/>
        <v>88</v>
      </c>
      <c r="P37" s="15">
        <f t="shared" si="1"/>
        <v>100</v>
      </c>
    </row>
    <row r="38" spans="2:20" ht="23.1" customHeight="1" x14ac:dyDescent="0.25">
      <c r="B38" s="24" t="s">
        <v>65</v>
      </c>
      <c r="C38" s="50">
        <v>12</v>
      </c>
      <c r="D38" s="50">
        <v>25</v>
      </c>
      <c r="E38" s="50">
        <v>2</v>
      </c>
      <c r="F38" s="50">
        <v>40</v>
      </c>
      <c r="G38" s="50">
        <v>0</v>
      </c>
      <c r="H38" s="50">
        <v>0</v>
      </c>
      <c r="I38" s="50">
        <v>3</v>
      </c>
      <c r="J38" s="50">
        <v>3</v>
      </c>
      <c r="K38" s="50">
        <v>1</v>
      </c>
      <c r="L38" s="50">
        <v>4</v>
      </c>
      <c r="M38" s="50">
        <v>33</v>
      </c>
      <c r="N38" s="50">
        <v>0</v>
      </c>
      <c r="O38" s="15">
        <f t="shared" si="0"/>
        <v>90</v>
      </c>
      <c r="P38" s="15">
        <f t="shared" si="1"/>
        <v>123</v>
      </c>
    </row>
    <row r="39" spans="2:20" ht="23.1" customHeight="1" x14ac:dyDescent="0.25">
      <c r="B39" s="24" t="s">
        <v>66</v>
      </c>
      <c r="C39" s="50">
        <v>8</v>
      </c>
      <c r="D39" s="50">
        <v>4</v>
      </c>
      <c r="E39" s="50">
        <v>3</v>
      </c>
      <c r="F39" s="50">
        <v>25</v>
      </c>
      <c r="G39" s="50">
        <v>0</v>
      </c>
      <c r="H39" s="50">
        <v>2</v>
      </c>
      <c r="I39" s="50">
        <v>4</v>
      </c>
      <c r="J39" s="50">
        <v>2</v>
      </c>
      <c r="K39" s="50">
        <v>1</v>
      </c>
      <c r="L39" s="50">
        <v>5</v>
      </c>
      <c r="M39" s="50">
        <v>11</v>
      </c>
      <c r="N39" s="50">
        <v>0</v>
      </c>
      <c r="O39" s="15">
        <f t="shared" si="0"/>
        <v>54</v>
      </c>
      <c r="P39" s="15">
        <f t="shared" si="1"/>
        <v>65</v>
      </c>
    </row>
    <row r="40" spans="2:20" ht="23.1" customHeight="1" x14ac:dyDescent="0.25">
      <c r="B40" s="24" t="s">
        <v>67</v>
      </c>
      <c r="C40" s="50">
        <v>10</v>
      </c>
      <c r="D40" s="50">
        <v>3</v>
      </c>
      <c r="E40" s="50">
        <v>3</v>
      </c>
      <c r="F40" s="50">
        <v>36</v>
      </c>
      <c r="G40" s="50">
        <v>1</v>
      </c>
      <c r="H40" s="50">
        <v>0</v>
      </c>
      <c r="I40" s="50">
        <v>2</v>
      </c>
      <c r="J40" s="50">
        <v>0</v>
      </c>
      <c r="K40" s="50">
        <v>2</v>
      </c>
      <c r="L40" s="50">
        <v>9</v>
      </c>
      <c r="M40" s="50">
        <v>12</v>
      </c>
      <c r="N40" s="50">
        <v>0</v>
      </c>
      <c r="O40" s="15">
        <f t="shared" si="0"/>
        <v>66</v>
      </c>
      <c r="P40" s="15">
        <f t="shared" si="1"/>
        <v>78</v>
      </c>
    </row>
    <row r="41" spans="2:20" ht="23.1" customHeight="1" x14ac:dyDescent="0.25">
      <c r="B41" s="23" t="s">
        <v>68</v>
      </c>
      <c r="C41" s="50">
        <v>26</v>
      </c>
      <c r="D41" s="50">
        <v>6</v>
      </c>
      <c r="E41" s="50">
        <v>1</v>
      </c>
      <c r="F41" s="50">
        <v>26</v>
      </c>
      <c r="G41" s="50">
        <v>2</v>
      </c>
      <c r="H41" s="50">
        <v>1</v>
      </c>
      <c r="I41" s="50">
        <v>4</v>
      </c>
      <c r="J41" s="50">
        <v>5</v>
      </c>
      <c r="K41" s="50">
        <v>0</v>
      </c>
      <c r="L41" s="50">
        <v>11</v>
      </c>
      <c r="M41" s="50">
        <v>17</v>
      </c>
      <c r="N41" s="50">
        <v>0</v>
      </c>
      <c r="O41" s="15">
        <f t="shared" si="0"/>
        <v>82</v>
      </c>
      <c r="P41" s="15">
        <f t="shared" si="1"/>
        <v>99</v>
      </c>
    </row>
    <row r="42" spans="2:20" ht="23.1" customHeight="1" x14ac:dyDescent="0.25">
      <c r="B42" s="24" t="s">
        <v>69</v>
      </c>
      <c r="C42" s="50">
        <v>18</v>
      </c>
      <c r="D42" s="50">
        <v>5</v>
      </c>
      <c r="E42" s="50">
        <v>3</v>
      </c>
      <c r="F42" s="50">
        <v>32</v>
      </c>
      <c r="G42" s="50">
        <v>3</v>
      </c>
      <c r="H42" s="50">
        <v>0</v>
      </c>
      <c r="I42" s="50">
        <v>3</v>
      </c>
      <c r="J42" s="50">
        <v>4</v>
      </c>
      <c r="K42" s="50">
        <v>0</v>
      </c>
      <c r="L42" s="50">
        <v>9</v>
      </c>
      <c r="M42" s="50">
        <v>22</v>
      </c>
      <c r="N42" s="50">
        <v>0</v>
      </c>
      <c r="O42" s="15">
        <f t="shared" si="0"/>
        <v>77</v>
      </c>
      <c r="P42" s="15">
        <f t="shared" si="1"/>
        <v>99</v>
      </c>
    </row>
    <row r="43" spans="2:20" ht="23.1" customHeight="1" x14ac:dyDescent="0.25">
      <c r="B43" s="23" t="s">
        <v>70</v>
      </c>
      <c r="C43" s="50">
        <v>23</v>
      </c>
      <c r="D43" s="50">
        <v>8</v>
      </c>
      <c r="E43" s="50">
        <v>6</v>
      </c>
      <c r="F43" s="50">
        <v>45</v>
      </c>
      <c r="G43" s="50">
        <v>2</v>
      </c>
      <c r="H43" s="50">
        <v>0</v>
      </c>
      <c r="I43" s="50">
        <v>1</v>
      </c>
      <c r="J43" s="50">
        <v>2</v>
      </c>
      <c r="K43" s="50">
        <v>1</v>
      </c>
      <c r="L43" s="50">
        <v>10</v>
      </c>
      <c r="M43" s="50">
        <v>11</v>
      </c>
      <c r="N43" s="50">
        <v>0</v>
      </c>
      <c r="O43" s="15">
        <f t="shared" si="0"/>
        <v>98</v>
      </c>
      <c r="P43" s="15">
        <f t="shared" si="1"/>
        <v>109</v>
      </c>
    </row>
    <row r="44" spans="2:20" ht="23.1" customHeight="1" x14ac:dyDescent="0.25">
      <c r="B44" s="25" t="s">
        <v>71</v>
      </c>
      <c r="C44" s="50">
        <v>18</v>
      </c>
      <c r="D44" s="50">
        <v>7</v>
      </c>
      <c r="E44" s="50">
        <v>1</v>
      </c>
      <c r="F44" s="50">
        <v>35</v>
      </c>
      <c r="G44" s="50">
        <v>3</v>
      </c>
      <c r="H44" s="50">
        <v>1</v>
      </c>
      <c r="I44" s="50">
        <v>1</v>
      </c>
      <c r="J44" s="50">
        <v>3</v>
      </c>
      <c r="K44" s="50">
        <v>1</v>
      </c>
      <c r="L44" s="50">
        <v>16</v>
      </c>
      <c r="M44" s="50">
        <v>20</v>
      </c>
      <c r="N44" s="50">
        <v>0</v>
      </c>
      <c r="O44" s="15">
        <f t="shared" si="0"/>
        <v>86</v>
      </c>
      <c r="P44" s="15">
        <f t="shared" si="1"/>
        <v>106</v>
      </c>
    </row>
    <row r="45" spans="2:20" ht="23.1" customHeight="1" x14ac:dyDescent="0.25">
      <c r="B45" s="23" t="s">
        <v>72</v>
      </c>
      <c r="C45" s="50">
        <v>36</v>
      </c>
      <c r="D45" s="50">
        <v>8</v>
      </c>
      <c r="E45" s="50">
        <v>7</v>
      </c>
      <c r="F45" s="50">
        <v>32</v>
      </c>
      <c r="G45" s="50">
        <v>1</v>
      </c>
      <c r="H45" s="50">
        <v>2</v>
      </c>
      <c r="I45" s="50">
        <v>3</v>
      </c>
      <c r="J45" s="50">
        <v>4</v>
      </c>
      <c r="K45" s="50">
        <v>0</v>
      </c>
      <c r="L45" s="50">
        <v>3</v>
      </c>
      <c r="M45" s="50">
        <v>9</v>
      </c>
      <c r="N45" s="50">
        <v>0</v>
      </c>
      <c r="O45" s="15">
        <f t="shared" si="0"/>
        <v>96</v>
      </c>
      <c r="P45" s="15">
        <f t="shared" si="1"/>
        <v>105</v>
      </c>
    </row>
    <row r="46" spans="2:20" ht="23.1" customHeight="1" x14ac:dyDescent="0.25">
      <c r="B46" s="24" t="s">
        <v>73</v>
      </c>
      <c r="C46" s="50">
        <v>17</v>
      </c>
      <c r="D46" s="50">
        <v>2</v>
      </c>
      <c r="E46" s="50">
        <v>2</v>
      </c>
      <c r="F46" s="50">
        <v>28</v>
      </c>
      <c r="G46" s="50">
        <v>0</v>
      </c>
      <c r="H46" s="50">
        <v>0</v>
      </c>
      <c r="I46" s="50">
        <v>2</v>
      </c>
      <c r="J46" s="50">
        <v>2</v>
      </c>
      <c r="K46" s="50">
        <v>0</v>
      </c>
      <c r="L46" s="50">
        <v>7</v>
      </c>
      <c r="M46" s="50">
        <v>31</v>
      </c>
      <c r="N46" s="50">
        <v>0</v>
      </c>
      <c r="O46" s="15">
        <f t="shared" si="0"/>
        <v>60</v>
      </c>
      <c r="P46" s="15">
        <f t="shared" si="1"/>
        <v>91</v>
      </c>
      <c r="R46" s="8"/>
      <c r="T46"/>
    </row>
    <row r="47" spans="2:20" ht="23.1" customHeight="1" x14ac:dyDescent="0.25">
      <c r="B47" s="24" t="s">
        <v>74</v>
      </c>
      <c r="C47" s="50">
        <v>17</v>
      </c>
      <c r="D47" s="50">
        <v>6</v>
      </c>
      <c r="E47" s="50">
        <v>1</v>
      </c>
      <c r="F47" s="50">
        <v>40</v>
      </c>
      <c r="G47" s="50">
        <v>2</v>
      </c>
      <c r="H47" s="50">
        <v>0</v>
      </c>
      <c r="I47" s="50">
        <v>2</v>
      </c>
      <c r="J47" s="50">
        <v>3</v>
      </c>
      <c r="K47" s="50">
        <v>0</v>
      </c>
      <c r="L47" s="50">
        <v>11</v>
      </c>
      <c r="M47" s="50">
        <v>21</v>
      </c>
      <c r="N47" s="50">
        <v>0</v>
      </c>
      <c r="O47" s="15">
        <f t="shared" si="0"/>
        <v>82</v>
      </c>
      <c r="P47" s="15">
        <f t="shared" si="1"/>
        <v>103</v>
      </c>
      <c r="R47" s="8"/>
      <c r="T47"/>
    </row>
    <row r="48" spans="2:20" ht="23.1" customHeight="1" x14ac:dyDescent="0.25">
      <c r="B48" s="24" t="s">
        <v>75</v>
      </c>
      <c r="C48" s="50">
        <v>22</v>
      </c>
      <c r="D48" s="50">
        <v>15</v>
      </c>
      <c r="E48" s="50">
        <v>6</v>
      </c>
      <c r="F48" s="50">
        <v>38</v>
      </c>
      <c r="G48" s="50">
        <v>0</v>
      </c>
      <c r="H48" s="50">
        <v>1</v>
      </c>
      <c r="I48" s="50">
        <v>5</v>
      </c>
      <c r="J48" s="50">
        <v>2</v>
      </c>
      <c r="K48" s="50">
        <v>3</v>
      </c>
      <c r="L48" s="50">
        <v>10</v>
      </c>
      <c r="M48" s="50">
        <v>15</v>
      </c>
      <c r="N48" s="50">
        <v>0</v>
      </c>
      <c r="O48" s="15">
        <f t="shared" si="0"/>
        <v>102</v>
      </c>
      <c r="P48" s="15">
        <f t="shared" si="1"/>
        <v>117</v>
      </c>
      <c r="R48" s="8"/>
      <c r="T48"/>
    </row>
    <row r="49" spans="2:20" ht="23.1" customHeight="1" x14ac:dyDescent="0.25">
      <c r="B49" s="23" t="s">
        <v>76</v>
      </c>
      <c r="C49" s="50">
        <v>13</v>
      </c>
      <c r="D49" s="50">
        <v>15</v>
      </c>
      <c r="E49" s="50">
        <v>3</v>
      </c>
      <c r="F49" s="50">
        <v>30</v>
      </c>
      <c r="G49" s="50">
        <v>2</v>
      </c>
      <c r="H49" s="50">
        <v>1</v>
      </c>
      <c r="I49" s="50">
        <v>3</v>
      </c>
      <c r="J49" s="50">
        <v>4</v>
      </c>
      <c r="K49" s="50">
        <v>4</v>
      </c>
      <c r="L49" s="50">
        <v>6</v>
      </c>
      <c r="M49" s="50">
        <v>15</v>
      </c>
      <c r="N49" s="50">
        <v>0</v>
      </c>
      <c r="O49" s="15">
        <f t="shared" si="0"/>
        <v>81</v>
      </c>
      <c r="P49" s="15">
        <f t="shared" si="1"/>
        <v>96</v>
      </c>
      <c r="R49" s="8"/>
      <c r="T49"/>
    </row>
    <row r="50" spans="2:20" ht="23.1" customHeight="1" x14ac:dyDescent="0.25">
      <c r="B50" s="24" t="s">
        <v>77</v>
      </c>
      <c r="C50" s="50">
        <v>26</v>
      </c>
      <c r="D50" s="50">
        <v>6</v>
      </c>
      <c r="E50" s="50">
        <v>3</v>
      </c>
      <c r="F50" s="50">
        <v>30</v>
      </c>
      <c r="G50" s="50">
        <v>1</v>
      </c>
      <c r="H50" s="50">
        <v>0</v>
      </c>
      <c r="I50" s="50">
        <v>1</v>
      </c>
      <c r="J50" s="50">
        <v>3</v>
      </c>
      <c r="K50" s="50">
        <v>0</v>
      </c>
      <c r="L50" s="50">
        <v>3</v>
      </c>
      <c r="M50" s="50">
        <v>23</v>
      </c>
      <c r="N50" s="50">
        <v>0</v>
      </c>
      <c r="O50" s="15">
        <f t="shared" si="0"/>
        <v>73</v>
      </c>
      <c r="P50" s="15">
        <f t="shared" si="1"/>
        <v>96</v>
      </c>
      <c r="R50" s="8"/>
      <c r="T50"/>
    </row>
    <row r="51" spans="2:20" ht="23.1" customHeight="1" x14ac:dyDescent="0.25">
      <c r="B51" s="24" t="s">
        <v>78</v>
      </c>
      <c r="C51" s="50">
        <v>24</v>
      </c>
      <c r="D51" s="50">
        <v>9</v>
      </c>
      <c r="E51" s="50">
        <v>4</v>
      </c>
      <c r="F51" s="50">
        <v>39</v>
      </c>
      <c r="G51" s="50">
        <v>1</v>
      </c>
      <c r="H51" s="50">
        <v>2</v>
      </c>
      <c r="I51" s="50">
        <v>5</v>
      </c>
      <c r="J51" s="50">
        <v>4</v>
      </c>
      <c r="K51" s="50">
        <v>2</v>
      </c>
      <c r="L51" s="50">
        <v>10</v>
      </c>
      <c r="M51" s="50">
        <v>16</v>
      </c>
      <c r="N51" s="50">
        <v>0</v>
      </c>
      <c r="O51" s="15">
        <f t="shared" si="0"/>
        <v>100</v>
      </c>
      <c r="P51" s="15">
        <f t="shared" si="1"/>
        <v>116</v>
      </c>
      <c r="R51" s="8"/>
      <c r="T51"/>
    </row>
    <row r="52" spans="2:20" ht="23.1" customHeight="1" x14ac:dyDescent="0.25">
      <c r="B52" s="24" t="s">
        <v>79</v>
      </c>
      <c r="C52" s="50">
        <v>27</v>
      </c>
      <c r="D52" s="50">
        <v>8</v>
      </c>
      <c r="E52" s="50">
        <v>3</v>
      </c>
      <c r="F52" s="50">
        <v>36</v>
      </c>
      <c r="G52" s="50">
        <v>1</v>
      </c>
      <c r="H52" s="50">
        <v>0</v>
      </c>
      <c r="I52" s="50">
        <v>3</v>
      </c>
      <c r="J52" s="50">
        <v>3</v>
      </c>
      <c r="K52" s="50">
        <v>2</v>
      </c>
      <c r="L52" s="50">
        <v>10</v>
      </c>
      <c r="M52" s="50">
        <v>29</v>
      </c>
      <c r="N52" s="50">
        <v>1</v>
      </c>
      <c r="O52" s="15">
        <f t="shared" si="0"/>
        <v>94</v>
      </c>
      <c r="P52" s="15">
        <f t="shared" si="1"/>
        <v>123</v>
      </c>
      <c r="R52" s="8"/>
      <c r="T52"/>
    </row>
    <row r="53" spans="2:20" ht="23.1" customHeight="1" x14ac:dyDescent="0.25">
      <c r="B53" s="23" t="s">
        <v>80</v>
      </c>
      <c r="C53" s="50">
        <v>12</v>
      </c>
      <c r="D53" s="50">
        <v>11</v>
      </c>
      <c r="E53" s="50">
        <v>2</v>
      </c>
      <c r="F53" s="50">
        <v>28</v>
      </c>
      <c r="G53" s="50">
        <v>1</v>
      </c>
      <c r="H53" s="50">
        <v>0</v>
      </c>
      <c r="I53" s="50">
        <v>3</v>
      </c>
      <c r="J53" s="50">
        <v>5</v>
      </c>
      <c r="K53" s="50">
        <v>3</v>
      </c>
      <c r="L53" s="50">
        <v>4</v>
      </c>
      <c r="M53" s="50">
        <v>17</v>
      </c>
      <c r="N53" s="50">
        <v>0</v>
      </c>
      <c r="O53" s="15">
        <f t="shared" si="0"/>
        <v>69</v>
      </c>
      <c r="P53" s="15">
        <f t="shared" si="1"/>
        <v>86</v>
      </c>
      <c r="R53" s="8"/>
      <c r="T53"/>
    </row>
    <row r="54" spans="2:20" ht="23.1" customHeight="1" x14ac:dyDescent="0.25">
      <c r="B54" s="23" t="s">
        <v>81</v>
      </c>
      <c r="C54" s="50">
        <v>31</v>
      </c>
      <c r="D54" s="50">
        <v>8</v>
      </c>
      <c r="E54" s="50">
        <v>11</v>
      </c>
      <c r="F54" s="50">
        <v>53</v>
      </c>
      <c r="G54" s="50">
        <v>3</v>
      </c>
      <c r="H54" s="50">
        <v>3</v>
      </c>
      <c r="I54" s="50">
        <v>3</v>
      </c>
      <c r="J54" s="50">
        <v>4</v>
      </c>
      <c r="K54" s="50">
        <v>0</v>
      </c>
      <c r="L54" s="50">
        <v>5</v>
      </c>
      <c r="M54" s="50">
        <v>15</v>
      </c>
      <c r="N54" s="50">
        <v>0</v>
      </c>
      <c r="O54" s="15">
        <f t="shared" si="0"/>
        <v>121</v>
      </c>
      <c r="P54" s="15">
        <f t="shared" si="1"/>
        <v>136</v>
      </c>
      <c r="R54" s="8"/>
      <c r="T54"/>
    </row>
    <row r="55" spans="2:20" ht="23.1" customHeight="1" x14ac:dyDescent="0.25">
      <c r="B55" s="23" t="s">
        <v>82</v>
      </c>
      <c r="C55" s="50">
        <v>13</v>
      </c>
      <c r="D55" s="50">
        <v>10</v>
      </c>
      <c r="E55" s="50">
        <v>2</v>
      </c>
      <c r="F55" s="50">
        <v>23</v>
      </c>
      <c r="G55" s="50">
        <v>0</v>
      </c>
      <c r="H55" s="50">
        <v>1</v>
      </c>
      <c r="I55" s="50">
        <v>5</v>
      </c>
      <c r="J55" s="50">
        <v>0</v>
      </c>
      <c r="K55" s="50">
        <v>1</v>
      </c>
      <c r="L55" s="50">
        <v>3</v>
      </c>
      <c r="M55" s="50">
        <v>28</v>
      </c>
      <c r="N55" s="50">
        <v>0</v>
      </c>
      <c r="O55" s="15">
        <f t="shared" si="0"/>
        <v>58</v>
      </c>
      <c r="P55" s="15">
        <f t="shared" si="1"/>
        <v>86</v>
      </c>
      <c r="R55" s="8"/>
      <c r="T55"/>
    </row>
    <row r="56" spans="2:20" ht="23.1" customHeight="1" x14ac:dyDescent="0.25">
      <c r="B56" s="23" t="s">
        <v>83</v>
      </c>
      <c r="C56" s="50">
        <v>12</v>
      </c>
      <c r="D56" s="50">
        <v>6</v>
      </c>
      <c r="E56" s="50">
        <v>3</v>
      </c>
      <c r="F56" s="50">
        <v>30</v>
      </c>
      <c r="G56" s="50">
        <v>2</v>
      </c>
      <c r="H56" s="50">
        <v>0</v>
      </c>
      <c r="I56" s="50">
        <v>2</v>
      </c>
      <c r="J56" s="50">
        <v>2</v>
      </c>
      <c r="K56" s="50">
        <v>1</v>
      </c>
      <c r="L56" s="50">
        <v>2</v>
      </c>
      <c r="M56" s="50">
        <v>22</v>
      </c>
      <c r="N56" s="50">
        <v>0</v>
      </c>
      <c r="O56" s="15">
        <f t="shared" si="0"/>
        <v>60</v>
      </c>
      <c r="P56" s="15">
        <f t="shared" si="1"/>
        <v>82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3</v>
      </c>
      <c r="E57" s="50">
        <v>0</v>
      </c>
      <c r="F57" s="50">
        <v>26</v>
      </c>
      <c r="G57" s="50">
        <v>0</v>
      </c>
      <c r="H57" s="50">
        <v>0</v>
      </c>
      <c r="I57" s="50">
        <v>3</v>
      </c>
      <c r="J57" s="50">
        <v>1</v>
      </c>
      <c r="K57" s="50">
        <v>1</v>
      </c>
      <c r="L57" s="50">
        <v>8</v>
      </c>
      <c r="M57" s="50">
        <v>20</v>
      </c>
      <c r="N57" s="50">
        <v>0</v>
      </c>
      <c r="O57" s="15">
        <f t="shared" si="0"/>
        <v>46</v>
      </c>
      <c r="P57" s="15">
        <f t="shared" si="1"/>
        <v>66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784</v>
      </c>
      <c r="D58" s="16">
        <f t="shared" si="21"/>
        <v>383</v>
      </c>
      <c r="E58" s="16">
        <f t="shared" si="21"/>
        <v>145</v>
      </c>
      <c r="F58" s="16">
        <f t="shared" si="21"/>
        <v>1531</v>
      </c>
      <c r="G58" s="16">
        <f t="shared" si="21"/>
        <v>58</v>
      </c>
      <c r="H58" s="16">
        <f t="shared" si="21"/>
        <v>25</v>
      </c>
      <c r="I58" s="16">
        <f t="shared" si="21"/>
        <v>116</v>
      </c>
      <c r="J58" s="16">
        <f t="shared" si="21"/>
        <v>153</v>
      </c>
      <c r="K58" s="16">
        <f t="shared" si="21"/>
        <v>52</v>
      </c>
      <c r="L58" s="16">
        <f t="shared" si="21"/>
        <v>332</v>
      </c>
      <c r="M58" s="16">
        <f t="shared" si="21"/>
        <v>834</v>
      </c>
      <c r="N58" s="16">
        <f t="shared" si="21"/>
        <v>2</v>
      </c>
      <c r="O58" s="16">
        <f t="shared" si="21"/>
        <v>3581</v>
      </c>
      <c r="P58" s="16">
        <f t="shared" si="21"/>
        <v>4415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0.17757644394110986</v>
      </c>
      <c r="D59" s="43">
        <f t="shared" si="22"/>
        <v>8.6749716874292185E-2</v>
      </c>
      <c r="E59" s="43">
        <f t="shared" si="22"/>
        <v>3.2842582106455263E-2</v>
      </c>
      <c r="F59" s="43">
        <f t="shared" si="22"/>
        <v>0.34677236693091734</v>
      </c>
      <c r="G59" s="43">
        <f t="shared" si="22"/>
        <v>1.3137032842582106E-2</v>
      </c>
      <c r="H59" s="43">
        <f t="shared" si="22"/>
        <v>5.6625141562853904E-3</v>
      </c>
      <c r="I59" s="43">
        <f t="shared" si="22"/>
        <v>2.6274065685164213E-2</v>
      </c>
      <c r="J59" s="43">
        <f t="shared" si="22"/>
        <v>3.4654586636466589E-2</v>
      </c>
      <c r="K59" s="43">
        <f t="shared" si="22"/>
        <v>1.1778029445073612E-2</v>
      </c>
      <c r="L59" s="43">
        <f t="shared" si="22"/>
        <v>7.5198187995469984E-2</v>
      </c>
      <c r="M59" s="43">
        <f t="shared" si="22"/>
        <v>0.18890147225368065</v>
      </c>
      <c r="N59" s="43">
        <f t="shared" si="22"/>
        <v>4.5300113250283127E-4</v>
      </c>
      <c r="R59" s="8"/>
      <c r="T59"/>
    </row>
    <row r="60" spans="2:20" ht="23.1" customHeight="1" x14ac:dyDescent="0.25">
      <c r="B60" s="42" t="s">
        <v>94</v>
      </c>
      <c r="C60" s="44">
        <f>C58/$O$58</f>
        <v>0.21893325886623849</v>
      </c>
      <c r="D60" s="44">
        <f t="shared" ref="D60:N60" si="23">D58/$O$58</f>
        <v>0.10695336498184864</v>
      </c>
      <c r="E60" s="44">
        <f t="shared" si="23"/>
        <v>4.049148282602625E-2</v>
      </c>
      <c r="F60" s="44">
        <f t="shared" si="23"/>
        <v>0.42753420832169786</v>
      </c>
      <c r="G60" s="44">
        <f t="shared" si="23"/>
        <v>1.6196593130410501E-2</v>
      </c>
      <c r="H60" s="44">
        <f t="shared" si="23"/>
        <v>6.9812901424183187E-3</v>
      </c>
      <c r="I60" s="44">
        <f t="shared" si="23"/>
        <v>3.2393186260821001E-2</v>
      </c>
      <c r="J60" s="44">
        <f t="shared" si="23"/>
        <v>4.2725495671600111E-2</v>
      </c>
      <c r="K60" s="44">
        <f t="shared" si="23"/>
        <v>1.4521083496230103E-2</v>
      </c>
      <c r="L60" s="44">
        <f t="shared" si="23"/>
        <v>9.2711533091315274E-2</v>
      </c>
      <c r="M60" s="44"/>
      <c r="N60" s="44">
        <f t="shared" si="23"/>
        <v>5.5850321139346547E-4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B1:AF174"/>
  <sheetViews>
    <sheetView view="pageBreakPreview" topLeftCell="A37" zoomScale="60" workbookViewId="0">
      <selection activeCell="E99" sqref="E9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jinja-kampala'!C3:G3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3" t="str">
        <f>'19.10 Jinja-Kampala-24hr'!G5:H5</f>
        <v>Nakibbizi</v>
      </c>
      <c r="H5" s="64"/>
      <c r="I5" s="14"/>
      <c r="J5" s="2" t="s">
        <v>5</v>
      </c>
      <c r="K5" s="63" t="s">
        <v>168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165</v>
      </c>
      <c r="E6" s="64"/>
      <c r="F6" s="2" t="s">
        <v>2</v>
      </c>
      <c r="G6" s="63" t="s">
        <v>166</v>
      </c>
      <c r="H6" s="64"/>
      <c r="J6" s="2" t="s">
        <v>21</v>
      </c>
      <c r="K6" s="63" t="str">
        <f>'19.10 Jinja-Kampala-24hr'!K6:L6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14</v>
      </c>
      <c r="D10" s="50">
        <v>0</v>
      </c>
      <c r="E10" s="50">
        <v>2</v>
      </c>
      <c r="F10" s="50">
        <v>28</v>
      </c>
      <c r="G10" s="50">
        <v>0</v>
      </c>
      <c r="H10" s="50">
        <v>0</v>
      </c>
      <c r="I10" s="50">
        <v>2</v>
      </c>
      <c r="J10" s="50">
        <v>11</v>
      </c>
      <c r="K10" s="50">
        <v>0</v>
      </c>
      <c r="L10" s="50">
        <v>12</v>
      </c>
      <c r="M10" s="50">
        <v>18</v>
      </c>
      <c r="N10" s="50">
        <v>0</v>
      </c>
      <c r="O10" s="15">
        <f t="shared" ref="O10:O73" si="0">SUM(C10:L10,N10)</f>
        <v>69</v>
      </c>
      <c r="P10" s="15">
        <f t="shared" ref="P10:P73" si="1">SUM(C10:N10)</f>
        <v>87</v>
      </c>
      <c r="R10" s="1" t="s">
        <v>6</v>
      </c>
      <c r="S10" s="17">
        <f t="shared" ref="S10:AF10" si="2">SUM(C10:C13)</f>
        <v>34</v>
      </c>
      <c r="T10" s="17">
        <f t="shared" si="2"/>
        <v>7</v>
      </c>
      <c r="U10" s="17">
        <f t="shared" si="2"/>
        <v>5</v>
      </c>
      <c r="V10" s="17">
        <f t="shared" si="2"/>
        <v>126</v>
      </c>
      <c r="W10" s="17">
        <f t="shared" si="2"/>
        <v>6</v>
      </c>
      <c r="X10" s="17">
        <f t="shared" si="2"/>
        <v>4</v>
      </c>
      <c r="Y10" s="17">
        <f t="shared" si="2"/>
        <v>6</v>
      </c>
      <c r="Z10" s="17">
        <f t="shared" si="2"/>
        <v>14</v>
      </c>
      <c r="AA10" s="17">
        <f t="shared" si="2"/>
        <v>1</v>
      </c>
      <c r="AB10" s="17">
        <f t="shared" si="2"/>
        <v>44</v>
      </c>
      <c r="AC10" s="17">
        <f t="shared" si="2"/>
        <v>92</v>
      </c>
      <c r="AD10" s="17">
        <f t="shared" si="2"/>
        <v>0</v>
      </c>
      <c r="AE10" s="31">
        <f t="shared" si="2"/>
        <v>247</v>
      </c>
      <c r="AF10" s="31">
        <f t="shared" si="2"/>
        <v>339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0</v>
      </c>
      <c r="F11" s="50">
        <v>25</v>
      </c>
      <c r="G11" s="50">
        <v>2</v>
      </c>
      <c r="H11" s="50">
        <v>0</v>
      </c>
      <c r="I11" s="50">
        <v>0</v>
      </c>
      <c r="J11" s="50">
        <v>0</v>
      </c>
      <c r="K11" s="50">
        <v>1</v>
      </c>
      <c r="L11" s="50">
        <v>10</v>
      </c>
      <c r="M11" s="50">
        <v>27</v>
      </c>
      <c r="N11" s="50">
        <v>0</v>
      </c>
      <c r="O11" s="15">
        <f t="shared" si="0"/>
        <v>40</v>
      </c>
      <c r="P11" s="15">
        <f t="shared" si="1"/>
        <v>67</v>
      </c>
      <c r="R11" s="1" t="s">
        <v>7</v>
      </c>
      <c r="S11" s="17">
        <f t="shared" ref="S11:AF11" si="3">SUM(C14:C17)</f>
        <v>48</v>
      </c>
      <c r="T11" s="17">
        <f t="shared" si="3"/>
        <v>8</v>
      </c>
      <c r="U11" s="17">
        <f t="shared" si="3"/>
        <v>14</v>
      </c>
      <c r="V11" s="17">
        <f t="shared" si="3"/>
        <v>139</v>
      </c>
      <c r="W11" s="17">
        <f t="shared" si="3"/>
        <v>6</v>
      </c>
      <c r="X11" s="17">
        <f t="shared" si="3"/>
        <v>2</v>
      </c>
      <c r="Y11" s="17">
        <f t="shared" si="3"/>
        <v>8</v>
      </c>
      <c r="Z11" s="17">
        <f t="shared" si="3"/>
        <v>2</v>
      </c>
      <c r="AA11" s="17">
        <f t="shared" si="3"/>
        <v>2</v>
      </c>
      <c r="AB11" s="17">
        <f t="shared" si="3"/>
        <v>43</v>
      </c>
      <c r="AC11" s="17">
        <f t="shared" si="3"/>
        <v>64</v>
      </c>
      <c r="AD11" s="17">
        <f t="shared" si="3"/>
        <v>0</v>
      </c>
      <c r="AE11" s="31">
        <f t="shared" si="3"/>
        <v>272</v>
      </c>
      <c r="AF11" s="31">
        <f t="shared" si="3"/>
        <v>336</v>
      </c>
    </row>
    <row r="12" spans="2:32" ht="23.1" customHeight="1" x14ac:dyDescent="0.25">
      <c r="B12" s="45" t="s">
        <v>39</v>
      </c>
      <c r="C12" s="50">
        <v>9</v>
      </c>
      <c r="D12" s="50">
        <v>5</v>
      </c>
      <c r="E12" s="50">
        <v>2</v>
      </c>
      <c r="F12" s="50">
        <v>31</v>
      </c>
      <c r="G12" s="50">
        <v>1</v>
      </c>
      <c r="H12" s="50">
        <v>2</v>
      </c>
      <c r="I12" s="50">
        <v>1</v>
      </c>
      <c r="J12" s="50">
        <v>2</v>
      </c>
      <c r="K12" s="50">
        <v>0</v>
      </c>
      <c r="L12" s="50">
        <v>5</v>
      </c>
      <c r="M12" s="50">
        <v>24</v>
      </c>
      <c r="N12" s="50">
        <v>0</v>
      </c>
      <c r="O12" s="15">
        <f t="shared" si="0"/>
        <v>58</v>
      </c>
      <c r="P12" s="15">
        <f t="shared" si="1"/>
        <v>82</v>
      </c>
      <c r="R12" s="1" t="s">
        <v>8</v>
      </c>
      <c r="S12" s="17">
        <f t="shared" ref="S12:AF12" si="4">SUM(C18:C21)</f>
        <v>46</v>
      </c>
      <c r="T12" s="17">
        <f t="shared" si="4"/>
        <v>18</v>
      </c>
      <c r="U12" s="17">
        <f t="shared" si="4"/>
        <v>12</v>
      </c>
      <c r="V12" s="17">
        <f t="shared" si="4"/>
        <v>133</v>
      </c>
      <c r="W12" s="17">
        <f t="shared" si="4"/>
        <v>3</v>
      </c>
      <c r="X12" s="17">
        <f t="shared" si="4"/>
        <v>1</v>
      </c>
      <c r="Y12" s="17">
        <f t="shared" si="4"/>
        <v>5</v>
      </c>
      <c r="Z12" s="17">
        <f t="shared" si="4"/>
        <v>10</v>
      </c>
      <c r="AA12" s="17">
        <f t="shared" si="4"/>
        <v>1</v>
      </c>
      <c r="AB12" s="17">
        <f t="shared" si="4"/>
        <v>34</v>
      </c>
      <c r="AC12" s="17">
        <f t="shared" si="4"/>
        <v>61</v>
      </c>
      <c r="AD12" s="17">
        <f t="shared" si="4"/>
        <v>0</v>
      </c>
      <c r="AE12" s="31">
        <f t="shared" si="4"/>
        <v>263</v>
      </c>
      <c r="AF12" s="31">
        <f t="shared" si="4"/>
        <v>324</v>
      </c>
    </row>
    <row r="13" spans="2:32" ht="23.1" customHeight="1" x14ac:dyDescent="0.25">
      <c r="B13" s="45" t="s">
        <v>40</v>
      </c>
      <c r="C13" s="50">
        <v>9</v>
      </c>
      <c r="D13" s="50">
        <v>2</v>
      </c>
      <c r="E13" s="50">
        <v>1</v>
      </c>
      <c r="F13" s="50">
        <v>42</v>
      </c>
      <c r="G13" s="50">
        <v>3</v>
      </c>
      <c r="H13" s="50">
        <v>2</v>
      </c>
      <c r="I13" s="50">
        <v>3</v>
      </c>
      <c r="J13" s="50">
        <v>1</v>
      </c>
      <c r="K13" s="50">
        <v>0</v>
      </c>
      <c r="L13" s="50">
        <v>17</v>
      </c>
      <c r="M13" s="50">
        <v>23</v>
      </c>
      <c r="N13" s="50">
        <v>0</v>
      </c>
      <c r="O13" s="15">
        <f t="shared" si="0"/>
        <v>80</v>
      </c>
      <c r="P13" s="15">
        <f t="shared" si="1"/>
        <v>103</v>
      </c>
      <c r="R13" s="1" t="s">
        <v>9</v>
      </c>
      <c r="S13" s="17">
        <f t="shared" ref="S13:AF13" si="5">SUM(C22:C25)</f>
        <v>53</v>
      </c>
      <c r="T13" s="17">
        <f t="shared" si="5"/>
        <v>14</v>
      </c>
      <c r="U13" s="17">
        <f t="shared" si="5"/>
        <v>11</v>
      </c>
      <c r="V13" s="17">
        <f t="shared" si="5"/>
        <v>120</v>
      </c>
      <c r="W13" s="17">
        <f t="shared" si="5"/>
        <v>2</v>
      </c>
      <c r="X13" s="17">
        <f t="shared" si="5"/>
        <v>2</v>
      </c>
      <c r="Y13" s="17">
        <f t="shared" si="5"/>
        <v>6</v>
      </c>
      <c r="Z13" s="17">
        <f t="shared" si="5"/>
        <v>8</v>
      </c>
      <c r="AA13" s="17">
        <f t="shared" si="5"/>
        <v>3</v>
      </c>
      <c r="AB13" s="17">
        <f t="shared" si="5"/>
        <v>42</v>
      </c>
      <c r="AC13" s="17">
        <f t="shared" si="5"/>
        <v>90</v>
      </c>
      <c r="AD13" s="17">
        <f t="shared" si="5"/>
        <v>0</v>
      </c>
      <c r="AE13" s="31">
        <f t="shared" si="5"/>
        <v>261</v>
      </c>
      <c r="AF13" s="31">
        <f t="shared" si="5"/>
        <v>351</v>
      </c>
    </row>
    <row r="14" spans="2:32" ht="23.1" customHeight="1" x14ac:dyDescent="0.25">
      <c r="B14" s="45" t="s">
        <v>41</v>
      </c>
      <c r="C14" s="50">
        <v>11</v>
      </c>
      <c r="D14" s="50">
        <v>3</v>
      </c>
      <c r="E14" s="50">
        <v>4</v>
      </c>
      <c r="F14" s="50">
        <v>37</v>
      </c>
      <c r="G14" s="50">
        <v>4</v>
      </c>
      <c r="H14" s="50">
        <v>0</v>
      </c>
      <c r="I14" s="50">
        <v>1</v>
      </c>
      <c r="J14" s="50">
        <v>0</v>
      </c>
      <c r="K14" s="50">
        <v>0</v>
      </c>
      <c r="L14" s="50">
        <v>11</v>
      </c>
      <c r="M14" s="50">
        <v>20</v>
      </c>
      <c r="N14" s="50">
        <v>0</v>
      </c>
      <c r="O14" s="15">
        <f t="shared" si="0"/>
        <v>71</v>
      </c>
      <c r="P14" s="15">
        <f t="shared" si="1"/>
        <v>91</v>
      </c>
      <c r="R14" s="1" t="s">
        <v>10</v>
      </c>
      <c r="S14" s="17">
        <f t="shared" ref="S14:AF14" si="6">SUM(C26:C29)</f>
        <v>38</v>
      </c>
      <c r="T14" s="17">
        <f t="shared" si="6"/>
        <v>21</v>
      </c>
      <c r="U14" s="17">
        <f t="shared" si="6"/>
        <v>12</v>
      </c>
      <c r="V14" s="17">
        <f t="shared" si="6"/>
        <v>125</v>
      </c>
      <c r="W14" s="17">
        <f t="shared" si="6"/>
        <v>4</v>
      </c>
      <c r="X14" s="17">
        <f t="shared" si="6"/>
        <v>2</v>
      </c>
      <c r="Y14" s="17">
        <f t="shared" si="6"/>
        <v>14</v>
      </c>
      <c r="Z14" s="17">
        <f t="shared" si="6"/>
        <v>16</v>
      </c>
      <c r="AA14" s="17">
        <f t="shared" si="6"/>
        <v>2</v>
      </c>
      <c r="AB14" s="17">
        <f t="shared" si="6"/>
        <v>46</v>
      </c>
      <c r="AC14" s="17">
        <f t="shared" si="6"/>
        <v>88</v>
      </c>
      <c r="AD14" s="17">
        <f t="shared" si="6"/>
        <v>0</v>
      </c>
      <c r="AE14" s="31">
        <f t="shared" si="6"/>
        <v>280</v>
      </c>
      <c r="AF14" s="31">
        <f t="shared" si="6"/>
        <v>368</v>
      </c>
    </row>
    <row r="15" spans="2:32" ht="23.1" customHeight="1" x14ac:dyDescent="0.25">
      <c r="B15" s="45" t="s">
        <v>42</v>
      </c>
      <c r="C15" s="50">
        <v>11</v>
      </c>
      <c r="D15" s="50">
        <v>1</v>
      </c>
      <c r="E15" s="50">
        <v>4</v>
      </c>
      <c r="F15" s="50">
        <v>37</v>
      </c>
      <c r="G15" s="50">
        <v>0</v>
      </c>
      <c r="H15" s="50">
        <v>1</v>
      </c>
      <c r="I15" s="50">
        <v>2</v>
      </c>
      <c r="J15" s="50">
        <v>0</v>
      </c>
      <c r="K15" s="50">
        <v>0</v>
      </c>
      <c r="L15" s="50">
        <v>8</v>
      </c>
      <c r="M15" s="50">
        <v>16</v>
      </c>
      <c r="N15" s="50">
        <v>0</v>
      </c>
      <c r="O15" s="15">
        <f t="shared" si="0"/>
        <v>64</v>
      </c>
      <c r="P15" s="15">
        <f t="shared" si="1"/>
        <v>80</v>
      </c>
      <c r="R15" s="1" t="s">
        <v>11</v>
      </c>
      <c r="S15" s="17">
        <f t="shared" ref="S15:AF15" si="7">SUM(C30:C33)</f>
        <v>51</v>
      </c>
      <c r="T15" s="17">
        <f t="shared" si="7"/>
        <v>28</v>
      </c>
      <c r="U15" s="17">
        <f t="shared" si="7"/>
        <v>12</v>
      </c>
      <c r="V15" s="17">
        <f t="shared" si="7"/>
        <v>121</v>
      </c>
      <c r="W15" s="17">
        <f t="shared" si="7"/>
        <v>3</v>
      </c>
      <c r="X15" s="17">
        <f t="shared" si="7"/>
        <v>3</v>
      </c>
      <c r="Y15" s="17">
        <f t="shared" si="7"/>
        <v>14</v>
      </c>
      <c r="Z15" s="17">
        <f t="shared" si="7"/>
        <v>15</v>
      </c>
      <c r="AA15" s="17">
        <f t="shared" si="7"/>
        <v>4</v>
      </c>
      <c r="AB15" s="17">
        <f t="shared" si="7"/>
        <v>43</v>
      </c>
      <c r="AC15" s="17">
        <f t="shared" si="7"/>
        <v>82</v>
      </c>
      <c r="AD15" s="17">
        <f t="shared" si="7"/>
        <v>0</v>
      </c>
      <c r="AE15" s="31">
        <f t="shared" si="7"/>
        <v>294</v>
      </c>
      <c r="AF15" s="31">
        <f t="shared" si="7"/>
        <v>376</v>
      </c>
    </row>
    <row r="16" spans="2:32" ht="23.1" customHeight="1" x14ac:dyDescent="0.25">
      <c r="B16" s="45" t="s">
        <v>43</v>
      </c>
      <c r="C16" s="50">
        <v>10</v>
      </c>
      <c r="D16" s="50">
        <v>2</v>
      </c>
      <c r="E16" s="50">
        <v>3</v>
      </c>
      <c r="F16" s="50">
        <v>34</v>
      </c>
      <c r="G16" s="50">
        <v>1</v>
      </c>
      <c r="H16" s="50">
        <v>1</v>
      </c>
      <c r="I16" s="50">
        <v>3</v>
      </c>
      <c r="J16" s="50">
        <v>0</v>
      </c>
      <c r="K16" s="50">
        <v>1</v>
      </c>
      <c r="L16" s="50">
        <v>12</v>
      </c>
      <c r="M16" s="50">
        <v>25</v>
      </c>
      <c r="N16" s="50">
        <v>0</v>
      </c>
      <c r="O16" s="15">
        <f t="shared" si="0"/>
        <v>67</v>
      </c>
      <c r="P16" s="15">
        <f t="shared" si="1"/>
        <v>92</v>
      </c>
      <c r="R16" s="1" t="s">
        <v>12</v>
      </c>
      <c r="S16" s="17">
        <f t="shared" ref="S16:AF16" si="8">SUM(C34:C37)</f>
        <v>77</v>
      </c>
      <c r="T16" s="17">
        <f t="shared" si="8"/>
        <v>41</v>
      </c>
      <c r="U16" s="17">
        <f t="shared" si="8"/>
        <v>11</v>
      </c>
      <c r="V16" s="17">
        <f t="shared" si="8"/>
        <v>146</v>
      </c>
      <c r="W16" s="17">
        <f t="shared" si="8"/>
        <v>2</v>
      </c>
      <c r="X16" s="17">
        <f t="shared" si="8"/>
        <v>2</v>
      </c>
      <c r="Y16" s="17">
        <f t="shared" si="8"/>
        <v>15</v>
      </c>
      <c r="Z16" s="17">
        <f t="shared" si="8"/>
        <v>49</v>
      </c>
      <c r="AA16" s="17">
        <f t="shared" si="8"/>
        <v>11</v>
      </c>
      <c r="AB16" s="17">
        <f t="shared" si="8"/>
        <v>43</v>
      </c>
      <c r="AC16" s="17">
        <f t="shared" si="8"/>
        <v>84</v>
      </c>
      <c r="AD16" s="17">
        <f t="shared" si="8"/>
        <v>0</v>
      </c>
      <c r="AE16" s="31">
        <f t="shared" si="8"/>
        <v>397</v>
      </c>
      <c r="AF16" s="31">
        <f t="shared" si="8"/>
        <v>481</v>
      </c>
    </row>
    <row r="17" spans="2:32" ht="23.1" customHeight="1" x14ac:dyDescent="0.25">
      <c r="B17" s="45" t="s">
        <v>44</v>
      </c>
      <c r="C17" s="50">
        <v>16</v>
      </c>
      <c r="D17" s="50">
        <v>2</v>
      </c>
      <c r="E17" s="50">
        <v>3</v>
      </c>
      <c r="F17" s="50">
        <v>31</v>
      </c>
      <c r="G17" s="50">
        <v>1</v>
      </c>
      <c r="H17" s="50">
        <v>0</v>
      </c>
      <c r="I17" s="50">
        <v>2</v>
      </c>
      <c r="J17" s="50">
        <v>2</v>
      </c>
      <c r="K17" s="50">
        <v>1</v>
      </c>
      <c r="L17" s="50">
        <v>12</v>
      </c>
      <c r="M17" s="50">
        <v>3</v>
      </c>
      <c r="N17" s="50">
        <v>0</v>
      </c>
      <c r="O17" s="15">
        <f t="shared" si="0"/>
        <v>70</v>
      </c>
      <c r="P17" s="15">
        <f t="shared" si="1"/>
        <v>73</v>
      </c>
      <c r="R17" s="1" t="s">
        <v>13</v>
      </c>
      <c r="S17" s="17">
        <f t="shared" ref="S17:AF17" si="9">SUM(C38:C41)</f>
        <v>52</v>
      </c>
      <c r="T17" s="17">
        <f t="shared" si="9"/>
        <v>18</v>
      </c>
      <c r="U17" s="17">
        <f t="shared" si="9"/>
        <v>16</v>
      </c>
      <c r="V17" s="17">
        <f t="shared" si="9"/>
        <v>127</v>
      </c>
      <c r="W17" s="17">
        <f t="shared" si="9"/>
        <v>1</v>
      </c>
      <c r="X17" s="17">
        <f t="shared" si="9"/>
        <v>1</v>
      </c>
      <c r="Y17" s="17">
        <f t="shared" si="9"/>
        <v>18</v>
      </c>
      <c r="Z17" s="17">
        <f t="shared" si="9"/>
        <v>29</v>
      </c>
      <c r="AA17" s="17">
        <f t="shared" si="9"/>
        <v>5</v>
      </c>
      <c r="AB17" s="17">
        <f t="shared" si="9"/>
        <v>24</v>
      </c>
      <c r="AC17" s="17">
        <f t="shared" si="9"/>
        <v>93</v>
      </c>
      <c r="AD17" s="17">
        <f t="shared" si="9"/>
        <v>0</v>
      </c>
      <c r="AE17" s="31">
        <f t="shared" si="9"/>
        <v>291</v>
      </c>
      <c r="AF17" s="31">
        <f t="shared" si="9"/>
        <v>384</v>
      </c>
    </row>
    <row r="18" spans="2:32" ht="23.1" customHeight="1" x14ac:dyDescent="0.25">
      <c r="B18" s="45" t="s">
        <v>45</v>
      </c>
      <c r="C18" s="50">
        <v>13</v>
      </c>
      <c r="D18" s="50">
        <v>6</v>
      </c>
      <c r="E18" s="50">
        <v>7</v>
      </c>
      <c r="F18" s="50">
        <v>36</v>
      </c>
      <c r="G18" s="50">
        <v>2</v>
      </c>
      <c r="H18" s="50">
        <v>0</v>
      </c>
      <c r="I18" s="50">
        <v>3</v>
      </c>
      <c r="J18" s="50">
        <v>1</v>
      </c>
      <c r="K18" s="50">
        <v>1</v>
      </c>
      <c r="L18" s="50">
        <v>8</v>
      </c>
      <c r="M18" s="50">
        <v>5</v>
      </c>
      <c r="N18" s="50">
        <v>0</v>
      </c>
      <c r="O18" s="15">
        <f t="shared" si="0"/>
        <v>77</v>
      </c>
      <c r="P18" s="15">
        <f t="shared" si="1"/>
        <v>82</v>
      </c>
      <c r="R18" s="1" t="s">
        <v>14</v>
      </c>
      <c r="S18" s="17">
        <f t="shared" ref="S18:AF18" si="10">SUM(C42:C45)</f>
        <v>52</v>
      </c>
      <c r="T18" s="17">
        <f t="shared" si="10"/>
        <v>23</v>
      </c>
      <c r="U18" s="17">
        <f t="shared" si="10"/>
        <v>24</v>
      </c>
      <c r="V18" s="17">
        <f t="shared" si="10"/>
        <v>120</v>
      </c>
      <c r="W18" s="17">
        <f t="shared" si="10"/>
        <v>2</v>
      </c>
      <c r="X18" s="17">
        <f t="shared" si="10"/>
        <v>4</v>
      </c>
      <c r="Y18" s="17">
        <f t="shared" si="10"/>
        <v>22</v>
      </c>
      <c r="Z18" s="17">
        <f t="shared" si="10"/>
        <v>24</v>
      </c>
      <c r="AA18" s="17">
        <f t="shared" si="10"/>
        <v>6</v>
      </c>
      <c r="AB18" s="17">
        <f t="shared" si="10"/>
        <v>41</v>
      </c>
      <c r="AC18" s="17">
        <f t="shared" si="10"/>
        <v>85</v>
      </c>
      <c r="AD18" s="17">
        <f t="shared" si="10"/>
        <v>0</v>
      </c>
      <c r="AE18" s="31">
        <f t="shared" si="10"/>
        <v>318</v>
      </c>
      <c r="AF18" s="31">
        <f t="shared" si="10"/>
        <v>403</v>
      </c>
    </row>
    <row r="19" spans="2:32" ht="23.1" customHeight="1" x14ac:dyDescent="0.25">
      <c r="B19" s="45" t="s">
        <v>46</v>
      </c>
      <c r="C19" s="50">
        <v>8</v>
      </c>
      <c r="D19" s="50">
        <v>4</v>
      </c>
      <c r="E19" s="50">
        <v>4</v>
      </c>
      <c r="F19" s="50">
        <v>31</v>
      </c>
      <c r="G19" s="50">
        <v>0</v>
      </c>
      <c r="H19" s="50">
        <v>0</v>
      </c>
      <c r="I19" s="50">
        <v>1</v>
      </c>
      <c r="J19" s="50">
        <v>5</v>
      </c>
      <c r="K19" s="50">
        <v>0</v>
      </c>
      <c r="L19" s="50">
        <v>7</v>
      </c>
      <c r="M19" s="50">
        <v>16</v>
      </c>
      <c r="N19" s="50">
        <v>0</v>
      </c>
      <c r="O19" s="15">
        <f t="shared" si="0"/>
        <v>60</v>
      </c>
      <c r="P19" s="15">
        <f t="shared" si="1"/>
        <v>76</v>
      </c>
      <c r="R19" s="1" t="s">
        <v>15</v>
      </c>
      <c r="S19" s="17">
        <f t="shared" ref="S19:AF19" si="11">SUM(C46:C49)</f>
        <v>46</v>
      </c>
      <c r="T19" s="17">
        <f t="shared" si="11"/>
        <v>33</v>
      </c>
      <c r="U19" s="17">
        <f t="shared" si="11"/>
        <v>13</v>
      </c>
      <c r="V19" s="17">
        <f t="shared" si="11"/>
        <v>132</v>
      </c>
      <c r="W19" s="17">
        <f t="shared" si="11"/>
        <v>4</v>
      </c>
      <c r="X19" s="17">
        <f t="shared" si="11"/>
        <v>0</v>
      </c>
      <c r="Y19" s="17">
        <f t="shared" si="11"/>
        <v>20</v>
      </c>
      <c r="Z19" s="17">
        <f t="shared" si="11"/>
        <v>28</v>
      </c>
      <c r="AA19" s="17">
        <f t="shared" si="11"/>
        <v>4</v>
      </c>
      <c r="AB19" s="17">
        <f t="shared" si="11"/>
        <v>58</v>
      </c>
      <c r="AC19" s="17">
        <f t="shared" si="11"/>
        <v>105</v>
      </c>
      <c r="AD19" s="17">
        <f t="shared" si="11"/>
        <v>0</v>
      </c>
      <c r="AE19" s="31">
        <f t="shared" si="11"/>
        <v>338</v>
      </c>
      <c r="AF19" s="31">
        <f t="shared" si="11"/>
        <v>443</v>
      </c>
    </row>
    <row r="20" spans="2:32" ht="23.1" customHeight="1" x14ac:dyDescent="0.25">
      <c r="B20" s="45" t="s">
        <v>47</v>
      </c>
      <c r="C20" s="50">
        <v>13</v>
      </c>
      <c r="D20" s="50">
        <v>4</v>
      </c>
      <c r="E20" s="50">
        <v>1</v>
      </c>
      <c r="F20" s="50">
        <v>41</v>
      </c>
      <c r="G20" s="50">
        <v>1</v>
      </c>
      <c r="H20" s="50">
        <v>1</v>
      </c>
      <c r="I20" s="50">
        <v>0</v>
      </c>
      <c r="J20" s="50">
        <v>3</v>
      </c>
      <c r="K20" s="50">
        <v>0</v>
      </c>
      <c r="L20" s="50">
        <v>15</v>
      </c>
      <c r="M20" s="50">
        <v>21</v>
      </c>
      <c r="N20" s="50">
        <v>0</v>
      </c>
      <c r="O20" s="15">
        <f t="shared" si="0"/>
        <v>79</v>
      </c>
      <c r="P20" s="15">
        <f t="shared" si="1"/>
        <v>100</v>
      </c>
      <c r="R20" s="1" t="s">
        <v>16</v>
      </c>
      <c r="S20" s="17">
        <f t="shared" ref="S20:AF20" si="12">SUM(C50:C53)</f>
        <v>54</v>
      </c>
      <c r="T20" s="17">
        <f t="shared" si="12"/>
        <v>32</v>
      </c>
      <c r="U20" s="17">
        <f t="shared" si="12"/>
        <v>12</v>
      </c>
      <c r="V20" s="17">
        <f t="shared" si="12"/>
        <v>123</v>
      </c>
      <c r="W20" s="17">
        <f t="shared" si="12"/>
        <v>6</v>
      </c>
      <c r="X20" s="17">
        <f t="shared" si="12"/>
        <v>5</v>
      </c>
      <c r="Y20" s="17">
        <f t="shared" si="12"/>
        <v>16</v>
      </c>
      <c r="Z20" s="17">
        <f t="shared" si="12"/>
        <v>29</v>
      </c>
      <c r="AA20" s="17">
        <f t="shared" si="12"/>
        <v>7</v>
      </c>
      <c r="AB20" s="17">
        <f t="shared" si="12"/>
        <v>31</v>
      </c>
      <c r="AC20" s="17">
        <f t="shared" si="12"/>
        <v>115</v>
      </c>
      <c r="AD20" s="17">
        <f t="shared" si="12"/>
        <v>0</v>
      </c>
      <c r="AE20" s="31">
        <f t="shared" si="12"/>
        <v>315</v>
      </c>
      <c r="AF20" s="31">
        <f t="shared" si="12"/>
        <v>430</v>
      </c>
    </row>
    <row r="21" spans="2:32" ht="23.1" customHeight="1" x14ac:dyDescent="0.25">
      <c r="B21" s="45" t="s">
        <v>48</v>
      </c>
      <c r="C21" s="50">
        <v>12</v>
      </c>
      <c r="D21" s="50">
        <v>4</v>
      </c>
      <c r="E21" s="50">
        <v>0</v>
      </c>
      <c r="F21" s="50">
        <v>25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4</v>
      </c>
      <c r="M21" s="50">
        <v>19</v>
      </c>
      <c r="N21" s="50">
        <v>0</v>
      </c>
      <c r="O21" s="15">
        <f t="shared" si="0"/>
        <v>47</v>
      </c>
      <c r="P21" s="15">
        <f t="shared" si="1"/>
        <v>66</v>
      </c>
      <c r="R21" s="36" t="s">
        <v>20</v>
      </c>
      <c r="S21" s="34">
        <f t="shared" ref="S21:AF21" si="13">SUM(C54:C57)</f>
        <v>50</v>
      </c>
      <c r="T21" s="17">
        <f t="shared" si="13"/>
        <v>24</v>
      </c>
      <c r="U21" s="17">
        <f t="shared" si="13"/>
        <v>11</v>
      </c>
      <c r="V21" s="17">
        <f t="shared" si="13"/>
        <v>127</v>
      </c>
      <c r="W21" s="17">
        <f t="shared" si="13"/>
        <v>7</v>
      </c>
      <c r="X21" s="17">
        <f t="shared" si="13"/>
        <v>1</v>
      </c>
      <c r="Y21" s="17">
        <f t="shared" si="13"/>
        <v>12</v>
      </c>
      <c r="Z21" s="17">
        <f t="shared" si="13"/>
        <v>27</v>
      </c>
      <c r="AA21" s="17">
        <f t="shared" si="13"/>
        <v>4</v>
      </c>
      <c r="AB21" s="17">
        <f t="shared" si="13"/>
        <v>24</v>
      </c>
      <c r="AC21" s="17">
        <f t="shared" si="13"/>
        <v>88</v>
      </c>
      <c r="AD21" s="17">
        <f t="shared" si="13"/>
        <v>0</v>
      </c>
      <c r="AE21" s="31">
        <f t="shared" si="13"/>
        <v>287</v>
      </c>
      <c r="AF21" s="31">
        <f t="shared" si="13"/>
        <v>375</v>
      </c>
    </row>
    <row r="22" spans="2:32" ht="23.1" customHeight="1" x14ac:dyDescent="0.25">
      <c r="B22" s="45" t="s">
        <v>49</v>
      </c>
      <c r="C22" s="50">
        <v>24</v>
      </c>
      <c r="D22" s="50">
        <v>5</v>
      </c>
      <c r="E22" s="50">
        <v>3</v>
      </c>
      <c r="F22" s="50">
        <v>44</v>
      </c>
      <c r="G22" s="50">
        <v>2</v>
      </c>
      <c r="H22" s="50">
        <v>0</v>
      </c>
      <c r="I22" s="50">
        <v>0</v>
      </c>
      <c r="J22" s="50">
        <v>2</v>
      </c>
      <c r="K22" s="50">
        <v>0</v>
      </c>
      <c r="L22" s="50">
        <v>15</v>
      </c>
      <c r="M22" s="50">
        <v>25</v>
      </c>
      <c r="N22" s="50">
        <v>0</v>
      </c>
      <c r="O22" s="15">
        <f t="shared" si="0"/>
        <v>95</v>
      </c>
      <c r="P22" s="15">
        <f t="shared" si="1"/>
        <v>120</v>
      </c>
      <c r="R22" s="36" t="s">
        <v>146</v>
      </c>
      <c r="S22" s="34">
        <f>SUM(C58:C61)</f>
        <v>39</v>
      </c>
      <c r="T22" s="34">
        <f t="shared" ref="T22:AF22" si="14">SUM(D58:D61)</f>
        <v>25</v>
      </c>
      <c r="U22" s="34">
        <f t="shared" si="14"/>
        <v>17</v>
      </c>
      <c r="V22" s="34">
        <f t="shared" si="14"/>
        <v>104</v>
      </c>
      <c r="W22" s="34">
        <f t="shared" si="14"/>
        <v>9</v>
      </c>
      <c r="X22" s="34">
        <f t="shared" si="14"/>
        <v>3</v>
      </c>
      <c r="Y22" s="34">
        <f t="shared" si="14"/>
        <v>11</v>
      </c>
      <c r="Z22" s="34">
        <f t="shared" si="14"/>
        <v>15</v>
      </c>
      <c r="AA22" s="34">
        <f t="shared" si="14"/>
        <v>28</v>
      </c>
      <c r="AB22" s="34">
        <f t="shared" si="14"/>
        <v>32</v>
      </c>
      <c r="AC22" s="34">
        <f t="shared" si="14"/>
        <v>58</v>
      </c>
      <c r="AD22" s="34">
        <f t="shared" si="14"/>
        <v>0</v>
      </c>
      <c r="AE22" s="31">
        <f t="shared" si="14"/>
        <v>283</v>
      </c>
      <c r="AF22" s="31">
        <f t="shared" si="14"/>
        <v>341</v>
      </c>
    </row>
    <row r="23" spans="2:32" ht="23.1" customHeight="1" x14ac:dyDescent="0.25">
      <c r="B23" s="45" t="s">
        <v>50</v>
      </c>
      <c r="C23" s="50">
        <v>8</v>
      </c>
      <c r="D23" s="50">
        <v>3</v>
      </c>
      <c r="E23" s="50">
        <v>3</v>
      </c>
      <c r="F23" s="50">
        <v>24</v>
      </c>
      <c r="G23" s="50">
        <v>0</v>
      </c>
      <c r="H23" s="50">
        <v>0</v>
      </c>
      <c r="I23" s="50">
        <v>4</v>
      </c>
      <c r="J23" s="50">
        <v>2</v>
      </c>
      <c r="K23" s="50">
        <v>0</v>
      </c>
      <c r="L23" s="50">
        <v>10</v>
      </c>
      <c r="M23" s="50">
        <v>15</v>
      </c>
      <c r="N23" s="50">
        <v>0</v>
      </c>
      <c r="O23" s="15">
        <f t="shared" si="0"/>
        <v>54</v>
      </c>
      <c r="P23" s="15">
        <f t="shared" si="1"/>
        <v>69</v>
      </c>
      <c r="R23" s="36" t="s">
        <v>147</v>
      </c>
      <c r="S23" s="34">
        <f>SUM(C62:C65)</f>
        <v>59</v>
      </c>
      <c r="T23" s="34">
        <f t="shared" ref="T23:AF23" si="15">SUM(D62:D65)</f>
        <v>33</v>
      </c>
      <c r="U23" s="34">
        <f t="shared" si="15"/>
        <v>11</v>
      </c>
      <c r="V23" s="34">
        <f t="shared" si="15"/>
        <v>85</v>
      </c>
      <c r="W23" s="34">
        <f t="shared" si="15"/>
        <v>7</v>
      </c>
      <c r="X23" s="34">
        <f t="shared" si="15"/>
        <v>6</v>
      </c>
      <c r="Y23" s="34">
        <f t="shared" si="15"/>
        <v>14</v>
      </c>
      <c r="Z23" s="34">
        <f t="shared" si="15"/>
        <v>13</v>
      </c>
      <c r="AA23" s="34">
        <f t="shared" si="15"/>
        <v>33</v>
      </c>
      <c r="AB23" s="34">
        <f t="shared" si="15"/>
        <v>39</v>
      </c>
      <c r="AC23" s="34">
        <f t="shared" si="15"/>
        <v>93</v>
      </c>
      <c r="AD23" s="34">
        <f t="shared" si="15"/>
        <v>0</v>
      </c>
      <c r="AE23" s="31">
        <f t="shared" si="15"/>
        <v>300</v>
      </c>
      <c r="AF23" s="31">
        <f t="shared" si="15"/>
        <v>393</v>
      </c>
    </row>
    <row r="24" spans="2:32" ht="23.1" customHeight="1" x14ac:dyDescent="0.25">
      <c r="B24" s="45" t="s">
        <v>51</v>
      </c>
      <c r="C24" s="50">
        <v>14</v>
      </c>
      <c r="D24" s="50">
        <v>4</v>
      </c>
      <c r="E24" s="50">
        <v>2</v>
      </c>
      <c r="F24" s="50">
        <v>27</v>
      </c>
      <c r="G24" s="50">
        <v>0</v>
      </c>
      <c r="H24" s="50">
        <v>1</v>
      </c>
      <c r="I24" s="50">
        <v>1</v>
      </c>
      <c r="J24" s="50">
        <v>2</v>
      </c>
      <c r="K24" s="50">
        <v>2</v>
      </c>
      <c r="L24" s="50">
        <v>10</v>
      </c>
      <c r="M24" s="50">
        <v>22</v>
      </c>
      <c r="N24" s="50">
        <v>0</v>
      </c>
      <c r="O24" s="15">
        <f t="shared" si="0"/>
        <v>63</v>
      </c>
      <c r="P24" s="15">
        <f t="shared" si="1"/>
        <v>85</v>
      </c>
      <c r="R24" s="36" t="s">
        <v>148</v>
      </c>
      <c r="S24" s="34">
        <f>SUM(C66:C69)</f>
        <v>46</v>
      </c>
      <c r="T24" s="34">
        <f t="shared" ref="T24:AF24" si="16">SUM(D66:D69)</f>
        <v>14</v>
      </c>
      <c r="U24" s="34">
        <f t="shared" si="16"/>
        <v>17</v>
      </c>
      <c r="V24" s="34">
        <f t="shared" si="16"/>
        <v>59</v>
      </c>
      <c r="W24" s="34">
        <f t="shared" si="16"/>
        <v>4</v>
      </c>
      <c r="X24" s="34">
        <f t="shared" si="16"/>
        <v>3</v>
      </c>
      <c r="Y24" s="34">
        <f t="shared" si="16"/>
        <v>10</v>
      </c>
      <c r="Z24" s="34">
        <f t="shared" si="16"/>
        <v>17</v>
      </c>
      <c r="AA24" s="34">
        <f t="shared" si="16"/>
        <v>18</v>
      </c>
      <c r="AB24" s="34">
        <f t="shared" si="16"/>
        <v>21</v>
      </c>
      <c r="AC24" s="34">
        <f t="shared" si="16"/>
        <v>74</v>
      </c>
      <c r="AD24" s="34">
        <f t="shared" si="16"/>
        <v>0</v>
      </c>
      <c r="AE24" s="31">
        <f t="shared" si="16"/>
        <v>209</v>
      </c>
      <c r="AF24" s="31">
        <f t="shared" si="16"/>
        <v>283</v>
      </c>
    </row>
    <row r="25" spans="2:32" ht="23.1" customHeight="1" x14ac:dyDescent="0.25">
      <c r="B25" s="45" t="s">
        <v>52</v>
      </c>
      <c r="C25" s="50">
        <v>7</v>
      </c>
      <c r="D25" s="50">
        <v>2</v>
      </c>
      <c r="E25" s="50">
        <v>3</v>
      </c>
      <c r="F25" s="50">
        <v>25</v>
      </c>
      <c r="G25" s="50">
        <v>0</v>
      </c>
      <c r="H25" s="50">
        <v>1</v>
      </c>
      <c r="I25" s="50">
        <v>1</v>
      </c>
      <c r="J25" s="50">
        <v>2</v>
      </c>
      <c r="K25" s="50">
        <v>1</v>
      </c>
      <c r="L25" s="50">
        <v>7</v>
      </c>
      <c r="M25" s="50">
        <v>28</v>
      </c>
      <c r="N25" s="50">
        <v>0</v>
      </c>
      <c r="O25" s="15">
        <f t="shared" si="0"/>
        <v>49</v>
      </c>
      <c r="P25" s="15">
        <f t="shared" si="1"/>
        <v>77</v>
      </c>
      <c r="R25" s="36" t="s">
        <v>149</v>
      </c>
      <c r="S25" s="34">
        <f>SUM(C70:C73)</f>
        <v>23</v>
      </c>
      <c r="T25" s="34">
        <f t="shared" ref="T25:AF25" si="17">SUM(D70:D73)</f>
        <v>7</v>
      </c>
      <c r="U25" s="34">
        <f t="shared" si="17"/>
        <v>6</v>
      </c>
      <c r="V25" s="34">
        <f t="shared" si="17"/>
        <v>36</v>
      </c>
      <c r="W25" s="34">
        <f t="shared" si="17"/>
        <v>0</v>
      </c>
      <c r="X25" s="34">
        <f t="shared" si="17"/>
        <v>0</v>
      </c>
      <c r="Y25" s="34">
        <f t="shared" si="17"/>
        <v>8</v>
      </c>
      <c r="Z25" s="34">
        <f t="shared" si="17"/>
        <v>15</v>
      </c>
      <c r="AA25" s="34">
        <f t="shared" si="17"/>
        <v>10</v>
      </c>
      <c r="AB25" s="34">
        <f t="shared" si="17"/>
        <v>14</v>
      </c>
      <c r="AC25" s="34">
        <f t="shared" si="17"/>
        <v>52</v>
      </c>
      <c r="AD25" s="34">
        <f t="shared" si="17"/>
        <v>0</v>
      </c>
      <c r="AE25" s="31">
        <f t="shared" si="17"/>
        <v>119</v>
      </c>
      <c r="AF25" s="31">
        <f t="shared" si="17"/>
        <v>171</v>
      </c>
    </row>
    <row r="26" spans="2:32" ht="23.1" customHeight="1" x14ac:dyDescent="0.25">
      <c r="B26" s="45" t="s">
        <v>53</v>
      </c>
      <c r="C26" s="50">
        <v>8</v>
      </c>
      <c r="D26" s="50">
        <v>1</v>
      </c>
      <c r="E26" s="50">
        <v>3</v>
      </c>
      <c r="F26" s="50">
        <v>34</v>
      </c>
      <c r="G26" s="50">
        <v>0</v>
      </c>
      <c r="H26" s="50">
        <v>1</v>
      </c>
      <c r="I26" s="50">
        <v>3</v>
      </c>
      <c r="J26" s="50">
        <v>2</v>
      </c>
      <c r="K26" s="50">
        <v>0</v>
      </c>
      <c r="L26" s="50">
        <v>10</v>
      </c>
      <c r="M26" s="50">
        <v>15</v>
      </c>
      <c r="N26" s="50">
        <v>0</v>
      </c>
      <c r="O26" s="15">
        <f t="shared" si="0"/>
        <v>62</v>
      </c>
      <c r="P26" s="15">
        <f t="shared" si="1"/>
        <v>77</v>
      </c>
      <c r="R26" s="36" t="s">
        <v>150</v>
      </c>
      <c r="S26" s="34">
        <f>SUM(C74:C77)</f>
        <v>24</v>
      </c>
      <c r="T26" s="34">
        <f t="shared" ref="T26:AF26" si="18">SUM(D74:D77)</f>
        <v>9</v>
      </c>
      <c r="U26" s="34">
        <f t="shared" si="18"/>
        <v>3</v>
      </c>
      <c r="V26" s="34">
        <f t="shared" si="18"/>
        <v>21</v>
      </c>
      <c r="W26" s="34">
        <f t="shared" si="18"/>
        <v>3</v>
      </c>
      <c r="X26" s="34">
        <f t="shared" si="18"/>
        <v>0</v>
      </c>
      <c r="Y26" s="34">
        <f t="shared" si="18"/>
        <v>10</v>
      </c>
      <c r="Z26" s="34">
        <f t="shared" si="18"/>
        <v>11</v>
      </c>
      <c r="AA26" s="34">
        <f t="shared" si="18"/>
        <v>11</v>
      </c>
      <c r="AB26" s="34">
        <f t="shared" si="18"/>
        <v>35</v>
      </c>
      <c r="AC26" s="34">
        <f t="shared" si="18"/>
        <v>49</v>
      </c>
      <c r="AD26" s="34">
        <f t="shared" si="18"/>
        <v>0</v>
      </c>
      <c r="AE26" s="31">
        <f t="shared" si="18"/>
        <v>127</v>
      </c>
      <c r="AF26" s="31">
        <f t="shared" si="18"/>
        <v>176</v>
      </c>
    </row>
    <row r="27" spans="2:32" ht="23.1" customHeight="1" x14ac:dyDescent="0.25">
      <c r="B27" s="45" t="s">
        <v>54</v>
      </c>
      <c r="C27" s="50">
        <v>11</v>
      </c>
      <c r="D27" s="50">
        <v>3</v>
      </c>
      <c r="E27" s="50">
        <v>6</v>
      </c>
      <c r="F27" s="50">
        <v>31</v>
      </c>
      <c r="G27" s="50">
        <v>1</v>
      </c>
      <c r="H27" s="50">
        <v>1</v>
      </c>
      <c r="I27" s="50">
        <v>5</v>
      </c>
      <c r="J27" s="50">
        <v>4</v>
      </c>
      <c r="K27" s="50">
        <v>0</v>
      </c>
      <c r="L27" s="50">
        <v>9</v>
      </c>
      <c r="M27" s="50">
        <v>18</v>
      </c>
      <c r="N27" s="50">
        <v>0</v>
      </c>
      <c r="O27" s="15">
        <f t="shared" si="0"/>
        <v>71</v>
      </c>
      <c r="P27" s="15">
        <f t="shared" si="1"/>
        <v>89</v>
      </c>
      <c r="R27" s="36" t="s">
        <v>151</v>
      </c>
      <c r="S27" s="34">
        <f>SUM(C78:C81)</f>
        <v>7</v>
      </c>
      <c r="T27" s="34">
        <f t="shared" ref="T27:AF27" si="19">SUM(D78:D81)</f>
        <v>6</v>
      </c>
      <c r="U27" s="34">
        <f t="shared" si="19"/>
        <v>4</v>
      </c>
      <c r="V27" s="34">
        <f t="shared" si="19"/>
        <v>8</v>
      </c>
      <c r="W27" s="34">
        <f t="shared" si="19"/>
        <v>0</v>
      </c>
      <c r="X27" s="34">
        <f t="shared" si="19"/>
        <v>2</v>
      </c>
      <c r="Y27" s="34">
        <f t="shared" si="19"/>
        <v>5</v>
      </c>
      <c r="Z27" s="34">
        <f t="shared" si="19"/>
        <v>18</v>
      </c>
      <c r="AA27" s="34">
        <f t="shared" si="19"/>
        <v>11</v>
      </c>
      <c r="AB27" s="34">
        <f t="shared" si="19"/>
        <v>31</v>
      </c>
      <c r="AC27" s="34">
        <f t="shared" si="19"/>
        <v>41</v>
      </c>
      <c r="AD27" s="34">
        <f t="shared" si="19"/>
        <v>0</v>
      </c>
      <c r="AE27" s="31">
        <f t="shared" si="19"/>
        <v>92</v>
      </c>
      <c r="AF27" s="31">
        <f t="shared" si="19"/>
        <v>133</v>
      </c>
    </row>
    <row r="28" spans="2:32" ht="23.1" customHeight="1" x14ac:dyDescent="0.25">
      <c r="B28" s="45" t="s">
        <v>55</v>
      </c>
      <c r="C28" s="50">
        <v>14</v>
      </c>
      <c r="D28" s="50">
        <v>10</v>
      </c>
      <c r="E28" s="50">
        <v>2</v>
      </c>
      <c r="F28" s="50">
        <v>35</v>
      </c>
      <c r="G28" s="50">
        <v>1</v>
      </c>
      <c r="H28" s="50">
        <v>0</v>
      </c>
      <c r="I28" s="50">
        <v>4</v>
      </c>
      <c r="J28" s="50">
        <v>4</v>
      </c>
      <c r="K28" s="50">
        <v>2</v>
      </c>
      <c r="L28" s="50">
        <v>20</v>
      </c>
      <c r="M28" s="50">
        <v>30</v>
      </c>
      <c r="N28" s="50">
        <v>0</v>
      </c>
      <c r="O28" s="15">
        <f t="shared" si="0"/>
        <v>92</v>
      </c>
      <c r="P28" s="15">
        <f t="shared" si="1"/>
        <v>122</v>
      </c>
      <c r="R28" s="36" t="s">
        <v>152</v>
      </c>
      <c r="S28" s="34">
        <f>SUM(C82:C85)</f>
        <v>1</v>
      </c>
      <c r="T28" s="34">
        <f t="shared" ref="T28:AF28" si="20">SUM(D82:D85)</f>
        <v>1</v>
      </c>
      <c r="U28" s="34">
        <f t="shared" si="20"/>
        <v>0</v>
      </c>
      <c r="V28" s="34">
        <f t="shared" si="20"/>
        <v>1</v>
      </c>
      <c r="W28" s="34">
        <f t="shared" si="20"/>
        <v>0</v>
      </c>
      <c r="X28" s="34">
        <f t="shared" si="20"/>
        <v>2</v>
      </c>
      <c r="Y28" s="34">
        <f t="shared" si="20"/>
        <v>4</v>
      </c>
      <c r="Z28" s="34">
        <f t="shared" si="20"/>
        <v>17</v>
      </c>
      <c r="AA28" s="34">
        <f t="shared" si="20"/>
        <v>9</v>
      </c>
      <c r="AB28" s="34">
        <f t="shared" si="20"/>
        <v>19</v>
      </c>
      <c r="AC28" s="34">
        <f t="shared" si="20"/>
        <v>4</v>
      </c>
      <c r="AD28" s="34">
        <f t="shared" si="20"/>
        <v>3</v>
      </c>
      <c r="AE28" s="31">
        <f t="shared" si="20"/>
        <v>57</v>
      </c>
      <c r="AF28" s="31">
        <f t="shared" si="20"/>
        <v>61</v>
      </c>
    </row>
    <row r="29" spans="2:32" ht="23.1" customHeight="1" x14ac:dyDescent="0.25">
      <c r="B29" s="45" t="s">
        <v>56</v>
      </c>
      <c r="C29" s="50">
        <v>5</v>
      </c>
      <c r="D29" s="50">
        <v>7</v>
      </c>
      <c r="E29" s="50">
        <v>1</v>
      </c>
      <c r="F29" s="50">
        <v>25</v>
      </c>
      <c r="G29" s="50">
        <v>2</v>
      </c>
      <c r="H29" s="50">
        <v>0</v>
      </c>
      <c r="I29" s="50">
        <v>2</v>
      </c>
      <c r="J29" s="50">
        <v>6</v>
      </c>
      <c r="K29" s="50">
        <v>0</v>
      </c>
      <c r="L29" s="50">
        <v>7</v>
      </c>
      <c r="M29" s="50">
        <v>25</v>
      </c>
      <c r="N29" s="50">
        <v>0</v>
      </c>
      <c r="O29" s="15">
        <f t="shared" si="0"/>
        <v>55</v>
      </c>
      <c r="P29" s="15">
        <f t="shared" si="1"/>
        <v>80</v>
      </c>
      <c r="R29" s="36" t="s">
        <v>153</v>
      </c>
      <c r="S29" s="34">
        <f>SUM(C86:C89)</f>
        <v>4</v>
      </c>
      <c r="T29" s="34">
        <f t="shared" ref="T29:AF29" si="21">SUM(D86:D89)</f>
        <v>1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2</v>
      </c>
      <c r="Y29" s="34">
        <f t="shared" si="21"/>
        <v>4</v>
      </c>
      <c r="Z29" s="34">
        <f t="shared" si="21"/>
        <v>20</v>
      </c>
      <c r="AA29" s="34">
        <f t="shared" si="21"/>
        <v>13</v>
      </c>
      <c r="AB29" s="34">
        <f t="shared" si="21"/>
        <v>27</v>
      </c>
      <c r="AC29" s="34">
        <f t="shared" si="21"/>
        <v>6</v>
      </c>
      <c r="AD29" s="34">
        <f t="shared" si="21"/>
        <v>0</v>
      </c>
      <c r="AE29" s="31">
        <f t="shared" si="21"/>
        <v>72</v>
      </c>
      <c r="AF29" s="31">
        <f t="shared" si="21"/>
        <v>78</v>
      </c>
    </row>
    <row r="30" spans="2:32" ht="23.1" customHeight="1" x14ac:dyDescent="0.25">
      <c r="B30" s="45" t="s">
        <v>57</v>
      </c>
      <c r="C30" s="50">
        <v>8</v>
      </c>
      <c r="D30" s="50">
        <v>10</v>
      </c>
      <c r="E30" s="50">
        <v>3</v>
      </c>
      <c r="F30" s="50">
        <v>31</v>
      </c>
      <c r="G30" s="50">
        <v>0</v>
      </c>
      <c r="H30" s="50">
        <v>0</v>
      </c>
      <c r="I30" s="50">
        <v>6</v>
      </c>
      <c r="J30" s="50">
        <v>3</v>
      </c>
      <c r="K30" s="50">
        <v>0</v>
      </c>
      <c r="L30" s="50">
        <v>16</v>
      </c>
      <c r="M30" s="50">
        <v>27</v>
      </c>
      <c r="N30" s="50">
        <v>0</v>
      </c>
      <c r="O30" s="15">
        <f t="shared" si="0"/>
        <v>77</v>
      </c>
      <c r="P30" s="15">
        <f t="shared" si="1"/>
        <v>104</v>
      </c>
      <c r="R30" s="36" t="s">
        <v>154</v>
      </c>
      <c r="S30" s="34">
        <f>SUM(C90:C93)</f>
        <v>4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8</v>
      </c>
      <c r="W30" s="34">
        <f t="shared" si="22"/>
        <v>1</v>
      </c>
      <c r="X30" s="34">
        <f t="shared" si="22"/>
        <v>5</v>
      </c>
      <c r="Y30" s="34">
        <f t="shared" si="22"/>
        <v>4</v>
      </c>
      <c r="Z30" s="34">
        <f t="shared" si="22"/>
        <v>23</v>
      </c>
      <c r="AA30" s="34">
        <f t="shared" si="22"/>
        <v>22</v>
      </c>
      <c r="AB30" s="34">
        <f t="shared" si="22"/>
        <v>33</v>
      </c>
      <c r="AC30" s="34">
        <f t="shared" si="22"/>
        <v>0</v>
      </c>
      <c r="AD30" s="34">
        <f t="shared" si="22"/>
        <v>0</v>
      </c>
      <c r="AE30" s="31">
        <f t="shared" si="22"/>
        <v>101</v>
      </c>
      <c r="AF30" s="31">
        <f t="shared" si="22"/>
        <v>101</v>
      </c>
    </row>
    <row r="31" spans="2:32" ht="23.1" customHeight="1" x14ac:dyDescent="0.25">
      <c r="B31" s="46" t="s">
        <v>58</v>
      </c>
      <c r="C31" s="50">
        <v>14</v>
      </c>
      <c r="D31" s="50">
        <v>7</v>
      </c>
      <c r="E31" s="50">
        <v>2</v>
      </c>
      <c r="F31" s="50">
        <v>37</v>
      </c>
      <c r="G31" s="50">
        <v>1</v>
      </c>
      <c r="H31" s="50">
        <v>2</v>
      </c>
      <c r="I31" s="50">
        <v>3</v>
      </c>
      <c r="J31" s="50">
        <v>4</v>
      </c>
      <c r="K31" s="50">
        <v>1</v>
      </c>
      <c r="L31" s="50">
        <v>11</v>
      </c>
      <c r="M31" s="50">
        <v>6</v>
      </c>
      <c r="N31" s="50">
        <v>0</v>
      </c>
      <c r="O31" s="15">
        <f t="shared" si="0"/>
        <v>82</v>
      </c>
      <c r="P31" s="15">
        <f t="shared" si="1"/>
        <v>88</v>
      </c>
      <c r="R31" s="36" t="s">
        <v>155</v>
      </c>
      <c r="S31" s="34">
        <f>SUM(C94:C97)</f>
        <v>8</v>
      </c>
      <c r="T31" s="34">
        <f t="shared" ref="T31:AF31" si="23">SUM(D94:D97)</f>
        <v>1</v>
      </c>
      <c r="U31" s="34">
        <f t="shared" si="23"/>
        <v>0</v>
      </c>
      <c r="V31" s="34">
        <f t="shared" si="23"/>
        <v>22</v>
      </c>
      <c r="W31" s="34">
        <f t="shared" si="23"/>
        <v>0</v>
      </c>
      <c r="X31" s="34">
        <f t="shared" si="23"/>
        <v>5</v>
      </c>
      <c r="Y31" s="34">
        <f t="shared" si="23"/>
        <v>5</v>
      </c>
      <c r="Z31" s="34">
        <f t="shared" si="23"/>
        <v>18</v>
      </c>
      <c r="AA31" s="34">
        <f t="shared" si="23"/>
        <v>19</v>
      </c>
      <c r="AB31" s="34">
        <f t="shared" si="23"/>
        <v>56</v>
      </c>
      <c r="AC31" s="34">
        <f t="shared" si="23"/>
        <v>69</v>
      </c>
      <c r="AD31" s="34">
        <f t="shared" si="23"/>
        <v>0</v>
      </c>
      <c r="AE31" s="31">
        <f t="shared" si="23"/>
        <v>134</v>
      </c>
      <c r="AF31" s="31">
        <f t="shared" si="23"/>
        <v>203</v>
      </c>
    </row>
    <row r="32" spans="2:32" ht="23.1" customHeight="1" x14ac:dyDescent="0.25">
      <c r="B32" s="46" t="s">
        <v>59</v>
      </c>
      <c r="C32" s="50">
        <v>18</v>
      </c>
      <c r="D32" s="50">
        <v>8</v>
      </c>
      <c r="E32" s="50">
        <v>4</v>
      </c>
      <c r="F32" s="50">
        <v>32</v>
      </c>
      <c r="G32" s="50">
        <v>1</v>
      </c>
      <c r="H32" s="50">
        <v>0</v>
      </c>
      <c r="I32" s="50">
        <v>4</v>
      </c>
      <c r="J32" s="50">
        <v>3</v>
      </c>
      <c r="K32" s="50">
        <v>2</v>
      </c>
      <c r="L32" s="50">
        <v>7</v>
      </c>
      <c r="M32" s="50">
        <v>25</v>
      </c>
      <c r="N32" s="50">
        <v>0</v>
      </c>
      <c r="O32" s="15">
        <f t="shared" si="0"/>
        <v>79</v>
      </c>
      <c r="P32" s="15">
        <f t="shared" si="1"/>
        <v>104</v>
      </c>
      <c r="R32" s="33" t="s">
        <v>156</v>
      </c>
      <c r="S32" s="34">
        <f>SUM(C98:C101)</f>
        <v>19</v>
      </c>
      <c r="T32" s="34">
        <f t="shared" ref="T32:AF32" si="24">SUM(D98:D101)</f>
        <v>17</v>
      </c>
      <c r="U32" s="34">
        <f t="shared" si="24"/>
        <v>5</v>
      </c>
      <c r="V32" s="34">
        <f t="shared" si="24"/>
        <v>55</v>
      </c>
      <c r="W32" s="34">
        <f t="shared" si="24"/>
        <v>1</v>
      </c>
      <c r="X32" s="34">
        <f t="shared" si="24"/>
        <v>12</v>
      </c>
      <c r="Y32" s="34">
        <f t="shared" si="24"/>
        <v>7</v>
      </c>
      <c r="Z32" s="34">
        <f t="shared" si="24"/>
        <v>16</v>
      </c>
      <c r="AA32" s="34">
        <f t="shared" si="24"/>
        <v>38</v>
      </c>
      <c r="AB32" s="34">
        <f t="shared" si="24"/>
        <v>58</v>
      </c>
      <c r="AC32" s="34">
        <f t="shared" si="24"/>
        <v>24</v>
      </c>
      <c r="AD32" s="34">
        <f t="shared" si="24"/>
        <v>0</v>
      </c>
      <c r="AE32" s="31">
        <f t="shared" si="24"/>
        <v>228</v>
      </c>
      <c r="AF32" s="31">
        <f t="shared" si="24"/>
        <v>252</v>
      </c>
    </row>
    <row r="33" spans="2:32" ht="23.1" customHeight="1" x14ac:dyDescent="0.25">
      <c r="B33" s="45" t="s">
        <v>60</v>
      </c>
      <c r="C33" s="50">
        <v>11</v>
      </c>
      <c r="D33" s="50">
        <v>3</v>
      </c>
      <c r="E33" s="50">
        <v>3</v>
      </c>
      <c r="F33" s="50">
        <v>21</v>
      </c>
      <c r="G33" s="50">
        <v>1</v>
      </c>
      <c r="H33" s="50">
        <v>1</v>
      </c>
      <c r="I33" s="50">
        <v>1</v>
      </c>
      <c r="J33" s="50">
        <v>5</v>
      </c>
      <c r="K33" s="50">
        <v>1</v>
      </c>
      <c r="L33" s="50">
        <v>9</v>
      </c>
      <c r="M33" s="50">
        <v>24</v>
      </c>
      <c r="N33" s="50">
        <v>0</v>
      </c>
      <c r="O33" s="15">
        <f t="shared" si="0"/>
        <v>56</v>
      </c>
      <c r="P33" s="15">
        <f t="shared" si="1"/>
        <v>80</v>
      </c>
      <c r="R33" s="33" t="s">
        <v>157</v>
      </c>
      <c r="S33" s="34">
        <f>SUM(C102:C105)</f>
        <v>29</v>
      </c>
      <c r="T33" s="34">
        <f t="shared" ref="T33:AF33" si="25">SUM(D102:D105)</f>
        <v>7</v>
      </c>
      <c r="U33" s="34">
        <f t="shared" si="25"/>
        <v>5</v>
      </c>
      <c r="V33" s="34">
        <f t="shared" si="25"/>
        <v>79</v>
      </c>
      <c r="W33" s="34">
        <f t="shared" si="25"/>
        <v>3</v>
      </c>
      <c r="X33" s="34">
        <f t="shared" si="25"/>
        <v>6</v>
      </c>
      <c r="Y33" s="34">
        <f t="shared" si="25"/>
        <v>11</v>
      </c>
      <c r="Z33" s="34">
        <f t="shared" si="25"/>
        <v>18</v>
      </c>
      <c r="AA33" s="34">
        <f t="shared" si="25"/>
        <v>18</v>
      </c>
      <c r="AB33" s="34">
        <f t="shared" si="25"/>
        <v>39</v>
      </c>
      <c r="AC33" s="34">
        <f t="shared" si="25"/>
        <v>28</v>
      </c>
      <c r="AD33" s="34">
        <f t="shared" si="25"/>
        <v>0</v>
      </c>
      <c r="AE33" s="31">
        <f t="shared" si="25"/>
        <v>215</v>
      </c>
      <c r="AF33" s="31">
        <f t="shared" si="25"/>
        <v>243</v>
      </c>
    </row>
    <row r="34" spans="2:32" ht="23.1" customHeight="1" x14ac:dyDescent="0.25">
      <c r="B34" s="46" t="s">
        <v>61</v>
      </c>
      <c r="C34" s="50">
        <v>22</v>
      </c>
      <c r="D34" s="50">
        <v>16</v>
      </c>
      <c r="E34" s="50">
        <v>1</v>
      </c>
      <c r="F34" s="50">
        <v>53</v>
      </c>
      <c r="G34" s="50">
        <v>1</v>
      </c>
      <c r="H34" s="50">
        <v>2</v>
      </c>
      <c r="I34" s="50">
        <v>5</v>
      </c>
      <c r="J34" s="50">
        <v>18</v>
      </c>
      <c r="K34" s="50">
        <v>5</v>
      </c>
      <c r="L34" s="50">
        <v>18</v>
      </c>
      <c r="M34" s="50">
        <v>29</v>
      </c>
      <c r="N34" s="50">
        <v>0</v>
      </c>
      <c r="O34" s="15">
        <f t="shared" si="0"/>
        <v>141</v>
      </c>
      <c r="P34" s="15">
        <f t="shared" si="1"/>
        <v>170</v>
      </c>
      <c r="R34" s="38" t="s">
        <v>90</v>
      </c>
      <c r="S34" s="39">
        <f t="shared" ref="S34:AF34" si="26">MAX(S10:S12)</f>
        <v>48</v>
      </c>
      <c r="T34" s="39">
        <f t="shared" si="26"/>
        <v>18</v>
      </c>
      <c r="U34" s="39">
        <f t="shared" si="26"/>
        <v>14</v>
      </c>
      <c r="V34" s="39">
        <f t="shared" si="26"/>
        <v>139</v>
      </c>
      <c r="W34" s="39">
        <f t="shared" si="26"/>
        <v>6</v>
      </c>
      <c r="X34" s="39">
        <f t="shared" si="26"/>
        <v>4</v>
      </c>
      <c r="Y34" s="39">
        <f t="shared" si="26"/>
        <v>8</v>
      </c>
      <c r="Z34" s="39">
        <f t="shared" si="26"/>
        <v>14</v>
      </c>
      <c r="AA34" s="39">
        <f t="shared" si="26"/>
        <v>2</v>
      </c>
      <c r="AB34" s="39">
        <f t="shared" si="26"/>
        <v>44</v>
      </c>
      <c r="AC34" s="39">
        <f t="shared" si="26"/>
        <v>92</v>
      </c>
      <c r="AD34" s="39">
        <f t="shared" si="26"/>
        <v>0</v>
      </c>
      <c r="AE34" s="40">
        <f t="shared" si="26"/>
        <v>272</v>
      </c>
      <c r="AF34" s="40">
        <f t="shared" si="26"/>
        <v>339</v>
      </c>
    </row>
    <row r="35" spans="2:32" ht="23.1" customHeight="1" x14ac:dyDescent="0.25">
      <c r="B35" s="46" t="s">
        <v>62</v>
      </c>
      <c r="C35" s="50">
        <v>36</v>
      </c>
      <c r="D35" s="50">
        <v>14</v>
      </c>
      <c r="E35" s="50">
        <v>4</v>
      </c>
      <c r="F35" s="50">
        <v>37</v>
      </c>
      <c r="G35" s="50">
        <v>0</v>
      </c>
      <c r="H35" s="50">
        <v>0</v>
      </c>
      <c r="I35" s="50">
        <v>2</v>
      </c>
      <c r="J35" s="50">
        <v>22</v>
      </c>
      <c r="K35" s="50">
        <v>3</v>
      </c>
      <c r="L35" s="50">
        <v>11</v>
      </c>
      <c r="M35" s="50">
        <v>21</v>
      </c>
      <c r="N35" s="50">
        <v>0</v>
      </c>
      <c r="O35" s="15">
        <f t="shared" si="0"/>
        <v>129</v>
      </c>
      <c r="P35" s="15">
        <f t="shared" si="1"/>
        <v>150</v>
      </c>
      <c r="R35" s="38" t="s">
        <v>91</v>
      </c>
      <c r="S35" s="39">
        <f t="shared" ref="S35:AF35" si="27">MAX(S13:S18)</f>
        <v>77</v>
      </c>
      <c r="T35" s="39">
        <f t="shared" si="27"/>
        <v>41</v>
      </c>
      <c r="U35" s="39">
        <f t="shared" si="27"/>
        <v>24</v>
      </c>
      <c r="V35" s="39">
        <f t="shared" si="27"/>
        <v>146</v>
      </c>
      <c r="W35" s="39">
        <f t="shared" si="27"/>
        <v>4</v>
      </c>
      <c r="X35" s="39">
        <f t="shared" si="27"/>
        <v>4</v>
      </c>
      <c r="Y35" s="39">
        <f t="shared" si="27"/>
        <v>22</v>
      </c>
      <c r="Z35" s="39">
        <f t="shared" si="27"/>
        <v>49</v>
      </c>
      <c r="AA35" s="39">
        <f t="shared" si="27"/>
        <v>11</v>
      </c>
      <c r="AB35" s="39">
        <f t="shared" si="27"/>
        <v>46</v>
      </c>
      <c r="AC35" s="39">
        <f t="shared" si="27"/>
        <v>93</v>
      </c>
      <c r="AD35" s="39">
        <f t="shared" si="27"/>
        <v>0</v>
      </c>
      <c r="AE35" s="40">
        <f t="shared" si="27"/>
        <v>397</v>
      </c>
      <c r="AF35" s="40">
        <f t="shared" si="27"/>
        <v>481</v>
      </c>
    </row>
    <row r="36" spans="2:32" ht="23.1" customHeight="1" x14ac:dyDescent="0.25">
      <c r="B36" s="46" t="s">
        <v>63</v>
      </c>
      <c r="C36" s="50">
        <v>12</v>
      </c>
      <c r="D36" s="50">
        <v>9</v>
      </c>
      <c r="E36" s="50">
        <v>6</v>
      </c>
      <c r="F36" s="50">
        <v>25</v>
      </c>
      <c r="G36" s="50">
        <v>1</v>
      </c>
      <c r="H36" s="50">
        <v>0</v>
      </c>
      <c r="I36" s="50">
        <v>3</v>
      </c>
      <c r="J36" s="50">
        <v>3</v>
      </c>
      <c r="K36" s="50">
        <v>2</v>
      </c>
      <c r="L36" s="50">
        <v>7</v>
      </c>
      <c r="M36" s="50">
        <v>17</v>
      </c>
      <c r="N36" s="50">
        <v>0</v>
      </c>
      <c r="O36" s="15">
        <f t="shared" si="0"/>
        <v>68</v>
      </c>
      <c r="P36" s="15">
        <f t="shared" si="1"/>
        <v>85</v>
      </c>
      <c r="R36" s="38" t="s">
        <v>92</v>
      </c>
      <c r="S36" s="39">
        <f t="shared" ref="S36:AF36" si="28">MAX(S19:S21)</f>
        <v>54</v>
      </c>
      <c r="T36" s="39">
        <f t="shared" si="28"/>
        <v>33</v>
      </c>
      <c r="U36" s="39">
        <f t="shared" si="28"/>
        <v>13</v>
      </c>
      <c r="V36" s="39">
        <f t="shared" si="28"/>
        <v>132</v>
      </c>
      <c r="W36" s="39">
        <f t="shared" si="28"/>
        <v>7</v>
      </c>
      <c r="X36" s="39">
        <f t="shared" si="28"/>
        <v>5</v>
      </c>
      <c r="Y36" s="39">
        <f t="shared" si="28"/>
        <v>20</v>
      </c>
      <c r="Z36" s="39">
        <f t="shared" si="28"/>
        <v>29</v>
      </c>
      <c r="AA36" s="39">
        <f t="shared" si="28"/>
        <v>7</v>
      </c>
      <c r="AB36" s="39">
        <f t="shared" si="28"/>
        <v>58</v>
      </c>
      <c r="AC36" s="39">
        <f t="shared" si="28"/>
        <v>115</v>
      </c>
      <c r="AD36" s="39">
        <f t="shared" si="28"/>
        <v>0</v>
      </c>
      <c r="AE36" s="40">
        <f t="shared" si="28"/>
        <v>338</v>
      </c>
      <c r="AF36" s="40">
        <f t="shared" si="28"/>
        <v>443</v>
      </c>
    </row>
    <row r="37" spans="2:32" ht="23.1" customHeight="1" x14ac:dyDescent="0.25">
      <c r="B37" s="45" t="s">
        <v>64</v>
      </c>
      <c r="C37" s="50">
        <v>7</v>
      </c>
      <c r="D37" s="50">
        <v>2</v>
      </c>
      <c r="E37" s="50">
        <v>0</v>
      </c>
      <c r="F37" s="50">
        <v>31</v>
      </c>
      <c r="G37" s="50">
        <v>0</v>
      </c>
      <c r="H37" s="50">
        <v>0</v>
      </c>
      <c r="I37" s="50">
        <v>5</v>
      </c>
      <c r="J37" s="50">
        <v>6</v>
      </c>
      <c r="K37" s="50">
        <v>1</v>
      </c>
      <c r="L37" s="50">
        <v>7</v>
      </c>
      <c r="M37" s="50">
        <v>17</v>
      </c>
      <c r="N37" s="50">
        <v>0</v>
      </c>
      <c r="O37" s="15">
        <f t="shared" si="0"/>
        <v>59</v>
      </c>
      <c r="P37" s="15">
        <f t="shared" si="1"/>
        <v>76</v>
      </c>
      <c r="R37" s="37" t="s">
        <v>85</v>
      </c>
      <c r="S37" s="35">
        <f t="shared" ref="S37:AF37" si="29">SUM(S10:S12)</f>
        <v>128</v>
      </c>
      <c r="T37" s="16">
        <f t="shared" si="29"/>
        <v>33</v>
      </c>
      <c r="U37" s="16">
        <f t="shared" si="29"/>
        <v>31</v>
      </c>
      <c r="V37" s="16">
        <f t="shared" si="29"/>
        <v>398</v>
      </c>
      <c r="W37" s="16">
        <f t="shared" si="29"/>
        <v>15</v>
      </c>
      <c r="X37" s="16">
        <f t="shared" si="29"/>
        <v>7</v>
      </c>
      <c r="Y37" s="16">
        <f t="shared" si="29"/>
        <v>19</v>
      </c>
      <c r="Z37" s="16">
        <f t="shared" si="29"/>
        <v>26</v>
      </c>
      <c r="AA37" s="16">
        <f t="shared" si="29"/>
        <v>4</v>
      </c>
      <c r="AB37" s="16">
        <f t="shared" si="29"/>
        <v>121</v>
      </c>
      <c r="AC37" s="16">
        <f t="shared" si="29"/>
        <v>217</v>
      </c>
      <c r="AD37" s="16">
        <f t="shared" si="29"/>
        <v>0</v>
      </c>
      <c r="AE37" s="32">
        <f t="shared" si="29"/>
        <v>782</v>
      </c>
      <c r="AF37" s="32">
        <f t="shared" si="29"/>
        <v>999</v>
      </c>
    </row>
    <row r="38" spans="2:32" ht="23.1" customHeight="1" x14ac:dyDescent="0.25">
      <c r="B38" s="46" t="s">
        <v>65</v>
      </c>
      <c r="C38" s="50">
        <v>16</v>
      </c>
      <c r="D38" s="50">
        <v>9</v>
      </c>
      <c r="E38" s="50">
        <v>8</v>
      </c>
      <c r="F38" s="50">
        <v>32</v>
      </c>
      <c r="G38" s="50">
        <v>0</v>
      </c>
      <c r="H38" s="50">
        <v>0</v>
      </c>
      <c r="I38" s="50">
        <v>3</v>
      </c>
      <c r="J38" s="50">
        <v>5</v>
      </c>
      <c r="K38" s="50">
        <v>1</v>
      </c>
      <c r="L38" s="50">
        <v>12</v>
      </c>
      <c r="M38" s="50">
        <v>27</v>
      </c>
      <c r="N38" s="50">
        <v>0</v>
      </c>
      <c r="O38" s="15">
        <f t="shared" si="0"/>
        <v>86</v>
      </c>
      <c r="P38" s="15">
        <f t="shared" si="1"/>
        <v>113</v>
      </c>
      <c r="R38" s="28" t="s">
        <v>86</v>
      </c>
      <c r="S38" s="16">
        <f t="shared" ref="S38:AF38" si="30">SUM(S13:S18)</f>
        <v>323</v>
      </c>
      <c r="T38" s="16">
        <f t="shared" si="30"/>
        <v>145</v>
      </c>
      <c r="U38" s="16">
        <f t="shared" si="30"/>
        <v>86</v>
      </c>
      <c r="V38" s="16">
        <f t="shared" si="30"/>
        <v>759</v>
      </c>
      <c r="W38" s="16">
        <f t="shared" si="30"/>
        <v>14</v>
      </c>
      <c r="X38" s="16">
        <f t="shared" si="30"/>
        <v>14</v>
      </c>
      <c r="Y38" s="16">
        <f t="shared" si="30"/>
        <v>89</v>
      </c>
      <c r="Z38" s="16">
        <f t="shared" si="30"/>
        <v>141</v>
      </c>
      <c r="AA38" s="16">
        <f t="shared" si="30"/>
        <v>31</v>
      </c>
      <c r="AB38" s="16">
        <f t="shared" si="30"/>
        <v>239</v>
      </c>
      <c r="AC38" s="16">
        <f t="shared" si="30"/>
        <v>522</v>
      </c>
      <c r="AD38" s="16">
        <f t="shared" si="30"/>
        <v>0</v>
      </c>
      <c r="AE38" s="32">
        <f t="shared" si="30"/>
        <v>1841</v>
      </c>
      <c r="AF38" s="32">
        <f t="shared" si="30"/>
        <v>2363</v>
      </c>
    </row>
    <row r="39" spans="2:32" ht="23.1" customHeight="1" x14ac:dyDescent="0.25">
      <c r="B39" s="46" t="s">
        <v>66</v>
      </c>
      <c r="C39" s="50">
        <v>15</v>
      </c>
      <c r="D39" s="50">
        <v>5</v>
      </c>
      <c r="E39" s="50">
        <v>3</v>
      </c>
      <c r="F39" s="50">
        <v>28</v>
      </c>
      <c r="G39" s="50">
        <v>0</v>
      </c>
      <c r="H39" s="50">
        <v>0</v>
      </c>
      <c r="I39" s="50">
        <v>4</v>
      </c>
      <c r="J39" s="50">
        <v>8</v>
      </c>
      <c r="K39" s="50">
        <v>1</v>
      </c>
      <c r="L39" s="50">
        <v>2</v>
      </c>
      <c r="M39" s="50">
        <v>21</v>
      </c>
      <c r="N39" s="50">
        <v>0</v>
      </c>
      <c r="O39" s="15">
        <f t="shared" si="0"/>
        <v>66</v>
      </c>
      <c r="P39" s="15">
        <f t="shared" si="1"/>
        <v>87</v>
      </c>
      <c r="R39" s="29" t="s">
        <v>87</v>
      </c>
      <c r="S39" s="16">
        <f t="shared" ref="S39:AF39" si="31">SUM(S19:S21)</f>
        <v>150</v>
      </c>
      <c r="T39" s="16">
        <f t="shared" si="31"/>
        <v>89</v>
      </c>
      <c r="U39" s="16">
        <f t="shared" si="31"/>
        <v>36</v>
      </c>
      <c r="V39" s="16">
        <f t="shared" si="31"/>
        <v>382</v>
      </c>
      <c r="W39" s="16">
        <f t="shared" si="31"/>
        <v>17</v>
      </c>
      <c r="X39" s="16">
        <f t="shared" si="31"/>
        <v>6</v>
      </c>
      <c r="Y39" s="16">
        <f t="shared" si="31"/>
        <v>48</v>
      </c>
      <c r="Z39" s="16">
        <f t="shared" si="31"/>
        <v>84</v>
      </c>
      <c r="AA39" s="16">
        <f t="shared" si="31"/>
        <v>15</v>
      </c>
      <c r="AB39" s="16">
        <f t="shared" si="31"/>
        <v>113</v>
      </c>
      <c r="AC39" s="16">
        <f t="shared" si="31"/>
        <v>308</v>
      </c>
      <c r="AD39" s="16">
        <f t="shared" si="31"/>
        <v>0</v>
      </c>
      <c r="AE39" s="32">
        <f t="shared" si="31"/>
        <v>940</v>
      </c>
      <c r="AF39" s="32">
        <f t="shared" si="31"/>
        <v>1248</v>
      </c>
    </row>
    <row r="40" spans="2:32" ht="23.1" customHeight="1" x14ac:dyDescent="0.25">
      <c r="B40" s="46" t="s">
        <v>67</v>
      </c>
      <c r="C40" s="50">
        <v>10</v>
      </c>
      <c r="D40" s="50">
        <v>2</v>
      </c>
      <c r="E40" s="50">
        <v>4</v>
      </c>
      <c r="F40" s="50">
        <v>34</v>
      </c>
      <c r="G40" s="50">
        <v>0</v>
      </c>
      <c r="H40" s="50">
        <v>0</v>
      </c>
      <c r="I40" s="50">
        <v>3</v>
      </c>
      <c r="J40" s="50">
        <v>7</v>
      </c>
      <c r="K40" s="50">
        <v>2</v>
      </c>
      <c r="L40" s="50">
        <v>6</v>
      </c>
      <c r="M40" s="50">
        <v>25</v>
      </c>
      <c r="N40" s="50">
        <v>0</v>
      </c>
      <c r="O40" s="15">
        <f t="shared" si="0"/>
        <v>68</v>
      </c>
      <c r="P40" s="15">
        <f t="shared" si="1"/>
        <v>93</v>
      </c>
      <c r="R40" s="5" t="s">
        <v>17</v>
      </c>
      <c r="S40" s="16">
        <f t="shared" ref="S40:AF40" si="32">SUM(S10:S21)</f>
        <v>601</v>
      </c>
      <c r="T40" s="16">
        <f t="shared" si="32"/>
        <v>267</v>
      </c>
      <c r="U40" s="16">
        <f t="shared" si="32"/>
        <v>153</v>
      </c>
      <c r="V40" s="16">
        <f t="shared" si="32"/>
        <v>1539</v>
      </c>
      <c r="W40" s="16">
        <f t="shared" si="32"/>
        <v>46</v>
      </c>
      <c r="X40" s="16">
        <f t="shared" si="32"/>
        <v>27</v>
      </c>
      <c r="Y40" s="16">
        <f t="shared" si="32"/>
        <v>156</v>
      </c>
      <c r="Z40" s="16">
        <f t="shared" si="32"/>
        <v>251</v>
      </c>
      <c r="AA40" s="16">
        <f t="shared" si="32"/>
        <v>50</v>
      </c>
      <c r="AB40" s="16">
        <f t="shared" si="32"/>
        <v>473</v>
      </c>
      <c r="AC40" s="16">
        <f t="shared" si="32"/>
        <v>1047</v>
      </c>
      <c r="AD40" s="16">
        <f t="shared" si="32"/>
        <v>0</v>
      </c>
      <c r="AE40" s="32">
        <f t="shared" si="32"/>
        <v>3563</v>
      </c>
      <c r="AF40" s="32">
        <f t="shared" si="32"/>
        <v>4610</v>
      </c>
    </row>
    <row r="41" spans="2:32" ht="23.1" customHeight="1" x14ac:dyDescent="0.25">
      <c r="B41" s="45" t="s">
        <v>68</v>
      </c>
      <c r="C41" s="50">
        <v>11</v>
      </c>
      <c r="D41" s="50">
        <v>2</v>
      </c>
      <c r="E41" s="50">
        <v>1</v>
      </c>
      <c r="F41" s="50">
        <v>33</v>
      </c>
      <c r="G41" s="50">
        <v>1</v>
      </c>
      <c r="H41" s="50">
        <v>1</v>
      </c>
      <c r="I41" s="50">
        <v>8</v>
      </c>
      <c r="J41" s="50">
        <v>9</v>
      </c>
      <c r="K41" s="50">
        <v>1</v>
      </c>
      <c r="L41" s="50">
        <v>4</v>
      </c>
      <c r="M41" s="50">
        <v>20</v>
      </c>
      <c r="N41" s="50">
        <v>0</v>
      </c>
      <c r="O41" s="15">
        <f t="shared" si="0"/>
        <v>71</v>
      </c>
      <c r="P41" s="15">
        <f t="shared" si="1"/>
        <v>91</v>
      </c>
      <c r="R41" s="5" t="s">
        <v>159</v>
      </c>
      <c r="S41" s="16">
        <f>SUM(S10:S33)</f>
        <v>864</v>
      </c>
      <c r="T41" s="16">
        <f t="shared" ref="T41:AF41" si="33">SUM(T10:T33)</f>
        <v>389</v>
      </c>
      <c r="U41" s="16">
        <f t="shared" si="33"/>
        <v>222</v>
      </c>
      <c r="V41" s="16">
        <f t="shared" si="33"/>
        <v>2017</v>
      </c>
      <c r="W41" s="16">
        <f t="shared" si="33"/>
        <v>74</v>
      </c>
      <c r="X41" s="16">
        <f t="shared" si="33"/>
        <v>73</v>
      </c>
      <c r="Y41" s="16">
        <f t="shared" si="33"/>
        <v>249</v>
      </c>
      <c r="Z41" s="16">
        <f t="shared" si="33"/>
        <v>452</v>
      </c>
      <c r="AA41" s="16">
        <f t="shared" si="33"/>
        <v>280</v>
      </c>
      <c r="AB41" s="16">
        <f t="shared" si="33"/>
        <v>877</v>
      </c>
      <c r="AC41" s="16">
        <f t="shared" si="33"/>
        <v>1545</v>
      </c>
      <c r="AD41" s="16">
        <f t="shared" si="33"/>
        <v>3</v>
      </c>
      <c r="AE41" s="32">
        <f t="shared" si="33"/>
        <v>5500</v>
      </c>
      <c r="AF41" s="32">
        <f t="shared" si="33"/>
        <v>7045</v>
      </c>
    </row>
    <row r="42" spans="2:32" ht="23.1" customHeight="1" x14ac:dyDescent="0.25">
      <c r="B42" s="46" t="s">
        <v>69</v>
      </c>
      <c r="C42" s="50">
        <v>15</v>
      </c>
      <c r="D42" s="50">
        <v>5</v>
      </c>
      <c r="E42" s="50">
        <v>3</v>
      </c>
      <c r="F42" s="50">
        <v>34</v>
      </c>
      <c r="G42" s="50">
        <v>1</v>
      </c>
      <c r="H42" s="50">
        <v>1</v>
      </c>
      <c r="I42" s="50">
        <v>7</v>
      </c>
      <c r="J42" s="50">
        <v>4</v>
      </c>
      <c r="K42" s="50">
        <v>2</v>
      </c>
      <c r="L42" s="50">
        <v>10</v>
      </c>
      <c r="M42" s="50">
        <v>20</v>
      </c>
      <c r="N42" s="50">
        <v>0</v>
      </c>
      <c r="O42" s="15">
        <f t="shared" si="0"/>
        <v>82</v>
      </c>
      <c r="P42" s="15">
        <f t="shared" si="1"/>
        <v>102</v>
      </c>
      <c r="R42" s="5" t="s">
        <v>160</v>
      </c>
      <c r="S42" s="48">
        <f>S41/S40</f>
        <v>1.437603993344426</v>
      </c>
      <c r="T42" s="48">
        <f t="shared" ref="T42:AF42" si="34">T41/T40</f>
        <v>1.4569288389513109</v>
      </c>
      <c r="U42" s="48">
        <f t="shared" si="34"/>
        <v>1.4509803921568627</v>
      </c>
      <c r="V42" s="48">
        <f t="shared" si="34"/>
        <v>1.3105912930474335</v>
      </c>
      <c r="W42" s="48">
        <f t="shared" si="34"/>
        <v>1.6086956521739131</v>
      </c>
      <c r="X42" s="48">
        <f t="shared" si="34"/>
        <v>2.7037037037037037</v>
      </c>
      <c r="Y42" s="48">
        <f t="shared" si="34"/>
        <v>1.5961538461538463</v>
      </c>
      <c r="Z42" s="48">
        <f t="shared" si="34"/>
        <v>1.8007968127490039</v>
      </c>
      <c r="AA42" s="48">
        <f t="shared" si="34"/>
        <v>5.6</v>
      </c>
      <c r="AB42" s="48">
        <f t="shared" si="34"/>
        <v>1.8541226215644819</v>
      </c>
      <c r="AC42" s="48">
        <f t="shared" si="34"/>
        <v>1.4756446991404011</v>
      </c>
      <c r="AD42" s="48" t="e">
        <f t="shared" si="34"/>
        <v>#DIV/0!</v>
      </c>
      <c r="AE42" s="48">
        <f t="shared" si="34"/>
        <v>1.5436429974740387</v>
      </c>
      <c r="AF42" s="48">
        <f t="shared" si="34"/>
        <v>1.5281995661605206</v>
      </c>
    </row>
    <row r="43" spans="2:32" ht="23.1" customHeight="1" x14ac:dyDescent="0.25">
      <c r="B43" s="45" t="s">
        <v>70</v>
      </c>
      <c r="C43" s="50">
        <v>9</v>
      </c>
      <c r="D43" s="50">
        <v>5</v>
      </c>
      <c r="E43" s="50">
        <v>2</v>
      </c>
      <c r="F43" s="50">
        <v>23</v>
      </c>
      <c r="G43" s="50">
        <v>0</v>
      </c>
      <c r="H43" s="50">
        <v>1</v>
      </c>
      <c r="I43" s="50">
        <v>5</v>
      </c>
      <c r="J43" s="50">
        <v>4</v>
      </c>
      <c r="K43" s="50">
        <v>2</v>
      </c>
      <c r="L43" s="50">
        <v>7</v>
      </c>
      <c r="M43" s="50">
        <v>26</v>
      </c>
      <c r="N43" s="50">
        <v>0</v>
      </c>
      <c r="O43" s="15">
        <f t="shared" si="0"/>
        <v>58</v>
      </c>
      <c r="P43" s="15">
        <f t="shared" si="1"/>
        <v>84</v>
      </c>
    </row>
    <row r="44" spans="2:32" ht="23.1" customHeight="1" x14ac:dyDescent="0.25">
      <c r="B44" s="47" t="s">
        <v>71</v>
      </c>
      <c r="C44" s="50">
        <v>15</v>
      </c>
      <c r="D44" s="50">
        <v>9</v>
      </c>
      <c r="E44" s="50">
        <v>11</v>
      </c>
      <c r="F44" s="50">
        <v>33</v>
      </c>
      <c r="G44" s="50">
        <v>1</v>
      </c>
      <c r="H44" s="50">
        <v>1</v>
      </c>
      <c r="I44" s="50">
        <v>6</v>
      </c>
      <c r="J44" s="50">
        <v>4</v>
      </c>
      <c r="K44" s="50">
        <v>2</v>
      </c>
      <c r="L44" s="50">
        <v>7</v>
      </c>
      <c r="M44" s="50">
        <v>25</v>
      </c>
      <c r="N44" s="50">
        <v>0</v>
      </c>
      <c r="O44" s="15">
        <f t="shared" si="0"/>
        <v>89</v>
      </c>
      <c r="P44" s="15">
        <f t="shared" si="1"/>
        <v>114</v>
      </c>
    </row>
    <row r="45" spans="2:32" ht="23.1" customHeight="1" x14ac:dyDescent="0.25">
      <c r="B45" s="45" t="s">
        <v>72</v>
      </c>
      <c r="C45" s="50">
        <v>13</v>
      </c>
      <c r="D45" s="50">
        <v>4</v>
      </c>
      <c r="E45" s="50">
        <v>8</v>
      </c>
      <c r="F45" s="50">
        <v>30</v>
      </c>
      <c r="G45" s="50">
        <v>0</v>
      </c>
      <c r="H45" s="50">
        <v>1</v>
      </c>
      <c r="I45" s="50">
        <v>4</v>
      </c>
      <c r="J45" s="50">
        <v>12</v>
      </c>
      <c r="K45" s="50">
        <v>0</v>
      </c>
      <c r="L45" s="50">
        <v>17</v>
      </c>
      <c r="M45" s="50">
        <v>14</v>
      </c>
      <c r="N45" s="50">
        <v>0</v>
      </c>
      <c r="O45" s="15">
        <f t="shared" si="0"/>
        <v>89</v>
      </c>
      <c r="P45" s="15">
        <f t="shared" si="1"/>
        <v>103</v>
      </c>
    </row>
    <row r="46" spans="2:32" ht="23.1" customHeight="1" x14ac:dyDescent="0.25">
      <c r="B46" s="46" t="s">
        <v>73</v>
      </c>
      <c r="C46" s="50">
        <v>10</v>
      </c>
      <c r="D46" s="50">
        <v>8</v>
      </c>
      <c r="E46" s="50">
        <v>4</v>
      </c>
      <c r="F46" s="50">
        <v>26</v>
      </c>
      <c r="G46" s="50">
        <v>0</v>
      </c>
      <c r="H46" s="50">
        <v>0</v>
      </c>
      <c r="I46" s="50">
        <v>4</v>
      </c>
      <c r="J46" s="50">
        <v>8</v>
      </c>
      <c r="K46" s="50">
        <v>0</v>
      </c>
      <c r="L46" s="50">
        <v>14</v>
      </c>
      <c r="M46" s="50">
        <v>30</v>
      </c>
      <c r="N46" s="50">
        <v>0</v>
      </c>
      <c r="O46" s="15">
        <f t="shared" si="0"/>
        <v>74</v>
      </c>
      <c r="P46" s="15">
        <f t="shared" si="1"/>
        <v>104</v>
      </c>
      <c r="R46" s="8"/>
      <c r="T46"/>
    </row>
    <row r="47" spans="2:32" ht="23.1" customHeight="1" x14ac:dyDescent="0.25">
      <c r="B47" s="46" t="s">
        <v>74</v>
      </c>
      <c r="C47" s="50">
        <v>5</v>
      </c>
      <c r="D47" s="50">
        <v>11</v>
      </c>
      <c r="E47" s="50">
        <v>6</v>
      </c>
      <c r="F47" s="50">
        <v>33</v>
      </c>
      <c r="G47" s="50">
        <v>1</v>
      </c>
      <c r="H47" s="50">
        <v>0</v>
      </c>
      <c r="I47" s="50">
        <v>6</v>
      </c>
      <c r="J47" s="50">
        <v>2</v>
      </c>
      <c r="K47" s="50">
        <v>0</v>
      </c>
      <c r="L47" s="50">
        <v>15</v>
      </c>
      <c r="M47" s="50">
        <v>25</v>
      </c>
      <c r="N47" s="50">
        <v>0</v>
      </c>
      <c r="O47" s="15">
        <f t="shared" si="0"/>
        <v>79</v>
      </c>
      <c r="P47" s="15">
        <f t="shared" si="1"/>
        <v>104</v>
      </c>
      <c r="R47" s="8"/>
      <c r="T47"/>
    </row>
    <row r="48" spans="2:32" ht="23.1" customHeight="1" x14ac:dyDescent="0.25">
      <c r="B48" s="46" t="s">
        <v>75</v>
      </c>
      <c r="C48" s="50">
        <v>10</v>
      </c>
      <c r="D48" s="50">
        <v>10</v>
      </c>
      <c r="E48" s="50">
        <v>3</v>
      </c>
      <c r="F48" s="50">
        <v>32</v>
      </c>
      <c r="G48" s="50">
        <v>2</v>
      </c>
      <c r="H48" s="50">
        <v>0</v>
      </c>
      <c r="I48" s="50">
        <v>1</v>
      </c>
      <c r="J48" s="50">
        <v>13</v>
      </c>
      <c r="K48" s="50">
        <v>3</v>
      </c>
      <c r="L48" s="50">
        <v>16</v>
      </c>
      <c r="M48" s="50">
        <v>21</v>
      </c>
      <c r="N48" s="50">
        <v>0</v>
      </c>
      <c r="O48" s="15">
        <f t="shared" si="0"/>
        <v>90</v>
      </c>
      <c r="P48" s="15">
        <f t="shared" si="1"/>
        <v>111</v>
      </c>
      <c r="R48" s="8"/>
      <c r="T48"/>
    </row>
    <row r="49" spans="2:20" ht="23.1" customHeight="1" x14ac:dyDescent="0.25">
      <c r="B49" s="45" t="s">
        <v>76</v>
      </c>
      <c r="C49" s="50">
        <v>21</v>
      </c>
      <c r="D49" s="50">
        <v>4</v>
      </c>
      <c r="E49" s="50">
        <v>0</v>
      </c>
      <c r="F49" s="50">
        <v>41</v>
      </c>
      <c r="G49" s="50">
        <v>1</v>
      </c>
      <c r="H49" s="50">
        <v>0</v>
      </c>
      <c r="I49" s="50">
        <v>9</v>
      </c>
      <c r="J49" s="50">
        <v>5</v>
      </c>
      <c r="K49" s="50">
        <v>1</v>
      </c>
      <c r="L49" s="50">
        <v>13</v>
      </c>
      <c r="M49" s="50">
        <v>29</v>
      </c>
      <c r="N49" s="50">
        <v>0</v>
      </c>
      <c r="O49" s="15">
        <f t="shared" si="0"/>
        <v>95</v>
      </c>
      <c r="P49" s="15">
        <f t="shared" si="1"/>
        <v>124</v>
      </c>
      <c r="R49" s="8"/>
      <c r="T49"/>
    </row>
    <row r="50" spans="2:20" ht="23.1" customHeight="1" x14ac:dyDescent="0.25">
      <c r="B50" s="46" t="s">
        <v>77</v>
      </c>
      <c r="C50" s="50">
        <v>13</v>
      </c>
      <c r="D50" s="50">
        <v>8</v>
      </c>
      <c r="E50" s="50">
        <v>2</v>
      </c>
      <c r="F50" s="50">
        <v>39</v>
      </c>
      <c r="G50" s="50">
        <v>1</v>
      </c>
      <c r="H50" s="50">
        <v>2</v>
      </c>
      <c r="I50" s="50">
        <v>6</v>
      </c>
      <c r="J50" s="50">
        <v>6</v>
      </c>
      <c r="K50" s="50">
        <v>0</v>
      </c>
      <c r="L50" s="50">
        <v>10</v>
      </c>
      <c r="M50" s="50">
        <v>27</v>
      </c>
      <c r="N50" s="50">
        <v>0</v>
      </c>
      <c r="O50" s="15">
        <f t="shared" si="0"/>
        <v>87</v>
      </c>
      <c r="P50" s="15">
        <f t="shared" si="1"/>
        <v>114</v>
      </c>
      <c r="R50" s="8"/>
      <c r="T50"/>
    </row>
    <row r="51" spans="2:20" ht="23.1" customHeight="1" x14ac:dyDescent="0.25">
      <c r="B51" s="46" t="s">
        <v>78</v>
      </c>
      <c r="C51" s="50">
        <v>10</v>
      </c>
      <c r="D51" s="50">
        <v>11</v>
      </c>
      <c r="E51" s="50">
        <v>4</v>
      </c>
      <c r="F51" s="50">
        <v>14</v>
      </c>
      <c r="G51" s="50">
        <v>1</v>
      </c>
      <c r="H51" s="50">
        <v>0</v>
      </c>
      <c r="I51" s="50">
        <v>3</v>
      </c>
      <c r="J51" s="50">
        <v>5</v>
      </c>
      <c r="K51" s="50">
        <v>3</v>
      </c>
      <c r="L51" s="50">
        <v>12</v>
      </c>
      <c r="M51" s="50">
        <v>28</v>
      </c>
      <c r="N51" s="50">
        <v>0</v>
      </c>
      <c r="O51" s="15">
        <f t="shared" si="0"/>
        <v>63</v>
      </c>
      <c r="P51" s="15">
        <f t="shared" si="1"/>
        <v>91</v>
      </c>
      <c r="R51" s="8"/>
      <c r="T51"/>
    </row>
    <row r="52" spans="2:20" ht="23.1" customHeight="1" x14ac:dyDescent="0.25">
      <c r="B52" s="46" t="s">
        <v>79</v>
      </c>
      <c r="C52" s="50">
        <v>16</v>
      </c>
      <c r="D52" s="50">
        <v>8</v>
      </c>
      <c r="E52" s="50">
        <v>5</v>
      </c>
      <c r="F52" s="50">
        <v>39</v>
      </c>
      <c r="G52" s="50">
        <v>0</v>
      </c>
      <c r="H52" s="50">
        <v>2</v>
      </c>
      <c r="I52" s="50">
        <v>2</v>
      </c>
      <c r="J52" s="50">
        <v>12</v>
      </c>
      <c r="K52" s="50">
        <v>2</v>
      </c>
      <c r="L52" s="50">
        <v>8</v>
      </c>
      <c r="M52" s="50">
        <v>36</v>
      </c>
      <c r="N52" s="50">
        <v>0</v>
      </c>
      <c r="O52" s="15">
        <f t="shared" si="0"/>
        <v>94</v>
      </c>
      <c r="P52" s="15">
        <f t="shared" si="1"/>
        <v>130</v>
      </c>
      <c r="R52" s="8"/>
      <c r="T52"/>
    </row>
    <row r="53" spans="2:20" ht="23.1" customHeight="1" x14ac:dyDescent="0.25">
      <c r="B53" s="45" t="s">
        <v>80</v>
      </c>
      <c r="C53" s="50">
        <v>15</v>
      </c>
      <c r="D53" s="50">
        <v>5</v>
      </c>
      <c r="E53" s="50">
        <v>1</v>
      </c>
      <c r="F53" s="50">
        <v>31</v>
      </c>
      <c r="G53" s="50">
        <v>4</v>
      </c>
      <c r="H53" s="50">
        <v>1</v>
      </c>
      <c r="I53" s="50">
        <v>5</v>
      </c>
      <c r="J53" s="50">
        <v>6</v>
      </c>
      <c r="K53" s="50">
        <v>2</v>
      </c>
      <c r="L53" s="50">
        <v>1</v>
      </c>
      <c r="M53" s="50">
        <v>24</v>
      </c>
      <c r="N53" s="50">
        <v>0</v>
      </c>
      <c r="O53" s="15">
        <f t="shared" si="0"/>
        <v>71</v>
      </c>
      <c r="P53" s="15">
        <f t="shared" si="1"/>
        <v>95</v>
      </c>
      <c r="R53" s="8"/>
      <c r="T53"/>
    </row>
    <row r="54" spans="2:20" ht="23.1" customHeight="1" x14ac:dyDescent="0.25">
      <c r="B54" s="45" t="s">
        <v>81</v>
      </c>
      <c r="C54" s="50">
        <v>22</v>
      </c>
      <c r="D54" s="50">
        <v>8</v>
      </c>
      <c r="E54" s="50">
        <v>3</v>
      </c>
      <c r="F54" s="50">
        <v>41</v>
      </c>
      <c r="G54" s="50">
        <v>1</v>
      </c>
      <c r="H54" s="50">
        <v>0</v>
      </c>
      <c r="I54" s="50">
        <v>5</v>
      </c>
      <c r="J54" s="50">
        <v>10</v>
      </c>
      <c r="K54" s="50">
        <v>3</v>
      </c>
      <c r="L54" s="50">
        <v>6</v>
      </c>
      <c r="M54" s="50">
        <v>21</v>
      </c>
      <c r="N54" s="50">
        <v>0</v>
      </c>
      <c r="O54" s="15">
        <f t="shared" si="0"/>
        <v>99</v>
      </c>
      <c r="P54" s="15">
        <f t="shared" si="1"/>
        <v>120</v>
      </c>
      <c r="R54" s="8"/>
      <c r="T54"/>
    </row>
    <row r="55" spans="2:20" ht="23.1" customHeight="1" x14ac:dyDescent="0.25">
      <c r="B55" s="45" t="s">
        <v>82</v>
      </c>
      <c r="C55" s="50">
        <v>12</v>
      </c>
      <c r="D55" s="50">
        <v>7</v>
      </c>
      <c r="E55" s="50">
        <v>3</v>
      </c>
      <c r="F55" s="50">
        <v>37</v>
      </c>
      <c r="G55" s="50">
        <v>2</v>
      </c>
      <c r="H55" s="50">
        <v>1</v>
      </c>
      <c r="I55" s="50">
        <v>2</v>
      </c>
      <c r="J55" s="50">
        <v>5</v>
      </c>
      <c r="K55" s="50">
        <v>0</v>
      </c>
      <c r="L55" s="50">
        <v>8</v>
      </c>
      <c r="M55" s="50">
        <v>29</v>
      </c>
      <c r="N55" s="50">
        <v>0</v>
      </c>
      <c r="O55" s="15">
        <f t="shared" si="0"/>
        <v>77</v>
      </c>
      <c r="P55" s="15">
        <f t="shared" si="1"/>
        <v>106</v>
      </c>
      <c r="R55" s="8"/>
      <c r="T55"/>
    </row>
    <row r="56" spans="2:20" ht="23.1" customHeight="1" x14ac:dyDescent="0.25">
      <c r="B56" s="45" t="s">
        <v>83</v>
      </c>
      <c r="C56" s="50">
        <v>11</v>
      </c>
      <c r="D56" s="50">
        <v>4</v>
      </c>
      <c r="E56" s="50">
        <v>2</v>
      </c>
      <c r="F56" s="50">
        <v>28</v>
      </c>
      <c r="G56" s="50">
        <v>2</v>
      </c>
      <c r="H56" s="50">
        <v>0</v>
      </c>
      <c r="I56" s="50">
        <v>1</v>
      </c>
      <c r="J56" s="50">
        <v>7</v>
      </c>
      <c r="K56" s="50">
        <v>0</v>
      </c>
      <c r="L56" s="50">
        <v>8</v>
      </c>
      <c r="M56" s="50">
        <v>18</v>
      </c>
      <c r="N56" s="50">
        <v>0</v>
      </c>
      <c r="O56" s="15">
        <f t="shared" si="0"/>
        <v>63</v>
      </c>
      <c r="P56" s="15">
        <f t="shared" si="1"/>
        <v>81</v>
      </c>
      <c r="R56" s="8"/>
      <c r="T56"/>
    </row>
    <row r="57" spans="2:20" ht="23.1" customHeight="1" x14ac:dyDescent="0.25">
      <c r="B57" s="45" t="s">
        <v>84</v>
      </c>
      <c r="C57" s="50">
        <v>5</v>
      </c>
      <c r="D57" s="50">
        <v>5</v>
      </c>
      <c r="E57" s="50">
        <v>3</v>
      </c>
      <c r="F57" s="50">
        <v>21</v>
      </c>
      <c r="G57" s="50">
        <v>2</v>
      </c>
      <c r="H57" s="50">
        <v>0</v>
      </c>
      <c r="I57" s="50">
        <v>4</v>
      </c>
      <c r="J57" s="50">
        <v>5</v>
      </c>
      <c r="K57" s="50">
        <v>1</v>
      </c>
      <c r="L57" s="50">
        <v>2</v>
      </c>
      <c r="M57" s="50">
        <v>20</v>
      </c>
      <c r="N57" s="50">
        <v>0</v>
      </c>
      <c r="O57" s="15">
        <f t="shared" si="0"/>
        <v>48</v>
      </c>
      <c r="P57" s="15">
        <f t="shared" si="1"/>
        <v>68</v>
      </c>
      <c r="R57" s="8"/>
      <c r="T57"/>
    </row>
    <row r="58" spans="2:20" ht="23.1" customHeight="1" x14ac:dyDescent="0.25">
      <c r="B58" s="45" t="s">
        <v>99</v>
      </c>
      <c r="C58" s="50">
        <v>6</v>
      </c>
      <c r="D58" s="50">
        <v>2</v>
      </c>
      <c r="E58" s="50">
        <v>3</v>
      </c>
      <c r="F58" s="50">
        <v>13</v>
      </c>
      <c r="G58" s="50">
        <v>1</v>
      </c>
      <c r="H58" s="50">
        <v>0</v>
      </c>
      <c r="I58" s="50">
        <v>1</v>
      </c>
      <c r="J58" s="50">
        <v>0</v>
      </c>
      <c r="K58" s="50">
        <v>7</v>
      </c>
      <c r="L58" s="50">
        <v>2</v>
      </c>
      <c r="M58" s="50">
        <v>9</v>
      </c>
      <c r="N58" s="50">
        <v>0</v>
      </c>
      <c r="O58" s="15">
        <f t="shared" si="0"/>
        <v>35</v>
      </c>
      <c r="P58" s="15">
        <f t="shared" si="1"/>
        <v>44</v>
      </c>
      <c r="R58" s="8"/>
      <c r="T58"/>
    </row>
    <row r="59" spans="2:20" ht="23.1" customHeight="1" x14ac:dyDescent="0.25">
      <c r="B59" s="45" t="s">
        <v>100</v>
      </c>
      <c r="C59" s="50">
        <v>11</v>
      </c>
      <c r="D59" s="50">
        <v>2</v>
      </c>
      <c r="E59" s="50">
        <v>5</v>
      </c>
      <c r="F59" s="50">
        <v>34</v>
      </c>
      <c r="G59" s="50">
        <v>4</v>
      </c>
      <c r="H59" s="50">
        <v>0</v>
      </c>
      <c r="I59" s="50">
        <v>6</v>
      </c>
      <c r="J59" s="50">
        <v>6</v>
      </c>
      <c r="K59" s="50">
        <v>7</v>
      </c>
      <c r="L59" s="50">
        <v>6</v>
      </c>
      <c r="M59" s="50">
        <v>24</v>
      </c>
      <c r="N59" s="50">
        <v>0</v>
      </c>
      <c r="O59" s="15">
        <f t="shared" si="0"/>
        <v>81</v>
      </c>
      <c r="P59" s="15">
        <f t="shared" si="1"/>
        <v>105</v>
      </c>
      <c r="R59" s="8"/>
      <c r="T59"/>
    </row>
    <row r="60" spans="2:20" ht="23.1" customHeight="1" x14ac:dyDescent="0.25">
      <c r="B60" s="45" t="s">
        <v>101</v>
      </c>
      <c r="C60" s="50">
        <v>12</v>
      </c>
      <c r="D60" s="50">
        <v>13</v>
      </c>
      <c r="E60" s="50">
        <v>6</v>
      </c>
      <c r="F60" s="50">
        <v>27</v>
      </c>
      <c r="G60" s="50">
        <v>3</v>
      </c>
      <c r="H60" s="50">
        <v>1</v>
      </c>
      <c r="I60" s="50">
        <v>3</v>
      </c>
      <c r="J60" s="50">
        <v>1</v>
      </c>
      <c r="K60" s="50">
        <v>9</v>
      </c>
      <c r="L60" s="50">
        <v>8</v>
      </c>
      <c r="M60" s="50">
        <v>25</v>
      </c>
      <c r="N60" s="50">
        <v>0</v>
      </c>
      <c r="O60" s="15">
        <f t="shared" si="0"/>
        <v>83</v>
      </c>
      <c r="P60" s="15">
        <f t="shared" si="1"/>
        <v>108</v>
      </c>
      <c r="R60" s="8"/>
      <c r="T60"/>
    </row>
    <row r="61" spans="2:20" ht="23.1" customHeight="1" x14ac:dyDescent="0.25">
      <c r="B61" s="45" t="s">
        <v>102</v>
      </c>
      <c r="C61" s="50">
        <v>10</v>
      </c>
      <c r="D61" s="50">
        <v>8</v>
      </c>
      <c r="E61" s="50">
        <v>3</v>
      </c>
      <c r="F61" s="50">
        <v>30</v>
      </c>
      <c r="G61" s="50">
        <v>1</v>
      </c>
      <c r="H61" s="50">
        <v>2</v>
      </c>
      <c r="I61" s="50">
        <v>1</v>
      </c>
      <c r="J61" s="50">
        <v>8</v>
      </c>
      <c r="K61" s="50">
        <v>5</v>
      </c>
      <c r="L61" s="50">
        <v>16</v>
      </c>
      <c r="M61" s="50">
        <v>0</v>
      </c>
      <c r="N61" s="50">
        <v>0</v>
      </c>
      <c r="O61" s="15">
        <f t="shared" si="0"/>
        <v>84</v>
      </c>
      <c r="P61" s="15">
        <f t="shared" si="1"/>
        <v>84</v>
      </c>
      <c r="R61" s="8"/>
      <c r="T61"/>
    </row>
    <row r="62" spans="2:20" ht="23.1" customHeight="1" x14ac:dyDescent="0.25">
      <c r="B62" s="45" t="s">
        <v>107</v>
      </c>
      <c r="C62" s="50">
        <v>12</v>
      </c>
      <c r="D62" s="50">
        <v>9</v>
      </c>
      <c r="E62" s="50">
        <v>2</v>
      </c>
      <c r="F62" s="50">
        <v>16</v>
      </c>
      <c r="G62" s="50">
        <v>2</v>
      </c>
      <c r="H62" s="50">
        <v>2</v>
      </c>
      <c r="I62" s="50">
        <v>4</v>
      </c>
      <c r="J62" s="50">
        <v>7</v>
      </c>
      <c r="K62" s="50">
        <v>10</v>
      </c>
      <c r="L62" s="50">
        <v>12</v>
      </c>
      <c r="M62" s="50">
        <v>11</v>
      </c>
      <c r="N62" s="50">
        <v>0</v>
      </c>
      <c r="O62" s="15">
        <f t="shared" si="0"/>
        <v>76</v>
      </c>
      <c r="P62" s="15">
        <f t="shared" si="1"/>
        <v>87</v>
      </c>
      <c r="R62" s="8"/>
      <c r="T62"/>
    </row>
    <row r="63" spans="2:20" ht="23.1" customHeight="1" x14ac:dyDescent="0.25">
      <c r="B63" s="45" t="s">
        <v>108</v>
      </c>
      <c r="C63" s="50">
        <v>17</v>
      </c>
      <c r="D63" s="50">
        <v>12</v>
      </c>
      <c r="E63" s="50">
        <v>4</v>
      </c>
      <c r="F63" s="50">
        <v>24</v>
      </c>
      <c r="G63" s="50">
        <v>3</v>
      </c>
      <c r="H63" s="50">
        <v>1</v>
      </c>
      <c r="I63" s="50">
        <v>8</v>
      </c>
      <c r="J63" s="50">
        <v>2</v>
      </c>
      <c r="K63" s="50">
        <v>8</v>
      </c>
      <c r="L63" s="50">
        <v>12</v>
      </c>
      <c r="M63" s="50">
        <v>29</v>
      </c>
      <c r="N63" s="50">
        <v>0</v>
      </c>
      <c r="O63" s="15">
        <f t="shared" si="0"/>
        <v>91</v>
      </c>
      <c r="P63" s="15">
        <f t="shared" si="1"/>
        <v>120</v>
      </c>
      <c r="R63" s="8"/>
      <c r="T63"/>
    </row>
    <row r="64" spans="2:20" ht="23.1" customHeight="1" x14ac:dyDescent="0.25">
      <c r="B64" s="45" t="s">
        <v>109</v>
      </c>
      <c r="C64" s="50">
        <v>14</v>
      </c>
      <c r="D64" s="50">
        <v>8</v>
      </c>
      <c r="E64" s="50">
        <v>3</v>
      </c>
      <c r="F64" s="50">
        <v>26</v>
      </c>
      <c r="G64" s="50">
        <v>1</v>
      </c>
      <c r="H64" s="50">
        <v>1</v>
      </c>
      <c r="I64" s="50">
        <v>1</v>
      </c>
      <c r="J64" s="50">
        <v>1</v>
      </c>
      <c r="K64" s="50">
        <v>8</v>
      </c>
      <c r="L64" s="50">
        <v>9</v>
      </c>
      <c r="M64" s="50">
        <v>26</v>
      </c>
      <c r="N64" s="50">
        <v>0</v>
      </c>
      <c r="O64" s="15">
        <f t="shared" si="0"/>
        <v>72</v>
      </c>
      <c r="P64" s="15">
        <f t="shared" si="1"/>
        <v>98</v>
      </c>
      <c r="R64" s="8"/>
      <c r="T64"/>
    </row>
    <row r="65" spans="2:20" ht="23.1" customHeight="1" x14ac:dyDescent="0.25">
      <c r="B65" s="45" t="s">
        <v>158</v>
      </c>
      <c r="C65" s="50">
        <v>16</v>
      </c>
      <c r="D65" s="50">
        <v>4</v>
      </c>
      <c r="E65" s="50">
        <v>2</v>
      </c>
      <c r="F65" s="50">
        <v>19</v>
      </c>
      <c r="G65" s="50">
        <v>1</v>
      </c>
      <c r="H65" s="50">
        <v>2</v>
      </c>
      <c r="I65" s="50">
        <v>1</v>
      </c>
      <c r="J65" s="50">
        <v>3</v>
      </c>
      <c r="K65" s="50">
        <v>7</v>
      </c>
      <c r="L65" s="50">
        <v>6</v>
      </c>
      <c r="M65" s="50">
        <v>27</v>
      </c>
      <c r="N65" s="50">
        <v>0</v>
      </c>
      <c r="O65" s="15">
        <f t="shared" si="0"/>
        <v>61</v>
      </c>
      <c r="P65" s="15">
        <f t="shared" si="1"/>
        <v>88</v>
      </c>
      <c r="R65" s="8"/>
      <c r="T65"/>
    </row>
    <row r="66" spans="2:20" ht="23.1" customHeight="1" x14ac:dyDescent="0.25">
      <c r="B66" s="45" t="s">
        <v>103</v>
      </c>
      <c r="C66" s="50">
        <v>11</v>
      </c>
      <c r="D66" s="50">
        <v>8</v>
      </c>
      <c r="E66" s="50">
        <v>6</v>
      </c>
      <c r="F66" s="50">
        <v>15</v>
      </c>
      <c r="G66" s="50">
        <v>1</v>
      </c>
      <c r="H66" s="50">
        <v>1</v>
      </c>
      <c r="I66" s="50">
        <v>3</v>
      </c>
      <c r="J66" s="50">
        <v>1</v>
      </c>
      <c r="K66" s="50">
        <v>9</v>
      </c>
      <c r="L66" s="50">
        <v>7</v>
      </c>
      <c r="M66" s="50">
        <v>17</v>
      </c>
      <c r="N66" s="50">
        <v>0</v>
      </c>
      <c r="O66" s="15">
        <f t="shared" si="0"/>
        <v>62</v>
      </c>
      <c r="P66" s="15">
        <f t="shared" si="1"/>
        <v>79</v>
      </c>
      <c r="R66" s="8"/>
      <c r="T66"/>
    </row>
    <row r="67" spans="2:20" ht="23.1" customHeight="1" x14ac:dyDescent="0.25">
      <c r="B67" s="45" t="s">
        <v>104</v>
      </c>
      <c r="C67" s="50">
        <v>7</v>
      </c>
      <c r="D67" s="50">
        <v>5</v>
      </c>
      <c r="E67" s="50">
        <v>3</v>
      </c>
      <c r="F67" s="50">
        <v>17</v>
      </c>
      <c r="G67" s="50">
        <v>1</v>
      </c>
      <c r="H67" s="50">
        <v>2</v>
      </c>
      <c r="I67" s="50">
        <v>4</v>
      </c>
      <c r="J67" s="50">
        <v>5</v>
      </c>
      <c r="K67" s="50">
        <v>2</v>
      </c>
      <c r="L67" s="50">
        <v>8</v>
      </c>
      <c r="M67" s="50">
        <v>21</v>
      </c>
      <c r="N67" s="50">
        <v>0</v>
      </c>
      <c r="O67" s="15">
        <f t="shared" si="0"/>
        <v>54</v>
      </c>
      <c r="P67" s="15">
        <f t="shared" si="1"/>
        <v>75</v>
      </c>
      <c r="R67" s="8"/>
      <c r="T67"/>
    </row>
    <row r="68" spans="2:20" ht="23.1" customHeight="1" x14ac:dyDescent="0.25">
      <c r="B68" s="45" t="s">
        <v>105</v>
      </c>
      <c r="C68" s="50">
        <v>6</v>
      </c>
      <c r="D68" s="50">
        <v>1</v>
      </c>
      <c r="E68" s="50">
        <v>3</v>
      </c>
      <c r="F68" s="50">
        <v>9</v>
      </c>
      <c r="G68" s="50">
        <v>1</v>
      </c>
      <c r="H68" s="50">
        <v>0</v>
      </c>
      <c r="I68" s="50">
        <v>1</v>
      </c>
      <c r="J68" s="50">
        <v>3</v>
      </c>
      <c r="K68" s="50">
        <v>2</v>
      </c>
      <c r="L68" s="50">
        <v>2</v>
      </c>
      <c r="M68" s="50">
        <v>17</v>
      </c>
      <c r="N68" s="50">
        <v>0</v>
      </c>
      <c r="O68" s="15">
        <f t="shared" si="0"/>
        <v>28</v>
      </c>
      <c r="P68" s="15">
        <f t="shared" si="1"/>
        <v>45</v>
      </c>
      <c r="R68" s="8"/>
      <c r="T68"/>
    </row>
    <row r="69" spans="2:20" ht="23.1" customHeight="1" x14ac:dyDescent="0.25">
      <c r="B69" s="45" t="s">
        <v>106</v>
      </c>
      <c r="C69" s="50">
        <v>22</v>
      </c>
      <c r="D69" s="50">
        <v>0</v>
      </c>
      <c r="E69" s="50">
        <v>5</v>
      </c>
      <c r="F69" s="50">
        <v>18</v>
      </c>
      <c r="G69" s="50">
        <v>1</v>
      </c>
      <c r="H69" s="50">
        <v>0</v>
      </c>
      <c r="I69" s="50">
        <v>2</v>
      </c>
      <c r="J69" s="50">
        <v>8</v>
      </c>
      <c r="K69" s="50">
        <v>5</v>
      </c>
      <c r="L69" s="50">
        <v>4</v>
      </c>
      <c r="M69" s="50">
        <v>19</v>
      </c>
      <c r="N69" s="50">
        <v>0</v>
      </c>
      <c r="O69" s="15">
        <f t="shared" si="0"/>
        <v>65</v>
      </c>
      <c r="P69" s="15">
        <f t="shared" si="1"/>
        <v>84</v>
      </c>
      <c r="R69" s="8"/>
      <c r="T69"/>
    </row>
    <row r="70" spans="2:20" ht="23.1" customHeight="1" x14ac:dyDescent="0.25">
      <c r="B70" s="45" t="s">
        <v>110</v>
      </c>
      <c r="C70" s="50">
        <v>10</v>
      </c>
      <c r="D70" s="50">
        <v>1</v>
      </c>
      <c r="E70" s="50">
        <v>2</v>
      </c>
      <c r="F70" s="50">
        <v>11</v>
      </c>
      <c r="G70" s="50">
        <v>0</v>
      </c>
      <c r="H70" s="50">
        <v>0</v>
      </c>
      <c r="I70" s="50">
        <v>1</v>
      </c>
      <c r="J70" s="50">
        <v>5</v>
      </c>
      <c r="K70" s="50">
        <v>3</v>
      </c>
      <c r="L70" s="50">
        <v>6</v>
      </c>
      <c r="M70" s="50">
        <v>19</v>
      </c>
      <c r="N70" s="50">
        <v>0</v>
      </c>
      <c r="O70" s="15">
        <f t="shared" si="0"/>
        <v>39</v>
      </c>
      <c r="P70" s="15">
        <f t="shared" si="1"/>
        <v>58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2</v>
      </c>
      <c r="E71" s="50">
        <v>1</v>
      </c>
      <c r="F71" s="50">
        <v>12</v>
      </c>
      <c r="G71" s="50">
        <v>0</v>
      </c>
      <c r="H71" s="50">
        <v>0</v>
      </c>
      <c r="I71" s="50">
        <v>1</v>
      </c>
      <c r="J71" s="50">
        <v>4</v>
      </c>
      <c r="K71" s="50">
        <v>0</v>
      </c>
      <c r="L71" s="50">
        <v>5</v>
      </c>
      <c r="M71" s="50">
        <v>14</v>
      </c>
      <c r="N71" s="50">
        <v>0</v>
      </c>
      <c r="O71" s="15">
        <f t="shared" si="0"/>
        <v>27</v>
      </c>
      <c r="P71" s="15">
        <f t="shared" si="1"/>
        <v>41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3</v>
      </c>
      <c r="E72" s="50">
        <v>2</v>
      </c>
      <c r="F72" s="50">
        <v>5</v>
      </c>
      <c r="G72" s="50">
        <v>0</v>
      </c>
      <c r="H72" s="50">
        <v>0</v>
      </c>
      <c r="I72" s="50">
        <v>5</v>
      </c>
      <c r="J72" s="50">
        <v>6</v>
      </c>
      <c r="K72" s="50">
        <v>2</v>
      </c>
      <c r="L72" s="50">
        <v>2</v>
      </c>
      <c r="M72" s="50">
        <v>11</v>
      </c>
      <c r="N72" s="50">
        <v>0</v>
      </c>
      <c r="O72" s="15">
        <f t="shared" si="0"/>
        <v>28</v>
      </c>
      <c r="P72" s="15">
        <f t="shared" si="1"/>
        <v>39</v>
      </c>
      <c r="R72" s="8"/>
      <c r="T72"/>
    </row>
    <row r="73" spans="2:20" ht="23.1" customHeight="1" x14ac:dyDescent="0.25">
      <c r="B73" s="45" t="s">
        <v>113</v>
      </c>
      <c r="C73" s="50">
        <v>8</v>
      </c>
      <c r="D73" s="50">
        <v>1</v>
      </c>
      <c r="E73" s="50">
        <v>1</v>
      </c>
      <c r="F73" s="50">
        <v>8</v>
      </c>
      <c r="G73" s="50">
        <v>0</v>
      </c>
      <c r="H73" s="50">
        <v>0</v>
      </c>
      <c r="I73" s="50">
        <v>1</v>
      </c>
      <c r="J73" s="50">
        <v>0</v>
      </c>
      <c r="K73" s="50">
        <v>5</v>
      </c>
      <c r="L73" s="50">
        <v>1</v>
      </c>
      <c r="M73" s="50">
        <v>8</v>
      </c>
      <c r="N73" s="50">
        <v>0</v>
      </c>
      <c r="O73" s="15">
        <f t="shared" si="0"/>
        <v>25</v>
      </c>
      <c r="P73" s="15">
        <f t="shared" si="1"/>
        <v>33</v>
      </c>
      <c r="R73" s="8"/>
      <c r="T73"/>
    </row>
    <row r="74" spans="2:20" ht="23.1" customHeight="1" x14ac:dyDescent="0.25">
      <c r="B74" s="45" t="s">
        <v>114</v>
      </c>
      <c r="C74" s="50">
        <v>10</v>
      </c>
      <c r="D74" s="50">
        <v>2</v>
      </c>
      <c r="E74" s="50">
        <v>2</v>
      </c>
      <c r="F74" s="50">
        <v>9</v>
      </c>
      <c r="G74" s="50">
        <v>3</v>
      </c>
      <c r="H74" s="50">
        <v>0</v>
      </c>
      <c r="I74" s="50">
        <v>3</v>
      </c>
      <c r="J74" s="50">
        <v>1</v>
      </c>
      <c r="K74" s="50">
        <v>5</v>
      </c>
      <c r="L74" s="50">
        <v>7</v>
      </c>
      <c r="M74" s="50">
        <v>16</v>
      </c>
      <c r="N74" s="50">
        <v>0</v>
      </c>
      <c r="O74" s="15">
        <f t="shared" ref="O74:O105" si="35">SUM(C74:L74,N74)</f>
        <v>42</v>
      </c>
      <c r="P74" s="15">
        <f t="shared" ref="P74:P105" si="36">SUM(C74:N74)</f>
        <v>58</v>
      </c>
      <c r="R74" s="8"/>
      <c r="T74"/>
    </row>
    <row r="75" spans="2:20" ht="23.1" customHeight="1" x14ac:dyDescent="0.25">
      <c r="B75" s="45" t="s">
        <v>115</v>
      </c>
      <c r="C75" s="50">
        <v>9</v>
      </c>
      <c r="D75" s="50">
        <v>0</v>
      </c>
      <c r="E75" s="50">
        <v>0</v>
      </c>
      <c r="F75" s="50">
        <v>3</v>
      </c>
      <c r="G75" s="50">
        <v>0</v>
      </c>
      <c r="H75" s="50">
        <v>0</v>
      </c>
      <c r="I75" s="50">
        <v>4</v>
      </c>
      <c r="J75" s="50">
        <v>2</v>
      </c>
      <c r="K75" s="50">
        <v>3</v>
      </c>
      <c r="L75" s="50">
        <v>12</v>
      </c>
      <c r="M75" s="50">
        <v>14</v>
      </c>
      <c r="N75" s="50">
        <v>0</v>
      </c>
      <c r="O75" s="15">
        <f t="shared" si="35"/>
        <v>33</v>
      </c>
      <c r="P75" s="15">
        <f t="shared" si="36"/>
        <v>47</v>
      </c>
      <c r="R75" s="8"/>
      <c r="T75"/>
    </row>
    <row r="76" spans="2:20" ht="23.1" customHeight="1" x14ac:dyDescent="0.25">
      <c r="B76" s="45" t="s">
        <v>116</v>
      </c>
      <c r="C76" s="50">
        <v>3</v>
      </c>
      <c r="D76" s="50">
        <v>4</v>
      </c>
      <c r="E76" s="50">
        <v>1</v>
      </c>
      <c r="F76" s="50">
        <v>6</v>
      </c>
      <c r="G76" s="50">
        <v>0</v>
      </c>
      <c r="H76" s="50">
        <v>0</v>
      </c>
      <c r="I76" s="50">
        <v>2</v>
      </c>
      <c r="J76" s="50">
        <v>7</v>
      </c>
      <c r="K76" s="50">
        <v>1</v>
      </c>
      <c r="L76" s="50">
        <v>6</v>
      </c>
      <c r="M76" s="50">
        <v>7</v>
      </c>
      <c r="N76" s="50">
        <v>0</v>
      </c>
      <c r="O76" s="15">
        <f t="shared" si="35"/>
        <v>30</v>
      </c>
      <c r="P76" s="15">
        <f t="shared" si="36"/>
        <v>37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3</v>
      </c>
      <c r="E77" s="50">
        <v>0</v>
      </c>
      <c r="F77" s="50">
        <v>3</v>
      </c>
      <c r="G77" s="50">
        <v>0</v>
      </c>
      <c r="H77" s="50">
        <v>0</v>
      </c>
      <c r="I77" s="50">
        <v>1</v>
      </c>
      <c r="J77" s="50">
        <v>1</v>
      </c>
      <c r="K77" s="50">
        <v>2</v>
      </c>
      <c r="L77" s="50">
        <v>10</v>
      </c>
      <c r="M77" s="50">
        <v>12</v>
      </c>
      <c r="N77" s="50">
        <v>0</v>
      </c>
      <c r="O77" s="15">
        <f t="shared" si="35"/>
        <v>22</v>
      </c>
      <c r="P77" s="15">
        <f t="shared" si="36"/>
        <v>34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2</v>
      </c>
      <c r="E78" s="50">
        <v>3</v>
      </c>
      <c r="F78" s="50">
        <v>1</v>
      </c>
      <c r="G78" s="50">
        <v>0</v>
      </c>
      <c r="H78" s="50">
        <v>1</v>
      </c>
      <c r="I78" s="50">
        <v>0</v>
      </c>
      <c r="J78" s="50">
        <v>6</v>
      </c>
      <c r="K78" s="50">
        <v>5</v>
      </c>
      <c r="L78" s="50">
        <v>8</v>
      </c>
      <c r="M78" s="50">
        <v>13</v>
      </c>
      <c r="N78" s="50">
        <v>0</v>
      </c>
      <c r="O78" s="15">
        <f t="shared" si="35"/>
        <v>28</v>
      </c>
      <c r="P78" s="15">
        <f t="shared" si="36"/>
        <v>41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1</v>
      </c>
      <c r="E79" s="50">
        <v>0</v>
      </c>
      <c r="F79" s="50">
        <v>3</v>
      </c>
      <c r="G79" s="50">
        <v>0</v>
      </c>
      <c r="H79" s="50">
        <v>1</v>
      </c>
      <c r="I79" s="50">
        <v>1</v>
      </c>
      <c r="J79" s="50">
        <v>5</v>
      </c>
      <c r="K79" s="50">
        <v>2</v>
      </c>
      <c r="L79" s="50">
        <v>15</v>
      </c>
      <c r="M79" s="50">
        <v>17</v>
      </c>
      <c r="N79" s="50">
        <v>0</v>
      </c>
      <c r="O79" s="15">
        <f t="shared" si="35"/>
        <v>30</v>
      </c>
      <c r="P79" s="15">
        <f t="shared" si="36"/>
        <v>47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3</v>
      </c>
      <c r="E80" s="50">
        <v>1</v>
      </c>
      <c r="F80" s="50">
        <v>4</v>
      </c>
      <c r="G80" s="50">
        <v>0</v>
      </c>
      <c r="H80" s="50">
        <v>0</v>
      </c>
      <c r="I80" s="50">
        <v>2</v>
      </c>
      <c r="J80" s="50">
        <v>4</v>
      </c>
      <c r="K80" s="50">
        <v>2</v>
      </c>
      <c r="L80" s="50">
        <v>4</v>
      </c>
      <c r="M80" s="50">
        <v>8</v>
      </c>
      <c r="N80" s="50">
        <v>0</v>
      </c>
      <c r="O80" s="15">
        <f t="shared" si="35"/>
        <v>21</v>
      </c>
      <c r="P80" s="15">
        <f t="shared" si="36"/>
        <v>29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2</v>
      </c>
      <c r="J81" s="50">
        <v>3</v>
      </c>
      <c r="K81" s="50">
        <v>2</v>
      </c>
      <c r="L81" s="50">
        <v>4</v>
      </c>
      <c r="M81" s="50">
        <v>3</v>
      </c>
      <c r="N81" s="50">
        <v>0</v>
      </c>
      <c r="O81" s="15">
        <f t="shared" si="35"/>
        <v>13</v>
      </c>
      <c r="P81" s="15">
        <f t="shared" si="36"/>
        <v>16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1</v>
      </c>
      <c r="K82" s="50">
        <v>2</v>
      </c>
      <c r="L82" s="50">
        <v>2</v>
      </c>
      <c r="M82" s="50">
        <v>1</v>
      </c>
      <c r="N82" s="50">
        <v>1</v>
      </c>
      <c r="O82" s="15">
        <f t="shared" si="35"/>
        <v>7</v>
      </c>
      <c r="P82" s="15">
        <f t="shared" si="36"/>
        <v>8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2</v>
      </c>
      <c r="K83" s="50">
        <v>2</v>
      </c>
      <c r="L83" s="50">
        <v>2</v>
      </c>
      <c r="M83" s="50">
        <v>1</v>
      </c>
      <c r="N83" s="50">
        <v>0</v>
      </c>
      <c r="O83" s="15">
        <f t="shared" si="35"/>
        <v>6</v>
      </c>
      <c r="P83" s="15">
        <f t="shared" si="36"/>
        <v>7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1</v>
      </c>
      <c r="E84" s="50">
        <v>0</v>
      </c>
      <c r="F84" s="50">
        <v>0</v>
      </c>
      <c r="G84" s="50">
        <v>0</v>
      </c>
      <c r="H84" s="50">
        <v>1</v>
      </c>
      <c r="I84" s="50">
        <v>1</v>
      </c>
      <c r="J84" s="50">
        <v>6</v>
      </c>
      <c r="K84" s="50">
        <v>3</v>
      </c>
      <c r="L84" s="50">
        <v>8</v>
      </c>
      <c r="M84" s="50">
        <v>0</v>
      </c>
      <c r="N84" s="50">
        <v>1</v>
      </c>
      <c r="O84" s="15">
        <f t="shared" si="35"/>
        <v>22</v>
      </c>
      <c r="P84" s="15">
        <f t="shared" si="36"/>
        <v>22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1</v>
      </c>
      <c r="G85" s="50">
        <v>0</v>
      </c>
      <c r="H85" s="50">
        <v>1</v>
      </c>
      <c r="I85" s="50">
        <v>2</v>
      </c>
      <c r="J85" s="50">
        <v>8</v>
      </c>
      <c r="K85" s="50">
        <v>2</v>
      </c>
      <c r="L85" s="50">
        <v>7</v>
      </c>
      <c r="M85" s="50">
        <v>2</v>
      </c>
      <c r="N85" s="50">
        <v>1</v>
      </c>
      <c r="O85" s="15">
        <f t="shared" si="35"/>
        <v>22</v>
      </c>
      <c r="P85" s="15">
        <f t="shared" si="36"/>
        <v>24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1</v>
      </c>
      <c r="F86" s="50">
        <v>0</v>
      </c>
      <c r="G86" s="50">
        <v>0</v>
      </c>
      <c r="H86" s="50">
        <v>1</v>
      </c>
      <c r="I86" s="50">
        <v>1</v>
      </c>
      <c r="J86" s="50">
        <v>9</v>
      </c>
      <c r="K86" s="50">
        <v>1</v>
      </c>
      <c r="L86" s="50">
        <v>6</v>
      </c>
      <c r="M86" s="50">
        <v>2</v>
      </c>
      <c r="N86" s="50">
        <v>0</v>
      </c>
      <c r="O86" s="15">
        <f t="shared" si="35"/>
        <v>19</v>
      </c>
      <c r="P86" s="15">
        <f t="shared" si="36"/>
        <v>21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1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3</v>
      </c>
      <c r="K87" s="50">
        <v>0</v>
      </c>
      <c r="L87" s="50">
        <v>4</v>
      </c>
      <c r="M87" s="50">
        <v>2</v>
      </c>
      <c r="N87" s="50">
        <v>0</v>
      </c>
      <c r="O87" s="15">
        <f t="shared" si="35"/>
        <v>9</v>
      </c>
      <c r="P87" s="15">
        <f t="shared" si="36"/>
        <v>11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0</v>
      </c>
      <c r="E88" s="50">
        <v>0</v>
      </c>
      <c r="F88" s="50">
        <v>0</v>
      </c>
      <c r="G88" s="50">
        <v>0</v>
      </c>
      <c r="H88" s="50">
        <v>1</v>
      </c>
      <c r="I88" s="50">
        <v>2</v>
      </c>
      <c r="J88" s="50">
        <v>2</v>
      </c>
      <c r="K88" s="50">
        <v>8</v>
      </c>
      <c r="L88" s="50">
        <v>9</v>
      </c>
      <c r="M88" s="50">
        <v>1</v>
      </c>
      <c r="N88" s="50">
        <v>0</v>
      </c>
      <c r="O88" s="15">
        <f t="shared" si="35"/>
        <v>24</v>
      </c>
      <c r="P88" s="15">
        <f t="shared" si="36"/>
        <v>25</v>
      </c>
      <c r="R88" s="8"/>
      <c r="T88"/>
    </row>
    <row r="89" spans="2:20" ht="23.1" customHeight="1" x14ac:dyDescent="0.25">
      <c r="B89" s="45" t="s">
        <v>129</v>
      </c>
      <c r="C89" s="50">
        <v>2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6</v>
      </c>
      <c r="K89" s="50">
        <v>4</v>
      </c>
      <c r="L89" s="50">
        <v>8</v>
      </c>
      <c r="M89" s="50">
        <v>1</v>
      </c>
      <c r="N89" s="50">
        <v>0</v>
      </c>
      <c r="O89" s="15">
        <f t="shared" si="35"/>
        <v>20</v>
      </c>
      <c r="P89" s="15">
        <f t="shared" si="36"/>
        <v>21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0</v>
      </c>
      <c r="E90" s="50">
        <v>0</v>
      </c>
      <c r="F90" s="50">
        <v>0</v>
      </c>
      <c r="G90" s="50">
        <v>1</v>
      </c>
      <c r="H90" s="50">
        <v>1</v>
      </c>
      <c r="I90" s="50">
        <v>1</v>
      </c>
      <c r="J90" s="50">
        <v>7</v>
      </c>
      <c r="K90" s="50">
        <v>6</v>
      </c>
      <c r="L90" s="50">
        <v>10</v>
      </c>
      <c r="M90" s="50">
        <v>0</v>
      </c>
      <c r="N90" s="50">
        <v>0</v>
      </c>
      <c r="O90" s="15">
        <f t="shared" si="35"/>
        <v>28</v>
      </c>
      <c r="P90" s="15">
        <f t="shared" si="36"/>
        <v>28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2</v>
      </c>
      <c r="I91" s="50">
        <v>1</v>
      </c>
      <c r="J91" s="50">
        <v>5</v>
      </c>
      <c r="K91" s="50">
        <v>3</v>
      </c>
      <c r="L91" s="50">
        <v>6</v>
      </c>
      <c r="M91" s="50">
        <v>0</v>
      </c>
      <c r="N91" s="50">
        <v>0</v>
      </c>
      <c r="O91" s="15">
        <f t="shared" si="35"/>
        <v>17</v>
      </c>
      <c r="P91" s="15">
        <f t="shared" si="36"/>
        <v>17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2</v>
      </c>
      <c r="G92" s="50">
        <v>0</v>
      </c>
      <c r="H92" s="50">
        <v>1</v>
      </c>
      <c r="I92" s="50">
        <v>2</v>
      </c>
      <c r="J92" s="50">
        <v>8</v>
      </c>
      <c r="K92" s="50">
        <v>7</v>
      </c>
      <c r="L92" s="50">
        <v>9</v>
      </c>
      <c r="M92" s="50">
        <v>0</v>
      </c>
      <c r="N92" s="50">
        <v>0</v>
      </c>
      <c r="O92" s="15">
        <f t="shared" si="35"/>
        <v>29</v>
      </c>
      <c r="P92" s="15">
        <f t="shared" si="36"/>
        <v>29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1</v>
      </c>
      <c r="E93" s="50">
        <v>0</v>
      </c>
      <c r="F93" s="50">
        <v>6</v>
      </c>
      <c r="G93" s="50">
        <v>0</v>
      </c>
      <c r="H93" s="50">
        <v>1</v>
      </c>
      <c r="I93" s="50">
        <v>0</v>
      </c>
      <c r="J93" s="50">
        <v>3</v>
      </c>
      <c r="K93" s="50">
        <v>6</v>
      </c>
      <c r="L93" s="50">
        <v>8</v>
      </c>
      <c r="M93" s="50">
        <v>0</v>
      </c>
      <c r="N93" s="50">
        <v>0</v>
      </c>
      <c r="O93" s="15">
        <f t="shared" si="35"/>
        <v>27</v>
      </c>
      <c r="P93" s="15">
        <f t="shared" si="36"/>
        <v>27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1</v>
      </c>
      <c r="E94" s="50">
        <v>0</v>
      </c>
      <c r="F94" s="50">
        <v>5</v>
      </c>
      <c r="G94" s="50">
        <v>0</v>
      </c>
      <c r="H94" s="50">
        <v>2</v>
      </c>
      <c r="I94" s="50">
        <v>2</v>
      </c>
      <c r="J94" s="50">
        <v>7</v>
      </c>
      <c r="K94" s="50">
        <v>6</v>
      </c>
      <c r="L94" s="50">
        <v>14</v>
      </c>
      <c r="M94" s="50">
        <v>0</v>
      </c>
      <c r="N94" s="50">
        <v>0</v>
      </c>
      <c r="O94" s="15">
        <f t="shared" si="35"/>
        <v>38</v>
      </c>
      <c r="P94" s="15">
        <f t="shared" si="36"/>
        <v>38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3</v>
      </c>
      <c r="G95" s="50">
        <v>0</v>
      </c>
      <c r="H95" s="50">
        <v>2</v>
      </c>
      <c r="I95" s="50">
        <v>1</v>
      </c>
      <c r="J95" s="50">
        <v>6</v>
      </c>
      <c r="K95" s="50">
        <v>3</v>
      </c>
      <c r="L95" s="50">
        <v>17</v>
      </c>
      <c r="M95" s="50">
        <v>2</v>
      </c>
      <c r="N95" s="50">
        <v>0</v>
      </c>
      <c r="O95" s="15">
        <f t="shared" si="35"/>
        <v>33</v>
      </c>
      <c r="P95" s="15">
        <f t="shared" si="36"/>
        <v>35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0</v>
      </c>
      <c r="E96" s="50">
        <v>0</v>
      </c>
      <c r="F96" s="50">
        <v>7</v>
      </c>
      <c r="G96" s="50">
        <v>0</v>
      </c>
      <c r="H96" s="50">
        <v>1</v>
      </c>
      <c r="I96" s="50">
        <v>1</v>
      </c>
      <c r="J96" s="50">
        <v>3</v>
      </c>
      <c r="K96" s="50">
        <v>3</v>
      </c>
      <c r="L96" s="50">
        <v>6</v>
      </c>
      <c r="M96" s="50">
        <v>63</v>
      </c>
      <c r="N96" s="50">
        <v>0</v>
      </c>
      <c r="O96" s="15">
        <f t="shared" si="35"/>
        <v>24</v>
      </c>
      <c r="P96" s="15">
        <f t="shared" si="36"/>
        <v>87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0</v>
      </c>
      <c r="E97" s="50">
        <v>0</v>
      </c>
      <c r="F97" s="50">
        <v>7</v>
      </c>
      <c r="G97" s="50">
        <v>0</v>
      </c>
      <c r="H97" s="50">
        <v>0</v>
      </c>
      <c r="I97" s="50">
        <v>1</v>
      </c>
      <c r="J97" s="50">
        <v>2</v>
      </c>
      <c r="K97" s="50">
        <v>7</v>
      </c>
      <c r="L97" s="50">
        <v>19</v>
      </c>
      <c r="M97" s="50">
        <v>4</v>
      </c>
      <c r="N97" s="50">
        <v>0</v>
      </c>
      <c r="O97" s="15">
        <f t="shared" si="35"/>
        <v>39</v>
      </c>
      <c r="P97" s="15">
        <f t="shared" si="36"/>
        <v>43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2</v>
      </c>
      <c r="E98" s="50">
        <v>2</v>
      </c>
      <c r="F98" s="50">
        <v>12</v>
      </c>
      <c r="G98" s="50">
        <v>0</v>
      </c>
      <c r="H98" s="50">
        <v>4</v>
      </c>
      <c r="I98" s="50">
        <v>2</v>
      </c>
      <c r="J98" s="50">
        <v>2</v>
      </c>
      <c r="K98" s="50">
        <v>9</v>
      </c>
      <c r="L98" s="50">
        <v>13</v>
      </c>
      <c r="M98" s="50">
        <v>4</v>
      </c>
      <c r="N98" s="50">
        <v>0</v>
      </c>
      <c r="O98" s="15">
        <f t="shared" si="35"/>
        <v>48</v>
      </c>
      <c r="P98" s="15">
        <f t="shared" si="36"/>
        <v>52</v>
      </c>
      <c r="R98" s="8"/>
      <c r="T98"/>
    </row>
    <row r="99" spans="2:20" ht="23.1" customHeight="1" x14ac:dyDescent="0.25">
      <c r="B99" s="45" t="s">
        <v>139</v>
      </c>
      <c r="C99" s="50">
        <v>4</v>
      </c>
      <c r="D99" s="50">
        <v>6</v>
      </c>
      <c r="E99" s="50">
        <v>0</v>
      </c>
      <c r="F99" s="50">
        <v>18</v>
      </c>
      <c r="G99" s="50">
        <v>1</v>
      </c>
      <c r="H99" s="50">
        <v>3</v>
      </c>
      <c r="I99" s="50">
        <v>3</v>
      </c>
      <c r="J99" s="50">
        <v>4</v>
      </c>
      <c r="K99" s="50">
        <v>7</v>
      </c>
      <c r="L99" s="50">
        <v>16</v>
      </c>
      <c r="M99" s="50">
        <v>8</v>
      </c>
      <c r="N99" s="50">
        <v>0</v>
      </c>
      <c r="O99" s="15">
        <f t="shared" si="35"/>
        <v>62</v>
      </c>
      <c r="P99" s="15">
        <f t="shared" si="36"/>
        <v>70</v>
      </c>
      <c r="R99" s="8"/>
      <c r="T99"/>
    </row>
    <row r="100" spans="2:20" ht="23.1" customHeight="1" x14ac:dyDescent="0.25">
      <c r="B100" s="47" t="s">
        <v>140</v>
      </c>
      <c r="C100" s="50">
        <v>12</v>
      </c>
      <c r="D100" s="50">
        <v>8</v>
      </c>
      <c r="E100" s="50">
        <v>1</v>
      </c>
      <c r="F100" s="50">
        <v>17</v>
      </c>
      <c r="G100" s="50">
        <v>0</v>
      </c>
      <c r="H100" s="50">
        <v>4</v>
      </c>
      <c r="I100" s="50">
        <v>1</v>
      </c>
      <c r="J100" s="50">
        <v>7</v>
      </c>
      <c r="K100" s="50">
        <v>17</v>
      </c>
      <c r="L100" s="50">
        <v>23</v>
      </c>
      <c r="M100" s="50">
        <v>11</v>
      </c>
      <c r="N100" s="50">
        <v>0</v>
      </c>
      <c r="O100" s="15">
        <f t="shared" si="35"/>
        <v>90</v>
      </c>
      <c r="P100" s="15">
        <f t="shared" si="36"/>
        <v>101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1</v>
      </c>
      <c r="E101" s="50">
        <v>2</v>
      </c>
      <c r="F101" s="50">
        <v>8</v>
      </c>
      <c r="G101" s="50">
        <v>0</v>
      </c>
      <c r="H101" s="50">
        <v>1</v>
      </c>
      <c r="I101" s="50">
        <v>1</v>
      </c>
      <c r="J101" s="50">
        <v>3</v>
      </c>
      <c r="K101" s="50">
        <v>5</v>
      </c>
      <c r="L101" s="50">
        <v>6</v>
      </c>
      <c r="M101" s="50">
        <v>1</v>
      </c>
      <c r="N101" s="50">
        <v>0</v>
      </c>
      <c r="O101" s="15">
        <f t="shared" si="35"/>
        <v>28</v>
      </c>
      <c r="P101" s="15">
        <f t="shared" si="36"/>
        <v>29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0</v>
      </c>
      <c r="E102" s="50">
        <v>0</v>
      </c>
      <c r="F102" s="50">
        <v>12</v>
      </c>
      <c r="G102" s="50">
        <v>1</v>
      </c>
      <c r="H102" s="50">
        <v>2</v>
      </c>
      <c r="I102" s="50">
        <v>2</v>
      </c>
      <c r="J102" s="50">
        <v>7</v>
      </c>
      <c r="K102" s="50">
        <v>3</v>
      </c>
      <c r="L102" s="50">
        <v>11</v>
      </c>
      <c r="M102" s="50">
        <v>2</v>
      </c>
      <c r="N102" s="50">
        <v>0</v>
      </c>
      <c r="O102" s="15">
        <f t="shared" si="35"/>
        <v>41</v>
      </c>
      <c r="P102" s="15">
        <f t="shared" si="36"/>
        <v>43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0</v>
      </c>
      <c r="E103" s="50">
        <v>0</v>
      </c>
      <c r="F103" s="50">
        <v>4</v>
      </c>
      <c r="G103" s="50">
        <v>0</v>
      </c>
      <c r="H103" s="50">
        <v>1</v>
      </c>
      <c r="I103" s="50">
        <v>0</v>
      </c>
      <c r="J103" s="50">
        <v>1</v>
      </c>
      <c r="K103" s="50">
        <v>3</v>
      </c>
      <c r="L103" s="50">
        <v>4</v>
      </c>
      <c r="M103" s="50">
        <v>0</v>
      </c>
      <c r="N103" s="50">
        <v>0</v>
      </c>
      <c r="O103" s="15">
        <f t="shared" si="35"/>
        <v>16</v>
      </c>
      <c r="P103" s="15">
        <f t="shared" si="36"/>
        <v>16</v>
      </c>
      <c r="R103" s="8"/>
      <c r="T103"/>
    </row>
    <row r="104" spans="2:20" ht="23.1" customHeight="1" x14ac:dyDescent="0.25">
      <c r="B104" s="47" t="s">
        <v>144</v>
      </c>
      <c r="C104" s="50">
        <v>14</v>
      </c>
      <c r="D104" s="50">
        <v>3</v>
      </c>
      <c r="E104" s="50">
        <v>4</v>
      </c>
      <c r="F104" s="50">
        <v>37</v>
      </c>
      <c r="G104" s="50">
        <v>1</v>
      </c>
      <c r="H104" s="50">
        <v>1</v>
      </c>
      <c r="I104" s="50">
        <v>7</v>
      </c>
      <c r="J104" s="50">
        <v>3</v>
      </c>
      <c r="K104" s="50">
        <v>9</v>
      </c>
      <c r="L104" s="50">
        <v>14</v>
      </c>
      <c r="M104" s="50">
        <v>10</v>
      </c>
      <c r="N104" s="50">
        <v>0</v>
      </c>
      <c r="O104" s="15">
        <f t="shared" si="35"/>
        <v>93</v>
      </c>
      <c r="P104" s="15">
        <f t="shared" si="36"/>
        <v>103</v>
      </c>
      <c r="R104" s="8"/>
      <c r="T104"/>
    </row>
    <row r="105" spans="2:20" ht="23.1" customHeight="1" x14ac:dyDescent="0.25">
      <c r="B105" s="45" t="s">
        <v>145</v>
      </c>
      <c r="C105" s="50">
        <v>9</v>
      </c>
      <c r="D105" s="50">
        <v>4</v>
      </c>
      <c r="E105" s="50">
        <v>1</v>
      </c>
      <c r="F105" s="50">
        <v>26</v>
      </c>
      <c r="G105" s="50">
        <v>1</v>
      </c>
      <c r="H105" s="50">
        <v>2</v>
      </c>
      <c r="I105" s="50">
        <v>2</v>
      </c>
      <c r="J105" s="50">
        <v>7</v>
      </c>
      <c r="K105" s="50">
        <v>3</v>
      </c>
      <c r="L105" s="50">
        <v>10</v>
      </c>
      <c r="M105" s="50">
        <v>16</v>
      </c>
      <c r="N105" s="50">
        <v>0</v>
      </c>
      <c r="O105" s="15">
        <f t="shared" si="35"/>
        <v>65</v>
      </c>
      <c r="P105" s="15">
        <f t="shared" si="36"/>
        <v>81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864</v>
      </c>
      <c r="D106" s="16">
        <f t="shared" ref="D106:P106" si="37">SUM(D10:D105)</f>
        <v>389</v>
      </c>
      <c r="E106" s="16">
        <f t="shared" si="37"/>
        <v>222</v>
      </c>
      <c r="F106" s="16">
        <f t="shared" si="37"/>
        <v>2017</v>
      </c>
      <c r="G106" s="16">
        <f t="shared" si="37"/>
        <v>74</v>
      </c>
      <c r="H106" s="16">
        <f t="shared" si="37"/>
        <v>73</v>
      </c>
      <c r="I106" s="16">
        <f t="shared" si="37"/>
        <v>249</v>
      </c>
      <c r="J106" s="16">
        <f t="shared" si="37"/>
        <v>452</v>
      </c>
      <c r="K106" s="16">
        <f t="shared" si="37"/>
        <v>280</v>
      </c>
      <c r="L106" s="16">
        <f t="shared" si="37"/>
        <v>877</v>
      </c>
      <c r="M106" s="16">
        <f t="shared" si="37"/>
        <v>1545</v>
      </c>
      <c r="N106" s="16">
        <f t="shared" si="37"/>
        <v>3</v>
      </c>
      <c r="O106" s="16">
        <f t="shared" si="37"/>
        <v>5500</v>
      </c>
      <c r="P106" s="16">
        <f t="shared" si="37"/>
        <v>7045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0.12264017033356991</v>
      </c>
      <c r="D107" s="43">
        <f t="shared" si="38"/>
        <v>5.5216465578424412E-2</v>
      </c>
      <c r="E107" s="43">
        <f t="shared" si="38"/>
        <v>3.1511710432931155E-2</v>
      </c>
      <c r="F107" s="43">
        <f t="shared" si="38"/>
        <v>0.28630234208658623</v>
      </c>
      <c r="G107" s="43">
        <f t="shared" si="38"/>
        <v>1.0503903477643718E-2</v>
      </c>
      <c r="H107" s="43">
        <f t="shared" si="38"/>
        <v>1.0361958836053939E-2</v>
      </c>
      <c r="I107" s="43">
        <f t="shared" si="38"/>
        <v>3.5344215755855217E-2</v>
      </c>
      <c r="J107" s="43">
        <f t="shared" si="38"/>
        <v>6.4158977998580558E-2</v>
      </c>
      <c r="K107" s="43">
        <f t="shared" si="38"/>
        <v>3.9744499645138397E-2</v>
      </c>
      <c r="L107" s="43">
        <f t="shared" si="38"/>
        <v>0.12448545067423705</v>
      </c>
      <c r="M107" s="43">
        <f t="shared" si="38"/>
        <v>0.21930447125621008</v>
      </c>
      <c r="N107" s="43">
        <f t="shared" si="38"/>
        <v>4.2583392476933996E-4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0.15709090909090909</v>
      </c>
      <c r="D108" s="44">
        <f t="shared" ref="D108:N108" si="39">D106/$O$106</f>
        <v>7.0727272727272722E-2</v>
      </c>
      <c r="E108" s="44">
        <f t="shared" si="39"/>
        <v>4.0363636363636365E-2</v>
      </c>
      <c r="F108" s="44">
        <f t="shared" si="39"/>
        <v>0.36672727272727274</v>
      </c>
      <c r="G108" s="44">
        <f t="shared" si="39"/>
        <v>1.3454545454545455E-2</v>
      </c>
      <c r="H108" s="44">
        <f t="shared" si="39"/>
        <v>1.3272727272727273E-2</v>
      </c>
      <c r="I108" s="44">
        <f t="shared" si="39"/>
        <v>4.527272727272727E-2</v>
      </c>
      <c r="J108" s="44">
        <f t="shared" si="39"/>
        <v>8.2181818181818175E-2</v>
      </c>
      <c r="K108" s="44">
        <f t="shared" si="39"/>
        <v>5.0909090909090911E-2</v>
      </c>
      <c r="L108" s="44">
        <f t="shared" si="39"/>
        <v>0.15945454545454546</v>
      </c>
      <c r="M108" s="44"/>
      <c r="N108" s="44">
        <f t="shared" si="39"/>
        <v>5.4545454545454548E-4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B1:AF174"/>
  <sheetViews>
    <sheetView view="pageBreakPreview" topLeftCell="A91" zoomScale="60" workbookViewId="0">
      <selection activeCell="C69" sqref="C6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jinja-kampala'!C3:G3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3" t="str">
        <f>'19.10 Kampala-Jinja-24hr'!G5:H5</f>
        <v>Nakibbizi</v>
      </c>
      <c r="H5" s="64"/>
      <c r="I5" s="14"/>
      <c r="J5" s="2" t="s">
        <v>5</v>
      </c>
      <c r="K5" s="63" t="str">
        <f>'19.10 Kampala-Jinja-24hr'!K5:L5</f>
        <v>jerome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Kampala-Jinja'!D6:E6</f>
        <v>Kampala</v>
      </c>
      <c r="E6" s="64"/>
      <c r="F6" s="2" t="s">
        <v>2</v>
      </c>
      <c r="G6" s="63" t="str">
        <f>'17.10 Kampala-Jinja'!G6:H6</f>
        <v>Jinja</v>
      </c>
      <c r="H6" s="64"/>
      <c r="J6" s="2" t="s">
        <v>21</v>
      </c>
      <c r="K6" s="63" t="str">
        <f>'19.10 Kampala-Jinja-24hr'!K6:L6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19</v>
      </c>
      <c r="D10" s="50">
        <v>4</v>
      </c>
      <c r="E10" s="50">
        <v>5</v>
      </c>
      <c r="F10" s="50">
        <v>29</v>
      </c>
      <c r="G10" s="50">
        <v>2</v>
      </c>
      <c r="H10" s="50">
        <v>2</v>
      </c>
      <c r="I10" s="50">
        <v>2</v>
      </c>
      <c r="J10" s="50">
        <v>5</v>
      </c>
      <c r="K10" s="50">
        <v>8</v>
      </c>
      <c r="L10" s="50">
        <v>10</v>
      </c>
      <c r="M10" s="50">
        <v>20</v>
      </c>
      <c r="N10" s="50">
        <v>0</v>
      </c>
      <c r="O10" s="15">
        <f t="shared" ref="O10:O73" si="0">SUM(C10:L10,N10)</f>
        <v>86</v>
      </c>
      <c r="P10" s="15">
        <f t="shared" ref="P10:P73" si="1">SUM(C10:N10)</f>
        <v>106</v>
      </c>
      <c r="R10" s="1" t="s">
        <v>6</v>
      </c>
      <c r="S10" s="17">
        <f t="shared" ref="S10:AF10" si="2">SUM(C10:C13)</f>
        <v>57</v>
      </c>
      <c r="T10" s="17">
        <f t="shared" si="2"/>
        <v>16</v>
      </c>
      <c r="U10" s="17">
        <f t="shared" si="2"/>
        <v>14</v>
      </c>
      <c r="V10" s="17">
        <f t="shared" si="2"/>
        <v>89</v>
      </c>
      <c r="W10" s="17">
        <f t="shared" si="2"/>
        <v>3</v>
      </c>
      <c r="X10" s="17">
        <f t="shared" si="2"/>
        <v>3</v>
      </c>
      <c r="Y10" s="17">
        <f t="shared" si="2"/>
        <v>8</v>
      </c>
      <c r="Z10" s="17">
        <f t="shared" si="2"/>
        <v>18</v>
      </c>
      <c r="AA10" s="17">
        <f t="shared" si="2"/>
        <v>15</v>
      </c>
      <c r="AB10" s="17">
        <f t="shared" si="2"/>
        <v>16</v>
      </c>
      <c r="AC10" s="17">
        <f t="shared" si="2"/>
        <v>45</v>
      </c>
      <c r="AD10" s="17">
        <f t="shared" si="2"/>
        <v>0</v>
      </c>
      <c r="AE10" s="31">
        <f t="shared" si="2"/>
        <v>239</v>
      </c>
      <c r="AF10" s="31">
        <f t="shared" si="2"/>
        <v>284</v>
      </c>
    </row>
    <row r="11" spans="2:32" s="6" customFormat="1" ht="23.1" customHeight="1" x14ac:dyDescent="0.25">
      <c r="B11" s="45" t="s">
        <v>38</v>
      </c>
      <c r="C11" s="50">
        <v>11</v>
      </c>
      <c r="D11" s="50">
        <v>8</v>
      </c>
      <c r="E11" s="50">
        <v>0</v>
      </c>
      <c r="F11" s="50">
        <v>15</v>
      </c>
      <c r="G11" s="50">
        <v>0</v>
      </c>
      <c r="H11" s="50">
        <v>0</v>
      </c>
      <c r="I11" s="50">
        <v>3</v>
      </c>
      <c r="J11" s="50">
        <v>6</v>
      </c>
      <c r="K11" s="50">
        <v>1</v>
      </c>
      <c r="L11" s="50">
        <v>2</v>
      </c>
      <c r="M11" s="50">
        <v>5</v>
      </c>
      <c r="N11" s="50">
        <v>0</v>
      </c>
      <c r="O11" s="15">
        <f t="shared" si="0"/>
        <v>46</v>
      </c>
      <c r="P11" s="15">
        <f t="shared" si="1"/>
        <v>51</v>
      </c>
      <c r="R11" s="1" t="s">
        <v>7</v>
      </c>
      <c r="S11" s="17">
        <f t="shared" ref="S11:AF11" si="3">SUM(C14:C17)</f>
        <v>68</v>
      </c>
      <c r="T11" s="17">
        <f t="shared" si="3"/>
        <v>30</v>
      </c>
      <c r="U11" s="17">
        <f t="shared" si="3"/>
        <v>16</v>
      </c>
      <c r="V11" s="17">
        <f t="shared" si="3"/>
        <v>107</v>
      </c>
      <c r="W11" s="17">
        <f t="shared" si="3"/>
        <v>2</v>
      </c>
      <c r="X11" s="17">
        <f t="shared" si="3"/>
        <v>1</v>
      </c>
      <c r="Y11" s="17">
        <f t="shared" si="3"/>
        <v>8</v>
      </c>
      <c r="Z11" s="17">
        <f t="shared" si="3"/>
        <v>15</v>
      </c>
      <c r="AA11" s="17">
        <f t="shared" si="3"/>
        <v>5</v>
      </c>
      <c r="AB11" s="17">
        <f t="shared" si="3"/>
        <v>10</v>
      </c>
      <c r="AC11" s="17">
        <f t="shared" si="3"/>
        <v>58</v>
      </c>
      <c r="AD11" s="17">
        <f t="shared" si="3"/>
        <v>0</v>
      </c>
      <c r="AE11" s="31">
        <f t="shared" si="3"/>
        <v>262</v>
      </c>
      <c r="AF11" s="31">
        <f t="shared" si="3"/>
        <v>320</v>
      </c>
    </row>
    <row r="12" spans="2:32" ht="23.1" customHeight="1" x14ac:dyDescent="0.25">
      <c r="B12" s="45" t="s">
        <v>39</v>
      </c>
      <c r="C12" s="50">
        <v>15</v>
      </c>
      <c r="D12" s="50">
        <v>1</v>
      </c>
      <c r="E12" s="50">
        <v>4</v>
      </c>
      <c r="F12" s="50">
        <v>15</v>
      </c>
      <c r="G12" s="50">
        <v>1</v>
      </c>
      <c r="H12" s="50">
        <v>1</v>
      </c>
      <c r="I12" s="50">
        <v>1</v>
      </c>
      <c r="J12" s="50">
        <v>5</v>
      </c>
      <c r="K12" s="50">
        <v>4</v>
      </c>
      <c r="L12" s="50">
        <v>2</v>
      </c>
      <c r="M12" s="50">
        <v>11</v>
      </c>
      <c r="N12" s="50">
        <v>0</v>
      </c>
      <c r="O12" s="15">
        <f t="shared" si="0"/>
        <v>49</v>
      </c>
      <c r="P12" s="15">
        <f t="shared" si="1"/>
        <v>60</v>
      </c>
      <c r="R12" s="1" t="s">
        <v>8</v>
      </c>
      <c r="S12" s="17">
        <f t="shared" ref="S12:AF12" si="4">SUM(C18:C21)</f>
        <v>61</v>
      </c>
      <c r="T12" s="17">
        <f t="shared" si="4"/>
        <v>32</v>
      </c>
      <c r="U12" s="17">
        <f t="shared" si="4"/>
        <v>19</v>
      </c>
      <c r="V12" s="17">
        <f t="shared" si="4"/>
        <v>115</v>
      </c>
      <c r="W12" s="17">
        <f t="shared" si="4"/>
        <v>2</v>
      </c>
      <c r="X12" s="17">
        <f t="shared" si="4"/>
        <v>2</v>
      </c>
      <c r="Y12" s="17">
        <f t="shared" si="4"/>
        <v>6</v>
      </c>
      <c r="Z12" s="17">
        <f t="shared" si="4"/>
        <v>8</v>
      </c>
      <c r="AA12" s="17">
        <f t="shared" si="4"/>
        <v>2</v>
      </c>
      <c r="AB12" s="17">
        <f t="shared" si="4"/>
        <v>10</v>
      </c>
      <c r="AC12" s="17">
        <f t="shared" si="4"/>
        <v>37</v>
      </c>
      <c r="AD12" s="17">
        <f t="shared" si="4"/>
        <v>0</v>
      </c>
      <c r="AE12" s="31">
        <f t="shared" si="4"/>
        <v>257</v>
      </c>
      <c r="AF12" s="31">
        <f t="shared" si="4"/>
        <v>294</v>
      </c>
    </row>
    <row r="13" spans="2:32" ht="23.1" customHeight="1" x14ac:dyDescent="0.25">
      <c r="B13" s="45" t="s">
        <v>40</v>
      </c>
      <c r="C13" s="50">
        <v>12</v>
      </c>
      <c r="D13" s="50">
        <v>3</v>
      </c>
      <c r="E13" s="50">
        <v>5</v>
      </c>
      <c r="F13" s="50">
        <v>30</v>
      </c>
      <c r="G13" s="50">
        <v>0</v>
      </c>
      <c r="H13" s="50">
        <v>0</v>
      </c>
      <c r="I13" s="50">
        <v>2</v>
      </c>
      <c r="J13" s="50">
        <v>2</v>
      </c>
      <c r="K13" s="50">
        <v>2</v>
      </c>
      <c r="L13" s="50">
        <v>2</v>
      </c>
      <c r="M13" s="50">
        <v>9</v>
      </c>
      <c r="N13" s="50">
        <v>0</v>
      </c>
      <c r="O13" s="15">
        <f t="shared" si="0"/>
        <v>58</v>
      </c>
      <c r="P13" s="15">
        <f t="shared" si="1"/>
        <v>67</v>
      </c>
      <c r="R13" s="1" t="s">
        <v>9</v>
      </c>
      <c r="S13" s="17">
        <f t="shared" ref="S13:AF13" si="5">SUM(C22:C25)</f>
        <v>55</v>
      </c>
      <c r="T13" s="17">
        <f t="shared" si="5"/>
        <v>39</v>
      </c>
      <c r="U13" s="17">
        <f t="shared" si="5"/>
        <v>18</v>
      </c>
      <c r="V13" s="17">
        <f t="shared" si="5"/>
        <v>125</v>
      </c>
      <c r="W13" s="17">
        <f t="shared" si="5"/>
        <v>4</v>
      </c>
      <c r="X13" s="17">
        <f t="shared" si="5"/>
        <v>3</v>
      </c>
      <c r="Y13" s="17">
        <f t="shared" si="5"/>
        <v>8</v>
      </c>
      <c r="Z13" s="17">
        <f t="shared" si="5"/>
        <v>15</v>
      </c>
      <c r="AA13" s="17">
        <f t="shared" si="5"/>
        <v>2</v>
      </c>
      <c r="AB13" s="17">
        <f t="shared" si="5"/>
        <v>5</v>
      </c>
      <c r="AC13" s="17">
        <f t="shared" si="5"/>
        <v>60</v>
      </c>
      <c r="AD13" s="17">
        <f t="shared" si="5"/>
        <v>0</v>
      </c>
      <c r="AE13" s="31">
        <f t="shared" si="5"/>
        <v>274</v>
      </c>
      <c r="AF13" s="31">
        <f t="shared" si="5"/>
        <v>334</v>
      </c>
    </row>
    <row r="14" spans="2:32" ht="23.1" customHeight="1" x14ac:dyDescent="0.25">
      <c r="B14" s="45" t="s">
        <v>41</v>
      </c>
      <c r="C14" s="50">
        <v>19</v>
      </c>
      <c r="D14" s="50">
        <v>7</v>
      </c>
      <c r="E14" s="50">
        <v>4</v>
      </c>
      <c r="F14" s="50">
        <v>39</v>
      </c>
      <c r="G14" s="50">
        <v>1</v>
      </c>
      <c r="H14" s="50">
        <v>0</v>
      </c>
      <c r="I14" s="50">
        <v>3</v>
      </c>
      <c r="J14" s="50">
        <v>1</v>
      </c>
      <c r="K14" s="50">
        <v>1</v>
      </c>
      <c r="L14" s="50">
        <v>1</v>
      </c>
      <c r="M14" s="50">
        <v>12</v>
      </c>
      <c r="N14" s="50">
        <v>0</v>
      </c>
      <c r="O14" s="15">
        <f t="shared" si="0"/>
        <v>76</v>
      </c>
      <c r="P14" s="15">
        <f t="shared" si="1"/>
        <v>88</v>
      </c>
      <c r="R14" s="1" t="s">
        <v>10</v>
      </c>
      <c r="S14" s="17">
        <f t="shared" ref="S14:AF14" si="6">SUM(C26:C29)</f>
        <v>64</v>
      </c>
      <c r="T14" s="17">
        <f t="shared" si="6"/>
        <v>31</v>
      </c>
      <c r="U14" s="17">
        <f t="shared" si="6"/>
        <v>21</v>
      </c>
      <c r="V14" s="17">
        <f t="shared" si="6"/>
        <v>120</v>
      </c>
      <c r="W14" s="17">
        <f t="shared" si="6"/>
        <v>4</v>
      </c>
      <c r="X14" s="17">
        <f t="shared" si="6"/>
        <v>3</v>
      </c>
      <c r="Y14" s="17">
        <f t="shared" si="6"/>
        <v>11</v>
      </c>
      <c r="Z14" s="17">
        <f t="shared" si="6"/>
        <v>12</v>
      </c>
      <c r="AA14" s="17">
        <f t="shared" si="6"/>
        <v>1</v>
      </c>
      <c r="AB14" s="17">
        <f t="shared" si="6"/>
        <v>18</v>
      </c>
      <c r="AC14" s="17">
        <f t="shared" si="6"/>
        <v>89</v>
      </c>
      <c r="AD14" s="17">
        <f t="shared" si="6"/>
        <v>0</v>
      </c>
      <c r="AE14" s="31">
        <f t="shared" si="6"/>
        <v>285</v>
      </c>
      <c r="AF14" s="31">
        <f t="shared" si="6"/>
        <v>374</v>
      </c>
    </row>
    <row r="15" spans="2:32" ht="23.1" customHeight="1" x14ac:dyDescent="0.25">
      <c r="B15" s="45" t="s">
        <v>42</v>
      </c>
      <c r="C15" s="50">
        <v>24</v>
      </c>
      <c r="D15" s="50">
        <v>8</v>
      </c>
      <c r="E15" s="50">
        <v>4</v>
      </c>
      <c r="F15" s="50">
        <v>26</v>
      </c>
      <c r="G15" s="50">
        <v>0</v>
      </c>
      <c r="H15" s="50">
        <v>0</v>
      </c>
      <c r="I15" s="50">
        <v>2</v>
      </c>
      <c r="J15" s="50">
        <v>5</v>
      </c>
      <c r="K15" s="50">
        <v>3</v>
      </c>
      <c r="L15" s="50">
        <v>2</v>
      </c>
      <c r="M15" s="50">
        <v>19</v>
      </c>
      <c r="N15" s="50">
        <v>0</v>
      </c>
      <c r="O15" s="15">
        <f t="shared" si="0"/>
        <v>74</v>
      </c>
      <c r="P15" s="15">
        <f t="shared" si="1"/>
        <v>93</v>
      </c>
      <c r="R15" s="1" t="s">
        <v>11</v>
      </c>
      <c r="S15" s="17">
        <f t="shared" ref="S15:AF15" si="7">SUM(C30:C33)</f>
        <v>63</v>
      </c>
      <c r="T15" s="17">
        <f t="shared" si="7"/>
        <v>31</v>
      </c>
      <c r="U15" s="17">
        <f t="shared" si="7"/>
        <v>19</v>
      </c>
      <c r="V15" s="17">
        <f t="shared" si="7"/>
        <v>89</v>
      </c>
      <c r="W15" s="17">
        <f t="shared" si="7"/>
        <v>5</v>
      </c>
      <c r="X15" s="17">
        <f t="shared" si="7"/>
        <v>2</v>
      </c>
      <c r="Y15" s="17">
        <f t="shared" si="7"/>
        <v>13</v>
      </c>
      <c r="Z15" s="17">
        <f t="shared" si="7"/>
        <v>18</v>
      </c>
      <c r="AA15" s="17">
        <f t="shared" si="7"/>
        <v>6</v>
      </c>
      <c r="AB15" s="17">
        <f t="shared" si="7"/>
        <v>29</v>
      </c>
      <c r="AC15" s="17">
        <f t="shared" si="7"/>
        <v>53</v>
      </c>
      <c r="AD15" s="17">
        <f t="shared" si="7"/>
        <v>0</v>
      </c>
      <c r="AE15" s="31">
        <f t="shared" si="7"/>
        <v>275</v>
      </c>
      <c r="AF15" s="31">
        <f t="shared" si="7"/>
        <v>328</v>
      </c>
    </row>
    <row r="16" spans="2:32" ht="23.1" customHeight="1" x14ac:dyDescent="0.25">
      <c r="B16" s="45" t="s">
        <v>43</v>
      </c>
      <c r="C16" s="50">
        <v>15</v>
      </c>
      <c r="D16" s="50">
        <v>8</v>
      </c>
      <c r="E16" s="50">
        <v>3</v>
      </c>
      <c r="F16" s="50">
        <v>29</v>
      </c>
      <c r="G16" s="50">
        <v>1</v>
      </c>
      <c r="H16" s="50">
        <v>1</v>
      </c>
      <c r="I16" s="50">
        <v>2</v>
      </c>
      <c r="J16" s="50">
        <v>5</v>
      </c>
      <c r="K16" s="50">
        <v>1</v>
      </c>
      <c r="L16" s="50">
        <v>3</v>
      </c>
      <c r="M16" s="50">
        <v>20</v>
      </c>
      <c r="N16" s="50">
        <v>0</v>
      </c>
      <c r="O16" s="15">
        <f t="shared" si="0"/>
        <v>68</v>
      </c>
      <c r="P16" s="15">
        <f t="shared" si="1"/>
        <v>88</v>
      </c>
      <c r="R16" s="1" t="s">
        <v>12</v>
      </c>
      <c r="S16" s="17">
        <f t="shared" ref="S16:AF16" si="8">SUM(C34:C37)</f>
        <v>56</v>
      </c>
      <c r="T16" s="17">
        <f t="shared" si="8"/>
        <v>28</v>
      </c>
      <c r="U16" s="17">
        <f t="shared" si="8"/>
        <v>23</v>
      </c>
      <c r="V16" s="17">
        <f t="shared" si="8"/>
        <v>121</v>
      </c>
      <c r="W16" s="17">
        <f t="shared" si="8"/>
        <v>6</v>
      </c>
      <c r="X16" s="17">
        <f t="shared" si="8"/>
        <v>2</v>
      </c>
      <c r="Y16" s="17">
        <f t="shared" si="8"/>
        <v>16</v>
      </c>
      <c r="Z16" s="17">
        <f t="shared" si="8"/>
        <v>11</v>
      </c>
      <c r="AA16" s="17">
        <f t="shared" si="8"/>
        <v>2</v>
      </c>
      <c r="AB16" s="17">
        <f t="shared" si="8"/>
        <v>30</v>
      </c>
      <c r="AC16" s="17">
        <f t="shared" si="8"/>
        <v>61</v>
      </c>
      <c r="AD16" s="17">
        <f t="shared" si="8"/>
        <v>1</v>
      </c>
      <c r="AE16" s="31">
        <f t="shared" si="8"/>
        <v>296</v>
      </c>
      <c r="AF16" s="31">
        <f t="shared" si="8"/>
        <v>357</v>
      </c>
    </row>
    <row r="17" spans="2:32" ht="23.1" customHeight="1" x14ac:dyDescent="0.25">
      <c r="B17" s="45" t="s">
        <v>44</v>
      </c>
      <c r="C17" s="50">
        <v>10</v>
      </c>
      <c r="D17" s="50">
        <v>7</v>
      </c>
      <c r="E17" s="50">
        <v>5</v>
      </c>
      <c r="F17" s="50">
        <v>13</v>
      </c>
      <c r="G17" s="50">
        <v>0</v>
      </c>
      <c r="H17" s="50">
        <v>0</v>
      </c>
      <c r="I17" s="50">
        <v>1</v>
      </c>
      <c r="J17" s="50">
        <v>4</v>
      </c>
      <c r="K17" s="50">
        <v>0</v>
      </c>
      <c r="L17" s="50">
        <v>4</v>
      </c>
      <c r="M17" s="50">
        <v>7</v>
      </c>
      <c r="N17" s="50">
        <v>0</v>
      </c>
      <c r="O17" s="15">
        <f t="shared" si="0"/>
        <v>44</v>
      </c>
      <c r="P17" s="15">
        <f t="shared" si="1"/>
        <v>51</v>
      </c>
      <c r="R17" s="1" t="s">
        <v>13</v>
      </c>
      <c r="S17" s="17">
        <f t="shared" ref="S17:AF17" si="9">SUM(C38:C41)</f>
        <v>44</v>
      </c>
      <c r="T17" s="17">
        <f t="shared" si="9"/>
        <v>37</v>
      </c>
      <c r="U17" s="17">
        <f t="shared" si="9"/>
        <v>16</v>
      </c>
      <c r="V17" s="17">
        <f t="shared" si="9"/>
        <v>114</v>
      </c>
      <c r="W17" s="17">
        <f t="shared" si="9"/>
        <v>7</v>
      </c>
      <c r="X17" s="17">
        <f t="shared" si="9"/>
        <v>1</v>
      </c>
      <c r="Y17" s="17">
        <f t="shared" si="9"/>
        <v>17</v>
      </c>
      <c r="Z17" s="17">
        <f t="shared" si="9"/>
        <v>13</v>
      </c>
      <c r="AA17" s="17">
        <f t="shared" si="9"/>
        <v>1</v>
      </c>
      <c r="AB17" s="17">
        <f t="shared" si="9"/>
        <v>31</v>
      </c>
      <c r="AC17" s="17">
        <f t="shared" si="9"/>
        <v>78</v>
      </c>
      <c r="AD17" s="17">
        <f t="shared" si="9"/>
        <v>0</v>
      </c>
      <c r="AE17" s="31">
        <f t="shared" si="9"/>
        <v>281</v>
      </c>
      <c r="AF17" s="31">
        <f t="shared" si="9"/>
        <v>359</v>
      </c>
    </row>
    <row r="18" spans="2:32" ht="23.1" customHeight="1" x14ac:dyDescent="0.25">
      <c r="B18" s="45" t="s">
        <v>45</v>
      </c>
      <c r="C18" s="50">
        <v>22</v>
      </c>
      <c r="D18" s="50">
        <v>12</v>
      </c>
      <c r="E18" s="50">
        <v>1</v>
      </c>
      <c r="F18" s="50">
        <v>36</v>
      </c>
      <c r="G18" s="50">
        <v>0</v>
      </c>
      <c r="H18" s="50">
        <v>0</v>
      </c>
      <c r="I18" s="50">
        <v>1</v>
      </c>
      <c r="J18" s="50">
        <v>2</v>
      </c>
      <c r="K18" s="50">
        <v>1</v>
      </c>
      <c r="L18" s="50">
        <v>1</v>
      </c>
      <c r="M18" s="50">
        <v>4</v>
      </c>
      <c r="N18" s="50">
        <v>0</v>
      </c>
      <c r="O18" s="15">
        <f t="shared" si="0"/>
        <v>76</v>
      </c>
      <c r="P18" s="15">
        <f t="shared" si="1"/>
        <v>80</v>
      </c>
      <c r="R18" s="1" t="s">
        <v>14</v>
      </c>
      <c r="S18" s="17">
        <f t="shared" ref="S18:AF18" si="10">SUM(C42:C45)</f>
        <v>46</v>
      </c>
      <c r="T18" s="17">
        <f t="shared" si="10"/>
        <v>25</v>
      </c>
      <c r="U18" s="17">
        <f t="shared" si="10"/>
        <v>13</v>
      </c>
      <c r="V18" s="17">
        <f t="shared" si="10"/>
        <v>103</v>
      </c>
      <c r="W18" s="17">
        <f t="shared" si="10"/>
        <v>2</v>
      </c>
      <c r="X18" s="17">
        <f t="shared" si="10"/>
        <v>2</v>
      </c>
      <c r="Y18" s="17">
        <f t="shared" si="10"/>
        <v>17</v>
      </c>
      <c r="Z18" s="17">
        <f t="shared" si="10"/>
        <v>22</v>
      </c>
      <c r="AA18" s="17">
        <f t="shared" si="10"/>
        <v>6</v>
      </c>
      <c r="AB18" s="17">
        <f t="shared" si="10"/>
        <v>50</v>
      </c>
      <c r="AC18" s="17">
        <f t="shared" si="10"/>
        <v>57</v>
      </c>
      <c r="AD18" s="17">
        <f t="shared" si="10"/>
        <v>0</v>
      </c>
      <c r="AE18" s="31">
        <f t="shared" si="10"/>
        <v>286</v>
      </c>
      <c r="AF18" s="31">
        <f t="shared" si="10"/>
        <v>343</v>
      </c>
    </row>
    <row r="19" spans="2:32" ht="23.1" customHeight="1" x14ac:dyDescent="0.25">
      <c r="B19" s="45" t="s">
        <v>46</v>
      </c>
      <c r="C19" s="50">
        <v>13</v>
      </c>
      <c r="D19" s="50">
        <v>5</v>
      </c>
      <c r="E19" s="50">
        <v>7</v>
      </c>
      <c r="F19" s="50">
        <v>20</v>
      </c>
      <c r="G19" s="50">
        <v>1</v>
      </c>
      <c r="H19" s="50">
        <v>1</v>
      </c>
      <c r="I19" s="50">
        <v>1</v>
      </c>
      <c r="J19" s="50">
        <v>1</v>
      </c>
      <c r="K19" s="50">
        <v>0</v>
      </c>
      <c r="L19" s="50">
        <v>6</v>
      </c>
      <c r="M19" s="50">
        <v>6</v>
      </c>
      <c r="N19" s="50">
        <v>0</v>
      </c>
      <c r="O19" s="15">
        <f t="shared" si="0"/>
        <v>55</v>
      </c>
      <c r="P19" s="15">
        <f t="shared" si="1"/>
        <v>61</v>
      </c>
      <c r="R19" s="1" t="s">
        <v>15</v>
      </c>
      <c r="S19" s="17">
        <f t="shared" ref="S19:AF19" si="11">SUM(C46:C49)</f>
        <v>44</v>
      </c>
      <c r="T19" s="17">
        <f t="shared" si="11"/>
        <v>15</v>
      </c>
      <c r="U19" s="17">
        <f t="shared" si="11"/>
        <v>17</v>
      </c>
      <c r="V19" s="17">
        <f t="shared" si="11"/>
        <v>125</v>
      </c>
      <c r="W19" s="17">
        <f t="shared" si="11"/>
        <v>4</v>
      </c>
      <c r="X19" s="17">
        <f t="shared" si="11"/>
        <v>4</v>
      </c>
      <c r="Y19" s="17">
        <f t="shared" si="11"/>
        <v>13</v>
      </c>
      <c r="Z19" s="17">
        <f t="shared" si="11"/>
        <v>28</v>
      </c>
      <c r="AA19" s="17">
        <f t="shared" si="11"/>
        <v>5</v>
      </c>
      <c r="AB19" s="17">
        <f t="shared" si="11"/>
        <v>75</v>
      </c>
      <c r="AC19" s="17">
        <f t="shared" si="11"/>
        <v>53</v>
      </c>
      <c r="AD19" s="17">
        <f t="shared" si="11"/>
        <v>0</v>
      </c>
      <c r="AE19" s="31">
        <f t="shared" si="11"/>
        <v>330</v>
      </c>
      <c r="AF19" s="31">
        <f t="shared" si="11"/>
        <v>383</v>
      </c>
    </row>
    <row r="20" spans="2:32" ht="23.1" customHeight="1" x14ac:dyDescent="0.25">
      <c r="B20" s="45" t="s">
        <v>47</v>
      </c>
      <c r="C20" s="50">
        <v>16</v>
      </c>
      <c r="D20" s="50">
        <v>7</v>
      </c>
      <c r="E20" s="50">
        <v>5</v>
      </c>
      <c r="F20" s="50">
        <v>38</v>
      </c>
      <c r="G20" s="50">
        <v>1</v>
      </c>
      <c r="H20" s="50">
        <v>0</v>
      </c>
      <c r="I20" s="50">
        <v>2</v>
      </c>
      <c r="J20" s="50">
        <v>2</v>
      </c>
      <c r="K20" s="50">
        <v>1</v>
      </c>
      <c r="L20" s="50">
        <v>2</v>
      </c>
      <c r="M20" s="50">
        <v>13</v>
      </c>
      <c r="N20" s="50">
        <v>0</v>
      </c>
      <c r="O20" s="15">
        <f t="shared" si="0"/>
        <v>74</v>
      </c>
      <c r="P20" s="15">
        <f t="shared" si="1"/>
        <v>87</v>
      </c>
      <c r="R20" s="1" t="s">
        <v>16</v>
      </c>
      <c r="S20" s="17">
        <f t="shared" ref="S20:AF20" si="12">SUM(C50:C53)</f>
        <v>51</v>
      </c>
      <c r="T20" s="17">
        <f t="shared" si="12"/>
        <v>36</v>
      </c>
      <c r="U20" s="17">
        <f t="shared" si="12"/>
        <v>9</v>
      </c>
      <c r="V20" s="17">
        <f t="shared" si="12"/>
        <v>106</v>
      </c>
      <c r="W20" s="17">
        <f t="shared" si="12"/>
        <v>6</v>
      </c>
      <c r="X20" s="17">
        <f t="shared" si="12"/>
        <v>1</v>
      </c>
      <c r="Y20" s="17">
        <f t="shared" si="12"/>
        <v>26</v>
      </c>
      <c r="Z20" s="17">
        <f t="shared" si="12"/>
        <v>19</v>
      </c>
      <c r="AA20" s="17">
        <f t="shared" si="12"/>
        <v>9</v>
      </c>
      <c r="AB20" s="17">
        <f t="shared" si="12"/>
        <v>81</v>
      </c>
      <c r="AC20" s="17">
        <f t="shared" si="12"/>
        <v>76</v>
      </c>
      <c r="AD20" s="17">
        <f t="shared" si="12"/>
        <v>0</v>
      </c>
      <c r="AE20" s="31">
        <f t="shared" si="12"/>
        <v>344</v>
      </c>
      <c r="AF20" s="31">
        <f t="shared" si="12"/>
        <v>420</v>
      </c>
    </row>
    <row r="21" spans="2:32" ht="23.1" customHeight="1" x14ac:dyDescent="0.25">
      <c r="B21" s="45" t="s">
        <v>48</v>
      </c>
      <c r="C21" s="50">
        <v>10</v>
      </c>
      <c r="D21" s="50">
        <v>8</v>
      </c>
      <c r="E21" s="50">
        <v>6</v>
      </c>
      <c r="F21" s="50">
        <v>21</v>
      </c>
      <c r="G21" s="50">
        <v>0</v>
      </c>
      <c r="H21" s="50">
        <v>1</v>
      </c>
      <c r="I21" s="50">
        <v>2</v>
      </c>
      <c r="J21" s="50">
        <v>3</v>
      </c>
      <c r="K21" s="50">
        <v>0</v>
      </c>
      <c r="L21" s="50">
        <v>1</v>
      </c>
      <c r="M21" s="50">
        <v>14</v>
      </c>
      <c r="N21" s="50">
        <v>0</v>
      </c>
      <c r="O21" s="15">
        <f t="shared" si="0"/>
        <v>52</v>
      </c>
      <c r="P21" s="15">
        <f t="shared" si="1"/>
        <v>66</v>
      </c>
      <c r="R21" s="36" t="s">
        <v>20</v>
      </c>
      <c r="S21" s="34">
        <f t="shared" ref="S21:AF21" si="13">SUM(C54:C57)</f>
        <v>43</v>
      </c>
      <c r="T21" s="17">
        <f t="shared" si="13"/>
        <v>17</v>
      </c>
      <c r="U21" s="17">
        <f t="shared" si="13"/>
        <v>17</v>
      </c>
      <c r="V21" s="17">
        <f t="shared" si="13"/>
        <v>114</v>
      </c>
      <c r="W21" s="17">
        <f t="shared" si="13"/>
        <v>7</v>
      </c>
      <c r="X21" s="17">
        <f t="shared" si="13"/>
        <v>5</v>
      </c>
      <c r="Y21" s="17">
        <f t="shared" si="13"/>
        <v>20</v>
      </c>
      <c r="Z21" s="17">
        <f t="shared" si="13"/>
        <v>13</v>
      </c>
      <c r="AA21" s="17">
        <f t="shared" si="13"/>
        <v>5</v>
      </c>
      <c r="AB21" s="17">
        <f t="shared" si="13"/>
        <v>78</v>
      </c>
      <c r="AC21" s="17">
        <f t="shared" si="13"/>
        <v>64</v>
      </c>
      <c r="AD21" s="17">
        <f t="shared" si="13"/>
        <v>0</v>
      </c>
      <c r="AE21" s="31">
        <f t="shared" si="13"/>
        <v>319</v>
      </c>
      <c r="AF21" s="31">
        <f t="shared" si="13"/>
        <v>383</v>
      </c>
    </row>
    <row r="22" spans="2:32" ht="23.1" customHeight="1" x14ac:dyDescent="0.25">
      <c r="B22" s="45" t="s">
        <v>49</v>
      </c>
      <c r="C22" s="50">
        <v>26</v>
      </c>
      <c r="D22" s="50">
        <v>14</v>
      </c>
      <c r="E22" s="50">
        <v>6</v>
      </c>
      <c r="F22" s="50">
        <v>25</v>
      </c>
      <c r="G22" s="50">
        <v>0</v>
      </c>
      <c r="H22" s="50">
        <v>1</v>
      </c>
      <c r="I22" s="50">
        <v>2</v>
      </c>
      <c r="J22" s="50">
        <v>6</v>
      </c>
      <c r="K22" s="50">
        <v>1</v>
      </c>
      <c r="L22" s="50">
        <v>2</v>
      </c>
      <c r="M22" s="50">
        <v>20</v>
      </c>
      <c r="N22" s="50">
        <v>0</v>
      </c>
      <c r="O22" s="15">
        <f t="shared" si="0"/>
        <v>83</v>
      </c>
      <c r="P22" s="15">
        <f t="shared" si="1"/>
        <v>103</v>
      </c>
      <c r="R22" s="36" t="s">
        <v>146</v>
      </c>
      <c r="S22" s="34">
        <f>SUM(C58:C61)</f>
        <v>36</v>
      </c>
      <c r="T22" s="34">
        <f t="shared" ref="T22:AF22" si="14">SUM(D58:D61)</f>
        <v>14</v>
      </c>
      <c r="U22" s="34">
        <f t="shared" si="14"/>
        <v>12</v>
      </c>
      <c r="V22" s="34">
        <f t="shared" si="14"/>
        <v>86</v>
      </c>
      <c r="W22" s="34">
        <f t="shared" si="14"/>
        <v>1</v>
      </c>
      <c r="X22" s="34">
        <f t="shared" si="14"/>
        <v>0</v>
      </c>
      <c r="Y22" s="34">
        <f t="shared" si="14"/>
        <v>20</v>
      </c>
      <c r="Z22" s="34">
        <f t="shared" si="14"/>
        <v>22</v>
      </c>
      <c r="AA22" s="34">
        <f t="shared" si="14"/>
        <v>4</v>
      </c>
      <c r="AB22" s="34">
        <f t="shared" si="14"/>
        <v>58</v>
      </c>
      <c r="AC22" s="34">
        <f t="shared" si="14"/>
        <v>55</v>
      </c>
      <c r="AD22" s="34">
        <f t="shared" si="14"/>
        <v>0</v>
      </c>
      <c r="AE22" s="31">
        <f t="shared" si="14"/>
        <v>253</v>
      </c>
      <c r="AF22" s="31">
        <f t="shared" si="14"/>
        <v>308</v>
      </c>
    </row>
    <row r="23" spans="2:32" ht="23.1" customHeight="1" x14ac:dyDescent="0.25">
      <c r="B23" s="45" t="s">
        <v>50</v>
      </c>
      <c r="C23" s="50">
        <v>10</v>
      </c>
      <c r="D23" s="50">
        <v>9</v>
      </c>
      <c r="E23" s="50">
        <v>6</v>
      </c>
      <c r="F23" s="50">
        <v>40</v>
      </c>
      <c r="G23" s="50">
        <v>1</v>
      </c>
      <c r="H23" s="50">
        <v>0</v>
      </c>
      <c r="I23" s="50">
        <v>1</v>
      </c>
      <c r="J23" s="50">
        <v>5</v>
      </c>
      <c r="K23" s="50">
        <v>0</v>
      </c>
      <c r="L23" s="50">
        <v>0</v>
      </c>
      <c r="M23" s="50">
        <v>14</v>
      </c>
      <c r="N23" s="50">
        <v>0</v>
      </c>
      <c r="O23" s="15">
        <f t="shared" si="0"/>
        <v>72</v>
      </c>
      <c r="P23" s="15">
        <f t="shared" si="1"/>
        <v>86</v>
      </c>
      <c r="R23" s="36" t="s">
        <v>147</v>
      </c>
      <c r="S23" s="34">
        <f>SUM(C62:C65)</f>
        <v>35</v>
      </c>
      <c r="T23" s="34">
        <f t="shared" ref="T23:AF23" si="15">SUM(D62:D65)</f>
        <v>9</v>
      </c>
      <c r="U23" s="34">
        <f t="shared" si="15"/>
        <v>8</v>
      </c>
      <c r="V23" s="34">
        <f t="shared" si="15"/>
        <v>66</v>
      </c>
      <c r="W23" s="34">
        <f t="shared" si="15"/>
        <v>6</v>
      </c>
      <c r="X23" s="34">
        <f t="shared" si="15"/>
        <v>2</v>
      </c>
      <c r="Y23" s="34">
        <f t="shared" si="15"/>
        <v>13</v>
      </c>
      <c r="Z23" s="34">
        <f t="shared" si="15"/>
        <v>27</v>
      </c>
      <c r="AA23" s="34">
        <f t="shared" si="15"/>
        <v>7</v>
      </c>
      <c r="AB23" s="34">
        <f t="shared" si="15"/>
        <v>63</v>
      </c>
      <c r="AC23" s="34">
        <f t="shared" si="15"/>
        <v>51</v>
      </c>
      <c r="AD23" s="34">
        <f t="shared" si="15"/>
        <v>0</v>
      </c>
      <c r="AE23" s="31">
        <f t="shared" si="15"/>
        <v>236</v>
      </c>
      <c r="AF23" s="31">
        <f t="shared" si="15"/>
        <v>287</v>
      </c>
    </row>
    <row r="24" spans="2:32" ht="23.1" customHeight="1" x14ac:dyDescent="0.25">
      <c r="B24" s="45" t="s">
        <v>51</v>
      </c>
      <c r="C24" s="50">
        <v>15</v>
      </c>
      <c r="D24" s="50">
        <v>13</v>
      </c>
      <c r="E24" s="50">
        <v>5</v>
      </c>
      <c r="F24" s="50">
        <v>40</v>
      </c>
      <c r="G24" s="50">
        <v>1</v>
      </c>
      <c r="H24" s="50">
        <v>1</v>
      </c>
      <c r="I24" s="50">
        <v>2</v>
      </c>
      <c r="J24" s="50">
        <v>2</v>
      </c>
      <c r="K24" s="50">
        <v>1</v>
      </c>
      <c r="L24" s="50">
        <v>2</v>
      </c>
      <c r="M24" s="50">
        <v>21</v>
      </c>
      <c r="N24" s="50">
        <v>0</v>
      </c>
      <c r="O24" s="15">
        <f t="shared" si="0"/>
        <v>82</v>
      </c>
      <c r="P24" s="15">
        <f t="shared" si="1"/>
        <v>103</v>
      </c>
      <c r="R24" s="36" t="s">
        <v>148</v>
      </c>
      <c r="S24" s="34">
        <f>SUM(C66:C69)</f>
        <v>36</v>
      </c>
      <c r="T24" s="34">
        <f t="shared" ref="T24:AF24" si="16">SUM(D66:D69)</f>
        <v>5</v>
      </c>
      <c r="U24" s="34">
        <f t="shared" si="16"/>
        <v>4</v>
      </c>
      <c r="V24" s="34">
        <f t="shared" si="16"/>
        <v>45</v>
      </c>
      <c r="W24" s="34">
        <f t="shared" si="16"/>
        <v>25</v>
      </c>
      <c r="X24" s="34">
        <f t="shared" si="16"/>
        <v>0</v>
      </c>
      <c r="Y24" s="34">
        <f t="shared" si="16"/>
        <v>10</v>
      </c>
      <c r="Z24" s="34">
        <f t="shared" si="16"/>
        <v>11</v>
      </c>
      <c r="AA24" s="34">
        <f t="shared" si="16"/>
        <v>11</v>
      </c>
      <c r="AB24" s="34">
        <f t="shared" si="16"/>
        <v>44</v>
      </c>
      <c r="AC24" s="34">
        <f t="shared" si="16"/>
        <v>44</v>
      </c>
      <c r="AD24" s="34">
        <f t="shared" si="16"/>
        <v>13</v>
      </c>
      <c r="AE24" s="31">
        <f t="shared" si="16"/>
        <v>204</v>
      </c>
      <c r="AF24" s="31">
        <f t="shared" si="16"/>
        <v>248</v>
      </c>
    </row>
    <row r="25" spans="2:32" ht="23.1" customHeight="1" x14ac:dyDescent="0.25">
      <c r="B25" s="45" t="s">
        <v>52</v>
      </c>
      <c r="C25" s="50">
        <v>4</v>
      </c>
      <c r="D25" s="50">
        <v>3</v>
      </c>
      <c r="E25" s="50">
        <v>1</v>
      </c>
      <c r="F25" s="50">
        <v>20</v>
      </c>
      <c r="G25" s="50">
        <v>2</v>
      </c>
      <c r="H25" s="50">
        <v>1</v>
      </c>
      <c r="I25" s="50">
        <v>3</v>
      </c>
      <c r="J25" s="50">
        <v>2</v>
      </c>
      <c r="K25" s="50">
        <v>0</v>
      </c>
      <c r="L25" s="50">
        <v>1</v>
      </c>
      <c r="M25" s="50">
        <v>5</v>
      </c>
      <c r="N25" s="50">
        <v>0</v>
      </c>
      <c r="O25" s="15">
        <f t="shared" si="0"/>
        <v>37</v>
      </c>
      <c r="P25" s="15">
        <f t="shared" si="1"/>
        <v>42</v>
      </c>
      <c r="R25" s="36" t="s">
        <v>149</v>
      </c>
      <c r="S25" s="34">
        <f>SUM(C70:C73)</f>
        <v>30</v>
      </c>
      <c r="T25" s="34">
        <f t="shared" ref="T25:AF25" si="17">SUM(D70:D73)</f>
        <v>5</v>
      </c>
      <c r="U25" s="34">
        <f t="shared" si="17"/>
        <v>7</v>
      </c>
      <c r="V25" s="34">
        <f t="shared" si="17"/>
        <v>43</v>
      </c>
      <c r="W25" s="34">
        <f t="shared" si="17"/>
        <v>7</v>
      </c>
      <c r="X25" s="34">
        <f t="shared" si="17"/>
        <v>1</v>
      </c>
      <c r="Y25" s="34">
        <f t="shared" si="17"/>
        <v>13</v>
      </c>
      <c r="Z25" s="34">
        <f t="shared" si="17"/>
        <v>27</v>
      </c>
      <c r="AA25" s="34">
        <f t="shared" si="17"/>
        <v>0</v>
      </c>
      <c r="AB25" s="34">
        <f t="shared" si="17"/>
        <v>54</v>
      </c>
      <c r="AC25" s="34">
        <f t="shared" si="17"/>
        <v>20</v>
      </c>
      <c r="AD25" s="34">
        <f t="shared" si="17"/>
        <v>0</v>
      </c>
      <c r="AE25" s="31">
        <f t="shared" si="17"/>
        <v>187</v>
      </c>
      <c r="AF25" s="31">
        <f t="shared" si="17"/>
        <v>207</v>
      </c>
    </row>
    <row r="26" spans="2:32" ht="23.1" customHeight="1" x14ac:dyDescent="0.25">
      <c r="B26" s="45" t="s">
        <v>53</v>
      </c>
      <c r="C26" s="50">
        <v>14</v>
      </c>
      <c r="D26" s="50">
        <v>8</v>
      </c>
      <c r="E26" s="50">
        <v>7</v>
      </c>
      <c r="F26" s="50">
        <v>25</v>
      </c>
      <c r="G26" s="50">
        <v>0</v>
      </c>
      <c r="H26" s="50">
        <v>1</v>
      </c>
      <c r="I26" s="50">
        <v>2</v>
      </c>
      <c r="J26" s="50">
        <v>4</v>
      </c>
      <c r="K26" s="50">
        <v>1</v>
      </c>
      <c r="L26" s="50">
        <v>2</v>
      </c>
      <c r="M26" s="50">
        <v>24</v>
      </c>
      <c r="N26" s="50">
        <v>0</v>
      </c>
      <c r="O26" s="15">
        <f t="shared" si="0"/>
        <v>64</v>
      </c>
      <c r="P26" s="15">
        <f t="shared" si="1"/>
        <v>88</v>
      </c>
      <c r="R26" s="36" t="s">
        <v>150</v>
      </c>
      <c r="S26" s="34">
        <f>SUM(C74:C77)</f>
        <v>24</v>
      </c>
      <c r="T26" s="34">
        <f t="shared" ref="T26:AF26" si="18">SUM(D74:D77)</f>
        <v>6</v>
      </c>
      <c r="U26" s="34">
        <f t="shared" si="18"/>
        <v>4</v>
      </c>
      <c r="V26" s="34">
        <f t="shared" si="18"/>
        <v>25</v>
      </c>
      <c r="W26" s="34">
        <f t="shared" si="18"/>
        <v>4</v>
      </c>
      <c r="X26" s="34">
        <f t="shared" si="18"/>
        <v>5</v>
      </c>
      <c r="Y26" s="34">
        <f t="shared" si="18"/>
        <v>15</v>
      </c>
      <c r="Z26" s="34">
        <f t="shared" si="18"/>
        <v>3</v>
      </c>
      <c r="AA26" s="34">
        <f t="shared" si="18"/>
        <v>6</v>
      </c>
      <c r="AB26" s="34">
        <f t="shared" si="18"/>
        <v>22</v>
      </c>
      <c r="AC26" s="34">
        <f t="shared" si="18"/>
        <v>24</v>
      </c>
      <c r="AD26" s="34">
        <f t="shared" si="18"/>
        <v>6</v>
      </c>
      <c r="AE26" s="31">
        <f t="shared" si="18"/>
        <v>120</v>
      </c>
      <c r="AF26" s="31">
        <f t="shared" si="18"/>
        <v>144</v>
      </c>
    </row>
    <row r="27" spans="2:32" ht="23.1" customHeight="1" x14ac:dyDescent="0.25">
      <c r="B27" s="45" t="s">
        <v>54</v>
      </c>
      <c r="C27" s="50">
        <v>21</v>
      </c>
      <c r="D27" s="50">
        <v>10</v>
      </c>
      <c r="E27" s="50">
        <v>2</v>
      </c>
      <c r="F27" s="50">
        <v>32</v>
      </c>
      <c r="G27" s="50">
        <v>1</v>
      </c>
      <c r="H27" s="50">
        <v>0</v>
      </c>
      <c r="I27" s="50">
        <v>2</v>
      </c>
      <c r="J27" s="50">
        <v>3</v>
      </c>
      <c r="K27" s="50">
        <v>0</v>
      </c>
      <c r="L27" s="50">
        <v>7</v>
      </c>
      <c r="M27" s="50">
        <v>12</v>
      </c>
      <c r="N27" s="50">
        <v>0</v>
      </c>
      <c r="O27" s="15">
        <f t="shared" si="0"/>
        <v>78</v>
      </c>
      <c r="P27" s="15">
        <f t="shared" si="1"/>
        <v>90</v>
      </c>
      <c r="R27" s="36" t="s">
        <v>151</v>
      </c>
      <c r="S27" s="34">
        <f>SUM(C78:C81)</f>
        <v>13</v>
      </c>
      <c r="T27" s="34">
        <f t="shared" ref="T27:AF27" si="19">SUM(D78:D81)</f>
        <v>3</v>
      </c>
      <c r="U27" s="34">
        <f t="shared" si="19"/>
        <v>3</v>
      </c>
      <c r="V27" s="34">
        <f t="shared" si="19"/>
        <v>12</v>
      </c>
      <c r="W27" s="34">
        <f t="shared" si="19"/>
        <v>2</v>
      </c>
      <c r="X27" s="34">
        <f t="shared" si="19"/>
        <v>4</v>
      </c>
      <c r="Y27" s="34">
        <f t="shared" si="19"/>
        <v>4</v>
      </c>
      <c r="Z27" s="34">
        <f t="shared" si="19"/>
        <v>27</v>
      </c>
      <c r="AA27" s="34">
        <f t="shared" si="19"/>
        <v>5</v>
      </c>
      <c r="AB27" s="34">
        <f t="shared" si="19"/>
        <v>15</v>
      </c>
      <c r="AC27" s="34">
        <f t="shared" si="19"/>
        <v>6</v>
      </c>
      <c r="AD27" s="34">
        <f t="shared" si="19"/>
        <v>0</v>
      </c>
      <c r="AE27" s="31">
        <f t="shared" si="19"/>
        <v>88</v>
      </c>
      <c r="AF27" s="31">
        <f t="shared" si="19"/>
        <v>94</v>
      </c>
    </row>
    <row r="28" spans="2:32" ht="23.1" customHeight="1" x14ac:dyDescent="0.25">
      <c r="B28" s="45" t="s">
        <v>55</v>
      </c>
      <c r="C28" s="50">
        <v>15</v>
      </c>
      <c r="D28" s="50">
        <v>6</v>
      </c>
      <c r="E28" s="50">
        <v>7</v>
      </c>
      <c r="F28" s="50">
        <v>26</v>
      </c>
      <c r="G28" s="50">
        <v>1</v>
      </c>
      <c r="H28" s="50">
        <v>2</v>
      </c>
      <c r="I28" s="50">
        <v>5</v>
      </c>
      <c r="J28" s="50">
        <v>4</v>
      </c>
      <c r="K28" s="50">
        <v>0</v>
      </c>
      <c r="L28" s="50">
        <v>3</v>
      </c>
      <c r="M28" s="50">
        <v>35</v>
      </c>
      <c r="N28" s="50">
        <v>0</v>
      </c>
      <c r="O28" s="15">
        <f t="shared" si="0"/>
        <v>69</v>
      </c>
      <c r="P28" s="15">
        <f t="shared" si="1"/>
        <v>104</v>
      </c>
      <c r="R28" s="36" t="s">
        <v>152</v>
      </c>
      <c r="S28" s="34">
        <f>SUM(C82:C85)</f>
        <v>11</v>
      </c>
      <c r="T28" s="34">
        <f t="shared" ref="T28:AF28" si="20">SUM(D82:D85)</f>
        <v>3</v>
      </c>
      <c r="U28" s="34">
        <f t="shared" si="20"/>
        <v>1</v>
      </c>
      <c r="V28" s="34">
        <f t="shared" si="20"/>
        <v>9</v>
      </c>
      <c r="W28" s="34">
        <f t="shared" si="20"/>
        <v>0</v>
      </c>
      <c r="X28" s="34">
        <f t="shared" si="20"/>
        <v>2</v>
      </c>
      <c r="Y28" s="34">
        <f t="shared" si="20"/>
        <v>6</v>
      </c>
      <c r="Z28" s="34">
        <f t="shared" si="20"/>
        <v>26</v>
      </c>
      <c r="AA28" s="34">
        <f t="shared" si="20"/>
        <v>2</v>
      </c>
      <c r="AB28" s="34">
        <f t="shared" si="20"/>
        <v>22</v>
      </c>
      <c r="AC28" s="34">
        <f t="shared" si="20"/>
        <v>7</v>
      </c>
      <c r="AD28" s="34">
        <f t="shared" si="20"/>
        <v>0</v>
      </c>
      <c r="AE28" s="31">
        <f t="shared" si="20"/>
        <v>82</v>
      </c>
      <c r="AF28" s="31">
        <f t="shared" si="20"/>
        <v>89</v>
      </c>
    </row>
    <row r="29" spans="2:32" ht="23.1" customHeight="1" x14ac:dyDescent="0.25">
      <c r="B29" s="45" t="s">
        <v>56</v>
      </c>
      <c r="C29" s="50">
        <v>14</v>
      </c>
      <c r="D29" s="50">
        <v>7</v>
      </c>
      <c r="E29" s="50">
        <v>5</v>
      </c>
      <c r="F29" s="50">
        <v>37</v>
      </c>
      <c r="G29" s="50">
        <v>2</v>
      </c>
      <c r="H29" s="50">
        <v>0</v>
      </c>
      <c r="I29" s="50">
        <v>2</v>
      </c>
      <c r="J29" s="50">
        <v>1</v>
      </c>
      <c r="K29" s="50">
        <v>0</v>
      </c>
      <c r="L29" s="50">
        <v>6</v>
      </c>
      <c r="M29" s="50">
        <v>18</v>
      </c>
      <c r="N29" s="50">
        <v>0</v>
      </c>
      <c r="O29" s="15">
        <f t="shared" si="0"/>
        <v>74</v>
      </c>
      <c r="P29" s="15">
        <f t="shared" si="1"/>
        <v>92</v>
      </c>
      <c r="R29" s="36" t="s">
        <v>153</v>
      </c>
      <c r="S29" s="34">
        <f>SUM(C86:C89)</f>
        <v>4</v>
      </c>
      <c r="T29" s="34">
        <f t="shared" ref="T29:AF29" si="21">SUM(D86:D89)</f>
        <v>1</v>
      </c>
      <c r="U29" s="34">
        <f t="shared" si="21"/>
        <v>1</v>
      </c>
      <c r="V29" s="34">
        <f t="shared" si="21"/>
        <v>6</v>
      </c>
      <c r="W29" s="34">
        <f t="shared" si="21"/>
        <v>0</v>
      </c>
      <c r="X29" s="34">
        <f t="shared" si="21"/>
        <v>2</v>
      </c>
      <c r="Y29" s="34">
        <f t="shared" si="21"/>
        <v>10</v>
      </c>
      <c r="Z29" s="34">
        <f t="shared" si="21"/>
        <v>15</v>
      </c>
      <c r="AA29" s="34">
        <f t="shared" si="21"/>
        <v>9</v>
      </c>
      <c r="AB29" s="34">
        <f t="shared" si="21"/>
        <v>13</v>
      </c>
      <c r="AC29" s="34">
        <f t="shared" si="21"/>
        <v>2</v>
      </c>
      <c r="AD29" s="34">
        <f t="shared" si="21"/>
        <v>0</v>
      </c>
      <c r="AE29" s="31">
        <f t="shared" si="21"/>
        <v>61</v>
      </c>
      <c r="AF29" s="31">
        <f t="shared" si="21"/>
        <v>63</v>
      </c>
    </row>
    <row r="30" spans="2:32" ht="23.1" customHeight="1" x14ac:dyDescent="0.25">
      <c r="B30" s="45" t="s">
        <v>57</v>
      </c>
      <c r="C30" s="50">
        <v>15</v>
      </c>
      <c r="D30" s="50">
        <v>6</v>
      </c>
      <c r="E30" s="50">
        <v>5</v>
      </c>
      <c r="F30" s="50">
        <v>24</v>
      </c>
      <c r="G30" s="50">
        <v>0</v>
      </c>
      <c r="H30" s="50">
        <v>1</v>
      </c>
      <c r="I30" s="50">
        <v>2</v>
      </c>
      <c r="J30" s="50">
        <v>6</v>
      </c>
      <c r="K30" s="50">
        <v>2</v>
      </c>
      <c r="L30" s="50">
        <v>3</v>
      </c>
      <c r="M30" s="50">
        <v>18</v>
      </c>
      <c r="N30" s="50">
        <v>0</v>
      </c>
      <c r="O30" s="15">
        <f t="shared" si="0"/>
        <v>64</v>
      </c>
      <c r="P30" s="15">
        <f t="shared" si="1"/>
        <v>82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5</v>
      </c>
      <c r="W30" s="34">
        <f t="shared" si="22"/>
        <v>0</v>
      </c>
      <c r="X30" s="34">
        <f t="shared" si="22"/>
        <v>1</v>
      </c>
      <c r="Y30" s="34">
        <f t="shared" si="22"/>
        <v>3</v>
      </c>
      <c r="Z30" s="34">
        <f t="shared" si="22"/>
        <v>14</v>
      </c>
      <c r="AA30" s="34">
        <f t="shared" si="22"/>
        <v>1</v>
      </c>
      <c r="AB30" s="34">
        <f t="shared" si="22"/>
        <v>8</v>
      </c>
      <c r="AC30" s="34">
        <f t="shared" si="22"/>
        <v>1</v>
      </c>
      <c r="AD30" s="34">
        <f t="shared" si="22"/>
        <v>0</v>
      </c>
      <c r="AE30" s="31">
        <f t="shared" si="22"/>
        <v>33</v>
      </c>
      <c r="AF30" s="31">
        <f t="shared" si="22"/>
        <v>34</v>
      </c>
    </row>
    <row r="31" spans="2:32" ht="23.1" customHeight="1" x14ac:dyDescent="0.25">
      <c r="B31" s="46" t="s">
        <v>58</v>
      </c>
      <c r="C31" s="50">
        <v>8</v>
      </c>
      <c r="D31" s="50">
        <v>3</v>
      </c>
      <c r="E31" s="50">
        <v>1</v>
      </c>
      <c r="F31" s="50">
        <v>14</v>
      </c>
      <c r="G31" s="50">
        <v>1</v>
      </c>
      <c r="H31" s="50">
        <v>0</v>
      </c>
      <c r="I31" s="50">
        <v>2</v>
      </c>
      <c r="J31" s="50">
        <v>5</v>
      </c>
      <c r="K31" s="50">
        <v>0</v>
      </c>
      <c r="L31" s="50">
        <v>2</v>
      </c>
      <c r="M31" s="50">
        <v>15</v>
      </c>
      <c r="N31" s="50">
        <v>0</v>
      </c>
      <c r="O31" s="15">
        <f t="shared" si="0"/>
        <v>36</v>
      </c>
      <c r="P31" s="15">
        <f t="shared" si="1"/>
        <v>51</v>
      </c>
      <c r="R31" s="36" t="s">
        <v>155</v>
      </c>
      <c r="S31" s="34">
        <f>SUM(C94:C97)</f>
        <v>4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2</v>
      </c>
      <c r="W31" s="34">
        <f t="shared" si="23"/>
        <v>0</v>
      </c>
      <c r="X31" s="34">
        <f t="shared" si="23"/>
        <v>1</v>
      </c>
      <c r="Y31" s="34">
        <f t="shared" si="23"/>
        <v>5</v>
      </c>
      <c r="Z31" s="34">
        <f t="shared" si="23"/>
        <v>14</v>
      </c>
      <c r="AA31" s="34">
        <f t="shared" si="23"/>
        <v>0</v>
      </c>
      <c r="AB31" s="34">
        <f t="shared" si="23"/>
        <v>7</v>
      </c>
      <c r="AC31" s="34">
        <f t="shared" si="23"/>
        <v>1</v>
      </c>
      <c r="AD31" s="34">
        <f t="shared" si="23"/>
        <v>0</v>
      </c>
      <c r="AE31" s="31">
        <f t="shared" si="23"/>
        <v>33</v>
      </c>
      <c r="AF31" s="31">
        <f t="shared" si="23"/>
        <v>34</v>
      </c>
    </row>
    <row r="32" spans="2:32" ht="23.1" customHeight="1" x14ac:dyDescent="0.25">
      <c r="B32" s="46" t="s">
        <v>59</v>
      </c>
      <c r="C32" s="50">
        <v>23</v>
      </c>
      <c r="D32" s="50">
        <v>18</v>
      </c>
      <c r="E32" s="50">
        <v>10</v>
      </c>
      <c r="F32" s="50">
        <v>21</v>
      </c>
      <c r="G32" s="50">
        <v>2</v>
      </c>
      <c r="H32" s="50">
        <v>0</v>
      </c>
      <c r="I32" s="50">
        <v>6</v>
      </c>
      <c r="J32" s="50">
        <v>4</v>
      </c>
      <c r="K32" s="50">
        <v>1</v>
      </c>
      <c r="L32" s="50">
        <v>14</v>
      </c>
      <c r="M32" s="50">
        <v>12</v>
      </c>
      <c r="N32" s="50">
        <v>0</v>
      </c>
      <c r="O32" s="15">
        <f t="shared" si="0"/>
        <v>99</v>
      </c>
      <c r="P32" s="15">
        <f t="shared" si="1"/>
        <v>111</v>
      </c>
      <c r="R32" s="33" t="s">
        <v>156</v>
      </c>
      <c r="S32" s="34">
        <f>SUM(C98:C101)</f>
        <v>6</v>
      </c>
      <c r="T32" s="34">
        <f t="shared" ref="T32:AF32" si="24">SUM(D98:D101)</f>
        <v>1</v>
      </c>
      <c r="U32" s="34">
        <f t="shared" si="24"/>
        <v>3</v>
      </c>
      <c r="V32" s="34">
        <f t="shared" si="24"/>
        <v>16</v>
      </c>
      <c r="W32" s="34">
        <f t="shared" si="24"/>
        <v>0</v>
      </c>
      <c r="X32" s="34">
        <f t="shared" si="24"/>
        <v>0</v>
      </c>
      <c r="Y32" s="34">
        <f t="shared" si="24"/>
        <v>6</v>
      </c>
      <c r="Z32" s="34">
        <f t="shared" si="24"/>
        <v>12</v>
      </c>
      <c r="AA32" s="34">
        <f t="shared" si="24"/>
        <v>0</v>
      </c>
      <c r="AB32" s="34">
        <f t="shared" si="24"/>
        <v>17</v>
      </c>
      <c r="AC32" s="34">
        <f t="shared" si="24"/>
        <v>1</v>
      </c>
      <c r="AD32" s="34">
        <f t="shared" si="24"/>
        <v>0</v>
      </c>
      <c r="AE32" s="31">
        <f t="shared" si="24"/>
        <v>61</v>
      </c>
      <c r="AF32" s="31">
        <f t="shared" si="24"/>
        <v>62</v>
      </c>
    </row>
    <row r="33" spans="2:32" ht="23.1" customHeight="1" x14ac:dyDescent="0.25">
      <c r="B33" s="45" t="s">
        <v>60</v>
      </c>
      <c r="C33" s="50">
        <v>17</v>
      </c>
      <c r="D33" s="50">
        <v>4</v>
      </c>
      <c r="E33" s="50">
        <v>3</v>
      </c>
      <c r="F33" s="50">
        <v>30</v>
      </c>
      <c r="G33" s="50">
        <v>2</v>
      </c>
      <c r="H33" s="50">
        <v>1</v>
      </c>
      <c r="I33" s="50">
        <v>3</v>
      </c>
      <c r="J33" s="50">
        <v>3</v>
      </c>
      <c r="K33" s="50">
        <v>3</v>
      </c>
      <c r="L33" s="50">
        <v>10</v>
      </c>
      <c r="M33" s="50">
        <v>8</v>
      </c>
      <c r="N33" s="50">
        <v>0</v>
      </c>
      <c r="O33" s="15">
        <f t="shared" si="0"/>
        <v>76</v>
      </c>
      <c r="P33" s="15">
        <f t="shared" si="1"/>
        <v>84</v>
      </c>
      <c r="R33" s="33" t="s">
        <v>157</v>
      </c>
      <c r="S33" s="34">
        <f>SUM(C102:C105)</f>
        <v>19</v>
      </c>
      <c r="T33" s="34">
        <f t="shared" ref="T33:AF33" si="25">SUM(D102:D105)</f>
        <v>9</v>
      </c>
      <c r="U33" s="34">
        <f t="shared" si="25"/>
        <v>12</v>
      </c>
      <c r="V33" s="34">
        <f t="shared" si="25"/>
        <v>39</v>
      </c>
      <c r="W33" s="34">
        <f t="shared" si="25"/>
        <v>1</v>
      </c>
      <c r="X33" s="34">
        <f t="shared" si="25"/>
        <v>1</v>
      </c>
      <c r="Y33" s="34">
        <f t="shared" si="25"/>
        <v>5</v>
      </c>
      <c r="Z33" s="34">
        <f t="shared" si="25"/>
        <v>11</v>
      </c>
      <c r="AA33" s="34">
        <f t="shared" si="25"/>
        <v>1</v>
      </c>
      <c r="AB33" s="34">
        <f t="shared" si="25"/>
        <v>20</v>
      </c>
      <c r="AC33" s="34">
        <f t="shared" si="25"/>
        <v>11</v>
      </c>
      <c r="AD33" s="34">
        <f t="shared" si="25"/>
        <v>0</v>
      </c>
      <c r="AE33" s="31">
        <f t="shared" si="25"/>
        <v>118</v>
      </c>
      <c r="AF33" s="31">
        <f t="shared" si="25"/>
        <v>129</v>
      </c>
    </row>
    <row r="34" spans="2:32" ht="23.1" customHeight="1" x14ac:dyDescent="0.25">
      <c r="B34" s="46" t="s">
        <v>61</v>
      </c>
      <c r="C34" s="50">
        <v>19</v>
      </c>
      <c r="D34" s="50">
        <v>7</v>
      </c>
      <c r="E34" s="50">
        <v>8</v>
      </c>
      <c r="F34" s="50">
        <v>33</v>
      </c>
      <c r="G34" s="50">
        <v>2</v>
      </c>
      <c r="H34" s="50">
        <v>0</v>
      </c>
      <c r="I34" s="50">
        <v>4</v>
      </c>
      <c r="J34" s="50">
        <v>2</v>
      </c>
      <c r="K34" s="50">
        <v>0</v>
      </c>
      <c r="L34" s="50">
        <v>10</v>
      </c>
      <c r="M34" s="50">
        <v>16</v>
      </c>
      <c r="N34" s="50">
        <v>1</v>
      </c>
      <c r="O34" s="15">
        <f t="shared" si="0"/>
        <v>86</v>
      </c>
      <c r="P34" s="15">
        <f t="shared" si="1"/>
        <v>102</v>
      </c>
      <c r="R34" s="38" t="s">
        <v>90</v>
      </c>
      <c r="S34" s="39">
        <f t="shared" ref="S34:AF34" si="26">MAX(S10:S12)</f>
        <v>68</v>
      </c>
      <c r="T34" s="39">
        <f t="shared" si="26"/>
        <v>32</v>
      </c>
      <c r="U34" s="39">
        <f t="shared" si="26"/>
        <v>19</v>
      </c>
      <c r="V34" s="39">
        <f t="shared" si="26"/>
        <v>115</v>
      </c>
      <c r="W34" s="39">
        <f t="shared" si="26"/>
        <v>3</v>
      </c>
      <c r="X34" s="39">
        <f t="shared" si="26"/>
        <v>3</v>
      </c>
      <c r="Y34" s="39">
        <f t="shared" si="26"/>
        <v>8</v>
      </c>
      <c r="Z34" s="39">
        <f t="shared" si="26"/>
        <v>18</v>
      </c>
      <c r="AA34" s="39">
        <f t="shared" si="26"/>
        <v>15</v>
      </c>
      <c r="AB34" s="39">
        <f t="shared" si="26"/>
        <v>16</v>
      </c>
      <c r="AC34" s="39">
        <f t="shared" si="26"/>
        <v>58</v>
      </c>
      <c r="AD34" s="39">
        <f t="shared" si="26"/>
        <v>0</v>
      </c>
      <c r="AE34" s="40">
        <f t="shared" si="26"/>
        <v>262</v>
      </c>
      <c r="AF34" s="40">
        <f t="shared" si="26"/>
        <v>320</v>
      </c>
    </row>
    <row r="35" spans="2:32" ht="23.1" customHeight="1" x14ac:dyDescent="0.25">
      <c r="B35" s="46" t="s">
        <v>62</v>
      </c>
      <c r="C35" s="50">
        <v>17</v>
      </c>
      <c r="D35" s="50">
        <v>8</v>
      </c>
      <c r="E35" s="50">
        <v>2</v>
      </c>
      <c r="F35" s="50">
        <v>30</v>
      </c>
      <c r="G35" s="50">
        <v>1</v>
      </c>
      <c r="H35" s="50">
        <v>1</v>
      </c>
      <c r="I35" s="50">
        <v>2</v>
      </c>
      <c r="J35" s="50">
        <v>6</v>
      </c>
      <c r="K35" s="50">
        <v>0</v>
      </c>
      <c r="L35" s="50">
        <v>7</v>
      </c>
      <c r="M35" s="50">
        <v>22</v>
      </c>
      <c r="N35" s="50">
        <v>0</v>
      </c>
      <c r="O35" s="15">
        <f t="shared" si="0"/>
        <v>74</v>
      </c>
      <c r="P35" s="15">
        <f t="shared" si="1"/>
        <v>96</v>
      </c>
      <c r="R35" s="38" t="s">
        <v>91</v>
      </c>
      <c r="S35" s="39">
        <f t="shared" ref="S35:AF35" si="27">MAX(S13:S18)</f>
        <v>64</v>
      </c>
      <c r="T35" s="39">
        <f t="shared" si="27"/>
        <v>39</v>
      </c>
      <c r="U35" s="39">
        <f t="shared" si="27"/>
        <v>23</v>
      </c>
      <c r="V35" s="39">
        <f t="shared" si="27"/>
        <v>125</v>
      </c>
      <c r="W35" s="39">
        <f t="shared" si="27"/>
        <v>7</v>
      </c>
      <c r="X35" s="39">
        <f t="shared" si="27"/>
        <v>3</v>
      </c>
      <c r="Y35" s="39">
        <f t="shared" si="27"/>
        <v>17</v>
      </c>
      <c r="Z35" s="39">
        <f t="shared" si="27"/>
        <v>22</v>
      </c>
      <c r="AA35" s="39">
        <f t="shared" si="27"/>
        <v>6</v>
      </c>
      <c r="AB35" s="39">
        <f t="shared" si="27"/>
        <v>50</v>
      </c>
      <c r="AC35" s="39">
        <f t="shared" si="27"/>
        <v>89</v>
      </c>
      <c r="AD35" s="39">
        <f t="shared" si="27"/>
        <v>1</v>
      </c>
      <c r="AE35" s="40">
        <f t="shared" si="27"/>
        <v>296</v>
      </c>
      <c r="AF35" s="40">
        <f t="shared" si="27"/>
        <v>374</v>
      </c>
    </row>
    <row r="36" spans="2:32" ht="23.1" customHeight="1" x14ac:dyDescent="0.25">
      <c r="B36" s="46" t="s">
        <v>63</v>
      </c>
      <c r="C36" s="50">
        <v>9</v>
      </c>
      <c r="D36" s="50">
        <v>7</v>
      </c>
      <c r="E36" s="50">
        <v>6</v>
      </c>
      <c r="F36" s="50">
        <v>25</v>
      </c>
      <c r="G36" s="50">
        <v>0</v>
      </c>
      <c r="H36" s="50">
        <v>1</v>
      </c>
      <c r="I36" s="50">
        <v>3</v>
      </c>
      <c r="J36" s="50">
        <v>1</v>
      </c>
      <c r="K36" s="50">
        <v>1</v>
      </c>
      <c r="L36" s="50">
        <v>8</v>
      </c>
      <c r="M36" s="50">
        <v>21</v>
      </c>
      <c r="N36" s="50">
        <v>0</v>
      </c>
      <c r="O36" s="15">
        <f t="shared" si="0"/>
        <v>61</v>
      </c>
      <c r="P36" s="15">
        <f t="shared" si="1"/>
        <v>82</v>
      </c>
      <c r="R36" s="38" t="s">
        <v>92</v>
      </c>
      <c r="S36" s="39">
        <f t="shared" ref="S36:AF36" si="28">MAX(S19:S21)</f>
        <v>51</v>
      </c>
      <c r="T36" s="39">
        <f t="shared" si="28"/>
        <v>36</v>
      </c>
      <c r="U36" s="39">
        <f t="shared" si="28"/>
        <v>17</v>
      </c>
      <c r="V36" s="39">
        <f t="shared" si="28"/>
        <v>125</v>
      </c>
      <c r="W36" s="39">
        <f t="shared" si="28"/>
        <v>7</v>
      </c>
      <c r="X36" s="39">
        <f t="shared" si="28"/>
        <v>5</v>
      </c>
      <c r="Y36" s="39">
        <f t="shared" si="28"/>
        <v>26</v>
      </c>
      <c r="Z36" s="39">
        <f t="shared" si="28"/>
        <v>28</v>
      </c>
      <c r="AA36" s="39">
        <f t="shared" si="28"/>
        <v>9</v>
      </c>
      <c r="AB36" s="39">
        <f t="shared" si="28"/>
        <v>81</v>
      </c>
      <c r="AC36" s="39">
        <f t="shared" si="28"/>
        <v>76</v>
      </c>
      <c r="AD36" s="39">
        <f t="shared" si="28"/>
        <v>0</v>
      </c>
      <c r="AE36" s="40">
        <f t="shared" si="28"/>
        <v>344</v>
      </c>
      <c r="AF36" s="40">
        <f t="shared" si="28"/>
        <v>420</v>
      </c>
    </row>
    <row r="37" spans="2:32" ht="23.1" customHeight="1" x14ac:dyDescent="0.25">
      <c r="B37" s="45" t="s">
        <v>64</v>
      </c>
      <c r="C37" s="50">
        <v>11</v>
      </c>
      <c r="D37" s="50">
        <v>6</v>
      </c>
      <c r="E37" s="50">
        <v>7</v>
      </c>
      <c r="F37" s="50">
        <v>33</v>
      </c>
      <c r="G37" s="50">
        <v>3</v>
      </c>
      <c r="H37" s="50">
        <v>0</v>
      </c>
      <c r="I37" s="50">
        <v>7</v>
      </c>
      <c r="J37" s="50">
        <v>2</v>
      </c>
      <c r="K37" s="50">
        <v>1</v>
      </c>
      <c r="L37" s="50">
        <v>5</v>
      </c>
      <c r="M37" s="50">
        <v>2</v>
      </c>
      <c r="N37" s="50">
        <v>0</v>
      </c>
      <c r="O37" s="15">
        <f t="shared" si="0"/>
        <v>75</v>
      </c>
      <c r="P37" s="15">
        <f t="shared" si="1"/>
        <v>77</v>
      </c>
      <c r="R37" s="37" t="s">
        <v>85</v>
      </c>
      <c r="S37" s="35">
        <f t="shared" ref="S37:AF37" si="29">SUM(S10:S12)</f>
        <v>186</v>
      </c>
      <c r="T37" s="16">
        <f t="shared" si="29"/>
        <v>78</v>
      </c>
      <c r="U37" s="16">
        <f t="shared" si="29"/>
        <v>49</v>
      </c>
      <c r="V37" s="16">
        <f t="shared" si="29"/>
        <v>311</v>
      </c>
      <c r="W37" s="16">
        <f t="shared" si="29"/>
        <v>7</v>
      </c>
      <c r="X37" s="16">
        <f t="shared" si="29"/>
        <v>6</v>
      </c>
      <c r="Y37" s="16">
        <f t="shared" si="29"/>
        <v>22</v>
      </c>
      <c r="Z37" s="16">
        <f t="shared" si="29"/>
        <v>41</v>
      </c>
      <c r="AA37" s="16">
        <f t="shared" si="29"/>
        <v>22</v>
      </c>
      <c r="AB37" s="16">
        <f t="shared" si="29"/>
        <v>36</v>
      </c>
      <c r="AC37" s="16">
        <f t="shared" si="29"/>
        <v>140</v>
      </c>
      <c r="AD37" s="16">
        <f t="shared" si="29"/>
        <v>0</v>
      </c>
      <c r="AE37" s="32">
        <f t="shared" si="29"/>
        <v>758</v>
      </c>
      <c r="AF37" s="32">
        <f t="shared" si="29"/>
        <v>898</v>
      </c>
    </row>
    <row r="38" spans="2:32" ht="23.1" customHeight="1" x14ac:dyDescent="0.25">
      <c r="B38" s="46" t="s">
        <v>65</v>
      </c>
      <c r="C38" s="50">
        <v>6</v>
      </c>
      <c r="D38" s="50">
        <v>10</v>
      </c>
      <c r="E38" s="50">
        <v>4</v>
      </c>
      <c r="F38" s="50">
        <v>25</v>
      </c>
      <c r="G38" s="50">
        <v>2</v>
      </c>
      <c r="H38" s="50">
        <v>0</v>
      </c>
      <c r="I38" s="50">
        <v>2</v>
      </c>
      <c r="J38" s="50">
        <v>2</v>
      </c>
      <c r="K38" s="50">
        <v>0</v>
      </c>
      <c r="L38" s="50">
        <v>5</v>
      </c>
      <c r="M38" s="50">
        <v>27</v>
      </c>
      <c r="N38" s="50">
        <v>0</v>
      </c>
      <c r="O38" s="15">
        <f t="shared" si="0"/>
        <v>56</v>
      </c>
      <c r="P38" s="15">
        <f t="shared" si="1"/>
        <v>83</v>
      </c>
      <c r="R38" s="28" t="s">
        <v>86</v>
      </c>
      <c r="S38" s="16">
        <f t="shared" ref="S38:AF38" si="30">SUM(S13:S18)</f>
        <v>328</v>
      </c>
      <c r="T38" s="16">
        <f t="shared" si="30"/>
        <v>191</v>
      </c>
      <c r="U38" s="16">
        <f t="shared" si="30"/>
        <v>110</v>
      </c>
      <c r="V38" s="16">
        <f t="shared" si="30"/>
        <v>672</v>
      </c>
      <c r="W38" s="16">
        <f t="shared" si="30"/>
        <v>28</v>
      </c>
      <c r="X38" s="16">
        <f t="shared" si="30"/>
        <v>13</v>
      </c>
      <c r="Y38" s="16">
        <f t="shared" si="30"/>
        <v>82</v>
      </c>
      <c r="Z38" s="16">
        <f t="shared" si="30"/>
        <v>91</v>
      </c>
      <c r="AA38" s="16">
        <f t="shared" si="30"/>
        <v>18</v>
      </c>
      <c r="AB38" s="16">
        <f t="shared" si="30"/>
        <v>163</v>
      </c>
      <c r="AC38" s="16">
        <f t="shared" si="30"/>
        <v>398</v>
      </c>
      <c r="AD38" s="16">
        <f t="shared" si="30"/>
        <v>1</v>
      </c>
      <c r="AE38" s="32">
        <f t="shared" si="30"/>
        <v>1697</v>
      </c>
      <c r="AF38" s="32">
        <f t="shared" si="30"/>
        <v>2095</v>
      </c>
    </row>
    <row r="39" spans="2:32" ht="23.1" customHeight="1" x14ac:dyDescent="0.25">
      <c r="B39" s="46" t="s">
        <v>66</v>
      </c>
      <c r="C39" s="50">
        <v>14</v>
      </c>
      <c r="D39" s="50">
        <v>13</v>
      </c>
      <c r="E39" s="50">
        <v>3</v>
      </c>
      <c r="F39" s="50">
        <v>20</v>
      </c>
      <c r="G39" s="50">
        <v>0</v>
      </c>
      <c r="H39" s="50">
        <v>0</v>
      </c>
      <c r="I39" s="50">
        <v>5</v>
      </c>
      <c r="J39" s="50">
        <v>5</v>
      </c>
      <c r="K39" s="50">
        <v>0</v>
      </c>
      <c r="L39" s="50">
        <v>8</v>
      </c>
      <c r="M39" s="50">
        <v>19</v>
      </c>
      <c r="N39" s="50">
        <v>0</v>
      </c>
      <c r="O39" s="15">
        <f t="shared" si="0"/>
        <v>68</v>
      </c>
      <c r="P39" s="15">
        <f t="shared" si="1"/>
        <v>87</v>
      </c>
      <c r="R39" s="29" t="s">
        <v>87</v>
      </c>
      <c r="S39" s="16">
        <f t="shared" ref="S39:AF39" si="31">SUM(S19:S21)</f>
        <v>138</v>
      </c>
      <c r="T39" s="16">
        <f t="shared" si="31"/>
        <v>68</v>
      </c>
      <c r="U39" s="16">
        <f t="shared" si="31"/>
        <v>43</v>
      </c>
      <c r="V39" s="16">
        <f t="shared" si="31"/>
        <v>345</v>
      </c>
      <c r="W39" s="16">
        <f t="shared" si="31"/>
        <v>17</v>
      </c>
      <c r="X39" s="16">
        <f t="shared" si="31"/>
        <v>10</v>
      </c>
      <c r="Y39" s="16">
        <f t="shared" si="31"/>
        <v>59</v>
      </c>
      <c r="Z39" s="16">
        <f t="shared" si="31"/>
        <v>60</v>
      </c>
      <c r="AA39" s="16">
        <f t="shared" si="31"/>
        <v>19</v>
      </c>
      <c r="AB39" s="16">
        <f t="shared" si="31"/>
        <v>234</v>
      </c>
      <c r="AC39" s="16">
        <f t="shared" si="31"/>
        <v>193</v>
      </c>
      <c r="AD39" s="16">
        <f t="shared" si="31"/>
        <v>0</v>
      </c>
      <c r="AE39" s="32">
        <f t="shared" si="31"/>
        <v>993</v>
      </c>
      <c r="AF39" s="32">
        <f t="shared" si="31"/>
        <v>1186</v>
      </c>
    </row>
    <row r="40" spans="2:32" ht="23.1" customHeight="1" x14ac:dyDescent="0.25">
      <c r="B40" s="46" t="s">
        <v>67</v>
      </c>
      <c r="C40" s="50">
        <v>9</v>
      </c>
      <c r="D40" s="50">
        <v>10</v>
      </c>
      <c r="E40" s="50">
        <v>4</v>
      </c>
      <c r="F40" s="50">
        <v>37</v>
      </c>
      <c r="G40" s="50">
        <v>3</v>
      </c>
      <c r="H40" s="50">
        <v>0</v>
      </c>
      <c r="I40" s="50">
        <v>3</v>
      </c>
      <c r="J40" s="50">
        <v>3</v>
      </c>
      <c r="K40" s="50">
        <v>0</v>
      </c>
      <c r="L40" s="50">
        <v>9</v>
      </c>
      <c r="M40" s="50">
        <v>20</v>
      </c>
      <c r="N40" s="50">
        <v>0</v>
      </c>
      <c r="O40" s="15">
        <f t="shared" si="0"/>
        <v>78</v>
      </c>
      <c r="P40" s="15">
        <f t="shared" si="1"/>
        <v>98</v>
      </c>
      <c r="R40" s="5" t="s">
        <v>17</v>
      </c>
      <c r="S40" s="16">
        <f t="shared" ref="S40:AF40" si="32">SUM(S10:S21)</f>
        <v>652</v>
      </c>
      <c r="T40" s="16">
        <f t="shared" si="32"/>
        <v>337</v>
      </c>
      <c r="U40" s="16">
        <f t="shared" si="32"/>
        <v>202</v>
      </c>
      <c r="V40" s="16">
        <f t="shared" si="32"/>
        <v>1328</v>
      </c>
      <c r="W40" s="16">
        <f t="shared" si="32"/>
        <v>52</v>
      </c>
      <c r="X40" s="16">
        <f t="shared" si="32"/>
        <v>29</v>
      </c>
      <c r="Y40" s="16">
        <f t="shared" si="32"/>
        <v>163</v>
      </c>
      <c r="Z40" s="16">
        <f t="shared" si="32"/>
        <v>192</v>
      </c>
      <c r="AA40" s="16">
        <f t="shared" si="32"/>
        <v>59</v>
      </c>
      <c r="AB40" s="16">
        <f t="shared" si="32"/>
        <v>433</v>
      </c>
      <c r="AC40" s="16">
        <f t="shared" si="32"/>
        <v>731</v>
      </c>
      <c r="AD40" s="16">
        <f t="shared" si="32"/>
        <v>1</v>
      </c>
      <c r="AE40" s="32">
        <f t="shared" si="32"/>
        <v>3448</v>
      </c>
      <c r="AF40" s="32">
        <f t="shared" si="32"/>
        <v>4179</v>
      </c>
    </row>
    <row r="41" spans="2:32" ht="23.1" customHeight="1" x14ac:dyDescent="0.25">
      <c r="B41" s="45" t="s">
        <v>68</v>
      </c>
      <c r="C41" s="50">
        <v>15</v>
      </c>
      <c r="D41" s="50">
        <v>4</v>
      </c>
      <c r="E41" s="50">
        <v>5</v>
      </c>
      <c r="F41" s="50">
        <v>32</v>
      </c>
      <c r="G41" s="50">
        <v>2</v>
      </c>
      <c r="H41" s="50">
        <v>1</v>
      </c>
      <c r="I41" s="50">
        <v>7</v>
      </c>
      <c r="J41" s="50">
        <v>3</v>
      </c>
      <c r="K41" s="50">
        <v>1</v>
      </c>
      <c r="L41" s="50">
        <v>9</v>
      </c>
      <c r="M41" s="50">
        <v>12</v>
      </c>
      <c r="N41" s="50">
        <v>0</v>
      </c>
      <c r="O41" s="15">
        <f t="shared" si="0"/>
        <v>79</v>
      </c>
      <c r="P41" s="15">
        <f t="shared" si="1"/>
        <v>91</v>
      </c>
      <c r="R41" s="5" t="s">
        <v>159</v>
      </c>
      <c r="S41" s="16">
        <f>SUM(S10:S33)</f>
        <v>871</v>
      </c>
      <c r="T41" s="16">
        <f t="shared" ref="T41:AF41" si="33">SUM(T10:T33)</f>
        <v>393</v>
      </c>
      <c r="U41" s="16">
        <f t="shared" si="33"/>
        <v>257</v>
      </c>
      <c r="V41" s="16">
        <f t="shared" si="33"/>
        <v>1682</v>
      </c>
      <c r="W41" s="16">
        <f t="shared" si="33"/>
        <v>98</v>
      </c>
      <c r="X41" s="16">
        <f t="shared" si="33"/>
        <v>48</v>
      </c>
      <c r="Y41" s="16">
        <f t="shared" si="33"/>
        <v>273</v>
      </c>
      <c r="Z41" s="16">
        <f t="shared" si="33"/>
        <v>401</v>
      </c>
      <c r="AA41" s="16">
        <f t="shared" si="33"/>
        <v>105</v>
      </c>
      <c r="AB41" s="16">
        <f t="shared" si="33"/>
        <v>776</v>
      </c>
      <c r="AC41" s="16">
        <f t="shared" si="33"/>
        <v>954</v>
      </c>
      <c r="AD41" s="16">
        <f t="shared" si="33"/>
        <v>20</v>
      </c>
      <c r="AE41" s="32">
        <f t="shared" si="33"/>
        <v>4924</v>
      </c>
      <c r="AF41" s="32">
        <f t="shared" si="33"/>
        <v>5878</v>
      </c>
    </row>
    <row r="42" spans="2:32" ht="23.1" customHeight="1" x14ac:dyDescent="0.25">
      <c r="B42" s="46" t="s">
        <v>69</v>
      </c>
      <c r="C42" s="50">
        <v>11</v>
      </c>
      <c r="D42" s="50">
        <v>8</v>
      </c>
      <c r="E42" s="50">
        <v>2</v>
      </c>
      <c r="F42" s="50">
        <v>22</v>
      </c>
      <c r="G42" s="50">
        <v>1</v>
      </c>
      <c r="H42" s="50">
        <v>1</v>
      </c>
      <c r="I42" s="50">
        <v>2</v>
      </c>
      <c r="J42" s="50">
        <v>2</v>
      </c>
      <c r="K42" s="50">
        <v>1</v>
      </c>
      <c r="L42" s="50">
        <v>16</v>
      </c>
      <c r="M42" s="50">
        <v>16</v>
      </c>
      <c r="N42" s="50">
        <v>0</v>
      </c>
      <c r="O42" s="15">
        <f t="shared" si="0"/>
        <v>66</v>
      </c>
      <c r="P42" s="15">
        <f t="shared" si="1"/>
        <v>82</v>
      </c>
      <c r="R42" s="5" t="s">
        <v>160</v>
      </c>
      <c r="S42" s="48">
        <f>S41/S40</f>
        <v>1.3358895705521472</v>
      </c>
      <c r="T42" s="48">
        <f t="shared" ref="T42:AF42" si="34">T41/T40</f>
        <v>1.1661721068249258</v>
      </c>
      <c r="U42" s="48">
        <f t="shared" si="34"/>
        <v>1.2722772277227723</v>
      </c>
      <c r="V42" s="48">
        <f t="shared" si="34"/>
        <v>1.2665662650602409</v>
      </c>
      <c r="W42" s="48">
        <f t="shared" si="34"/>
        <v>1.8846153846153846</v>
      </c>
      <c r="X42" s="48">
        <f t="shared" si="34"/>
        <v>1.6551724137931034</v>
      </c>
      <c r="Y42" s="48">
        <f t="shared" si="34"/>
        <v>1.6748466257668713</v>
      </c>
      <c r="Z42" s="48">
        <f t="shared" si="34"/>
        <v>2.0885416666666665</v>
      </c>
      <c r="AA42" s="48">
        <f t="shared" si="34"/>
        <v>1.7796610169491525</v>
      </c>
      <c r="AB42" s="48">
        <f t="shared" si="34"/>
        <v>1.792147806004619</v>
      </c>
      <c r="AC42" s="48">
        <f t="shared" si="34"/>
        <v>1.3050615595075239</v>
      </c>
      <c r="AD42" s="48">
        <f t="shared" si="34"/>
        <v>20</v>
      </c>
      <c r="AE42" s="48">
        <f t="shared" si="34"/>
        <v>1.4280742459396751</v>
      </c>
      <c r="AF42" s="48">
        <f t="shared" si="34"/>
        <v>1.4065565924862407</v>
      </c>
    </row>
    <row r="43" spans="2:32" ht="23.1" customHeight="1" x14ac:dyDescent="0.25">
      <c r="B43" s="45" t="s">
        <v>70</v>
      </c>
      <c r="C43" s="50">
        <v>13</v>
      </c>
      <c r="D43" s="50">
        <v>2</v>
      </c>
      <c r="E43" s="50">
        <v>3</v>
      </c>
      <c r="F43" s="50">
        <v>23</v>
      </c>
      <c r="G43" s="50">
        <v>0</v>
      </c>
      <c r="H43" s="50">
        <v>1</v>
      </c>
      <c r="I43" s="50">
        <v>6</v>
      </c>
      <c r="J43" s="50">
        <v>2</v>
      </c>
      <c r="K43" s="50">
        <v>1</v>
      </c>
      <c r="L43" s="50">
        <v>8</v>
      </c>
      <c r="M43" s="50">
        <v>16</v>
      </c>
      <c r="N43" s="50">
        <v>0</v>
      </c>
      <c r="O43" s="15">
        <f t="shared" si="0"/>
        <v>59</v>
      </c>
      <c r="P43" s="15">
        <f t="shared" si="1"/>
        <v>75</v>
      </c>
    </row>
    <row r="44" spans="2:32" ht="23.1" customHeight="1" x14ac:dyDescent="0.25">
      <c r="B44" s="47" t="s">
        <v>71</v>
      </c>
      <c r="C44" s="50">
        <v>8</v>
      </c>
      <c r="D44" s="50">
        <v>8</v>
      </c>
      <c r="E44" s="50">
        <v>2</v>
      </c>
      <c r="F44" s="50">
        <v>28</v>
      </c>
      <c r="G44" s="50">
        <v>0</v>
      </c>
      <c r="H44" s="50">
        <v>0</v>
      </c>
      <c r="I44" s="50">
        <v>4</v>
      </c>
      <c r="J44" s="50">
        <v>9</v>
      </c>
      <c r="K44" s="50">
        <v>1</v>
      </c>
      <c r="L44" s="50">
        <v>15</v>
      </c>
      <c r="M44" s="50">
        <v>8</v>
      </c>
      <c r="N44" s="50">
        <v>0</v>
      </c>
      <c r="O44" s="15">
        <f t="shared" si="0"/>
        <v>75</v>
      </c>
      <c r="P44" s="15">
        <f t="shared" si="1"/>
        <v>83</v>
      </c>
    </row>
    <row r="45" spans="2:32" ht="23.1" customHeight="1" x14ac:dyDescent="0.25">
      <c r="B45" s="45" t="s">
        <v>72</v>
      </c>
      <c r="C45" s="50">
        <v>14</v>
      </c>
      <c r="D45" s="50">
        <v>7</v>
      </c>
      <c r="E45" s="50">
        <v>6</v>
      </c>
      <c r="F45" s="50">
        <v>30</v>
      </c>
      <c r="G45" s="50">
        <v>1</v>
      </c>
      <c r="H45" s="50">
        <v>0</v>
      </c>
      <c r="I45" s="50">
        <v>5</v>
      </c>
      <c r="J45" s="50">
        <v>9</v>
      </c>
      <c r="K45" s="50">
        <v>3</v>
      </c>
      <c r="L45" s="50">
        <v>11</v>
      </c>
      <c r="M45" s="50">
        <v>17</v>
      </c>
      <c r="N45" s="50">
        <v>0</v>
      </c>
      <c r="O45" s="15">
        <f t="shared" si="0"/>
        <v>86</v>
      </c>
      <c r="P45" s="15">
        <f t="shared" si="1"/>
        <v>103</v>
      </c>
    </row>
    <row r="46" spans="2:32" ht="23.1" customHeight="1" x14ac:dyDescent="0.25">
      <c r="B46" s="46" t="s">
        <v>73</v>
      </c>
      <c r="C46" s="50">
        <v>8</v>
      </c>
      <c r="D46" s="50">
        <v>8</v>
      </c>
      <c r="E46" s="50">
        <v>6</v>
      </c>
      <c r="F46" s="50">
        <v>35</v>
      </c>
      <c r="G46" s="50">
        <v>1</v>
      </c>
      <c r="H46" s="50">
        <v>2</v>
      </c>
      <c r="I46" s="50">
        <v>3</v>
      </c>
      <c r="J46" s="50">
        <v>8</v>
      </c>
      <c r="K46" s="50">
        <v>2</v>
      </c>
      <c r="L46" s="50">
        <v>16</v>
      </c>
      <c r="M46" s="50">
        <v>6</v>
      </c>
      <c r="N46" s="50">
        <v>0</v>
      </c>
      <c r="O46" s="15">
        <f t="shared" si="0"/>
        <v>89</v>
      </c>
      <c r="P46" s="15">
        <f t="shared" si="1"/>
        <v>95</v>
      </c>
      <c r="R46" s="8"/>
      <c r="T46"/>
    </row>
    <row r="47" spans="2:32" ht="23.1" customHeight="1" x14ac:dyDescent="0.25">
      <c r="B47" s="46" t="s">
        <v>74</v>
      </c>
      <c r="C47" s="50">
        <v>9</v>
      </c>
      <c r="D47" s="50">
        <v>2</v>
      </c>
      <c r="E47" s="50">
        <v>3</v>
      </c>
      <c r="F47" s="50">
        <v>23</v>
      </c>
      <c r="G47" s="50">
        <v>1</v>
      </c>
      <c r="H47" s="50">
        <v>1</v>
      </c>
      <c r="I47" s="50">
        <v>4</v>
      </c>
      <c r="J47" s="50">
        <v>7</v>
      </c>
      <c r="K47" s="50">
        <v>1</v>
      </c>
      <c r="L47" s="50">
        <v>15</v>
      </c>
      <c r="M47" s="50">
        <v>17</v>
      </c>
      <c r="N47" s="50">
        <v>0</v>
      </c>
      <c r="O47" s="15">
        <f t="shared" si="0"/>
        <v>66</v>
      </c>
      <c r="P47" s="15">
        <f t="shared" si="1"/>
        <v>83</v>
      </c>
      <c r="R47" s="8"/>
      <c r="T47"/>
    </row>
    <row r="48" spans="2:32" ht="23.1" customHeight="1" x14ac:dyDescent="0.25">
      <c r="B48" s="46" t="s">
        <v>75</v>
      </c>
      <c r="C48" s="50">
        <v>7</v>
      </c>
      <c r="D48" s="50">
        <v>2</v>
      </c>
      <c r="E48" s="50">
        <v>4</v>
      </c>
      <c r="F48" s="50">
        <v>31</v>
      </c>
      <c r="G48" s="50">
        <v>1</v>
      </c>
      <c r="H48" s="50">
        <v>1</v>
      </c>
      <c r="I48" s="50">
        <v>2</v>
      </c>
      <c r="J48" s="50">
        <v>4</v>
      </c>
      <c r="K48" s="50">
        <v>1</v>
      </c>
      <c r="L48" s="50">
        <v>16</v>
      </c>
      <c r="M48" s="50">
        <v>21</v>
      </c>
      <c r="N48" s="50">
        <v>0</v>
      </c>
      <c r="O48" s="15">
        <f t="shared" si="0"/>
        <v>69</v>
      </c>
      <c r="P48" s="15">
        <f t="shared" si="1"/>
        <v>90</v>
      </c>
      <c r="R48" s="8"/>
      <c r="T48"/>
    </row>
    <row r="49" spans="2:20" ht="23.1" customHeight="1" x14ac:dyDescent="0.25">
      <c r="B49" s="45" t="s">
        <v>76</v>
      </c>
      <c r="C49" s="50">
        <v>20</v>
      </c>
      <c r="D49" s="50">
        <v>3</v>
      </c>
      <c r="E49" s="50">
        <v>4</v>
      </c>
      <c r="F49" s="50">
        <v>36</v>
      </c>
      <c r="G49" s="50">
        <v>1</v>
      </c>
      <c r="H49" s="50">
        <v>0</v>
      </c>
      <c r="I49" s="50">
        <v>4</v>
      </c>
      <c r="J49" s="50">
        <v>9</v>
      </c>
      <c r="K49" s="50">
        <v>1</v>
      </c>
      <c r="L49" s="50">
        <v>28</v>
      </c>
      <c r="M49" s="50">
        <v>9</v>
      </c>
      <c r="N49" s="50">
        <v>0</v>
      </c>
      <c r="O49" s="15">
        <f t="shared" si="0"/>
        <v>106</v>
      </c>
      <c r="P49" s="15">
        <f t="shared" si="1"/>
        <v>115</v>
      </c>
      <c r="R49" s="8"/>
      <c r="T49"/>
    </row>
    <row r="50" spans="2:20" ht="23.1" customHeight="1" x14ac:dyDescent="0.25">
      <c r="B50" s="46" t="s">
        <v>77</v>
      </c>
      <c r="C50" s="50">
        <v>19</v>
      </c>
      <c r="D50" s="50">
        <v>10</v>
      </c>
      <c r="E50" s="50">
        <v>3</v>
      </c>
      <c r="F50" s="50">
        <v>35</v>
      </c>
      <c r="G50" s="50">
        <v>2</v>
      </c>
      <c r="H50" s="50">
        <v>0</v>
      </c>
      <c r="I50" s="50">
        <v>5</v>
      </c>
      <c r="J50" s="50">
        <v>5</v>
      </c>
      <c r="K50" s="50">
        <v>3</v>
      </c>
      <c r="L50" s="50">
        <v>20</v>
      </c>
      <c r="M50" s="50">
        <v>14</v>
      </c>
      <c r="N50" s="50">
        <v>0</v>
      </c>
      <c r="O50" s="15">
        <f t="shared" si="0"/>
        <v>102</v>
      </c>
      <c r="P50" s="15">
        <f t="shared" si="1"/>
        <v>116</v>
      </c>
      <c r="R50" s="8"/>
      <c r="T50"/>
    </row>
    <row r="51" spans="2:20" ht="23.1" customHeight="1" x14ac:dyDescent="0.25">
      <c r="B51" s="46" t="s">
        <v>78</v>
      </c>
      <c r="C51" s="50">
        <v>11</v>
      </c>
      <c r="D51" s="50">
        <v>5</v>
      </c>
      <c r="E51" s="50">
        <v>3</v>
      </c>
      <c r="F51" s="50">
        <v>20</v>
      </c>
      <c r="G51" s="50">
        <v>0</v>
      </c>
      <c r="H51" s="50">
        <v>0</v>
      </c>
      <c r="I51" s="50">
        <v>7</v>
      </c>
      <c r="J51" s="50">
        <v>5</v>
      </c>
      <c r="K51" s="50">
        <v>4</v>
      </c>
      <c r="L51" s="50">
        <v>14</v>
      </c>
      <c r="M51" s="50">
        <v>22</v>
      </c>
      <c r="N51" s="50">
        <v>0</v>
      </c>
      <c r="O51" s="15">
        <f t="shared" si="0"/>
        <v>69</v>
      </c>
      <c r="P51" s="15">
        <f t="shared" si="1"/>
        <v>91</v>
      </c>
      <c r="R51" s="8"/>
      <c r="T51"/>
    </row>
    <row r="52" spans="2:20" ht="23.1" customHeight="1" x14ac:dyDescent="0.25">
      <c r="B52" s="46" t="s">
        <v>79</v>
      </c>
      <c r="C52" s="50">
        <v>10</v>
      </c>
      <c r="D52" s="50">
        <v>19</v>
      </c>
      <c r="E52" s="50">
        <v>3</v>
      </c>
      <c r="F52" s="50">
        <v>24</v>
      </c>
      <c r="G52" s="50">
        <v>4</v>
      </c>
      <c r="H52" s="50">
        <v>0</v>
      </c>
      <c r="I52" s="50">
        <v>6</v>
      </c>
      <c r="J52" s="50">
        <v>3</v>
      </c>
      <c r="K52" s="50">
        <v>2</v>
      </c>
      <c r="L52" s="50">
        <v>27</v>
      </c>
      <c r="M52" s="50">
        <v>13</v>
      </c>
      <c r="N52" s="50">
        <v>0</v>
      </c>
      <c r="O52" s="15">
        <f t="shared" si="0"/>
        <v>98</v>
      </c>
      <c r="P52" s="15">
        <f t="shared" si="1"/>
        <v>111</v>
      </c>
      <c r="R52" s="8"/>
      <c r="T52"/>
    </row>
    <row r="53" spans="2:20" ht="23.1" customHeight="1" x14ac:dyDescent="0.25">
      <c r="B53" s="45" t="s">
        <v>80</v>
      </c>
      <c r="C53" s="50">
        <v>11</v>
      </c>
      <c r="D53" s="50">
        <v>2</v>
      </c>
      <c r="E53" s="50">
        <v>0</v>
      </c>
      <c r="F53" s="50">
        <v>27</v>
      </c>
      <c r="G53" s="50">
        <v>0</v>
      </c>
      <c r="H53" s="50">
        <v>1</v>
      </c>
      <c r="I53" s="50">
        <v>8</v>
      </c>
      <c r="J53" s="50">
        <v>6</v>
      </c>
      <c r="K53" s="50">
        <v>0</v>
      </c>
      <c r="L53" s="50">
        <v>20</v>
      </c>
      <c r="M53" s="50">
        <v>27</v>
      </c>
      <c r="N53" s="50">
        <v>0</v>
      </c>
      <c r="O53" s="15">
        <f t="shared" si="0"/>
        <v>75</v>
      </c>
      <c r="P53" s="15">
        <f t="shared" si="1"/>
        <v>102</v>
      </c>
      <c r="R53" s="8"/>
      <c r="T53"/>
    </row>
    <row r="54" spans="2:20" ht="23.1" customHeight="1" x14ac:dyDescent="0.25">
      <c r="B54" s="45" t="s">
        <v>81</v>
      </c>
      <c r="C54" s="50">
        <v>10</v>
      </c>
      <c r="D54" s="50">
        <v>7</v>
      </c>
      <c r="E54" s="50">
        <v>6</v>
      </c>
      <c r="F54" s="50">
        <v>41</v>
      </c>
      <c r="G54" s="50">
        <v>0</v>
      </c>
      <c r="H54" s="50">
        <v>2</v>
      </c>
      <c r="I54" s="50">
        <v>2</v>
      </c>
      <c r="J54" s="50">
        <v>2</v>
      </c>
      <c r="K54" s="50">
        <v>2</v>
      </c>
      <c r="L54" s="50">
        <v>16</v>
      </c>
      <c r="M54" s="50">
        <v>8</v>
      </c>
      <c r="N54" s="50">
        <v>0</v>
      </c>
      <c r="O54" s="15">
        <f t="shared" si="0"/>
        <v>88</v>
      </c>
      <c r="P54" s="15">
        <f t="shared" si="1"/>
        <v>96</v>
      </c>
      <c r="R54" s="8"/>
      <c r="T54"/>
    </row>
    <row r="55" spans="2:20" ht="23.1" customHeight="1" x14ac:dyDescent="0.25">
      <c r="B55" s="45" t="s">
        <v>82</v>
      </c>
      <c r="C55" s="50">
        <v>16</v>
      </c>
      <c r="D55" s="50">
        <v>4</v>
      </c>
      <c r="E55" s="50">
        <v>9</v>
      </c>
      <c r="F55" s="50">
        <v>31</v>
      </c>
      <c r="G55" s="50">
        <v>1</v>
      </c>
      <c r="H55" s="50">
        <v>1</v>
      </c>
      <c r="I55" s="50">
        <v>13</v>
      </c>
      <c r="J55" s="50">
        <v>7</v>
      </c>
      <c r="K55" s="50">
        <v>1</v>
      </c>
      <c r="L55" s="50">
        <v>27</v>
      </c>
      <c r="M55" s="50">
        <v>20</v>
      </c>
      <c r="N55" s="50">
        <v>0</v>
      </c>
      <c r="O55" s="15">
        <f t="shared" si="0"/>
        <v>110</v>
      </c>
      <c r="P55" s="15">
        <f t="shared" si="1"/>
        <v>130</v>
      </c>
      <c r="R55" s="8"/>
      <c r="T55"/>
    </row>
    <row r="56" spans="2:20" ht="23.1" customHeight="1" x14ac:dyDescent="0.25">
      <c r="B56" s="45" t="s">
        <v>83</v>
      </c>
      <c r="C56" s="50">
        <v>10</v>
      </c>
      <c r="D56" s="50">
        <v>1</v>
      </c>
      <c r="E56" s="50">
        <v>1</v>
      </c>
      <c r="F56" s="50">
        <v>12</v>
      </c>
      <c r="G56" s="50">
        <v>3</v>
      </c>
      <c r="H56" s="50">
        <v>0</v>
      </c>
      <c r="I56" s="50">
        <v>3</v>
      </c>
      <c r="J56" s="50">
        <v>2</v>
      </c>
      <c r="K56" s="50">
        <v>2</v>
      </c>
      <c r="L56" s="50">
        <v>22</v>
      </c>
      <c r="M56" s="50">
        <v>8</v>
      </c>
      <c r="N56" s="50">
        <v>0</v>
      </c>
      <c r="O56" s="15">
        <f t="shared" si="0"/>
        <v>56</v>
      </c>
      <c r="P56" s="15">
        <f t="shared" si="1"/>
        <v>64</v>
      </c>
      <c r="R56" s="8"/>
      <c r="T56"/>
    </row>
    <row r="57" spans="2:20" ht="23.1" customHeight="1" x14ac:dyDescent="0.25">
      <c r="B57" s="45" t="s">
        <v>84</v>
      </c>
      <c r="C57" s="50">
        <v>7</v>
      </c>
      <c r="D57" s="50">
        <v>5</v>
      </c>
      <c r="E57" s="50">
        <v>1</v>
      </c>
      <c r="F57" s="50">
        <v>30</v>
      </c>
      <c r="G57" s="50">
        <v>3</v>
      </c>
      <c r="H57" s="50">
        <v>2</v>
      </c>
      <c r="I57" s="50">
        <v>2</v>
      </c>
      <c r="J57" s="50">
        <v>2</v>
      </c>
      <c r="K57" s="50">
        <v>0</v>
      </c>
      <c r="L57" s="50">
        <v>13</v>
      </c>
      <c r="M57" s="50">
        <v>28</v>
      </c>
      <c r="N57" s="50">
        <v>0</v>
      </c>
      <c r="O57" s="15">
        <f t="shared" si="0"/>
        <v>65</v>
      </c>
      <c r="P57" s="15">
        <f t="shared" si="1"/>
        <v>93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0</v>
      </c>
      <c r="E58" s="50">
        <v>0</v>
      </c>
      <c r="F58" s="50">
        <v>6</v>
      </c>
      <c r="G58" s="50">
        <v>0</v>
      </c>
      <c r="H58" s="50">
        <v>0</v>
      </c>
      <c r="I58" s="50">
        <v>4</v>
      </c>
      <c r="J58" s="50">
        <v>1</v>
      </c>
      <c r="K58" s="50">
        <v>2</v>
      </c>
      <c r="L58" s="50">
        <v>7</v>
      </c>
      <c r="M58" s="50">
        <v>0</v>
      </c>
      <c r="N58" s="50">
        <v>0</v>
      </c>
      <c r="O58" s="15">
        <f t="shared" si="0"/>
        <v>22</v>
      </c>
      <c r="P58" s="15">
        <f t="shared" si="1"/>
        <v>22</v>
      </c>
      <c r="R58" s="8"/>
      <c r="T58"/>
    </row>
    <row r="59" spans="2:20" ht="23.1" customHeight="1" x14ac:dyDescent="0.25">
      <c r="B59" s="45" t="s">
        <v>100</v>
      </c>
      <c r="C59" s="50">
        <v>10</v>
      </c>
      <c r="D59" s="50">
        <v>5</v>
      </c>
      <c r="E59" s="50">
        <v>3</v>
      </c>
      <c r="F59" s="50">
        <v>20</v>
      </c>
      <c r="G59" s="50">
        <v>0</v>
      </c>
      <c r="H59" s="50">
        <v>0</v>
      </c>
      <c r="I59" s="50">
        <v>7</v>
      </c>
      <c r="J59" s="50">
        <v>7</v>
      </c>
      <c r="K59" s="50">
        <v>0</v>
      </c>
      <c r="L59" s="50">
        <v>8</v>
      </c>
      <c r="M59" s="50">
        <v>15</v>
      </c>
      <c r="N59" s="50">
        <v>0</v>
      </c>
      <c r="O59" s="15">
        <f t="shared" si="0"/>
        <v>60</v>
      </c>
      <c r="P59" s="15">
        <f t="shared" si="1"/>
        <v>75</v>
      </c>
      <c r="R59" s="8"/>
      <c r="T59"/>
    </row>
    <row r="60" spans="2:20" ht="23.1" customHeight="1" x14ac:dyDescent="0.25">
      <c r="B60" s="45" t="s">
        <v>101</v>
      </c>
      <c r="C60" s="50">
        <v>16</v>
      </c>
      <c r="D60" s="50">
        <v>6</v>
      </c>
      <c r="E60" s="50">
        <v>3</v>
      </c>
      <c r="F60" s="50">
        <v>42</v>
      </c>
      <c r="G60" s="50">
        <v>1</v>
      </c>
      <c r="H60" s="50">
        <v>0</v>
      </c>
      <c r="I60" s="50">
        <v>8</v>
      </c>
      <c r="J60" s="50">
        <v>12</v>
      </c>
      <c r="K60" s="50">
        <v>1</v>
      </c>
      <c r="L60" s="50">
        <v>18</v>
      </c>
      <c r="M60" s="50">
        <v>20</v>
      </c>
      <c r="N60" s="50">
        <v>0</v>
      </c>
      <c r="O60" s="15">
        <f t="shared" si="0"/>
        <v>107</v>
      </c>
      <c r="P60" s="15">
        <f t="shared" si="1"/>
        <v>127</v>
      </c>
      <c r="R60" s="8"/>
      <c r="T60"/>
    </row>
    <row r="61" spans="2:20" ht="23.1" customHeight="1" x14ac:dyDescent="0.25">
      <c r="B61" s="45" t="s">
        <v>102</v>
      </c>
      <c r="C61" s="50">
        <v>8</v>
      </c>
      <c r="D61" s="50">
        <v>3</v>
      </c>
      <c r="E61" s="50">
        <v>6</v>
      </c>
      <c r="F61" s="50">
        <v>18</v>
      </c>
      <c r="G61" s="50">
        <v>0</v>
      </c>
      <c r="H61" s="50">
        <v>0</v>
      </c>
      <c r="I61" s="50">
        <v>1</v>
      </c>
      <c r="J61" s="50">
        <v>2</v>
      </c>
      <c r="K61" s="50">
        <v>1</v>
      </c>
      <c r="L61" s="50">
        <v>25</v>
      </c>
      <c r="M61" s="50">
        <v>20</v>
      </c>
      <c r="N61" s="50">
        <v>0</v>
      </c>
      <c r="O61" s="15">
        <f t="shared" si="0"/>
        <v>64</v>
      </c>
      <c r="P61" s="15">
        <f t="shared" si="1"/>
        <v>84</v>
      </c>
      <c r="R61" s="8"/>
      <c r="T61"/>
    </row>
    <row r="62" spans="2:20" ht="23.1" customHeight="1" x14ac:dyDescent="0.25">
      <c r="B62" s="45" t="s">
        <v>107</v>
      </c>
      <c r="C62" s="50">
        <v>8</v>
      </c>
      <c r="D62" s="50">
        <v>4</v>
      </c>
      <c r="E62" s="50">
        <v>3</v>
      </c>
      <c r="F62" s="50">
        <v>21</v>
      </c>
      <c r="G62" s="50">
        <v>5</v>
      </c>
      <c r="H62" s="50">
        <v>1</v>
      </c>
      <c r="I62" s="50">
        <v>7</v>
      </c>
      <c r="J62" s="50">
        <v>8</v>
      </c>
      <c r="K62" s="50">
        <v>0</v>
      </c>
      <c r="L62" s="50">
        <v>12</v>
      </c>
      <c r="M62" s="50">
        <v>9</v>
      </c>
      <c r="N62" s="50">
        <v>0</v>
      </c>
      <c r="O62" s="15">
        <f t="shared" si="0"/>
        <v>69</v>
      </c>
      <c r="P62" s="15">
        <f t="shared" si="1"/>
        <v>78</v>
      </c>
      <c r="R62" s="8"/>
      <c r="T62"/>
    </row>
    <row r="63" spans="2:20" ht="23.1" customHeight="1" x14ac:dyDescent="0.25">
      <c r="B63" s="45" t="s">
        <v>108</v>
      </c>
      <c r="C63" s="50">
        <v>11</v>
      </c>
      <c r="D63" s="50">
        <v>2</v>
      </c>
      <c r="E63" s="50">
        <v>2</v>
      </c>
      <c r="F63" s="50">
        <v>13</v>
      </c>
      <c r="G63" s="50">
        <v>1</v>
      </c>
      <c r="H63" s="50">
        <v>0</v>
      </c>
      <c r="I63" s="50">
        <v>1</v>
      </c>
      <c r="J63" s="50">
        <v>5</v>
      </c>
      <c r="K63" s="50">
        <v>1</v>
      </c>
      <c r="L63" s="50">
        <v>13</v>
      </c>
      <c r="M63" s="50">
        <v>20</v>
      </c>
      <c r="N63" s="50">
        <v>0</v>
      </c>
      <c r="O63" s="15">
        <f t="shared" si="0"/>
        <v>49</v>
      </c>
      <c r="P63" s="15">
        <f t="shared" si="1"/>
        <v>69</v>
      </c>
      <c r="R63" s="8"/>
      <c r="T63"/>
    </row>
    <row r="64" spans="2:20" ht="23.1" customHeight="1" x14ac:dyDescent="0.25">
      <c r="B64" s="45" t="s">
        <v>109</v>
      </c>
      <c r="C64" s="50">
        <v>11</v>
      </c>
      <c r="D64" s="50">
        <v>3</v>
      </c>
      <c r="E64" s="50">
        <v>1</v>
      </c>
      <c r="F64" s="50">
        <v>16</v>
      </c>
      <c r="G64" s="50">
        <v>0</v>
      </c>
      <c r="H64" s="50">
        <v>1</v>
      </c>
      <c r="I64" s="50">
        <v>2</v>
      </c>
      <c r="J64" s="50">
        <v>10</v>
      </c>
      <c r="K64" s="50">
        <v>3</v>
      </c>
      <c r="L64" s="50">
        <v>27</v>
      </c>
      <c r="M64" s="50">
        <v>13</v>
      </c>
      <c r="N64" s="50">
        <v>0</v>
      </c>
      <c r="O64" s="15">
        <f t="shared" si="0"/>
        <v>74</v>
      </c>
      <c r="P64" s="15">
        <f t="shared" si="1"/>
        <v>87</v>
      </c>
      <c r="R64" s="8"/>
      <c r="T64"/>
    </row>
    <row r="65" spans="2:20" ht="23.1" customHeight="1" x14ac:dyDescent="0.25">
      <c r="B65" s="45" t="s">
        <v>158</v>
      </c>
      <c r="C65" s="50">
        <v>5</v>
      </c>
      <c r="D65" s="50">
        <v>0</v>
      </c>
      <c r="E65" s="50">
        <v>2</v>
      </c>
      <c r="F65" s="50">
        <v>16</v>
      </c>
      <c r="G65" s="50">
        <v>0</v>
      </c>
      <c r="H65" s="50">
        <v>0</v>
      </c>
      <c r="I65" s="50">
        <v>3</v>
      </c>
      <c r="J65" s="50">
        <v>4</v>
      </c>
      <c r="K65" s="50">
        <v>3</v>
      </c>
      <c r="L65" s="50">
        <v>11</v>
      </c>
      <c r="M65" s="50">
        <v>9</v>
      </c>
      <c r="N65" s="50">
        <v>0</v>
      </c>
      <c r="O65" s="15">
        <f t="shared" si="0"/>
        <v>44</v>
      </c>
      <c r="P65" s="15">
        <f t="shared" si="1"/>
        <v>53</v>
      </c>
      <c r="R65" s="8"/>
      <c r="T65"/>
    </row>
    <row r="66" spans="2:20" ht="23.1" customHeight="1" x14ac:dyDescent="0.25">
      <c r="B66" s="45" t="s">
        <v>103</v>
      </c>
      <c r="C66" s="50">
        <v>10</v>
      </c>
      <c r="D66" s="50">
        <v>1</v>
      </c>
      <c r="E66" s="50">
        <v>1</v>
      </c>
      <c r="F66" s="50">
        <v>0</v>
      </c>
      <c r="G66" s="50">
        <v>20</v>
      </c>
      <c r="H66" s="50">
        <v>0</v>
      </c>
      <c r="I66" s="50">
        <v>0</v>
      </c>
      <c r="J66" s="50">
        <v>2</v>
      </c>
      <c r="K66" s="50">
        <v>6</v>
      </c>
      <c r="L66" s="50">
        <v>1</v>
      </c>
      <c r="M66" s="50">
        <v>15</v>
      </c>
      <c r="N66" s="50">
        <v>13</v>
      </c>
      <c r="O66" s="15">
        <f t="shared" si="0"/>
        <v>54</v>
      </c>
      <c r="P66" s="15">
        <f t="shared" si="1"/>
        <v>69</v>
      </c>
      <c r="R66" s="8"/>
      <c r="T66"/>
    </row>
    <row r="67" spans="2:20" ht="23.1" customHeight="1" x14ac:dyDescent="0.25">
      <c r="B67" s="45" t="s">
        <v>104</v>
      </c>
      <c r="C67" s="50">
        <v>15</v>
      </c>
      <c r="D67" s="50">
        <v>1</v>
      </c>
      <c r="E67" s="50">
        <v>1</v>
      </c>
      <c r="F67" s="50">
        <v>15</v>
      </c>
      <c r="G67" s="50">
        <v>1</v>
      </c>
      <c r="H67" s="50">
        <v>0</v>
      </c>
      <c r="I67" s="50">
        <v>7</v>
      </c>
      <c r="J67" s="50">
        <v>5</v>
      </c>
      <c r="K67" s="50">
        <v>0</v>
      </c>
      <c r="L67" s="50">
        <v>21</v>
      </c>
      <c r="M67" s="50">
        <v>7</v>
      </c>
      <c r="N67" s="50">
        <v>0</v>
      </c>
      <c r="O67" s="15">
        <f t="shared" si="0"/>
        <v>66</v>
      </c>
      <c r="P67" s="15">
        <f t="shared" si="1"/>
        <v>73</v>
      </c>
      <c r="R67" s="8"/>
      <c r="T67"/>
    </row>
    <row r="68" spans="2:20" ht="23.1" customHeight="1" x14ac:dyDescent="0.25">
      <c r="B68" s="45" t="s">
        <v>105</v>
      </c>
      <c r="C68" s="50">
        <v>4</v>
      </c>
      <c r="D68" s="50">
        <v>1</v>
      </c>
      <c r="E68" s="50">
        <v>0</v>
      </c>
      <c r="F68" s="50">
        <v>10</v>
      </c>
      <c r="G68" s="50">
        <v>0</v>
      </c>
      <c r="H68" s="50">
        <v>0</v>
      </c>
      <c r="I68" s="50">
        <v>1</v>
      </c>
      <c r="J68" s="50">
        <v>2</v>
      </c>
      <c r="K68" s="50">
        <v>5</v>
      </c>
      <c r="L68" s="50">
        <v>9</v>
      </c>
      <c r="M68" s="50">
        <v>10</v>
      </c>
      <c r="N68" s="50">
        <v>0</v>
      </c>
      <c r="O68" s="15">
        <f t="shared" si="0"/>
        <v>32</v>
      </c>
      <c r="P68" s="15">
        <f t="shared" si="1"/>
        <v>42</v>
      </c>
      <c r="R68" s="8"/>
      <c r="T68"/>
    </row>
    <row r="69" spans="2:20" ht="23.1" customHeight="1" x14ac:dyDescent="0.25">
      <c r="B69" s="45" t="s">
        <v>106</v>
      </c>
      <c r="C69" s="50">
        <v>7</v>
      </c>
      <c r="D69" s="50">
        <v>2</v>
      </c>
      <c r="E69" s="50">
        <v>2</v>
      </c>
      <c r="F69" s="50">
        <v>20</v>
      </c>
      <c r="G69" s="50">
        <v>4</v>
      </c>
      <c r="H69" s="50">
        <v>0</v>
      </c>
      <c r="I69" s="50">
        <v>2</v>
      </c>
      <c r="J69" s="50">
        <v>2</v>
      </c>
      <c r="K69" s="50">
        <v>0</v>
      </c>
      <c r="L69" s="50">
        <v>13</v>
      </c>
      <c r="M69" s="50">
        <v>12</v>
      </c>
      <c r="N69" s="50">
        <v>0</v>
      </c>
      <c r="O69" s="15">
        <f t="shared" si="0"/>
        <v>52</v>
      </c>
      <c r="P69" s="15">
        <f t="shared" si="1"/>
        <v>64</v>
      </c>
      <c r="R69" s="8"/>
      <c r="T69"/>
    </row>
    <row r="70" spans="2:20" ht="23.1" customHeight="1" x14ac:dyDescent="0.25">
      <c r="B70" s="45" t="s">
        <v>110</v>
      </c>
      <c r="C70" s="50">
        <v>10</v>
      </c>
      <c r="D70" s="50">
        <v>2</v>
      </c>
      <c r="E70" s="50">
        <v>0</v>
      </c>
      <c r="F70" s="50">
        <v>9</v>
      </c>
      <c r="G70" s="50">
        <v>1</v>
      </c>
      <c r="H70" s="50">
        <v>0</v>
      </c>
      <c r="I70" s="50">
        <v>3</v>
      </c>
      <c r="J70" s="50">
        <v>10</v>
      </c>
      <c r="K70" s="50">
        <v>0</v>
      </c>
      <c r="L70" s="50">
        <v>12</v>
      </c>
      <c r="M70" s="50">
        <v>9</v>
      </c>
      <c r="N70" s="50">
        <v>0</v>
      </c>
      <c r="O70" s="15">
        <f t="shared" si="0"/>
        <v>47</v>
      </c>
      <c r="P70" s="15">
        <f t="shared" si="1"/>
        <v>56</v>
      </c>
      <c r="R70" s="8"/>
      <c r="T70"/>
    </row>
    <row r="71" spans="2:20" ht="23.1" customHeight="1" x14ac:dyDescent="0.25">
      <c r="B71" s="45" t="s">
        <v>111</v>
      </c>
      <c r="C71" s="50">
        <v>8</v>
      </c>
      <c r="D71" s="50">
        <v>2</v>
      </c>
      <c r="E71" s="50">
        <v>2</v>
      </c>
      <c r="F71" s="50">
        <v>23</v>
      </c>
      <c r="G71" s="50">
        <v>4</v>
      </c>
      <c r="H71" s="50">
        <v>1</v>
      </c>
      <c r="I71" s="50">
        <v>7</v>
      </c>
      <c r="J71" s="50">
        <v>9</v>
      </c>
      <c r="K71" s="50">
        <v>0</v>
      </c>
      <c r="L71" s="50">
        <v>11</v>
      </c>
      <c r="M71" s="50">
        <v>5</v>
      </c>
      <c r="N71" s="50">
        <v>0</v>
      </c>
      <c r="O71" s="15">
        <f t="shared" si="0"/>
        <v>67</v>
      </c>
      <c r="P71" s="15">
        <f t="shared" si="1"/>
        <v>72</v>
      </c>
      <c r="R71" s="8"/>
      <c r="T71"/>
    </row>
    <row r="72" spans="2:20" ht="23.1" customHeight="1" x14ac:dyDescent="0.25">
      <c r="B72" s="45" t="s">
        <v>112</v>
      </c>
      <c r="C72" s="50">
        <v>7</v>
      </c>
      <c r="D72" s="50">
        <v>1</v>
      </c>
      <c r="E72" s="50">
        <v>5</v>
      </c>
      <c r="F72" s="50">
        <v>9</v>
      </c>
      <c r="G72" s="50">
        <v>0</v>
      </c>
      <c r="H72" s="50">
        <v>0</v>
      </c>
      <c r="I72" s="50">
        <v>2</v>
      </c>
      <c r="J72" s="50">
        <v>5</v>
      </c>
      <c r="K72" s="50">
        <v>0</v>
      </c>
      <c r="L72" s="50">
        <v>15</v>
      </c>
      <c r="M72" s="50">
        <v>3</v>
      </c>
      <c r="N72" s="50">
        <v>0</v>
      </c>
      <c r="O72" s="15">
        <f t="shared" si="0"/>
        <v>44</v>
      </c>
      <c r="P72" s="15">
        <f t="shared" si="1"/>
        <v>47</v>
      </c>
      <c r="R72" s="8"/>
      <c r="T72"/>
    </row>
    <row r="73" spans="2:20" ht="23.1" customHeight="1" x14ac:dyDescent="0.25">
      <c r="B73" s="45" t="s">
        <v>113</v>
      </c>
      <c r="C73" s="50">
        <v>5</v>
      </c>
      <c r="D73" s="50">
        <v>0</v>
      </c>
      <c r="E73" s="50">
        <v>0</v>
      </c>
      <c r="F73" s="50">
        <v>2</v>
      </c>
      <c r="G73" s="50">
        <v>2</v>
      </c>
      <c r="H73" s="50">
        <v>0</v>
      </c>
      <c r="I73" s="50">
        <v>1</v>
      </c>
      <c r="J73" s="50">
        <v>3</v>
      </c>
      <c r="K73" s="50">
        <v>0</v>
      </c>
      <c r="L73" s="50">
        <v>16</v>
      </c>
      <c r="M73" s="50">
        <v>3</v>
      </c>
      <c r="N73" s="50">
        <v>0</v>
      </c>
      <c r="O73" s="15">
        <f t="shared" si="0"/>
        <v>29</v>
      </c>
      <c r="P73" s="15">
        <f t="shared" si="1"/>
        <v>32</v>
      </c>
      <c r="R73" s="8"/>
      <c r="T73"/>
    </row>
    <row r="74" spans="2:20" ht="23.1" customHeight="1" x14ac:dyDescent="0.25">
      <c r="B74" s="45" t="s">
        <v>114</v>
      </c>
      <c r="C74" s="50">
        <v>6</v>
      </c>
      <c r="D74" s="50">
        <v>0</v>
      </c>
      <c r="E74" s="50">
        <v>2</v>
      </c>
      <c r="F74" s="50">
        <v>10</v>
      </c>
      <c r="G74" s="50">
        <v>2</v>
      </c>
      <c r="H74" s="50">
        <v>0</v>
      </c>
      <c r="I74" s="50">
        <v>6</v>
      </c>
      <c r="J74" s="50">
        <v>1</v>
      </c>
      <c r="K74" s="50">
        <v>1</v>
      </c>
      <c r="L74" s="50">
        <v>0</v>
      </c>
      <c r="M74" s="50">
        <v>2</v>
      </c>
      <c r="N74" s="50">
        <v>0</v>
      </c>
      <c r="O74" s="15">
        <f t="shared" ref="O74:O105" si="35">SUM(C74:L74,N74)</f>
        <v>28</v>
      </c>
      <c r="P74" s="15">
        <f t="shared" ref="P74:P105" si="36">SUM(C74:N74)</f>
        <v>30</v>
      </c>
      <c r="R74" s="8"/>
      <c r="T74"/>
    </row>
    <row r="75" spans="2:20" ht="23.1" customHeight="1" x14ac:dyDescent="0.25">
      <c r="B75" s="45" t="s">
        <v>115</v>
      </c>
      <c r="C75" s="50">
        <v>9</v>
      </c>
      <c r="D75" s="50">
        <v>2</v>
      </c>
      <c r="E75" s="50">
        <v>1</v>
      </c>
      <c r="F75" s="50">
        <v>11</v>
      </c>
      <c r="G75" s="50">
        <v>1</v>
      </c>
      <c r="H75" s="50">
        <v>4</v>
      </c>
      <c r="I75" s="50">
        <v>6</v>
      </c>
      <c r="J75" s="50">
        <v>0</v>
      </c>
      <c r="K75" s="50">
        <v>2</v>
      </c>
      <c r="L75" s="50">
        <v>14</v>
      </c>
      <c r="M75" s="50">
        <v>8</v>
      </c>
      <c r="N75" s="50">
        <v>0</v>
      </c>
      <c r="O75" s="15">
        <f t="shared" si="35"/>
        <v>50</v>
      </c>
      <c r="P75" s="15">
        <f t="shared" si="36"/>
        <v>58</v>
      </c>
      <c r="R75" s="8"/>
      <c r="T75"/>
    </row>
    <row r="76" spans="2:20" ht="23.1" customHeight="1" x14ac:dyDescent="0.25">
      <c r="B76" s="45" t="s">
        <v>116</v>
      </c>
      <c r="C76" s="50">
        <v>6</v>
      </c>
      <c r="D76" s="50">
        <v>2</v>
      </c>
      <c r="E76" s="50">
        <v>0</v>
      </c>
      <c r="F76" s="50">
        <v>3</v>
      </c>
      <c r="G76" s="50">
        <v>1</v>
      </c>
      <c r="H76" s="50">
        <v>1</v>
      </c>
      <c r="I76" s="50">
        <v>1</v>
      </c>
      <c r="J76" s="50">
        <v>0</v>
      </c>
      <c r="K76" s="50">
        <v>0</v>
      </c>
      <c r="L76" s="50">
        <v>1</v>
      </c>
      <c r="M76" s="50">
        <v>8</v>
      </c>
      <c r="N76" s="50">
        <v>6</v>
      </c>
      <c r="O76" s="15">
        <f t="shared" si="35"/>
        <v>21</v>
      </c>
      <c r="P76" s="15">
        <f t="shared" si="36"/>
        <v>29</v>
      </c>
      <c r="R76" s="8"/>
      <c r="T76"/>
    </row>
    <row r="77" spans="2:20" ht="23.1" customHeight="1" x14ac:dyDescent="0.25">
      <c r="B77" s="45" t="s">
        <v>117</v>
      </c>
      <c r="C77" s="50">
        <v>3</v>
      </c>
      <c r="D77" s="50">
        <v>2</v>
      </c>
      <c r="E77" s="50">
        <v>1</v>
      </c>
      <c r="F77" s="50">
        <v>1</v>
      </c>
      <c r="G77" s="50">
        <v>0</v>
      </c>
      <c r="H77" s="50">
        <v>0</v>
      </c>
      <c r="I77" s="50">
        <v>2</v>
      </c>
      <c r="J77" s="50">
        <v>2</v>
      </c>
      <c r="K77" s="50">
        <v>3</v>
      </c>
      <c r="L77" s="50">
        <v>7</v>
      </c>
      <c r="M77" s="50">
        <v>6</v>
      </c>
      <c r="N77" s="50">
        <v>0</v>
      </c>
      <c r="O77" s="15">
        <f t="shared" si="35"/>
        <v>21</v>
      </c>
      <c r="P77" s="15">
        <f t="shared" si="36"/>
        <v>27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1</v>
      </c>
      <c r="E78" s="50">
        <v>1</v>
      </c>
      <c r="F78" s="50">
        <v>4</v>
      </c>
      <c r="G78" s="50">
        <v>1</v>
      </c>
      <c r="H78" s="50">
        <v>0</v>
      </c>
      <c r="I78" s="50">
        <v>1</v>
      </c>
      <c r="J78" s="50">
        <v>2</v>
      </c>
      <c r="K78" s="50">
        <v>3</v>
      </c>
      <c r="L78" s="50">
        <v>3</v>
      </c>
      <c r="M78" s="50">
        <v>1</v>
      </c>
      <c r="N78" s="50">
        <v>0</v>
      </c>
      <c r="O78" s="15">
        <f t="shared" si="35"/>
        <v>18</v>
      </c>
      <c r="P78" s="15">
        <f t="shared" si="36"/>
        <v>19</v>
      </c>
      <c r="R78" s="8"/>
      <c r="T78"/>
    </row>
    <row r="79" spans="2:20" ht="23.1" customHeight="1" x14ac:dyDescent="0.25">
      <c r="B79" s="45" t="s">
        <v>119</v>
      </c>
      <c r="C79" s="50">
        <v>4</v>
      </c>
      <c r="D79" s="50">
        <v>0</v>
      </c>
      <c r="E79" s="50">
        <v>0</v>
      </c>
      <c r="F79" s="50">
        <v>1</v>
      </c>
      <c r="G79" s="50">
        <v>0</v>
      </c>
      <c r="H79" s="50">
        <v>2</v>
      </c>
      <c r="I79" s="50">
        <v>3</v>
      </c>
      <c r="J79" s="50">
        <v>11</v>
      </c>
      <c r="K79" s="50">
        <v>2</v>
      </c>
      <c r="L79" s="50">
        <v>7</v>
      </c>
      <c r="M79" s="50">
        <v>1</v>
      </c>
      <c r="N79" s="50">
        <v>0</v>
      </c>
      <c r="O79" s="15">
        <f t="shared" si="35"/>
        <v>30</v>
      </c>
      <c r="P79" s="15">
        <f t="shared" si="36"/>
        <v>31</v>
      </c>
      <c r="R79" s="8"/>
      <c r="T79"/>
    </row>
    <row r="80" spans="2:20" ht="23.1" customHeight="1" x14ac:dyDescent="0.25">
      <c r="B80" s="47" t="s">
        <v>120</v>
      </c>
      <c r="C80" s="50">
        <v>4</v>
      </c>
      <c r="D80" s="50">
        <v>1</v>
      </c>
      <c r="E80" s="50">
        <v>1</v>
      </c>
      <c r="F80" s="50">
        <v>5</v>
      </c>
      <c r="G80" s="50">
        <v>0</v>
      </c>
      <c r="H80" s="50">
        <v>2</v>
      </c>
      <c r="I80" s="50">
        <v>0</v>
      </c>
      <c r="J80" s="50">
        <v>11</v>
      </c>
      <c r="K80" s="50">
        <v>0</v>
      </c>
      <c r="L80" s="50">
        <v>2</v>
      </c>
      <c r="M80" s="50">
        <v>4</v>
      </c>
      <c r="N80" s="50">
        <v>0</v>
      </c>
      <c r="O80" s="15">
        <f t="shared" si="35"/>
        <v>26</v>
      </c>
      <c r="P80" s="15">
        <f t="shared" si="36"/>
        <v>30</v>
      </c>
      <c r="R80" s="8"/>
      <c r="T80"/>
    </row>
    <row r="81" spans="2:20" ht="23.1" customHeight="1" x14ac:dyDescent="0.25">
      <c r="B81" s="45" t="s">
        <v>121</v>
      </c>
      <c r="C81" s="50">
        <v>3</v>
      </c>
      <c r="D81" s="50">
        <v>1</v>
      </c>
      <c r="E81" s="50">
        <v>1</v>
      </c>
      <c r="F81" s="50">
        <v>2</v>
      </c>
      <c r="G81" s="50">
        <v>1</v>
      </c>
      <c r="H81" s="50">
        <v>0</v>
      </c>
      <c r="I81" s="50">
        <v>0</v>
      </c>
      <c r="J81" s="50">
        <v>3</v>
      </c>
      <c r="K81" s="50">
        <v>0</v>
      </c>
      <c r="L81" s="50">
        <v>3</v>
      </c>
      <c r="M81" s="50">
        <v>0</v>
      </c>
      <c r="N81" s="50">
        <v>0</v>
      </c>
      <c r="O81" s="15">
        <f t="shared" si="35"/>
        <v>14</v>
      </c>
      <c r="P81" s="15">
        <f t="shared" si="36"/>
        <v>14</v>
      </c>
      <c r="R81" s="8"/>
      <c r="T81"/>
    </row>
    <row r="82" spans="2:20" ht="23.1" customHeight="1" x14ac:dyDescent="0.25">
      <c r="B82" s="46" t="s">
        <v>122</v>
      </c>
      <c r="C82" s="50">
        <v>2</v>
      </c>
      <c r="D82" s="50">
        <v>2</v>
      </c>
      <c r="E82" s="50">
        <v>0</v>
      </c>
      <c r="F82" s="50">
        <v>3</v>
      </c>
      <c r="G82" s="50">
        <v>0</v>
      </c>
      <c r="H82" s="50">
        <v>0</v>
      </c>
      <c r="I82" s="50">
        <v>1</v>
      </c>
      <c r="J82" s="50">
        <v>6</v>
      </c>
      <c r="K82" s="50">
        <v>0</v>
      </c>
      <c r="L82" s="50">
        <v>10</v>
      </c>
      <c r="M82" s="50">
        <v>2</v>
      </c>
      <c r="N82" s="50">
        <v>0</v>
      </c>
      <c r="O82" s="15">
        <f t="shared" si="35"/>
        <v>24</v>
      </c>
      <c r="P82" s="15">
        <f t="shared" si="36"/>
        <v>26</v>
      </c>
      <c r="R82" s="8"/>
      <c r="T82"/>
    </row>
    <row r="83" spans="2:20" ht="23.1" customHeight="1" x14ac:dyDescent="0.25">
      <c r="B83" s="45" t="s">
        <v>123</v>
      </c>
      <c r="C83" s="50">
        <v>4</v>
      </c>
      <c r="D83" s="50">
        <v>0</v>
      </c>
      <c r="E83" s="50">
        <v>0</v>
      </c>
      <c r="F83" s="50">
        <v>1</v>
      </c>
      <c r="G83" s="50">
        <v>0</v>
      </c>
      <c r="H83" s="50">
        <v>2</v>
      </c>
      <c r="I83" s="50">
        <v>3</v>
      </c>
      <c r="J83" s="50">
        <v>11</v>
      </c>
      <c r="K83" s="50">
        <v>2</v>
      </c>
      <c r="L83" s="50">
        <v>7</v>
      </c>
      <c r="M83" s="50">
        <v>1</v>
      </c>
      <c r="N83" s="50">
        <v>0</v>
      </c>
      <c r="O83" s="15">
        <f t="shared" si="35"/>
        <v>30</v>
      </c>
      <c r="P83" s="15">
        <f t="shared" si="36"/>
        <v>31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0</v>
      </c>
      <c r="F84" s="50">
        <v>1</v>
      </c>
      <c r="G84" s="50">
        <v>0</v>
      </c>
      <c r="H84" s="50">
        <v>0</v>
      </c>
      <c r="I84" s="50">
        <v>2</v>
      </c>
      <c r="J84" s="50">
        <v>3</v>
      </c>
      <c r="K84" s="50">
        <v>0</v>
      </c>
      <c r="L84" s="50">
        <v>2</v>
      </c>
      <c r="M84" s="50">
        <v>2</v>
      </c>
      <c r="N84" s="50">
        <v>0</v>
      </c>
      <c r="O84" s="15">
        <f t="shared" si="35"/>
        <v>10</v>
      </c>
      <c r="P84" s="15">
        <f t="shared" si="36"/>
        <v>12</v>
      </c>
      <c r="R84" s="8"/>
      <c r="T84"/>
    </row>
    <row r="85" spans="2:20" ht="23.1" customHeight="1" x14ac:dyDescent="0.25">
      <c r="B85" s="45" t="s">
        <v>125</v>
      </c>
      <c r="C85" s="50">
        <v>3</v>
      </c>
      <c r="D85" s="50">
        <v>1</v>
      </c>
      <c r="E85" s="50">
        <v>1</v>
      </c>
      <c r="F85" s="50">
        <v>4</v>
      </c>
      <c r="G85" s="50">
        <v>0</v>
      </c>
      <c r="H85" s="50">
        <v>0</v>
      </c>
      <c r="I85" s="50">
        <v>0</v>
      </c>
      <c r="J85" s="50">
        <v>6</v>
      </c>
      <c r="K85" s="50">
        <v>0</v>
      </c>
      <c r="L85" s="50">
        <v>3</v>
      </c>
      <c r="M85" s="50">
        <v>2</v>
      </c>
      <c r="N85" s="50">
        <v>0</v>
      </c>
      <c r="O85" s="15">
        <f t="shared" si="35"/>
        <v>18</v>
      </c>
      <c r="P85" s="15">
        <f t="shared" si="36"/>
        <v>20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0</v>
      </c>
      <c r="F86" s="50">
        <v>1</v>
      </c>
      <c r="G86" s="50">
        <v>0</v>
      </c>
      <c r="H86" s="50">
        <v>0</v>
      </c>
      <c r="I86" s="50">
        <v>2</v>
      </c>
      <c r="J86" s="50">
        <v>8</v>
      </c>
      <c r="K86" s="50">
        <v>0</v>
      </c>
      <c r="L86" s="50">
        <v>5</v>
      </c>
      <c r="M86" s="50">
        <v>1</v>
      </c>
      <c r="N86" s="50">
        <v>0</v>
      </c>
      <c r="O86" s="15">
        <f t="shared" si="35"/>
        <v>17</v>
      </c>
      <c r="P86" s="15">
        <f t="shared" si="36"/>
        <v>18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1</v>
      </c>
      <c r="E87" s="50">
        <v>1</v>
      </c>
      <c r="F87" s="50">
        <v>2</v>
      </c>
      <c r="G87" s="50">
        <v>0</v>
      </c>
      <c r="H87" s="50">
        <v>2</v>
      </c>
      <c r="I87" s="50">
        <v>5</v>
      </c>
      <c r="J87" s="50">
        <v>6</v>
      </c>
      <c r="K87" s="50">
        <v>1</v>
      </c>
      <c r="L87" s="50">
        <v>8</v>
      </c>
      <c r="M87" s="50">
        <v>0</v>
      </c>
      <c r="N87" s="50">
        <v>0</v>
      </c>
      <c r="O87" s="15">
        <f t="shared" si="35"/>
        <v>28</v>
      </c>
      <c r="P87" s="15">
        <f t="shared" si="36"/>
        <v>28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1</v>
      </c>
      <c r="K88" s="50">
        <v>5</v>
      </c>
      <c r="L88" s="50">
        <v>0</v>
      </c>
      <c r="M88" s="50">
        <v>1</v>
      </c>
      <c r="N88" s="50">
        <v>0</v>
      </c>
      <c r="O88" s="15">
        <f t="shared" si="35"/>
        <v>7</v>
      </c>
      <c r="P88" s="15">
        <f t="shared" si="36"/>
        <v>8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3</v>
      </c>
      <c r="G89" s="50">
        <v>0</v>
      </c>
      <c r="H89" s="50">
        <v>0</v>
      </c>
      <c r="I89" s="50">
        <v>3</v>
      </c>
      <c r="J89" s="50">
        <v>0</v>
      </c>
      <c r="K89" s="50">
        <v>3</v>
      </c>
      <c r="L89" s="50">
        <v>0</v>
      </c>
      <c r="M89" s="50">
        <v>0</v>
      </c>
      <c r="N89" s="50">
        <v>0</v>
      </c>
      <c r="O89" s="15">
        <f t="shared" si="35"/>
        <v>9</v>
      </c>
      <c r="P89" s="15">
        <f t="shared" si="36"/>
        <v>9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9</v>
      </c>
      <c r="K90" s="50">
        <v>1</v>
      </c>
      <c r="L90" s="50">
        <v>4</v>
      </c>
      <c r="M90" s="50">
        <v>1</v>
      </c>
      <c r="N90" s="50">
        <v>0</v>
      </c>
      <c r="O90" s="15">
        <f t="shared" si="35"/>
        <v>16</v>
      </c>
      <c r="P90" s="15">
        <f t="shared" si="36"/>
        <v>17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1</v>
      </c>
      <c r="I91" s="50">
        <v>1</v>
      </c>
      <c r="J91" s="50">
        <v>1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3</v>
      </c>
      <c r="P91" s="15">
        <f t="shared" si="36"/>
        <v>3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1</v>
      </c>
      <c r="G92" s="50">
        <v>0</v>
      </c>
      <c r="H92" s="50">
        <v>0</v>
      </c>
      <c r="I92" s="50">
        <v>2</v>
      </c>
      <c r="J92" s="50">
        <v>1</v>
      </c>
      <c r="K92" s="50">
        <v>0</v>
      </c>
      <c r="L92" s="50">
        <v>1</v>
      </c>
      <c r="M92" s="50">
        <v>0</v>
      </c>
      <c r="N92" s="50">
        <v>0</v>
      </c>
      <c r="O92" s="15">
        <f t="shared" si="35"/>
        <v>5</v>
      </c>
      <c r="P92" s="15">
        <f t="shared" si="36"/>
        <v>5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3</v>
      </c>
      <c r="G93" s="50">
        <v>0</v>
      </c>
      <c r="H93" s="50">
        <v>0</v>
      </c>
      <c r="I93" s="50">
        <v>0</v>
      </c>
      <c r="J93" s="50">
        <v>3</v>
      </c>
      <c r="K93" s="50">
        <v>0</v>
      </c>
      <c r="L93" s="50">
        <v>3</v>
      </c>
      <c r="M93" s="50">
        <v>0</v>
      </c>
      <c r="N93" s="50">
        <v>0</v>
      </c>
      <c r="O93" s="15">
        <f t="shared" si="35"/>
        <v>9</v>
      </c>
      <c r="P93" s="15">
        <f t="shared" si="36"/>
        <v>9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3</v>
      </c>
      <c r="J94" s="50">
        <v>4</v>
      </c>
      <c r="K94" s="50">
        <v>0</v>
      </c>
      <c r="L94" s="50">
        <v>1</v>
      </c>
      <c r="M94" s="50">
        <v>0</v>
      </c>
      <c r="N94" s="50">
        <v>0</v>
      </c>
      <c r="O94" s="15">
        <f t="shared" si="35"/>
        <v>9</v>
      </c>
      <c r="P94" s="15">
        <f t="shared" si="36"/>
        <v>9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0</v>
      </c>
      <c r="F96" s="50">
        <v>1</v>
      </c>
      <c r="G96" s="50">
        <v>0</v>
      </c>
      <c r="H96" s="50">
        <v>1</v>
      </c>
      <c r="I96" s="50">
        <v>1</v>
      </c>
      <c r="J96" s="50">
        <v>4</v>
      </c>
      <c r="K96" s="50">
        <v>0</v>
      </c>
      <c r="L96" s="50">
        <v>1</v>
      </c>
      <c r="M96" s="50">
        <v>0</v>
      </c>
      <c r="N96" s="50">
        <v>0</v>
      </c>
      <c r="O96" s="15">
        <f t="shared" si="35"/>
        <v>10</v>
      </c>
      <c r="P96" s="15">
        <f t="shared" si="36"/>
        <v>10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1</v>
      </c>
      <c r="J97" s="50">
        <v>6</v>
      </c>
      <c r="K97" s="50">
        <v>0</v>
      </c>
      <c r="L97" s="50">
        <v>5</v>
      </c>
      <c r="M97" s="50">
        <v>1</v>
      </c>
      <c r="N97" s="50">
        <v>0</v>
      </c>
      <c r="O97" s="15">
        <f t="shared" si="35"/>
        <v>14</v>
      </c>
      <c r="P97" s="15">
        <f t="shared" si="36"/>
        <v>15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3</v>
      </c>
      <c r="G98" s="50">
        <v>0</v>
      </c>
      <c r="H98" s="50">
        <v>0</v>
      </c>
      <c r="I98" s="50">
        <v>2</v>
      </c>
      <c r="J98" s="50">
        <v>4</v>
      </c>
      <c r="K98" s="50">
        <v>0</v>
      </c>
      <c r="L98" s="50">
        <v>5</v>
      </c>
      <c r="M98" s="50">
        <v>0</v>
      </c>
      <c r="N98" s="50">
        <v>0</v>
      </c>
      <c r="O98" s="15">
        <f t="shared" si="35"/>
        <v>15</v>
      </c>
      <c r="P98" s="15">
        <f t="shared" si="36"/>
        <v>15</v>
      </c>
      <c r="R98" s="8"/>
      <c r="T98"/>
    </row>
    <row r="99" spans="2:20" ht="23.1" customHeight="1" x14ac:dyDescent="0.25">
      <c r="B99" s="45" t="s">
        <v>139</v>
      </c>
      <c r="C99" s="50">
        <v>3</v>
      </c>
      <c r="D99" s="50">
        <v>1</v>
      </c>
      <c r="E99" s="50">
        <v>2</v>
      </c>
      <c r="F99" s="50">
        <v>6</v>
      </c>
      <c r="G99" s="50">
        <v>0</v>
      </c>
      <c r="H99" s="50">
        <v>0</v>
      </c>
      <c r="I99" s="50">
        <v>4</v>
      </c>
      <c r="J99" s="50">
        <v>5</v>
      </c>
      <c r="K99" s="50">
        <v>0</v>
      </c>
      <c r="L99" s="50">
        <v>3</v>
      </c>
      <c r="M99" s="50">
        <v>0</v>
      </c>
      <c r="N99" s="50">
        <v>0</v>
      </c>
      <c r="O99" s="15">
        <f t="shared" si="35"/>
        <v>24</v>
      </c>
      <c r="P99" s="15">
        <f t="shared" si="36"/>
        <v>24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7</v>
      </c>
      <c r="G100" s="50">
        <v>0</v>
      </c>
      <c r="H100" s="50">
        <v>0</v>
      </c>
      <c r="I100" s="50">
        <v>0</v>
      </c>
      <c r="J100" s="50">
        <v>3</v>
      </c>
      <c r="K100" s="50">
        <v>0</v>
      </c>
      <c r="L100" s="50">
        <v>5</v>
      </c>
      <c r="M100" s="50">
        <v>0</v>
      </c>
      <c r="N100" s="50">
        <v>0</v>
      </c>
      <c r="O100" s="15">
        <f t="shared" si="35"/>
        <v>15</v>
      </c>
      <c r="P100" s="15">
        <f t="shared" si="36"/>
        <v>15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4</v>
      </c>
      <c r="M101" s="50">
        <v>1</v>
      </c>
      <c r="N101" s="50">
        <v>0</v>
      </c>
      <c r="O101" s="15">
        <f t="shared" si="35"/>
        <v>7</v>
      </c>
      <c r="P101" s="15">
        <f t="shared" si="36"/>
        <v>8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2</v>
      </c>
      <c r="E102" s="50">
        <v>1</v>
      </c>
      <c r="F102" s="50">
        <v>3</v>
      </c>
      <c r="G102" s="50">
        <v>0</v>
      </c>
      <c r="H102" s="50">
        <v>1</v>
      </c>
      <c r="I102" s="50">
        <v>0</v>
      </c>
      <c r="J102" s="50">
        <v>0</v>
      </c>
      <c r="K102" s="50">
        <v>0</v>
      </c>
      <c r="L102" s="50">
        <v>4</v>
      </c>
      <c r="M102" s="50">
        <v>0</v>
      </c>
      <c r="N102" s="50">
        <v>0</v>
      </c>
      <c r="O102" s="15">
        <f t="shared" si="35"/>
        <v>14</v>
      </c>
      <c r="P102" s="15">
        <f t="shared" si="36"/>
        <v>14</v>
      </c>
      <c r="R102" s="8"/>
      <c r="T102"/>
    </row>
    <row r="103" spans="2:20" ht="23.1" customHeight="1" x14ac:dyDescent="0.25">
      <c r="B103" s="45" t="s">
        <v>143</v>
      </c>
      <c r="C103" s="50">
        <v>8</v>
      </c>
      <c r="D103" s="50">
        <v>0</v>
      </c>
      <c r="E103" s="50">
        <v>0</v>
      </c>
      <c r="F103" s="50">
        <v>11</v>
      </c>
      <c r="G103" s="50">
        <v>0</v>
      </c>
      <c r="H103" s="50">
        <v>0</v>
      </c>
      <c r="I103" s="50">
        <v>2</v>
      </c>
      <c r="J103" s="50">
        <v>3</v>
      </c>
      <c r="K103" s="50">
        <v>1</v>
      </c>
      <c r="L103" s="50">
        <v>5</v>
      </c>
      <c r="M103" s="50">
        <v>0</v>
      </c>
      <c r="N103" s="50">
        <v>0</v>
      </c>
      <c r="O103" s="15">
        <f t="shared" si="35"/>
        <v>30</v>
      </c>
      <c r="P103" s="15">
        <f t="shared" si="36"/>
        <v>30</v>
      </c>
      <c r="R103" s="8"/>
      <c r="T103"/>
    </row>
    <row r="104" spans="2:20" ht="23.1" customHeight="1" x14ac:dyDescent="0.25">
      <c r="B104" s="47" t="s">
        <v>144</v>
      </c>
      <c r="C104" s="50">
        <v>4</v>
      </c>
      <c r="D104" s="50">
        <v>4</v>
      </c>
      <c r="E104" s="50">
        <v>10</v>
      </c>
      <c r="F104" s="50">
        <v>12</v>
      </c>
      <c r="G104" s="50">
        <v>0</v>
      </c>
      <c r="H104" s="50">
        <v>0</v>
      </c>
      <c r="I104" s="50">
        <v>3</v>
      </c>
      <c r="J104" s="50">
        <v>2</v>
      </c>
      <c r="K104" s="50">
        <v>0</v>
      </c>
      <c r="L104" s="50">
        <v>5</v>
      </c>
      <c r="M104" s="50">
        <v>2</v>
      </c>
      <c r="N104" s="50">
        <v>0</v>
      </c>
      <c r="O104" s="15">
        <f t="shared" si="35"/>
        <v>40</v>
      </c>
      <c r="P104" s="15">
        <f t="shared" si="36"/>
        <v>42</v>
      </c>
      <c r="R104" s="8"/>
      <c r="T104"/>
    </row>
    <row r="105" spans="2:20" ht="23.1" customHeight="1" x14ac:dyDescent="0.25">
      <c r="B105" s="45" t="s">
        <v>145</v>
      </c>
      <c r="C105" s="50">
        <v>4</v>
      </c>
      <c r="D105" s="50">
        <v>3</v>
      </c>
      <c r="E105" s="50">
        <v>1</v>
      </c>
      <c r="F105" s="50">
        <v>13</v>
      </c>
      <c r="G105" s="50">
        <v>1</v>
      </c>
      <c r="H105" s="50">
        <v>0</v>
      </c>
      <c r="I105" s="50">
        <v>0</v>
      </c>
      <c r="J105" s="50">
        <v>6</v>
      </c>
      <c r="K105" s="50">
        <v>0</v>
      </c>
      <c r="L105" s="50">
        <v>6</v>
      </c>
      <c r="M105" s="50">
        <v>9</v>
      </c>
      <c r="N105" s="50">
        <v>0</v>
      </c>
      <c r="O105" s="15">
        <f t="shared" si="35"/>
        <v>34</v>
      </c>
      <c r="P105" s="15">
        <f t="shared" si="36"/>
        <v>43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871</v>
      </c>
      <c r="D106" s="16">
        <f t="shared" ref="D106:P106" si="37">SUM(D10:D105)</f>
        <v>393</v>
      </c>
      <c r="E106" s="16">
        <f t="shared" si="37"/>
        <v>257</v>
      </c>
      <c r="F106" s="16">
        <f t="shared" si="37"/>
        <v>1682</v>
      </c>
      <c r="G106" s="16">
        <f t="shared" si="37"/>
        <v>98</v>
      </c>
      <c r="H106" s="16">
        <f t="shared" si="37"/>
        <v>48</v>
      </c>
      <c r="I106" s="16">
        <f t="shared" si="37"/>
        <v>273</v>
      </c>
      <c r="J106" s="16">
        <f t="shared" si="37"/>
        <v>401</v>
      </c>
      <c r="K106" s="16">
        <f t="shared" si="37"/>
        <v>105</v>
      </c>
      <c r="L106" s="16">
        <f t="shared" si="37"/>
        <v>776</v>
      </c>
      <c r="M106" s="16">
        <f t="shared" si="37"/>
        <v>954</v>
      </c>
      <c r="N106" s="16">
        <f t="shared" si="37"/>
        <v>20</v>
      </c>
      <c r="O106" s="16">
        <f t="shared" si="37"/>
        <v>4924</v>
      </c>
      <c r="P106" s="16">
        <f t="shared" si="37"/>
        <v>5878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0.14817965294317795</v>
      </c>
      <c r="D107" s="43">
        <f t="shared" si="38"/>
        <v>6.6859476012249064E-2</v>
      </c>
      <c r="E107" s="43">
        <f t="shared" si="38"/>
        <v>4.3722354542361348E-2</v>
      </c>
      <c r="F107" s="43">
        <f t="shared" si="38"/>
        <v>0.28615175229669954</v>
      </c>
      <c r="G107" s="43">
        <f t="shared" si="38"/>
        <v>1.6672337529772031E-2</v>
      </c>
      <c r="H107" s="43">
        <f t="shared" si="38"/>
        <v>8.1660428717250759E-3</v>
      </c>
      <c r="I107" s="43">
        <f t="shared" si="38"/>
        <v>4.6444368832936372E-2</v>
      </c>
      <c r="J107" s="43">
        <f t="shared" si="38"/>
        <v>6.8220483157536579E-2</v>
      </c>
      <c r="K107" s="43">
        <f t="shared" si="38"/>
        <v>1.7863218781898605E-2</v>
      </c>
      <c r="L107" s="43">
        <f t="shared" si="38"/>
        <v>0.13201769309288874</v>
      </c>
      <c r="M107" s="43">
        <f t="shared" si="38"/>
        <v>0.16230010207553588</v>
      </c>
      <c r="N107" s="43">
        <f t="shared" si="38"/>
        <v>3.4025178632187819E-3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0.17688870836718115</v>
      </c>
      <c r="D108" s="44">
        <f t="shared" ref="D108:N108" si="39">D106/$O$106</f>
        <v>7.9813160032493904E-2</v>
      </c>
      <c r="E108" s="44">
        <f t="shared" si="39"/>
        <v>5.2193338748984568E-2</v>
      </c>
      <c r="F108" s="44">
        <f t="shared" si="39"/>
        <v>0.34159220146222585</v>
      </c>
      <c r="G108" s="44">
        <f t="shared" si="39"/>
        <v>1.9902518277822908E-2</v>
      </c>
      <c r="H108" s="44">
        <f t="shared" si="39"/>
        <v>9.7481722177091799E-3</v>
      </c>
      <c r="I108" s="44">
        <f t="shared" si="39"/>
        <v>5.544272948822096E-2</v>
      </c>
      <c r="J108" s="44">
        <f t="shared" si="39"/>
        <v>8.1437855402112097E-2</v>
      </c>
      <c r="K108" s="44">
        <f t="shared" si="39"/>
        <v>2.1324126726238832E-2</v>
      </c>
      <c r="L108" s="44">
        <f t="shared" si="39"/>
        <v>0.15759545085296506</v>
      </c>
      <c r="M108" s="44"/>
      <c r="N108" s="44">
        <f t="shared" si="39"/>
        <v>4.0617384240454911E-3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topLeftCell="A7" zoomScale="60" workbookViewId="0">
      <selection activeCell="E11" sqref="E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jinja-kampala'!C3:G3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180</v>
      </c>
      <c r="E5" s="3"/>
      <c r="F5" s="41" t="s">
        <v>1</v>
      </c>
      <c r="G5" s="63" t="str">
        <f>'21.10 Kampala-Jinja-24h'!G5:H5</f>
        <v>Nakibbizi</v>
      </c>
      <c r="H5" s="64"/>
      <c r="I5" s="14"/>
      <c r="J5" s="2" t="s">
        <v>5</v>
      </c>
      <c r="K5" s="63" t="str">
        <f>'21.10 Kampala-Jinja-24h'!K5:L5</f>
        <v>jerome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jinja-kampala'!D6:E6</f>
        <v>Jinja</v>
      </c>
      <c r="E6" s="64"/>
      <c r="F6" s="2" t="s">
        <v>2</v>
      </c>
      <c r="G6" s="63" t="str">
        <f>'17.10 jinja-kampala'!G6:H6</f>
        <v>Kampala</v>
      </c>
      <c r="H6" s="64"/>
      <c r="J6" s="2" t="s">
        <v>21</v>
      </c>
      <c r="K6" s="63" t="str">
        <f>'21.10 Kampala-Jinja-24h'!K6:L6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</v>
      </c>
      <c r="D10" s="50">
        <v>0</v>
      </c>
      <c r="E10" s="50">
        <v>5</v>
      </c>
      <c r="F10" s="50">
        <v>26</v>
      </c>
      <c r="G10" s="50">
        <v>1</v>
      </c>
      <c r="H10" s="50">
        <v>2</v>
      </c>
      <c r="I10" s="50">
        <v>1</v>
      </c>
      <c r="J10" s="50">
        <v>1</v>
      </c>
      <c r="K10" s="50">
        <v>0</v>
      </c>
      <c r="L10" s="50">
        <v>7</v>
      </c>
      <c r="M10" s="50">
        <v>18</v>
      </c>
      <c r="N10" s="50">
        <v>0</v>
      </c>
      <c r="O10" s="15">
        <f t="shared" ref="O10:O57" si="0">SUM(C10:L10,N10)</f>
        <v>53</v>
      </c>
      <c r="P10" s="15">
        <f t="shared" ref="P10:P57" si="1">SUM(C10:N10)</f>
        <v>71</v>
      </c>
      <c r="R10" s="1" t="s">
        <v>6</v>
      </c>
      <c r="S10" s="17">
        <f t="shared" ref="S10:AF10" si="2">SUM(C10:C13)</f>
        <v>41</v>
      </c>
      <c r="T10" s="17">
        <f t="shared" si="2"/>
        <v>8</v>
      </c>
      <c r="U10" s="17">
        <f t="shared" si="2"/>
        <v>13</v>
      </c>
      <c r="V10" s="17">
        <f t="shared" si="2"/>
        <v>117</v>
      </c>
      <c r="W10" s="17">
        <f t="shared" si="2"/>
        <v>7</v>
      </c>
      <c r="X10" s="17">
        <f t="shared" si="2"/>
        <v>4</v>
      </c>
      <c r="Y10" s="17">
        <f t="shared" si="2"/>
        <v>12</v>
      </c>
      <c r="Z10" s="17">
        <f t="shared" si="2"/>
        <v>9</v>
      </c>
      <c r="AA10" s="17">
        <f t="shared" si="2"/>
        <v>6</v>
      </c>
      <c r="AB10" s="17">
        <f t="shared" si="2"/>
        <v>33</v>
      </c>
      <c r="AC10" s="17">
        <f t="shared" si="2"/>
        <v>87</v>
      </c>
      <c r="AD10" s="17">
        <f t="shared" si="2"/>
        <v>0</v>
      </c>
      <c r="AE10" s="31">
        <f t="shared" si="2"/>
        <v>250</v>
      </c>
      <c r="AF10" s="31">
        <f t="shared" si="2"/>
        <v>337</v>
      </c>
    </row>
    <row r="11" spans="2:32" s="6" customFormat="1" ht="23.1" customHeight="1" x14ac:dyDescent="0.25">
      <c r="B11" s="23" t="s">
        <v>38</v>
      </c>
      <c r="C11" s="50">
        <v>6</v>
      </c>
      <c r="D11" s="50">
        <v>0</v>
      </c>
      <c r="E11" s="50">
        <v>2</v>
      </c>
      <c r="F11" s="50">
        <v>33</v>
      </c>
      <c r="G11" s="50">
        <v>3</v>
      </c>
      <c r="H11" s="50">
        <v>0</v>
      </c>
      <c r="I11" s="50">
        <v>3</v>
      </c>
      <c r="J11" s="50">
        <v>4</v>
      </c>
      <c r="K11" s="50">
        <v>2</v>
      </c>
      <c r="L11" s="50">
        <v>6</v>
      </c>
      <c r="M11" s="50">
        <v>22</v>
      </c>
      <c r="N11" s="50">
        <v>0</v>
      </c>
      <c r="O11" s="15">
        <f t="shared" si="0"/>
        <v>59</v>
      </c>
      <c r="P11" s="15">
        <f t="shared" si="1"/>
        <v>81</v>
      </c>
      <c r="R11" s="1" t="s">
        <v>7</v>
      </c>
      <c r="S11" s="17">
        <f t="shared" ref="S11:AF11" si="3">SUM(C14:C17)</f>
        <v>50</v>
      </c>
      <c r="T11" s="17">
        <f t="shared" si="3"/>
        <v>8</v>
      </c>
      <c r="U11" s="17">
        <f t="shared" si="3"/>
        <v>11</v>
      </c>
      <c r="V11" s="17">
        <f t="shared" si="3"/>
        <v>100</v>
      </c>
      <c r="W11" s="17">
        <f t="shared" si="3"/>
        <v>1</v>
      </c>
      <c r="X11" s="17">
        <f t="shared" si="3"/>
        <v>5</v>
      </c>
      <c r="Y11" s="17">
        <f t="shared" si="3"/>
        <v>14</v>
      </c>
      <c r="Z11" s="17">
        <f t="shared" si="3"/>
        <v>11</v>
      </c>
      <c r="AA11" s="17">
        <f t="shared" si="3"/>
        <v>3</v>
      </c>
      <c r="AB11" s="17">
        <f t="shared" si="3"/>
        <v>47</v>
      </c>
      <c r="AC11" s="17">
        <f t="shared" si="3"/>
        <v>73</v>
      </c>
      <c r="AD11" s="17">
        <f t="shared" si="3"/>
        <v>0</v>
      </c>
      <c r="AE11" s="31">
        <f t="shared" si="3"/>
        <v>250</v>
      </c>
      <c r="AF11" s="31">
        <f t="shared" si="3"/>
        <v>323</v>
      </c>
    </row>
    <row r="12" spans="2:32" ht="23.1" customHeight="1" x14ac:dyDescent="0.25">
      <c r="B12" s="23" t="s">
        <v>39</v>
      </c>
      <c r="C12" s="50">
        <v>13</v>
      </c>
      <c r="D12" s="50">
        <v>7</v>
      </c>
      <c r="E12" s="50">
        <v>1</v>
      </c>
      <c r="F12" s="50">
        <v>30</v>
      </c>
      <c r="G12" s="50">
        <v>2</v>
      </c>
      <c r="H12" s="50">
        <v>1</v>
      </c>
      <c r="I12" s="50">
        <v>2</v>
      </c>
      <c r="J12" s="50">
        <v>0</v>
      </c>
      <c r="K12" s="50">
        <v>1</v>
      </c>
      <c r="L12" s="50">
        <v>10</v>
      </c>
      <c r="M12" s="50">
        <v>25</v>
      </c>
      <c r="N12" s="50">
        <v>0</v>
      </c>
      <c r="O12" s="15">
        <f t="shared" si="0"/>
        <v>67</v>
      </c>
      <c r="P12" s="15">
        <f t="shared" si="1"/>
        <v>92</v>
      </c>
      <c r="R12" s="1" t="s">
        <v>8</v>
      </c>
      <c r="S12" s="17">
        <f t="shared" ref="S12:AF12" si="4">SUM(C18:C21)</f>
        <v>35</v>
      </c>
      <c r="T12" s="17">
        <f t="shared" si="4"/>
        <v>8</v>
      </c>
      <c r="U12" s="17">
        <f t="shared" si="4"/>
        <v>12</v>
      </c>
      <c r="V12" s="17">
        <f t="shared" si="4"/>
        <v>113</v>
      </c>
      <c r="W12" s="17">
        <f t="shared" si="4"/>
        <v>2</v>
      </c>
      <c r="X12" s="17">
        <f t="shared" si="4"/>
        <v>1</v>
      </c>
      <c r="Y12" s="17">
        <f t="shared" si="4"/>
        <v>19</v>
      </c>
      <c r="Z12" s="17">
        <f t="shared" si="4"/>
        <v>13</v>
      </c>
      <c r="AA12" s="17">
        <f t="shared" si="4"/>
        <v>3</v>
      </c>
      <c r="AB12" s="17">
        <f t="shared" si="4"/>
        <v>44</v>
      </c>
      <c r="AC12" s="17">
        <f t="shared" si="4"/>
        <v>106</v>
      </c>
      <c r="AD12" s="17">
        <f t="shared" si="4"/>
        <v>0</v>
      </c>
      <c r="AE12" s="31">
        <f t="shared" si="4"/>
        <v>250</v>
      </c>
      <c r="AF12" s="31">
        <f t="shared" si="4"/>
        <v>356</v>
      </c>
    </row>
    <row r="13" spans="2:32" ht="23.1" customHeight="1" x14ac:dyDescent="0.25">
      <c r="B13" s="23" t="s">
        <v>40</v>
      </c>
      <c r="C13" s="50">
        <v>12</v>
      </c>
      <c r="D13" s="50">
        <v>1</v>
      </c>
      <c r="E13" s="50">
        <v>5</v>
      </c>
      <c r="F13" s="50">
        <v>28</v>
      </c>
      <c r="G13" s="50">
        <v>1</v>
      </c>
      <c r="H13" s="50">
        <v>1</v>
      </c>
      <c r="I13" s="50">
        <v>6</v>
      </c>
      <c r="J13" s="50">
        <v>4</v>
      </c>
      <c r="K13" s="50">
        <v>3</v>
      </c>
      <c r="L13" s="50">
        <v>10</v>
      </c>
      <c r="M13" s="50">
        <v>22</v>
      </c>
      <c r="N13" s="50">
        <v>0</v>
      </c>
      <c r="O13" s="15">
        <f t="shared" si="0"/>
        <v>71</v>
      </c>
      <c r="P13" s="15">
        <f t="shared" si="1"/>
        <v>93</v>
      </c>
      <c r="R13" s="1" t="s">
        <v>9</v>
      </c>
      <c r="S13" s="17">
        <f t="shared" ref="S13:AF13" si="5">SUM(C22:C25)</f>
        <v>44</v>
      </c>
      <c r="T13" s="17">
        <f t="shared" si="5"/>
        <v>2</v>
      </c>
      <c r="U13" s="17">
        <f t="shared" si="5"/>
        <v>7</v>
      </c>
      <c r="V13" s="17">
        <f t="shared" si="5"/>
        <v>100</v>
      </c>
      <c r="W13" s="17">
        <f t="shared" si="5"/>
        <v>4</v>
      </c>
      <c r="X13" s="17">
        <f t="shared" si="5"/>
        <v>2</v>
      </c>
      <c r="Y13" s="17">
        <f t="shared" si="5"/>
        <v>22</v>
      </c>
      <c r="Z13" s="17">
        <f t="shared" si="5"/>
        <v>17</v>
      </c>
      <c r="AA13" s="17">
        <f t="shared" si="5"/>
        <v>3</v>
      </c>
      <c r="AB13" s="17">
        <f t="shared" si="5"/>
        <v>36</v>
      </c>
      <c r="AC13" s="17">
        <f t="shared" si="5"/>
        <v>84</v>
      </c>
      <c r="AD13" s="17">
        <f t="shared" si="5"/>
        <v>0</v>
      </c>
      <c r="AE13" s="31">
        <f t="shared" si="5"/>
        <v>237</v>
      </c>
      <c r="AF13" s="31">
        <f t="shared" si="5"/>
        <v>321</v>
      </c>
    </row>
    <row r="14" spans="2:32" ht="23.1" customHeight="1" x14ac:dyDescent="0.25">
      <c r="B14" s="23" t="s">
        <v>41</v>
      </c>
      <c r="C14" s="50">
        <v>9</v>
      </c>
      <c r="D14" s="50">
        <v>0</v>
      </c>
      <c r="E14" s="50">
        <v>4</v>
      </c>
      <c r="F14" s="50">
        <v>26</v>
      </c>
      <c r="G14" s="50">
        <v>0</v>
      </c>
      <c r="H14" s="50">
        <v>0</v>
      </c>
      <c r="I14" s="50">
        <v>5</v>
      </c>
      <c r="J14" s="50">
        <v>2</v>
      </c>
      <c r="K14" s="50">
        <v>1</v>
      </c>
      <c r="L14" s="50">
        <v>8</v>
      </c>
      <c r="M14" s="50">
        <v>23</v>
      </c>
      <c r="N14" s="50">
        <v>0</v>
      </c>
      <c r="O14" s="15">
        <f t="shared" si="0"/>
        <v>55</v>
      </c>
      <c r="P14" s="15">
        <f t="shared" si="1"/>
        <v>78</v>
      </c>
      <c r="R14" s="1" t="s">
        <v>10</v>
      </c>
      <c r="S14" s="17">
        <f t="shared" ref="S14:AF14" si="6">SUM(C26:C29)</f>
        <v>61</v>
      </c>
      <c r="T14" s="17">
        <f t="shared" si="6"/>
        <v>6</v>
      </c>
      <c r="U14" s="17">
        <f t="shared" si="6"/>
        <v>23</v>
      </c>
      <c r="V14" s="17">
        <f t="shared" si="6"/>
        <v>91</v>
      </c>
      <c r="W14" s="17">
        <f t="shared" si="6"/>
        <v>0</v>
      </c>
      <c r="X14" s="17">
        <f t="shared" si="6"/>
        <v>3</v>
      </c>
      <c r="Y14" s="17">
        <f t="shared" si="6"/>
        <v>23</v>
      </c>
      <c r="Z14" s="17">
        <f t="shared" si="6"/>
        <v>19</v>
      </c>
      <c r="AA14" s="17">
        <f t="shared" si="6"/>
        <v>4</v>
      </c>
      <c r="AB14" s="17">
        <f t="shared" si="6"/>
        <v>33</v>
      </c>
      <c r="AC14" s="17">
        <f t="shared" si="6"/>
        <v>84</v>
      </c>
      <c r="AD14" s="17">
        <f t="shared" si="6"/>
        <v>0</v>
      </c>
      <c r="AE14" s="31">
        <f t="shared" si="6"/>
        <v>263</v>
      </c>
      <c r="AF14" s="31">
        <f t="shared" si="6"/>
        <v>347</v>
      </c>
    </row>
    <row r="15" spans="2:32" ht="23.1" customHeight="1" x14ac:dyDescent="0.25">
      <c r="B15" s="23" t="s">
        <v>42</v>
      </c>
      <c r="C15" s="50">
        <v>13</v>
      </c>
      <c r="D15" s="50">
        <v>1</v>
      </c>
      <c r="E15" s="50">
        <v>3</v>
      </c>
      <c r="F15" s="50">
        <v>26</v>
      </c>
      <c r="G15" s="50">
        <v>0</v>
      </c>
      <c r="H15" s="50">
        <v>2</v>
      </c>
      <c r="I15" s="50">
        <v>2</v>
      </c>
      <c r="J15" s="50">
        <v>4</v>
      </c>
      <c r="K15" s="50">
        <v>0</v>
      </c>
      <c r="L15" s="50">
        <v>18</v>
      </c>
      <c r="M15" s="50">
        <v>20</v>
      </c>
      <c r="N15" s="50">
        <v>0</v>
      </c>
      <c r="O15" s="15">
        <f t="shared" si="0"/>
        <v>69</v>
      </c>
      <c r="P15" s="15">
        <f t="shared" si="1"/>
        <v>89</v>
      </c>
      <c r="R15" s="1" t="s">
        <v>11</v>
      </c>
      <c r="S15" s="17">
        <f t="shared" ref="S15:AF15" si="7">SUM(C30:C33)</f>
        <v>45</v>
      </c>
      <c r="T15" s="17">
        <f t="shared" si="7"/>
        <v>12</v>
      </c>
      <c r="U15" s="17">
        <f t="shared" si="7"/>
        <v>11</v>
      </c>
      <c r="V15" s="17">
        <f t="shared" si="7"/>
        <v>89</v>
      </c>
      <c r="W15" s="17">
        <f t="shared" si="7"/>
        <v>2</v>
      </c>
      <c r="X15" s="17">
        <f t="shared" si="7"/>
        <v>1</v>
      </c>
      <c r="Y15" s="17">
        <f t="shared" si="7"/>
        <v>21</v>
      </c>
      <c r="Z15" s="17">
        <f t="shared" si="7"/>
        <v>23</v>
      </c>
      <c r="AA15" s="17">
        <f t="shared" si="7"/>
        <v>3</v>
      </c>
      <c r="AB15" s="17">
        <f t="shared" si="7"/>
        <v>35</v>
      </c>
      <c r="AC15" s="17">
        <f t="shared" si="7"/>
        <v>84</v>
      </c>
      <c r="AD15" s="17">
        <f t="shared" si="7"/>
        <v>0</v>
      </c>
      <c r="AE15" s="31">
        <f t="shared" si="7"/>
        <v>242</v>
      </c>
      <c r="AF15" s="31">
        <f t="shared" si="7"/>
        <v>326</v>
      </c>
    </row>
    <row r="16" spans="2:32" ht="23.1" customHeight="1" x14ac:dyDescent="0.25">
      <c r="B16" s="23" t="s">
        <v>43</v>
      </c>
      <c r="C16" s="50">
        <v>15</v>
      </c>
      <c r="D16" s="50">
        <v>3</v>
      </c>
      <c r="E16" s="50">
        <v>2</v>
      </c>
      <c r="F16" s="50">
        <v>24</v>
      </c>
      <c r="G16" s="50">
        <v>0</v>
      </c>
      <c r="H16" s="50">
        <v>1</v>
      </c>
      <c r="I16" s="50">
        <v>3</v>
      </c>
      <c r="J16" s="50">
        <v>4</v>
      </c>
      <c r="K16" s="50">
        <v>2</v>
      </c>
      <c r="L16" s="50">
        <v>10</v>
      </c>
      <c r="M16" s="50">
        <v>17</v>
      </c>
      <c r="N16" s="50">
        <v>0</v>
      </c>
      <c r="O16" s="15">
        <f t="shared" si="0"/>
        <v>64</v>
      </c>
      <c r="P16" s="15">
        <f t="shared" si="1"/>
        <v>81</v>
      </c>
      <c r="R16" s="1" t="s">
        <v>12</v>
      </c>
      <c r="S16" s="17">
        <f t="shared" ref="S16:AF16" si="8">SUM(C34:C37)</f>
        <v>50</v>
      </c>
      <c r="T16" s="17">
        <f t="shared" si="8"/>
        <v>12</v>
      </c>
      <c r="U16" s="17">
        <f t="shared" si="8"/>
        <v>14</v>
      </c>
      <c r="V16" s="17">
        <f t="shared" si="8"/>
        <v>79</v>
      </c>
      <c r="W16" s="17">
        <f t="shared" si="8"/>
        <v>2</v>
      </c>
      <c r="X16" s="17">
        <f t="shared" si="8"/>
        <v>0</v>
      </c>
      <c r="Y16" s="17">
        <f t="shared" si="8"/>
        <v>13</v>
      </c>
      <c r="Z16" s="17">
        <f t="shared" si="8"/>
        <v>21</v>
      </c>
      <c r="AA16" s="17">
        <f t="shared" si="8"/>
        <v>6</v>
      </c>
      <c r="AB16" s="17">
        <f t="shared" si="8"/>
        <v>48</v>
      </c>
      <c r="AC16" s="17">
        <f t="shared" si="8"/>
        <v>76</v>
      </c>
      <c r="AD16" s="17">
        <f t="shared" si="8"/>
        <v>1</v>
      </c>
      <c r="AE16" s="31">
        <f t="shared" si="8"/>
        <v>246</v>
      </c>
      <c r="AF16" s="31">
        <f t="shared" si="8"/>
        <v>322</v>
      </c>
    </row>
    <row r="17" spans="2:32" ht="23.1" customHeight="1" x14ac:dyDescent="0.25">
      <c r="B17" s="23" t="s">
        <v>44</v>
      </c>
      <c r="C17" s="50">
        <v>13</v>
      </c>
      <c r="D17" s="50">
        <v>4</v>
      </c>
      <c r="E17" s="50">
        <v>2</v>
      </c>
      <c r="F17" s="50">
        <v>24</v>
      </c>
      <c r="G17" s="50">
        <v>1</v>
      </c>
      <c r="H17" s="50">
        <v>2</v>
      </c>
      <c r="I17" s="50">
        <v>4</v>
      </c>
      <c r="J17" s="50">
        <v>1</v>
      </c>
      <c r="K17" s="50">
        <v>0</v>
      </c>
      <c r="L17" s="50">
        <v>11</v>
      </c>
      <c r="M17" s="50">
        <v>13</v>
      </c>
      <c r="N17" s="50">
        <v>0</v>
      </c>
      <c r="O17" s="15">
        <f t="shared" si="0"/>
        <v>62</v>
      </c>
      <c r="P17" s="15">
        <f t="shared" si="1"/>
        <v>75</v>
      </c>
      <c r="R17" s="1" t="s">
        <v>13</v>
      </c>
      <c r="S17" s="17">
        <f t="shared" ref="S17:AF17" si="9">SUM(C38:C41)</f>
        <v>52</v>
      </c>
      <c r="T17" s="17">
        <f t="shared" si="9"/>
        <v>17</v>
      </c>
      <c r="U17" s="17">
        <f t="shared" si="9"/>
        <v>25</v>
      </c>
      <c r="V17" s="17">
        <f t="shared" si="9"/>
        <v>97</v>
      </c>
      <c r="W17" s="17">
        <f t="shared" si="9"/>
        <v>1</v>
      </c>
      <c r="X17" s="17">
        <f t="shared" si="9"/>
        <v>2</v>
      </c>
      <c r="Y17" s="17">
        <f t="shared" si="9"/>
        <v>22</v>
      </c>
      <c r="Z17" s="17">
        <f t="shared" si="9"/>
        <v>25</v>
      </c>
      <c r="AA17" s="17">
        <f t="shared" si="9"/>
        <v>5</v>
      </c>
      <c r="AB17" s="17">
        <f t="shared" si="9"/>
        <v>52</v>
      </c>
      <c r="AC17" s="17">
        <f t="shared" si="9"/>
        <v>53</v>
      </c>
      <c r="AD17" s="17">
        <f t="shared" si="9"/>
        <v>1</v>
      </c>
      <c r="AE17" s="31">
        <f t="shared" si="9"/>
        <v>299</v>
      </c>
      <c r="AF17" s="31">
        <f t="shared" si="9"/>
        <v>352</v>
      </c>
    </row>
    <row r="18" spans="2:32" ht="23.1" customHeight="1" x14ac:dyDescent="0.25">
      <c r="B18" s="23" t="s">
        <v>45</v>
      </c>
      <c r="C18" s="50">
        <v>11</v>
      </c>
      <c r="D18" s="50">
        <v>2</v>
      </c>
      <c r="E18" s="50">
        <v>5</v>
      </c>
      <c r="F18" s="50">
        <v>32</v>
      </c>
      <c r="G18" s="50">
        <v>1</v>
      </c>
      <c r="H18" s="50">
        <v>0</v>
      </c>
      <c r="I18" s="50">
        <v>6</v>
      </c>
      <c r="J18" s="50">
        <v>4</v>
      </c>
      <c r="K18" s="50">
        <v>3</v>
      </c>
      <c r="L18" s="50">
        <v>6</v>
      </c>
      <c r="M18" s="50">
        <v>39</v>
      </c>
      <c r="N18" s="50">
        <v>0</v>
      </c>
      <c r="O18" s="15">
        <f t="shared" si="0"/>
        <v>70</v>
      </c>
      <c r="P18" s="15">
        <f t="shared" si="1"/>
        <v>109</v>
      </c>
      <c r="R18" s="1" t="s">
        <v>14</v>
      </c>
      <c r="S18" s="17">
        <f t="shared" ref="S18:AF18" si="10">SUM(C42:C45)</f>
        <v>70</v>
      </c>
      <c r="T18" s="17">
        <f t="shared" si="10"/>
        <v>14</v>
      </c>
      <c r="U18" s="17">
        <f t="shared" si="10"/>
        <v>24</v>
      </c>
      <c r="V18" s="17">
        <f t="shared" si="10"/>
        <v>97</v>
      </c>
      <c r="W18" s="17">
        <f t="shared" si="10"/>
        <v>1</v>
      </c>
      <c r="X18" s="17">
        <f t="shared" si="10"/>
        <v>3</v>
      </c>
      <c r="Y18" s="17">
        <f t="shared" si="10"/>
        <v>20</v>
      </c>
      <c r="Z18" s="17">
        <f t="shared" si="10"/>
        <v>24</v>
      </c>
      <c r="AA18" s="17">
        <f t="shared" si="10"/>
        <v>6</v>
      </c>
      <c r="AB18" s="17">
        <f t="shared" si="10"/>
        <v>35</v>
      </c>
      <c r="AC18" s="17">
        <f t="shared" si="10"/>
        <v>67</v>
      </c>
      <c r="AD18" s="17">
        <f t="shared" si="10"/>
        <v>0</v>
      </c>
      <c r="AE18" s="31">
        <f t="shared" si="10"/>
        <v>294</v>
      </c>
      <c r="AF18" s="31">
        <f t="shared" si="10"/>
        <v>361</v>
      </c>
    </row>
    <row r="19" spans="2:32" ht="23.1" customHeight="1" x14ac:dyDescent="0.25">
      <c r="B19" s="23" t="s">
        <v>46</v>
      </c>
      <c r="C19" s="50">
        <v>8</v>
      </c>
      <c r="D19" s="50">
        <v>3</v>
      </c>
      <c r="E19" s="50">
        <v>0</v>
      </c>
      <c r="F19" s="50">
        <v>27</v>
      </c>
      <c r="G19" s="50">
        <v>1</v>
      </c>
      <c r="H19" s="50">
        <v>0</v>
      </c>
      <c r="I19" s="50">
        <v>6</v>
      </c>
      <c r="J19" s="50">
        <v>2</v>
      </c>
      <c r="K19" s="50">
        <v>0</v>
      </c>
      <c r="L19" s="50">
        <v>16</v>
      </c>
      <c r="M19" s="50">
        <v>29</v>
      </c>
      <c r="N19" s="50">
        <v>0</v>
      </c>
      <c r="O19" s="15">
        <f t="shared" si="0"/>
        <v>63</v>
      </c>
      <c r="P19" s="15">
        <f t="shared" si="1"/>
        <v>92</v>
      </c>
      <c r="R19" s="1" t="s">
        <v>15</v>
      </c>
      <c r="S19" s="17">
        <f t="shared" ref="S19:AF19" si="11">SUM(C46:C49)</f>
        <v>64</v>
      </c>
      <c r="T19" s="17">
        <f t="shared" si="11"/>
        <v>13</v>
      </c>
      <c r="U19" s="17">
        <f t="shared" si="11"/>
        <v>30</v>
      </c>
      <c r="V19" s="17">
        <f t="shared" si="11"/>
        <v>99</v>
      </c>
      <c r="W19" s="17">
        <f t="shared" si="11"/>
        <v>3</v>
      </c>
      <c r="X19" s="17">
        <f t="shared" si="11"/>
        <v>3</v>
      </c>
      <c r="Y19" s="17">
        <f t="shared" si="11"/>
        <v>18</v>
      </c>
      <c r="Z19" s="17">
        <f t="shared" si="11"/>
        <v>22</v>
      </c>
      <c r="AA19" s="17">
        <f t="shared" si="11"/>
        <v>4</v>
      </c>
      <c r="AB19" s="17">
        <f t="shared" si="11"/>
        <v>41</v>
      </c>
      <c r="AC19" s="17">
        <f t="shared" si="11"/>
        <v>57</v>
      </c>
      <c r="AD19" s="17">
        <f t="shared" si="11"/>
        <v>0</v>
      </c>
      <c r="AE19" s="31">
        <f t="shared" si="11"/>
        <v>297</v>
      </c>
      <c r="AF19" s="31">
        <f t="shared" si="11"/>
        <v>354</v>
      </c>
    </row>
    <row r="20" spans="2:32" ht="23.1" customHeight="1" x14ac:dyDescent="0.25">
      <c r="B20" s="23" t="s">
        <v>47</v>
      </c>
      <c r="C20" s="50">
        <v>5</v>
      </c>
      <c r="D20" s="50">
        <v>1</v>
      </c>
      <c r="E20" s="50">
        <v>4</v>
      </c>
      <c r="F20" s="50">
        <v>31</v>
      </c>
      <c r="G20" s="50">
        <v>0</v>
      </c>
      <c r="H20" s="50">
        <v>1</v>
      </c>
      <c r="I20" s="50">
        <v>4</v>
      </c>
      <c r="J20" s="50">
        <v>4</v>
      </c>
      <c r="K20" s="50">
        <v>0</v>
      </c>
      <c r="L20" s="50">
        <v>16</v>
      </c>
      <c r="M20" s="50">
        <v>26</v>
      </c>
      <c r="N20" s="50">
        <v>0</v>
      </c>
      <c r="O20" s="15">
        <f t="shared" si="0"/>
        <v>66</v>
      </c>
      <c r="P20" s="15">
        <f t="shared" si="1"/>
        <v>92</v>
      </c>
      <c r="R20" s="1" t="s">
        <v>16</v>
      </c>
      <c r="S20" s="17">
        <f t="shared" ref="S20:AF20" si="12">SUM(C50:C53)</f>
        <v>79</v>
      </c>
      <c r="T20" s="17">
        <f t="shared" si="12"/>
        <v>22</v>
      </c>
      <c r="U20" s="17">
        <f t="shared" si="12"/>
        <v>17</v>
      </c>
      <c r="V20" s="17">
        <f t="shared" si="12"/>
        <v>134</v>
      </c>
      <c r="W20" s="17">
        <f t="shared" si="12"/>
        <v>4</v>
      </c>
      <c r="X20" s="17">
        <f t="shared" si="12"/>
        <v>2</v>
      </c>
      <c r="Y20" s="17">
        <f t="shared" si="12"/>
        <v>28</v>
      </c>
      <c r="Z20" s="17">
        <f t="shared" si="12"/>
        <v>29</v>
      </c>
      <c r="AA20" s="17">
        <f t="shared" si="12"/>
        <v>8</v>
      </c>
      <c r="AB20" s="17">
        <f t="shared" si="12"/>
        <v>29</v>
      </c>
      <c r="AC20" s="17">
        <f t="shared" si="12"/>
        <v>92</v>
      </c>
      <c r="AD20" s="17">
        <f t="shared" si="12"/>
        <v>1</v>
      </c>
      <c r="AE20" s="31">
        <f t="shared" si="12"/>
        <v>353</v>
      </c>
      <c r="AF20" s="31">
        <f t="shared" si="12"/>
        <v>445</v>
      </c>
    </row>
    <row r="21" spans="2:32" ht="23.1" customHeight="1" x14ac:dyDescent="0.25">
      <c r="B21" s="23" t="s">
        <v>48</v>
      </c>
      <c r="C21" s="50">
        <v>11</v>
      </c>
      <c r="D21" s="50">
        <v>2</v>
      </c>
      <c r="E21" s="50">
        <v>3</v>
      </c>
      <c r="F21" s="50">
        <v>23</v>
      </c>
      <c r="G21" s="50">
        <v>0</v>
      </c>
      <c r="H21" s="50">
        <v>0</v>
      </c>
      <c r="I21" s="50">
        <v>3</v>
      </c>
      <c r="J21" s="50">
        <v>3</v>
      </c>
      <c r="K21" s="50">
        <v>0</v>
      </c>
      <c r="L21" s="50">
        <v>6</v>
      </c>
      <c r="M21" s="50">
        <v>12</v>
      </c>
      <c r="N21" s="50">
        <v>0</v>
      </c>
      <c r="O21" s="15">
        <f t="shared" si="0"/>
        <v>51</v>
      </c>
      <c r="P21" s="15">
        <f t="shared" si="1"/>
        <v>63</v>
      </c>
      <c r="R21" s="36" t="s">
        <v>20</v>
      </c>
      <c r="S21" s="34">
        <f t="shared" ref="S21:AF21" si="13">SUM(C54:C57)</f>
        <v>114</v>
      </c>
      <c r="T21" s="17">
        <f t="shared" si="13"/>
        <v>18</v>
      </c>
      <c r="U21" s="17">
        <f t="shared" si="13"/>
        <v>22</v>
      </c>
      <c r="V21" s="17">
        <f t="shared" si="13"/>
        <v>120</v>
      </c>
      <c r="W21" s="17">
        <f t="shared" si="13"/>
        <v>8</v>
      </c>
      <c r="X21" s="17">
        <f t="shared" si="13"/>
        <v>2</v>
      </c>
      <c r="Y21" s="17">
        <f t="shared" si="13"/>
        <v>19</v>
      </c>
      <c r="Z21" s="17">
        <f t="shared" si="13"/>
        <v>19</v>
      </c>
      <c r="AA21" s="17">
        <f t="shared" si="13"/>
        <v>20</v>
      </c>
      <c r="AB21" s="17">
        <f t="shared" si="13"/>
        <v>27</v>
      </c>
      <c r="AC21" s="17">
        <f t="shared" si="13"/>
        <v>117</v>
      </c>
      <c r="AD21" s="17">
        <f t="shared" si="13"/>
        <v>0</v>
      </c>
      <c r="AE21" s="31">
        <f t="shared" si="13"/>
        <v>369</v>
      </c>
      <c r="AF21" s="31">
        <f t="shared" si="13"/>
        <v>486</v>
      </c>
    </row>
    <row r="22" spans="2:32" ht="23.1" customHeight="1" x14ac:dyDescent="0.25">
      <c r="B22" s="23" t="s">
        <v>49</v>
      </c>
      <c r="C22" s="50">
        <v>13</v>
      </c>
      <c r="D22" s="50">
        <v>0</v>
      </c>
      <c r="E22" s="50">
        <v>2</v>
      </c>
      <c r="F22" s="50">
        <v>29</v>
      </c>
      <c r="G22" s="50">
        <v>1</v>
      </c>
      <c r="H22" s="50">
        <v>1</v>
      </c>
      <c r="I22" s="50">
        <v>5</v>
      </c>
      <c r="J22" s="50">
        <v>6</v>
      </c>
      <c r="K22" s="50">
        <v>0</v>
      </c>
      <c r="L22" s="50">
        <v>11</v>
      </c>
      <c r="M22" s="50">
        <v>21</v>
      </c>
      <c r="N22" s="50">
        <v>0</v>
      </c>
      <c r="O22" s="15">
        <f t="shared" si="0"/>
        <v>68</v>
      </c>
      <c r="P22" s="15">
        <f t="shared" si="1"/>
        <v>89</v>
      </c>
      <c r="R22" s="38" t="s">
        <v>90</v>
      </c>
      <c r="S22" s="39">
        <f>MAX(S10:S12)</f>
        <v>50</v>
      </c>
      <c r="T22" s="39">
        <f t="shared" ref="T22:AF22" si="14">MAX(T10:T12)</f>
        <v>8</v>
      </c>
      <c r="U22" s="39">
        <f t="shared" si="14"/>
        <v>13</v>
      </c>
      <c r="V22" s="39">
        <f t="shared" si="14"/>
        <v>117</v>
      </c>
      <c r="W22" s="39">
        <f t="shared" si="14"/>
        <v>7</v>
      </c>
      <c r="X22" s="39">
        <f t="shared" si="14"/>
        <v>5</v>
      </c>
      <c r="Y22" s="39">
        <f t="shared" si="14"/>
        <v>19</v>
      </c>
      <c r="Z22" s="39">
        <f t="shared" si="14"/>
        <v>13</v>
      </c>
      <c r="AA22" s="39">
        <f t="shared" si="14"/>
        <v>6</v>
      </c>
      <c r="AB22" s="39">
        <f t="shared" si="14"/>
        <v>47</v>
      </c>
      <c r="AC22" s="39">
        <f t="shared" si="14"/>
        <v>106</v>
      </c>
      <c r="AD22" s="39">
        <f t="shared" si="14"/>
        <v>0</v>
      </c>
      <c r="AE22" s="40">
        <f t="shared" si="14"/>
        <v>250</v>
      </c>
      <c r="AF22" s="40">
        <f t="shared" si="14"/>
        <v>356</v>
      </c>
    </row>
    <row r="23" spans="2:32" ht="23.1" customHeight="1" x14ac:dyDescent="0.25">
      <c r="B23" s="23" t="s">
        <v>50</v>
      </c>
      <c r="C23" s="50">
        <v>14</v>
      </c>
      <c r="D23" s="50">
        <v>2</v>
      </c>
      <c r="E23" s="50">
        <v>3</v>
      </c>
      <c r="F23" s="50">
        <v>23</v>
      </c>
      <c r="G23" s="50">
        <v>0</v>
      </c>
      <c r="H23" s="50">
        <v>0</v>
      </c>
      <c r="I23" s="50">
        <v>9</v>
      </c>
      <c r="J23" s="50">
        <v>3</v>
      </c>
      <c r="K23" s="50">
        <v>1</v>
      </c>
      <c r="L23" s="50">
        <v>10</v>
      </c>
      <c r="M23" s="50">
        <v>19</v>
      </c>
      <c r="N23" s="50">
        <v>0</v>
      </c>
      <c r="O23" s="15">
        <f t="shared" si="0"/>
        <v>65</v>
      </c>
      <c r="P23" s="15">
        <f t="shared" si="1"/>
        <v>84</v>
      </c>
      <c r="R23" s="38" t="s">
        <v>91</v>
      </c>
      <c r="S23" s="39">
        <f>MAX(S13:S18)</f>
        <v>70</v>
      </c>
      <c r="T23" s="39">
        <f t="shared" ref="T23:AF23" si="15">MAX(T13:T18)</f>
        <v>17</v>
      </c>
      <c r="U23" s="39">
        <f t="shared" si="15"/>
        <v>25</v>
      </c>
      <c r="V23" s="39">
        <f t="shared" si="15"/>
        <v>100</v>
      </c>
      <c r="W23" s="39">
        <f t="shared" si="15"/>
        <v>4</v>
      </c>
      <c r="X23" s="39">
        <f t="shared" si="15"/>
        <v>3</v>
      </c>
      <c r="Y23" s="39">
        <f t="shared" si="15"/>
        <v>23</v>
      </c>
      <c r="Z23" s="39">
        <f t="shared" si="15"/>
        <v>25</v>
      </c>
      <c r="AA23" s="39">
        <f t="shared" si="15"/>
        <v>6</v>
      </c>
      <c r="AB23" s="39">
        <f t="shared" si="15"/>
        <v>52</v>
      </c>
      <c r="AC23" s="39">
        <f t="shared" si="15"/>
        <v>84</v>
      </c>
      <c r="AD23" s="39">
        <f t="shared" si="15"/>
        <v>1</v>
      </c>
      <c r="AE23" s="40">
        <f t="shared" si="15"/>
        <v>299</v>
      </c>
      <c r="AF23" s="40">
        <f t="shared" si="15"/>
        <v>361</v>
      </c>
    </row>
    <row r="24" spans="2:32" ht="23.1" customHeight="1" x14ac:dyDescent="0.25">
      <c r="B24" s="23" t="s">
        <v>51</v>
      </c>
      <c r="C24" s="50">
        <v>7</v>
      </c>
      <c r="D24" s="50">
        <v>0</v>
      </c>
      <c r="E24" s="50">
        <v>2</v>
      </c>
      <c r="F24" s="50">
        <v>23</v>
      </c>
      <c r="G24" s="50">
        <v>1</v>
      </c>
      <c r="H24" s="50">
        <v>1</v>
      </c>
      <c r="I24" s="50">
        <v>4</v>
      </c>
      <c r="J24" s="50">
        <v>3</v>
      </c>
      <c r="K24" s="50">
        <v>1</v>
      </c>
      <c r="L24" s="50">
        <v>8</v>
      </c>
      <c r="M24" s="50">
        <v>22</v>
      </c>
      <c r="N24" s="50">
        <v>0</v>
      </c>
      <c r="O24" s="15">
        <f t="shared" si="0"/>
        <v>50</v>
      </c>
      <c r="P24" s="15">
        <f t="shared" si="1"/>
        <v>72</v>
      </c>
      <c r="R24" s="38" t="s">
        <v>92</v>
      </c>
      <c r="S24" s="39">
        <f>MAX(S19:S21)</f>
        <v>114</v>
      </c>
      <c r="T24" s="39">
        <f t="shared" ref="T24:AF24" si="16">MAX(T19:T21)</f>
        <v>22</v>
      </c>
      <c r="U24" s="39">
        <f t="shared" si="16"/>
        <v>30</v>
      </c>
      <c r="V24" s="39">
        <f t="shared" si="16"/>
        <v>134</v>
      </c>
      <c r="W24" s="39">
        <f t="shared" si="16"/>
        <v>8</v>
      </c>
      <c r="X24" s="39">
        <f t="shared" si="16"/>
        <v>3</v>
      </c>
      <c r="Y24" s="39">
        <f t="shared" si="16"/>
        <v>28</v>
      </c>
      <c r="Z24" s="39">
        <f t="shared" si="16"/>
        <v>29</v>
      </c>
      <c r="AA24" s="39">
        <f t="shared" si="16"/>
        <v>20</v>
      </c>
      <c r="AB24" s="39">
        <f t="shared" si="16"/>
        <v>41</v>
      </c>
      <c r="AC24" s="39">
        <f t="shared" si="16"/>
        <v>117</v>
      </c>
      <c r="AD24" s="39">
        <f t="shared" si="16"/>
        <v>1</v>
      </c>
      <c r="AE24" s="40">
        <f t="shared" si="16"/>
        <v>369</v>
      </c>
      <c r="AF24" s="40">
        <f t="shared" si="16"/>
        <v>486</v>
      </c>
    </row>
    <row r="25" spans="2:32" ht="23.1" customHeight="1" x14ac:dyDescent="0.25">
      <c r="B25" s="23" t="s">
        <v>52</v>
      </c>
      <c r="C25" s="50">
        <v>10</v>
      </c>
      <c r="D25" s="50">
        <v>0</v>
      </c>
      <c r="E25" s="50">
        <v>0</v>
      </c>
      <c r="F25" s="50">
        <v>25</v>
      </c>
      <c r="G25" s="50">
        <v>2</v>
      </c>
      <c r="H25" s="50">
        <v>0</v>
      </c>
      <c r="I25" s="50">
        <v>4</v>
      </c>
      <c r="J25" s="50">
        <v>5</v>
      </c>
      <c r="K25" s="50">
        <v>1</v>
      </c>
      <c r="L25" s="50">
        <v>7</v>
      </c>
      <c r="M25" s="50">
        <v>22</v>
      </c>
      <c r="N25" s="50">
        <v>0</v>
      </c>
      <c r="O25" s="15">
        <f t="shared" si="0"/>
        <v>54</v>
      </c>
      <c r="P25" s="15">
        <f t="shared" si="1"/>
        <v>76</v>
      </c>
      <c r="R25" s="37" t="s">
        <v>85</v>
      </c>
      <c r="S25" s="35">
        <f t="shared" ref="S25:AF25" si="17">SUM(S10:S12)</f>
        <v>126</v>
      </c>
      <c r="T25" s="16">
        <f t="shared" si="17"/>
        <v>24</v>
      </c>
      <c r="U25" s="16">
        <f t="shared" si="17"/>
        <v>36</v>
      </c>
      <c r="V25" s="16">
        <f t="shared" si="17"/>
        <v>330</v>
      </c>
      <c r="W25" s="16">
        <f t="shared" si="17"/>
        <v>10</v>
      </c>
      <c r="X25" s="16">
        <f t="shared" si="17"/>
        <v>10</v>
      </c>
      <c r="Y25" s="16">
        <f t="shared" si="17"/>
        <v>45</v>
      </c>
      <c r="Z25" s="16">
        <f t="shared" si="17"/>
        <v>33</v>
      </c>
      <c r="AA25" s="16">
        <f t="shared" si="17"/>
        <v>12</v>
      </c>
      <c r="AB25" s="16">
        <f t="shared" si="17"/>
        <v>124</v>
      </c>
      <c r="AC25" s="16">
        <f t="shared" si="17"/>
        <v>266</v>
      </c>
      <c r="AD25" s="16">
        <f t="shared" si="17"/>
        <v>0</v>
      </c>
      <c r="AE25" s="32">
        <f t="shared" si="17"/>
        <v>750</v>
      </c>
      <c r="AF25" s="32">
        <f t="shared" si="17"/>
        <v>1016</v>
      </c>
    </row>
    <row r="26" spans="2:32" ht="23.1" customHeight="1" x14ac:dyDescent="0.25">
      <c r="B26" s="23" t="s">
        <v>53</v>
      </c>
      <c r="C26" s="50">
        <v>12</v>
      </c>
      <c r="D26" s="50">
        <v>2</v>
      </c>
      <c r="E26" s="50">
        <v>4</v>
      </c>
      <c r="F26" s="50">
        <v>18</v>
      </c>
      <c r="G26" s="50">
        <v>0</v>
      </c>
      <c r="H26" s="50">
        <v>0</v>
      </c>
      <c r="I26" s="50">
        <v>6</v>
      </c>
      <c r="J26" s="50">
        <v>10</v>
      </c>
      <c r="K26" s="50">
        <v>1</v>
      </c>
      <c r="L26" s="50">
        <v>9</v>
      </c>
      <c r="M26" s="50">
        <v>16</v>
      </c>
      <c r="N26" s="50">
        <v>0</v>
      </c>
      <c r="O26" s="15">
        <f t="shared" si="0"/>
        <v>62</v>
      </c>
      <c r="P26" s="15">
        <f t="shared" si="1"/>
        <v>78</v>
      </c>
      <c r="R26" s="28" t="s">
        <v>86</v>
      </c>
      <c r="S26" s="16">
        <f t="shared" ref="S26:AF26" si="18">SUM(S13:S18)</f>
        <v>322</v>
      </c>
      <c r="T26" s="16">
        <f t="shared" si="18"/>
        <v>63</v>
      </c>
      <c r="U26" s="16">
        <f t="shared" si="18"/>
        <v>104</v>
      </c>
      <c r="V26" s="16">
        <f t="shared" si="18"/>
        <v>553</v>
      </c>
      <c r="W26" s="16">
        <f t="shared" si="18"/>
        <v>10</v>
      </c>
      <c r="X26" s="16">
        <f t="shared" si="18"/>
        <v>11</v>
      </c>
      <c r="Y26" s="16">
        <f t="shared" si="18"/>
        <v>121</v>
      </c>
      <c r="Z26" s="16">
        <f t="shared" si="18"/>
        <v>129</v>
      </c>
      <c r="AA26" s="16">
        <f t="shared" si="18"/>
        <v>27</v>
      </c>
      <c r="AB26" s="16">
        <f t="shared" si="18"/>
        <v>239</v>
      </c>
      <c r="AC26" s="16">
        <f t="shared" si="18"/>
        <v>448</v>
      </c>
      <c r="AD26" s="16">
        <f t="shared" si="18"/>
        <v>2</v>
      </c>
      <c r="AE26" s="32">
        <f t="shared" si="18"/>
        <v>1581</v>
      </c>
      <c r="AF26" s="32">
        <f t="shared" si="18"/>
        <v>2029</v>
      </c>
    </row>
    <row r="27" spans="2:32" ht="23.1" customHeight="1" x14ac:dyDescent="0.25">
      <c r="B27" s="23" t="s">
        <v>54</v>
      </c>
      <c r="C27" s="50">
        <v>18</v>
      </c>
      <c r="D27" s="50">
        <v>1</v>
      </c>
      <c r="E27" s="50">
        <v>7</v>
      </c>
      <c r="F27" s="50">
        <v>22</v>
      </c>
      <c r="G27" s="50">
        <v>0</v>
      </c>
      <c r="H27" s="50">
        <v>1</v>
      </c>
      <c r="I27" s="50">
        <v>6</v>
      </c>
      <c r="J27" s="50">
        <v>5</v>
      </c>
      <c r="K27" s="50">
        <v>1</v>
      </c>
      <c r="L27" s="50">
        <v>13</v>
      </c>
      <c r="M27" s="50">
        <v>27</v>
      </c>
      <c r="N27" s="50">
        <v>0</v>
      </c>
      <c r="O27" s="15">
        <f t="shared" si="0"/>
        <v>74</v>
      </c>
      <c r="P27" s="15">
        <f t="shared" si="1"/>
        <v>101</v>
      </c>
      <c r="R27" s="29" t="s">
        <v>87</v>
      </c>
      <c r="S27" s="16">
        <f t="shared" ref="S27:AF27" si="19">SUM(S19:S21)</f>
        <v>257</v>
      </c>
      <c r="T27" s="16">
        <f t="shared" si="19"/>
        <v>53</v>
      </c>
      <c r="U27" s="16">
        <f t="shared" si="19"/>
        <v>69</v>
      </c>
      <c r="V27" s="16">
        <f t="shared" si="19"/>
        <v>353</v>
      </c>
      <c r="W27" s="16">
        <f t="shared" si="19"/>
        <v>15</v>
      </c>
      <c r="X27" s="16">
        <f t="shared" si="19"/>
        <v>7</v>
      </c>
      <c r="Y27" s="16">
        <f t="shared" si="19"/>
        <v>65</v>
      </c>
      <c r="Z27" s="16">
        <f t="shared" si="19"/>
        <v>70</v>
      </c>
      <c r="AA27" s="16">
        <f t="shared" si="19"/>
        <v>32</v>
      </c>
      <c r="AB27" s="16">
        <f t="shared" si="19"/>
        <v>97</v>
      </c>
      <c r="AC27" s="16">
        <f t="shared" si="19"/>
        <v>266</v>
      </c>
      <c r="AD27" s="16">
        <f t="shared" si="19"/>
        <v>1</v>
      </c>
      <c r="AE27" s="32">
        <f t="shared" si="19"/>
        <v>1019</v>
      </c>
      <c r="AF27" s="32">
        <f t="shared" si="19"/>
        <v>1285</v>
      </c>
    </row>
    <row r="28" spans="2:32" ht="23.1" customHeight="1" x14ac:dyDescent="0.25">
      <c r="B28" s="23" t="s">
        <v>55</v>
      </c>
      <c r="C28" s="50">
        <v>13</v>
      </c>
      <c r="D28" s="50">
        <v>2</v>
      </c>
      <c r="E28" s="50">
        <v>6</v>
      </c>
      <c r="F28" s="50">
        <v>25</v>
      </c>
      <c r="G28" s="50">
        <v>0</v>
      </c>
      <c r="H28" s="50">
        <v>0</v>
      </c>
      <c r="I28" s="50">
        <v>5</v>
      </c>
      <c r="J28" s="50">
        <v>2</v>
      </c>
      <c r="K28" s="50">
        <v>1</v>
      </c>
      <c r="L28" s="50">
        <v>6</v>
      </c>
      <c r="M28" s="50">
        <v>22</v>
      </c>
      <c r="N28" s="50">
        <v>0</v>
      </c>
      <c r="O28" s="15">
        <f t="shared" si="0"/>
        <v>60</v>
      </c>
      <c r="P28" s="15">
        <f t="shared" si="1"/>
        <v>82</v>
      </c>
      <c r="R28" s="5" t="s">
        <v>17</v>
      </c>
      <c r="S28" s="16">
        <f t="shared" ref="S28:AF28" si="20">SUM(S10:S21)</f>
        <v>705</v>
      </c>
      <c r="T28" s="16">
        <f t="shared" si="20"/>
        <v>140</v>
      </c>
      <c r="U28" s="16">
        <f t="shared" si="20"/>
        <v>209</v>
      </c>
      <c r="V28" s="16">
        <f t="shared" si="20"/>
        <v>1236</v>
      </c>
      <c r="W28" s="16">
        <f t="shared" si="20"/>
        <v>35</v>
      </c>
      <c r="X28" s="16">
        <f t="shared" si="20"/>
        <v>28</v>
      </c>
      <c r="Y28" s="16">
        <f t="shared" si="20"/>
        <v>231</v>
      </c>
      <c r="Z28" s="16">
        <f t="shared" si="20"/>
        <v>232</v>
      </c>
      <c r="AA28" s="16">
        <f t="shared" si="20"/>
        <v>71</v>
      </c>
      <c r="AB28" s="16">
        <f t="shared" si="20"/>
        <v>460</v>
      </c>
      <c r="AC28" s="16">
        <f t="shared" si="20"/>
        <v>980</v>
      </c>
      <c r="AD28" s="16">
        <f t="shared" si="20"/>
        <v>3</v>
      </c>
      <c r="AE28" s="32">
        <f t="shared" si="20"/>
        <v>3350</v>
      </c>
      <c r="AF28" s="32">
        <f t="shared" si="20"/>
        <v>4330</v>
      </c>
    </row>
    <row r="29" spans="2:32" ht="23.1" customHeight="1" x14ac:dyDescent="0.25">
      <c r="B29" s="23" t="s">
        <v>56</v>
      </c>
      <c r="C29" s="50">
        <v>18</v>
      </c>
      <c r="D29" s="50">
        <v>1</v>
      </c>
      <c r="E29" s="50">
        <v>6</v>
      </c>
      <c r="F29" s="50">
        <v>26</v>
      </c>
      <c r="G29" s="50">
        <v>0</v>
      </c>
      <c r="H29" s="50">
        <v>2</v>
      </c>
      <c r="I29" s="50">
        <v>6</v>
      </c>
      <c r="J29" s="50">
        <v>2</v>
      </c>
      <c r="K29" s="50">
        <v>1</v>
      </c>
      <c r="L29" s="50">
        <v>5</v>
      </c>
      <c r="M29" s="50">
        <v>19</v>
      </c>
      <c r="N29" s="50">
        <v>0</v>
      </c>
      <c r="O29" s="15">
        <f t="shared" si="0"/>
        <v>67</v>
      </c>
      <c r="P29" s="15">
        <f t="shared" si="1"/>
        <v>86</v>
      </c>
      <c r="R29"/>
      <c r="S29" s="20"/>
      <c r="T29" s="19"/>
    </row>
    <row r="30" spans="2:32" ht="23.1" customHeight="1" x14ac:dyDescent="0.25">
      <c r="B30" s="23" t="s">
        <v>57</v>
      </c>
      <c r="C30" s="50">
        <v>12</v>
      </c>
      <c r="D30" s="50">
        <v>4</v>
      </c>
      <c r="E30" s="50">
        <v>3</v>
      </c>
      <c r="F30" s="50">
        <v>19</v>
      </c>
      <c r="G30" s="50">
        <v>1</v>
      </c>
      <c r="H30" s="50">
        <v>0</v>
      </c>
      <c r="I30" s="50">
        <v>4</v>
      </c>
      <c r="J30" s="50">
        <v>4</v>
      </c>
      <c r="K30" s="50">
        <v>1</v>
      </c>
      <c r="L30" s="50">
        <v>9</v>
      </c>
      <c r="M30" s="50">
        <v>18</v>
      </c>
      <c r="N30" s="50">
        <v>0</v>
      </c>
      <c r="O30" s="15">
        <f t="shared" si="0"/>
        <v>57</v>
      </c>
      <c r="P30" s="15">
        <f t="shared" si="1"/>
        <v>75</v>
      </c>
    </row>
    <row r="31" spans="2:32" ht="23.1" customHeight="1" x14ac:dyDescent="0.25">
      <c r="B31" s="24" t="s">
        <v>58</v>
      </c>
      <c r="C31" s="50">
        <v>12</v>
      </c>
      <c r="D31" s="50">
        <v>2</v>
      </c>
      <c r="E31" s="50">
        <v>2</v>
      </c>
      <c r="F31" s="50">
        <v>27</v>
      </c>
      <c r="G31" s="50">
        <v>1</v>
      </c>
      <c r="H31" s="50">
        <v>0</v>
      </c>
      <c r="I31" s="50">
        <v>4</v>
      </c>
      <c r="J31" s="50">
        <v>4</v>
      </c>
      <c r="K31" s="50">
        <v>0</v>
      </c>
      <c r="L31" s="50">
        <v>10</v>
      </c>
      <c r="M31" s="50">
        <v>20</v>
      </c>
      <c r="N31" s="50">
        <v>0</v>
      </c>
      <c r="O31" s="15">
        <f t="shared" si="0"/>
        <v>62</v>
      </c>
      <c r="P31" s="15">
        <f t="shared" si="1"/>
        <v>82</v>
      </c>
    </row>
    <row r="32" spans="2:32" ht="23.1" customHeight="1" x14ac:dyDescent="0.25">
      <c r="B32" s="24" t="s">
        <v>59</v>
      </c>
      <c r="C32" s="50">
        <v>11</v>
      </c>
      <c r="D32" s="50">
        <v>2</v>
      </c>
      <c r="E32" s="50">
        <v>3</v>
      </c>
      <c r="F32" s="50">
        <v>20</v>
      </c>
      <c r="G32" s="50">
        <v>0</v>
      </c>
      <c r="H32" s="50">
        <v>0</v>
      </c>
      <c r="I32" s="50">
        <v>9</v>
      </c>
      <c r="J32" s="50">
        <v>7</v>
      </c>
      <c r="K32" s="50">
        <v>1</v>
      </c>
      <c r="L32" s="50">
        <v>8</v>
      </c>
      <c r="M32" s="50">
        <v>28</v>
      </c>
      <c r="N32" s="50">
        <v>0</v>
      </c>
      <c r="O32" s="15">
        <f t="shared" si="0"/>
        <v>61</v>
      </c>
      <c r="P32" s="15">
        <f t="shared" si="1"/>
        <v>89</v>
      </c>
    </row>
    <row r="33" spans="2:20" ht="23.1" customHeight="1" x14ac:dyDescent="0.25">
      <c r="B33" s="23" t="s">
        <v>60</v>
      </c>
      <c r="C33" s="50">
        <v>10</v>
      </c>
      <c r="D33" s="50">
        <v>4</v>
      </c>
      <c r="E33" s="50">
        <v>3</v>
      </c>
      <c r="F33" s="50">
        <v>23</v>
      </c>
      <c r="G33" s="50">
        <v>0</v>
      </c>
      <c r="H33" s="50">
        <v>1</v>
      </c>
      <c r="I33" s="50">
        <v>4</v>
      </c>
      <c r="J33" s="50">
        <v>8</v>
      </c>
      <c r="K33" s="50">
        <v>1</v>
      </c>
      <c r="L33" s="50">
        <v>8</v>
      </c>
      <c r="M33" s="50">
        <v>18</v>
      </c>
      <c r="N33" s="50">
        <v>0</v>
      </c>
      <c r="O33" s="15">
        <f t="shared" si="0"/>
        <v>62</v>
      </c>
      <c r="P33" s="15">
        <f t="shared" si="1"/>
        <v>80</v>
      </c>
    </row>
    <row r="34" spans="2:20" ht="23.1" customHeight="1" x14ac:dyDescent="0.25">
      <c r="B34" s="24" t="s">
        <v>61</v>
      </c>
      <c r="C34" s="50">
        <v>14</v>
      </c>
      <c r="D34" s="50">
        <v>0</v>
      </c>
      <c r="E34" s="50">
        <v>1</v>
      </c>
      <c r="F34" s="50">
        <v>21</v>
      </c>
      <c r="G34" s="50">
        <v>0</v>
      </c>
      <c r="H34" s="50">
        <v>0</v>
      </c>
      <c r="I34" s="50">
        <v>4</v>
      </c>
      <c r="J34" s="50">
        <v>6</v>
      </c>
      <c r="K34" s="50">
        <v>1</v>
      </c>
      <c r="L34" s="50">
        <v>10</v>
      </c>
      <c r="M34" s="50">
        <v>16</v>
      </c>
      <c r="N34" s="50">
        <v>0</v>
      </c>
      <c r="O34" s="15">
        <f t="shared" si="0"/>
        <v>57</v>
      </c>
      <c r="P34" s="15">
        <f t="shared" si="1"/>
        <v>73</v>
      </c>
    </row>
    <row r="35" spans="2:20" ht="23.1" customHeight="1" x14ac:dyDescent="0.25">
      <c r="B35" s="24" t="s">
        <v>62</v>
      </c>
      <c r="C35" s="50">
        <v>14</v>
      </c>
      <c r="D35" s="50">
        <v>4</v>
      </c>
      <c r="E35" s="50">
        <v>4</v>
      </c>
      <c r="F35" s="50">
        <v>10</v>
      </c>
      <c r="G35" s="50">
        <v>1</v>
      </c>
      <c r="H35" s="50">
        <v>0</v>
      </c>
      <c r="I35" s="50">
        <v>0</v>
      </c>
      <c r="J35" s="50">
        <v>7</v>
      </c>
      <c r="K35" s="50">
        <v>4</v>
      </c>
      <c r="L35" s="50">
        <v>7</v>
      </c>
      <c r="M35" s="50">
        <v>23</v>
      </c>
      <c r="N35" s="50">
        <v>0</v>
      </c>
      <c r="O35" s="15">
        <f t="shared" si="0"/>
        <v>51</v>
      </c>
      <c r="P35" s="15">
        <f t="shared" si="1"/>
        <v>74</v>
      </c>
    </row>
    <row r="36" spans="2:20" ht="23.1" customHeight="1" x14ac:dyDescent="0.25">
      <c r="B36" s="24" t="s">
        <v>63</v>
      </c>
      <c r="C36" s="50">
        <v>12</v>
      </c>
      <c r="D36" s="50">
        <v>3</v>
      </c>
      <c r="E36" s="50">
        <v>4</v>
      </c>
      <c r="F36" s="50">
        <v>23</v>
      </c>
      <c r="G36" s="50">
        <v>1</v>
      </c>
      <c r="H36" s="50">
        <v>0</v>
      </c>
      <c r="I36" s="50">
        <v>3</v>
      </c>
      <c r="J36" s="50">
        <v>5</v>
      </c>
      <c r="K36" s="50">
        <v>1</v>
      </c>
      <c r="L36" s="50">
        <v>20</v>
      </c>
      <c r="M36" s="50">
        <v>18</v>
      </c>
      <c r="N36" s="50">
        <v>0</v>
      </c>
      <c r="O36" s="15">
        <f t="shared" si="0"/>
        <v>72</v>
      </c>
      <c r="P36" s="15">
        <f t="shared" si="1"/>
        <v>90</v>
      </c>
    </row>
    <row r="37" spans="2:20" ht="23.1" customHeight="1" x14ac:dyDescent="0.25">
      <c r="B37" s="23" t="s">
        <v>64</v>
      </c>
      <c r="C37" s="50">
        <v>10</v>
      </c>
      <c r="D37" s="50">
        <v>5</v>
      </c>
      <c r="E37" s="50">
        <v>5</v>
      </c>
      <c r="F37" s="50">
        <v>25</v>
      </c>
      <c r="G37" s="50">
        <v>0</v>
      </c>
      <c r="H37" s="50">
        <v>0</v>
      </c>
      <c r="I37" s="50">
        <v>6</v>
      </c>
      <c r="J37" s="50">
        <v>3</v>
      </c>
      <c r="K37" s="50">
        <v>0</v>
      </c>
      <c r="L37" s="50">
        <v>11</v>
      </c>
      <c r="M37" s="50">
        <v>19</v>
      </c>
      <c r="N37" s="50">
        <v>1</v>
      </c>
      <c r="O37" s="15">
        <f t="shared" si="0"/>
        <v>66</v>
      </c>
      <c r="P37" s="15">
        <f t="shared" si="1"/>
        <v>85</v>
      </c>
    </row>
    <row r="38" spans="2:20" ht="23.1" customHeight="1" x14ac:dyDescent="0.25">
      <c r="B38" s="24" t="s">
        <v>65</v>
      </c>
      <c r="C38" s="50">
        <v>11</v>
      </c>
      <c r="D38" s="50">
        <v>2</v>
      </c>
      <c r="E38" s="50">
        <v>9</v>
      </c>
      <c r="F38" s="50">
        <v>27</v>
      </c>
      <c r="G38" s="50">
        <v>1</v>
      </c>
      <c r="H38" s="50">
        <v>2</v>
      </c>
      <c r="I38" s="50">
        <v>5</v>
      </c>
      <c r="J38" s="50">
        <v>5</v>
      </c>
      <c r="K38" s="50">
        <v>1</v>
      </c>
      <c r="L38" s="50">
        <v>22</v>
      </c>
      <c r="M38" s="50">
        <v>2</v>
      </c>
      <c r="N38" s="50">
        <v>1</v>
      </c>
      <c r="O38" s="15">
        <f t="shared" si="0"/>
        <v>86</v>
      </c>
      <c r="P38" s="15">
        <f t="shared" si="1"/>
        <v>88</v>
      </c>
    </row>
    <row r="39" spans="2:20" ht="23.1" customHeight="1" x14ac:dyDescent="0.25">
      <c r="B39" s="24" t="s">
        <v>66</v>
      </c>
      <c r="C39" s="50">
        <v>14</v>
      </c>
      <c r="D39" s="50">
        <v>11</v>
      </c>
      <c r="E39" s="50">
        <v>6</v>
      </c>
      <c r="F39" s="50">
        <v>19</v>
      </c>
      <c r="G39" s="50">
        <v>0</v>
      </c>
      <c r="H39" s="50">
        <v>0</v>
      </c>
      <c r="I39" s="50">
        <v>2</v>
      </c>
      <c r="J39" s="50">
        <v>7</v>
      </c>
      <c r="K39" s="50">
        <v>0</v>
      </c>
      <c r="L39" s="50">
        <v>14</v>
      </c>
      <c r="M39" s="50">
        <v>13</v>
      </c>
      <c r="N39" s="50">
        <v>0</v>
      </c>
      <c r="O39" s="15">
        <f t="shared" si="0"/>
        <v>73</v>
      </c>
      <c r="P39" s="15">
        <f t="shared" si="1"/>
        <v>86</v>
      </c>
    </row>
    <row r="40" spans="2:20" ht="23.1" customHeight="1" x14ac:dyDescent="0.25">
      <c r="B40" s="24" t="s">
        <v>67</v>
      </c>
      <c r="C40" s="50">
        <v>13</v>
      </c>
      <c r="D40" s="50">
        <v>2</v>
      </c>
      <c r="E40" s="50">
        <v>5</v>
      </c>
      <c r="F40" s="50">
        <v>26</v>
      </c>
      <c r="G40" s="50">
        <v>0</v>
      </c>
      <c r="H40" s="50">
        <v>0</v>
      </c>
      <c r="I40" s="50">
        <v>8</v>
      </c>
      <c r="J40" s="50">
        <v>9</v>
      </c>
      <c r="K40" s="50">
        <v>2</v>
      </c>
      <c r="L40" s="50">
        <v>10</v>
      </c>
      <c r="M40" s="50">
        <v>23</v>
      </c>
      <c r="N40" s="50">
        <v>0</v>
      </c>
      <c r="O40" s="15">
        <f t="shared" si="0"/>
        <v>75</v>
      </c>
      <c r="P40" s="15">
        <f t="shared" si="1"/>
        <v>98</v>
      </c>
    </row>
    <row r="41" spans="2:20" ht="23.1" customHeight="1" x14ac:dyDescent="0.25">
      <c r="B41" s="23" t="s">
        <v>68</v>
      </c>
      <c r="C41" s="50">
        <v>14</v>
      </c>
      <c r="D41" s="50">
        <v>2</v>
      </c>
      <c r="E41" s="50">
        <v>5</v>
      </c>
      <c r="F41" s="50">
        <v>25</v>
      </c>
      <c r="G41" s="50">
        <v>0</v>
      </c>
      <c r="H41" s="50">
        <v>0</v>
      </c>
      <c r="I41" s="50">
        <v>7</v>
      </c>
      <c r="J41" s="50">
        <v>4</v>
      </c>
      <c r="K41" s="50">
        <v>2</v>
      </c>
      <c r="L41" s="50">
        <v>6</v>
      </c>
      <c r="M41" s="50">
        <v>15</v>
      </c>
      <c r="N41" s="50">
        <v>0</v>
      </c>
      <c r="O41" s="15">
        <f t="shared" si="0"/>
        <v>65</v>
      </c>
      <c r="P41" s="15">
        <f t="shared" si="1"/>
        <v>80</v>
      </c>
    </row>
    <row r="42" spans="2:20" ht="23.1" customHeight="1" x14ac:dyDescent="0.25">
      <c r="B42" s="24" t="s">
        <v>69</v>
      </c>
      <c r="C42" s="50">
        <v>22</v>
      </c>
      <c r="D42" s="50">
        <v>7</v>
      </c>
      <c r="E42" s="50">
        <v>4</v>
      </c>
      <c r="F42" s="50">
        <v>26</v>
      </c>
      <c r="G42" s="50">
        <v>0</v>
      </c>
      <c r="H42" s="50">
        <v>1</v>
      </c>
      <c r="I42" s="50">
        <v>4</v>
      </c>
      <c r="J42" s="50">
        <v>5</v>
      </c>
      <c r="K42" s="50">
        <v>0</v>
      </c>
      <c r="L42" s="50">
        <v>8</v>
      </c>
      <c r="M42" s="50">
        <v>23</v>
      </c>
      <c r="N42" s="50">
        <v>0</v>
      </c>
      <c r="O42" s="15">
        <f t="shared" si="0"/>
        <v>77</v>
      </c>
      <c r="P42" s="15">
        <f t="shared" si="1"/>
        <v>100</v>
      </c>
    </row>
    <row r="43" spans="2:20" ht="23.1" customHeight="1" x14ac:dyDescent="0.25">
      <c r="B43" s="23" t="s">
        <v>70</v>
      </c>
      <c r="C43" s="50">
        <v>13</v>
      </c>
      <c r="D43" s="50">
        <v>3</v>
      </c>
      <c r="E43" s="50">
        <v>5</v>
      </c>
      <c r="F43" s="50">
        <v>15</v>
      </c>
      <c r="G43" s="50">
        <v>0</v>
      </c>
      <c r="H43" s="50">
        <v>1</v>
      </c>
      <c r="I43" s="50">
        <v>3</v>
      </c>
      <c r="J43" s="50">
        <v>7</v>
      </c>
      <c r="K43" s="50">
        <v>0</v>
      </c>
      <c r="L43" s="50">
        <v>5</v>
      </c>
      <c r="M43" s="50">
        <v>20</v>
      </c>
      <c r="N43" s="50">
        <v>0</v>
      </c>
      <c r="O43" s="15">
        <f t="shared" si="0"/>
        <v>52</v>
      </c>
      <c r="P43" s="15">
        <f t="shared" si="1"/>
        <v>72</v>
      </c>
    </row>
    <row r="44" spans="2:20" ht="23.1" customHeight="1" x14ac:dyDescent="0.25">
      <c r="B44" s="25" t="s">
        <v>71</v>
      </c>
      <c r="C44" s="50">
        <v>16</v>
      </c>
      <c r="D44" s="50">
        <v>2</v>
      </c>
      <c r="E44" s="50">
        <v>7</v>
      </c>
      <c r="F44" s="50">
        <v>17</v>
      </c>
      <c r="G44" s="50">
        <v>1</v>
      </c>
      <c r="H44" s="50">
        <v>0</v>
      </c>
      <c r="I44" s="50">
        <v>6</v>
      </c>
      <c r="J44" s="50">
        <v>7</v>
      </c>
      <c r="K44" s="50">
        <v>1</v>
      </c>
      <c r="L44" s="50">
        <v>16</v>
      </c>
      <c r="M44" s="50">
        <v>6</v>
      </c>
      <c r="N44" s="50">
        <v>0</v>
      </c>
      <c r="O44" s="15">
        <f t="shared" si="0"/>
        <v>73</v>
      </c>
      <c r="P44" s="15">
        <f t="shared" si="1"/>
        <v>79</v>
      </c>
    </row>
    <row r="45" spans="2:20" ht="23.1" customHeight="1" x14ac:dyDescent="0.25">
      <c r="B45" s="23" t="s">
        <v>72</v>
      </c>
      <c r="C45" s="50">
        <v>19</v>
      </c>
      <c r="D45" s="50">
        <v>2</v>
      </c>
      <c r="E45" s="50">
        <v>8</v>
      </c>
      <c r="F45" s="50">
        <v>39</v>
      </c>
      <c r="G45" s="50">
        <v>0</v>
      </c>
      <c r="H45" s="50">
        <v>1</v>
      </c>
      <c r="I45" s="50">
        <v>7</v>
      </c>
      <c r="J45" s="50">
        <v>5</v>
      </c>
      <c r="K45" s="50">
        <v>5</v>
      </c>
      <c r="L45" s="50">
        <v>6</v>
      </c>
      <c r="M45" s="50">
        <v>18</v>
      </c>
      <c r="N45" s="50">
        <v>0</v>
      </c>
      <c r="O45" s="15">
        <f t="shared" si="0"/>
        <v>92</v>
      </c>
      <c r="P45" s="15">
        <f t="shared" si="1"/>
        <v>110</v>
      </c>
    </row>
    <row r="46" spans="2:20" ht="23.1" customHeight="1" x14ac:dyDescent="0.25">
      <c r="B46" s="24" t="s">
        <v>73</v>
      </c>
      <c r="C46" s="50">
        <v>8</v>
      </c>
      <c r="D46" s="50">
        <v>5</v>
      </c>
      <c r="E46" s="50">
        <v>7</v>
      </c>
      <c r="F46" s="50">
        <v>20</v>
      </c>
      <c r="G46" s="50">
        <v>0</v>
      </c>
      <c r="H46" s="50">
        <v>1</v>
      </c>
      <c r="I46" s="50">
        <v>3</v>
      </c>
      <c r="J46" s="50">
        <v>5</v>
      </c>
      <c r="K46" s="50">
        <v>2</v>
      </c>
      <c r="L46" s="50">
        <v>19</v>
      </c>
      <c r="M46" s="50">
        <v>5</v>
      </c>
      <c r="N46" s="50">
        <v>0</v>
      </c>
      <c r="O46" s="15">
        <f t="shared" si="0"/>
        <v>70</v>
      </c>
      <c r="P46" s="15">
        <f t="shared" si="1"/>
        <v>75</v>
      </c>
      <c r="R46" s="8"/>
      <c r="T46"/>
    </row>
    <row r="47" spans="2:20" ht="23.1" customHeight="1" x14ac:dyDescent="0.25">
      <c r="B47" s="24" t="s">
        <v>74</v>
      </c>
      <c r="C47" s="50">
        <v>20</v>
      </c>
      <c r="D47" s="50">
        <v>5</v>
      </c>
      <c r="E47" s="50">
        <v>8</v>
      </c>
      <c r="F47" s="50">
        <v>34</v>
      </c>
      <c r="G47" s="50">
        <v>1</v>
      </c>
      <c r="H47" s="50">
        <v>1</v>
      </c>
      <c r="I47" s="50">
        <v>5</v>
      </c>
      <c r="J47" s="50">
        <v>7</v>
      </c>
      <c r="K47" s="50">
        <v>1</v>
      </c>
      <c r="L47" s="50">
        <v>1</v>
      </c>
      <c r="M47" s="50">
        <v>21</v>
      </c>
      <c r="N47" s="50">
        <v>0</v>
      </c>
      <c r="O47" s="15">
        <f t="shared" si="0"/>
        <v>83</v>
      </c>
      <c r="P47" s="15">
        <f t="shared" si="1"/>
        <v>104</v>
      </c>
      <c r="R47" s="8"/>
      <c r="T47"/>
    </row>
    <row r="48" spans="2:20" ht="23.1" customHeight="1" x14ac:dyDescent="0.25">
      <c r="B48" s="24" t="s">
        <v>75</v>
      </c>
      <c r="C48" s="50">
        <v>21</v>
      </c>
      <c r="D48" s="50">
        <v>3</v>
      </c>
      <c r="E48" s="50">
        <v>7</v>
      </c>
      <c r="F48" s="50">
        <v>24</v>
      </c>
      <c r="G48" s="50">
        <v>1</v>
      </c>
      <c r="H48" s="50">
        <v>0</v>
      </c>
      <c r="I48" s="50">
        <v>3</v>
      </c>
      <c r="J48" s="50">
        <v>3</v>
      </c>
      <c r="K48" s="50">
        <v>0</v>
      </c>
      <c r="L48" s="50">
        <v>13</v>
      </c>
      <c r="M48" s="50">
        <v>13</v>
      </c>
      <c r="N48" s="50">
        <v>0</v>
      </c>
      <c r="O48" s="15">
        <f t="shared" si="0"/>
        <v>75</v>
      </c>
      <c r="P48" s="15">
        <f t="shared" si="1"/>
        <v>88</v>
      </c>
      <c r="R48" s="8"/>
      <c r="T48"/>
    </row>
    <row r="49" spans="2:20" ht="23.1" customHeight="1" x14ac:dyDescent="0.25">
      <c r="B49" s="23" t="s">
        <v>76</v>
      </c>
      <c r="C49" s="50">
        <v>15</v>
      </c>
      <c r="D49" s="50">
        <v>0</v>
      </c>
      <c r="E49" s="50">
        <v>8</v>
      </c>
      <c r="F49" s="50">
        <v>21</v>
      </c>
      <c r="G49" s="50">
        <v>1</v>
      </c>
      <c r="H49" s="50">
        <v>1</v>
      </c>
      <c r="I49" s="50">
        <v>7</v>
      </c>
      <c r="J49" s="50">
        <v>7</v>
      </c>
      <c r="K49" s="50">
        <v>1</v>
      </c>
      <c r="L49" s="50">
        <v>8</v>
      </c>
      <c r="M49" s="50">
        <v>18</v>
      </c>
      <c r="N49" s="50">
        <v>0</v>
      </c>
      <c r="O49" s="15">
        <f t="shared" si="0"/>
        <v>69</v>
      </c>
      <c r="P49" s="15">
        <f t="shared" si="1"/>
        <v>87</v>
      </c>
      <c r="R49" s="8"/>
      <c r="T49"/>
    </row>
    <row r="50" spans="2:20" ht="23.1" customHeight="1" x14ac:dyDescent="0.25">
      <c r="B50" s="24" t="s">
        <v>77</v>
      </c>
      <c r="C50" s="50">
        <v>23</v>
      </c>
      <c r="D50" s="50">
        <v>7</v>
      </c>
      <c r="E50" s="50">
        <v>5</v>
      </c>
      <c r="F50" s="50">
        <v>37</v>
      </c>
      <c r="G50" s="50">
        <v>0</v>
      </c>
      <c r="H50" s="50">
        <v>1</v>
      </c>
      <c r="I50" s="50">
        <v>9</v>
      </c>
      <c r="J50" s="50">
        <v>11</v>
      </c>
      <c r="K50" s="50">
        <v>2</v>
      </c>
      <c r="L50" s="50">
        <v>6</v>
      </c>
      <c r="M50" s="50">
        <v>20</v>
      </c>
      <c r="N50" s="50">
        <v>0</v>
      </c>
      <c r="O50" s="15">
        <f t="shared" si="0"/>
        <v>101</v>
      </c>
      <c r="P50" s="15">
        <f t="shared" si="1"/>
        <v>121</v>
      </c>
      <c r="R50" s="8"/>
      <c r="T50"/>
    </row>
    <row r="51" spans="2:20" ht="23.1" customHeight="1" x14ac:dyDescent="0.25">
      <c r="B51" s="24" t="s">
        <v>78</v>
      </c>
      <c r="C51" s="50">
        <v>23</v>
      </c>
      <c r="D51" s="50">
        <v>5</v>
      </c>
      <c r="E51" s="50">
        <v>3</v>
      </c>
      <c r="F51" s="50">
        <v>27</v>
      </c>
      <c r="G51" s="50">
        <v>1</v>
      </c>
      <c r="H51" s="50">
        <v>0</v>
      </c>
      <c r="I51" s="50">
        <v>7</v>
      </c>
      <c r="J51" s="50">
        <v>6</v>
      </c>
      <c r="K51" s="50">
        <v>2</v>
      </c>
      <c r="L51" s="50">
        <v>8</v>
      </c>
      <c r="M51" s="50">
        <v>19</v>
      </c>
      <c r="N51" s="50">
        <v>0</v>
      </c>
      <c r="O51" s="15">
        <f t="shared" si="0"/>
        <v>82</v>
      </c>
      <c r="P51" s="15">
        <f t="shared" si="1"/>
        <v>101</v>
      </c>
      <c r="R51" s="8"/>
      <c r="T51"/>
    </row>
    <row r="52" spans="2:20" ht="23.1" customHeight="1" x14ac:dyDescent="0.25">
      <c r="B52" s="24" t="s">
        <v>79</v>
      </c>
      <c r="C52" s="50">
        <v>15</v>
      </c>
      <c r="D52" s="50">
        <v>7</v>
      </c>
      <c r="E52" s="50">
        <v>2</v>
      </c>
      <c r="F52" s="50">
        <v>39</v>
      </c>
      <c r="G52" s="50">
        <v>2</v>
      </c>
      <c r="H52" s="50">
        <v>1</v>
      </c>
      <c r="I52" s="50">
        <v>6</v>
      </c>
      <c r="J52" s="50">
        <v>8</v>
      </c>
      <c r="K52" s="50">
        <v>1</v>
      </c>
      <c r="L52" s="50">
        <v>5</v>
      </c>
      <c r="M52" s="50">
        <v>26</v>
      </c>
      <c r="N52" s="50">
        <v>1</v>
      </c>
      <c r="O52" s="15">
        <f t="shared" si="0"/>
        <v>87</v>
      </c>
      <c r="P52" s="15">
        <f t="shared" si="1"/>
        <v>113</v>
      </c>
      <c r="R52" s="8"/>
      <c r="T52"/>
    </row>
    <row r="53" spans="2:20" ht="23.1" customHeight="1" x14ac:dyDescent="0.25">
      <c r="B53" s="23" t="s">
        <v>80</v>
      </c>
      <c r="C53" s="50">
        <v>18</v>
      </c>
      <c r="D53" s="50">
        <v>3</v>
      </c>
      <c r="E53" s="50">
        <v>7</v>
      </c>
      <c r="F53" s="50">
        <v>31</v>
      </c>
      <c r="G53" s="50">
        <v>1</v>
      </c>
      <c r="H53" s="50">
        <v>0</v>
      </c>
      <c r="I53" s="50">
        <v>6</v>
      </c>
      <c r="J53" s="50">
        <v>4</v>
      </c>
      <c r="K53" s="50">
        <v>3</v>
      </c>
      <c r="L53" s="50">
        <v>10</v>
      </c>
      <c r="M53" s="50">
        <v>27</v>
      </c>
      <c r="N53" s="50">
        <v>0</v>
      </c>
      <c r="O53" s="15">
        <f t="shared" si="0"/>
        <v>83</v>
      </c>
      <c r="P53" s="15">
        <f t="shared" si="1"/>
        <v>110</v>
      </c>
      <c r="R53" s="8"/>
      <c r="T53"/>
    </row>
    <row r="54" spans="2:20" ht="23.1" customHeight="1" x14ac:dyDescent="0.25">
      <c r="B54" s="23" t="s">
        <v>81</v>
      </c>
      <c r="C54" s="50">
        <v>33</v>
      </c>
      <c r="D54" s="50">
        <v>7</v>
      </c>
      <c r="E54" s="50">
        <v>4</v>
      </c>
      <c r="F54" s="50">
        <v>33</v>
      </c>
      <c r="G54" s="50">
        <v>2</v>
      </c>
      <c r="H54" s="50">
        <v>0</v>
      </c>
      <c r="I54" s="50">
        <v>6</v>
      </c>
      <c r="J54" s="50">
        <v>11</v>
      </c>
      <c r="K54" s="50">
        <v>4</v>
      </c>
      <c r="L54" s="50">
        <v>6</v>
      </c>
      <c r="M54" s="50">
        <v>29</v>
      </c>
      <c r="N54" s="50">
        <v>0</v>
      </c>
      <c r="O54" s="15">
        <f t="shared" si="0"/>
        <v>106</v>
      </c>
      <c r="P54" s="15">
        <f t="shared" si="1"/>
        <v>135</v>
      </c>
      <c r="R54" s="8"/>
      <c r="T54"/>
    </row>
    <row r="55" spans="2:20" ht="23.1" customHeight="1" x14ac:dyDescent="0.25">
      <c r="B55" s="23" t="s">
        <v>82</v>
      </c>
      <c r="C55" s="50">
        <v>29</v>
      </c>
      <c r="D55" s="50">
        <v>3</v>
      </c>
      <c r="E55" s="50">
        <v>6</v>
      </c>
      <c r="F55" s="50">
        <v>27</v>
      </c>
      <c r="G55" s="50">
        <v>2</v>
      </c>
      <c r="H55" s="50">
        <v>1</v>
      </c>
      <c r="I55" s="50">
        <v>5</v>
      </c>
      <c r="J55" s="50">
        <v>4</v>
      </c>
      <c r="K55" s="50">
        <v>6</v>
      </c>
      <c r="L55" s="50">
        <v>7</v>
      </c>
      <c r="M55" s="50">
        <v>27</v>
      </c>
      <c r="N55" s="50">
        <v>0</v>
      </c>
      <c r="O55" s="15">
        <f t="shared" si="0"/>
        <v>90</v>
      </c>
      <c r="P55" s="15">
        <f t="shared" si="1"/>
        <v>117</v>
      </c>
      <c r="R55" s="8"/>
      <c r="T55"/>
    </row>
    <row r="56" spans="2:20" ht="23.1" customHeight="1" x14ac:dyDescent="0.25">
      <c r="B56" s="23" t="s">
        <v>83</v>
      </c>
      <c r="C56" s="50">
        <v>25</v>
      </c>
      <c r="D56" s="50">
        <v>5</v>
      </c>
      <c r="E56" s="50">
        <v>6</v>
      </c>
      <c r="F56" s="50">
        <v>29</v>
      </c>
      <c r="G56" s="50">
        <v>1</v>
      </c>
      <c r="H56" s="50">
        <v>1</v>
      </c>
      <c r="I56" s="50">
        <v>3</v>
      </c>
      <c r="J56" s="50">
        <v>2</v>
      </c>
      <c r="K56" s="50">
        <v>6</v>
      </c>
      <c r="L56" s="50">
        <v>5</v>
      </c>
      <c r="M56" s="50">
        <v>31</v>
      </c>
      <c r="N56" s="50">
        <v>0</v>
      </c>
      <c r="O56" s="15">
        <f t="shared" si="0"/>
        <v>83</v>
      </c>
      <c r="P56" s="15">
        <f t="shared" si="1"/>
        <v>114</v>
      </c>
      <c r="R56" s="8"/>
      <c r="T56"/>
    </row>
    <row r="57" spans="2:20" ht="23.1" customHeight="1" x14ac:dyDescent="0.25">
      <c r="B57" s="23" t="s">
        <v>84</v>
      </c>
      <c r="C57" s="50">
        <v>27</v>
      </c>
      <c r="D57" s="50">
        <v>3</v>
      </c>
      <c r="E57" s="50">
        <v>6</v>
      </c>
      <c r="F57" s="50">
        <v>31</v>
      </c>
      <c r="G57" s="50">
        <v>3</v>
      </c>
      <c r="H57" s="50">
        <v>0</v>
      </c>
      <c r="I57" s="50">
        <v>5</v>
      </c>
      <c r="J57" s="50">
        <v>2</v>
      </c>
      <c r="K57" s="50">
        <v>4</v>
      </c>
      <c r="L57" s="50">
        <v>9</v>
      </c>
      <c r="M57" s="50">
        <v>30</v>
      </c>
      <c r="N57" s="50">
        <v>0</v>
      </c>
      <c r="O57" s="15">
        <f t="shared" si="0"/>
        <v>90</v>
      </c>
      <c r="P57" s="15">
        <f t="shared" si="1"/>
        <v>120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705</v>
      </c>
      <c r="D58" s="16">
        <f t="shared" si="21"/>
        <v>140</v>
      </c>
      <c r="E58" s="16">
        <f t="shared" si="21"/>
        <v>209</v>
      </c>
      <c r="F58" s="16">
        <f t="shared" si="21"/>
        <v>1236</v>
      </c>
      <c r="G58" s="16">
        <f t="shared" si="21"/>
        <v>35</v>
      </c>
      <c r="H58" s="16">
        <f t="shared" si="21"/>
        <v>28</v>
      </c>
      <c r="I58" s="16">
        <f t="shared" si="21"/>
        <v>231</v>
      </c>
      <c r="J58" s="16">
        <f t="shared" si="21"/>
        <v>232</v>
      </c>
      <c r="K58" s="16">
        <f t="shared" si="21"/>
        <v>71</v>
      </c>
      <c r="L58" s="16">
        <f t="shared" si="21"/>
        <v>460</v>
      </c>
      <c r="M58" s="16">
        <f t="shared" si="21"/>
        <v>980</v>
      </c>
      <c r="N58" s="16">
        <f t="shared" si="21"/>
        <v>3</v>
      </c>
      <c r="O58" s="16">
        <f t="shared" si="21"/>
        <v>3350</v>
      </c>
      <c r="P58" s="16">
        <f t="shared" si="21"/>
        <v>4330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0.16281755196304851</v>
      </c>
      <c r="D59" s="43">
        <f t="shared" si="22"/>
        <v>3.2332563510392612E-2</v>
      </c>
      <c r="E59" s="43">
        <f t="shared" si="22"/>
        <v>4.8267898383371824E-2</v>
      </c>
      <c r="F59" s="43">
        <f t="shared" si="22"/>
        <v>0.28545034642032335</v>
      </c>
      <c r="G59" s="43">
        <f t="shared" si="22"/>
        <v>8.0831408775981529E-3</v>
      </c>
      <c r="H59" s="43">
        <f t="shared" si="22"/>
        <v>6.4665127020785218E-3</v>
      </c>
      <c r="I59" s="43">
        <f t="shared" si="22"/>
        <v>5.3348729792147803E-2</v>
      </c>
      <c r="J59" s="43">
        <f t="shared" si="22"/>
        <v>5.3579676674364897E-2</v>
      </c>
      <c r="K59" s="43">
        <f t="shared" si="22"/>
        <v>1.6397228637413396E-2</v>
      </c>
      <c r="L59" s="43">
        <f t="shared" si="22"/>
        <v>0.10623556581986143</v>
      </c>
      <c r="M59" s="43">
        <f t="shared" si="22"/>
        <v>0.22632794457274827</v>
      </c>
      <c r="N59" s="43">
        <f t="shared" si="22"/>
        <v>6.928406466512702E-4</v>
      </c>
      <c r="R59" s="8"/>
      <c r="T59"/>
    </row>
    <row r="60" spans="2:20" ht="23.1" customHeight="1" x14ac:dyDescent="0.25">
      <c r="B60" s="42" t="s">
        <v>94</v>
      </c>
      <c r="C60" s="44">
        <f>C58/$O$58</f>
        <v>0.21044776119402986</v>
      </c>
      <c r="D60" s="44">
        <f t="shared" ref="D60:N60" si="23">D58/$O$58</f>
        <v>4.1791044776119404E-2</v>
      </c>
      <c r="E60" s="44">
        <f t="shared" si="23"/>
        <v>6.238805970149254E-2</v>
      </c>
      <c r="F60" s="44">
        <f t="shared" si="23"/>
        <v>0.36895522388059704</v>
      </c>
      <c r="G60" s="44">
        <f t="shared" si="23"/>
        <v>1.0447761194029851E-2</v>
      </c>
      <c r="H60" s="44">
        <f t="shared" si="23"/>
        <v>8.3582089552238798E-3</v>
      </c>
      <c r="I60" s="44">
        <f t="shared" si="23"/>
        <v>6.8955223880597008E-2</v>
      </c>
      <c r="J60" s="44">
        <f t="shared" si="23"/>
        <v>6.9253731343283581E-2</v>
      </c>
      <c r="K60" s="44">
        <f t="shared" si="23"/>
        <v>2.1194029850746268E-2</v>
      </c>
      <c r="L60" s="44">
        <f t="shared" si="23"/>
        <v>0.1373134328358209</v>
      </c>
      <c r="M60" s="44"/>
      <c r="N60" s="44">
        <f t="shared" si="23"/>
        <v>8.955223880597015E-4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topLeftCell="A4" zoomScale="60" workbookViewId="0">
      <selection activeCell="H17" sqref="H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Kampala-Jinja'!C3:G3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>
        <v>23.101900000000001</v>
      </c>
      <c r="E5" s="3"/>
      <c r="F5" s="41" t="s">
        <v>1</v>
      </c>
      <c r="G5" s="63" t="str">
        <f>'23.10 JINJA-KAMPALA'!G5:H5</f>
        <v>Nakibbizi</v>
      </c>
      <c r="H5" s="64"/>
      <c r="I5" s="14"/>
      <c r="J5" s="2" t="s">
        <v>5</v>
      </c>
      <c r="K5" s="63" t="str">
        <f>'23.10 JINJA-KAMPALA'!K5:L5</f>
        <v>jerome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Kampala-Jinja'!D6:E6</f>
        <v>Kampala</v>
      </c>
      <c r="E6" s="64"/>
      <c r="F6" s="2" t="s">
        <v>2</v>
      </c>
      <c r="G6" s="63" t="str">
        <f>'17.10 Kampala-Jinja'!G6:H6</f>
        <v>Jinja</v>
      </c>
      <c r="H6" s="64"/>
      <c r="J6" s="2" t="s">
        <v>21</v>
      </c>
      <c r="K6" s="63" t="str">
        <f>'23.10 JINJA-KAMPALA'!K6:L6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2</v>
      </c>
      <c r="E10" s="50">
        <v>1</v>
      </c>
      <c r="F10" s="50">
        <v>15</v>
      </c>
      <c r="G10" s="50">
        <v>1</v>
      </c>
      <c r="H10" s="50">
        <v>0</v>
      </c>
      <c r="I10" s="50">
        <v>0</v>
      </c>
      <c r="J10" s="50">
        <v>2</v>
      </c>
      <c r="K10" s="50">
        <v>1</v>
      </c>
      <c r="L10" s="50">
        <v>3</v>
      </c>
      <c r="M10" s="50">
        <v>19</v>
      </c>
      <c r="N10" s="50">
        <v>0</v>
      </c>
      <c r="O10" s="15">
        <f t="shared" ref="O10:O57" si="0">SUM(C10:L10,N10)</f>
        <v>30</v>
      </c>
      <c r="P10" s="15">
        <f t="shared" ref="P10:P57" si="1">SUM(C10:N10)</f>
        <v>49</v>
      </c>
      <c r="R10" s="1" t="s">
        <v>6</v>
      </c>
      <c r="S10" s="17">
        <f t="shared" ref="S10:AF10" si="2">SUM(C10:C13)</f>
        <v>34</v>
      </c>
      <c r="T10" s="17">
        <f t="shared" si="2"/>
        <v>18</v>
      </c>
      <c r="U10" s="17">
        <f t="shared" si="2"/>
        <v>13</v>
      </c>
      <c r="V10" s="17">
        <f t="shared" si="2"/>
        <v>100</v>
      </c>
      <c r="W10" s="17">
        <f t="shared" si="2"/>
        <v>2</v>
      </c>
      <c r="X10" s="17">
        <f t="shared" si="2"/>
        <v>1</v>
      </c>
      <c r="Y10" s="17">
        <f t="shared" si="2"/>
        <v>6</v>
      </c>
      <c r="Z10" s="17">
        <f t="shared" si="2"/>
        <v>14</v>
      </c>
      <c r="AA10" s="17">
        <f t="shared" si="2"/>
        <v>3</v>
      </c>
      <c r="AB10" s="17">
        <f t="shared" si="2"/>
        <v>20</v>
      </c>
      <c r="AC10" s="17">
        <f t="shared" si="2"/>
        <v>91</v>
      </c>
      <c r="AD10" s="17">
        <f t="shared" si="2"/>
        <v>0</v>
      </c>
      <c r="AE10" s="31">
        <f t="shared" si="2"/>
        <v>211</v>
      </c>
      <c r="AF10" s="31">
        <f t="shared" si="2"/>
        <v>302</v>
      </c>
    </row>
    <row r="11" spans="2:32" s="6" customFormat="1" ht="23.1" customHeight="1" x14ac:dyDescent="0.25">
      <c r="B11" s="23" t="s">
        <v>38</v>
      </c>
      <c r="C11" s="50">
        <v>9</v>
      </c>
      <c r="D11" s="50">
        <v>3</v>
      </c>
      <c r="E11" s="50">
        <v>5</v>
      </c>
      <c r="F11" s="50">
        <v>23</v>
      </c>
      <c r="G11" s="50">
        <v>1</v>
      </c>
      <c r="H11" s="50">
        <v>0</v>
      </c>
      <c r="I11" s="50">
        <v>1</v>
      </c>
      <c r="J11" s="50">
        <v>3</v>
      </c>
      <c r="K11" s="50">
        <v>1</v>
      </c>
      <c r="L11" s="50">
        <v>8</v>
      </c>
      <c r="M11" s="50">
        <v>17</v>
      </c>
      <c r="N11" s="50">
        <v>0</v>
      </c>
      <c r="O11" s="15">
        <f t="shared" si="0"/>
        <v>54</v>
      </c>
      <c r="P11" s="15">
        <f t="shared" si="1"/>
        <v>71</v>
      </c>
      <c r="R11" s="1" t="s">
        <v>7</v>
      </c>
      <c r="S11" s="17">
        <f t="shared" ref="S11:AF11" si="3">SUM(C14:C17)</f>
        <v>44</v>
      </c>
      <c r="T11" s="17">
        <f t="shared" si="3"/>
        <v>24</v>
      </c>
      <c r="U11" s="17">
        <f t="shared" si="3"/>
        <v>10</v>
      </c>
      <c r="V11" s="17">
        <f t="shared" si="3"/>
        <v>98</v>
      </c>
      <c r="W11" s="17">
        <f t="shared" si="3"/>
        <v>1</v>
      </c>
      <c r="X11" s="17">
        <f t="shared" si="3"/>
        <v>0</v>
      </c>
      <c r="Y11" s="17">
        <f t="shared" si="3"/>
        <v>11</v>
      </c>
      <c r="Z11" s="17">
        <f t="shared" si="3"/>
        <v>21</v>
      </c>
      <c r="AA11" s="17">
        <f t="shared" si="3"/>
        <v>4</v>
      </c>
      <c r="AB11" s="17">
        <f t="shared" si="3"/>
        <v>25</v>
      </c>
      <c r="AC11" s="17">
        <f t="shared" si="3"/>
        <v>71</v>
      </c>
      <c r="AD11" s="17">
        <f t="shared" si="3"/>
        <v>0</v>
      </c>
      <c r="AE11" s="31">
        <f t="shared" si="3"/>
        <v>238</v>
      </c>
      <c r="AF11" s="31">
        <f t="shared" si="3"/>
        <v>309</v>
      </c>
    </row>
    <row r="12" spans="2:32" ht="23.1" customHeight="1" x14ac:dyDescent="0.25">
      <c r="B12" s="23" t="s">
        <v>39</v>
      </c>
      <c r="C12" s="50">
        <v>13</v>
      </c>
      <c r="D12" s="50">
        <v>10</v>
      </c>
      <c r="E12" s="50">
        <v>5</v>
      </c>
      <c r="F12" s="50">
        <v>30</v>
      </c>
      <c r="G12" s="50">
        <v>0</v>
      </c>
      <c r="H12" s="50">
        <v>1</v>
      </c>
      <c r="I12" s="50">
        <v>2</v>
      </c>
      <c r="J12" s="50">
        <v>6</v>
      </c>
      <c r="K12" s="50">
        <v>1</v>
      </c>
      <c r="L12" s="50">
        <v>8</v>
      </c>
      <c r="M12" s="50">
        <v>22</v>
      </c>
      <c r="N12" s="50">
        <v>0</v>
      </c>
      <c r="O12" s="15">
        <f t="shared" si="0"/>
        <v>76</v>
      </c>
      <c r="P12" s="15">
        <f t="shared" si="1"/>
        <v>98</v>
      </c>
      <c r="R12" s="1" t="s">
        <v>8</v>
      </c>
      <c r="S12" s="17">
        <f t="shared" ref="S12:AF12" si="4">SUM(C18:C21)</f>
        <v>56</v>
      </c>
      <c r="T12" s="17">
        <f t="shared" si="4"/>
        <v>38</v>
      </c>
      <c r="U12" s="17">
        <f t="shared" si="4"/>
        <v>26</v>
      </c>
      <c r="V12" s="17">
        <f t="shared" si="4"/>
        <v>125</v>
      </c>
      <c r="W12" s="17">
        <f t="shared" si="4"/>
        <v>4</v>
      </c>
      <c r="X12" s="17">
        <f t="shared" si="4"/>
        <v>5</v>
      </c>
      <c r="Y12" s="17">
        <f t="shared" si="4"/>
        <v>7</v>
      </c>
      <c r="Z12" s="17">
        <f t="shared" si="4"/>
        <v>22</v>
      </c>
      <c r="AA12" s="17">
        <f t="shared" si="4"/>
        <v>4</v>
      </c>
      <c r="AB12" s="17">
        <f t="shared" si="4"/>
        <v>25</v>
      </c>
      <c r="AC12" s="17">
        <f t="shared" si="4"/>
        <v>91</v>
      </c>
      <c r="AD12" s="17">
        <f t="shared" si="4"/>
        <v>1</v>
      </c>
      <c r="AE12" s="31">
        <f t="shared" si="4"/>
        <v>313</v>
      </c>
      <c r="AF12" s="31">
        <f t="shared" si="4"/>
        <v>404</v>
      </c>
    </row>
    <row r="13" spans="2:32" ht="23.1" customHeight="1" x14ac:dyDescent="0.25">
      <c r="B13" s="23" t="s">
        <v>40</v>
      </c>
      <c r="C13" s="50">
        <v>7</v>
      </c>
      <c r="D13" s="50">
        <v>3</v>
      </c>
      <c r="E13" s="50">
        <v>2</v>
      </c>
      <c r="F13" s="50">
        <v>32</v>
      </c>
      <c r="G13" s="50">
        <v>0</v>
      </c>
      <c r="H13" s="50">
        <v>0</v>
      </c>
      <c r="I13" s="50">
        <v>3</v>
      </c>
      <c r="J13" s="50">
        <v>3</v>
      </c>
      <c r="K13" s="50">
        <v>0</v>
      </c>
      <c r="L13" s="50">
        <v>1</v>
      </c>
      <c r="M13" s="50">
        <v>33</v>
      </c>
      <c r="N13" s="50">
        <v>0</v>
      </c>
      <c r="O13" s="15">
        <f t="shared" si="0"/>
        <v>51</v>
      </c>
      <c r="P13" s="15">
        <f t="shared" si="1"/>
        <v>84</v>
      </c>
      <c r="R13" s="1" t="s">
        <v>9</v>
      </c>
      <c r="S13" s="17">
        <f t="shared" ref="S13:AF13" si="5">SUM(C22:C25)</f>
        <v>59</v>
      </c>
      <c r="T13" s="17">
        <f t="shared" si="5"/>
        <v>13</v>
      </c>
      <c r="U13" s="17">
        <f t="shared" si="5"/>
        <v>20</v>
      </c>
      <c r="V13" s="17">
        <f t="shared" si="5"/>
        <v>102</v>
      </c>
      <c r="W13" s="17">
        <f t="shared" si="5"/>
        <v>1</v>
      </c>
      <c r="X13" s="17">
        <f t="shared" si="5"/>
        <v>0</v>
      </c>
      <c r="Y13" s="17">
        <f t="shared" si="5"/>
        <v>5</v>
      </c>
      <c r="Z13" s="17">
        <f t="shared" si="5"/>
        <v>16</v>
      </c>
      <c r="AA13" s="17">
        <f t="shared" si="5"/>
        <v>2</v>
      </c>
      <c r="AB13" s="17">
        <f t="shared" si="5"/>
        <v>26</v>
      </c>
      <c r="AC13" s="17">
        <f t="shared" si="5"/>
        <v>84</v>
      </c>
      <c r="AD13" s="17">
        <f t="shared" si="5"/>
        <v>0</v>
      </c>
      <c r="AE13" s="31">
        <f t="shared" si="5"/>
        <v>244</v>
      </c>
      <c r="AF13" s="31">
        <f t="shared" si="5"/>
        <v>328</v>
      </c>
    </row>
    <row r="14" spans="2:32" ht="23.1" customHeight="1" x14ac:dyDescent="0.25">
      <c r="B14" s="23" t="s">
        <v>41</v>
      </c>
      <c r="C14" s="50">
        <v>13</v>
      </c>
      <c r="D14" s="50">
        <v>8</v>
      </c>
      <c r="E14" s="50">
        <v>3</v>
      </c>
      <c r="F14" s="50">
        <v>19</v>
      </c>
      <c r="G14" s="50">
        <v>0</v>
      </c>
      <c r="H14" s="50">
        <v>0</v>
      </c>
      <c r="I14" s="50">
        <v>5</v>
      </c>
      <c r="J14" s="50">
        <v>3</v>
      </c>
      <c r="K14" s="50">
        <v>0</v>
      </c>
      <c r="L14" s="50">
        <v>6</v>
      </c>
      <c r="M14" s="50">
        <v>20</v>
      </c>
      <c r="N14" s="50">
        <v>0</v>
      </c>
      <c r="O14" s="15">
        <f t="shared" si="0"/>
        <v>57</v>
      </c>
      <c r="P14" s="15">
        <f t="shared" si="1"/>
        <v>77</v>
      </c>
      <c r="R14" s="1" t="s">
        <v>10</v>
      </c>
      <c r="S14" s="17">
        <f t="shared" ref="S14:AF14" si="6">SUM(C26:C29)</f>
        <v>64</v>
      </c>
      <c r="T14" s="17">
        <f t="shared" si="6"/>
        <v>32</v>
      </c>
      <c r="U14" s="17">
        <f t="shared" si="6"/>
        <v>25</v>
      </c>
      <c r="V14" s="17">
        <f t="shared" si="6"/>
        <v>108</v>
      </c>
      <c r="W14" s="17">
        <f t="shared" si="6"/>
        <v>3</v>
      </c>
      <c r="X14" s="17">
        <f t="shared" si="6"/>
        <v>2</v>
      </c>
      <c r="Y14" s="17">
        <f t="shared" si="6"/>
        <v>8</v>
      </c>
      <c r="Z14" s="17">
        <f t="shared" si="6"/>
        <v>22</v>
      </c>
      <c r="AA14" s="17">
        <f t="shared" si="6"/>
        <v>4</v>
      </c>
      <c r="AB14" s="17">
        <f t="shared" si="6"/>
        <v>40</v>
      </c>
      <c r="AC14" s="17">
        <f t="shared" si="6"/>
        <v>60</v>
      </c>
      <c r="AD14" s="17">
        <f t="shared" si="6"/>
        <v>0</v>
      </c>
      <c r="AE14" s="31">
        <f t="shared" si="6"/>
        <v>308</v>
      </c>
      <c r="AF14" s="31">
        <f t="shared" si="6"/>
        <v>368</v>
      </c>
    </row>
    <row r="15" spans="2:32" ht="23.1" customHeight="1" x14ac:dyDescent="0.25">
      <c r="B15" s="23" t="s">
        <v>42</v>
      </c>
      <c r="C15" s="50">
        <v>12</v>
      </c>
      <c r="D15" s="50">
        <v>5</v>
      </c>
      <c r="E15" s="50">
        <v>1</v>
      </c>
      <c r="F15" s="50">
        <v>29</v>
      </c>
      <c r="G15" s="50">
        <v>0</v>
      </c>
      <c r="H15" s="50">
        <v>0</v>
      </c>
      <c r="I15" s="50">
        <v>2</v>
      </c>
      <c r="J15" s="50">
        <v>0</v>
      </c>
      <c r="K15" s="50">
        <v>2</v>
      </c>
      <c r="L15" s="50">
        <v>9</v>
      </c>
      <c r="M15" s="50">
        <v>20</v>
      </c>
      <c r="N15" s="50">
        <v>0</v>
      </c>
      <c r="O15" s="15">
        <f t="shared" si="0"/>
        <v>60</v>
      </c>
      <c r="P15" s="15">
        <f t="shared" si="1"/>
        <v>80</v>
      </c>
      <c r="R15" s="1" t="s">
        <v>11</v>
      </c>
      <c r="S15" s="17">
        <f t="shared" ref="S15:AF15" si="7">SUM(C30:C33)</f>
        <v>75</v>
      </c>
      <c r="T15" s="17">
        <f t="shared" si="7"/>
        <v>23</v>
      </c>
      <c r="U15" s="17">
        <f t="shared" si="7"/>
        <v>13</v>
      </c>
      <c r="V15" s="17">
        <f t="shared" si="7"/>
        <v>103</v>
      </c>
      <c r="W15" s="17">
        <f t="shared" si="7"/>
        <v>1</v>
      </c>
      <c r="X15" s="17">
        <f t="shared" si="7"/>
        <v>2</v>
      </c>
      <c r="Y15" s="17">
        <f t="shared" si="7"/>
        <v>8</v>
      </c>
      <c r="Z15" s="17">
        <f t="shared" si="7"/>
        <v>39</v>
      </c>
      <c r="AA15" s="17">
        <f t="shared" si="7"/>
        <v>3</v>
      </c>
      <c r="AB15" s="17">
        <f t="shared" si="7"/>
        <v>44</v>
      </c>
      <c r="AC15" s="17">
        <f t="shared" si="7"/>
        <v>81</v>
      </c>
      <c r="AD15" s="17">
        <f t="shared" si="7"/>
        <v>0</v>
      </c>
      <c r="AE15" s="31">
        <f t="shared" si="7"/>
        <v>311</v>
      </c>
      <c r="AF15" s="31">
        <f t="shared" si="7"/>
        <v>392</v>
      </c>
    </row>
    <row r="16" spans="2:32" ht="23.1" customHeight="1" x14ac:dyDescent="0.25">
      <c r="B16" s="23" t="s">
        <v>43</v>
      </c>
      <c r="C16" s="50">
        <v>10</v>
      </c>
      <c r="D16" s="50">
        <v>6</v>
      </c>
      <c r="E16" s="50">
        <v>4</v>
      </c>
      <c r="F16" s="50">
        <v>27</v>
      </c>
      <c r="G16" s="50">
        <v>0</v>
      </c>
      <c r="H16" s="50">
        <v>0</v>
      </c>
      <c r="I16" s="50">
        <v>2</v>
      </c>
      <c r="J16" s="50">
        <v>13</v>
      </c>
      <c r="K16" s="50">
        <v>1</v>
      </c>
      <c r="L16" s="50">
        <v>4</v>
      </c>
      <c r="M16" s="50">
        <v>15</v>
      </c>
      <c r="N16" s="50">
        <v>0</v>
      </c>
      <c r="O16" s="15">
        <f t="shared" si="0"/>
        <v>67</v>
      </c>
      <c r="P16" s="15">
        <f t="shared" si="1"/>
        <v>82</v>
      </c>
      <c r="R16" s="1" t="s">
        <v>12</v>
      </c>
      <c r="S16" s="17">
        <f t="shared" ref="S16:AF16" si="8">SUM(C34:C37)</f>
        <v>53</v>
      </c>
      <c r="T16" s="17">
        <f t="shared" si="8"/>
        <v>24</v>
      </c>
      <c r="U16" s="17">
        <f t="shared" si="8"/>
        <v>20</v>
      </c>
      <c r="V16" s="17">
        <f t="shared" si="8"/>
        <v>108</v>
      </c>
      <c r="W16" s="17">
        <f t="shared" si="8"/>
        <v>2</v>
      </c>
      <c r="X16" s="17">
        <f t="shared" si="8"/>
        <v>3</v>
      </c>
      <c r="Y16" s="17">
        <f t="shared" si="8"/>
        <v>10</v>
      </c>
      <c r="Z16" s="17">
        <f t="shared" si="8"/>
        <v>29</v>
      </c>
      <c r="AA16" s="17">
        <f t="shared" si="8"/>
        <v>2</v>
      </c>
      <c r="AB16" s="17">
        <f t="shared" si="8"/>
        <v>49</v>
      </c>
      <c r="AC16" s="17">
        <f t="shared" si="8"/>
        <v>88</v>
      </c>
      <c r="AD16" s="17">
        <f t="shared" si="8"/>
        <v>0</v>
      </c>
      <c r="AE16" s="31">
        <f t="shared" si="8"/>
        <v>300</v>
      </c>
      <c r="AF16" s="31">
        <f t="shared" si="8"/>
        <v>388</v>
      </c>
    </row>
    <row r="17" spans="2:32" ht="23.1" customHeight="1" x14ac:dyDescent="0.25">
      <c r="B17" s="23" t="s">
        <v>44</v>
      </c>
      <c r="C17" s="50">
        <v>9</v>
      </c>
      <c r="D17" s="50">
        <v>5</v>
      </c>
      <c r="E17" s="50">
        <v>2</v>
      </c>
      <c r="F17" s="50">
        <v>23</v>
      </c>
      <c r="G17" s="50">
        <v>1</v>
      </c>
      <c r="H17" s="50">
        <v>0</v>
      </c>
      <c r="I17" s="50">
        <v>2</v>
      </c>
      <c r="J17" s="50">
        <v>5</v>
      </c>
      <c r="K17" s="50">
        <v>1</v>
      </c>
      <c r="L17" s="50">
        <v>6</v>
      </c>
      <c r="M17" s="50">
        <v>16</v>
      </c>
      <c r="N17" s="50">
        <v>0</v>
      </c>
      <c r="O17" s="15">
        <f t="shared" si="0"/>
        <v>54</v>
      </c>
      <c r="P17" s="15">
        <f t="shared" si="1"/>
        <v>70</v>
      </c>
      <c r="R17" s="1" t="s">
        <v>13</v>
      </c>
      <c r="S17" s="17">
        <f t="shared" ref="S17:AF17" si="9">SUM(C38:C41)</f>
        <v>45</v>
      </c>
      <c r="T17" s="17">
        <f t="shared" si="9"/>
        <v>24</v>
      </c>
      <c r="U17" s="17">
        <f t="shared" si="9"/>
        <v>17</v>
      </c>
      <c r="V17" s="17">
        <f t="shared" si="9"/>
        <v>123</v>
      </c>
      <c r="W17" s="17">
        <f t="shared" si="9"/>
        <v>3</v>
      </c>
      <c r="X17" s="17">
        <f t="shared" si="9"/>
        <v>4</v>
      </c>
      <c r="Y17" s="17">
        <f t="shared" si="9"/>
        <v>16</v>
      </c>
      <c r="Z17" s="17">
        <f t="shared" si="9"/>
        <v>31</v>
      </c>
      <c r="AA17" s="17">
        <f t="shared" si="9"/>
        <v>7</v>
      </c>
      <c r="AB17" s="17">
        <f t="shared" si="9"/>
        <v>46</v>
      </c>
      <c r="AC17" s="17">
        <f t="shared" si="9"/>
        <v>61</v>
      </c>
      <c r="AD17" s="17">
        <f t="shared" si="9"/>
        <v>0</v>
      </c>
      <c r="AE17" s="31">
        <f t="shared" si="9"/>
        <v>316</v>
      </c>
      <c r="AF17" s="31">
        <f t="shared" si="9"/>
        <v>377</v>
      </c>
    </row>
    <row r="18" spans="2:32" ht="23.1" customHeight="1" x14ac:dyDescent="0.25">
      <c r="B18" s="23" t="s">
        <v>45</v>
      </c>
      <c r="C18" s="50">
        <v>7</v>
      </c>
      <c r="D18" s="50">
        <v>9</v>
      </c>
      <c r="E18" s="50">
        <v>4</v>
      </c>
      <c r="F18" s="50">
        <v>33</v>
      </c>
      <c r="G18" s="50">
        <v>1</v>
      </c>
      <c r="H18" s="50">
        <v>1</v>
      </c>
      <c r="I18" s="50">
        <v>1</v>
      </c>
      <c r="J18" s="50">
        <v>11</v>
      </c>
      <c r="K18" s="50">
        <v>2</v>
      </c>
      <c r="L18" s="50">
        <v>8</v>
      </c>
      <c r="M18" s="50">
        <v>32</v>
      </c>
      <c r="N18" s="50">
        <v>0</v>
      </c>
      <c r="O18" s="15">
        <f t="shared" si="0"/>
        <v>77</v>
      </c>
      <c r="P18" s="15">
        <f t="shared" si="1"/>
        <v>109</v>
      </c>
      <c r="R18" s="1" t="s">
        <v>14</v>
      </c>
      <c r="S18" s="17">
        <f t="shared" ref="S18:AF18" si="10">SUM(C42:C45)</f>
        <v>67</v>
      </c>
      <c r="T18" s="17">
        <f t="shared" si="10"/>
        <v>29</v>
      </c>
      <c r="U18" s="17">
        <f t="shared" si="10"/>
        <v>13</v>
      </c>
      <c r="V18" s="17">
        <f t="shared" si="10"/>
        <v>129</v>
      </c>
      <c r="W18" s="17">
        <f t="shared" si="10"/>
        <v>1</v>
      </c>
      <c r="X18" s="17">
        <f t="shared" si="10"/>
        <v>3</v>
      </c>
      <c r="Y18" s="17">
        <f t="shared" si="10"/>
        <v>15</v>
      </c>
      <c r="Z18" s="17">
        <f t="shared" si="10"/>
        <v>43</v>
      </c>
      <c r="AA18" s="17">
        <f t="shared" si="10"/>
        <v>12</v>
      </c>
      <c r="AB18" s="17">
        <f t="shared" si="10"/>
        <v>72</v>
      </c>
      <c r="AC18" s="17">
        <f t="shared" si="10"/>
        <v>75</v>
      </c>
      <c r="AD18" s="17">
        <f t="shared" si="10"/>
        <v>0</v>
      </c>
      <c r="AE18" s="31">
        <f t="shared" si="10"/>
        <v>384</v>
      </c>
      <c r="AF18" s="31">
        <f t="shared" si="10"/>
        <v>459</v>
      </c>
    </row>
    <row r="19" spans="2:32" ht="23.1" customHeight="1" x14ac:dyDescent="0.25">
      <c r="B19" s="23" t="s">
        <v>46</v>
      </c>
      <c r="C19" s="50">
        <v>22</v>
      </c>
      <c r="D19" s="50">
        <v>9</v>
      </c>
      <c r="E19" s="50">
        <v>10</v>
      </c>
      <c r="F19" s="50">
        <v>26</v>
      </c>
      <c r="G19" s="50">
        <v>0</v>
      </c>
      <c r="H19" s="50">
        <v>3</v>
      </c>
      <c r="I19" s="50">
        <v>0</v>
      </c>
      <c r="J19" s="50">
        <v>5</v>
      </c>
      <c r="K19" s="50">
        <v>1</v>
      </c>
      <c r="L19" s="50">
        <v>10</v>
      </c>
      <c r="M19" s="50">
        <v>19</v>
      </c>
      <c r="N19" s="50">
        <v>0</v>
      </c>
      <c r="O19" s="15">
        <f t="shared" si="0"/>
        <v>86</v>
      </c>
      <c r="P19" s="15">
        <f t="shared" si="1"/>
        <v>105</v>
      </c>
      <c r="R19" s="1" t="s">
        <v>15</v>
      </c>
      <c r="S19" s="17">
        <f t="shared" ref="S19:AF19" si="11">SUM(C46:C49)</f>
        <v>41</v>
      </c>
      <c r="T19" s="17">
        <f t="shared" si="11"/>
        <v>28</v>
      </c>
      <c r="U19" s="17">
        <f t="shared" si="11"/>
        <v>14</v>
      </c>
      <c r="V19" s="17">
        <f t="shared" si="11"/>
        <v>111</v>
      </c>
      <c r="W19" s="17">
        <f t="shared" si="11"/>
        <v>4</v>
      </c>
      <c r="X19" s="17">
        <f t="shared" si="11"/>
        <v>1</v>
      </c>
      <c r="Y19" s="17">
        <f t="shared" si="11"/>
        <v>12</v>
      </c>
      <c r="Z19" s="17">
        <f t="shared" si="11"/>
        <v>43</v>
      </c>
      <c r="AA19" s="17">
        <f t="shared" si="11"/>
        <v>11</v>
      </c>
      <c r="AB19" s="17">
        <f t="shared" si="11"/>
        <v>78</v>
      </c>
      <c r="AC19" s="17">
        <f t="shared" si="11"/>
        <v>61</v>
      </c>
      <c r="AD19" s="17">
        <f t="shared" si="11"/>
        <v>0</v>
      </c>
      <c r="AE19" s="31">
        <f t="shared" si="11"/>
        <v>343</v>
      </c>
      <c r="AF19" s="31">
        <f t="shared" si="11"/>
        <v>404</v>
      </c>
    </row>
    <row r="20" spans="2:32" ht="23.1" customHeight="1" x14ac:dyDescent="0.25">
      <c r="B20" s="23" t="s">
        <v>47</v>
      </c>
      <c r="C20" s="50">
        <v>16</v>
      </c>
      <c r="D20" s="50">
        <v>9</v>
      </c>
      <c r="E20" s="50">
        <v>3</v>
      </c>
      <c r="F20" s="50">
        <v>36</v>
      </c>
      <c r="G20" s="50">
        <v>0</v>
      </c>
      <c r="H20" s="50">
        <v>0</v>
      </c>
      <c r="I20" s="50">
        <v>1</v>
      </c>
      <c r="J20" s="50">
        <v>2</v>
      </c>
      <c r="K20" s="50">
        <v>1</v>
      </c>
      <c r="L20" s="50">
        <v>3</v>
      </c>
      <c r="M20" s="50">
        <v>26</v>
      </c>
      <c r="N20" s="50">
        <v>1</v>
      </c>
      <c r="O20" s="15">
        <f t="shared" si="0"/>
        <v>72</v>
      </c>
      <c r="P20" s="15">
        <f t="shared" si="1"/>
        <v>98</v>
      </c>
      <c r="R20" s="1" t="s">
        <v>16</v>
      </c>
      <c r="S20" s="17">
        <f t="shared" ref="S20:AF20" si="12">SUM(C50:C53)</f>
        <v>49</v>
      </c>
      <c r="T20" s="17">
        <f t="shared" si="12"/>
        <v>17</v>
      </c>
      <c r="U20" s="17">
        <f t="shared" si="12"/>
        <v>19</v>
      </c>
      <c r="V20" s="17">
        <f t="shared" si="12"/>
        <v>121</v>
      </c>
      <c r="W20" s="17">
        <f t="shared" si="12"/>
        <v>3</v>
      </c>
      <c r="X20" s="17">
        <f t="shared" si="12"/>
        <v>4</v>
      </c>
      <c r="Y20" s="17">
        <f t="shared" si="12"/>
        <v>13</v>
      </c>
      <c r="Z20" s="17">
        <f t="shared" si="12"/>
        <v>33</v>
      </c>
      <c r="AA20" s="17">
        <f t="shared" si="12"/>
        <v>7</v>
      </c>
      <c r="AB20" s="17">
        <f t="shared" si="12"/>
        <v>63</v>
      </c>
      <c r="AC20" s="17">
        <f t="shared" si="12"/>
        <v>67</v>
      </c>
      <c r="AD20" s="17">
        <f t="shared" si="12"/>
        <v>1</v>
      </c>
      <c r="AE20" s="31">
        <f t="shared" si="12"/>
        <v>330</v>
      </c>
      <c r="AF20" s="31">
        <f t="shared" si="12"/>
        <v>397</v>
      </c>
    </row>
    <row r="21" spans="2:32" ht="23.1" customHeight="1" x14ac:dyDescent="0.25">
      <c r="B21" s="23" t="s">
        <v>48</v>
      </c>
      <c r="C21" s="50">
        <v>11</v>
      </c>
      <c r="D21" s="50">
        <v>11</v>
      </c>
      <c r="E21" s="50">
        <v>9</v>
      </c>
      <c r="F21" s="50">
        <v>30</v>
      </c>
      <c r="G21" s="50">
        <v>3</v>
      </c>
      <c r="H21" s="50">
        <v>1</v>
      </c>
      <c r="I21" s="50">
        <v>5</v>
      </c>
      <c r="J21" s="50">
        <v>4</v>
      </c>
      <c r="K21" s="50">
        <v>0</v>
      </c>
      <c r="L21" s="50">
        <v>4</v>
      </c>
      <c r="M21" s="50">
        <v>14</v>
      </c>
      <c r="N21" s="50">
        <v>0</v>
      </c>
      <c r="O21" s="15">
        <f t="shared" si="0"/>
        <v>78</v>
      </c>
      <c r="P21" s="15">
        <f t="shared" si="1"/>
        <v>92</v>
      </c>
      <c r="R21" s="36" t="s">
        <v>20</v>
      </c>
      <c r="S21" s="34">
        <f t="shared" ref="S21:AF21" si="13">SUM(C54:C57)</f>
        <v>41</v>
      </c>
      <c r="T21" s="17">
        <f t="shared" si="13"/>
        <v>35</v>
      </c>
      <c r="U21" s="17">
        <f t="shared" si="13"/>
        <v>12</v>
      </c>
      <c r="V21" s="17">
        <f t="shared" si="13"/>
        <v>127</v>
      </c>
      <c r="W21" s="17">
        <f t="shared" si="13"/>
        <v>4</v>
      </c>
      <c r="X21" s="17">
        <f t="shared" si="13"/>
        <v>5</v>
      </c>
      <c r="Y21" s="17">
        <f t="shared" si="13"/>
        <v>15</v>
      </c>
      <c r="Z21" s="17">
        <f t="shared" si="13"/>
        <v>26</v>
      </c>
      <c r="AA21" s="17">
        <f t="shared" si="13"/>
        <v>5</v>
      </c>
      <c r="AB21" s="17">
        <f t="shared" si="13"/>
        <v>52</v>
      </c>
      <c r="AC21" s="17">
        <f t="shared" si="13"/>
        <v>99</v>
      </c>
      <c r="AD21" s="17">
        <f t="shared" si="13"/>
        <v>1</v>
      </c>
      <c r="AE21" s="31">
        <f t="shared" si="13"/>
        <v>323</v>
      </c>
      <c r="AF21" s="31">
        <f t="shared" si="13"/>
        <v>422</v>
      </c>
    </row>
    <row r="22" spans="2:32" ht="23.1" customHeight="1" x14ac:dyDescent="0.25">
      <c r="B22" s="23" t="s">
        <v>49</v>
      </c>
      <c r="C22" s="50">
        <v>20</v>
      </c>
      <c r="D22" s="50">
        <v>4</v>
      </c>
      <c r="E22" s="50">
        <v>6</v>
      </c>
      <c r="F22" s="50">
        <v>31</v>
      </c>
      <c r="G22" s="50">
        <v>0</v>
      </c>
      <c r="H22" s="50">
        <v>0</v>
      </c>
      <c r="I22" s="50">
        <v>2</v>
      </c>
      <c r="J22" s="50">
        <v>3</v>
      </c>
      <c r="K22" s="50">
        <v>0</v>
      </c>
      <c r="L22" s="50">
        <v>6</v>
      </c>
      <c r="M22" s="50">
        <v>17</v>
      </c>
      <c r="N22" s="50">
        <v>0</v>
      </c>
      <c r="O22" s="15">
        <f t="shared" si="0"/>
        <v>72</v>
      </c>
      <c r="P22" s="15">
        <f t="shared" si="1"/>
        <v>89</v>
      </c>
      <c r="R22" s="38" t="s">
        <v>90</v>
      </c>
      <c r="S22" s="39">
        <f>MAX(S10:S12)</f>
        <v>56</v>
      </c>
      <c r="T22" s="39">
        <f t="shared" ref="T22:AF22" si="14">MAX(T10:T12)</f>
        <v>38</v>
      </c>
      <c r="U22" s="39">
        <f t="shared" si="14"/>
        <v>26</v>
      </c>
      <c r="V22" s="39">
        <f t="shared" si="14"/>
        <v>125</v>
      </c>
      <c r="W22" s="39">
        <f t="shared" si="14"/>
        <v>4</v>
      </c>
      <c r="X22" s="39">
        <f t="shared" si="14"/>
        <v>5</v>
      </c>
      <c r="Y22" s="39">
        <f t="shared" si="14"/>
        <v>11</v>
      </c>
      <c r="Z22" s="39">
        <f t="shared" si="14"/>
        <v>22</v>
      </c>
      <c r="AA22" s="39">
        <f t="shared" si="14"/>
        <v>4</v>
      </c>
      <c r="AB22" s="39">
        <f t="shared" si="14"/>
        <v>25</v>
      </c>
      <c r="AC22" s="39">
        <f t="shared" si="14"/>
        <v>91</v>
      </c>
      <c r="AD22" s="39">
        <f t="shared" si="14"/>
        <v>1</v>
      </c>
      <c r="AE22" s="40">
        <f t="shared" si="14"/>
        <v>313</v>
      </c>
      <c r="AF22" s="40">
        <f t="shared" si="14"/>
        <v>404</v>
      </c>
    </row>
    <row r="23" spans="2:32" ht="23.1" customHeight="1" x14ac:dyDescent="0.25">
      <c r="B23" s="23" t="s">
        <v>50</v>
      </c>
      <c r="C23" s="50">
        <v>10</v>
      </c>
      <c r="D23" s="50">
        <v>5</v>
      </c>
      <c r="E23" s="50">
        <v>4</v>
      </c>
      <c r="F23" s="50">
        <v>18</v>
      </c>
      <c r="G23" s="50">
        <v>1</v>
      </c>
      <c r="H23" s="50">
        <v>0</v>
      </c>
      <c r="I23" s="50">
        <v>0</v>
      </c>
      <c r="J23" s="50">
        <v>3</v>
      </c>
      <c r="K23" s="50">
        <v>0</v>
      </c>
      <c r="L23" s="50">
        <v>6</v>
      </c>
      <c r="M23" s="50">
        <v>25</v>
      </c>
      <c r="N23" s="50">
        <v>0</v>
      </c>
      <c r="O23" s="15">
        <f t="shared" si="0"/>
        <v>47</v>
      </c>
      <c r="P23" s="15">
        <f t="shared" si="1"/>
        <v>72</v>
      </c>
      <c r="R23" s="38" t="s">
        <v>91</v>
      </c>
      <c r="S23" s="39">
        <f>MAX(S13:S18)</f>
        <v>75</v>
      </c>
      <c r="T23" s="39">
        <f t="shared" ref="T23:AF23" si="15">MAX(T13:T18)</f>
        <v>32</v>
      </c>
      <c r="U23" s="39">
        <f t="shared" si="15"/>
        <v>25</v>
      </c>
      <c r="V23" s="39">
        <f t="shared" si="15"/>
        <v>129</v>
      </c>
      <c r="W23" s="39">
        <f t="shared" si="15"/>
        <v>3</v>
      </c>
      <c r="X23" s="39">
        <f t="shared" si="15"/>
        <v>4</v>
      </c>
      <c r="Y23" s="39">
        <f t="shared" si="15"/>
        <v>16</v>
      </c>
      <c r="Z23" s="39">
        <f t="shared" si="15"/>
        <v>43</v>
      </c>
      <c r="AA23" s="39">
        <f t="shared" si="15"/>
        <v>12</v>
      </c>
      <c r="AB23" s="39">
        <f t="shared" si="15"/>
        <v>72</v>
      </c>
      <c r="AC23" s="39">
        <f t="shared" si="15"/>
        <v>88</v>
      </c>
      <c r="AD23" s="39">
        <f t="shared" si="15"/>
        <v>0</v>
      </c>
      <c r="AE23" s="40">
        <f t="shared" si="15"/>
        <v>384</v>
      </c>
      <c r="AF23" s="40">
        <f t="shared" si="15"/>
        <v>459</v>
      </c>
    </row>
    <row r="24" spans="2:32" ht="23.1" customHeight="1" x14ac:dyDescent="0.25">
      <c r="B24" s="23" t="s">
        <v>51</v>
      </c>
      <c r="C24" s="50">
        <v>19</v>
      </c>
      <c r="D24" s="50">
        <v>0</v>
      </c>
      <c r="E24" s="50">
        <v>7</v>
      </c>
      <c r="F24" s="50">
        <v>23</v>
      </c>
      <c r="G24" s="50">
        <v>0</v>
      </c>
      <c r="H24" s="50">
        <v>0</v>
      </c>
      <c r="I24" s="50">
        <v>2</v>
      </c>
      <c r="J24" s="50">
        <v>6</v>
      </c>
      <c r="K24" s="50">
        <v>1</v>
      </c>
      <c r="L24" s="50">
        <v>8</v>
      </c>
      <c r="M24" s="50">
        <v>23</v>
      </c>
      <c r="N24" s="50">
        <v>0</v>
      </c>
      <c r="O24" s="15">
        <f t="shared" si="0"/>
        <v>66</v>
      </c>
      <c r="P24" s="15">
        <f t="shared" si="1"/>
        <v>89</v>
      </c>
      <c r="R24" s="38" t="s">
        <v>92</v>
      </c>
      <c r="S24" s="39">
        <f>MAX(S19:S21)</f>
        <v>49</v>
      </c>
      <c r="T24" s="39">
        <f t="shared" ref="T24:AF24" si="16">MAX(T19:T21)</f>
        <v>35</v>
      </c>
      <c r="U24" s="39">
        <f t="shared" si="16"/>
        <v>19</v>
      </c>
      <c r="V24" s="39">
        <f t="shared" si="16"/>
        <v>127</v>
      </c>
      <c r="W24" s="39">
        <f t="shared" si="16"/>
        <v>4</v>
      </c>
      <c r="X24" s="39">
        <f t="shared" si="16"/>
        <v>5</v>
      </c>
      <c r="Y24" s="39">
        <f t="shared" si="16"/>
        <v>15</v>
      </c>
      <c r="Z24" s="39">
        <f t="shared" si="16"/>
        <v>43</v>
      </c>
      <c r="AA24" s="39">
        <f t="shared" si="16"/>
        <v>11</v>
      </c>
      <c r="AB24" s="39">
        <f t="shared" si="16"/>
        <v>78</v>
      </c>
      <c r="AC24" s="39">
        <f t="shared" si="16"/>
        <v>99</v>
      </c>
      <c r="AD24" s="39">
        <f t="shared" si="16"/>
        <v>1</v>
      </c>
      <c r="AE24" s="40">
        <f t="shared" si="16"/>
        <v>343</v>
      </c>
      <c r="AF24" s="40">
        <f t="shared" si="16"/>
        <v>422</v>
      </c>
    </row>
    <row r="25" spans="2:32" ht="23.1" customHeight="1" x14ac:dyDescent="0.25">
      <c r="B25" s="23" t="s">
        <v>52</v>
      </c>
      <c r="C25" s="50">
        <v>10</v>
      </c>
      <c r="D25" s="50">
        <v>4</v>
      </c>
      <c r="E25" s="50">
        <v>3</v>
      </c>
      <c r="F25" s="50">
        <v>30</v>
      </c>
      <c r="G25" s="50">
        <v>0</v>
      </c>
      <c r="H25" s="50">
        <v>0</v>
      </c>
      <c r="I25" s="50">
        <v>1</v>
      </c>
      <c r="J25" s="50">
        <v>4</v>
      </c>
      <c r="K25" s="50">
        <v>1</v>
      </c>
      <c r="L25" s="50">
        <v>6</v>
      </c>
      <c r="M25" s="50">
        <v>19</v>
      </c>
      <c r="N25" s="50">
        <v>0</v>
      </c>
      <c r="O25" s="15">
        <f t="shared" si="0"/>
        <v>59</v>
      </c>
      <c r="P25" s="15">
        <f t="shared" si="1"/>
        <v>78</v>
      </c>
      <c r="R25" s="37" t="s">
        <v>85</v>
      </c>
      <c r="S25" s="35">
        <f t="shared" ref="S25:AF25" si="17">SUM(S10:S12)</f>
        <v>134</v>
      </c>
      <c r="T25" s="16">
        <f t="shared" si="17"/>
        <v>80</v>
      </c>
      <c r="U25" s="16">
        <f t="shared" si="17"/>
        <v>49</v>
      </c>
      <c r="V25" s="16">
        <f t="shared" si="17"/>
        <v>323</v>
      </c>
      <c r="W25" s="16">
        <f t="shared" si="17"/>
        <v>7</v>
      </c>
      <c r="X25" s="16">
        <f t="shared" si="17"/>
        <v>6</v>
      </c>
      <c r="Y25" s="16">
        <f t="shared" si="17"/>
        <v>24</v>
      </c>
      <c r="Z25" s="16">
        <f t="shared" si="17"/>
        <v>57</v>
      </c>
      <c r="AA25" s="16">
        <f t="shared" si="17"/>
        <v>11</v>
      </c>
      <c r="AB25" s="16">
        <f t="shared" si="17"/>
        <v>70</v>
      </c>
      <c r="AC25" s="16">
        <f t="shared" si="17"/>
        <v>253</v>
      </c>
      <c r="AD25" s="16">
        <f t="shared" si="17"/>
        <v>1</v>
      </c>
      <c r="AE25" s="32">
        <f t="shared" si="17"/>
        <v>762</v>
      </c>
      <c r="AF25" s="32">
        <f t="shared" si="17"/>
        <v>1015</v>
      </c>
    </row>
    <row r="26" spans="2:32" ht="23.1" customHeight="1" x14ac:dyDescent="0.25">
      <c r="B26" s="23" t="s">
        <v>53</v>
      </c>
      <c r="C26" s="50">
        <v>22</v>
      </c>
      <c r="D26" s="50">
        <v>8</v>
      </c>
      <c r="E26" s="50">
        <v>8</v>
      </c>
      <c r="F26" s="50">
        <v>21</v>
      </c>
      <c r="G26" s="50">
        <v>2</v>
      </c>
      <c r="H26" s="50">
        <v>1</v>
      </c>
      <c r="I26" s="50">
        <v>3</v>
      </c>
      <c r="J26" s="50">
        <v>7</v>
      </c>
      <c r="K26" s="50">
        <v>1</v>
      </c>
      <c r="L26" s="50">
        <v>9</v>
      </c>
      <c r="M26" s="50">
        <v>11</v>
      </c>
      <c r="N26" s="50">
        <v>0</v>
      </c>
      <c r="O26" s="15">
        <f t="shared" si="0"/>
        <v>82</v>
      </c>
      <c r="P26" s="15">
        <f t="shared" si="1"/>
        <v>93</v>
      </c>
      <c r="R26" s="28" t="s">
        <v>86</v>
      </c>
      <c r="S26" s="16">
        <f t="shared" ref="S26:AF26" si="18">SUM(S13:S18)</f>
        <v>363</v>
      </c>
      <c r="T26" s="16">
        <f t="shared" si="18"/>
        <v>145</v>
      </c>
      <c r="U26" s="16">
        <f t="shared" si="18"/>
        <v>108</v>
      </c>
      <c r="V26" s="16">
        <f t="shared" si="18"/>
        <v>673</v>
      </c>
      <c r="W26" s="16">
        <f t="shared" si="18"/>
        <v>11</v>
      </c>
      <c r="X26" s="16">
        <f t="shared" si="18"/>
        <v>14</v>
      </c>
      <c r="Y26" s="16">
        <f t="shared" si="18"/>
        <v>62</v>
      </c>
      <c r="Z26" s="16">
        <f t="shared" si="18"/>
        <v>180</v>
      </c>
      <c r="AA26" s="16">
        <f t="shared" si="18"/>
        <v>30</v>
      </c>
      <c r="AB26" s="16">
        <f t="shared" si="18"/>
        <v>277</v>
      </c>
      <c r="AC26" s="16">
        <f t="shared" si="18"/>
        <v>449</v>
      </c>
      <c r="AD26" s="16">
        <f t="shared" si="18"/>
        <v>0</v>
      </c>
      <c r="AE26" s="32">
        <f t="shared" si="18"/>
        <v>1863</v>
      </c>
      <c r="AF26" s="32">
        <f t="shared" si="18"/>
        <v>2312</v>
      </c>
    </row>
    <row r="27" spans="2:32" ht="23.1" customHeight="1" x14ac:dyDescent="0.25">
      <c r="B27" s="23" t="s">
        <v>54</v>
      </c>
      <c r="C27" s="50">
        <v>14</v>
      </c>
      <c r="D27" s="50">
        <v>7</v>
      </c>
      <c r="E27" s="50">
        <v>8</v>
      </c>
      <c r="F27" s="50">
        <v>30</v>
      </c>
      <c r="G27" s="50">
        <v>0</v>
      </c>
      <c r="H27" s="50">
        <v>1</v>
      </c>
      <c r="I27" s="50">
        <v>1</v>
      </c>
      <c r="J27" s="50">
        <v>5</v>
      </c>
      <c r="K27" s="50">
        <v>0</v>
      </c>
      <c r="L27" s="50">
        <v>7</v>
      </c>
      <c r="M27" s="50">
        <v>15</v>
      </c>
      <c r="N27" s="50">
        <v>0</v>
      </c>
      <c r="O27" s="15">
        <f t="shared" si="0"/>
        <v>73</v>
      </c>
      <c r="P27" s="15">
        <f t="shared" si="1"/>
        <v>88</v>
      </c>
      <c r="R27" s="29" t="s">
        <v>87</v>
      </c>
      <c r="S27" s="16">
        <f t="shared" ref="S27:AF27" si="19">SUM(S19:S21)</f>
        <v>131</v>
      </c>
      <c r="T27" s="16">
        <f t="shared" si="19"/>
        <v>80</v>
      </c>
      <c r="U27" s="16">
        <f t="shared" si="19"/>
        <v>45</v>
      </c>
      <c r="V27" s="16">
        <f t="shared" si="19"/>
        <v>359</v>
      </c>
      <c r="W27" s="16">
        <f t="shared" si="19"/>
        <v>11</v>
      </c>
      <c r="X27" s="16">
        <f t="shared" si="19"/>
        <v>10</v>
      </c>
      <c r="Y27" s="16">
        <f t="shared" si="19"/>
        <v>40</v>
      </c>
      <c r="Z27" s="16">
        <f t="shared" si="19"/>
        <v>102</v>
      </c>
      <c r="AA27" s="16">
        <f t="shared" si="19"/>
        <v>23</v>
      </c>
      <c r="AB27" s="16">
        <f t="shared" si="19"/>
        <v>193</v>
      </c>
      <c r="AC27" s="16">
        <f t="shared" si="19"/>
        <v>227</v>
      </c>
      <c r="AD27" s="16">
        <f t="shared" si="19"/>
        <v>2</v>
      </c>
      <c r="AE27" s="32">
        <f t="shared" si="19"/>
        <v>996</v>
      </c>
      <c r="AF27" s="32">
        <f t="shared" si="19"/>
        <v>1223</v>
      </c>
    </row>
    <row r="28" spans="2:32" ht="23.1" customHeight="1" x14ac:dyDescent="0.25">
      <c r="B28" s="23" t="s">
        <v>55</v>
      </c>
      <c r="C28" s="50">
        <v>11</v>
      </c>
      <c r="D28" s="50">
        <v>11</v>
      </c>
      <c r="E28" s="50">
        <v>3</v>
      </c>
      <c r="F28" s="50">
        <v>27</v>
      </c>
      <c r="G28" s="50">
        <v>0</v>
      </c>
      <c r="H28" s="50">
        <v>0</v>
      </c>
      <c r="I28" s="50">
        <v>2</v>
      </c>
      <c r="J28" s="50">
        <v>3</v>
      </c>
      <c r="K28" s="50">
        <v>3</v>
      </c>
      <c r="L28" s="50">
        <v>9</v>
      </c>
      <c r="M28" s="50">
        <v>13</v>
      </c>
      <c r="N28" s="50">
        <v>0</v>
      </c>
      <c r="O28" s="15">
        <f t="shared" si="0"/>
        <v>69</v>
      </c>
      <c r="P28" s="15">
        <f t="shared" si="1"/>
        <v>82</v>
      </c>
      <c r="R28" s="5" t="s">
        <v>17</v>
      </c>
      <c r="S28" s="16">
        <f t="shared" ref="S28:AF28" si="20">SUM(S10:S21)</f>
        <v>628</v>
      </c>
      <c r="T28" s="16">
        <f t="shared" si="20"/>
        <v>305</v>
      </c>
      <c r="U28" s="16">
        <f t="shared" si="20"/>
        <v>202</v>
      </c>
      <c r="V28" s="16">
        <f t="shared" si="20"/>
        <v>1355</v>
      </c>
      <c r="W28" s="16">
        <f t="shared" si="20"/>
        <v>29</v>
      </c>
      <c r="X28" s="16">
        <f t="shared" si="20"/>
        <v>30</v>
      </c>
      <c r="Y28" s="16">
        <f t="shared" si="20"/>
        <v>126</v>
      </c>
      <c r="Z28" s="16">
        <f t="shared" si="20"/>
        <v>339</v>
      </c>
      <c r="AA28" s="16">
        <f t="shared" si="20"/>
        <v>64</v>
      </c>
      <c r="AB28" s="16">
        <f t="shared" si="20"/>
        <v>540</v>
      </c>
      <c r="AC28" s="16">
        <f t="shared" si="20"/>
        <v>929</v>
      </c>
      <c r="AD28" s="16">
        <f t="shared" si="20"/>
        <v>3</v>
      </c>
      <c r="AE28" s="32">
        <f t="shared" si="20"/>
        <v>3621</v>
      </c>
      <c r="AF28" s="32">
        <f t="shared" si="20"/>
        <v>4550</v>
      </c>
    </row>
    <row r="29" spans="2:32" ht="23.1" customHeight="1" x14ac:dyDescent="0.25">
      <c r="B29" s="23" t="s">
        <v>56</v>
      </c>
      <c r="C29" s="50">
        <v>17</v>
      </c>
      <c r="D29" s="50">
        <v>6</v>
      </c>
      <c r="E29" s="50">
        <v>6</v>
      </c>
      <c r="F29" s="50">
        <v>30</v>
      </c>
      <c r="G29" s="50">
        <v>1</v>
      </c>
      <c r="H29" s="50">
        <v>0</v>
      </c>
      <c r="I29" s="50">
        <v>2</v>
      </c>
      <c r="J29" s="50">
        <v>7</v>
      </c>
      <c r="K29" s="50">
        <v>0</v>
      </c>
      <c r="L29" s="50">
        <v>15</v>
      </c>
      <c r="M29" s="50">
        <v>21</v>
      </c>
      <c r="N29" s="50">
        <v>0</v>
      </c>
      <c r="O29" s="15">
        <f t="shared" si="0"/>
        <v>84</v>
      </c>
      <c r="P29" s="15">
        <f t="shared" si="1"/>
        <v>105</v>
      </c>
      <c r="R29"/>
      <c r="S29" s="20"/>
      <c r="T29" s="19"/>
    </row>
    <row r="30" spans="2:32" ht="23.1" customHeight="1" x14ac:dyDescent="0.25">
      <c r="B30" s="23" t="s">
        <v>57</v>
      </c>
      <c r="C30" s="50">
        <v>15</v>
      </c>
      <c r="D30" s="50">
        <v>4</v>
      </c>
      <c r="E30" s="50">
        <v>3</v>
      </c>
      <c r="F30" s="50">
        <v>23</v>
      </c>
      <c r="G30" s="50">
        <v>0</v>
      </c>
      <c r="H30" s="50">
        <v>0</v>
      </c>
      <c r="I30" s="50">
        <v>2</v>
      </c>
      <c r="J30" s="50">
        <v>12</v>
      </c>
      <c r="K30" s="50">
        <v>0</v>
      </c>
      <c r="L30" s="50">
        <v>7</v>
      </c>
      <c r="M30" s="50">
        <v>22</v>
      </c>
      <c r="N30" s="50">
        <v>0</v>
      </c>
      <c r="O30" s="15">
        <f t="shared" si="0"/>
        <v>66</v>
      </c>
      <c r="P30" s="15">
        <f t="shared" si="1"/>
        <v>88</v>
      </c>
    </row>
    <row r="31" spans="2:32" ht="23.1" customHeight="1" x14ac:dyDescent="0.25">
      <c r="B31" s="24" t="s">
        <v>58</v>
      </c>
      <c r="C31" s="50">
        <v>20</v>
      </c>
      <c r="D31" s="50">
        <v>6</v>
      </c>
      <c r="E31" s="50">
        <v>2</v>
      </c>
      <c r="F31" s="50">
        <v>35</v>
      </c>
      <c r="G31" s="50">
        <v>1</v>
      </c>
      <c r="H31" s="50">
        <v>1</v>
      </c>
      <c r="I31" s="50">
        <v>2</v>
      </c>
      <c r="J31" s="50">
        <v>10</v>
      </c>
      <c r="K31" s="50">
        <v>2</v>
      </c>
      <c r="L31" s="50">
        <v>18</v>
      </c>
      <c r="M31" s="50">
        <v>21</v>
      </c>
      <c r="N31" s="50">
        <v>0</v>
      </c>
      <c r="O31" s="15">
        <f t="shared" si="0"/>
        <v>97</v>
      </c>
      <c r="P31" s="15">
        <f t="shared" si="1"/>
        <v>118</v>
      </c>
    </row>
    <row r="32" spans="2:32" ht="23.1" customHeight="1" x14ac:dyDescent="0.25">
      <c r="B32" s="24" t="s">
        <v>59</v>
      </c>
      <c r="C32" s="50">
        <v>24</v>
      </c>
      <c r="D32" s="50">
        <v>5</v>
      </c>
      <c r="E32" s="50">
        <v>5</v>
      </c>
      <c r="F32" s="50">
        <v>29</v>
      </c>
      <c r="G32" s="50">
        <v>0</v>
      </c>
      <c r="H32" s="50">
        <v>1</v>
      </c>
      <c r="I32" s="50">
        <v>3</v>
      </c>
      <c r="J32" s="50">
        <v>12</v>
      </c>
      <c r="K32" s="50">
        <v>1</v>
      </c>
      <c r="L32" s="50">
        <v>12</v>
      </c>
      <c r="M32" s="50">
        <v>23</v>
      </c>
      <c r="N32" s="50">
        <v>0</v>
      </c>
      <c r="O32" s="15">
        <f t="shared" si="0"/>
        <v>92</v>
      </c>
      <c r="P32" s="15">
        <f t="shared" si="1"/>
        <v>115</v>
      </c>
    </row>
    <row r="33" spans="2:20" ht="23.1" customHeight="1" x14ac:dyDescent="0.25">
      <c r="B33" s="23" t="s">
        <v>60</v>
      </c>
      <c r="C33" s="50">
        <v>16</v>
      </c>
      <c r="D33" s="50">
        <v>8</v>
      </c>
      <c r="E33" s="50">
        <v>3</v>
      </c>
      <c r="F33" s="50">
        <v>16</v>
      </c>
      <c r="G33" s="50">
        <v>0</v>
      </c>
      <c r="H33" s="50">
        <v>0</v>
      </c>
      <c r="I33" s="50">
        <v>1</v>
      </c>
      <c r="J33" s="50">
        <v>5</v>
      </c>
      <c r="K33" s="50">
        <v>0</v>
      </c>
      <c r="L33" s="50">
        <v>7</v>
      </c>
      <c r="M33" s="50">
        <v>15</v>
      </c>
      <c r="N33" s="50">
        <v>0</v>
      </c>
      <c r="O33" s="15">
        <f t="shared" si="0"/>
        <v>56</v>
      </c>
      <c r="P33" s="15">
        <f t="shared" si="1"/>
        <v>71</v>
      </c>
    </row>
    <row r="34" spans="2:20" ht="23.1" customHeight="1" x14ac:dyDescent="0.25">
      <c r="B34" s="24" t="s">
        <v>61</v>
      </c>
      <c r="C34" s="50">
        <v>11</v>
      </c>
      <c r="D34" s="50">
        <v>4</v>
      </c>
      <c r="E34" s="50">
        <v>2</v>
      </c>
      <c r="F34" s="50">
        <v>25</v>
      </c>
      <c r="G34" s="50">
        <v>1</v>
      </c>
      <c r="H34" s="50">
        <v>0</v>
      </c>
      <c r="I34" s="50">
        <v>3</v>
      </c>
      <c r="J34" s="50">
        <v>4</v>
      </c>
      <c r="K34" s="50">
        <v>0</v>
      </c>
      <c r="L34" s="50">
        <v>12</v>
      </c>
      <c r="M34" s="50">
        <v>25</v>
      </c>
      <c r="N34" s="50">
        <v>0</v>
      </c>
      <c r="O34" s="15">
        <f t="shared" si="0"/>
        <v>62</v>
      </c>
      <c r="P34" s="15">
        <f t="shared" si="1"/>
        <v>87</v>
      </c>
    </row>
    <row r="35" spans="2:20" ht="23.1" customHeight="1" x14ac:dyDescent="0.25">
      <c r="B35" s="24" t="s">
        <v>62</v>
      </c>
      <c r="C35" s="50">
        <v>9</v>
      </c>
      <c r="D35" s="50">
        <v>5</v>
      </c>
      <c r="E35" s="50">
        <v>6</v>
      </c>
      <c r="F35" s="50">
        <v>21</v>
      </c>
      <c r="G35" s="50">
        <v>0</v>
      </c>
      <c r="H35" s="50">
        <v>1</v>
      </c>
      <c r="I35" s="50">
        <v>1</v>
      </c>
      <c r="J35" s="50">
        <v>8</v>
      </c>
      <c r="K35" s="50">
        <v>1</v>
      </c>
      <c r="L35" s="50">
        <v>10</v>
      </c>
      <c r="M35" s="50">
        <v>18</v>
      </c>
      <c r="N35" s="50">
        <v>0</v>
      </c>
      <c r="O35" s="15">
        <f t="shared" si="0"/>
        <v>62</v>
      </c>
      <c r="P35" s="15">
        <f t="shared" si="1"/>
        <v>80</v>
      </c>
    </row>
    <row r="36" spans="2:20" ht="23.1" customHeight="1" x14ac:dyDescent="0.25">
      <c r="B36" s="24" t="s">
        <v>63</v>
      </c>
      <c r="C36" s="50">
        <v>21</v>
      </c>
      <c r="D36" s="50">
        <v>10</v>
      </c>
      <c r="E36" s="50">
        <v>5</v>
      </c>
      <c r="F36" s="50">
        <v>30</v>
      </c>
      <c r="G36" s="50">
        <v>0</v>
      </c>
      <c r="H36" s="50">
        <v>2</v>
      </c>
      <c r="I36" s="50">
        <v>2</v>
      </c>
      <c r="J36" s="50">
        <v>13</v>
      </c>
      <c r="K36" s="50">
        <v>0</v>
      </c>
      <c r="L36" s="50">
        <v>12</v>
      </c>
      <c r="M36" s="50">
        <v>24</v>
      </c>
      <c r="N36" s="50">
        <v>0</v>
      </c>
      <c r="O36" s="15">
        <f t="shared" si="0"/>
        <v>95</v>
      </c>
      <c r="P36" s="15">
        <f t="shared" si="1"/>
        <v>119</v>
      </c>
    </row>
    <row r="37" spans="2:20" ht="23.1" customHeight="1" x14ac:dyDescent="0.25">
      <c r="B37" s="23" t="s">
        <v>64</v>
      </c>
      <c r="C37" s="50">
        <v>12</v>
      </c>
      <c r="D37" s="50">
        <v>5</v>
      </c>
      <c r="E37" s="50">
        <v>7</v>
      </c>
      <c r="F37" s="50">
        <v>32</v>
      </c>
      <c r="G37" s="50">
        <v>1</v>
      </c>
      <c r="H37" s="50">
        <v>0</v>
      </c>
      <c r="I37" s="50">
        <v>4</v>
      </c>
      <c r="J37" s="50">
        <v>4</v>
      </c>
      <c r="K37" s="50">
        <v>1</v>
      </c>
      <c r="L37" s="50">
        <v>15</v>
      </c>
      <c r="M37" s="50">
        <v>21</v>
      </c>
      <c r="N37" s="50">
        <v>0</v>
      </c>
      <c r="O37" s="15">
        <f t="shared" si="0"/>
        <v>81</v>
      </c>
      <c r="P37" s="15">
        <f t="shared" si="1"/>
        <v>102</v>
      </c>
    </row>
    <row r="38" spans="2:20" ht="23.1" customHeight="1" x14ac:dyDescent="0.25">
      <c r="B38" s="24" t="s">
        <v>65</v>
      </c>
      <c r="C38" s="50">
        <v>2</v>
      </c>
      <c r="D38" s="50">
        <v>5</v>
      </c>
      <c r="E38" s="50">
        <v>0</v>
      </c>
      <c r="F38" s="50">
        <v>32</v>
      </c>
      <c r="G38" s="50">
        <v>1</v>
      </c>
      <c r="H38" s="50">
        <v>1</v>
      </c>
      <c r="I38" s="50">
        <v>6</v>
      </c>
      <c r="J38" s="50">
        <v>4</v>
      </c>
      <c r="K38" s="50">
        <v>3</v>
      </c>
      <c r="L38" s="50">
        <v>10</v>
      </c>
      <c r="M38" s="50">
        <v>12</v>
      </c>
      <c r="N38" s="50">
        <v>0</v>
      </c>
      <c r="O38" s="15">
        <f t="shared" si="0"/>
        <v>64</v>
      </c>
      <c r="P38" s="15">
        <f t="shared" si="1"/>
        <v>76</v>
      </c>
    </row>
    <row r="39" spans="2:20" ht="23.1" customHeight="1" x14ac:dyDescent="0.25">
      <c r="B39" s="24" t="s">
        <v>66</v>
      </c>
      <c r="C39" s="50">
        <v>9</v>
      </c>
      <c r="D39" s="50">
        <v>6</v>
      </c>
      <c r="E39" s="50">
        <v>7</v>
      </c>
      <c r="F39" s="50">
        <v>30</v>
      </c>
      <c r="G39" s="50">
        <v>0</v>
      </c>
      <c r="H39" s="50">
        <v>1</v>
      </c>
      <c r="I39" s="50">
        <v>1</v>
      </c>
      <c r="J39" s="50">
        <v>11</v>
      </c>
      <c r="K39" s="50">
        <v>1</v>
      </c>
      <c r="L39" s="50">
        <v>7</v>
      </c>
      <c r="M39" s="50">
        <v>11</v>
      </c>
      <c r="N39" s="50">
        <v>0</v>
      </c>
      <c r="O39" s="15">
        <f t="shared" si="0"/>
        <v>73</v>
      </c>
      <c r="P39" s="15">
        <f t="shared" si="1"/>
        <v>84</v>
      </c>
    </row>
    <row r="40" spans="2:20" ht="23.1" customHeight="1" x14ac:dyDescent="0.25">
      <c r="B40" s="24" t="s">
        <v>67</v>
      </c>
      <c r="C40" s="50">
        <v>19</v>
      </c>
      <c r="D40" s="50">
        <v>8</v>
      </c>
      <c r="E40" s="50">
        <v>9</v>
      </c>
      <c r="F40" s="50">
        <v>34</v>
      </c>
      <c r="G40" s="50">
        <v>1</v>
      </c>
      <c r="H40" s="50">
        <v>1</v>
      </c>
      <c r="I40" s="50">
        <v>6</v>
      </c>
      <c r="J40" s="50">
        <v>7</v>
      </c>
      <c r="K40" s="50">
        <v>0</v>
      </c>
      <c r="L40" s="50">
        <v>15</v>
      </c>
      <c r="M40" s="50">
        <v>15</v>
      </c>
      <c r="N40" s="50">
        <v>0</v>
      </c>
      <c r="O40" s="15">
        <f t="shared" si="0"/>
        <v>100</v>
      </c>
      <c r="P40" s="15">
        <f t="shared" si="1"/>
        <v>115</v>
      </c>
    </row>
    <row r="41" spans="2:20" ht="23.1" customHeight="1" x14ac:dyDescent="0.25">
      <c r="B41" s="23" t="s">
        <v>68</v>
      </c>
      <c r="C41" s="50">
        <v>15</v>
      </c>
      <c r="D41" s="50">
        <v>5</v>
      </c>
      <c r="E41" s="50">
        <v>1</v>
      </c>
      <c r="F41" s="50">
        <v>27</v>
      </c>
      <c r="G41" s="50">
        <v>1</v>
      </c>
      <c r="H41" s="50">
        <v>1</v>
      </c>
      <c r="I41" s="50">
        <v>3</v>
      </c>
      <c r="J41" s="50">
        <v>9</v>
      </c>
      <c r="K41" s="50">
        <v>3</v>
      </c>
      <c r="L41" s="50">
        <v>14</v>
      </c>
      <c r="M41" s="50">
        <v>23</v>
      </c>
      <c r="N41" s="50">
        <v>0</v>
      </c>
      <c r="O41" s="15">
        <f t="shared" si="0"/>
        <v>79</v>
      </c>
      <c r="P41" s="15">
        <f t="shared" si="1"/>
        <v>102</v>
      </c>
    </row>
    <row r="42" spans="2:20" ht="23.1" customHeight="1" x14ac:dyDescent="0.25">
      <c r="B42" s="24" t="s">
        <v>69</v>
      </c>
      <c r="C42" s="50">
        <v>17</v>
      </c>
      <c r="D42" s="50">
        <v>4</v>
      </c>
      <c r="E42" s="50">
        <v>4</v>
      </c>
      <c r="F42" s="50">
        <v>40</v>
      </c>
      <c r="G42" s="50">
        <v>1</v>
      </c>
      <c r="H42" s="50">
        <v>0</v>
      </c>
      <c r="I42" s="50">
        <v>1</v>
      </c>
      <c r="J42" s="50">
        <v>15</v>
      </c>
      <c r="K42" s="50">
        <v>2</v>
      </c>
      <c r="L42" s="50">
        <v>24</v>
      </c>
      <c r="M42" s="50">
        <v>21</v>
      </c>
      <c r="N42" s="50">
        <v>0</v>
      </c>
      <c r="O42" s="15">
        <f t="shared" si="0"/>
        <v>108</v>
      </c>
      <c r="P42" s="15">
        <f t="shared" si="1"/>
        <v>129</v>
      </c>
    </row>
    <row r="43" spans="2:20" ht="23.1" customHeight="1" x14ac:dyDescent="0.25">
      <c r="B43" s="23" t="s">
        <v>70</v>
      </c>
      <c r="C43" s="50">
        <v>18</v>
      </c>
      <c r="D43" s="50">
        <v>6</v>
      </c>
      <c r="E43" s="50">
        <v>2</v>
      </c>
      <c r="F43" s="50">
        <v>31</v>
      </c>
      <c r="G43" s="50">
        <v>0</v>
      </c>
      <c r="H43" s="50">
        <v>0</v>
      </c>
      <c r="I43" s="50">
        <v>6</v>
      </c>
      <c r="J43" s="50">
        <v>9</v>
      </c>
      <c r="K43" s="50">
        <v>2</v>
      </c>
      <c r="L43" s="50">
        <v>14</v>
      </c>
      <c r="M43" s="50">
        <v>18</v>
      </c>
      <c r="N43" s="50">
        <v>0</v>
      </c>
      <c r="O43" s="15">
        <f t="shared" si="0"/>
        <v>88</v>
      </c>
      <c r="P43" s="15">
        <f t="shared" si="1"/>
        <v>106</v>
      </c>
    </row>
    <row r="44" spans="2:20" ht="23.1" customHeight="1" x14ac:dyDescent="0.25">
      <c r="B44" s="25" t="s">
        <v>71</v>
      </c>
      <c r="C44" s="50">
        <v>22</v>
      </c>
      <c r="D44" s="50">
        <v>10</v>
      </c>
      <c r="E44" s="50">
        <v>6</v>
      </c>
      <c r="F44" s="50">
        <v>29</v>
      </c>
      <c r="G44" s="50">
        <v>0</v>
      </c>
      <c r="H44" s="50">
        <v>2</v>
      </c>
      <c r="I44" s="50">
        <v>5</v>
      </c>
      <c r="J44" s="50">
        <v>13</v>
      </c>
      <c r="K44" s="50">
        <v>3</v>
      </c>
      <c r="L44" s="50">
        <v>22</v>
      </c>
      <c r="M44" s="50">
        <v>16</v>
      </c>
      <c r="N44" s="50">
        <v>0</v>
      </c>
      <c r="O44" s="15">
        <f t="shared" si="0"/>
        <v>112</v>
      </c>
      <c r="P44" s="15">
        <f t="shared" si="1"/>
        <v>128</v>
      </c>
    </row>
    <row r="45" spans="2:20" ht="23.1" customHeight="1" x14ac:dyDescent="0.25">
      <c r="B45" s="23" t="s">
        <v>72</v>
      </c>
      <c r="C45" s="50">
        <v>10</v>
      </c>
      <c r="D45" s="50">
        <v>9</v>
      </c>
      <c r="E45" s="50">
        <v>1</v>
      </c>
      <c r="F45" s="50">
        <v>29</v>
      </c>
      <c r="G45" s="50">
        <v>0</v>
      </c>
      <c r="H45" s="50">
        <v>1</v>
      </c>
      <c r="I45" s="50">
        <v>3</v>
      </c>
      <c r="J45" s="50">
        <v>6</v>
      </c>
      <c r="K45" s="50">
        <v>5</v>
      </c>
      <c r="L45" s="50">
        <v>12</v>
      </c>
      <c r="M45" s="50">
        <v>20</v>
      </c>
      <c r="N45" s="50">
        <v>0</v>
      </c>
      <c r="O45" s="15">
        <f t="shared" si="0"/>
        <v>76</v>
      </c>
      <c r="P45" s="15">
        <f t="shared" si="1"/>
        <v>96</v>
      </c>
    </row>
    <row r="46" spans="2:20" ht="23.1" customHeight="1" x14ac:dyDescent="0.25">
      <c r="B46" s="24" t="s">
        <v>73</v>
      </c>
      <c r="C46" s="50">
        <v>5</v>
      </c>
      <c r="D46" s="50">
        <v>10</v>
      </c>
      <c r="E46" s="50">
        <v>4</v>
      </c>
      <c r="F46" s="50">
        <v>27</v>
      </c>
      <c r="G46" s="50">
        <v>1</v>
      </c>
      <c r="H46" s="50">
        <v>0</v>
      </c>
      <c r="I46" s="50">
        <v>4</v>
      </c>
      <c r="J46" s="50">
        <v>11</v>
      </c>
      <c r="K46" s="50">
        <v>4</v>
      </c>
      <c r="L46" s="50">
        <v>26</v>
      </c>
      <c r="M46" s="50">
        <v>10</v>
      </c>
      <c r="N46" s="50">
        <v>0</v>
      </c>
      <c r="O46" s="15">
        <f t="shared" si="0"/>
        <v>92</v>
      </c>
      <c r="P46" s="15">
        <f t="shared" si="1"/>
        <v>102</v>
      </c>
      <c r="R46" s="8"/>
      <c r="T46"/>
    </row>
    <row r="47" spans="2:20" ht="23.1" customHeight="1" x14ac:dyDescent="0.25">
      <c r="B47" s="24" t="s">
        <v>74</v>
      </c>
      <c r="C47" s="50">
        <v>13</v>
      </c>
      <c r="D47" s="50">
        <v>5</v>
      </c>
      <c r="E47" s="50">
        <v>6</v>
      </c>
      <c r="F47" s="50">
        <v>32</v>
      </c>
      <c r="G47" s="50">
        <v>1</v>
      </c>
      <c r="H47" s="50">
        <v>1</v>
      </c>
      <c r="I47" s="50">
        <v>3</v>
      </c>
      <c r="J47" s="50">
        <v>17</v>
      </c>
      <c r="K47" s="50">
        <v>3</v>
      </c>
      <c r="L47" s="50">
        <v>17</v>
      </c>
      <c r="M47" s="50">
        <v>16</v>
      </c>
      <c r="N47" s="50">
        <v>0</v>
      </c>
      <c r="O47" s="15">
        <f t="shared" si="0"/>
        <v>98</v>
      </c>
      <c r="P47" s="15">
        <f t="shared" si="1"/>
        <v>114</v>
      </c>
      <c r="R47" s="8"/>
      <c r="T47"/>
    </row>
    <row r="48" spans="2:20" ht="23.1" customHeight="1" x14ac:dyDescent="0.25">
      <c r="B48" s="24" t="s">
        <v>75</v>
      </c>
      <c r="C48" s="50">
        <v>16</v>
      </c>
      <c r="D48" s="50">
        <v>5</v>
      </c>
      <c r="E48" s="50">
        <v>3</v>
      </c>
      <c r="F48" s="50">
        <v>32</v>
      </c>
      <c r="G48" s="50">
        <v>1</v>
      </c>
      <c r="H48" s="50">
        <v>0</v>
      </c>
      <c r="I48" s="50">
        <v>1</v>
      </c>
      <c r="J48" s="50">
        <v>12</v>
      </c>
      <c r="K48" s="50">
        <v>4</v>
      </c>
      <c r="L48" s="50">
        <v>19</v>
      </c>
      <c r="M48" s="50">
        <v>17</v>
      </c>
      <c r="N48" s="50">
        <v>0</v>
      </c>
      <c r="O48" s="15">
        <f t="shared" si="0"/>
        <v>93</v>
      </c>
      <c r="P48" s="15">
        <f t="shared" si="1"/>
        <v>110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8</v>
      </c>
      <c r="E49" s="50">
        <v>1</v>
      </c>
      <c r="F49" s="50">
        <v>20</v>
      </c>
      <c r="G49" s="50">
        <v>1</v>
      </c>
      <c r="H49" s="50">
        <v>0</v>
      </c>
      <c r="I49" s="50">
        <v>4</v>
      </c>
      <c r="J49" s="50">
        <v>3</v>
      </c>
      <c r="K49" s="50">
        <v>0</v>
      </c>
      <c r="L49" s="50">
        <v>16</v>
      </c>
      <c r="M49" s="50">
        <v>18</v>
      </c>
      <c r="N49" s="50">
        <v>0</v>
      </c>
      <c r="O49" s="15">
        <f t="shared" si="0"/>
        <v>60</v>
      </c>
      <c r="P49" s="15">
        <f t="shared" si="1"/>
        <v>78</v>
      </c>
      <c r="R49" s="8"/>
      <c r="T49"/>
    </row>
    <row r="50" spans="2:20" ht="23.1" customHeight="1" x14ac:dyDescent="0.25">
      <c r="B50" s="24" t="s">
        <v>77</v>
      </c>
      <c r="C50" s="50">
        <v>12</v>
      </c>
      <c r="D50" s="50">
        <v>8</v>
      </c>
      <c r="E50" s="50">
        <v>4</v>
      </c>
      <c r="F50" s="50">
        <v>36</v>
      </c>
      <c r="G50" s="50">
        <v>2</v>
      </c>
      <c r="H50" s="50">
        <v>2</v>
      </c>
      <c r="I50" s="50">
        <v>2</v>
      </c>
      <c r="J50" s="50">
        <v>4</v>
      </c>
      <c r="K50" s="50">
        <v>2</v>
      </c>
      <c r="L50" s="50">
        <v>16</v>
      </c>
      <c r="M50" s="50">
        <v>15</v>
      </c>
      <c r="N50" s="50">
        <v>1</v>
      </c>
      <c r="O50" s="15">
        <f t="shared" si="0"/>
        <v>89</v>
      </c>
      <c r="P50" s="15">
        <f t="shared" si="1"/>
        <v>104</v>
      </c>
      <c r="R50" s="8"/>
      <c r="T50"/>
    </row>
    <row r="51" spans="2:20" ht="23.1" customHeight="1" x14ac:dyDescent="0.25">
      <c r="B51" s="24" t="s">
        <v>78</v>
      </c>
      <c r="C51" s="50">
        <v>14</v>
      </c>
      <c r="D51" s="50">
        <v>4</v>
      </c>
      <c r="E51" s="50">
        <v>6</v>
      </c>
      <c r="F51" s="50">
        <v>37</v>
      </c>
      <c r="G51" s="50">
        <v>1</v>
      </c>
      <c r="H51" s="50">
        <v>2</v>
      </c>
      <c r="I51" s="50">
        <v>4</v>
      </c>
      <c r="J51" s="50">
        <v>10</v>
      </c>
      <c r="K51" s="50">
        <v>1</v>
      </c>
      <c r="L51" s="50">
        <v>14</v>
      </c>
      <c r="M51" s="50">
        <v>15</v>
      </c>
      <c r="N51" s="50">
        <v>0</v>
      </c>
      <c r="O51" s="15">
        <f t="shared" si="0"/>
        <v>93</v>
      </c>
      <c r="P51" s="15">
        <f t="shared" si="1"/>
        <v>108</v>
      </c>
      <c r="R51" s="8"/>
      <c r="T51"/>
    </row>
    <row r="52" spans="2:20" ht="23.1" customHeight="1" x14ac:dyDescent="0.25">
      <c r="B52" s="24" t="s">
        <v>79</v>
      </c>
      <c r="C52" s="50">
        <v>14</v>
      </c>
      <c r="D52" s="50">
        <v>3</v>
      </c>
      <c r="E52" s="50">
        <v>3</v>
      </c>
      <c r="F52" s="50">
        <v>24</v>
      </c>
      <c r="G52" s="50">
        <v>0</v>
      </c>
      <c r="H52" s="50">
        <v>0</v>
      </c>
      <c r="I52" s="50">
        <v>2</v>
      </c>
      <c r="J52" s="50">
        <v>10</v>
      </c>
      <c r="K52" s="50">
        <v>1</v>
      </c>
      <c r="L52" s="50">
        <v>17</v>
      </c>
      <c r="M52" s="50">
        <v>23</v>
      </c>
      <c r="N52" s="50">
        <v>0</v>
      </c>
      <c r="O52" s="15">
        <f t="shared" si="0"/>
        <v>74</v>
      </c>
      <c r="P52" s="15">
        <f t="shared" si="1"/>
        <v>97</v>
      </c>
      <c r="R52" s="8"/>
      <c r="T52"/>
    </row>
    <row r="53" spans="2:20" ht="23.1" customHeight="1" x14ac:dyDescent="0.25">
      <c r="B53" s="23" t="s">
        <v>80</v>
      </c>
      <c r="C53" s="50">
        <v>9</v>
      </c>
      <c r="D53" s="50">
        <v>2</v>
      </c>
      <c r="E53" s="50">
        <v>6</v>
      </c>
      <c r="F53" s="50">
        <v>24</v>
      </c>
      <c r="G53" s="50">
        <v>0</v>
      </c>
      <c r="H53" s="50">
        <v>0</v>
      </c>
      <c r="I53" s="50">
        <v>5</v>
      </c>
      <c r="J53" s="50">
        <v>9</v>
      </c>
      <c r="K53" s="50">
        <v>3</v>
      </c>
      <c r="L53" s="50">
        <v>16</v>
      </c>
      <c r="M53" s="50">
        <v>14</v>
      </c>
      <c r="N53" s="50">
        <v>0</v>
      </c>
      <c r="O53" s="15">
        <f t="shared" si="0"/>
        <v>74</v>
      </c>
      <c r="P53" s="15">
        <f t="shared" si="1"/>
        <v>88</v>
      </c>
      <c r="R53" s="8"/>
      <c r="T53"/>
    </row>
    <row r="54" spans="2:20" ht="23.1" customHeight="1" x14ac:dyDescent="0.25">
      <c r="B54" s="23" t="s">
        <v>81</v>
      </c>
      <c r="C54" s="50">
        <v>12</v>
      </c>
      <c r="D54" s="50">
        <v>4</v>
      </c>
      <c r="E54" s="50">
        <v>2</v>
      </c>
      <c r="F54" s="50">
        <v>25</v>
      </c>
      <c r="G54" s="50">
        <v>1</v>
      </c>
      <c r="H54" s="50">
        <v>0</v>
      </c>
      <c r="I54" s="50">
        <v>3</v>
      </c>
      <c r="J54" s="50">
        <v>7</v>
      </c>
      <c r="K54" s="50">
        <v>1</v>
      </c>
      <c r="L54" s="50">
        <v>14</v>
      </c>
      <c r="M54" s="50">
        <v>30</v>
      </c>
      <c r="N54" s="50">
        <v>1</v>
      </c>
      <c r="O54" s="15">
        <f t="shared" si="0"/>
        <v>70</v>
      </c>
      <c r="P54" s="15">
        <f t="shared" si="1"/>
        <v>100</v>
      </c>
      <c r="R54" s="8"/>
      <c r="T54"/>
    </row>
    <row r="55" spans="2:20" ht="23.1" customHeight="1" x14ac:dyDescent="0.25">
      <c r="B55" s="23" t="s">
        <v>82</v>
      </c>
      <c r="C55" s="50">
        <v>12</v>
      </c>
      <c r="D55" s="50">
        <v>10</v>
      </c>
      <c r="E55" s="50">
        <v>4</v>
      </c>
      <c r="F55" s="50">
        <v>39</v>
      </c>
      <c r="G55" s="50">
        <v>1</v>
      </c>
      <c r="H55" s="50">
        <v>2</v>
      </c>
      <c r="I55" s="50">
        <v>5</v>
      </c>
      <c r="J55" s="50">
        <v>8</v>
      </c>
      <c r="K55" s="50">
        <v>1</v>
      </c>
      <c r="L55" s="50">
        <v>15</v>
      </c>
      <c r="M55" s="50">
        <v>23</v>
      </c>
      <c r="N55" s="50">
        <v>0</v>
      </c>
      <c r="O55" s="15">
        <f t="shared" si="0"/>
        <v>97</v>
      </c>
      <c r="P55" s="15">
        <f t="shared" si="1"/>
        <v>120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12</v>
      </c>
      <c r="E56" s="50">
        <v>6</v>
      </c>
      <c r="F56" s="50">
        <v>30</v>
      </c>
      <c r="G56" s="50">
        <v>0</v>
      </c>
      <c r="H56" s="50">
        <v>1</v>
      </c>
      <c r="I56" s="50">
        <v>3</v>
      </c>
      <c r="J56" s="50">
        <v>6</v>
      </c>
      <c r="K56" s="50">
        <v>2</v>
      </c>
      <c r="L56" s="50">
        <v>12</v>
      </c>
      <c r="M56" s="50">
        <v>21</v>
      </c>
      <c r="N56" s="50">
        <v>0</v>
      </c>
      <c r="O56" s="15">
        <f t="shared" si="0"/>
        <v>79</v>
      </c>
      <c r="P56" s="15">
        <f t="shared" si="1"/>
        <v>100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9</v>
      </c>
      <c r="E57" s="50">
        <v>0</v>
      </c>
      <c r="F57" s="50">
        <v>33</v>
      </c>
      <c r="G57" s="50">
        <v>2</v>
      </c>
      <c r="H57" s="50">
        <v>2</v>
      </c>
      <c r="I57" s="50">
        <v>4</v>
      </c>
      <c r="J57" s="50">
        <v>5</v>
      </c>
      <c r="K57" s="50">
        <v>1</v>
      </c>
      <c r="L57" s="50">
        <v>11</v>
      </c>
      <c r="M57" s="50">
        <v>25</v>
      </c>
      <c r="N57" s="50">
        <v>0</v>
      </c>
      <c r="O57" s="15">
        <f t="shared" si="0"/>
        <v>77</v>
      </c>
      <c r="P57" s="15">
        <f t="shared" si="1"/>
        <v>102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628</v>
      </c>
      <c r="D58" s="16">
        <f t="shared" si="21"/>
        <v>305</v>
      </c>
      <c r="E58" s="16">
        <f t="shared" si="21"/>
        <v>202</v>
      </c>
      <c r="F58" s="16">
        <f t="shared" si="21"/>
        <v>1355</v>
      </c>
      <c r="G58" s="16">
        <f t="shared" si="21"/>
        <v>29</v>
      </c>
      <c r="H58" s="16">
        <f t="shared" si="21"/>
        <v>30</v>
      </c>
      <c r="I58" s="16">
        <f t="shared" si="21"/>
        <v>126</v>
      </c>
      <c r="J58" s="16">
        <f t="shared" si="21"/>
        <v>339</v>
      </c>
      <c r="K58" s="16">
        <f t="shared" si="21"/>
        <v>64</v>
      </c>
      <c r="L58" s="16">
        <f t="shared" si="21"/>
        <v>540</v>
      </c>
      <c r="M58" s="16">
        <f t="shared" si="21"/>
        <v>929</v>
      </c>
      <c r="N58" s="16">
        <f t="shared" si="21"/>
        <v>3</v>
      </c>
      <c r="O58" s="16">
        <f t="shared" si="21"/>
        <v>3621</v>
      </c>
      <c r="P58" s="16">
        <f t="shared" si="21"/>
        <v>4550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0.13802197802197802</v>
      </c>
      <c r="D59" s="43">
        <f t="shared" si="22"/>
        <v>6.7032967032967031E-2</v>
      </c>
      <c r="E59" s="43">
        <f t="shared" si="22"/>
        <v>4.4395604395604395E-2</v>
      </c>
      <c r="F59" s="43">
        <f t="shared" si="22"/>
        <v>0.2978021978021978</v>
      </c>
      <c r="G59" s="43">
        <f t="shared" si="22"/>
        <v>6.3736263736263741E-3</v>
      </c>
      <c r="H59" s="43">
        <f t="shared" si="22"/>
        <v>6.5934065934065934E-3</v>
      </c>
      <c r="I59" s="43">
        <f t="shared" si="22"/>
        <v>2.7692307692307693E-2</v>
      </c>
      <c r="J59" s="43">
        <f t="shared" si="22"/>
        <v>7.4505494505494499E-2</v>
      </c>
      <c r="K59" s="43">
        <f t="shared" si="22"/>
        <v>1.4065934065934066E-2</v>
      </c>
      <c r="L59" s="43">
        <f t="shared" si="22"/>
        <v>0.11868131868131868</v>
      </c>
      <c r="M59" s="43">
        <f t="shared" si="22"/>
        <v>0.20417582417582417</v>
      </c>
      <c r="N59" s="43">
        <f t="shared" si="22"/>
        <v>6.5934065934065934E-4</v>
      </c>
      <c r="R59" s="8"/>
      <c r="T59"/>
    </row>
    <row r="60" spans="2:20" ht="23.1" customHeight="1" x14ac:dyDescent="0.25">
      <c r="B60" s="42" t="s">
        <v>94</v>
      </c>
      <c r="C60" s="44">
        <f>C58/$O$58</f>
        <v>0.17343275338304337</v>
      </c>
      <c r="D60" s="44">
        <f t="shared" ref="D60:N60" si="23">D58/$O$58</f>
        <v>8.4230875448771059E-2</v>
      </c>
      <c r="E60" s="44">
        <f t="shared" si="23"/>
        <v>5.5785694559513946E-2</v>
      </c>
      <c r="F60" s="44">
        <f t="shared" si="23"/>
        <v>0.37420602043634354</v>
      </c>
      <c r="G60" s="44">
        <f t="shared" si="23"/>
        <v>8.008837337752003E-3</v>
      </c>
      <c r="H60" s="44">
        <f t="shared" si="23"/>
        <v>8.2850041425020712E-3</v>
      </c>
      <c r="I60" s="44">
        <f t="shared" si="23"/>
        <v>3.4797017398508698E-2</v>
      </c>
      <c r="J60" s="44">
        <f t="shared" si="23"/>
        <v>9.3620546810273403E-2</v>
      </c>
      <c r="K60" s="44">
        <f t="shared" si="23"/>
        <v>1.7674675504004419E-2</v>
      </c>
      <c r="L60" s="44">
        <f t="shared" si="23"/>
        <v>0.1491300745650373</v>
      </c>
      <c r="M60" s="44"/>
      <c r="N60" s="44">
        <f t="shared" si="23"/>
        <v>8.2850041425020708E-4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topLeftCell="A4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jinja-kampala'!C3:G3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63" t="str">
        <f>'20.10 Kampala-Jinja'!G5:H5</f>
        <v>Nakibbizi</v>
      </c>
      <c r="H5" s="64"/>
      <c r="I5" s="14"/>
      <c r="J5" s="2" t="s">
        <v>5</v>
      </c>
      <c r="K5" s="63" t="s">
        <v>177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jinja-kampala'!D6:E6</f>
        <v>Jinja</v>
      </c>
      <c r="E6" s="64"/>
      <c r="F6" s="2" t="s">
        <v>2</v>
      </c>
      <c r="G6" s="63" t="str">
        <f>'17.10 jinja-kampala'!G6:H6</f>
        <v>Kampala</v>
      </c>
      <c r="H6" s="64"/>
      <c r="J6" s="2" t="s">
        <v>21</v>
      </c>
      <c r="K6" s="63" t="str">
        <f>'20.10 Kampala-Jinja'!K6:L6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2</v>
      </c>
      <c r="E10" s="50">
        <v>1</v>
      </c>
      <c r="F10" s="50">
        <v>17</v>
      </c>
      <c r="G10" s="50">
        <v>0</v>
      </c>
      <c r="H10" s="50">
        <v>0</v>
      </c>
      <c r="I10" s="50">
        <v>1</v>
      </c>
      <c r="J10" s="50">
        <v>5</v>
      </c>
      <c r="K10" s="50">
        <v>1</v>
      </c>
      <c r="L10" s="50">
        <v>11</v>
      </c>
      <c r="M10" s="50">
        <v>19</v>
      </c>
      <c r="N10" s="50">
        <v>0</v>
      </c>
      <c r="O10" s="15">
        <f t="shared" ref="O10:O57" si="0">SUM(C10:L10,N10)</f>
        <v>42</v>
      </c>
      <c r="P10" s="15">
        <f t="shared" ref="P10:P57" si="1">SUM(C10:N10)</f>
        <v>61</v>
      </c>
      <c r="R10" s="1" t="s">
        <v>6</v>
      </c>
      <c r="S10" s="17">
        <f t="shared" ref="S10:AF10" si="2">SUM(C10:C13)</f>
        <v>41</v>
      </c>
      <c r="T10" s="17">
        <f t="shared" si="2"/>
        <v>10</v>
      </c>
      <c r="U10" s="17">
        <f t="shared" si="2"/>
        <v>12</v>
      </c>
      <c r="V10" s="17">
        <f t="shared" si="2"/>
        <v>140</v>
      </c>
      <c r="W10" s="17">
        <f t="shared" si="2"/>
        <v>8</v>
      </c>
      <c r="X10" s="17">
        <f t="shared" si="2"/>
        <v>5</v>
      </c>
      <c r="Y10" s="17">
        <f t="shared" si="2"/>
        <v>8</v>
      </c>
      <c r="Z10" s="17">
        <f t="shared" si="2"/>
        <v>27</v>
      </c>
      <c r="AA10" s="17">
        <f t="shared" si="2"/>
        <v>6</v>
      </c>
      <c r="AB10" s="17">
        <f t="shared" si="2"/>
        <v>55</v>
      </c>
      <c r="AC10" s="17">
        <f t="shared" si="2"/>
        <v>74</v>
      </c>
      <c r="AD10" s="17">
        <f t="shared" si="2"/>
        <v>0</v>
      </c>
      <c r="AE10" s="31">
        <f t="shared" si="2"/>
        <v>312</v>
      </c>
      <c r="AF10" s="31">
        <f t="shared" si="2"/>
        <v>386</v>
      </c>
    </row>
    <row r="11" spans="2:32" s="6" customFormat="1" ht="23.1" customHeight="1" x14ac:dyDescent="0.25">
      <c r="B11" s="23" t="s">
        <v>38</v>
      </c>
      <c r="C11" s="50">
        <v>9</v>
      </c>
      <c r="D11" s="50">
        <v>4</v>
      </c>
      <c r="E11" s="50">
        <v>5</v>
      </c>
      <c r="F11" s="50">
        <v>54</v>
      </c>
      <c r="G11" s="50">
        <v>1</v>
      </c>
      <c r="H11" s="50">
        <v>1</v>
      </c>
      <c r="I11" s="50">
        <v>5</v>
      </c>
      <c r="J11" s="50">
        <v>13</v>
      </c>
      <c r="K11" s="50">
        <v>2</v>
      </c>
      <c r="L11" s="50">
        <v>18</v>
      </c>
      <c r="M11" s="50">
        <v>27</v>
      </c>
      <c r="N11" s="50">
        <v>0</v>
      </c>
      <c r="O11" s="15">
        <f t="shared" si="0"/>
        <v>112</v>
      </c>
      <c r="P11" s="15">
        <f t="shared" si="1"/>
        <v>139</v>
      </c>
      <c r="R11" s="1" t="s">
        <v>7</v>
      </c>
      <c r="S11" s="17">
        <f t="shared" ref="S11:AF11" si="3">SUM(C14:C17)</f>
        <v>29</v>
      </c>
      <c r="T11" s="17">
        <f t="shared" si="3"/>
        <v>10</v>
      </c>
      <c r="U11" s="17">
        <f t="shared" si="3"/>
        <v>5</v>
      </c>
      <c r="V11" s="17">
        <f t="shared" si="3"/>
        <v>91</v>
      </c>
      <c r="W11" s="17">
        <f t="shared" si="3"/>
        <v>37</v>
      </c>
      <c r="X11" s="17">
        <f t="shared" si="3"/>
        <v>2</v>
      </c>
      <c r="Y11" s="17">
        <f t="shared" si="3"/>
        <v>1</v>
      </c>
      <c r="Z11" s="17">
        <f t="shared" si="3"/>
        <v>8</v>
      </c>
      <c r="AA11" s="17">
        <f t="shared" si="3"/>
        <v>9</v>
      </c>
      <c r="AB11" s="17">
        <f t="shared" si="3"/>
        <v>37</v>
      </c>
      <c r="AC11" s="17">
        <f t="shared" si="3"/>
        <v>55</v>
      </c>
      <c r="AD11" s="17">
        <f t="shared" si="3"/>
        <v>25</v>
      </c>
      <c r="AE11" s="31">
        <f t="shared" si="3"/>
        <v>254</v>
      </c>
      <c r="AF11" s="31">
        <f t="shared" si="3"/>
        <v>309</v>
      </c>
    </row>
    <row r="12" spans="2:32" ht="23.1" customHeight="1" x14ac:dyDescent="0.25">
      <c r="B12" s="23" t="s">
        <v>39</v>
      </c>
      <c r="C12" s="50">
        <v>9</v>
      </c>
      <c r="D12" s="50">
        <v>4</v>
      </c>
      <c r="E12" s="50">
        <v>2</v>
      </c>
      <c r="F12" s="50">
        <v>35</v>
      </c>
      <c r="G12" s="50">
        <v>3</v>
      </c>
      <c r="H12" s="50">
        <v>2</v>
      </c>
      <c r="I12" s="50">
        <v>0</v>
      </c>
      <c r="J12" s="50">
        <v>4</v>
      </c>
      <c r="K12" s="50">
        <v>1</v>
      </c>
      <c r="L12" s="50">
        <v>13</v>
      </c>
      <c r="M12" s="50">
        <v>13</v>
      </c>
      <c r="N12" s="50">
        <v>0</v>
      </c>
      <c r="O12" s="15">
        <f t="shared" si="0"/>
        <v>73</v>
      </c>
      <c r="P12" s="15">
        <f t="shared" si="1"/>
        <v>86</v>
      </c>
      <c r="R12" s="1" t="s">
        <v>8</v>
      </c>
      <c r="S12" s="17">
        <f t="shared" ref="S12:AF12" si="4">SUM(C18:C21)</f>
        <v>54</v>
      </c>
      <c r="T12" s="17">
        <f t="shared" si="4"/>
        <v>32</v>
      </c>
      <c r="U12" s="17">
        <f t="shared" si="4"/>
        <v>10</v>
      </c>
      <c r="V12" s="17">
        <f t="shared" si="4"/>
        <v>133</v>
      </c>
      <c r="W12" s="17">
        <f t="shared" si="4"/>
        <v>4</v>
      </c>
      <c r="X12" s="17">
        <f t="shared" si="4"/>
        <v>3</v>
      </c>
      <c r="Y12" s="17">
        <f t="shared" si="4"/>
        <v>5</v>
      </c>
      <c r="Z12" s="17">
        <f t="shared" si="4"/>
        <v>34</v>
      </c>
      <c r="AA12" s="17">
        <f t="shared" si="4"/>
        <v>1</v>
      </c>
      <c r="AB12" s="17">
        <f t="shared" si="4"/>
        <v>51</v>
      </c>
      <c r="AC12" s="17">
        <f t="shared" si="4"/>
        <v>95</v>
      </c>
      <c r="AD12" s="17">
        <f t="shared" si="4"/>
        <v>0</v>
      </c>
      <c r="AE12" s="31">
        <f t="shared" si="4"/>
        <v>327</v>
      </c>
      <c r="AF12" s="31">
        <f t="shared" si="4"/>
        <v>422</v>
      </c>
    </row>
    <row r="13" spans="2:32" ht="23.1" customHeight="1" x14ac:dyDescent="0.25">
      <c r="B13" s="23" t="s">
        <v>40</v>
      </c>
      <c r="C13" s="50">
        <v>19</v>
      </c>
      <c r="D13" s="50">
        <v>0</v>
      </c>
      <c r="E13" s="50">
        <v>4</v>
      </c>
      <c r="F13" s="50">
        <v>34</v>
      </c>
      <c r="G13" s="50">
        <v>4</v>
      </c>
      <c r="H13" s="50">
        <v>2</v>
      </c>
      <c r="I13" s="50">
        <v>2</v>
      </c>
      <c r="J13" s="50">
        <v>5</v>
      </c>
      <c r="K13" s="50">
        <v>2</v>
      </c>
      <c r="L13" s="50">
        <v>13</v>
      </c>
      <c r="M13" s="50">
        <v>15</v>
      </c>
      <c r="N13" s="50">
        <v>0</v>
      </c>
      <c r="O13" s="15">
        <f t="shared" si="0"/>
        <v>85</v>
      </c>
      <c r="P13" s="15">
        <f t="shared" si="1"/>
        <v>100</v>
      </c>
      <c r="R13" s="1" t="s">
        <v>9</v>
      </c>
      <c r="S13" s="17">
        <f t="shared" ref="S13:AF13" si="5">SUM(C22:C25)</f>
        <v>26</v>
      </c>
      <c r="T13" s="17">
        <f t="shared" si="5"/>
        <v>9</v>
      </c>
      <c r="U13" s="17">
        <f t="shared" si="5"/>
        <v>15</v>
      </c>
      <c r="V13" s="17">
        <f t="shared" si="5"/>
        <v>104</v>
      </c>
      <c r="W13" s="17">
        <f t="shared" si="5"/>
        <v>3</v>
      </c>
      <c r="X13" s="17">
        <f t="shared" si="5"/>
        <v>0</v>
      </c>
      <c r="Y13" s="17">
        <f t="shared" si="5"/>
        <v>11</v>
      </c>
      <c r="Z13" s="17">
        <f t="shared" si="5"/>
        <v>22</v>
      </c>
      <c r="AA13" s="17">
        <f t="shared" si="5"/>
        <v>6</v>
      </c>
      <c r="AB13" s="17">
        <f t="shared" si="5"/>
        <v>30</v>
      </c>
      <c r="AC13" s="17">
        <f t="shared" si="5"/>
        <v>90</v>
      </c>
      <c r="AD13" s="17">
        <f t="shared" si="5"/>
        <v>0</v>
      </c>
      <c r="AE13" s="31">
        <f t="shared" si="5"/>
        <v>226</v>
      </c>
      <c r="AF13" s="31">
        <f t="shared" si="5"/>
        <v>316</v>
      </c>
    </row>
    <row r="14" spans="2:32" ht="23.1" customHeight="1" x14ac:dyDescent="0.25">
      <c r="B14" s="23" t="s">
        <v>41</v>
      </c>
      <c r="C14" s="50">
        <v>12</v>
      </c>
      <c r="D14" s="50">
        <v>2</v>
      </c>
      <c r="E14" s="50">
        <v>3</v>
      </c>
      <c r="F14" s="50">
        <v>44</v>
      </c>
      <c r="G14" s="50">
        <v>0</v>
      </c>
      <c r="H14" s="50">
        <v>0</v>
      </c>
      <c r="I14" s="50">
        <v>0</v>
      </c>
      <c r="J14" s="50">
        <v>1</v>
      </c>
      <c r="K14" s="50">
        <v>2</v>
      </c>
      <c r="L14" s="50">
        <v>17</v>
      </c>
      <c r="M14" s="50">
        <v>18</v>
      </c>
      <c r="N14" s="50">
        <v>0</v>
      </c>
      <c r="O14" s="15">
        <f t="shared" si="0"/>
        <v>81</v>
      </c>
      <c r="P14" s="15">
        <f t="shared" si="1"/>
        <v>99</v>
      </c>
      <c r="R14" s="1" t="s">
        <v>10</v>
      </c>
      <c r="S14" s="17">
        <f t="shared" ref="S14:AF14" si="6">SUM(C26:C29)</f>
        <v>64</v>
      </c>
      <c r="T14" s="17">
        <f t="shared" si="6"/>
        <v>17</v>
      </c>
      <c r="U14" s="17">
        <f t="shared" si="6"/>
        <v>13</v>
      </c>
      <c r="V14" s="17">
        <f t="shared" si="6"/>
        <v>123</v>
      </c>
      <c r="W14" s="17">
        <f t="shared" si="6"/>
        <v>3</v>
      </c>
      <c r="X14" s="17">
        <f t="shared" si="6"/>
        <v>1</v>
      </c>
      <c r="Y14" s="17">
        <f t="shared" si="6"/>
        <v>13</v>
      </c>
      <c r="Z14" s="17">
        <f t="shared" si="6"/>
        <v>47</v>
      </c>
      <c r="AA14" s="17">
        <f t="shared" si="6"/>
        <v>4</v>
      </c>
      <c r="AB14" s="17">
        <f t="shared" si="6"/>
        <v>53</v>
      </c>
      <c r="AC14" s="17">
        <f t="shared" si="6"/>
        <v>98</v>
      </c>
      <c r="AD14" s="17">
        <f t="shared" si="6"/>
        <v>0</v>
      </c>
      <c r="AE14" s="31">
        <f t="shared" si="6"/>
        <v>338</v>
      </c>
      <c r="AF14" s="31">
        <f t="shared" si="6"/>
        <v>436</v>
      </c>
    </row>
    <row r="15" spans="2:32" ht="23.1" customHeight="1" x14ac:dyDescent="0.25">
      <c r="B15" s="23" t="s">
        <v>42</v>
      </c>
      <c r="C15" s="50">
        <v>5</v>
      </c>
      <c r="D15" s="50">
        <v>1</v>
      </c>
      <c r="E15" s="50">
        <v>2</v>
      </c>
      <c r="F15" s="50">
        <v>17</v>
      </c>
      <c r="G15" s="50">
        <v>0</v>
      </c>
      <c r="H15" s="50">
        <v>0</v>
      </c>
      <c r="I15" s="50">
        <v>0</v>
      </c>
      <c r="J15" s="50">
        <v>4</v>
      </c>
      <c r="K15" s="50">
        <v>0</v>
      </c>
      <c r="L15" s="50">
        <v>5</v>
      </c>
      <c r="M15" s="50">
        <v>12</v>
      </c>
      <c r="N15" s="50">
        <v>0</v>
      </c>
      <c r="O15" s="15">
        <f t="shared" si="0"/>
        <v>34</v>
      </c>
      <c r="P15" s="15">
        <f t="shared" si="1"/>
        <v>46</v>
      </c>
      <c r="R15" s="1" t="s">
        <v>11</v>
      </c>
      <c r="S15" s="17">
        <f t="shared" ref="S15:AF15" si="7">SUM(C30:C33)</f>
        <v>34</v>
      </c>
      <c r="T15" s="17">
        <f t="shared" si="7"/>
        <v>13</v>
      </c>
      <c r="U15" s="17">
        <f t="shared" si="7"/>
        <v>11</v>
      </c>
      <c r="V15" s="17">
        <f t="shared" si="7"/>
        <v>90</v>
      </c>
      <c r="W15" s="17">
        <f t="shared" si="7"/>
        <v>3</v>
      </c>
      <c r="X15" s="17">
        <f t="shared" si="7"/>
        <v>1</v>
      </c>
      <c r="Y15" s="17">
        <f t="shared" si="7"/>
        <v>8</v>
      </c>
      <c r="Z15" s="17">
        <f t="shared" si="7"/>
        <v>21</v>
      </c>
      <c r="AA15" s="17">
        <f t="shared" si="7"/>
        <v>13</v>
      </c>
      <c r="AB15" s="17">
        <f t="shared" si="7"/>
        <v>44</v>
      </c>
      <c r="AC15" s="17">
        <f t="shared" si="7"/>
        <v>77</v>
      </c>
      <c r="AD15" s="17">
        <f t="shared" si="7"/>
        <v>0</v>
      </c>
      <c r="AE15" s="31">
        <f t="shared" si="7"/>
        <v>238</v>
      </c>
      <c r="AF15" s="31">
        <f t="shared" si="7"/>
        <v>315</v>
      </c>
    </row>
    <row r="16" spans="2:32" ht="23.1" customHeight="1" x14ac:dyDescent="0.25">
      <c r="B16" s="23" t="s">
        <v>43</v>
      </c>
      <c r="C16" s="50">
        <v>3</v>
      </c>
      <c r="D16" s="50">
        <v>3</v>
      </c>
      <c r="E16" s="50">
        <v>0</v>
      </c>
      <c r="F16" s="50">
        <v>23</v>
      </c>
      <c r="G16" s="50">
        <v>0</v>
      </c>
      <c r="H16" s="50">
        <v>0</v>
      </c>
      <c r="I16" s="50">
        <v>1</v>
      </c>
      <c r="J16" s="50">
        <v>2</v>
      </c>
      <c r="K16" s="50">
        <v>0</v>
      </c>
      <c r="L16" s="50">
        <v>12</v>
      </c>
      <c r="M16" s="50">
        <v>13</v>
      </c>
      <c r="N16" s="50">
        <v>0</v>
      </c>
      <c r="O16" s="15">
        <f t="shared" si="0"/>
        <v>44</v>
      </c>
      <c r="P16" s="15">
        <f t="shared" si="1"/>
        <v>57</v>
      </c>
      <c r="R16" s="1" t="s">
        <v>12</v>
      </c>
      <c r="S16" s="17">
        <f t="shared" ref="S16:AF16" si="8">SUM(C34:C37)</f>
        <v>48</v>
      </c>
      <c r="T16" s="17">
        <f t="shared" si="8"/>
        <v>16</v>
      </c>
      <c r="U16" s="17">
        <f t="shared" si="8"/>
        <v>20</v>
      </c>
      <c r="V16" s="17">
        <f t="shared" si="8"/>
        <v>117</v>
      </c>
      <c r="W16" s="17">
        <f t="shared" si="8"/>
        <v>3</v>
      </c>
      <c r="X16" s="17">
        <f t="shared" si="8"/>
        <v>2</v>
      </c>
      <c r="Y16" s="17">
        <f t="shared" si="8"/>
        <v>13</v>
      </c>
      <c r="Z16" s="17">
        <f t="shared" si="8"/>
        <v>33</v>
      </c>
      <c r="AA16" s="17">
        <f t="shared" si="8"/>
        <v>6</v>
      </c>
      <c r="AB16" s="17">
        <f t="shared" si="8"/>
        <v>33</v>
      </c>
      <c r="AC16" s="17">
        <f t="shared" si="8"/>
        <v>100</v>
      </c>
      <c r="AD16" s="17">
        <f t="shared" si="8"/>
        <v>0</v>
      </c>
      <c r="AE16" s="31">
        <f t="shared" si="8"/>
        <v>291</v>
      </c>
      <c r="AF16" s="31">
        <f t="shared" si="8"/>
        <v>391</v>
      </c>
    </row>
    <row r="17" spans="2:32" ht="23.1" customHeight="1" x14ac:dyDescent="0.25">
      <c r="B17" s="23" t="s">
        <v>44</v>
      </c>
      <c r="C17" s="50">
        <v>9</v>
      </c>
      <c r="D17" s="50">
        <v>4</v>
      </c>
      <c r="E17" s="50">
        <v>0</v>
      </c>
      <c r="F17" s="50">
        <v>7</v>
      </c>
      <c r="G17" s="50">
        <v>37</v>
      </c>
      <c r="H17" s="50">
        <v>2</v>
      </c>
      <c r="I17" s="50">
        <v>0</v>
      </c>
      <c r="J17" s="50">
        <v>1</v>
      </c>
      <c r="K17" s="50">
        <v>7</v>
      </c>
      <c r="L17" s="50">
        <v>3</v>
      </c>
      <c r="M17" s="50">
        <v>12</v>
      </c>
      <c r="N17" s="50">
        <v>25</v>
      </c>
      <c r="O17" s="15">
        <f t="shared" si="0"/>
        <v>95</v>
      </c>
      <c r="P17" s="15">
        <f t="shared" si="1"/>
        <v>107</v>
      </c>
      <c r="R17" s="1" t="s">
        <v>13</v>
      </c>
      <c r="S17" s="17">
        <f t="shared" ref="S17:AF17" si="9">SUM(C38:C41)</f>
        <v>44</v>
      </c>
      <c r="T17" s="17">
        <f t="shared" si="9"/>
        <v>21</v>
      </c>
      <c r="U17" s="17">
        <f t="shared" si="9"/>
        <v>20</v>
      </c>
      <c r="V17" s="17">
        <f t="shared" si="9"/>
        <v>109</v>
      </c>
      <c r="W17" s="17">
        <f t="shared" si="9"/>
        <v>2</v>
      </c>
      <c r="X17" s="17">
        <f t="shared" si="9"/>
        <v>0</v>
      </c>
      <c r="Y17" s="17">
        <f t="shared" si="9"/>
        <v>20</v>
      </c>
      <c r="Z17" s="17">
        <f t="shared" si="9"/>
        <v>30</v>
      </c>
      <c r="AA17" s="17">
        <f t="shared" si="9"/>
        <v>2</v>
      </c>
      <c r="AB17" s="17">
        <f t="shared" si="9"/>
        <v>47</v>
      </c>
      <c r="AC17" s="17">
        <f t="shared" si="9"/>
        <v>100</v>
      </c>
      <c r="AD17" s="17">
        <f t="shared" si="9"/>
        <v>0</v>
      </c>
      <c r="AE17" s="31">
        <f t="shared" si="9"/>
        <v>295</v>
      </c>
      <c r="AF17" s="31">
        <f t="shared" si="9"/>
        <v>395</v>
      </c>
    </row>
    <row r="18" spans="2:32" ht="23.1" customHeight="1" x14ac:dyDescent="0.25">
      <c r="B18" s="23" t="s">
        <v>45</v>
      </c>
      <c r="C18" s="50">
        <v>16</v>
      </c>
      <c r="D18" s="50">
        <v>16</v>
      </c>
      <c r="E18" s="50">
        <v>3</v>
      </c>
      <c r="F18" s="50">
        <v>37</v>
      </c>
      <c r="G18" s="50">
        <v>0</v>
      </c>
      <c r="H18" s="50">
        <v>1</v>
      </c>
      <c r="I18" s="50">
        <v>2</v>
      </c>
      <c r="J18" s="50">
        <v>19</v>
      </c>
      <c r="K18" s="50">
        <v>0</v>
      </c>
      <c r="L18" s="50">
        <v>6</v>
      </c>
      <c r="M18" s="50">
        <v>29</v>
      </c>
      <c r="N18" s="50">
        <v>0</v>
      </c>
      <c r="O18" s="15">
        <f t="shared" si="0"/>
        <v>100</v>
      </c>
      <c r="P18" s="15">
        <f t="shared" si="1"/>
        <v>129</v>
      </c>
      <c r="R18" s="1" t="s">
        <v>14</v>
      </c>
      <c r="S18" s="17">
        <f t="shared" ref="S18:AF18" si="10">SUM(C42:C45)</f>
        <v>42</v>
      </c>
      <c r="T18" s="17">
        <f t="shared" si="10"/>
        <v>26</v>
      </c>
      <c r="U18" s="17">
        <f t="shared" si="10"/>
        <v>22</v>
      </c>
      <c r="V18" s="17">
        <f t="shared" si="10"/>
        <v>101</v>
      </c>
      <c r="W18" s="17">
        <f t="shared" si="10"/>
        <v>0</v>
      </c>
      <c r="X18" s="17">
        <f t="shared" si="10"/>
        <v>2</v>
      </c>
      <c r="Y18" s="17">
        <f t="shared" si="10"/>
        <v>10</v>
      </c>
      <c r="Z18" s="17">
        <f t="shared" si="10"/>
        <v>24</v>
      </c>
      <c r="AA18" s="17">
        <f t="shared" si="10"/>
        <v>5</v>
      </c>
      <c r="AB18" s="17">
        <f t="shared" si="10"/>
        <v>49</v>
      </c>
      <c r="AC18" s="17">
        <f t="shared" si="10"/>
        <v>78</v>
      </c>
      <c r="AD18" s="17">
        <f t="shared" si="10"/>
        <v>0</v>
      </c>
      <c r="AE18" s="31">
        <f t="shared" si="10"/>
        <v>281</v>
      </c>
      <c r="AF18" s="31">
        <f t="shared" si="10"/>
        <v>359</v>
      </c>
    </row>
    <row r="19" spans="2:32" ht="23.1" customHeight="1" x14ac:dyDescent="0.25">
      <c r="B19" s="23" t="s">
        <v>46</v>
      </c>
      <c r="C19" s="50">
        <v>11</v>
      </c>
      <c r="D19" s="50">
        <v>1</v>
      </c>
      <c r="E19" s="50">
        <v>3</v>
      </c>
      <c r="F19" s="50">
        <v>35</v>
      </c>
      <c r="G19" s="50">
        <v>1</v>
      </c>
      <c r="H19" s="50">
        <v>0</v>
      </c>
      <c r="I19" s="50">
        <v>0</v>
      </c>
      <c r="J19" s="50">
        <v>3</v>
      </c>
      <c r="K19" s="50">
        <v>0</v>
      </c>
      <c r="L19" s="50">
        <v>13</v>
      </c>
      <c r="M19" s="50">
        <v>18</v>
      </c>
      <c r="N19" s="50">
        <v>0</v>
      </c>
      <c r="O19" s="15">
        <f t="shared" si="0"/>
        <v>67</v>
      </c>
      <c r="P19" s="15">
        <f t="shared" si="1"/>
        <v>85</v>
      </c>
      <c r="R19" s="1" t="s">
        <v>15</v>
      </c>
      <c r="S19" s="17">
        <f t="shared" ref="S19:AF19" si="11">SUM(C46:C49)</f>
        <v>45</v>
      </c>
      <c r="T19" s="17">
        <f t="shared" si="11"/>
        <v>16</v>
      </c>
      <c r="U19" s="17">
        <f t="shared" si="11"/>
        <v>21</v>
      </c>
      <c r="V19" s="17">
        <f t="shared" si="11"/>
        <v>113</v>
      </c>
      <c r="W19" s="17">
        <f t="shared" si="11"/>
        <v>6</v>
      </c>
      <c r="X19" s="17">
        <f t="shared" si="11"/>
        <v>4</v>
      </c>
      <c r="Y19" s="17">
        <f t="shared" si="11"/>
        <v>5</v>
      </c>
      <c r="Z19" s="17">
        <f t="shared" si="11"/>
        <v>32</v>
      </c>
      <c r="AA19" s="17">
        <f t="shared" si="11"/>
        <v>9</v>
      </c>
      <c r="AB19" s="17">
        <f t="shared" si="11"/>
        <v>39</v>
      </c>
      <c r="AC19" s="17">
        <f t="shared" si="11"/>
        <v>99</v>
      </c>
      <c r="AD19" s="17">
        <f t="shared" si="11"/>
        <v>0</v>
      </c>
      <c r="AE19" s="31">
        <f t="shared" si="11"/>
        <v>290</v>
      </c>
      <c r="AF19" s="31">
        <f t="shared" si="11"/>
        <v>389</v>
      </c>
    </row>
    <row r="20" spans="2:32" ht="23.1" customHeight="1" x14ac:dyDescent="0.25">
      <c r="B20" s="23" t="s">
        <v>47</v>
      </c>
      <c r="C20" s="50">
        <v>19</v>
      </c>
      <c r="D20" s="50">
        <v>11</v>
      </c>
      <c r="E20" s="50">
        <v>2</v>
      </c>
      <c r="F20" s="50">
        <v>36</v>
      </c>
      <c r="G20" s="50">
        <v>1</v>
      </c>
      <c r="H20" s="50">
        <v>2</v>
      </c>
      <c r="I20" s="50">
        <v>2</v>
      </c>
      <c r="J20" s="50">
        <v>9</v>
      </c>
      <c r="K20" s="50">
        <v>1</v>
      </c>
      <c r="L20" s="50">
        <v>28</v>
      </c>
      <c r="M20" s="50">
        <v>24</v>
      </c>
      <c r="N20" s="50">
        <v>0</v>
      </c>
      <c r="O20" s="15">
        <f t="shared" si="0"/>
        <v>111</v>
      </c>
      <c r="P20" s="15">
        <f t="shared" si="1"/>
        <v>135</v>
      </c>
      <c r="R20" s="1" t="s">
        <v>16</v>
      </c>
      <c r="S20" s="17">
        <f t="shared" ref="S20:AF20" si="12">SUM(C50:C53)</f>
        <v>38</v>
      </c>
      <c r="T20" s="17">
        <f t="shared" si="12"/>
        <v>25</v>
      </c>
      <c r="U20" s="17">
        <f t="shared" si="12"/>
        <v>7</v>
      </c>
      <c r="V20" s="17">
        <f t="shared" si="12"/>
        <v>107</v>
      </c>
      <c r="W20" s="17">
        <f t="shared" si="12"/>
        <v>9</v>
      </c>
      <c r="X20" s="17">
        <f t="shared" si="12"/>
        <v>5</v>
      </c>
      <c r="Y20" s="17">
        <f t="shared" si="12"/>
        <v>9</v>
      </c>
      <c r="Z20" s="17">
        <f t="shared" si="12"/>
        <v>32</v>
      </c>
      <c r="AA20" s="17">
        <f t="shared" si="12"/>
        <v>8</v>
      </c>
      <c r="AB20" s="17">
        <f t="shared" si="12"/>
        <v>33</v>
      </c>
      <c r="AC20" s="17">
        <f t="shared" si="12"/>
        <v>113</v>
      </c>
      <c r="AD20" s="17">
        <f t="shared" si="12"/>
        <v>0</v>
      </c>
      <c r="AE20" s="31">
        <f t="shared" si="12"/>
        <v>273</v>
      </c>
      <c r="AF20" s="31">
        <f t="shared" si="12"/>
        <v>386</v>
      </c>
    </row>
    <row r="21" spans="2:32" ht="23.1" customHeight="1" x14ac:dyDescent="0.25">
      <c r="B21" s="23" t="s">
        <v>48</v>
      </c>
      <c r="C21" s="50">
        <v>8</v>
      </c>
      <c r="D21" s="50">
        <v>4</v>
      </c>
      <c r="E21" s="50">
        <v>2</v>
      </c>
      <c r="F21" s="50">
        <v>25</v>
      </c>
      <c r="G21" s="50">
        <v>2</v>
      </c>
      <c r="H21" s="50">
        <v>0</v>
      </c>
      <c r="I21" s="50">
        <v>1</v>
      </c>
      <c r="J21" s="50">
        <v>3</v>
      </c>
      <c r="K21" s="50">
        <v>0</v>
      </c>
      <c r="L21" s="50">
        <v>4</v>
      </c>
      <c r="M21" s="50">
        <v>24</v>
      </c>
      <c r="N21" s="50">
        <v>0</v>
      </c>
      <c r="O21" s="15">
        <f t="shared" si="0"/>
        <v>49</v>
      </c>
      <c r="P21" s="15">
        <f t="shared" si="1"/>
        <v>73</v>
      </c>
      <c r="R21" s="36" t="s">
        <v>20</v>
      </c>
      <c r="S21" s="34">
        <f t="shared" ref="S21:AF21" si="13">SUM(C54:C57)</f>
        <v>64</v>
      </c>
      <c r="T21" s="17">
        <f t="shared" si="13"/>
        <v>12</v>
      </c>
      <c r="U21" s="17">
        <f t="shared" si="13"/>
        <v>17</v>
      </c>
      <c r="V21" s="17">
        <f t="shared" si="13"/>
        <v>130</v>
      </c>
      <c r="W21" s="17">
        <f t="shared" si="13"/>
        <v>3</v>
      </c>
      <c r="X21" s="17">
        <f t="shared" si="13"/>
        <v>2</v>
      </c>
      <c r="Y21" s="17">
        <f t="shared" si="13"/>
        <v>8</v>
      </c>
      <c r="Z21" s="17">
        <f t="shared" si="13"/>
        <v>21</v>
      </c>
      <c r="AA21" s="17">
        <f t="shared" si="13"/>
        <v>3</v>
      </c>
      <c r="AB21" s="17">
        <f t="shared" si="13"/>
        <v>43</v>
      </c>
      <c r="AC21" s="17">
        <f t="shared" si="13"/>
        <v>57</v>
      </c>
      <c r="AD21" s="17">
        <f t="shared" si="13"/>
        <v>0</v>
      </c>
      <c r="AE21" s="31">
        <f t="shared" si="13"/>
        <v>303</v>
      </c>
      <c r="AF21" s="31">
        <f t="shared" si="13"/>
        <v>360</v>
      </c>
    </row>
    <row r="22" spans="2:32" ht="23.1" customHeight="1" x14ac:dyDescent="0.25">
      <c r="B22" s="23" t="s">
        <v>49</v>
      </c>
      <c r="C22" s="50">
        <v>9</v>
      </c>
      <c r="D22" s="50">
        <v>5</v>
      </c>
      <c r="E22" s="50">
        <v>10</v>
      </c>
      <c r="F22" s="50">
        <v>33</v>
      </c>
      <c r="G22" s="50">
        <v>1</v>
      </c>
      <c r="H22" s="50">
        <v>0</v>
      </c>
      <c r="I22" s="50">
        <v>3</v>
      </c>
      <c r="J22" s="50">
        <v>12</v>
      </c>
      <c r="K22" s="50">
        <v>1</v>
      </c>
      <c r="L22" s="50">
        <v>3</v>
      </c>
      <c r="M22" s="50">
        <v>29</v>
      </c>
      <c r="N22" s="50">
        <v>0</v>
      </c>
      <c r="O22" s="15">
        <f t="shared" si="0"/>
        <v>77</v>
      </c>
      <c r="P22" s="15">
        <f t="shared" si="1"/>
        <v>106</v>
      </c>
      <c r="R22" s="38" t="s">
        <v>90</v>
      </c>
      <c r="S22" s="39">
        <f>MAX(S10:S12)</f>
        <v>54</v>
      </c>
      <c r="T22" s="39">
        <f t="shared" ref="T22:AF22" si="14">MAX(T10:T12)</f>
        <v>32</v>
      </c>
      <c r="U22" s="39">
        <f t="shared" si="14"/>
        <v>12</v>
      </c>
      <c r="V22" s="39">
        <f t="shared" si="14"/>
        <v>140</v>
      </c>
      <c r="W22" s="39">
        <f t="shared" si="14"/>
        <v>37</v>
      </c>
      <c r="X22" s="39">
        <f t="shared" si="14"/>
        <v>5</v>
      </c>
      <c r="Y22" s="39">
        <f t="shared" si="14"/>
        <v>8</v>
      </c>
      <c r="Z22" s="39">
        <f t="shared" si="14"/>
        <v>34</v>
      </c>
      <c r="AA22" s="39">
        <f t="shared" si="14"/>
        <v>9</v>
      </c>
      <c r="AB22" s="39">
        <f t="shared" si="14"/>
        <v>55</v>
      </c>
      <c r="AC22" s="39">
        <f t="shared" si="14"/>
        <v>95</v>
      </c>
      <c r="AD22" s="39">
        <f t="shared" si="14"/>
        <v>25</v>
      </c>
      <c r="AE22" s="40">
        <f t="shared" si="14"/>
        <v>327</v>
      </c>
      <c r="AF22" s="40">
        <f t="shared" si="14"/>
        <v>422</v>
      </c>
    </row>
    <row r="23" spans="2:32" ht="23.1" customHeight="1" x14ac:dyDescent="0.25">
      <c r="B23" s="23" t="s">
        <v>50</v>
      </c>
      <c r="C23" s="50">
        <v>7</v>
      </c>
      <c r="D23" s="50">
        <v>1</v>
      </c>
      <c r="E23" s="50">
        <v>3</v>
      </c>
      <c r="F23" s="50">
        <v>18</v>
      </c>
      <c r="G23" s="50">
        <v>0</v>
      </c>
      <c r="H23" s="50">
        <v>0</v>
      </c>
      <c r="I23" s="50">
        <v>0</v>
      </c>
      <c r="J23" s="50">
        <v>3</v>
      </c>
      <c r="K23" s="50">
        <v>1</v>
      </c>
      <c r="L23" s="50">
        <v>12</v>
      </c>
      <c r="M23" s="50">
        <v>19</v>
      </c>
      <c r="N23" s="50">
        <v>0</v>
      </c>
      <c r="O23" s="15">
        <f t="shared" si="0"/>
        <v>45</v>
      </c>
      <c r="P23" s="15">
        <f t="shared" si="1"/>
        <v>64</v>
      </c>
      <c r="R23" s="38" t="s">
        <v>91</v>
      </c>
      <c r="S23" s="39">
        <f>MAX(S13:S18)</f>
        <v>64</v>
      </c>
      <c r="T23" s="39">
        <f t="shared" ref="T23:AF23" si="15">MAX(T13:T18)</f>
        <v>26</v>
      </c>
      <c r="U23" s="39">
        <f t="shared" si="15"/>
        <v>22</v>
      </c>
      <c r="V23" s="39">
        <f t="shared" si="15"/>
        <v>123</v>
      </c>
      <c r="W23" s="39">
        <f t="shared" si="15"/>
        <v>3</v>
      </c>
      <c r="X23" s="39">
        <f t="shared" si="15"/>
        <v>2</v>
      </c>
      <c r="Y23" s="39">
        <f t="shared" si="15"/>
        <v>20</v>
      </c>
      <c r="Z23" s="39">
        <f t="shared" si="15"/>
        <v>47</v>
      </c>
      <c r="AA23" s="39">
        <f t="shared" si="15"/>
        <v>13</v>
      </c>
      <c r="AB23" s="39">
        <f t="shared" si="15"/>
        <v>53</v>
      </c>
      <c r="AC23" s="39">
        <f t="shared" si="15"/>
        <v>100</v>
      </c>
      <c r="AD23" s="39">
        <f t="shared" si="15"/>
        <v>0</v>
      </c>
      <c r="AE23" s="40">
        <f t="shared" si="15"/>
        <v>338</v>
      </c>
      <c r="AF23" s="40">
        <f t="shared" si="15"/>
        <v>436</v>
      </c>
    </row>
    <row r="24" spans="2:32" ht="23.1" customHeight="1" x14ac:dyDescent="0.25">
      <c r="B24" s="23" t="s">
        <v>51</v>
      </c>
      <c r="C24" s="50">
        <v>4</v>
      </c>
      <c r="D24" s="50">
        <v>1</v>
      </c>
      <c r="E24" s="50">
        <v>2</v>
      </c>
      <c r="F24" s="50">
        <v>22</v>
      </c>
      <c r="G24" s="50">
        <v>1</v>
      </c>
      <c r="H24" s="50">
        <v>0</v>
      </c>
      <c r="I24" s="50">
        <v>4</v>
      </c>
      <c r="J24" s="50">
        <v>4</v>
      </c>
      <c r="K24" s="50">
        <v>2</v>
      </c>
      <c r="L24" s="50">
        <v>9</v>
      </c>
      <c r="M24" s="50">
        <v>24</v>
      </c>
      <c r="N24" s="50">
        <v>0</v>
      </c>
      <c r="O24" s="15">
        <f t="shared" si="0"/>
        <v>49</v>
      </c>
      <c r="P24" s="15">
        <f t="shared" si="1"/>
        <v>73</v>
      </c>
      <c r="R24" s="38" t="s">
        <v>92</v>
      </c>
      <c r="S24" s="39">
        <f>MAX(S19:S21)</f>
        <v>64</v>
      </c>
      <c r="T24" s="39">
        <f t="shared" ref="T24:AF24" si="16">MAX(T19:T21)</f>
        <v>25</v>
      </c>
      <c r="U24" s="39">
        <f t="shared" si="16"/>
        <v>21</v>
      </c>
      <c r="V24" s="39">
        <f t="shared" si="16"/>
        <v>130</v>
      </c>
      <c r="W24" s="39">
        <f t="shared" si="16"/>
        <v>9</v>
      </c>
      <c r="X24" s="39">
        <f t="shared" si="16"/>
        <v>5</v>
      </c>
      <c r="Y24" s="39">
        <f t="shared" si="16"/>
        <v>9</v>
      </c>
      <c r="Z24" s="39">
        <f t="shared" si="16"/>
        <v>32</v>
      </c>
      <c r="AA24" s="39">
        <f t="shared" si="16"/>
        <v>9</v>
      </c>
      <c r="AB24" s="39">
        <f t="shared" si="16"/>
        <v>43</v>
      </c>
      <c r="AC24" s="39">
        <f t="shared" si="16"/>
        <v>113</v>
      </c>
      <c r="AD24" s="39">
        <f t="shared" si="16"/>
        <v>0</v>
      </c>
      <c r="AE24" s="40">
        <f t="shared" si="16"/>
        <v>303</v>
      </c>
      <c r="AF24" s="40">
        <f t="shared" si="16"/>
        <v>389</v>
      </c>
    </row>
    <row r="25" spans="2:32" ht="23.1" customHeight="1" x14ac:dyDescent="0.25">
      <c r="B25" s="23" t="s">
        <v>52</v>
      </c>
      <c r="C25" s="50">
        <v>6</v>
      </c>
      <c r="D25" s="50">
        <v>2</v>
      </c>
      <c r="E25" s="50">
        <v>0</v>
      </c>
      <c r="F25" s="50">
        <v>31</v>
      </c>
      <c r="G25" s="50">
        <v>1</v>
      </c>
      <c r="H25" s="50">
        <v>0</v>
      </c>
      <c r="I25" s="50">
        <v>4</v>
      </c>
      <c r="J25" s="50">
        <v>3</v>
      </c>
      <c r="K25" s="50">
        <v>2</v>
      </c>
      <c r="L25" s="50">
        <v>6</v>
      </c>
      <c r="M25" s="50">
        <v>18</v>
      </c>
      <c r="N25" s="50">
        <v>0</v>
      </c>
      <c r="O25" s="15">
        <f t="shared" si="0"/>
        <v>55</v>
      </c>
      <c r="P25" s="15">
        <f t="shared" si="1"/>
        <v>73</v>
      </c>
      <c r="R25" s="37" t="s">
        <v>85</v>
      </c>
      <c r="S25" s="35">
        <f t="shared" ref="S25:AF25" si="17">SUM(S10:S12)</f>
        <v>124</v>
      </c>
      <c r="T25" s="16">
        <f t="shared" si="17"/>
        <v>52</v>
      </c>
      <c r="U25" s="16">
        <f t="shared" si="17"/>
        <v>27</v>
      </c>
      <c r="V25" s="16">
        <f t="shared" si="17"/>
        <v>364</v>
      </c>
      <c r="W25" s="16">
        <f t="shared" si="17"/>
        <v>49</v>
      </c>
      <c r="X25" s="16">
        <f t="shared" si="17"/>
        <v>10</v>
      </c>
      <c r="Y25" s="16">
        <f t="shared" si="17"/>
        <v>14</v>
      </c>
      <c r="Z25" s="16">
        <f t="shared" si="17"/>
        <v>69</v>
      </c>
      <c r="AA25" s="16">
        <f t="shared" si="17"/>
        <v>16</v>
      </c>
      <c r="AB25" s="16">
        <f t="shared" si="17"/>
        <v>143</v>
      </c>
      <c r="AC25" s="16">
        <f t="shared" si="17"/>
        <v>224</v>
      </c>
      <c r="AD25" s="16">
        <f t="shared" si="17"/>
        <v>25</v>
      </c>
      <c r="AE25" s="32">
        <f t="shared" si="17"/>
        <v>893</v>
      </c>
      <c r="AF25" s="32">
        <f t="shared" si="17"/>
        <v>1117</v>
      </c>
    </row>
    <row r="26" spans="2:32" ht="23.1" customHeight="1" x14ac:dyDescent="0.25">
      <c r="B26" s="23" t="s">
        <v>53</v>
      </c>
      <c r="C26" s="50">
        <v>11</v>
      </c>
      <c r="D26" s="50">
        <v>2</v>
      </c>
      <c r="E26" s="50">
        <v>6</v>
      </c>
      <c r="F26" s="50">
        <v>31</v>
      </c>
      <c r="G26" s="50">
        <v>1</v>
      </c>
      <c r="H26" s="50">
        <v>1</v>
      </c>
      <c r="I26" s="50">
        <v>5</v>
      </c>
      <c r="J26" s="50">
        <v>12</v>
      </c>
      <c r="K26" s="50">
        <v>0</v>
      </c>
      <c r="L26" s="50">
        <v>13</v>
      </c>
      <c r="M26" s="50">
        <v>29</v>
      </c>
      <c r="N26" s="50">
        <v>0</v>
      </c>
      <c r="O26" s="15">
        <f t="shared" si="0"/>
        <v>82</v>
      </c>
      <c r="P26" s="15">
        <f t="shared" si="1"/>
        <v>111</v>
      </c>
      <c r="R26" s="28" t="s">
        <v>86</v>
      </c>
      <c r="S26" s="16">
        <f t="shared" ref="S26:AF26" si="18">SUM(S13:S18)</f>
        <v>258</v>
      </c>
      <c r="T26" s="16">
        <f t="shared" si="18"/>
        <v>102</v>
      </c>
      <c r="U26" s="16">
        <f t="shared" si="18"/>
        <v>101</v>
      </c>
      <c r="V26" s="16">
        <f t="shared" si="18"/>
        <v>644</v>
      </c>
      <c r="W26" s="16">
        <f t="shared" si="18"/>
        <v>14</v>
      </c>
      <c r="X26" s="16">
        <f t="shared" si="18"/>
        <v>6</v>
      </c>
      <c r="Y26" s="16">
        <f t="shared" si="18"/>
        <v>75</v>
      </c>
      <c r="Z26" s="16">
        <f t="shared" si="18"/>
        <v>177</v>
      </c>
      <c r="AA26" s="16">
        <f t="shared" si="18"/>
        <v>36</v>
      </c>
      <c r="AB26" s="16">
        <f t="shared" si="18"/>
        <v>256</v>
      </c>
      <c r="AC26" s="16">
        <f t="shared" si="18"/>
        <v>543</v>
      </c>
      <c r="AD26" s="16">
        <f t="shared" si="18"/>
        <v>0</v>
      </c>
      <c r="AE26" s="32">
        <f t="shared" si="18"/>
        <v>1669</v>
      </c>
      <c r="AF26" s="32">
        <f t="shared" si="18"/>
        <v>2212</v>
      </c>
    </row>
    <row r="27" spans="2:32" ht="23.1" customHeight="1" x14ac:dyDescent="0.25">
      <c r="B27" s="23" t="s">
        <v>54</v>
      </c>
      <c r="C27" s="50">
        <v>26</v>
      </c>
      <c r="D27" s="50">
        <v>1</v>
      </c>
      <c r="E27" s="50">
        <v>2</v>
      </c>
      <c r="F27" s="50">
        <v>30</v>
      </c>
      <c r="G27" s="50">
        <v>0</v>
      </c>
      <c r="H27" s="50">
        <v>0</v>
      </c>
      <c r="I27" s="50">
        <v>2</v>
      </c>
      <c r="J27" s="50">
        <v>10</v>
      </c>
      <c r="K27" s="50">
        <v>2</v>
      </c>
      <c r="L27" s="50">
        <v>17</v>
      </c>
      <c r="M27" s="50">
        <v>23</v>
      </c>
      <c r="N27" s="50">
        <v>0</v>
      </c>
      <c r="O27" s="15">
        <f t="shared" si="0"/>
        <v>90</v>
      </c>
      <c r="P27" s="15">
        <f t="shared" si="1"/>
        <v>113</v>
      </c>
      <c r="R27" s="29" t="s">
        <v>87</v>
      </c>
      <c r="S27" s="16">
        <f t="shared" ref="S27:AF27" si="19">SUM(S19:S21)</f>
        <v>147</v>
      </c>
      <c r="T27" s="16">
        <f t="shared" si="19"/>
        <v>53</v>
      </c>
      <c r="U27" s="16">
        <f t="shared" si="19"/>
        <v>45</v>
      </c>
      <c r="V27" s="16">
        <f t="shared" si="19"/>
        <v>350</v>
      </c>
      <c r="W27" s="16">
        <f t="shared" si="19"/>
        <v>18</v>
      </c>
      <c r="X27" s="16">
        <f t="shared" si="19"/>
        <v>11</v>
      </c>
      <c r="Y27" s="16">
        <f t="shared" si="19"/>
        <v>22</v>
      </c>
      <c r="Z27" s="16">
        <f t="shared" si="19"/>
        <v>85</v>
      </c>
      <c r="AA27" s="16">
        <f t="shared" si="19"/>
        <v>20</v>
      </c>
      <c r="AB27" s="16">
        <f t="shared" si="19"/>
        <v>115</v>
      </c>
      <c r="AC27" s="16">
        <f t="shared" si="19"/>
        <v>269</v>
      </c>
      <c r="AD27" s="16">
        <f t="shared" si="19"/>
        <v>0</v>
      </c>
      <c r="AE27" s="32">
        <f t="shared" si="19"/>
        <v>866</v>
      </c>
      <c r="AF27" s="32">
        <f t="shared" si="19"/>
        <v>1135</v>
      </c>
    </row>
    <row r="28" spans="2:32" ht="23.1" customHeight="1" x14ac:dyDescent="0.25">
      <c r="B28" s="23" t="s">
        <v>55</v>
      </c>
      <c r="C28" s="50">
        <v>12</v>
      </c>
      <c r="D28" s="50">
        <v>6</v>
      </c>
      <c r="E28" s="50">
        <v>3</v>
      </c>
      <c r="F28" s="50">
        <v>33</v>
      </c>
      <c r="G28" s="50">
        <v>0</v>
      </c>
      <c r="H28" s="50">
        <v>0</v>
      </c>
      <c r="I28" s="50">
        <v>2</v>
      </c>
      <c r="J28" s="50">
        <v>5</v>
      </c>
      <c r="K28" s="50">
        <v>2</v>
      </c>
      <c r="L28" s="50">
        <v>12</v>
      </c>
      <c r="M28" s="50">
        <v>22</v>
      </c>
      <c r="N28" s="50">
        <v>0</v>
      </c>
      <c r="O28" s="15">
        <f t="shared" si="0"/>
        <v>75</v>
      </c>
      <c r="P28" s="15">
        <f t="shared" si="1"/>
        <v>97</v>
      </c>
      <c r="R28" s="5" t="s">
        <v>17</v>
      </c>
      <c r="S28" s="16">
        <f t="shared" ref="S28:AF28" si="20">SUM(S10:S21)</f>
        <v>529</v>
      </c>
      <c r="T28" s="16">
        <f t="shared" si="20"/>
        <v>207</v>
      </c>
      <c r="U28" s="16">
        <f t="shared" si="20"/>
        <v>173</v>
      </c>
      <c r="V28" s="16">
        <f t="shared" si="20"/>
        <v>1358</v>
      </c>
      <c r="W28" s="16">
        <f t="shared" si="20"/>
        <v>81</v>
      </c>
      <c r="X28" s="16">
        <f t="shared" si="20"/>
        <v>27</v>
      </c>
      <c r="Y28" s="16">
        <f t="shared" si="20"/>
        <v>111</v>
      </c>
      <c r="Z28" s="16">
        <f t="shared" si="20"/>
        <v>331</v>
      </c>
      <c r="AA28" s="16">
        <f t="shared" si="20"/>
        <v>72</v>
      </c>
      <c r="AB28" s="16">
        <f t="shared" si="20"/>
        <v>514</v>
      </c>
      <c r="AC28" s="16">
        <f t="shared" si="20"/>
        <v>1036</v>
      </c>
      <c r="AD28" s="16">
        <f t="shared" si="20"/>
        <v>25</v>
      </c>
      <c r="AE28" s="32">
        <f t="shared" si="20"/>
        <v>3428</v>
      </c>
      <c r="AF28" s="32">
        <f t="shared" si="20"/>
        <v>4464</v>
      </c>
    </row>
    <row r="29" spans="2:32" ht="23.1" customHeight="1" x14ac:dyDescent="0.25">
      <c r="B29" s="23" t="s">
        <v>56</v>
      </c>
      <c r="C29" s="50">
        <v>15</v>
      </c>
      <c r="D29" s="50">
        <v>8</v>
      </c>
      <c r="E29" s="50">
        <v>2</v>
      </c>
      <c r="F29" s="50">
        <v>29</v>
      </c>
      <c r="G29" s="50">
        <v>2</v>
      </c>
      <c r="H29" s="50">
        <v>0</v>
      </c>
      <c r="I29" s="50">
        <v>4</v>
      </c>
      <c r="J29" s="50">
        <v>20</v>
      </c>
      <c r="K29" s="50">
        <v>0</v>
      </c>
      <c r="L29" s="50">
        <v>11</v>
      </c>
      <c r="M29" s="50">
        <v>24</v>
      </c>
      <c r="N29" s="50">
        <v>0</v>
      </c>
      <c r="O29" s="15">
        <f t="shared" si="0"/>
        <v>91</v>
      </c>
      <c r="P29" s="15">
        <f t="shared" si="1"/>
        <v>115</v>
      </c>
      <c r="R29"/>
      <c r="S29" s="20"/>
      <c r="T29" s="19"/>
    </row>
    <row r="30" spans="2:32" ht="23.1" customHeight="1" x14ac:dyDescent="0.25">
      <c r="B30" s="23" t="s">
        <v>57</v>
      </c>
      <c r="C30" s="50">
        <v>8</v>
      </c>
      <c r="D30" s="50">
        <v>5</v>
      </c>
      <c r="E30" s="50">
        <v>5</v>
      </c>
      <c r="F30" s="50">
        <v>13</v>
      </c>
      <c r="G30" s="50">
        <v>0</v>
      </c>
      <c r="H30" s="50">
        <v>1</v>
      </c>
      <c r="I30" s="50">
        <v>1</v>
      </c>
      <c r="J30" s="50">
        <v>5</v>
      </c>
      <c r="K30" s="50">
        <v>3</v>
      </c>
      <c r="L30" s="50">
        <v>8</v>
      </c>
      <c r="M30" s="50">
        <v>12</v>
      </c>
      <c r="N30" s="50">
        <v>0</v>
      </c>
      <c r="O30" s="15">
        <f t="shared" si="0"/>
        <v>49</v>
      </c>
      <c r="P30" s="15">
        <f t="shared" si="1"/>
        <v>61</v>
      </c>
    </row>
    <row r="31" spans="2:32" ht="23.1" customHeight="1" x14ac:dyDescent="0.25">
      <c r="B31" s="24" t="s">
        <v>58</v>
      </c>
      <c r="C31" s="50">
        <v>7</v>
      </c>
      <c r="D31" s="50">
        <v>1</v>
      </c>
      <c r="E31" s="50">
        <v>2</v>
      </c>
      <c r="F31" s="50">
        <v>22</v>
      </c>
      <c r="G31" s="50">
        <v>1</v>
      </c>
      <c r="H31" s="50">
        <v>0</v>
      </c>
      <c r="I31" s="50">
        <v>2</v>
      </c>
      <c r="J31" s="50">
        <v>5</v>
      </c>
      <c r="K31" s="50">
        <v>6</v>
      </c>
      <c r="L31" s="50">
        <v>10</v>
      </c>
      <c r="M31" s="50">
        <v>20</v>
      </c>
      <c r="N31" s="50">
        <v>0</v>
      </c>
      <c r="O31" s="15">
        <f t="shared" si="0"/>
        <v>56</v>
      </c>
      <c r="P31" s="15">
        <f t="shared" si="1"/>
        <v>76</v>
      </c>
    </row>
    <row r="32" spans="2:32" ht="23.1" customHeight="1" x14ac:dyDescent="0.25">
      <c r="B32" s="24" t="s">
        <v>59</v>
      </c>
      <c r="C32" s="50">
        <v>12</v>
      </c>
      <c r="D32" s="50">
        <v>1</v>
      </c>
      <c r="E32" s="50">
        <v>3</v>
      </c>
      <c r="F32" s="50">
        <v>27</v>
      </c>
      <c r="G32" s="50">
        <v>1</v>
      </c>
      <c r="H32" s="50">
        <v>0</v>
      </c>
      <c r="I32" s="50">
        <v>1</v>
      </c>
      <c r="J32" s="50">
        <v>5</v>
      </c>
      <c r="K32" s="50">
        <v>1</v>
      </c>
      <c r="L32" s="50">
        <v>8</v>
      </c>
      <c r="M32" s="50">
        <v>24</v>
      </c>
      <c r="N32" s="50">
        <v>0</v>
      </c>
      <c r="O32" s="15">
        <f t="shared" si="0"/>
        <v>59</v>
      </c>
      <c r="P32" s="15">
        <f t="shared" si="1"/>
        <v>83</v>
      </c>
    </row>
    <row r="33" spans="2:20" ht="23.1" customHeight="1" x14ac:dyDescent="0.25">
      <c r="B33" s="23" t="s">
        <v>60</v>
      </c>
      <c r="C33" s="50">
        <v>7</v>
      </c>
      <c r="D33" s="50">
        <v>6</v>
      </c>
      <c r="E33" s="50">
        <v>1</v>
      </c>
      <c r="F33" s="50">
        <v>28</v>
      </c>
      <c r="G33" s="50">
        <v>1</v>
      </c>
      <c r="H33" s="50">
        <v>0</v>
      </c>
      <c r="I33" s="50">
        <v>4</v>
      </c>
      <c r="J33" s="50">
        <v>6</v>
      </c>
      <c r="K33" s="50">
        <v>3</v>
      </c>
      <c r="L33" s="50">
        <v>18</v>
      </c>
      <c r="M33" s="50">
        <v>21</v>
      </c>
      <c r="N33" s="50">
        <v>0</v>
      </c>
      <c r="O33" s="15">
        <f t="shared" si="0"/>
        <v>74</v>
      </c>
      <c r="P33" s="15">
        <f t="shared" si="1"/>
        <v>95</v>
      </c>
    </row>
    <row r="34" spans="2:20" ht="23.1" customHeight="1" x14ac:dyDescent="0.25">
      <c r="B34" s="24" t="s">
        <v>61</v>
      </c>
      <c r="C34" s="50">
        <v>14</v>
      </c>
      <c r="D34" s="50">
        <v>3</v>
      </c>
      <c r="E34" s="50">
        <v>9</v>
      </c>
      <c r="F34" s="50">
        <v>38</v>
      </c>
      <c r="G34" s="50">
        <v>2</v>
      </c>
      <c r="H34" s="50">
        <v>1</v>
      </c>
      <c r="I34" s="50">
        <v>2</v>
      </c>
      <c r="J34" s="50">
        <v>7</v>
      </c>
      <c r="K34" s="50">
        <v>0</v>
      </c>
      <c r="L34" s="50">
        <v>11</v>
      </c>
      <c r="M34" s="50">
        <v>32</v>
      </c>
      <c r="N34" s="50">
        <v>0</v>
      </c>
      <c r="O34" s="15">
        <f t="shared" si="0"/>
        <v>87</v>
      </c>
      <c r="P34" s="15">
        <f t="shared" si="1"/>
        <v>119</v>
      </c>
    </row>
    <row r="35" spans="2:20" ht="23.1" customHeight="1" x14ac:dyDescent="0.25">
      <c r="B35" s="24" t="s">
        <v>62</v>
      </c>
      <c r="C35" s="50">
        <v>14</v>
      </c>
      <c r="D35" s="50">
        <v>6</v>
      </c>
      <c r="E35" s="50">
        <v>3</v>
      </c>
      <c r="F35" s="50">
        <v>17</v>
      </c>
      <c r="G35" s="50">
        <v>0</v>
      </c>
      <c r="H35" s="50">
        <v>0</v>
      </c>
      <c r="I35" s="50">
        <v>1</v>
      </c>
      <c r="J35" s="50">
        <v>5</v>
      </c>
      <c r="K35" s="50">
        <v>2</v>
      </c>
      <c r="L35" s="50">
        <v>4</v>
      </c>
      <c r="M35" s="50">
        <v>13</v>
      </c>
      <c r="N35" s="50">
        <v>0</v>
      </c>
      <c r="O35" s="15">
        <f t="shared" si="0"/>
        <v>52</v>
      </c>
      <c r="P35" s="15">
        <f t="shared" si="1"/>
        <v>65</v>
      </c>
    </row>
    <row r="36" spans="2:20" ht="23.1" customHeight="1" x14ac:dyDescent="0.25">
      <c r="B36" s="24" t="s">
        <v>63</v>
      </c>
      <c r="C36" s="50">
        <v>13</v>
      </c>
      <c r="D36" s="50">
        <v>4</v>
      </c>
      <c r="E36" s="50">
        <v>5</v>
      </c>
      <c r="F36" s="50">
        <v>30</v>
      </c>
      <c r="G36" s="50">
        <v>1</v>
      </c>
      <c r="H36" s="50">
        <v>0</v>
      </c>
      <c r="I36" s="50">
        <v>7</v>
      </c>
      <c r="J36" s="50">
        <v>9</v>
      </c>
      <c r="K36" s="50">
        <v>2</v>
      </c>
      <c r="L36" s="50">
        <v>7</v>
      </c>
      <c r="M36" s="50">
        <v>29</v>
      </c>
      <c r="N36" s="50">
        <v>0</v>
      </c>
      <c r="O36" s="15">
        <f t="shared" si="0"/>
        <v>78</v>
      </c>
      <c r="P36" s="15">
        <f t="shared" si="1"/>
        <v>107</v>
      </c>
    </row>
    <row r="37" spans="2:20" ht="23.1" customHeight="1" x14ac:dyDescent="0.25">
      <c r="B37" s="23" t="s">
        <v>64</v>
      </c>
      <c r="C37" s="50">
        <v>7</v>
      </c>
      <c r="D37" s="50">
        <v>3</v>
      </c>
      <c r="E37" s="50">
        <v>3</v>
      </c>
      <c r="F37" s="50">
        <v>32</v>
      </c>
      <c r="G37" s="50">
        <v>0</v>
      </c>
      <c r="H37" s="50">
        <v>1</v>
      </c>
      <c r="I37" s="50">
        <v>3</v>
      </c>
      <c r="J37" s="50">
        <v>12</v>
      </c>
      <c r="K37" s="50">
        <v>2</v>
      </c>
      <c r="L37" s="50">
        <v>11</v>
      </c>
      <c r="M37" s="50">
        <v>26</v>
      </c>
      <c r="N37" s="50">
        <v>0</v>
      </c>
      <c r="O37" s="15">
        <f t="shared" si="0"/>
        <v>74</v>
      </c>
      <c r="P37" s="15">
        <f t="shared" si="1"/>
        <v>100</v>
      </c>
    </row>
    <row r="38" spans="2:20" ht="23.1" customHeight="1" x14ac:dyDescent="0.25">
      <c r="B38" s="24" t="s">
        <v>65</v>
      </c>
      <c r="C38" s="50">
        <v>10</v>
      </c>
      <c r="D38" s="50">
        <v>5</v>
      </c>
      <c r="E38" s="50">
        <v>2</v>
      </c>
      <c r="F38" s="50">
        <v>35</v>
      </c>
      <c r="G38" s="50">
        <v>0</v>
      </c>
      <c r="H38" s="50">
        <v>0</v>
      </c>
      <c r="I38" s="50">
        <v>8</v>
      </c>
      <c r="J38" s="50">
        <v>9</v>
      </c>
      <c r="K38" s="50">
        <v>1</v>
      </c>
      <c r="L38" s="50">
        <v>6</v>
      </c>
      <c r="M38" s="50">
        <v>22</v>
      </c>
      <c r="N38" s="50">
        <v>0</v>
      </c>
      <c r="O38" s="15">
        <f t="shared" si="0"/>
        <v>76</v>
      </c>
      <c r="P38" s="15">
        <f t="shared" si="1"/>
        <v>98</v>
      </c>
    </row>
    <row r="39" spans="2:20" ht="23.1" customHeight="1" x14ac:dyDescent="0.25">
      <c r="B39" s="24" t="s">
        <v>66</v>
      </c>
      <c r="C39" s="50">
        <v>11</v>
      </c>
      <c r="D39" s="50">
        <v>8</v>
      </c>
      <c r="E39" s="50">
        <v>3</v>
      </c>
      <c r="F39" s="50">
        <v>14</v>
      </c>
      <c r="G39" s="50">
        <v>1</v>
      </c>
      <c r="H39" s="50">
        <v>0</v>
      </c>
      <c r="I39" s="50">
        <v>6</v>
      </c>
      <c r="J39" s="50">
        <v>7</v>
      </c>
      <c r="K39" s="50">
        <v>1</v>
      </c>
      <c r="L39" s="50">
        <v>14</v>
      </c>
      <c r="M39" s="50">
        <v>21</v>
      </c>
      <c r="N39" s="50">
        <v>0</v>
      </c>
      <c r="O39" s="15">
        <f t="shared" si="0"/>
        <v>65</v>
      </c>
      <c r="P39" s="15">
        <f t="shared" si="1"/>
        <v>86</v>
      </c>
    </row>
    <row r="40" spans="2:20" ht="23.1" customHeight="1" x14ac:dyDescent="0.25">
      <c r="B40" s="24" t="s">
        <v>67</v>
      </c>
      <c r="C40" s="50">
        <v>15</v>
      </c>
      <c r="D40" s="50">
        <v>4</v>
      </c>
      <c r="E40" s="50">
        <v>6</v>
      </c>
      <c r="F40" s="50">
        <v>36</v>
      </c>
      <c r="G40" s="50">
        <v>0</v>
      </c>
      <c r="H40" s="50">
        <v>0</v>
      </c>
      <c r="I40" s="50">
        <v>2</v>
      </c>
      <c r="J40" s="50">
        <v>11</v>
      </c>
      <c r="K40" s="50">
        <v>0</v>
      </c>
      <c r="L40" s="50">
        <v>9</v>
      </c>
      <c r="M40" s="50">
        <v>21</v>
      </c>
      <c r="N40" s="50">
        <v>0</v>
      </c>
      <c r="O40" s="15">
        <f t="shared" si="0"/>
        <v>83</v>
      </c>
      <c r="P40" s="15">
        <f t="shared" si="1"/>
        <v>104</v>
      </c>
    </row>
    <row r="41" spans="2:20" ht="23.1" customHeight="1" x14ac:dyDescent="0.25">
      <c r="B41" s="23" t="s">
        <v>68</v>
      </c>
      <c r="C41" s="50">
        <v>8</v>
      </c>
      <c r="D41" s="50">
        <v>4</v>
      </c>
      <c r="E41" s="50">
        <v>9</v>
      </c>
      <c r="F41" s="50">
        <v>24</v>
      </c>
      <c r="G41" s="50">
        <v>1</v>
      </c>
      <c r="H41" s="50">
        <v>0</v>
      </c>
      <c r="I41" s="50">
        <v>4</v>
      </c>
      <c r="J41" s="50">
        <v>3</v>
      </c>
      <c r="K41" s="50">
        <v>0</v>
      </c>
      <c r="L41" s="50">
        <v>18</v>
      </c>
      <c r="M41" s="50">
        <v>36</v>
      </c>
      <c r="N41" s="50">
        <v>0</v>
      </c>
      <c r="O41" s="15">
        <f t="shared" si="0"/>
        <v>71</v>
      </c>
      <c r="P41" s="15">
        <f t="shared" si="1"/>
        <v>107</v>
      </c>
    </row>
    <row r="42" spans="2:20" ht="23.1" customHeight="1" x14ac:dyDescent="0.25">
      <c r="B42" s="24" t="s">
        <v>69</v>
      </c>
      <c r="C42" s="50">
        <v>10</v>
      </c>
      <c r="D42" s="50">
        <v>11</v>
      </c>
      <c r="E42" s="50">
        <v>2</v>
      </c>
      <c r="F42" s="50">
        <v>32</v>
      </c>
      <c r="G42" s="50">
        <v>0</v>
      </c>
      <c r="H42" s="50">
        <v>0</v>
      </c>
      <c r="I42" s="50">
        <v>1</v>
      </c>
      <c r="J42" s="50">
        <v>6</v>
      </c>
      <c r="K42" s="50">
        <v>0</v>
      </c>
      <c r="L42" s="50">
        <v>18</v>
      </c>
      <c r="M42" s="50">
        <v>25</v>
      </c>
      <c r="N42" s="50">
        <v>0</v>
      </c>
      <c r="O42" s="15">
        <f t="shared" si="0"/>
        <v>80</v>
      </c>
      <c r="P42" s="15">
        <f t="shared" si="1"/>
        <v>105</v>
      </c>
    </row>
    <row r="43" spans="2:20" ht="23.1" customHeight="1" x14ac:dyDescent="0.25">
      <c r="B43" s="23" t="s">
        <v>70</v>
      </c>
      <c r="C43" s="50">
        <v>14</v>
      </c>
      <c r="D43" s="50">
        <v>8</v>
      </c>
      <c r="E43" s="50">
        <v>6</v>
      </c>
      <c r="F43" s="50">
        <v>22</v>
      </c>
      <c r="G43" s="50">
        <v>0</v>
      </c>
      <c r="H43" s="50">
        <v>1</v>
      </c>
      <c r="I43" s="50">
        <v>2</v>
      </c>
      <c r="J43" s="50">
        <v>5</v>
      </c>
      <c r="K43" s="50">
        <v>4</v>
      </c>
      <c r="L43" s="50">
        <v>11</v>
      </c>
      <c r="M43" s="50">
        <v>15</v>
      </c>
      <c r="N43" s="50">
        <v>0</v>
      </c>
      <c r="O43" s="15">
        <f t="shared" si="0"/>
        <v>73</v>
      </c>
      <c r="P43" s="15">
        <f t="shared" si="1"/>
        <v>88</v>
      </c>
    </row>
    <row r="44" spans="2:20" ht="23.1" customHeight="1" x14ac:dyDescent="0.25">
      <c r="B44" s="25" t="s">
        <v>71</v>
      </c>
      <c r="C44" s="50">
        <v>8</v>
      </c>
      <c r="D44" s="50">
        <v>5</v>
      </c>
      <c r="E44" s="50">
        <v>8</v>
      </c>
      <c r="F44" s="50">
        <v>22</v>
      </c>
      <c r="G44" s="50">
        <v>0</v>
      </c>
      <c r="H44" s="50">
        <v>1</v>
      </c>
      <c r="I44" s="50">
        <v>3</v>
      </c>
      <c r="J44" s="50">
        <v>9</v>
      </c>
      <c r="K44" s="50">
        <v>1</v>
      </c>
      <c r="L44" s="50">
        <v>11</v>
      </c>
      <c r="M44" s="50">
        <v>18</v>
      </c>
      <c r="N44" s="50">
        <v>0</v>
      </c>
      <c r="O44" s="15">
        <f t="shared" si="0"/>
        <v>68</v>
      </c>
      <c r="P44" s="15">
        <f t="shared" si="1"/>
        <v>86</v>
      </c>
    </row>
    <row r="45" spans="2:20" ht="23.1" customHeight="1" x14ac:dyDescent="0.25">
      <c r="B45" s="23" t="s">
        <v>72</v>
      </c>
      <c r="C45" s="50">
        <v>10</v>
      </c>
      <c r="D45" s="50">
        <v>2</v>
      </c>
      <c r="E45" s="50">
        <v>6</v>
      </c>
      <c r="F45" s="50">
        <v>25</v>
      </c>
      <c r="G45" s="50">
        <v>0</v>
      </c>
      <c r="H45" s="50">
        <v>0</v>
      </c>
      <c r="I45" s="50">
        <v>4</v>
      </c>
      <c r="J45" s="50">
        <v>4</v>
      </c>
      <c r="K45" s="50">
        <v>0</v>
      </c>
      <c r="L45" s="50">
        <v>9</v>
      </c>
      <c r="M45" s="50">
        <v>20</v>
      </c>
      <c r="N45" s="50">
        <v>0</v>
      </c>
      <c r="O45" s="15">
        <f t="shared" si="0"/>
        <v>60</v>
      </c>
      <c r="P45" s="15">
        <f t="shared" si="1"/>
        <v>80</v>
      </c>
    </row>
    <row r="46" spans="2:20" ht="23.1" customHeight="1" x14ac:dyDescent="0.25">
      <c r="B46" s="24" t="s">
        <v>73</v>
      </c>
      <c r="C46" s="50">
        <v>12</v>
      </c>
      <c r="D46" s="50">
        <v>5</v>
      </c>
      <c r="E46" s="50">
        <v>3</v>
      </c>
      <c r="F46" s="50">
        <v>33</v>
      </c>
      <c r="G46" s="50">
        <v>0</v>
      </c>
      <c r="H46" s="50">
        <v>2</v>
      </c>
      <c r="I46" s="50">
        <v>0</v>
      </c>
      <c r="J46" s="50">
        <v>5</v>
      </c>
      <c r="K46" s="50">
        <v>1</v>
      </c>
      <c r="L46" s="50">
        <v>8</v>
      </c>
      <c r="M46" s="50">
        <v>34</v>
      </c>
      <c r="N46" s="50">
        <v>0</v>
      </c>
      <c r="O46" s="15">
        <f t="shared" si="0"/>
        <v>69</v>
      </c>
      <c r="P46" s="15">
        <f t="shared" si="1"/>
        <v>103</v>
      </c>
      <c r="R46" s="8"/>
      <c r="T46"/>
    </row>
    <row r="47" spans="2:20" ht="23.1" customHeight="1" x14ac:dyDescent="0.25">
      <c r="B47" s="24" t="s">
        <v>74</v>
      </c>
      <c r="C47" s="50">
        <v>14</v>
      </c>
      <c r="D47" s="50">
        <v>4</v>
      </c>
      <c r="E47" s="50">
        <v>4</v>
      </c>
      <c r="F47" s="50">
        <v>28</v>
      </c>
      <c r="G47" s="50">
        <v>2</v>
      </c>
      <c r="H47" s="50">
        <v>1</v>
      </c>
      <c r="I47" s="50">
        <v>2</v>
      </c>
      <c r="J47" s="50">
        <v>9</v>
      </c>
      <c r="K47" s="50">
        <v>4</v>
      </c>
      <c r="L47" s="50">
        <v>11</v>
      </c>
      <c r="M47" s="50">
        <v>15</v>
      </c>
      <c r="N47" s="50">
        <v>0</v>
      </c>
      <c r="O47" s="15">
        <f t="shared" si="0"/>
        <v>79</v>
      </c>
      <c r="P47" s="15">
        <f t="shared" si="1"/>
        <v>94</v>
      </c>
      <c r="R47" s="8"/>
      <c r="T47"/>
    </row>
    <row r="48" spans="2:20" ht="23.1" customHeight="1" x14ac:dyDescent="0.25">
      <c r="B48" s="24" t="s">
        <v>75</v>
      </c>
      <c r="C48" s="50">
        <v>7</v>
      </c>
      <c r="D48" s="50">
        <v>4</v>
      </c>
      <c r="E48" s="50">
        <v>10</v>
      </c>
      <c r="F48" s="50">
        <v>33</v>
      </c>
      <c r="G48" s="50">
        <v>1</v>
      </c>
      <c r="H48" s="50">
        <v>0</v>
      </c>
      <c r="I48" s="50">
        <v>2</v>
      </c>
      <c r="J48" s="50">
        <v>6</v>
      </c>
      <c r="K48" s="50">
        <v>0</v>
      </c>
      <c r="L48" s="50">
        <v>13</v>
      </c>
      <c r="M48" s="50">
        <v>22</v>
      </c>
      <c r="N48" s="50">
        <v>0</v>
      </c>
      <c r="O48" s="15">
        <f t="shared" si="0"/>
        <v>76</v>
      </c>
      <c r="P48" s="15">
        <f t="shared" si="1"/>
        <v>98</v>
      </c>
      <c r="R48" s="8"/>
      <c r="T48"/>
    </row>
    <row r="49" spans="2:20" ht="23.1" customHeight="1" x14ac:dyDescent="0.25">
      <c r="B49" s="23" t="s">
        <v>76</v>
      </c>
      <c r="C49" s="50">
        <v>12</v>
      </c>
      <c r="D49" s="50">
        <v>3</v>
      </c>
      <c r="E49" s="50">
        <v>4</v>
      </c>
      <c r="F49" s="50">
        <v>19</v>
      </c>
      <c r="G49" s="50">
        <v>3</v>
      </c>
      <c r="H49" s="50">
        <v>1</v>
      </c>
      <c r="I49" s="50">
        <v>1</v>
      </c>
      <c r="J49" s="50">
        <v>12</v>
      </c>
      <c r="K49" s="50">
        <v>4</v>
      </c>
      <c r="L49" s="50">
        <v>7</v>
      </c>
      <c r="M49" s="50">
        <v>28</v>
      </c>
      <c r="N49" s="50">
        <v>0</v>
      </c>
      <c r="O49" s="15">
        <f t="shared" si="0"/>
        <v>66</v>
      </c>
      <c r="P49" s="15">
        <f t="shared" si="1"/>
        <v>94</v>
      </c>
      <c r="R49" s="8"/>
      <c r="T49"/>
    </row>
    <row r="50" spans="2:20" ht="23.1" customHeight="1" x14ac:dyDescent="0.25">
      <c r="B50" s="24" t="s">
        <v>77</v>
      </c>
      <c r="C50" s="50">
        <v>13</v>
      </c>
      <c r="D50" s="50">
        <v>7</v>
      </c>
      <c r="E50" s="50">
        <v>2</v>
      </c>
      <c r="F50" s="50">
        <v>31</v>
      </c>
      <c r="G50" s="50">
        <v>1</v>
      </c>
      <c r="H50" s="50">
        <v>1</v>
      </c>
      <c r="I50" s="50">
        <v>4</v>
      </c>
      <c r="J50" s="50">
        <v>7</v>
      </c>
      <c r="K50" s="50">
        <v>3</v>
      </c>
      <c r="L50" s="50">
        <v>12</v>
      </c>
      <c r="M50" s="50">
        <v>23</v>
      </c>
      <c r="N50" s="50">
        <v>0</v>
      </c>
      <c r="O50" s="15">
        <f t="shared" si="0"/>
        <v>81</v>
      </c>
      <c r="P50" s="15">
        <f t="shared" si="1"/>
        <v>104</v>
      </c>
      <c r="R50" s="8"/>
      <c r="T50"/>
    </row>
    <row r="51" spans="2:20" ht="23.1" customHeight="1" x14ac:dyDescent="0.25">
      <c r="B51" s="24" t="s">
        <v>78</v>
      </c>
      <c r="C51" s="50">
        <v>10</v>
      </c>
      <c r="D51" s="50">
        <v>1</v>
      </c>
      <c r="E51" s="50">
        <v>1</v>
      </c>
      <c r="F51" s="50">
        <v>22</v>
      </c>
      <c r="G51" s="50">
        <v>1</v>
      </c>
      <c r="H51" s="50">
        <v>1</v>
      </c>
      <c r="I51" s="50">
        <v>2</v>
      </c>
      <c r="J51" s="50">
        <v>10</v>
      </c>
      <c r="K51" s="50">
        <v>1</v>
      </c>
      <c r="L51" s="50">
        <v>9</v>
      </c>
      <c r="M51" s="50">
        <v>29</v>
      </c>
      <c r="N51" s="50">
        <v>0</v>
      </c>
      <c r="O51" s="15">
        <f t="shared" si="0"/>
        <v>58</v>
      </c>
      <c r="P51" s="15">
        <f t="shared" si="1"/>
        <v>87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11</v>
      </c>
      <c r="E52" s="50">
        <v>3</v>
      </c>
      <c r="F52" s="50">
        <v>26</v>
      </c>
      <c r="G52" s="50">
        <v>3</v>
      </c>
      <c r="H52" s="50">
        <v>2</v>
      </c>
      <c r="I52" s="50">
        <v>2</v>
      </c>
      <c r="J52" s="50">
        <v>9</v>
      </c>
      <c r="K52" s="50">
        <v>1</v>
      </c>
      <c r="L52" s="50">
        <v>5</v>
      </c>
      <c r="M52" s="50">
        <v>29</v>
      </c>
      <c r="N52" s="50">
        <v>0</v>
      </c>
      <c r="O52" s="15">
        <f t="shared" si="0"/>
        <v>66</v>
      </c>
      <c r="P52" s="15">
        <f t="shared" si="1"/>
        <v>95</v>
      </c>
      <c r="R52" s="8"/>
      <c r="T52"/>
    </row>
    <row r="53" spans="2:20" ht="23.1" customHeight="1" x14ac:dyDescent="0.25">
      <c r="B53" s="23" t="s">
        <v>80</v>
      </c>
      <c r="C53" s="50">
        <v>11</v>
      </c>
      <c r="D53" s="50">
        <v>6</v>
      </c>
      <c r="E53" s="50">
        <v>1</v>
      </c>
      <c r="F53" s="50">
        <v>28</v>
      </c>
      <c r="G53" s="50">
        <v>4</v>
      </c>
      <c r="H53" s="50">
        <v>1</v>
      </c>
      <c r="I53" s="50">
        <v>1</v>
      </c>
      <c r="J53" s="50">
        <v>6</v>
      </c>
      <c r="K53" s="50">
        <v>3</v>
      </c>
      <c r="L53" s="50">
        <v>7</v>
      </c>
      <c r="M53" s="50">
        <v>32</v>
      </c>
      <c r="N53" s="50">
        <v>0</v>
      </c>
      <c r="O53" s="15">
        <f t="shared" si="0"/>
        <v>68</v>
      </c>
      <c r="P53" s="15">
        <f t="shared" si="1"/>
        <v>100</v>
      </c>
      <c r="R53" s="8"/>
      <c r="T53"/>
    </row>
    <row r="54" spans="2:20" ht="23.1" customHeight="1" x14ac:dyDescent="0.25">
      <c r="B54" s="23" t="s">
        <v>81</v>
      </c>
      <c r="C54" s="50">
        <v>13</v>
      </c>
      <c r="D54" s="50">
        <v>6</v>
      </c>
      <c r="E54" s="50">
        <v>3</v>
      </c>
      <c r="F54" s="50">
        <v>39</v>
      </c>
      <c r="G54" s="50">
        <v>2</v>
      </c>
      <c r="H54" s="50">
        <v>0</v>
      </c>
      <c r="I54" s="50">
        <v>3</v>
      </c>
      <c r="J54" s="50">
        <v>7</v>
      </c>
      <c r="K54" s="50">
        <v>1</v>
      </c>
      <c r="L54" s="50">
        <v>7</v>
      </c>
      <c r="M54" s="50">
        <v>14</v>
      </c>
      <c r="N54" s="50">
        <v>0</v>
      </c>
      <c r="O54" s="15">
        <f t="shared" si="0"/>
        <v>81</v>
      </c>
      <c r="P54" s="15">
        <f t="shared" si="1"/>
        <v>95</v>
      </c>
      <c r="R54" s="8"/>
      <c r="T54"/>
    </row>
    <row r="55" spans="2:20" ht="23.1" customHeight="1" x14ac:dyDescent="0.25">
      <c r="B55" s="23" t="s">
        <v>82</v>
      </c>
      <c r="C55" s="50">
        <v>19</v>
      </c>
      <c r="D55" s="50">
        <v>0</v>
      </c>
      <c r="E55" s="50">
        <v>4</v>
      </c>
      <c r="F55" s="50">
        <v>31</v>
      </c>
      <c r="G55" s="50">
        <v>0</v>
      </c>
      <c r="H55" s="50">
        <v>1</v>
      </c>
      <c r="I55" s="50">
        <v>1</v>
      </c>
      <c r="J55" s="50">
        <v>5</v>
      </c>
      <c r="K55" s="50">
        <v>1</v>
      </c>
      <c r="L55" s="50">
        <v>8</v>
      </c>
      <c r="M55" s="50">
        <v>19</v>
      </c>
      <c r="N55" s="50">
        <v>0</v>
      </c>
      <c r="O55" s="15">
        <f t="shared" si="0"/>
        <v>70</v>
      </c>
      <c r="P55" s="15">
        <f t="shared" si="1"/>
        <v>89</v>
      </c>
      <c r="R55" s="8"/>
      <c r="T55"/>
    </row>
    <row r="56" spans="2:20" ht="23.1" customHeight="1" x14ac:dyDescent="0.25">
      <c r="B56" s="23" t="s">
        <v>83</v>
      </c>
      <c r="C56" s="50">
        <v>27</v>
      </c>
      <c r="D56" s="50">
        <v>4</v>
      </c>
      <c r="E56" s="50">
        <v>6</v>
      </c>
      <c r="F56" s="50">
        <v>28</v>
      </c>
      <c r="G56" s="50">
        <v>1</v>
      </c>
      <c r="H56" s="50">
        <v>1</v>
      </c>
      <c r="I56" s="50">
        <v>3</v>
      </c>
      <c r="J56" s="50">
        <v>3</v>
      </c>
      <c r="K56" s="50">
        <v>1</v>
      </c>
      <c r="L56" s="50">
        <v>22</v>
      </c>
      <c r="M56" s="50">
        <v>24</v>
      </c>
      <c r="N56" s="50">
        <v>0</v>
      </c>
      <c r="O56" s="15">
        <f t="shared" si="0"/>
        <v>96</v>
      </c>
      <c r="P56" s="15">
        <f t="shared" si="1"/>
        <v>120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2</v>
      </c>
      <c r="E57" s="50">
        <v>4</v>
      </c>
      <c r="F57" s="50">
        <v>32</v>
      </c>
      <c r="G57" s="50">
        <v>0</v>
      </c>
      <c r="H57" s="50">
        <v>0</v>
      </c>
      <c r="I57" s="50">
        <v>1</v>
      </c>
      <c r="J57" s="50">
        <v>6</v>
      </c>
      <c r="K57" s="50">
        <v>0</v>
      </c>
      <c r="L57" s="50">
        <v>6</v>
      </c>
      <c r="M57" s="50" t="s">
        <v>178</v>
      </c>
      <c r="N57" s="50">
        <v>0</v>
      </c>
      <c r="O57" s="15">
        <f t="shared" si="0"/>
        <v>56</v>
      </c>
      <c r="P57" s="15">
        <f t="shared" si="1"/>
        <v>56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529</v>
      </c>
      <c r="D58" s="16">
        <f t="shared" si="21"/>
        <v>207</v>
      </c>
      <c r="E58" s="16">
        <f t="shared" si="21"/>
        <v>173</v>
      </c>
      <c r="F58" s="16">
        <f t="shared" si="21"/>
        <v>1358</v>
      </c>
      <c r="G58" s="16">
        <f t="shared" si="21"/>
        <v>81</v>
      </c>
      <c r="H58" s="16">
        <f t="shared" si="21"/>
        <v>27</v>
      </c>
      <c r="I58" s="16">
        <f t="shared" si="21"/>
        <v>111</v>
      </c>
      <c r="J58" s="16">
        <f t="shared" si="21"/>
        <v>331</v>
      </c>
      <c r="K58" s="16">
        <f t="shared" si="21"/>
        <v>72</v>
      </c>
      <c r="L58" s="16">
        <f t="shared" si="21"/>
        <v>514</v>
      </c>
      <c r="M58" s="16">
        <f t="shared" si="21"/>
        <v>1036</v>
      </c>
      <c r="N58" s="16">
        <f t="shared" si="21"/>
        <v>25</v>
      </c>
      <c r="O58" s="16">
        <f t="shared" si="21"/>
        <v>3428</v>
      </c>
      <c r="P58" s="16">
        <f t="shared" si="21"/>
        <v>4464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0.11850358422939068</v>
      </c>
      <c r="D59" s="43">
        <f t="shared" si="22"/>
        <v>4.6370967741935484E-2</v>
      </c>
      <c r="E59" s="43">
        <f t="shared" si="22"/>
        <v>3.8754480286738349E-2</v>
      </c>
      <c r="F59" s="43">
        <f t="shared" si="22"/>
        <v>0.30421146953405021</v>
      </c>
      <c r="G59" s="43">
        <f t="shared" si="22"/>
        <v>1.8145161290322582E-2</v>
      </c>
      <c r="H59" s="43">
        <f t="shared" si="22"/>
        <v>6.0483870967741934E-3</v>
      </c>
      <c r="I59" s="43">
        <f t="shared" si="22"/>
        <v>2.4865591397849461E-2</v>
      </c>
      <c r="J59" s="43">
        <f t="shared" si="22"/>
        <v>7.4148745519713261E-2</v>
      </c>
      <c r="K59" s="43">
        <f t="shared" si="22"/>
        <v>1.6129032258064516E-2</v>
      </c>
      <c r="L59" s="43">
        <f t="shared" si="22"/>
        <v>0.11514336917562724</v>
      </c>
      <c r="M59" s="43">
        <f t="shared" si="22"/>
        <v>0.23207885304659498</v>
      </c>
      <c r="N59" s="43">
        <f t="shared" si="22"/>
        <v>5.600358422939068E-3</v>
      </c>
      <c r="R59" s="8"/>
      <c r="T59"/>
    </row>
    <row r="60" spans="2:20" ht="23.1" customHeight="1" x14ac:dyDescent="0.25">
      <c r="B60" s="42" t="s">
        <v>94</v>
      </c>
      <c r="C60" s="44">
        <f>C58/$O$58</f>
        <v>0.15431738623103849</v>
      </c>
      <c r="D60" s="44">
        <f t="shared" ref="D60:N60" si="23">D58/$O$58</f>
        <v>6.038506417736289E-2</v>
      </c>
      <c r="E60" s="44">
        <f t="shared" si="23"/>
        <v>5.0466744457409569E-2</v>
      </c>
      <c r="F60" s="44">
        <f t="shared" si="23"/>
        <v>0.39614935822637104</v>
      </c>
      <c r="G60" s="44">
        <f t="shared" si="23"/>
        <v>2.3628938156359393E-2</v>
      </c>
      <c r="H60" s="44">
        <f t="shared" si="23"/>
        <v>7.8763127187864643E-3</v>
      </c>
      <c r="I60" s="44">
        <f t="shared" si="23"/>
        <v>3.2380396732788801E-2</v>
      </c>
      <c r="J60" s="44">
        <f t="shared" si="23"/>
        <v>9.6557759626604428E-2</v>
      </c>
      <c r="K60" s="44">
        <f t="shared" si="23"/>
        <v>2.1003500583430573E-2</v>
      </c>
      <c r="L60" s="44">
        <f t="shared" si="23"/>
        <v>0.1499416569428238</v>
      </c>
      <c r="M60" s="44"/>
      <c r="N60" s="44">
        <f t="shared" si="23"/>
        <v>7.2928821470245042E-3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topLeftCell="A25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Kampala-Jinja'!C3:G3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'27.10 JINJA-KAMPALA'!D5</f>
        <v>25.07.19</v>
      </c>
      <c r="E5" s="3"/>
      <c r="F5" s="41" t="s">
        <v>1</v>
      </c>
      <c r="G5" s="63" t="str">
        <f>'27.10 JINJA-KAMPALA'!G5:H5</f>
        <v>Nakibbizi</v>
      </c>
      <c r="H5" s="64"/>
      <c r="I5" s="14"/>
      <c r="J5" s="2" t="s">
        <v>5</v>
      </c>
      <c r="K5" s="63" t="s">
        <v>179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Kampala-Jinja'!D6:E6</f>
        <v>Kampala</v>
      </c>
      <c r="E6" s="64"/>
      <c r="F6" s="2" t="s">
        <v>2</v>
      </c>
      <c r="G6" s="63" t="str">
        <f>'17.10 Kampala-Jinja'!G6:H6</f>
        <v>Jinja</v>
      </c>
      <c r="H6" s="64"/>
      <c r="J6" s="2" t="s">
        <v>21</v>
      </c>
      <c r="K6" s="63" t="str">
        <f>'27.10 JINJA-KAMPALA'!K6:L6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1</v>
      </c>
      <c r="E10" s="50">
        <v>0</v>
      </c>
      <c r="F10" s="50">
        <v>11</v>
      </c>
      <c r="G10" s="50">
        <v>1</v>
      </c>
      <c r="H10" s="50">
        <v>0</v>
      </c>
      <c r="I10" s="50">
        <v>6</v>
      </c>
      <c r="J10" s="50">
        <v>3</v>
      </c>
      <c r="K10" s="50">
        <v>4</v>
      </c>
      <c r="L10" s="50">
        <v>5</v>
      </c>
      <c r="M10" s="50">
        <v>9</v>
      </c>
      <c r="N10" s="50">
        <v>0</v>
      </c>
      <c r="O10" s="15">
        <f t="shared" ref="O10:O57" si="0">SUM(C10:L10,N10)</f>
        <v>35</v>
      </c>
      <c r="P10" s="15">
        <f t="shared" ref="P10:P57" si="1">SUM(C10:N10)</f>
        <v>44</v>
      </c>
      <c r="R10" s="1" t="s">
        <v>6</v>
      </c>
      <c r="S10" s="17">
        <f t="shared" ref="S10:AF10" si="2">SUM(C10:C13)</f>
        <v>40</v>
      </c>
      <c r="T10" s="17">
        <f t="shared" si="2"/>
        <v>18</v>
      </c>
      <c r="U10" s="17">
        <f t="shared" si="2"/>
        <v>6</v>
      </c>
      <c r="V10" s="17">
        <f t="shared" si="2"/>
        <v>91</v>
      </c>
      <c r="W10" s="17">
        <f t="shared" si="2"/>
        <v>27</v>
      </c>
      <c r="X10" s="17">
        <f t="shared" si="2"/>
        <v>0</v>
      </c>
      <c r="Y10" s="17">
        <f t="shared" si="2"/>
        <v>15</v>
      </c>
      <c r="Z10" s="17">
        <f t="shared" si="2"/>
        <v>17</v>
      </c>
      <c r="AA10" s="17">
        <f t="shared" si="2"/>
        <v>9</v>
      </c>
      <c r="AB10" s="17">
        <f t="shared" si="2"/>
        <v>29</v>
      </c>
      <c r="AC10" s="17">
        <f t="shared" si="2"/>
        <v>37</v>
      </c>
      <c r="AD10" s="17">
        <f t="shared" si="2"/>
        <v>0</v>
      </c>
      <c r="AE10" s="31">
        <f t="shared" si="2"/>
        <v>252</v>
      </c>
      <c r="AF10" s="31">
        <f t="shared" si="2"/>
        <v>289</v>
      </c>
    </row>
    <row r="11" spans="2:32" s="6" customFormat="1" ht="23.1" customHeight="1" x14ac:dyDescent="0.25">
      <c r="B11" s="23" t="s">
        <v>38</v>
      </c>
      <c r="C11" s="50">
        <v>6</v>
      </c>
      <c r="D11" s="50">
        <v>2</v>
      </c>
      <c r="E11" s="50">
        <v>1</v>
      </c>
      <c r="F11" s="50">
        <v>15</v>
      </c>
      <c r="G11" s="50">
        <v>1</v>
      </c>
      <c r="H11" s="50">
        <v>0</v>
      </c>
      <c r="I11" s="50">
        <v>3</v>
      </c>
      <c r="J11" s="50">
        <v>3</v>
      </c>
      <c r="K11" s="50">
        <v>2</v>
      </c>
      <c r="L11" s="50">
        <v>7</v>
      </c>
      <c r="M11" s="50">
        <v>10</v>
      </c>
      <c r="N11" s="50">
        <v>0</v>
      </c>
      <c r="O11" s="15">
        <f t="shared" si="0"/>
        <v>40</v>
      </c>
      <c r="P11" s="15">
        <f t="shared" si="1"/>
        <v>50</v>
      </c>
      <c r="R11" s="1" t="s">
        <v>7</v>
      </c>
      <c r="S11" s="17">
        <f t="shared" ref="S11:AF11" si="3">SUM(C14:C17)</f>
        <v>34</v>
      </c>
      <c r="T11" s="17">
        <f t="shared" si="3"/>
        <v>19</v>
      </c>
      <c r="U11" s="17">
        <f t="shared" si="3"/>
        <v>12</v>
      </c>
      <c r="V11" s="17">
        <f t="shared" si="3"/>
        <v>82</v>
      </c>
      <c r="W11" s="17">
        <f t="shared" si="3"/>
        <v>3</v>
      </c>
      <c r="X11" s="17">
        <f t="shared" si="3"/>
        <v>0</v>
      </c>
      <c r="Y11" s="17">
        <f t="shared" si="3"/>
        <v>9</v>
      </c>
      <c r="Z11" s="17">
        <f t="shared" si="3"/>
        <v>13</v>
      </c>
      <c r="AA11" s="17">
        <f t="shared" si="3"/>
        <v>8</v>
      </c>
      <c r="AB11" s="17">
        <f t="shared" si="3"/>
        <v>33</v>
      </c>
      <c r="AC11" s="17">
        <f t="shared" si="3"/>
        <v>50</v>
      </c>
      <c r="AD11" s="17">
        <f t="shared" si="3"/>
        <v>0</v>
      </c>
      <c r="AE11" s="31">
        <f t="shared" si="3"/>
        <v>213</v>
      </c>
      <c r="AF11" s="31">
        <f t="shared" si="3"/>
        <v>263</v>
      </c>
    </row>
    <row r="12" spans="2:32" ht="23.1" customHeight="1" x14ac:dyDescent="0.25">
      <c r="B12" s="23" t="s">
        <v>39</v>
      </c>
      <c r="C12" s="50">
        <v>15</v>
      </c>
      <c r="D12" s="50">
        <v>8</v>
      </c>
      <c r="E12" s="50">
        <v>1</v>
      </c>
      <c r="F12" s="50">
        <v>28</v>
      </c>
      <c r="G12" s="50">
        <v>23</v>
      </c>
      <c r="H12" s="50">
        <v>0</v>
      </c>
      <c r="I12" s="50">
        <v>3</v>
      </c>
      <c r="J12" s="50">
        <v>3</v>
      </c>
      <c r="K12" s="50">
        <v>2</v>
      </c>
      <c r="L12" s="50">
        <v>7</v>
      </c>
      <c r="M12" s="50">
        <v>10</v>
      </c>
      <c r="N12" s="50">
        <v>0</v>
      </c>
      <c r="O12" s="15">
        <f t="shared" si="0"/>
        <v>90</v>
      </c>
      <c r="P12" s="15">
        <f t="shared" si="1"/>
        <v>100</v>
      </c>
      <c r="R12" s="1" t="s">
        <v>8</v>
      </c>
      <c r="S12" s="17">
        <f t="shared" ref="S12:AF12" si="4">SUM(C18:C21)</f>
        <v>46</v>
      </c>
      <c r="T12" s="17">
        <f t="shared" si="4"/>
        <v>37</v>
      </c>
      <c r="U12" s="17">
        <f t="shared" si="4"/>
        <v>20</v>
      </c>
      <c r="V12" s="17">
        <f t="shared" si="4"/>
        <v>78</v>
      </c>
      <c r="W12" s="17">
        <f t="shared" si="4"/>
        <v>6</v>
      </c>
      <c r="X12" s="17">
        <f t="shared" si="4"/>
        <v>3</v>
      </c>
      <c r="Y12" s="17">
        <f t="shared" si="4"/>
        <v>12</v>
      </c>
      <c r="Z12" s="17">
        <f t="shared" si="4"/>
        <v>23</v>
      </c>
      <c r="AA12" s="17">
        <f t="shared" si="4"/>
        <v>5</v>
      </c>
      <c r="AB12" s="17">
        <f t="shared" si="4"/>
        <v>19</v>
      </c>
      <c r="AC12" s="17">
        <f t="shared" si="4"/>
        <v>42</v>
      </c>
      <c r="AD12" s="17">
        <f t="shared" si="4"/>
        <v>0</v>
      </c>
      <c r="AE12" s="31">
        <f t="shared" si="4"/>
        <v>249</v>
      </c>
      <c r="AF12" s="31">
        <f t="shared" si="4"/>
        <v>291</v>
      </c>
    </row>
    <row r="13" spans="2:32" ht="23.1" customHeight="1" x14ac:dyDescent="0.25">
      <c r="B13" s="23" t="s">
        <v>40</v>
      </c>
      <c r="C13" s="50">
        <v>15</v>
      </c>
      <c r="D13" s="50">
        <v>7</v>
      </c>
      <c r="E13" s="50">
        <v>4</v>
      </c>
      <c r="F13" s="50">
        <v>37</v>
      </c>
      <c r="G13" s="50">
        <v>2</v>
      </c>
      <c r="H13" s="50">
        <v>0</v>
      </c>
      <c r="I13" s="50">
        <v>3</v>
      </c>
      <c r="J13" s="50">
        <v>8</v>
      </c>
      <c r="K13" s="50">
        <v>1</v>
      </c>
      <c r="L13" s="50">
        <v>10</v>
      </c>
      <c r="M13" s="50">
        <v>8</v>
      </c>
      <c r="N13" s="50">
        <v>0</v>
      </c>
      <c r="O13" s="15">
        <f t="shared" si="0"/>
        <v>87</v>
      </c>
      <c r="P13" s="15">
        <f t="shared" si="1"/>
        <v>95</v>
      </c>
      <c r="R13" s="1" t="s">
        <v>9</v>
      </c>
      <c r="S13" s="17">
        <f t="shared" ref="S13:AF13" si="5">SUM(C22:C25)</f>
        <v>50</v>
      </c>
      <c r="T13" s="17">
        <f t="shared" si="5"/>
        <v>23</v>
      </c>
      <c r="U13" s="17">
        <f t="shared" si="5"/>
        <v>17</v>
      </c>
      <c r="V13" s="17">
        <f t="shared" si="5"/>
        <v>97</v>
      </c>
      <c r="W13" s="17">
        <f t="shared" si="5"/>
        <v>3</v>
      </c>
      <c r="X13" s="17">
        <f t="shared" si="5"/>
        <v>1</v>
      </c>
      <c r="Y13" s="17">
        <f t="shared" si="5"/>
        <v>10</v>
      </c>
      <c r="Z13" s="17">
        <f t="shared" si="5"/>
        <v>23</v>
      </c>
      <c r="AA13" s="17">
        <f t="shared" si="5"/>
        <v>12</v>
      </c>
      <c r="AB13" s="17">
        <f t="shared" si="5"/>
        <v>18</v>
      </c>
      <c r="AC13" s="17">
        <f t="shared" si="5"/>
        <v>71</v>
      </c>
      <c r="AD13" s="17">
        <f t="shared" si="5"/>
        <v>0</v>
      </c>
      <c r="AE13" s="31">
        <f t="shared" si="5"/>
        <v>254</v>
      </c>
      <c r="AF13" s="31">
        <f t="shared" si="5"/>
        <v>325</v>
      </c>
    </row>
    <row r="14" spans="2:32" ht="23.1" customHeight="1" x14ac:dyDescent="0.25">
      <c r="B14" s="23" t="s">
        <v>41</v>
      </c>
      <c r="C14" s="50">
        <v>12</v>
      </c>
      <c r="D14" s="50">
        <v>5</v>
      </c>
      <c r="E14" s="50">
        <v>6</v>
      </c>
      <c r="F14" s="50">
        <v>30</v>
      </c>
      <c r="G14" s="50">
        <v>2</v>
      </c>
      <c r="H14" s="50">
        <v>0</v>
      </c>
      <c r="I14" s="50">
        <v>1</v>
      </c>
      <c r="J14" s="50">
        <v>5</v>
      </c>
      <c r="K14" s="50">
        <v>2</v>
      </c>
      <c r="L14" s="50">
        <v>9</v>
      </c>
      <c r="M14" s="50">
        <v>8</v>
      </c>
      <c r="N14" s="50">
        <v>0</v>
      </c>
      <c r="O14" s="15">
        <f t="shared" si="0"/>
        <v>72</v>
      </c>
      <c r="P14" s="15">
        <f t="shared" si="1"/>
        <v>80</v>
      </c>
      <c r="R14" s="1" t="s">
        <v>10</v>
      </c>
      <c r="S14" s="17">
        <f t="shared" ref="S14:AF14" si="6">SUM(C26:C29)</f>
        <v>55</v>
      </c>
      <c r="T14" s="17">
        <f t="shared" si="6"/>
        <v>29</v>
      </c>
      <c r="U14" s="17">
        <f t="shared" si="6"/>
        <v>24</v>
      </c>
      <c r="V14" s="17">
        <f t="shared" si="6"/>
        <v>109</v>
      </c>
      <c r="W14" s="17">
        <f t="shared" si="6"/>
        <v>2</v>
      </c>
      <c r="X14" s="17">
        <f t="shared" si="6"/>
        <v>4</v>
      </c>
      <c r="Y14" s="17">
        <f t="shared" si="6"/>
        <v>10</v>
      </c>
      <c r="Z14" s="17">
        <f t="shared" si="6"/>
        <v>17</v>
      </c>
      <c r="AA14" s="17">
        <f t="shared" si="6"/>
        <v>2</v>
      </c>
      <c r="AB14" s="17">
        <f t="shared" si="6"/>
        <v>23</v>
      </c>
      <c r="AC14" s="17">
        <f t="shared" si="6"/>
        <v>79</v>
      </c>
      <c r="AD14" s="17">
        <f t="shared" si="6"/>
        <v>0</v>
      </c>
      <c r="AE14" s="31">
        <f t="shared" si="6"/>
        <v>275</v>
      </c>
      <c r="AF14" s="31">
        <f t="shared" si="6"/>
        <v>354</v>
      </c>
    </row>
    <row r="15" spans="2:32" ht="23.1" customHeight="1" x14ac:dyDescent="0.25">
      <c r="B15" s="23" t="s">
        <v>42</v>
      </c>
      <c r="C15" s="50">
        <v>8</v>
      </c>
      <c r="D15" s="50">
        <v>4</v>
      </c>
      <c r="E15" s="50">
        <v>3</v>
      </c>
      <c r="F15" s="50">
        <v>13</v>
      </c>
      <c r="G15" s="50">
        <v>0</v>
      </c>
      <c r="H15" s="50">
        <v>0</v>
      </c>
      <c r="I15" s="50">
        <v>1</v>
      </c>
      <c r="J15" s="50">
        <v>3</v>
      </c>
      <c r="K15" s="50">
        <v>2</v>
      </c>
      <c r="L15" s="50">
        <v>5</v>
      </c>
      <c r="M15" s="50">
        <v>19</v>
      </c>
      <c r="N15" s="50">
        <v>0</v>
      </c>
      <c r="O15" s="15">
        <f t="shared" si="0"/>
        <v>39</v>
      </c>
      <c r="P15" s="15">
        <f t="shared" si="1"/>
        <v>58</v>
      </c>
      <c r="R15" s="1" t="s">
        <v>11</v>
      </c>
      <c r="S15" s="17">
        <f t="shared" ref="S15:AF15" si="7">SUM(C30:C33)</f>
        <v>39</v>
      </c>
      <c r="T15" s="17">
        <f t="shared" si="7"/>
        <v>14</v>
      </c>
      <c r="U15" s="17">
        <f t="shared" si="7"/>
        <v>14</v>
      </c>
      <c r="V15" s="17">
        <f t="shared" si="7"/>
        <v>111</v>
      </c>
      <c r="W15" s="17">
        <f t="shared" si="7"/>
        <v>3</v>
      </c>
      <c r="X15" s="17">
        <f t="shared" si="7"/>
        <v>1</v>
      </c>
      <c r="Y15" s="17">
        <f t="shared" si="7"/>
        <v>16</v>
      </c>
      <c r="Z15" s="17">
        <f t="shared" si="7"/>
        <v>18</v>
      </c>
      <c r="AA15" s="17">
        <f t="shared" si="7"/>
        <v>2</v>
      </c>
      <c r="AB15" s="17">
        <f t="shared" si="7"/>
        <v>51</v>
      </c>
      <c r="AC15" s="17">
        <f t="shared" si="7"/>
        <v>90</v>
      </c>
      <c r="AD15" s="17">
        <f t="shared" si="7"/>
        <v>0</v>
      </c>
      <c r="AE15" s="31">
        <f t="shared" si="7"/>
        <v>269</v>
      </c>
      <c r="AF15" s="31">
        <f t="shared" si="7"/>
        <v>359</v>
      </c>
    </row>
    <row r="16" spans="2:32" ht="23.1" customHeight="1" x14ac:dyDescent="0.25">
      <c r="B16" s="23" t="s">
        <v>43</v>
      </c>
      <c r="C16" s="50">
        <v>9</v>
      </c>
      <c r="D16" s="50">
        <v>4</v>
      </c>
      <c r="E16" s="50">
        <v>2</v>
      </c>
      <c r="F16" s="50">
        <v>20</v>
      </c>
      <c r="G16" s="50">
        <v>0</v>
      </c>
      <c r="H16" s="50">
        <v>0</v>
      </c>
      <c r="I16" s="50">
        <v>5</v>
      </c>
      <c r="J16" s="50">
        <v>5</v>
      </c>
      <c r="K16" s="50">
        <v>4</v>
      </c>
      <c r="L16" s="50">
        <v>15</v>
      </c>
      <c r="M16" s="50">
        <v>23</v>
      </c>
      <c r="N16" s="50">
        <v>0</v>
      </c>
      <c r="O16" s="15">
        <f t="shared" si="0"/>
        <v>64</v>
      </c>
      <c r="P16" s="15">
        <f t="shared" si="1"/>
        <v>87</v>
      </c>
      <c r="R16" s="1" t="s">
        <v>12</v>
      </c>
      <c r="S16" s="17">
        <f t="shared" ref="S16:AF16" si="8">SUM(C34:C37)</f>
        <v>41</v>
      </c>
      <c r="T16" s="17">
        <f t="shared" si="8"/>
        <v>32</v>
      </c>
      <c r="U16" s="17">
        <f t="shared" si="8"/>
        <v>18</v>
      </c>
      <c r="V16" s="17">
        <f t="shared" si="8"/>
        <v>98</v>
      </c>
      <c r="W16" s="17">
        <f t="shared" si="8"/>
        <v>2</v>
      </c>
      <c r="X16" s="17">
        <f t="shared" si="8"/>
        <v>1</v>
      </c>
      <c r="Y16" s="17">
        <f t="shared" si="8"/>
        <v>17</v>
      </c>
      <c r="Z16" s="17">
        <f t="shared" si="8"/>
        <v>31</v>
      </c>
      <c r="AA16" s="17">
        <f t="shared" si="8"/>
        <v>4</v>
      </c>
      <c r="AB16" s="17">
        <f t="shared" si="8"/>
        <v>62</v>
      </c>
      <c r="AC16" s="17">
        <f t="shared" si="8"/>
        <v>90</v>
      </c>
      <c r="AD16" s="17">
        <f t="shared" si="8"/>
        <v>0</v>
      </c>
      <c r="AE16" s="31">
        <f t="shared" si="8"/>
        <v>306</v>
      </c>
      <c r="AF16" s="31">
        <f t="shared" si="8"/>
        <v>396</v>
      </c>
    </row>
    <row r="17" spans="2:32" ht="23.1" customHeight="1" x14ac:dyDescent="0.25">
      <c r="B17" s="23" t="s">
        <v>44</v>
      </c>
      <c r="C17" s="50">
        <v>5</v>
      </c>
      <c r="D17" s="50">
        <v>6</v>
      </c>
      <c r="E17" s="50">
        <v>1</v>
      </c>
      <c r="F17" s="50">
        <v>19</v>
      </c>
      <c r="G17" s="50">
        <v>1</v>
      </c>
      <c r="H17" s="50">
        <v>0</v>
      </c>
      <c r="I17" s="50">
        <v>2</v>
      </c>
      <c r="J17" s="50">
        <v>0</v>
      </c>
      <c r="K17" s="50">
        <v>0</v>
      </c>
      <c r="L17" s="50">
        <v>4</v>
      </c>
      <c r="M17" s="50">
        <v>0</v>
      </c>
      <c r="N17" s="50">
        <v>0</v>
      </c>
      <c r="O17" s="15">
        <f t="shared" si="0"/>
        <v>38</v>
      </c>
      <c r="P17" s="15">
        <f t="shared" si="1"/>
        <v>38</v>
      </c>
      <c r="R17" s="1" t="s">
        <v>13</v>
      </c>
      <c r="S17" s="17">
        <f t="shared" ref="S17:AF17" si="9">SUM(C38:C41)</f>
        <v>44</v>
      </c>
      <c r="T17" s="17">
        <f t="shared" si="9"/>
        <v>15</v>
      </c>
      <c r="U17" s="17">
        <f t="shared" si="9"/>
        <v>9</v>
      </c>
      <c r="V17" s="17">
        <f t="shared" si="9"/>
        <v>96</v>
      </c>
      <c r="W17" s="17">
        <f t="shared" si="9"/>
        <v>2</v>
      </c>
      <c r="X17" s="17">
        <f t="shared" si="9"/>
        <v>3</v>
      </c>
      <c r="Y17" s="17">
        <f t="shared" si="9"/>
        <v>20</v>
      </c>
      <c r="Z17" s="17">
        <f t="shared" si="9"/>
        <v>13</v>
      </c>
      <c r="AA17" s="17">
        <f t="shared" si="9"/>
        <v>4</v>
      </c>
      <c r="AB17" s="17">
        <f t="shared" si="9"/>
        <v>41</v>
      </c>
      <c r="AC17" s="17">
        <f t="shared" si="9"/>
        <v>78</v>
      </c>
      <c r="AD17" s="17">
        <f t="shared" si="9"/>
        <v>0</v>
      </c>
      <c r="AE17" s="31">
        <f t="shared" si="9"/>
        <v>247</v>
      </c>
      <c r="AF17" s="31">
        <f t="shared" si="9"/>
        <v>325</v>
      </c>
    </row>
    <row r="18" spans="2:32" ht="23.1" customHeight="1" x14ac:dyDescent="0.25">
      <c r="B18" s="23" t="s">
        <v>45</v>
      </c>
      <c r="C18" s="50">
        <v>12</v>
      </c>
      <c r="D18" s="50">
        <v>11</v>
      </c>
      <c r="E18" s="50">
        <v>8</v>
      </c>
      <c r="F18" s="50">
        <v>19</v>
      </c>
      <c r="G18" s="50">
        <v>1</v>
      </c>
      <c r="H18" s="50">
        <v>2</v>
      </c>
      <c r="I18" s="50">
        <v>5</v>
      </c>
      <c r="J18" s="50">
        <v>17</v>
      </c>
      <c r="K18" s="50">
        <v>3</v>
      </c>
      <c r="L18" s="50">
        <v>4</v>
      </c>
      <c r="M18" s="50">
        <v>17</v>
      </c>
      <c r="N18" s="50">
        <v>0</v>
      </c>
      <c r="O18" s="15">
        <f t="shared" si="0"/>
        <v>82</v>
      </c>
      <c r="P18" s="15">
        <f t="shared" si="1"/>
        <v>99</v>
      </c>
      <c r="R18" s="1" t="s">
        <v>14</v>
      </c>
      <c r="S18" s="17">
        <f t="shared" ref="S18:AF18" si="10">SUM(C42:C45)</f>
        <v>41</v>
      </c>
      <c r="T18" s="17">
        <f t="shared" si="10"/>
        <v>14</v>
      </c>
      <c r="U18" s="17">
        <f t="shared" si="10"/>
        <v>11</v>
      </c>
      <c r="V18" s="17">
        <f t="shared" si="10"/>
        <v>110</v>
      </c>
      <c r="W18" s="17">
        <f t="shared" si="10"/>
        <v>3</v>
      </c>
      <c r="X18" s="17">
        <f t="shared" si="10"/>
        <v>2</v>
      </c>
      <c r="Y18" s="17">
        <f t="shared" si="10"/>
        <v>13</v>
      </c>
      <c r="Z18" s="17">
        <f t="shared" si="10"/>
        <v>10</v>
      </c>
      <c r="AA18" s="17">
        <f t="shared" si="10"/>
        <v>2</v>
      </c>
      <c r="AB18" s="17">
        <f t="shared" si="10"/>
        <v>19</v>
      </c>
      <c r="AC18" s="17">
        <f t="shared" si="10"/>
        <v>60</v>
      </c>
      <c r="AD18" s="17">
        <f t="shared" si="10"/>
        <v>1</v>
      </c>
      <c r="AE18" s="31">
        <f t="shared" si="10"/>
        <v>226</v>
      </c>
      <c r="AF18" s="31">
        <f t="shared" si="10"/>
        <v>286</v>
      </c>
    </row>
    <row r="19" spans="2:32" ht="23.1" customHeight="1" x14ac:dyDescent="0.25">
      <c r="B19" s="23" t="s">
        <v>46</v>
      </c>
      <c r="C19" s="50">
        <v>10</v>
      </c>
      <c r="D19" s="50">
        <v>10</v>
      </c>
      <c r="E19" s="50">
        <v>3</v>
      </c>
      <c r="F19" s="50">
        <v>18</v>
      </c>
      <c r="G19" s="50">
        <v>2</v>
      </c>
      <c r="H19" s="50">
        <v>0</v>
      </c>
      <c r="I19" s="50">
        <v>3</v>
      </c>
      <c r="J19" s="50">
        <v>2</v>
      </c>
      <c r="K19" s="50">
        <v>1</v>
      </c>
      <c r="L19" s="50">
        <v>11</v>
      </c>
      <c r="M19" s="50">
        <v>0</v>
      </c>
      <c r="N19" s="50">
        <v>0</v>
      </c>
      <c r="O19" s="15">
        <f t="shared" si="0"/>
        <v>60</v>
      </c>
      <c r="P19" s="15">
        <f t="shared" si="1"/>
        <v>60</v>
      </c>
      <c r="R19" s="1" t="s">
        <v>15</v>
      </c>
      <c r="S19" s="17">
        <f t="shared" ref="S19:AF19" si="11">SUM(C46:C49)</f>
        <v>29</v>
      </c>
      <c r="T19" s="17">
        <f t="shared" si="11"/>
        <v>12</v>
      </c>
      <c r="U19" s="17">
        <f t="shared" si="11"/>
        <v>14</v>
      </c>
      <c r="V19" s="17">
        <f t="shared" si="11"/>
        <v>79</v>
      </c>
      <c r="W19" s="17">
        <f t="shared" si="11"/>
        <v>2</v>
      </c>
      <c r="X19" s="17">
        <f t="shared" si="11"/>
        <v>1</v>
      </c>
      <c r="Y19" s="17">
        <f t="shared" si="11"/>
        <v>11</v>
      </c>
      <c r="Z19" s="17">
        <f t="shared" si="11"/>
        <v>15</v>
      </c>
      <c r="AA19" s="17">
        <f t="shared" si="11"/>
        <v>2</v>
      </c>
      <c r="AB19" s="17">
        <f t="shared" si="11"/>
        <v>35</v>
      </c>
      <c r="AC19" s="17">
        <f t="shared" si="11"/>
        <v>60</v>
      </c>
      <c r="AD19" s="17">
        <f t="shared" si="11"/>
        <v>0</v>
      </c>
      <c r="AE19" s="31">
        <f t="shared" si="11"/>
        <v>200</v>
      </c>
      <c r="AF19" s="31">
        <f t="shared" si="11"/>
        <v>260</v>
      </c>
    </row>
    <row r="20" spans="2:32" ht="23.1" customHeight="1" x14ac:dyDescent="0.25">
      <c r="B20" s="23" t="s">
        <v>47</v>
      </c>
      <c r="C20" s="50">
        <v>16</v>
      </c>
      <c r="D20" s="50">
        <v>9</v>
      </c>
      <c r="E20" s="50">
        <v>5</v>
      </c>
      <c r="F20" s="50">
        <v>27</v>
      </c>
      <c r="G20" s="50">
        <v>2</v>
      </c>
      <c r="H20" s="50">
        <v>1</v>
      </c>
      <c r="I20" s="50">
        <v>2</v>
      </c>
      <c r="J20" s="50">
        <v>3</v>
      </c>
      <c r="K20" s="50">
        <v>0</v>
      </c>
      <c r="L20" s="50">
        <v>3</v>
      </c>
      <c r="M20" s="50">
        <v>16</v>
      </c>
      <c r="N20" s="50">
        <v>0</v>
      </c>
      <c r="O20" s="15">
        <f t="shared" si="0"/>
        <v>68</v>
      </c>
      <c r="P20" s="15">
        <f t="shared" si="1"/>
        <v>84</v>
      </c>
      <c r="R20" s="1" t="s">
        <v>16</v>
      </c>
      <c r="S20" s="17">
        <f t="shared" ref="S20:AF20" si="12">SUM(C50:C53)</f>
        <v>51</v>
      </c>
      <c r="T20" s="17">
        <f t="shared" si="12"/>
        <v>32</v>
      </c>
      <c r="U20" s="17">
        <f t="shared" si="12"/>
        <v>18</v>
      </c>
      <c r="V20" s="17">
        <f t="shared" si="12"/>
        <v>118</v>
      </c>
      <c r="W20" s="17">
        <f t="shared" si="12"/>
        <v>7</v>
      </c>
      <c r="X20" s="17">
        <f t="shared" si="12"/>
        <v>2</v>
      </c>
      <c r="Y20" s="17">
        <f t="shared" si="12"/>
        <v>25</v>
      </c>
      <c r="Z20" s="17">
        <f t="shared" si="12"/>
        <v>30</v>
      </c>
      <c r="AA20" s="17">
        <f t="shared" si="12"/>
        <v>15</v>
      </c>
      <c r="AB20" s="17">
        <f t="shared" si="12"/>
        <v>123</v>
      </c>
      <c r="AC20" s="17">
        <f t="shared" si="12"/>
        <v>72</v>
      </c>
      <c r="AD20" s="17">
        <f t="shared" si="12"/>
        <v>0</v>
      </c>
      <c r="AE20" s="31">
        <f t="shared" si="12"/>
        <v>421</v>
      </c>
      <c r="AF20" s="31">
        <f t="shared" si="12"/>
        <v>493</v>
      </c>
    </row>
    <row r="21" spans="2:32" ht="23.1" customHeight="1" x14ac:dyDescent="0.25">
      <c r="B21" s="23" t="s">
        <v>48</v>
      </c>
      <c r="C21" s="50">
        <v>8</v>
      </c>
      <c r="D21" s="50">
        <v>7</v>
      </c>
      <c r="E21" s="50">
        <v>4</v>
      </c>
      <c r="F21" s="50">
        <v>14</v>
      </c>
      <c r="G21" s="50">
        <v>1</v>
      </c>
      <c r="H21" s="50">
        <v>0</v>
      </c>
      <c r="I21" s="50">
        <v>2</v>
      </c>
      <c r="J21" s="50">
        <v>1</v>
      </c>
      <c r="K21" s="50">
        <v>1</v>
      </c>
      <c r="L21" s="50">
        <v>1</v>
      </c>
      <c r="M21" s="50">
        <v>9</v>
      </c>
      <c r="N21" s="50">
        <v>0</v>
      </c>
      <c r="O21" s="15">
        <f t="shared" si="0"/>
        <v>39</v>
      </c>
      <c r="P21" s="15">
        <f t="shared" si="1"/>
        <v>48</v>
      </c>
      <c r="R21" s="36" t="s">
        <v>20</v>
      </c>
      <c r="S21" s="34">
        <f t="shared" ref="S21:AF21" si="13">SUM(C54:C57)</f>
        <v>66</v>
      </c>
      <c r="T21" s="17">
        <f t="shared" si="13"/>
        <v>31</v>
      </c>
      <c r="U21" s="17">
        <f t="shared" si="13"/>
        <v>29</v>
      </c>
      <c r="V21" s="17">
        <f t="shared" si="13"/>
        <v>151</v>
      </c>
      <c r="W21" s="17">
        <f t="shared" si="13"/>
        <v>3</v>
      </c>
      <c r="X21" s="17">
        <f t="shared" si="13"/>
        <v>2</v>
      </c>
      <c r="Y21" s="17">
        <f t="shared" si="13"/>
        <v>26</v>
      </c>
      <c r="Z21" s="17">
        <f t="shared" si="13"/>
        <v>25</v>
      </c>
      <c r="AA21" s="17">
        <f t="shared" si="13"/>
        <v>13</v>
      </c>
      <c r="AB21" s="17">
        <f t="shared" si="13"/>
        <v>163</v>
      </c>
      <c r="AC21" s="17">
        <f t="shared" si="13"/>
        <v>71</v>
      </c>
      <c r="AD21" s="17">
        <f t="shared" si="13"/>
        <v>0</v>
      </c>
      <c r="AE21" s="31">
        <f t="shared" si="13"/>
        <v>509</v>
      </c>
      <c r="AF21" s="31">
        <f t="shared" si="13"/>
        <v>580</v>
      </c>
    </row>
    <row r="22" spans="2:32" ht="23.1" customHeight="1" x14ac:dyDescent="0.25">
      <c r="B22" s="23" t="s">
        <v>49</v>
      </c>
      <c r="C22" s="50">
        <v>16</v>
      </c>
      <c r="D22" s="50">
        <v>8</v>
      </c>
      <c r="E22" s="50">
        <v>3</v>
      </c>
      <c r="F22" s="50">
        <v>29</v>
      </c>
      <c r="G22" s="50">
        <v>1</v>
      </c>
      <c r="H22" s="50">
        <v>1</v>
      </c>
      <c r="I22" s="50">
        <v>1</v>
      </c>
      <c r="J22" s="50">
        <v>3</v>
      </c>
      <c r="K22" s="50">
        <v>0</v>
      </c>
      <c r="L22" s="50">
        <v>2</v>
      </c>
      <c r="M22" s="50">
        <v>18</v>
      </c>
      <c r="N22" s="50">
        <v>0</v>
      </c>
      <c r="O22" s="15">
        <f t="shared" si="0"/>
        <v>64</v>
      </c>
      <c r="P22" s="15">
        <f t="shared" si="1"/>
        <v>82</v>
      </c>
      <c r="R22" s="38" t="s">
        <v>90</v>
      </c>
      <c r="S22" s="39">
        <f>MAX(S10:S12)</f>
        <v>46</v>
      </c>
      <c r="T22" s="39">
        <f t="shared" ref="T22:AF22" si="14">MAX(T10:T12)</f>
        <v>37</v>
      </c>
      <c r="U22" s="39">
        <f t="shared" si="14"/>
        <v>20</v>
      </c>
      <c r="V22" s="39">
        <f t="shared" si="14"/>
        <v>91</v>
      </c>
      <c r="W22" s="39">
        <f t="shared" si="14"/>
        <v>27</v>
      </c>
      <c r="X22" s="39">
        <f t="shared" si="14"/>
        <v>3</v>
      </c>
      <c r="Y22" s="39">
        <f t="shared" si="14"/>
        <v>15</v>
      </c>
      <c r="Z22" s="39">
        <f t="shared" si="14"/>
        <v>23</v>
      </c>
      <c r="AA22" s="39">
        <f t="shared" si="14"/>
        <v>9</v>
      </c>
      <c r="AB22" s="39">
        <f t="shared" si="14"/>
        <v>33</v>
      </c>
      <c r="AC22" s="39">
        <f t="shared" si="14"/>
        <v>50</v>
      </c>
      <c r="AD22" s="39">
        <f t="shared" si="14"/>
        <v>0</v>
      </c>
      <c r="AE22" s="40">
        <f t="shared" si="14"/>
        <v>252</v>
      </c>
      <c r="AF22" s="40">
        <f t="shared" si="14"/>
        <v>291</v>
      </c>
    </row>
    <row r="23" spans="2:32" ht="23.1" customHeight="1" x14ac:dyDescent="0.25">
      <c r="B23" s="23" t="s">
        <v>50</v>
      </c>
      <c r="C23" s="50">
        <v>10</v>
      </c>
      <c r="D23" s="50">
        <v>6</v>
      </c>
      <c r="E23" s="50">
        <v>6</v>
      </c>
      <c r="F23" s="50">
        <v>22</v>
      </c>
      <c r="G23" s="50">
        <v>1</v>
      </c>
      <c r="H23" s="50">
        <v>0</v>
      </c>
      <c r="I23" s="50">
        <v>3</v>
      </c>
      <c r="J23" s="50">
        <v>8</v>
      </c>
      <c r="K23" s="50">
        <v>3</v>
      </c>
      <c r="L23" s="50">
        <v>5</v>
      </c>
      <c r="M23" s="50">
        <v>19</v>
      </c>
      <c r="N23" s="50">
        <v>0</v>
      </c>
      <c r="O23" s="15">
        <f t="shared" si="0"/>
        <v>64</v>
      </c>
      <c r="P23" s="15">
        <f t="shared" si="1"/>
        <v>83</v>
      </c>
      <c r="R23" s="38" t="s">
        <v>91</v>
      </c>
      <c r="S23" s="39">
        <f>MAX(S13:S18)</f>
        <v>55</v>
      </c>
      <c r="T23" s="39">
        <f t="shared" ref="T23:AF23" si="15">MAX(T13:T18)</f>
        <v>32</v>
      </c>
      <c r="U23" s="39">
        <f t="shared" si="15"/>
        <v>24</v>
      </c>
      <c r="V23" s="39">
        <f t="shared" si="15"/>
        <v>111</v>
      </c>
      <c r="W23" s="39">
        <f t="shared" si="15"/>
        <v>3</v>
      </c>
      <c r="X23" s="39">
        <f t="shared" si="15"/>
        <v>4</v>
      </c>
      <c r="Y23" s="39">
        <f t="shared" si="15"/>
        <v>20</v>
      </c>
      <c r="Z23" s="39">
        <f t="shared" si="15"/>
        <v>31</v>
      </c>
      <c r="AA23" s="39">
        <f t="shared" si="15"/>
        <v>12</v>
      </c>
      <c r="AB23" s="39">
        <f t="shared" si="15"/>
        <v>62</v>
      </c>
      <c r="AC23" s="39">
        <f t="shared" si="15"/>
        <v>90</v>
      </c>
      <c r="AD23" s="39">
        <f t="shared" si="15"/>
        <v>1</v>
      </c>
      <c r="AE23" s="40">
        <f t="shared" si="15"/>
        <v>306</v>
      </c>
      <c r="AF23" s="40">
        <f t="shared" si="15"/>
        <v>396</v>
      </c>
    </row>
    <row r="24" spans="2:32" ht="23.1" customHeight="1" x14ac:dyDescent="0.25">
      <c r="B24" s="23" t="s">
        <v>51</v>
      </c>
      <c r="C24" s="50">
        <v>7</v>
      </c>
      <c r="D24" s="50">
        <v>1</v>
      </c>
      <c r="E24" s="50">
        <v>3</v>
      </c>
      <c r="F24" s="50">
        <v>20</v>
      </c>
      <c r="G24" s="50">
        <v>1</v>
      </c>
      <c r="H24" s="50">
        <v>0</v>
      </c>
      <c r="I24" s="50">
        <v>4</v>
      </c>
      <c r="J24" s="50">
        <v>3</v>
      </c>
      <c r="K24" s="50">
        <v>7</v>
      </c>
      <c r="L24" s="50">
        <v>7</v>
      </c>
      <c r="M24" s="50">
        <v>18</v>
      </c>
      <c r="N24" s="50">
        <v>0</v>
      </c>
      <c r="O24" s="15">
        <f t="shared" si="0"/>
        <v>53</v>
      </c>
      <c r="P24" s="15">
        <f t="shared" si="1"/>
        <v>71</v>
      </c>
      <c r="R24" s="38" t="s">
        <v>92</v>
      </c>
      <c r="S24" s="39">
        <f>MAX(S19:S21)</f>
        <v>66</v>
      </c>
      <c r="T24" s="39">
        <f t="shared" ref="T24:AF24" si="16">MAX(T19:T21)</f>
        <v>32</v>
      </c>
      <c r="U24" s="39">
        <f t="shared" si="16"/>
        <v>29</v>
      </c>
      <c r="V24" s="39">
        <f t="shared" si="16"/>
        <v>151</v>
      </c>
      <c r="W24" s="39">
        <f t="shared" si="16"/>
        <v>7</v>
      </c>
      <c r="X24" s="39">
        <f t="shared" si="16"/>
        <v>2</v>
      </c>
      <c r="Y24" s="39">
        <f t="shared" si="16"/>
        <v>26</v>
      </c>
      <c r="Z24" s="39">
        <f t="shared" si="16"/>
        <v>30</v>
      </c>
      <c r="AA24" s="39">
        <f t="shared" si="16"/>
        <v>15</v>
      </c>
      <c r="AB24" s="39">
        <f t="shared" si="16"/>
        <v>163</v>
      </c>
      <c r="AC24" s="39">
        <f t="shared" si="16"/>
        <v>72</v>
      </c>
      <c r="AD24" s="39">
        <f t="shared" si="16"/>
        <v>0</v>
      </c>
      <c r="AE24" s="40">
        <f t="shared" si="16"/>
        <v>509</v>
      </c>
      <c r="AF24" s="40">
        <f t="shared" si="16"/>
        <v>580</v>
      </c>
    </row>
    <row r="25" spans="2:32" ht="23.1" customHeight="1" x14ac:dyDescent="0.25">
      <c r="B25" s="23" t="s">
        <v>52</v>
      </c>
      <c r="C25" s="50">
        <v>17</v>
      </c>
      <c r="D25" s="50">
        <v>8</v>
      </c>
      <c r="E25" s="50">
        <v>5</v>
      </c>
      <c r="F25" s="50">
        <v>26</v>
      </c>
      <c r="G25" s="50">
        <v>0</v>
      </c>
      <c r="H25" s="50">
        <v>0</v>
      </c>
      <c r="I25" s="50">
        <v>2</v>
      </c>
      <c r="J25" s="50">
        <v>9</v>
      </c>
      <c r="K25" s="50">
        <v>2</v>
      </c>
      <c r="L25" s="50">
        <v>4</v>
      </c>
      <c r="M25" s="50">
        <v>16</v>
      </c>
      <c r="N25" s="50">
        <v>0</v>
      </c>
      <c r="O25" s="15">
        <f t="shared" si="0"/>
        <v>73</v>
      </c>
      <c r="P25" s="15">
        <f t="shared" si="1"/>
        <v>89</v>
      </c>
      <c r="R25" s="37" t="s">
        <v>85</v>
      </c>
      <c r="S25" s="35">
        <f t="shared" ref="S25:AF25" si="17">SUM(S10:S12)</f>
        <v>120</v>
      </c>
      <c r="T25" s="16">
        <f t="shared" si="17"/>
        <v>74</v>
      </c>
      <c r="U25" s="16">
        <f t="shared" si="17"/>
        <v>38</v>
      </c>
      <c r="V25" s="16">
        <f t="shared" si="17"/>
        <v>251</v>
      </c>
      <c r="W25" s="16">
        <f t="shared" si="17"/>
        <v>36</v>
      </c>
      <c r="X25" s="16">
        <f t="shared" si="17"/>
        <v>3</v>
      </c>
      <c r="Y25" s="16">
        <f t="shared" si="17"/>
        <v>36</v>
      </c>
      <c r="Z25" s="16">
        <f t="shared" si="17"/>
        <v>53</v>
      </c>
      <c r="AA25" s="16">
        <f t="shared" si="17"/>
        <v>22</v>
      </c>
      <c r="AB25" s="16">
        <f t="shared" si="17"/>
        <v>81</v>
      </c>
      <c r="AC25" s="16">
        <f t="shared" si="17"/>
        <v>129</v>
      </c>
      <c r="AD25" s="16">
        <f t="shared" si="17"/>
        <v>0</v>
      </c>
      <c r="AE25" s="32">
        <f t="shared" si="17"/>
        <v>714</v>
      </c>
      <c r="AF25" s="32">
        <f t="shared" si="17"/>
        <v>843</v>
      </c>
    </row>
    <row r="26" spans="2:32" ht="23.1" customHeight="1" x14ac:dyDescent="0.25">
      <c r="B26" s="23" t="s">
        <v>53</v>
      </c>
      <c r="C26" s="50">
        <v>15</v>
      </c>
      <c r="D26" s="50">
        <v>6</v>
      </c>
      <c r="E26" s="50">
        <v>7</v>
      </c>
      <c r="F26" s="50">
        <v>30</v>
      </c>
      <c r="G26" s="50">
        <v>1</v>
      </c>
      <c r="H26" s="50">
        <v>1</v>
      </c>
      <c r="I26" s="50">
        <v>1</v>
      </c>
      <c r="J26" s="50">
        <v>4</v>
      </c>
      <c r="K26" s="50">
        <v>0</v>
      </c>
      <c r="L26" s="50">
        <v>4</v>
      </c>
      <c r="M26" s="50">
        <v>15</v>
      </c>
      <c r="N26" s="50">
        <v>0</v>
      </c>
      <c r="O26" s="15">
        <f t="shared" si="0"/>
        <v>69</v>
      </c>
      <c r="P26" s="15">
        <f t="shared" si="1"/>
        <v>84</v>
      </c>
      <c r="R26" s="28" t="s">
        <v>86</v>
      </c>
      <c r="S26" s="16">
        <f t="shared" ref="S26:AF26" si="18">SUM(S13:S18)</f>
        <v>270</v>
      </c>
      <c r="T26" s="16">
        <f t="shared" si="18"/>
        <v>127</v>
      </c>
      <c r="U26" s="16">
        <f t="shared" si="18"/>
        <v>93</v>
      </c>
      <c r="V26" s="16">
        <f t="shared" si="18"/>
        <v>621</v>
      </c>
      <c r="W26" s="16">
        <f t="shared" si="18"/>
        <v>15</v>
      </c>
      <c r="X26" s="16">
        <f t="shared" si="18"/>
        <v>12</v>
      </c>
      <c r="Y26" s="16">
        <f t="shared" si="18"/>
        <v>86</v>
      </c>
      <c r="Z26" s="16">
        <f t="shared" si="18"/>
        <v>112</v>
      </c>
      <c r="AA26" s="16">
        <f t="shared" si="18"/>
        <v>26</v>
      </c>
      <c r="AB26" s="16">
        <f t="shared" si="18"/>
        <v>214</v>
      </c>
      <c r="AC26" s="16">
        <f t="shared" si="18"/>
        <v>468</v>
      </c>
      <c r="AD26" s="16">
        <f t="shared" si="18"/>
        <v>1</v>
      </c>
      <c r="AE26" s="32">
        <f t="shared" si="18"/>
        <v>1577</v>
      </c>
      <c r="AF26" s="32">
        <f t="shared" si="18"/>
        <v>2045</v>
      </c>
    </row>
    <row r="27" spans="2:32" ht="23.1" customHeight="1" x14ac:dyDescent="0.25">
      <c r="B27" s="23" t="s">
        <v>54</v>
      </c>
      <c r="C27" s="50">
        <v>9</v>
      </c>
      <c r="D27" s="50">
        <v>8</v>
      </c>
      <c r="E27" s="50">
        <v>7</v>
      </c>
      <c r="F27" s="50">
        <v>22</v>
      </c>
      <c r="G27" s="50">
        <v>0</v>
      </c>
      <c r="H27" s="50">
        <v>3</v>
      </c>
      <c r="I27" s="50">
        <v>3</v>
      </c>
      <c r="J27" s="50">
        <v>5</v>
      </c>
      <c r="K27" s="50">
        <v>0</v>
      </c>
      <c r="L27" s="50">
        <v>9</v>
      </c>
      <c r="M27" s="50">
        <v>10</v>
      </c>
      <c r="N27" s="50">
        <v>0</v>
      </c>
      <c r="O27" s="15">
        <f t="shared" si="0"/>
        <v>66</v>
      </c>
      <c r="P27" s="15">
        <f t="shared" si="1"/>
        <v>76</v>
      </c>
      <c r="R27" s="29" t="s">
        <v>87</v>
      </c>
      <c r="S27" s="16">
        <f t="shared" ref="S27:AF27" si="19">SUM(S19:S21)</f>
        <v>146</v>
      </c>
      <c r="T27" s="16">
        <f t="shared" si="19"/>
        <v>75</v>
      </c>
      <c r="U27" s="16">
        <f t="shared" si="19"/>
        <v>61</v>
      </c>
      <c r="V27" s="16">
        <f t="shared" si="19"/>
        <v>348</v>
      </c>
      <c r="W27" s="16">
        <f t="shared" si="19"/>
        <v>12</v>
      </c>
      <c r="X27" s="16">
        <f t="shared" si="19"/>
        <v>5</v>
      </c>
      <c r="Y27" s="16">
        <f t="shared" si="19"/>
        <v>62</v>
      </c>
      <c r="Z27" s="16">
        <f t="shared" si="19"/>
        <v>70</v>
      </c>
      <c r="AA27" s="16">
        <f t="shared" si="19"/>
        <v>30</v>
      </c>
      <c r="AB27" s="16">
        <f t="shared" si="19"/>
        <v>321</v>
      </c>
      <c r="AC27" s="16">
        <f t="shared" si="19"/>
        <v>203</v>
      </c>
      <c r="AD27" s="16">
        <f t="shared" si="19"/>
        <v>0</v>
      </c>
      <c r="AE27" s="32">
        <f t="shared" si="19"/>
        <v>1130</v>
      </c>
      <c r="AF27" s="32">
        <f t="shared" si="19"/>
        <v>1333</v>
      </c>
    </row>
    <row r="28" spans="2:32" ht="23.1" customHeight="1" x14ac:dyDescent="0.25">
      <c r="B28" s="23" t="s">
        <v>55</v>
      </c>
      <c r="C28" s="50">
        <v>19</v>
      </c>
      <c r="D28" s="50">
        <v>6</v>
      </c>
      <c r="E28" s="50">
        <v>5</v>
      </c>
      <c r="F28" s="50">
        <v>36</v>
      </c>
      <c r="G28" s="50">
        <v>1</v>
      </c>
      <c r="H28" s="50">
        <v>0</v>
      </c>
      <c r="I28" s="50">
        <v>3</v>
      </c>
      <c r="J28" s="50">
        <v>3</v>
      </c>
      <c r="K28" s="50">
        <v>1</v>
      </c>
      <c r="L28" s="50">
        <v>3</v>
      </c>
      <c r="M28" s="50">
        <v>23</v>
      </c>
      <c r="N28" s="50">
        <v>0</v>
      </c>
      <c r="O28" s="15">
        <f t="shared" si="0"/>
        <v>77</v>
      </c>
      <c r="P28" s="15">
        <f t="shared" si="1"/>
        <v>100</v>
      </c>
      <c r="R28" s="5" t="s">
        <v>17</v>
      </c>
      <c r="S28" s="16">
        <f t="shared" ref="S28:AF28" si="20">SUM(S10:S21)</f>
        <v>536</v>
      </c>
      <c r="T28" s="16">
        <f t="shared" si="20"/>
        <v>276</v>
      </c>
      <c r="U28" s="16">
        <f t="shared" si="20"/>
        <v>192</v>
      </c>
      <c r="V28" s="16">
        <f t="shared" si="20"/>
        <v>1220</v>
      </c>
      <c r="W28" s="16">
        <f t="shared" si="20"/>
        <v>63</v>
      </c>
      <c r="X28" s="16">
        <f t="shared" si="20"/>
        <v>20</v>
      </c>
      <c r="Y28" s="16">
        <f t="shared" si="20"/>
        <v>184</v>
      </c>
      <c r="Z28" s="16">
        <f t="shared" si="20"/>
        <v>235</v>
      </c>
      <c r="AA28" s="16">
        <f t="shared" si="20"/>
        <v>78</v>
      </c>
      <c r="AB28" s="16">
        <f t="shared" si="20"/>
        <v>616</v>
      </c>
      <c r="AC28" s="16">
        <f t="shared" si="20"/>
        <v>800</v>
      </c>
      <c r="AD28" s="16">
        <f t="shared" si="20"/>
        <v>1</v>
      </c>
      <c r="AE28" s="32">
        <f t="shared" si="20"/>
        <v>3421</v>
      </c>
      <c r="AF28" s="32">
        <f t="shared" si="20"/>
        <v>4221</v>
      </c>
    </row>
    <row r="29" spans="2:32" ht="23.1" customHeight="1" x14ac:dyDescent="0.25">
      <c r="B29" s="23" t="s">
        <v>56</v>
      </c>
      <c r="C29" s="50">
        <v>12</v>
      </c>
      <c r="D29" s="50">
        <v>9</v>
      </c>
      <c r="E29" s="50">
        <v>5</v>
      </c>
      <c r="F29" s="50">
        <v>21</v>
      </c>
      <c r="G29" s="50">
        <v>0</v>
      </c>
      <c r="H29" s="50">
        <v>0</v>
      </c>
      <c r="I29" s="50">
        <v>3</v>
      </c>
      <c r="J29" s="50">
        <v>5</v>
      </c>
      <c r="K29" s="50">
        <v>1</v>
      </c>
      <c r="L29" s="50">
        <v>7</v>
      </c>
      <c r="M29" s="50">
        <v>31</v>
      </c>
      <c r="N29" s="50">
        <v>0</v>
      </c>
      <c r="O29" s="15">
        <f t="shared" si="0"/>
        <v>63</v>
      </c>
      <c r="P29" s="15">
        <f t="shared" si="1"/>
        <v>94</v>
      </c>
      <c r="R29"/>
      <c r="S29" s="20"/>
      <c r="T29" s="19"/>
    </row>
    <row r="30" spans="2:32" ht="23.1" customHeight="1" x14ac:dyDescent="0.25">
      <c r="B30" s="23" t="s">
        <v>57</v>
      </c>
      <c r="C30" s="50">
        <v>15</v>
      </c>
      <c r="D30" s="50">
        <v>5</v>
      </c>
      <c r="E30" s="50">
        <v>7</v>
      </c>
      <c r="F30" s="50">
        <v>30</v>
      </c>
      <c r="G30" s="50">
        <v>2</v>
      </c>
      <c r="H30" s="50">
        <v>0</v>
      </c>
      <c r="I30" s="50">
        <v>3</v>
      </c>
      <c r="J30" s="50">
        <v>7</v>
      </c>
      <c r="K30" s="50">
        <v>0</v>
      </c>
      <c r="L30" s="50">
        <v>11</v>
      </c>
      <c r="M30" s="50">
        <v>30</v>
      </c>
      <c r="N30" s="50">
        <v>0</v>
      </c>
      <c r="O30" s="15">
        <f t="shared" si="0"/>
        <v>80</v>
      </c>
      <c r="P30" s="15">
        <f t="shared" si="1"/>
        <v>110</v>
      </c>
    </row>
    <row r="31" spans="2:32" ht="23.1" customHeight="1" x14ac:dyDescent="0.25">
      <c r="B31" s="24" t="s">
        <v>58</v>
      </c>
      <c r="C31" s="50">
        <v>8</v>
      </c>
      <c r="D31" s="50">
        <v>4</v>
      </c>
      <c r="E31" s="50">
        <v>3</v>
      </c>
      <c r="F31" s="50">
        <v>33</v>
      </c>
      <c r="G31" s="50">
        <v>1</v>
      </c>
      <c r="H31" s="50">
        <v>0</v>
      </c>
      <c r="I31" s="50">
        <v>7</v>
      </c>
      <c r="J31" s="50">
        <v>4</v>
      </c>
      <c r="K31" s="50">
        <v>1</v>
      </c>
      <c r="L31" s="50">
        <v>10</v>
      </c>
      <c r="M31" s="50">
        <v>17</v>
      </c>
      <c r="N31" s="50">
        <v>0</v>
      </c>
      <c r="O31" s="15">
        <f t="shared" si="0"/>
        <v>71</v>
      </c>
      <c r="P31" s="15">
        <f t="shared" si="1"/>
        <v>88</v>
      </c>
    </row>
    <row r="32" spans="2:32" ht="23.1" customHeight="1" x14ac:dyDescent="0.25">
      <c r="B32" s="24" t="s">
        <v>59</v>
      </c>
      <c r="C32" s="50">
        <v>12</v>
      </c>
      <c r="D32" s="50">
        <v>3</v>
      </c>
      <c r="E32" s="50">
        <v>2</v>
      </c>
      <c r="F32" s="50">
        <v>25</v>
      </c>
      <c r="G32" s="50">
        <v>0</v>
      </c>
      <c r="H32" s="50">
        <v>1</v>
      </c>
      <c r="I32" s="50">
        <v>2</v>
      </c>
      <c r="J32" s="50">
        <v>5</v>
      </c>
      <c r="K32" s="50">
        <v>0</v>
      </c>
      <c r="L32" s="50">
        <v>12</v>
      </c>
      <c r="M32" s="50">
        <v>21</v>
      </c>
      <c r="N32" s="50">
        <v>0</v>
      </c>
      <c r="O32" s="15">
        <f t="shared" si="0"/>
        <v>62</v>
      </c>
      <c r="P32" s="15">
        <f t="shared" si="1"/>
        <v>83</v>
      </c>
    </row>
    <row r="33" spans="2:20" ht="23.1" customHeight="1" x14ac:dyDescent="0.25">
      <c r="B33" s="23" t="s">
        <v>60</v>
      </c>
      <c r="C33" s="50">
        <v>4</v>
      </c>
      <c r="D33" s="50">
        <v>2</v>
      </c>
      <c r="E33" s="50">
        <v>2</v>
      </c>
      <c r="F33" s="50">
        <v>23</v>
      </c>
      <c r="G33" s="50">
        <v>0</v>
      </c>
      <c r="H33" s="50">
        <v>0</v>
      </c>
      <c r="I33" s="50">
        <v>4</v>
      </c>
      <c r="J33" s="50">
        <v>2</v>
      </c>
      <c r="K33" s="50">
        <v>1</v>
      </c>
      <c r="L33" s="50">
        <v>18</v>
      </c>
      <c r="M33" s="50">
        <v>22</v>
      </c>
      <c r="N33" s="50">
        <v>0</v>
      </c>
      <c r="O33" s="15">
        <f t="shared" si="0"/>
        <v>56</v>
      </c>
      <c r="P33" s="15">
        <f t="shared" si="1"/>
        <v>78</v>
      </c>
    </row>
    <row r="34" spans="2:20" ht="23.1" customHeight="1" x14ac:dyDescent="0.25">
      <c r="B34" s="24" t="s">
        <v>61</v>
      </c>
      <c r="C34" s="50">
        <v>12</v>
      </c>
      <c r="D34" s="50">
        <v>13</v>
      </c>
      <c r="E34" s="50">
        <v>10</v>
      </c>
      <c r="F34" s="50">
        <v>45</v>
      </c>
      <c r="G34" s="50">
        <v>0</v>
      </c>
      <c r="H34" s="50">
        <v>0</v>
      </c>
      <c r="I34" s="50">
        <v>11</v>
      </c>
      <c r="J34" s="50">
        <v>11</v>
      </c>
      <c r="K34" s="50">
        <v>1</v>
      </c>
      <c r="L34" s="50">
        <v>25</v>
      </c>
      <c r="M34" s="50">
        <v>22</v>
      </c>
      <c r="N34" s="50">
        <v>0</v>
      </c>
      <c r="O34" s="15">
        <f t="shared" si="0"/>
        <v>128</v>
      </c>
      <c r="P34" s="15">
        <f t="shared" si="1"/>
        <v>150</v>
      </c>
    </row>
    <row r="35" spans="2:20" ht="23.1" customHeight="1" x14ac:dyDescent="0.25">
      <c r="B35" s="24" t="s">
        <v>62</v>
      </c>
      <c r="C35" s="50">
        <v>11</v>
      </c>
      <c r="D35" s="50">
        <v>5</v>
      </c>
      <c r="E35" s="50">
        <v>4</v>
      </c>
      <c r="F35" s="50">
        <v>13</v>
      </c>
      <c r="G35" s="50">
        <v>1</v>
      </c>
      <c r="H35" s="50">
        <v>1</v>
      </c>
      <c r="I35" s="50">
        <v>0</v>
      </c>
      <c r="J35" s="50">
        <v>6</v>
      </c>
      <c r="K35" s="50">
        <v>1</v>
      </c>
      <c r="L35" s="50">
        <v>8</v>
      </c>
      <c r="M35" s="50">
        <v>13</v>
      </c>
      <c r="N35" s="50">
        <v>0</v>
      </c>
      <c r="O35" s="15">
        <f t="shared" si="0"/>
        <v>50</v>
      </c>
      <c r="P35" s="15">
        <f t="shared" si="1"/>
        <v>63</v>
      </c>
    </row>
    <row r="36" spans="2:20" ht="23.1" customHeight="1" x14ac:dyDescent="0.25">
      <c r="B36" s="24" t="s">
        <v>63</v>
      </c>
      <c r="C36" s="50">
        <v>7</v>
      </c>
      <c r="D36" s="50">
        <v>3</v>
      </c>
      <c r="E36" s="50">
        <v>2</v>
      </c>
      <c r="F36" s="50">
        <v>21</v>
      </c>
      <c r="G36" s="50">
        <v>0</v>
      </c>
      <c r="H36" s="50">
        <v>0</v>
      </c>
      <c r="I36" s="50">
        <v>2</v>
      </c>
      <c r="J36" s="50">
        <v>9</v>
      </c>
      <c r="K36" s="50">
        <v>1</v>
      </c>
      <c r="L36" s="50">
        <v>15</v>
      </c>
      <c r="M36" s="50">
        <v>34</v>
      </c>
      <c r="N36" s="50">
        <v>0</v>
      </c>
      <c r="O36" s="15">
        <f t="shared" si="0"/>
        <v>60</v>
      </c>
      <c r="P36" s="15">
        <f t="shared" si="1"/>
        <v>94</v>
      </c>
    </row>
    <row r="37" spans="2:20" ht="23.1" customHeight="1" x14ac:dyDescent="0.25">
      <c r="B37" s="23" t="s">
        <v>64</v>
      </c>
      <c r="C37" s="50">
        <v>11</v>
      </c>
      <c r="D37" s="50">
        <v>11</v>
      </c>
      <c r="E37" s="50">
        <v>2</v>
      </c>
      <c r="F37" s="50">
        <v>19</v>
      </c>
      <c r="G37" s="50">
        <v>1</v>
      </c>
      <c r="H37" s="50">
        <v>0</v>
      </c>
      <c r="I37" s="50">
        <v>4</v>
      </c>
      <c r="J37" s="50">
        <v>5</v>
      </c>
      <c r="K37" s="50">
        <v>1</v>
      </c>
      <c r="L37" s="50">
        <v>14</v>
      </c>
      <c r="M37" s="50">
        <v>21</v>
      </c>
      <c r="N37" s="50">
        <v>0</v>
      </c>
      <c r="O37" s="15">
        <f t="shared" si="0"/>
        <v>68</v>
      </c>
      <c r="P37" s="15">
        <f t="shared" si="1"/>
        <v>89</v>
      </c>
    </row>
    <row r="38" spans="2:20" ht="23.1" customHeight="1" x14ac:dyDescent="0.25">
      <c r="B38" s="24" t="s">
        <v>65</v>
      </c>
      <c r="C38" s="50">
        <v>19</v>
      </c>
      <c r="D38" s="50">
        <v>4</v>
      </c>
      <c r="E38" s="50">
        <v>3</v>
      </c>
      <c r="F38" s="50">
        <v>24</v>
      </c>
      <c r="G38" s="50">
        <v>1</v>
      </c>
      <c r="H38" s="50">
        <v>1</v>
      </c>
      <c r="I38" s="50">
        <v>6</v>
      </c>
      <c r="J38" s="50">
        <v>5</v>
      </c>
      <c r="K38" s="50">
        <v>0</v>
      </c>
      <c r="L38" s="50">
        <v>11</v>
      </c>
      <c r="M38" s="50">
        <v>21</v>
      </c>
      <c r="N38" s="50">
        <v>0</v>
      </c>
      <c r="O38" s="15">
        <f t="shared" si="0"/>
        <v>74</v>
      </c>
      <c r="P38" s="15">
        <f t="shared" si="1"/>
        <v>95</v>
      </c>
    </row>
    <row r="39" spans="2:20" ht="23.1" customHeight="1" x14ac:dyDescent="0.25">
      <c r="B39" s="24" t="s">
        <v>66</v>
      </c>
      <c r="C39" s="50">
        <v>4</v>
      </c>
      <c r="D39" s="50">
        <v>4</v>
      </c>
      <c r="E39" s="50">
        <v>1</v>
      </c>
      <c r="F39" s="50">
        <v>26</v>
      </c>
      <c r="G39" s="50">
        <v>1</v>
      </c>
      <c r="H39" s="50">
        <v>2</v>
      </c>
      <c r="I39" s="50">
        <v>5</v>
      </c>
      <c r="J39" s="50">
        <v>3</v>
      </c>
      <c r="K39" s="50">
        <v>1</v>
      </c>
      <c r="L39" s="50">
        <v>13</v>
      </c>
      <c r="M39" s="50">
        <v>21</v>
      </c>
      <c r="N39" s="50">
        <v>0</v>
      </c>
      <c r="O39" s="15">
        <f t="shared" si="0"/>
        <v>60</v>
      </c>
      <c r="P39" s="15">
        <f t="shared" si="1"/>
        <v>81</v>
      </c>
    </row>
    <row r="40" spans="2:20" ht="23.1" customHeight="1" x14ac:dyDescent="0.25">
      <c r="B40" s="24" t="s">
        <v>67</v>
      </c>
      <c r="C40" s="50">
        <v>6</v>
      </c>
      <c r="D40" s="50">
        <v>4</v>
      </c>
      <c r="E40" s="50">
        <v>4</v>
      </c>
      <c r="F40" s="50">
        <v>14</v>
      </c>
      <c r="G40" s="50">
        <v>0</v>
      </c>
      <c r="H40" s="50">
        <v>0</v>
      </c>
      <c r="I40" s="50">
        <v>4</v>
      </c>
      <c r="J40" s="50">
        <v>1</v>
      </c>
      <c r="K40" s="50">
        <v>3</v>
      </c>
      <c r="L40" s="50">
        <v>8</v>
      </c>
      <c r="M40" s="50">
        <v>16</v>
      </c>
      <c r="N40" s="50">
        <v>0</v>
      </c>
      <c r="O40" s="15">
        <f t="shared" si="0"/>
        <v>44</v>
      </c>
      <c r="P40" s="15">
        <f t="shared" si="1"/>
        <v>60</v>
      </c>
    </row>
    <row r="41" spans="2:20" ht="23.1" customHeight="1" x14ac:dyDescent="0.25">
      <c r="B41" s="23" t="s">
        <v>68</v>
      </c>
      <c r="C41" s="50">
        <v>15</v>
      </c>
      <c r="D41" s="50">
        <v>3</v>
      </c>
      <c r="E41" s="50">
        <v>1</v>
      </c>
      <c r="F41" s="50">
        <v>32</v>
      </c>
      <c r="G41" s="50">
        <v>0</v>
      </c>
      <c r="H41" s="50">
        <v>0</v>
      </c>
      <c r="I41" s="50">
        <v>5</v>
      </c>
      <c r="J41" s="50">
        <v>4</v>
      </c>
      <c r="K41" s="50">
        <v>0</v>
      </c>
      <c r="L41" s="50">
        <v>9</v>
      </c>
      <c r="M41" s="50">
        <v>20</v>
      </c>
      <c r="N41" s="50">
        <v>0</v>
      </c>
      <c r="O41" s="15">
        <f t="shared" si="0"/>
        <v>69</v>
      </c>
      <c r="P41" s="15">
        <f t="shared" si="1"/>
        <v>89</v>
      </c>
    </row>
    <row r="42" spans="2:20" ht="23.1" customHeight="1" x14ac:dyDescent="0.25">
      <c r="B42" s="24" t="s">
        <v>69</v>
      </c>
      <c r="C42" s="50">
        <v>9</v>
      </c>
      <c r="D42" s="50">
        <v>2</v>
      </c>
      <c r="E42" s="50">
        <v>3</v>
      </c>
      <c r="F42" s="50">
        <v>19</v>
      </c>
      <c r="G42" s="50">
        <v>1</v>
      </c>
      <c r="H42" s="50">
        <v>0</v>
      </c>
      <c r="I42" s="50">
        <v>4</v>
      </c>
      <c r="J42" s="50">
        <v>4</v>
      </c>
      <c r="K42" s="50">
        <v>0</v>
      </c>
      <c r="L42" s="50">
        <v>2</v>
      </c>
      <c r="M42" s="50">
        <v>15</v>
      </c>
      <c r="N42" s="50">
        <v>1</v>
      </c>
      <c r="O42" s="15">
        <f t="shared" si="0"/>
        <v>45</v>
      </c>
      <c r="P42" s="15">
        <f t="shared" si="1"/>
        <v>60</v>
      </c>
    </row>
    <row r="43" spans="2:20" ht="23.1" customHeight="1" x14ac:dyDescent="0.25">
      <c r="B43" s="23" t="s">
        <v>70</v>
      </c>
      <c r="C43" s="50">
        <v>10</v>
      </c>
      <c r="D43" s="50">
        <v>4</v>
      </c>
      <c r="E43" s="50">
        <v>2</v>
      </c>
      <c r="F43" s="50">
        <v>22</v>
      </c>
      <c r="G43" s="50">
        <v>0</v>
      </c>
      <c r="H43" s="50">
        <v>0</v>
      </c>
      <c r="I43" s="50">
        <v>2</v>
      </c>
      <c r="J43" s="50">
        <v>2</v>
      </c>
      <c r="K43" s="50">
        <v>0</v>
      </c>
      <c r="L43" s="50">
        <v>2</v>
      </c>
      <c r="M43" s="50">
        <v>13</v>
      </c>
      <c r="N43" s="50">
        <v>0</v>
      </c>
      <c r="O43" s="15">
        <f t="shared" si="0"/>
        <v>44</v>
      </c>
      <c r="P43" s="15">
        <f t="shared" si="1"/>
        <v>57</v>
      </c>
    </row>
    <row r="44" spans="2:20" ht="23.1" customHeight="1" x14ac:dyDescent="0.25">
      <c r="B44" s="25" t="s">
        <v>71</v>
      </c>
      <c r="C44" s="50">
        <v>7</v>
      </c>
      <c r="D44" s="50">
        <v>3</v>
      </c>
      <c r="E44" s="50">
        <v>6</v>
      </c>
      <c r="F44" s="50">
        <v>26</v>
      </c>
      <c r="G44" s="50">
        <v>0</v>
      </c>
      <c r="H44" s="50">
        <v>0</v>
      </c>
      <c r="I44" s="50">
        <v>1</v>
      </c>
      <c r="J44" s="50">
        <v>0</v>
      </c>
      <c r="K44" s="50">
        <v>1</v>
      </c>
      <c r="L44" s="50">
        <v>1</v>
      </c>
      <c r="M44" s="50">
        <v>15</v>
      </c>
      <c r="N44" s="50">
        <v>0</v>
      </c>
      <c r="O44" s="15">
        <f t="shared" si="0"/>
        <v>45</v>
      </c>
      <c r="P44" s="15">
        <f t="shared" si="1"/>
        <v>60</v>
      </c>
    </row>
    <row r="45" spans="2:20" ht="23.1" customHeight="1" x14ac:dyDescent="0.25">
      <c r="B45" s="23" t="s">
        <v>72</v>
      </c>
      <c r="C45" s="50">
        <v>15</v>
      </c>
      <c r="D45" s="50">
        <v>5</v>
      </c>
      <c r="E45" s="50">
        <v>0</v>
      </c>
      <c r="F45" s="50">
        <v>43</v>
      </c>
      <c r="G45" s="50">
        <v>2</v>
      </c>
      <c r="H45" s="50">
        <v>2</v>
      </c>
      <c r="I45" s="50">
        <v>6</v>
      </c>
      <c r="J45" s="50">
        <v>4</v>
      </c>
      <c r="K45" s="50">
        <v>1</v>
      </c>
      <c r="L45" s="50">
        <v>14</v>
      </c>
      <c r="M45" s="50">
        <v>17</v>
      </c>
      <c r="N45" s="50">
        <v>0</v>
      </c>
      <c r="O45" s="15">
        <f t="shared" si="0"/>
        <v>92</v>
      </c>
      <c r="P45" s="15">
        <f t="shared" si="1"/>
        <v>109</v>
      </c>
    </row>
    <row r="46" spans="2:20" ht="23.1" customHeight="1" x14ac:dyDescent="0.25">
      <c r="B46" s="24" t="s">
        <v>73</v>
      </c>
      <c r="C46" s="50">
        <v>6</v>
      </c>
      <c r="D46" s="50">
        <v>4</v>
      </c>
      <c r="E46" s="50">
        <v>3</v>
      </c>
      <c r="F46" s="50">
        <v>13</v>
      </c>
      <c r="G46" s="50">
        <v>0</v>
      </c>
      <c r="H46" s="50">
        <v>0</v>
      </c>
      <c r="I46" s="50">
        <v>5</v>
      </c>
      <c r="J46" s="50">
        <v>8</v>
      </c>
      <c r="K46" s="50">
        <v>0</v>
      </c>
      <c r="L46" s="50">
        <v>14</v>
      </c>
      <c r="M46" s="50">
        <v>12</v>
      </c>
      <c r="N46" s="50">
        <v>0</v>
      </c>
      <c r="O46" s="15">
        <f t="shared" si="0"/>
        <v>53</v>
      </c>
      <c r="P46" s="15">
        <f t="shared" si="1"/>
        <v>65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3</v>
      </c>
      <c r="E47" s="50">
        <v>4</v>
      </c>
      <c r="F47" s="50">
        <v>16</v>
      </c>
      <c r="G47" s="50">
        <v>0</v>
      </c>
      <c r="H47" s="50">
        <v>0</v>
      </c>
      <c r="I47" s="50">
        <v>2</v>
      </c>
      <c r="J47" s="50">
        <v>2</v>
      </c>
      <c r="K47" s="50">
        <v>0</v>
      </c>
      <c r="L47" s="50">
        <v>6</v>
      </c>
      <c r="M47" s="50">
        <v>19</v>
      </c>
      <c r="N47" s="50">
        <v>0</v>
      </c>
      <c r="O47" s="15">
        <f t="shared" si="0"/>
        <v>35</v>
      </c>
      <c r="P47" s="15">
        <f t="shared" si="1"/>
        <v>54</v>
      </c>
      <c r="R47" s="8"/>
      <c r="T47"/>
    </row>
    <row r="48" spans="2:20" ht="23.1" customHeight="1" x14ac:dyDescent="0.25">
      <c r="B48" s="24" t="s">
        <v>75</v>
      </c>
      <c r="C48" s="50">
        <v>8</v>
      </c>
      <c r="D48" s="50">
        <v>2</v>
      </c>
      <c r="E48" s="50">
        <v>1</v>
      </c>
      <c r="F48" s="50">
        <v>28</v>
      </c>
      <c r="G48" s="50">
        <v>1</v>
      </c>
      <c r="H48" s="50">
        <v>1</v>
      </c>
      <c r="I48" s="50">
        <v>1</v>
      </c>
      <c r="J48" s="50">
        <v>2</v>
      </c>
      <c r="K48" s="50">
        <v>2</v>
      </c>
      <c r="L48" s="50">
        <v>4</v>
      </c>
      <c r="M48" s="50">
        <v>13</v>
      </c>
      <c r="N48" s="50">
        <v>0</v>
      </c>
      <c r="O48" s="15">
        <f t="shared" si="0"/>
        <v>50</v>
      </c>
      <c r="P48" s="15">
        <f t="shared" si="1"/>
        <v>63</v>
      </c>
      <c r="R48" s="8"/>
      <c r="T48"/>
    </row>
    <row r="49" spans="2:20" ht="23.1" customHeight="1" x14ac:dyDescent="0.25">
      <c r="B49" s="23" t="s">
        <v>76</v>
      </c>
      <c r="C49" s="50">
        <v>13</v>
      </c>
      <c r="D49" s="50">
        <v>3</v>
      </c>
      <c r="E49" s="50">
        <v>6</v>
      </c>
      <c r="F49" s="50">
        <v>22</v>
      </c>
      <c r="G49" s="50">
        <v>1</v>
      </c>
      <c r="H49" s="50">
        <v>0</v>
      </c>
      <c r="I49" s="50">
        <v>3</v>
      </c>
      <c r="J49" s="50">
        <v>3</v>
      </c>
      <c r="K49" s="50">
        <v>0</v>
      </c>
      <c r="L49" s="50">
        <v>11</v>
      </c>
      <c r="M49" s="50">
        <v>16</v>
      </c>
      <c r="N49" s="50">
        <v>0</v>
      </c>
      <c r="O49" s="15">
        <f t="shared" si="0"/>
        <v>62</v>
      </c>
      <c r="P49" s="15">
        <f t="shared" si="1"/>
        <v>78</v>
      </c>
      <c r="R49" s="8"/>
      <c r="T49"/>
    </row>
    <row r="50" spans="2:20" ht="23.1" customHeight="1" x14ac:dyDescent="0.25">
      <c r="B50" s="24" t="s">
        <v>77</v>
      </c>
      <c r="C50" s="50">
        <v>20</v>
      </c>
      <c r="D50" s="50">
        <v>9</v>
      </c>
      <c r="E50" s="50">
        <v>3</v>
      </c>
      <c r="F50" s="50">
        <v>60</v>
      </c>
      <c r="G50" s="50">
        <v>2</v>
      </c>
      <c r="H50" s="50">
        <v>1</v>
      </c>
      <c r="I50" s="50">
        <v>7</v>
      </c>
      <c r="J50" s="50">
        <v>4</v>
      </c>
      <c r="K50" s="50">
        <v>4</v>
      </c>
      <c r="L50" s="50">
        <v>9</v>
      </c>
      <c r="M50" s="50">
        <v>21</v>
      </c>
      <c r="N50" s="50">
        <v>0</v>
      </c>
      <c r="O50" s="15">
        <f t="shared" si="0"/>
        <v>119</v>
      </c>
      <c r="P50" s="15">
        <f t="shared" si="1"/>
        <v>140</v>
      </c>
      <c r="R50" s="8"/>
      <c r="T50"/>
    </row>
    <row r="51" spans="2:20" ht="23.1" customHeight="1" x14ac:dyDescent="0.25">
      <c r="B51" s="24" t="s">
        <v>78</v>
      </c>
      <c r="C51" s="50">
        <v>11</v>
      </c>
      <c r="D51" s="50">
        <v>3</v>
      </c>
      <c r="E51" s="50">
        <v>3</v>
      </c>
      <c r="F51" s="50">
        <v>22</v>
      </c>
      <c r="G51" s="50">
        <v>1</v>
      </c>
      <c r="H51" s="50">
        <v>1</v>
      </c>
      <c r="I51" s="50">
        <v>6</v>
      </c>
      <c r="J51" s="50">
        <v>8</v>
      </c>
      <c r="K51" s="50">
        <v>3</v>
      </c>
      <c r="L51" s="50">
        <v>22</v>
      </c>
      <c r="M51" s="50">
        <v>17</v>
      </c>
      <c r="N51" s="50">
        <v>0</v>
      </c>
      <c r="O51" s="15">
        <f t="shared" si="0"/>
        <v>80</v>
      </c>
      <c r="P51" s="15">
        <f t="shared" si="1"/>
        <v>97</v>
      </c>
      <c r="R51" s="8"/>
      <c r="T51"/>
    </row>
    <row r="52" spans="2:20" ht="23.1" customHeight="1" x14ac:dyDescent="0.25">
      <c r="B52" s="24" t="s">
        <v>79</v>
      </c>
      <c r="C52" s="50">
        <v>10</v>
      </c>
      <c r="D52" s="50">
        <v>10</v>
      </c>
      <c r="E52" s="50">
        <v>6</v>
      </c>
      <c r="F52" s="50">
        <v>18</v>
      </c>
      <c r="G52" s="50">
        <v>2</v>
      </c>
      <c r="H52" s="50">
        <v>0</v>
      </c>
      <c r="I52" s="50">
        <v>6</v>
      </c>
      <c r="J52" s="50">
        <v>9</v>
      </c>
      <c r="K52" s="50">
        <v>4</v>
      </c>
      <c r="L52" s="50">
        <v>46</v>
      </c>
      <c r="M52" s="50">
        <v>17</v>
      </c>
      <c r="N52" s="50">
        <v>0</v>
      </c>
      <c r="O52" s="15">
        <f t="shared" si="0"/>
        <v>111</v>
      </c>
      <c r="P52" s="15">
        <f t="shared" si="1"/>
        <v>128</v>
      </c>
      <c r="R52" s="8"/>
      <c r="T52"/>
    </row>
    <row r="53" spans="2:20" ht="23.1" customHeight="1" x14ac:dyDescent="0.25">
      <c r="B53" s="23" t="s">
        <v>80</v>
      </c>
      <c r="C53" s="50">
        <v>10</v>
      </c>
      <c r="D53" s="50">
        <v>10</v>
      </c>
      <c r="E53" s="50">
        <v>6</v>
      </c>
      <c r="F53" s="50">
        <v>18</v>
      </c>
      <c r="G53" s="50">
        <v>2</v>
      </c>
      <c r="H53" s="50">
        <v>0</v>
      </c>
      <c r="I53" s="50">
        <v>6</v>
      </c>
      <c r="J53" s="50">
        <v>9</v>
      </c>
      <c r="K53" s="50">
        <v>4</v>
      </c>
      <c r="L53" s="50">
        <v>46</v>
      </c>
      <c r="M53" s="50">
        <v>17</v>
      </c>
      <c r="N53" s="50">
        <v>0</v>
      </c>
      <c r="O53" s="15">
        <f t="shared" si="0"/>
        <v>111</v>
      </c>
      <c r="P53" s="15">
        <f t="shared" si="1"/>
        <v>128</v>
      </c>
      <c r="R53" s="8"/>
      <c r="T53"/>
    </row>
    <row r="54" spans="2:20" ht="23.1" customHeight="1" x14ac:dyDescent="0.25">
      <c r="B54" s="23" t="s">
        <v>81</v>
      </c>
      <c r="C54" s="50">
        <v>16</v>
      </c>
      <c r="D54" s="50">
        <v>7</v>
      </c>
      <c r="E54" s="50">
        <v>5</v>
      </c>
      <c r="F54" s="50">
        <v>30</v>
      </c>
      <c r="G54" s="50">
        <v>0</v>
      </c>
      <c r="H54" s="50">
        <v>0</v>
      </c>
      <c r="I54" s="50">
        <v>3</v>
      </c>
      <c r="J54" s="50">
        <v>8</v>
      </c>
      <c r="K54" s="50">
        <v>2</v>
      </c>
      <c r="L54" s="50">
        <v>34</v>
      </c>
      <c r="M54" s="50">
        <v>7</v>
      </c>
      <c r="N54" s="50">
        <v>0</v>
      </c>
      <c r="O54" s="15">
        <f t="shared" si="0"/>
        <v>105</v>
      </c>
      <c r="P54" s="15">
        <f t="shared" si="1"/>
        <v>112</v>
      </c>
      <c r="R54" s="8"/>
      <c r="T54"/>
    </row>
    <row r="55" spans="2:20" ht="23.1" customHeight="1" x14ac:dyDescent="0.25">
      <c r="B55" s="23" t="s">
        <v>82</v>
      </c>
      <c r="C55" s="50">
        <v>20</v>
      </c>
      <c r="D55" s="50">
        <v>6</v>
      </c>
      <c r="E55" s="50">
        <v>11</v>
      </c>
      <c r="F55" s="50">
        <v>48</v>
      </c>
      <c r="G55" s="50">
        <v>0</v>
      </c>
      <c r="H55" s="50">
        <v>0</v>
      </c>
      <c r="I55" s="50">
        <v>7</v>
      </c>
      <c r="J55" s="50">
        <v>9</v>
      </c>
      <c r="K55" s="50">
        <v>2</v>
      </c>
      <c r="L55" s="50">
        <v>43</v>
      </c>
      <c r="M55" s="50">
        <v>20</v>
      </c>
      <c r="N55" s="50">
        <v>0</v>
      </c>
      <c r="O55" s="15">
        <f t="shared" si="0"/>
        <v>146</v>
      </c>
      <c r="P55" s="15">
        <f t="shared" si="1"/>
        <v>166</v>
      </c>
      <c r="R55" s="8"/>
      <c r="T55"/>
    </row>
    <row r="56" spans="2:20" ht="23.1" customHeight="1" x14ac:dyDescent="0.25">
      <c r="B56" s="23" t="s">
        <v>83</v>
      </c>
      <c r="C56" s="50">
        <v>20</v>
      </c>
      <c r="D56" s="50">
        <v>11</v>
      </c>
      <c r="E56" s="50">
        <v>5</v>
      </c>
      <c r="F56" s="50">
        <v>30</v>
      </c>
      <c r="G56" s="50">
        <v>1</v>
      </c>
      <c r="H56" s="50">
        <v>1</v>
      </c>
      <c r="I56" s="50">
        <v>15</v>
      </c>
      <c r="J56" s="50">
        <v>7</v>
      </c>
      <c r="K56" s="50">
        <v>4</v>
      </c>
      <c r="L56" s="50">
        <v>51</v>
      </c>
      <c r="M56" s="50">
        <v>20</v>
      </c>
      <c r="N56" s="50">
        <v>0</v>
      </c>
      <c r="O56" s="15">
        <f t="shared" si="0"/>
        <v>145</v>
      </c>
      <c r="P56" s="15">
        <f t="shared" si="1"/>
        <v>165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7</v>
      </c>
      <c r="E57" s="50">
        <v>8</v>
      </c>
      <c r="F57" s="50">
        <v>43</v>
      </c>
      <c r="G57" s="50">
        <v>2</v>
      </c>
      <c r="H57" s="50">
        <v>1</v>
      </c>
      <c r="I57" s="50">
        <v>1</v>
      </c>
      <c r="J57" s="50">
        <v>1</v>
      </c>
      <c r="K57" s="50">
        <v>5</v>
      </c>
      <c r="L57" s="50">
        <v>35</v>
      </c>
      <c r="M57" s="50">
        <v>24</v>
      </c>
      <c r="N57" s="50">
        <v>0</v>
      </c>
      <c r="O57" s="15">
        <f t="shared" si="0"/>
        <v>113</v>
      </c>
      <c r="P57" s="15">
        <f t="shared" si="1"/>
        <v>137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536</v>
      </c>
      <c r="D58" s="16">
        <f t="shared" si="21"/>
        <v>276</v>
      </c>
      <c r="E58" s="16">
        <f t="shared" si="21"/>
        <v>192</v>
      </c>
      <c r="F58" s="16">
        <f t="shared" si="21"/>
        <v>1220</v>
      </c>
      <c r="G58" s="16">
        <f t="shared" si="21"/>
        <v>63</v>
      </c>
      <c r="H58" s="16">
        <f t="shared" si="21"/>
        <v>20</v>
      </c>
      <c r="I58" s="16">
        <f t="shared" si="21"/>
        <v>184</v>
      </c>
      <c r="J58" s="16">
        <f t="shared" si="21"/>
        <v>235</v>
      </c>
      <c r="K58" s="16">
        <f t="shared" si="21"/>
        <v>78</v>
      </c>
      <c r="L58" s="16">
        <f t="shared" si="21"/>
        <v>616</v>
      </c>
      <c r="M58" s="16">
        <f t="shared" si="21"/>
        <v>800</v>
      </c>
      <c r="N58" s="16">
        <f t="shared" si="21"/>
        <v>1</v>
      </c>
      <c r="O58" s="16">
        <f t="shared" si="21"/>
        <v>3421</v>
      </c>
      <c r="P58" s="16">
        <f t="shared" si="21"/>
        <v>4221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0.12698412698412698</v>
      </c>
      <c r="D59" s="43">
        <f t="shared" si="22"/>
        <v>6.5387348969438527E-2</v>
      </c>
      <c r="E59" s="43">
        <f t="shared" si="22"/>
        <v>4.548685145700071E-2</v>
      </c>
      <c r="F59" s="43">
        <f t="shared" si="22"/>
        <v>0.28903103529969204</v>
      </c>
      <c r="G59" s="43">
        <f t="shared" si="22"/>
        <v>1.4925373134328358E-2</v>
      </c>
      <c r="H59" s="43">
        <f t="shared" si="22"/>
        <v>4.7382136934375737E-3</v>
      </c>
      <c r="I59" s="43">
        <f t="shared" si="22"/>
        <v>4.3591565979625678E-2</v>
      </c>
      <c r="J59" s="43">
        <f t="shared" si="22"/>
        <v>5.5674010897891493E-2</v>
      </c>
      <c r="K59" s="43">
        <f t="shared" si="22"/>
        <v>1.8479033404406538E-2</v>
      </c>
      <c r="L59" s="43">
        <f t="shared" si="22"/>
        <v>0.14593698175787728</v>
      </c>
      <c r="M59" s="43">
        <f t="shared" si="22"/>
        <v>0.18952854773750297</v>
      </c>
      <c r="N59" s="43">
        <f t="shared" si="22"/>
        <v>2.3691068467187872E-4</v>
      </c>
      <c r="R59" s="8"/>
      <c r="T59"/>
    </row>
    <row r="60" spans="2:20" ht="23.1" customHeight="1" x14ac:dyDescent="0.25">
      <c r="B60" s="42" t="s">
        <v>94</v>
      </c>
      <c r="C60" s="44">
        <f>C58/$O$58</f>
        <v>0.15667933352820812</v>
      </c>
      <c r="D60" s="44">
        <f t="shared" ref="D60:N60" si="23">D58/$O$58</f>
        <v>8.0678164279450459E-2</v>
      </c>
      <c r="E60" s="44">
        <f t="shared" si="23"/>
        <v>5.6123940368313356E-2</v>
      </c>
      <c r="F60" s="44">
        <f t="shared" si="23"/>
        <v>0.35662087109032448</v>
      </c>
      <c r="G60" s="44">
        <f t="shared" si="23"/>
        <v>1.8415667933352822E-2</v>
      </c>
      <c r="H60" s="44">
        <f t="shared" si="23"/>
        <v>5.846243788365975E-3</v>
      </c>
      <c r="I60" s="44">
        <f t="shared" si="23"/>
        <v>5.3785442852966971E-2</v>
      </c>
      <c r="J60" s="44">
        <f t="shared" si="23"/>
        <v>6.8693364513300201E-2</v>
      </c>
      <c r="K60" s="44">
        <f t="shared" si="23"/>
        <v>2.28003507746273E-2</v>
      </c>
      <c r="L60" s="44">
        <f t="shared" si="23"/>
        <v>0.18006430868167203</v>
      </c>
      <c r="M60" s="44"/>
      <c r="N60" s="44">
        <f t="shared" si="23"/>
        <v>2.9231218941829873E-4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A37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'23.10 KAMPALA-JINJA'!C3:G3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'23.10 JINJA-KAMPALA'!G5:H5</f>
        <v>Nakibbizi</v>
      </c>
      <c r="H5" s="64"/>
      <c r="I5" s="14"/>
      <c r="J5" s="2" t="s">
        <v>5</v>
      </c>
      <c r="K5" s="63" t="s">
        <v>181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'23.10 JINJA-KAMPALA'!D6:E6</f>
        <v>Jinja</v>
      </c>
      <c r="E6" s="64"/>
      <c r="F6" s="2" t="s">
        <v>2</v>
      </c>
      <c r="G6" s="63" t="str">
        <f>'23.10 JINJA-KAMPALA'!G6:H6</f>
        <v>Kampala</v>
      </c>
      <c r="H6" s="64"/>
      <c r="J6" s="2" t="s">
        <v>21</v>
      </c>
      <c r="K6" s="63" t="str">
        <f>'23.10 JINJA-KAMPALA'!K6:L6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jinja-kampala'!C10,'18.10 Jinja-Kampala'!C10,'19.10 Jinja-Kampala-24hr'!C10,'20.10 Jinja-Kampala'!C10,'21.10 jinja-Kampala-24h'!C10,'23.10 JINJA-KAMPALA'!C10,'27.10 JINJA-KAMPALA'!C10)</f>
        <v>7.7142857142857144</v>
      </c>
      <c r="D10" s="49">
        <f>AVERAGE('17.10 jinja-kampala'!D10,'18.10 Jinja-Kampala'!D10,'19.10 Jinja-Kampala-24hr'!D10,'20.10 Jinja-Kampala'!D10,'21.10 jinja-Kampala-24h'!D10,'23.10 JINJA-KAMPALA'!D10,'27.10 JINJA-KAMPALA'!D10)</f>
        <v>1.2857142857142858</v>
      </c>
      <c r="E10" s="49">
        <f>AVERAGE('17.10 jinja-kampala'!E10,'18.10 Jinja-Kampala'!E10,'19.10 Jinja-Kampala-24hr'!E10,'20.10 Jinja-Kampala'!E10,'21.10 jinja-Kampala-24h'!E10,'23.10 JINJA-KAMPALA'!E10,'27.10 JINJA-KAMPALA'!E10)</f>
        <v>1.5714285714285714</v>
      </c>
      <c r="F10" s="49">
        <f>AVERAGE('17.10 jinja-kampala'!F10,'18.10 Jinja-Kampala'!F10,'19.10 Jinja-Kampala-24hr'!F10,'20.10 Jinja-Kampala'!F10,'21.10 jinja-Kampala-24h'!F10,'23.10 JINJA-KAMPALA'!F10,'27.10 JINJA-KAMPALA'!F10)</f>
        <v>26.428571428571427</v>
      </c>
      <c r="G10" s="49">
        <f>AVERAGE('17.10 jinja-kampala'!G10,'18.10 Jinja-Kampala'!G10,'19.10 Jinja-Kampala-24hr'!G10,'20.10 Jinja-Kampala'!G10,'21.10 jinja-Kampala-24h'!G10,'23.10 JINJA-KAMPALA'!G10,'27.10 JINJA-KAMPALA'!G10)</f>
        <v>1.1428571428571428</v>
      </c>
      <c r="H10" s="49">
        <f>AVERAGE('17.10 jinja-kampala'!H10,'18.10 Jinja-Kampala'!H10,'19.10 Jinja-Kampala-24hr'!H10,'20.10 Jinja-Kampala'!H10,'21.10 jinja-Kampala-24h'!H10,'23.10 JINJA-KAMPALA'!H10,'27.10 JINJA-KAMPALA'!H10)</f>
        <v>0.8571428571428571</v>
      </c>
      <c r="I10" s="49">
        <f>AVERAGE('17.10 jinja-kampala'!I10,'18.10 Jinja-Kampala'!I10,'19.10 Jinja-Kampala-24hr'!I10,'20.10 Jinja-Kampala'!I10,'21.10 jinja-Kampala-24h'!I10,'23.10 JINJA-KAMPALA'!I10,'27.10 JINJA-KAMPALA'!I10)</f>
        <v>1.4285714285714286</v>
      </c>
      <c r="J10" s="49">
        <f>AVERAGE('17.10 jinja-kampala'!J10,'18.10 Jinja-Kampala'!J10,'19.10 Jinja-Kampala-24hr'!J10,'20.10 Jinja-Kampala'!J10,'21.10 jinja-Kampala-24h'!J10,'23.10 JINJA-KAMPALA'!J10,'27.10 JINJA-KAMPALA'!J10)</f>
        <v>4.1428571428571432</v>
      </c>
      <c r="K10" s="49">
        <f>AVERAGE('17.10 jinja-kampala'!K10,'18.10 Jinja-Kampala'!K10,'19.10 Jinja-Kampala-24hr'!K10,'20.10 Jinja-Kampala'!K10,'21.10 jinja-Kampala-24h'!K10,'23.10 JINJA-KAMPALA'!K10,'27.10 JINJA-KAMPALA'!K10)</f>
        <v>0.8571428571428571</v>
      </c>
      <c r="L10" s="49">
        <f>AVERAGE('17.10 jinja-kampala'!L10,'18.10 Jinja-Kampala'!L10,'19.10 Jinja-Kampala-24hr'!L10,'20.10 Jinja-Kampala'!L10,'21.10 jinja-Kampala-24h'!L10,'23.10 JINJA-KAMPALA'!L10,'27.10 JINJA-KAMPALA'!L10)</f>
        <v>13.285714285714286</v>
      </c>
      <c r="M10" s="49">
        <f>AVERAGE('17.10 jinja-kampala'!M10,'18.10 Jinja-Kampala'!M10,'19.10 Jinja-Kampala-24hr'!M10,'20.10 Jinja-Kampala'!M10,'21.10 jinja-Kampala-24h'!M10,'23.10 JINJA-KAMPALA'!M10,'27.10 JINJA-KAMPALA'!M10)</f>
        <v>15.571428571428571</v>
      </c>
      <c r="N10" s="49">
        <f>AVERAGE('17.10 jinja-kampala'!N10,'18.10 Jinja-Kampala'!N10,'19.10 Jinja-Kampala-24hr'!N10,'20.10 Jinja-Kampala'!N10,'21.10 jinja-Kampala-24h'!N10,'23.10 JINJA-KAMPALA'!N10,'27.10 JINJA-KAMPALA'!N10)</f>
        <v>0</v>
      </c>
      <c r="O10" s="15">
        <f t="shared" ref="O10:O73" si="0">SUM(C10:L10,N10)</f>
        <v>58.714285714285715</v>
      </c>
      <c r="P10" s="15">
        <f t="shared" ref="P10:P73" si="1">SUM(C10:N10)</f>
        <v>74.285714285714292</v>
      </c>
      <c r="R10" s="1" t="s">
        <v>6</v>
      </c>
      <c r="S10" s="17">
        <f t="shared" ref="S10:AF10" si="2">SUM(C10:C13)</f>
        <v>37.142857142857139</v>
      </c>
      <c r="T10" s="17">
        <f t="shared" si="2"/>
        <v>9.7142857142857135</v>
      </c>
      <c r="U10" s="17">
        <f t="shared" si="2"/>
        <v>9.1428571428571423</v>
      </c>
      <c r="V10" s="17">
        <f t="shared" si="2"/>
        <v>131</v>
      </c>
      <c r="W10" s="17">
        <f t="shared" si="2"/>
        <v>6.1428571428571423</v>
      </c>
      <c r="X10" s="17">
        <f t="shared" si="2"/>
        <v>4.4285714285714288</v>
      </c>
      <c r="Y10" s="17">
        <f t="shared" si="2"/>
        <v>7.4285714285714288</v>
      </c>
      <c r="Z10" s="17">
        <f t="shared" si="2"/>
        <v>12.857142857142858</v>
      </c>
      <c r="AA10" s="17">
        <f t="shared" si="2"/>
        <v>6.1428571428571423</v>
      </c>
      <c r="AB10" s="17">
        <f t="shared" si="2"/>
        <v>48.142857142857146</v>
      </c>
      <c r="AC10" s="17">
        <f t="shared" si="2"/>
        <v>73.428571428571431</v>
      </c>
      <c r="AD10" s="17">
        <f t="shared" si="2"/>
        <v>0.14285714285714285</v>
      </c>
      <c r="AE10" s="31">
        <f t="shared" si="2"/>
        <v>272.28571428571433</v>
      </c>
      <c r="AF10" s="31">
        <f t="shared" si="2"/>
        <v>345.71428571428572</v>
      </c>
    </row>
    <row r="11" spans="2:32" s="6" customFormat="1" ht="23.1" customHeight="1" x14ac:dyDescent="0.25">
      <c r="B11" s="23" t="s">
        <v>38</v>
      </c>
      <c r="C11" s="49">
        <f>AVERAGE('17.10 jinja-kampala'!C11,'18.10 Jinja-Kampala'!C11,'19.10 Jinja-Kampala-24hr'!C11,'20.10 Jinja-Kampala'!C11,'21.10 jinja-Kampala-24h'!C11,'23.10 JINJA-KAMPALA'!C11,'27.10 JINJA-KAMPALA'!C11)</f>
        <v>8.7142857142857135</v>
      </c>
      <c r="D11" s="49">
        <f>AVERAGE('17.10 jinja-kampala'!D11,'18.10 Jinja-Kampala'!D11,'19.10 Jinja-Kampala-24hr'!D11,'20.10 Jinja-Kampala'!D11,'21.10 jinja-Kampala-24h'!D11,'23.10 JINJA-KAMPALA'!D11,'27.10 JINJA-KAMPALA'!D11)</f>
        <v>2.2857142857142856</v>
      </c>
      <c r="E11" s="49">
        <f>AVERAGE('17.10 jinja-kampala'!E11,'18.10 Jinja-Kampala'!E11,'19.10 Jinja-Kampala-24hr'!E11,'20.10 Jinja-Kampala'!E11,'21.10 jinja-Kampala-24h'!E11,'23.10 JINJA-KAMPALA'!E11,'27.10 JINJA-KAMPALA'!E11)</f>
        <v>2.8571428571428572</v>
      </c>
      <c r="F11" s="49">
        <f>AVERAGE('17.10 jinja-kampala'!F11,'18.10 Jinja-Kampala'!F11,'19.10 Jinja-Kampala-24hr'!F11,'20.10 Jinja-Kampala'!F11,'21.10 jinja-Kampala-24h'!F11,'23.10 JINJA-KAMPALA'!F11,'27.10 JINJA-KAMPALA'!F11)</f>
        <v>37.285714285714285</v>
      </c>
      <c r="G11" s="49">
        <f>AVERAGE('17.10 jinja-kampala'!G11,'18.10 Jinja-Kampala'!G11,'19.10 Jinja-Kampala-24hr'!G11,'20.10 Jinja-Kampala'!G11,'21.10 jinja-Kampala-24h'!G11,'23.10 JINJA-KAMPALA'!G11,'27.10 JINJA-KAMPALA'!G11)</f>
        <v>1</v>
      </c>
      <c r="H11" s="49">
        <f>AVERAGE('17.10 jinja-kampala'!H11,'18.10 Jinja-Kampala'!H11,'19.10 Jinja-Kampala-24hr'!H11,'20.10 Jinja-Kampala'!H11,'21.10 jinja-Kampala-24h'!H11,'23.10 JINJA-KAMPALA'!H11,'27.10 JINJA-KAMPALA'!H11)</f>
        <v>1.2857142857142858</v>
      </c>
      <c r="I11" s="49">
        <f>AVERAGE('17.10 jinja-kampala'!I11,'18.10 Jinja-Kampala'!I11,'19.10 Jinja-Kampala-24hr'!I11,'20.10 Jinja-Kampala'!I11,'21.10 jinja-Kampala-24h'!I11,'23.10 JINJA-KAMPALA'!I11,'27.10 JINJA-KAMPALA'!I11)</f>
        <v>2.1428571428571428</v>
      </c>
      <c r="J11" s="49">
        <f>AVERAGE('17.10 jinja-kampala'!J11,'18.10 Jinja-Kampala'!J11,'19.10 Jinja-Kampala-24hr'!J11,'20.10 Jinja-Kampala'!J11,'21.10 jinja-Kampala-24h'!J11,'23.10 JINJA-KAMPALA'!J11,'27.10 JINJA-KAMPALA'!J11)</f>
        <v>3.5714285714285716</v>
      </c>
      <c r="K11" s="49">
        <f>AVERAGE('17.10 jinja-kampala'!K11,'18.10 Jinja-Kampala'!K11,'19.10 Jinja-Kampala-24hr'!K11,'20.10 Jinja-Kampala'!K11,'21.10 jinja-Kampala-24h'!K11,'23.10 JINJA-KAMPALA'!K11,'27.10 JINJA-KAMPALA'!K11)</f>
        <v>1.2857142857142858</v>
      </c>
      <c r="L11" s="49">
        <f>AVERAGE('17.10 jinja-kampala'!L11,'18.10 Jinja-Kampala'!L11,'19.10 Jinja-Kampala-24hr'!L11,'20.10 Jinja-Kampala'!L11,'21.10 jinja-Kampala-24h'!L11,'23.10 JINJA-KAMPALA'!L11,'27.10 JINJA-KAMPALA'!L11)</f>
        <v>10.857142857142858</v>
      </c>
      <c r="M11" s="49">
        <f>AVERAGE('17.10 jinja-kampala'!M11,'18.10 Jinja-Kampala'!M11,'19.10 Jinja-Kampala-24hr'!M11,'20.10 Jinja-Kampala'!M11,'21.10 jinja-Kampala-24h'!M11,'23.10 JINJA-KAMPALA'!M11,'27.10 JINJA-KAMPALA'!M11)</f>
        <v>21.285714285714285</v>
      </c>
      <c r="N11" s="49">
        <f>AVERAGE('17.10 jinja-kampala'!N11,'18.10 Jinja-Kampala'!N11,'19.10 Jinja-Kampala-24hr'!N11,'20.10 Jinja-Kampala'!N11,'21.10 jinja-Kampala-24h'!N11,'23.10 JINJA-KAMPALA'!N11,'27.10 JINJA-KAMPALA'!N11)</f>
        <v>0</v>
      </c>
      <c r="O11" s="15">
        <f t="shared" si="0"/>
        <v>71.285714285714278</v>
      </c>
      <c r="P11" s="15">
        <f t="shared" si="1"/>
        <v>92.571428571428555</v>
      </c>
      <c r="R11" s="1" t="s">
        <v>7</v>
      </c>
      <c r="S11" s="17">
        <f t="shared" ref="S11:AF11" si="3">SUM(C14:C17)</f>
        <v>48.857142857142861</v>
      </c>
      <c r="T11" s="17">
        <f t="shared" si="3"/>
        <v>11.000000000000002</v>
      </c>
      <c r="U11" s="17">
        <f t="shared" si="3"/>
        <v>9.5714285714285712</v>
      </c>
      <c r="V11" s="17">
        <f t="shared" si="3"/>
        <v>120.14285714285714</v>
      </c>
      <c r="W11" s="17">
        <f t="shared" si="3"/>
        <v>8.2857142857142847</v>
      </c>
      <c r="X11" s="17">
        <f t="shared" si="3"/>
        <v>4.4285714285714279</v>
      </c>
      <c r="Y11" s="17">
        <f t="shared" si="3"/>
        <v>9.2857142857142847</v>
      </c>
      <c r="Z11" s="17">
        <f t="shared" si="3"/>
        <v>9.9999999999999982</v>
      </c>
      <c r="AA11" s="17">
        <f t="shared" si="3"/>
        <v>3.8571428571428568</v>
      </c>
      <c r="AB11" s="17">
        <f t="shared" si="3"/>
        <v>45.857142857142861</v>
      </c>
      <c r="AC11" s="17">
        <f t="shared" si="3"/>
        <v>71.428571428571431</v>
      </c>
      <c r="AD11" s="17">
        <f t="shared" si="3"/>
        <v>3.5714285714285716</v>
      </c>
      <c r="AE11" s="31">
        <f t="shared" si="3"/>
        <v>274.85714285714289</v>
      </c>
      <c r="AF11" s="31">
        <f t="shared" si="3"/>
        <v>346.28571428571428</v>
      </c>
    </row>
    <row r="12" spans="2:32" ht="23.1" customHeight="1" x14ac:dyDescent="0.25">
      <c r="B12" s="23" t="s">
        <v>39</v>
      </c>
      <c r="C12" s="49">
        <f>AVERAGE('17.10 jinja-kampala'!C12,'18.10 Jinja-Kampala'!C12,'19.10 Jinja-Kampala-24hr'!C12,'20.10 Jinja-Kampala'!C12,'21.10 jinja-Kampala-24h'!C12,'23.10 JINJA-KAMPALA'!C12,'27.10 JINJA-KAMPALA'!C12)</f>
        <v>9.4285714285714288</v>
      </c>
      <c r="D12" s="49">
        <f>AVERAGE('17.10 jinja-kampala'!D12,'18.10 Jinja-Kampala'!D12,'19.10 Jinja-Kampala-24hr'!D12,'20.10 Jinja-Kampala'!D12,'21.10 jinja-Kampala-24h'!D12,'23.10 JINJA-KAMPALA'!D12,'27.10 JINJA-KAMPALA'!D12)</f>
        <v>3.7142857142857144</v>
      </c>
      <c r="E12" s="49">
        <f>AVERAGE('17.10 jinja-kampala'!E12,'18.10 Jinja-Kampala'!E12,'19.10 Jinja-Kampala-24hr'!E12,'20.10 Jinja-Kampala'!E12,'21.10 jinja-Kampala-24h'!E12,'23.10 JINJA-KAMPALA'!E12,'27.10 JINJA-KAMPALA'!E12)</f>
        <v>2</v>
      </c>
      <c r="F12" s="49">
        <f>AVERAGE('17.10 jinja-kampala'!F12,'18.10 Jinja-Kampala'!F12,'19.10 Jinja-Kampala-24hr'!F12,'20.10 Jinja-Kampala'!F12,'21.10 jinja-Kampala-24h'!F12,'23.10 JINJA-KAMPALA'!F12,'27.10 JINJA-KAMPALA'!F12)</f>
        <v>31.857142857142858</v>
      </c>
      <c r="G12" s="49">
        <f>AVERAGE('17.10 jinja-kampala'!G12,'18.10 Jinja-Kampala'!G12,'19.10 Jinja-Kampala-24hr'!G12,'20.10 Jinja-Kampala'!G12,'21.10 jinja-Kampala-24h'!G12,'23.10 JINJA-KAMPALA'!G12,'27.10 JINJA-KAMPALA'!G12)</f>
        <v>1.5714285714285714</v>
      </c>
      <c r="H12" s="49">
        <f>AVERAGE('17.10 jinja-kampala'!H12,'18.10 Jinja-Kampala'!H12,'19.10 Jinja-Kampala-24hr'!H12,'20.10 Jinja-Kampala'!H12,'21.10 jinja-Kampala-24h'!H12,'23.10 JINJA-KAMPALA'!H12,'27.10 JINJA-KAMPALA'!H12)</f>
        <v>1.2857142857142858</v>
      </c>
      <c r="I12" s="49">
        <f>AVERAGE('17.10 jinja-kampala'!I12,'18.10 Jinja-Kampala'!I12,'19.10 Jinja-Kampala-24hr'!I12,'20.10 Jinja-Kampala'!I12,'21.10 jinja-Kampala-24h'!I12,'23.10 JINJA-KAMPALA'!I12,'27.10 JINJA-KAMPALA'!I12)</f>
        <v>1.7142857142857142</v>
      </c>
      <c r="J12" s="49">
        <f>AVERAGE('17.10 jinja-kampala'!J12,'18.10 Jinja-Kampala'!J12,'19.10 Jinja-Kampala-24hr'!J12,'20.10 Jinja-Kampala'!J12,'21.10 jinja-Kampala-24h'!J12,'23.10 JINJA-KAMPALA'!J12,'27.10 JINJA-KAMPALA'!J12)</f>
        <v>1.8571428571428572</v>
      </c>
      <c r="K12" s="49">
        <f>AVERAGE('17.10 jinja-kampala'!K12,'18.10 Jinja-Kampala'!K12,'19.10 Jinja-Kampala-24hr'!K12,'20.10 Jinja-Kampala'!K12,'21.10 jinja-Kampala-24h'!K12,'23.10 JINJA-KAMPALA'!K12,'27.10 JINJA-KAMPALA'!K12)</f>
        <v>1.5714285714285714</v>
      </c>
      <c r="L12" s="49">
        <f>AVERAGE('17.10 jinja-kampala'!L12,'18.10 Jinja-Kampala'!L12,'19.10 Jinja-Kampala-24hr'!L12,'20.10 Jinja-Kampala'!L12,'21.10 jinja-Kampala-24h'!L12,'23.10 JINJA-KAMPALA'!L12,'27.10 JINJA-KAMPALA'!L12)</f>
        <v>8.7142857142857135</v>
      </c>
      <c r="M12" s="49">
        <f>AVERAGE('17.10 jinja-kampala'!M12,'18.10 Jinja-Kampala'!M12,'19.10 Jinja-Kampala-24hr'!M12,'20.10 Jinja-Kampala'!M12,'21.10 jinja-Kampala-24h'!M12,'23.10 JINJA-KAMPALA'!M12,'27.10 JINJA-KAMPALA'!M12)</f>
        <v>17.142857142857142</v>
      </c>
      <c r="N12" s="49">
        <f>AVERAGE('17.10 jinja-kampala'!N12,'18.10 Jinja-Kampala'!N12,'19.10 Jinja-Kampala-24hr'!N12,'20.10 Jinja-Kampala'!N12,'21.10 jinja-Kampala-24h'!N12,'23.10 JINJA-KAMPALA'!N12,'27.10 JINJA-KAMPALA'!N12)</f>
        <v>0.14285714285714285</v>
      </c>
      <c r="O12" s="15">
        <f t="shared" si="0"/>
        <v>63.857142857142854</v>
      </c>
      <c r="P12" s="15">
        <f t="shared" si="1"/>
        <v>80.999999999999986</v>
      </c>
      <c r="R12" s="1" t="s">
        <v>8</v>
      </c>
      <c r="S12" s="17">
        <f t="shared" ref="S12:AF12" si="4">SUM(C18:C21)</f>
        <v>49</v>
      </c>
      <c r="T12" s="17">
        <f t="shared" si="4"/>
        <v>20.285714285714285</v>
      </c>
      <c r="U12" s="17">
        <f t="shared" si="4"/>
        <v>13.714285714285714</v>
      </c>
      <c r="V12" s="17">
        <f t="shared" si="4"/>
        <v>124</v>
      </c>
      <c r="W12" s="17">
        <f t="shared" si="4"/>
        <v>4.2857142857142856</v>
      </c>
      <c r="X12" s="17">
        <f t="shared" si="4"/>
        <v>2.7142857142857144</v>
      </c>
      <c r="Y12" s="17">
        <f t="shared" si="4"/>
        <v>11.714285714285715</v>
      </c>
      <c r="Z12" s="17">
        <f t="shared" si="4"/>
        <v>14.571428571428573</v>
      </c>
      <c r="AA12" s="17">
        <f t="shared" si="4"/>
        <v>2.7142857142857144</v>
      </c>
      <c r="AB12" s="17">
        <f t="shared" si="4"/>
        <v>43.571428571428577</v>
      </c>
      <c r="AC12" s="17">
        <f t="shared" si="4"/>
        <v>85.857142857142861</v>
      </c>
      <c r="AD12" s="17">
        <f t="shared" si="4"/>
        <v>0</v>
      </c>
      <c r="AE12" s="31">
        <f t="shared" si="4"/>
        <v>286.57142857142856</v>
      </c>
      <c r="AF12" s="31">
        <f t="shared" si="4"/>
        <v>372.42857142857144</v>
      </c>
    </row>
    <row r="13" spans="2:32" ht="23.1" customHeight="1" x14ac:dyDescent="0.25">
      <c r="B13" s="23" t="s">
        <v>40</v>
      </c>
      <c r="C13" s="49">
        <f>AVERAGE('17.10 jinja-kampala'!C13,'18.10 Jinja-Kampala'!C13,'19.10 Jinja-Kampala-24hr'!C13,'20.10 Jinja-Kampala'!C13,'21.10 jinja-Kampala-24h'!C13,'23.10 JINJA-KAMPALA'!C13,'27.10 JINJA-KAMPALA'!C13)</f>
        <v>11.285714285714286</v>
      </c>
      <c r="D13" s="49">
        <f>AVERAGE('17.10 jinja-kampala'!D13,'18.10 Jinja-Kampala'!D13,'19.10 Jinja-Kampala-24hr'!D13,'20.10 Jinja-Kampala'!D13,'21.10 jinja-Kampala-24h'!D13,'23.10 JINJA-KAMPALA'!D13,'27.10 JINJA-KAMPALA'!D13)</f>
        <v>2.4285714285714284</v>
      </c>
      <c r="E13" s="49">
        <f>AVERAGE('17.10 jinja-kampala'!E13,'18.10 Jinja-Kampala'!E13,'19.10 Jinja-Kampala-24hr'!E13,'20.10 Jinja-Kampala'!E13,'21.10 jinja-Kampala-24h'!E13,'23.10 JINJA-KAMPALA'!E13,'27.10 JINJA-KAMPALA'!E13)</f>
        <v>2.7142857142857144</v>
      </c>
      <c r="F13" s="49">
        <f>AVERAGE('17.10 jinja-kampala'!F13,'18.10 Jinja-Kampala'!F13,'19.10 Jinja-Kampala-24hr'!F13,'20.10 Jinja-Kampala'!F13,'21.10 jinja-Kampala-24h'!F13,'23.10 JINJA-KAMPALA'!F13,'27.10 JINJA-KAMPALA'!F13)</f>
        <v>35.428571428571431</v>
      </c>
      <c r="G13" s="49">
        <f>AVERAGE('17.10 jinja-kampala'!G13,'18.10 Jinja-Kampala'!G13,'19.10 Jinja-Kampala-24hr'!G13,'20.10 Jinja-Kampala'!G13,'21.10 jinja-Kampala-24h'!G13,'23.10 JINJA-KAMPALA'!G13,'27.10 JINJA-KAMPALA'!G13)</f>
        <v>2.4285714285714284</v>
      </c>
      <c r="H13" s="49">
        <f>AVERAGE('17.10 jinja-kampala'!H13,'18.10 Jinja-Kampala'!H13,'19.10 Jinja-Kampala-24hr'!H13,'20.10 Jinja-Kampala'!H13,'21.10 jinja-Kampala-24h'!H13,'23.10 JINJA-KAMPALA'!H13,'27.10 JINJA-KAMPALA'!H13)</f>
        <v>1</v>
      </c>
      <c r="I13" s="49">
        <f>AVERAGE('17.10 jinja-kampala'!I13,'18.10 Jinja-Kampala'!I13,'19.10 Jinja-Kampala-24hr'!I13,'20.10 Jinja-Kampala'!I13,'21.10 jinja-Kampala-24h'!I13,'23.10 JINJA-KAMPALA'!I13,'27.10 JINJA-KAMPALA'!I13)</f>
        <v>2.1428571428571428</v>
      </c>
      <c r="J13" s="49">
        <f>AVERAGE('17.10 jinja-kampala'!J13,'18.10 Jinja-Kampala'!J13,'19.10 Jinja-Kampala-24hr'!J13,'20.10 Jinja-Kampala'!J13,'21.10 jinja-Kampala-24h'!J13,'23.10 JINJA-KAMPALA'!J13,'27.10 JINJA-KAMPALA'!J13)</f>
        <v>3.2857142857142856</v>
      </c>
      <c r="K13" s="49">
        <f>AVERAGE('17.10 jinja-kampala'!K13,'18.10 Jinja-Kampala'!K13,'19.10 Jinja-Kampala-24hr'!K13,'20.10 Jinja-Kampala'!K13,'21.10 jinja-Kampala-24h'!K13,'23.10 JINJA-KAMPALA'!K13,'27.10 JINJA-KAMPALA'!K13)</f>
        <v>2.4285714285714284</v>
      </c>
      <c r="L13" s="49">
        <f>AVERAGE('17.10 jinja-kampala'!L13,'18.10 Jinja-Kampala'!L13,'19.10 Jinja-Kampala-24hr'!L13,'20.10 Jinja-Kampala'!L13,'21.10 jinja-Kampala-24h'!L13,'23.10 JINJA-KAMPALA'!L13,'27.10 JINJA-KAMPALA'!L13)</f>
        <v>15.285714285714286</v>
      </c>
      <c r="M13" s="49">
        <f>AVERAGE('17.10 jinja-kampala'!M13,'18.10 Jinja-Kampala'!M13,'19.10 Jinja-Kampala-24hr'!M13,'20.10 Jinja-Kampala'!M13,'21.10 jinja-Kampala-24h'!M13,'23.10 JINJA-KAMPALA'!M13,'27.10 JINJA-KAMPALA'!M13)</f>
        <v>19.428571428571427</v>
      </c>
      <c r="N13" s="49">
        <f>AVERAGE('17.10 jinja-kampala'!N13,'18.10 Jinja-Kampala'!N13,'19.10 Jinja-Kampala-24hr'!N13,'20.10 Jinja-Kampala'!N13,'21.10 jinja-Kampala-24h'!N13,'23.10 JINJA-KAMPALA'!N13,'27.10 JINJA-KAMPALA'!N13)</f>
        <v>0</v>
      </c>
      <c r="O13" s="15">
        <f t="shared" si="0"/>
        <v>78.428571428571445</v>
      </c>
      <c r="P13" s="15">
        <f t="shared" si="1"/>
        <v>97.857142857142875</v>
      </c>
      <c r="R13" s="1" t="s">
        <v>9</v>
      </c>
      <c r="S13" s="17">
        <f t="shared" ref="S13:AF13" si="5">SUM(C22:C25)</f>
        <v>51.285714285714285</v>
      </c>
      <c r="T13" s="17">
        <f t="shared" si="5"/>
        <v>17.285714285714285</v>
      </c>
      <c r="U13" s="17">
        <f t="shared" si="5"/>
        <v>12.285714285714286</v>
      </c>
      <c r="V13" s="17">
        <f t="shared" si="5"/>
        <v>109.71428571428572</v>
      </c>
      <c r="W13" s="17">
        <f t="shared" si="5"/>
        <v>3.2857142857142856</v>
      </c>
      <c r="X13" s="17">
        <f t="shared" si="5"/>
        <v>2</v>
      </c>
      <c r="Y13" s="17">
        <f t="shared" si="5"/>
        <v>14.857142857142858</v>
      </c>
      <c r="Z13" s="17">
        <f t="shared" si="5"/>
        <v>16.714285714285715</v>
      </c>
      <c r="AA13" s="17">
        <f t="shared" si="5"/>
        <v>3.7142857142857144</v>
      </c>
      <c r="AB13" s="17">
        <f t="shared" si="5"/>
        <v>40.857142857142861</v>
      </c>
      <c r="AC13" s="17">
        <f t="shared" si="5"/>
        <v>91.857142857142861</v>
      </c>
      <c r="AD13" s="17">
        <f t="shared" si="5"/>
        <v>0</v>
      </c>
      <c r="AE13" s="31">
        <f t="shared" si="5"/>
        <v>272</v>
      </c>
      <c r="AF13" s="31">
        <f t="shared" si="5"/>
        <v>363.85714285714289</v>
      </c>
    </row>
    <row r="14" spans="2:32" ht="23.1" customHeight="1" x14ac:dyDescent="0.25">
      <c r="B14" s="23" t="s">
        <v>41</v>
      </c>
      <c r="C14" s="49">
        <f>AVERAGE('17.10 jinja-kampala'!C14,'18.10 Jinja-Kampala'!C14,'19.10 Jinja-Kampala-24hr'!C14,'20.10 Jinja-Kampala'!C14,'21.10 jinja-Kampala-24h'!C14,'23.10 JINJA-KAMPALA'!C14,'27.10 JINJA-KAMPALA'!C14)</f>
        <v>12</v>
      </c>
      <c r="D14" s="49">
        <f>AVERAGE('17.10 jinja-kampala'!D14,'18.10 Jinja-Kampala'!D14,'19.10 Jinja-Kampala-24hr'!D14,'20.10 Jinja-Kampala'!D14,'21.10 jinja-Kampala-24h'!D14,'23.10 JINJA-KAMPALA'!D14,'27.10 JINJA-KAMPALA'!D14)</f>
        <v>3</v>
      </c>
      <c r="E14" s="49">
        <f>AVERAGE('17.10 jinja-kampala'!E14,'18.10 Jinja-Kampala'!E14,'19.10 Jinja-Kampala-24hr'!E14,'20.10 Jinja-Kampala'!E14,'21.10 jinja-Kampala-24h'!E14,'23.10 JINJA-KAMPALA'!E14,'27.10 JINJA-KAMPALA'!E14)</f>
        <v>3.4285714285714284</v>
      </c>
      <c r="F14" s="49">
        <f>AVERAGE('17.10 jinja-kampala'!F14,'18.10 Jinja-Kampala'!F14,'19.10 Jinja-Kampala-24hr'!F14,'20.10 Jinja-Kampala'!F14,'21.10 jinja-Kampala-24h'!F14,'23.10 JINJA-KAMPALA'!F14,'27.10 JINJA-KAMPALA'!F14)</f>
        <v>35</v>
      </c>
      <c r="G14" s="49">
        <f>AVERAGE('17.10 jinja-kampala'!G14,'18.10 Jinja-Kampala'!G14,'19.10 Jinja-Kampala-24hr'!G14,'20.10 Jinja-Kampala'!G14,'21.10 jinja-Kampala-24h'!G14,'23.10 JINJA-KAMPALA'!G14,'27.10 JINJA-KAMPALA'!G14)</f>
        <v>0.7142857142857143</v>
      </c>
      <c r="H14" s="49">
        <f>AVERAGE('17.10 jinja-kampala'!H14,'18.10 Jinja-Kampala'!H14,'19.10 Jinja-Kampala-24hr'!H14,'20.10 Jinja-Kampala'!H14,'21.10 jinja-Kampala-24h'!H14,'23.10 JINJA-KAMPALA'!H14,'27.10 JINJA-KAMPALA'!H14)</f>
        <v>0.14285714285714285</v>
      </c>
      <c r="I14" s="49">
        <f>AVERAGE('17.10 jinja-kampala'!I14,'18.10 Jinja-Kampala'!I14,'19.10 Jinja-Kampala-24hr'!I14,'20.10 Jinja-Kampala'!I14,'21.10 jinja-Kampala-24h'!I14,'23.10 JINJA-KAMPALA'!I14,'27.10 JINJA-KAMPALA'!I14)</f>
        <v>2.4285714285714284</v>
      </c>
      <c r="J14" s="49">
        <f>AVERAGE('17.10 jinja-kampala'!J14,'18.10 Jinja-Kampala'!J14,'19.10 Jinja-Kampala-24hr'!J14,'20.10 Jinja-Kampala'!J14,'21.10 jinja-Kampala-24h'!J14,'23.10 JINJA-KAMPALA'!J14,'27.10 JINJA-KAMPALA'!J14)</f>
        <v>1.8571428571428572</v>
      </c>
      <c r="K14" s="49">
        <f>AVERAGE('17.10 jinja-kampala'!K14,'18.10 Jinja-Kampala'!K14,'19.10 Jinja-Kampala-24hr'!K14,'20.10 Jinja-Kampala'!K14,'21.10 jinja-Kampala-24h'!K14,'23.10 JINJA-KAMPALA'!K14,'27.10 JINJA-KAMPALA'!K14)</f>
        <v>0.8571428571428571</v>
      </c>
      <c r="L14" s="49">
        <f>AVERAGE('17.10 jinja-kampala'!L14,'18.10 Jinja-Kampala'!L14,'19.10 Jinja-Kampala-24hr'!L14,'20.10 Jinja-Kampala'!L14,'21.10 jinja-Kampala-24h'!L14,'23.10 JINJA-KAMPALA'!L14,'27.10 JINJA-KAMPALA'!L14)</f>
        <v>12.285714285714286</v>
      </c>
      <c r="M14" s="49">
        <f>AVERAGE('17.10 jinja-kampala'!M14,'18.10 Jinja-Kampala'!M14,'19.10 Jinja-Kampala-24hr'!M14,'20.10 Jinja-Kampala'!M14,'21.10 jinja-Kampala-24h'!M14,'23.10 JINJA-KAMPALA'!M14,'27.10 JINJA-KAMPALA'!M14)</f>
        <v>16.714285714285715</v>
      </c>
      <c r="N14" s="49">
        <f>AVERAGE('17.10 jinja-kampala'!N14,'18.10 Jinja-Kampala'!N14,'19.10 Jinja-Kampala-24hr'!N14,'20.10 Jinja-Kampala'!N14,'21.10 jinja-Kampala-24h'!N14,'23.10 JINJA-KAMPALA'!N14,'27.10 JINJA-KAMPALA'!N14)</f>
        <v>0</v>
      </c>
      <c r="O14" s="15">
        <f t="shared" si="0"/>
        <v>71.714285714285722</v>
      </c>
      <c r="P14" s="15">
        <f t="shared" si="1"/>
        <v>88.428571428571445</v>
      </c>
      <c r="R14" s="1" t="s">
        <v>10</v>
      </c>
      <c r="S14" s="17">
        <f t="shared" ref="S14:AF14" si="6">SUM(C26:C29)</f>
        <v>56.571428571428569</v>
      </c>
      <c r="T14" s="17">
        <f t="shared" si="6"/>
        <v>18.714285714285715</v>
      </c>
      <c r="U14" s="17">
        <f t="shared" si="6"/>
        <v>15.142857142857142</v>
      </c>
      <c r="V14" s="17">
        <f t="shared" si="6"/>
        <v>107.85714285714286</v>
      </c>
      <c r="W14" s="17">
        <f t="shared" si="6"/>
        <v>2.5714285714285712</v>
      </c>
      <c r="X14" s="17">
        <f t="shared" si="6"/>
        <v>2.1428571428571428</v>
      </c>
      <c r="Y14" s="17">
        <f t="shared" si="6"/>
        <v>15.857142857142858</v>
      </c>
      <c r="Z14" s="17">
        <f t="shared" si="6"/>
        <v>21.428571428571431</v>
      </c>
      <c r="AA14" s="17">
        <f t="shared" si="6"/>
        <v>4.4285714285714288</v>
      </c>
      <c r="AB14" s="17">
        <f t="shared" si="6"/>
        <v>43.714285714285715</v>
      </c>
      <c r="AC14" s="17">
        <f t="shared" si="6"/>
        <v>90.285714285714278</v>
      </c>
      <c r="AD14" s="17">
        <f t="shared" si="6"/>
        <v>0.14285714285714285</v>
      </c>
      <c r="AE14" s="31">
        <f t="shared" si="6"/>
        <v>288.57142857142856</v>
      </c>
      <c r="AF14" s="31">
        <f t="shared" si="6"/>
        <v>378.85714285714289</v>
      </c>
    </row>
    <row r="15" spans="2:32" ht="23.1" customHeight="1" x14ac:dyDescent="0.25">
      <c r="B15" s="23" t="s">
        <v>42</v>
      </c>
      <c r="C15" s="49">
        <f>AVERAGE('17.10 jinja-kampala'!C15,'18.10 Jinja-Kampala'!C15,'19.10 Jinja-Kampala-24hr'!C15,'20.10 Jinja-Kampala'!C15,'21.10 jinja-Kampala-24h'!C15,'23.10 JINJA-KAMPALA'!C15,'27.10 JINJA-KAMPALA'!C15)</f>
        <v>11.714285714285714</v>
      </c>
      <c r="D15" s="49">
        <f>AVERAGE('17.10 jinja-kampala'!D15,'18.10 Jinja-Kampala'!D15,'19.10 Jinja-Kampala-24hr'!D15,'20.10 Jinja-Kampala'!D15,'21.10 jinja-Kampala-24h'!D15,'23.10 JINJA-KAMPALA'!D15,'27.10 JINJA-KAMPALA'!D15)</f>
        <v>1.8571428571428572</v>
      </c>
      <c r="E15" s="49">
        <f>AVERAGE('17.10 jinja-kampala'!E15,'18.10 Jinja-Kampala'!E15,'19.10 Jinja-Kampala-24hr'!E15,'20.10 Jinja-Kampala'!E15,'21.10 jinja-Kampala-24h'!E15,'23.10 JINJA-KAMPALA'!E15,'27.10 JINJA-KAMPALA'!E15)</f>
        <v>2.5714285714285716</v>
      </c>
      <c r="F15" s="49">
        <f>AVERAGE('17.10 jinja-kampala'!F15,'18.10 Jinja-Kampala'!F15,'19.10 Jinja-Kampala-24hr'!F15,'20.10 Jinja-Kampala'!F15,'21.10 jinja-Kampala-24h'!F15,'23.10 JINJA-KAMPALA'!F15,'27.10 JINJA-KAMPALA'!F15)</f>
        <v>29.142857142857142</v>
      </c>
      <c r="G15" s="49">
        <f>AVERAGE('17.10 jinja-kampala'!G15,'18.10 Jinja-Kampala'!G15,'19.10 Jinja-Kampala-24hr'!G15,'20.10 Jinja-Kampala'!G15,'21.10 jinja-Kampala-24h'!G15,'23.10 JINJA-KAMPALA'!G15,'27.10 JINJA-KAMPALA'!G15)</f>
        <v>0.5714285714285714</v>
      </c>
      <c r="H15" s="49">
        <f>AVERAGE('17.10 jinja-kampala'!H15,'18.10 Jinja-Kampala'!H15,'19.10 Jinja-Kampala-24hr'!H15,'20.10 Jinja-Kampala'!H15,'21.10 jinja-Kampala-24h'!H15,'23.10 JINJA-KAMPALA'!H15,'27.10 JINJA-KAMPALA'!H15)</f>
        <v>1.5714285714285714</v>
      </c>
      <c r="I15" s="49">
        <f>AVERAGE('17.10 jinja-kampala'!I15,'18.10 Jinja-Kampala'!I15,'19.10 Jinja-Kampala-24hr'!I15,'20.10 Jinja-Kampala'!I15,'21.10 jinja-Kampala-24h'!I15,'23.10 JINJA-KAMPALA'!I15,'27.10 JINJA-KAMPALA'!I15)</f>
        <v>2.1428571428571428</v>
      </c>
      <c r="J15" s="49">
        <f>AVERAGE('17.10 jinja-kampala'!J15,'18.10 Jinja-Kampala'!J15,'19.10 Jinja-Kampala-24hr'!J15,'20.10 Jinja-Kampala'!J15,'21.10 jinja-Kampala-24h'!J15,'23.10 JINJA-KAMPALA'!J15,'27.10 JINJA-KAMPALA'!J15)</f>
        <v>3.1428571428571428</v>
      </c>
      <c r="K15" s="49">
        <f>AVERAGE('17.10 jinja-kampala'!K15,'18.10 Jinja-Kampala'!K15,'19.10 Jinja-Kampala-24hr'!K15,'20.10 Jinja-Kampala'!K15,'21.10 jinja-Kampala-24h'!K15,'23.10 JINJA-KAMPALA'!K15,'27.10 JINJA-KAMPALA'!K15)</f>
        <v>0.2857142857142857</v>
      </c>
      <c r="L15" s="49">
        <f>AVERAGE('17.10 jinja-kampala'!L15,'18.10 Jinja-Kampala'!L15,'19.10 Jinja-Kampala-24hr'!L15,'20.10 Jinja-Kampala'!L15,'21.10 jinja-Kampala-24h'!L15,'23.10 JINJA-KAMPALA'!L15,'27.10 JINJA-KAMPALA'!L15)</f>
        <v>10.857142857142858</v>
      </c>
      <c r="M15" s="49">
        <f>AVERAGE('17.10 jinja-kampala'!M15,'18.10 Jinja-Kampala'!M15,'19.10 Jinja-Kampala-24hr'!M15,'20.10 Jinja-Kampala'!M15,'21.10 jinja-Kampala-24h'!M15,'23.10 JINJA-KAMPALA'!M15,'27.10 JINJA-KAMPALA'!M15)</f>
        <v>18.428571428571427</v>
      </c>
      <c r="N15" s="49">
        <f>AVERAGE('17.10 jinja-kampala'!N15,'18.10 Jinja-Kampala'!N15,'19.10 Jinja-Kampala-24hr'!N15,'20.10 Jinja-Kampala'!N15,'21.10 jinja-Kampala-24h'!N15,'23.10 JINJA-KAMPALA'!N15,'27.10 JINJA-KAMPALA'!N15)</f>
        <v>0</v>
      </c>
      <c r="O15" s="15">
        <f t="shared" si="0"/>
        <v>63.857142857142861</v>
      </c>
      <c r="P15" s="15">
        <f t="shared" si="1"/>
        <v>82.285714285714292</v>
      </c>
      <c r="R15" s="1" t="s">
        <v>11</v>
      </c>
      <c r="S15" s="17">
        <f t="shared" ref="S15:AF15" si="7">SUM(C30:C33)</f>
        <v>58.857142857142861</v>
      </c>
      <c r="T15" s="17">
        <f t="shared" si="7"/>
        <v>19.428571428571427</v>
      </c>
      <c r="U15" s="17">
        <f t="shared" si="7"/>
        <v>11.142857142857142</v>
      </c>
      <c r="V15" s="17">
        <f t="shared" si="7"/>
        <v>104.28571428571428</v>
      </c>
      <c r="W15" s="17">
        <f t="shared" si="7"/>
        <v>2</v>
      </c>
      <c r="X15" s="17">
        <f t="shared" si="7"/>
        <v>1.857142857142857</v>
      </c>
      <c r="Y15" s="17">
        <f t="shared" si="7"/>
        <v>15.428571428571431</v>
      </c>
      <c r="Z15" s="17">
        <f t="shared" si="7"/>
        <v>21</v>
      </c>
      <c r="AA15" s="17">
        <f t="shared" si="7"/>
        <v>5.7142857142857144</v>
      </c>
      <c r="AB15" s="17">
        <f t="shared" si="7"/>
        <v>41</v>
      </c>
      <c r="AC15" s="17">
        <f t="shared" si="7"/>
        <v>77.857142857142861</v>
      </c>
      <c r="AD15" s="17">
        <f t="shared" si="7"/>
        <v>0.14285714285714285</v>
      </c>
      <c r="AE15" s="31">
        <f t="shared" si="7"/>
        <v>280.85714285714283</v>
      </c>
      <c r="AF15" s="31">
        <f t="shared" si="7"/>
        <v>358.71428571428572</v>
      </c>
    </row>
    <row r="16" spans="2:32" ht="23.1" customHeight="1" x14ac:dyDescent="0.25">
      <c r="B16" s="23" t="s">
        <v>43</v>
      </c>
      <c r="C16" s="49">
        <f>AVERAGE('17.10 jinja-kampala'!C16,'18.10 Jinja-Kampala'!C16,'19.10 Jinja-Kampala-24hr'!C16,'20.10 Jinja-Kampala'!C16,'21.10 jinja-Kampala-24h'!C16,'23.10 JINJA-KAMPALA'!C16,'27.10 JINJA-KAMPALA'!C16)</f>
        <v>11.714285714285714</v>
      </c>
      <c r="D16" s="49">
        <f>AVERAGE('17.10 jinja-kampala'!D16,'18.10 Jinja-Kampala'!D16,'19.10 Jinja-Kampala-24hr'!D16,'20.10 Jinja-Kampala'!D16,'21.10 jinja-Kampala-24h'!D16,'23.10 JINJA-KAMPALA'!D16,'27.10 JINJA-KAMPALA'!D16)</f>
        <v>3.7142857142857144</v>
      </c>
      <c r="E16" s="49">
        <f>AVERAGE('17.10 jinja-kampala'!E16,'18.10 Jinja-Kampala'!E16,'19.10 Jinja-Kampala-24hr'!E16,'20.10 Jinja-Kampala'!E16,'21.10 jinja-Kampala-24h'!E16,'23.10 JINJA-KAMPALA'!E16,'27.10 JINJA-KAMPALA'!E16)</f>
        <v>1.4285714285714286</v>
      </c>
      <c r="F16" s="49">
        <f>AVERAGE('17.10 jinja-kampala'!F16,'18.10 Jinja-Kampala'!F16,'19.10 Jinja-Kampala-24hr'!F16,'20.10 Jinja-Kampala'!F16,'21.10 jinja-Kampala-24h'!F16,'23.10 JINJA-KAMPALA'!F16,'27.10 JINJA-KAMPALA'!F16)</f>
        <v>27.714285714285715</v>
      </c>
      <c r="G16" s="49">
        <f>AVERAGE('17.10 jinja-kampala'!G16,'18.10 Jinja-Kampala'!G16,'19.10 Jinja-Kampala-24hr'!G16,'20.10 Jinja-Kampala'!G16,'21.10 jinja-Kampala-24h'!G16,'23.10 JINJA-KAMPALA'!G16,'27.10 JINJA-KAMPALA'!G16)</f>
        <v>1.1428571428571428</v>
      </c>
      <c r="H16" s="49">
        <f>AVERAGE('17.10 jinja-kampala'!H16,'18.10 Jinja-Kampala'!H16,'19.10 Jinja-Kampala-24hr'!H16,'20.10 Jinja-Kampala'!H16,'21.10 jinja-Kampala-24h'!H16,'23.10 JINJA-KAMPALA'!H16,'27.10 JINJA-KAMPALA'!H16)</f>
        <v>1.1428571428571428</v>
      </c>
      <c r="I16" s="49">
        <f>AVERAGE('17.10 jinja-kampala'!I16,'18.10 Jinja-Kampala'!I16,'19.10 Jinja-Kampala-24hr'!I16,'20.10 Jinja-Kampala'!I16,'21.10 jinja-Kampala-24h'!I16,'23.10 JINJA-KAMPALA'!I16,'27.10 JINJA-KAMPALA'!I16)</f>
        <v>2.4285714285714284</v>
      </c>
      <c r="J16" s="49">
        <f>AVERAGE('17.10 jinja-kampala'!J16,'18.10 Jinja-Kampala'!J16,'19.10 Jinja-Kampala-24hr'!J16,'20.10 Jinja-Kampala'!J16,'21.10 jinja-Kampala-24h'!J16,'23.10 JINJA-KAMPALA'!J16,'27.10 JINJA-KAMPALA'!J16)</f>
        <v>3.2857142857142856</v>
      </c>
      <c r="K16" s="49">
        <f>AVERAGE('17.10 jinja-kampala'!K16,'18.10 Jinja-Kampala'!K16,'19.10 Jinja-Kampala-24hr'!K16,'20.10 Jinja-Kampala'!K16,'21.10 jinja-Kampala-24h'!K16,'23.10 JINJA-KAMPALA'!K16,'27.10 JINJA-KAMPALA'!K16)</f>
        <v>1.1428571428571428</v>
      </c>
      <c r="L16" s="49">
        <f>AVERAGE('17.10 jinja-kampala'!L16,'18.10 Jinja-Kampala'!L16,'19.10 Jinja-Kampala-24hr'!L16,'20.10 Jinja-Kampala'!L16,'21.10 jinja-Kampala-24h'!L16,'23.10 JINJA-KAMPALA'!L16,'27.10 JINJA-KAMPALA'!L16)</f>
        <v>13.428571428571429</v>
      </c>
      <c r="M16" s="49">
        <f>AVERAGE('17.10 jinja-kampala'!M16,'18.10 Jinja-Kampala'!M16,'19.10 Jinja-Kampala-24hr'!M16,'20.10 Jinja-Kampala'!M16,'21.10 jinja-Kampala-24h'!M16,'23.10 JINJA-KAMPALA'!M16,'27.10 JINJA-KAMPALA'!M16)</f>
        <v>18.714285714285715</v>
      </c>
      <c r="N16" s="49">
        <f>AVERAGE('17.10 jinja-kampala'!N16,'18.10 Jinja-Kampala'!N16,'19.10 Jinja-Kampala-24hr'!N16,'20.10 Jinja-Kampala'!N16,'21.10 jinja-Kampala-24h'!N16,'23.10 JINJA-KAMPALA'!N16,'27.10 JINJA-KAMPALA'!N16)</f>
        <v>0</v>
      </c>
      <c r="O16" s="15">
        <f t="shared" si="0"/>
        <v>67.142857142857153</v>
      </c>
      <c r="P16" s="15">
        <f t="shared" si="1"/>
        <v>85.857142857142861</v>
      </c>
      <c r="R16" s="1" t="s">
        <v>12</v>
      </c>
      <c r="S16" s="17">
        <f t="shared" ref="S16:AF16" si="8">SUM(C34:C37)</f>
        <v>70.714285714285708</v>
      </c>
      <c r="T16" s="17">
        <f t="shared" si="8"/>
        <v>25.142857142857142</v>
      </c>
      <c r="U16" s="17">
        <f t="shared" si="8"/>
        <v>16.857142857142858</v>
      </c>
      <c r="V16" s="17">
        <f t="shared" si="8"/>
        <v>111</v>
      </c>
      <c r="W16" s="17">
        <f t="shared" si="8"/>
        <v>2.1428571428571428</v>
      </c>
      <c r="X16" s="17">
        <f t="shared" si="8"/>
        <v>1.2857142857142856</v>
      </c>
      <c r="Y16" s="17">
        <f t="shared" si="8"/>
        <v>14.285714285714288</v>
      </c>
      <c r="Z16" s="17">
        <f t="shared" si="8"/>
        <v>27</v>
      </c>
      <c r="AA16" s="17">
        <f t="shared" si="8"/>
        <v>6.8571428571428577</v>
      </c>
      <c r="AB16" s="17">
        <f t="shared" si="8"/>
        <v>43.571428571428569</v>
      </c>
      <c r="AC16" s="17">
        <f t="shared" si="8"/>
        <v>88.285714285714278</v>
      </c>
      <c r="AD16" s="17">
        <f t="shared" si="8"/>
        <v>0.14285714285714285</v>
      </c>
      <c r="AE16" s="31">
        <f t="shared" si="8"/>
        <v>318.99999999999994</v>
      </c>
      <c r="AF16" s="31">
        <f t="shared" si="8"/>
        <v>407.28571428571428</v>
      </c>
    </row>
    <row r="17" spans="2:32" ht="23.1" customHeight="1" x14ac:dyDescent="0.25">
      <c r="B17" s="23" t="s">
        <v>44</v>
      </c>
      <c r="C17" s="49">
        <f>AVERAGE('17.10 jinja-kampala'!C17,'18.10 Jinja-Kampala'!C17,'19.10 Jinja-Kampala-24hr'!C17,'20.10 Jinja-Kampala'!C17,'21.10 jinja-Kampala-24h'!C17,'23.10 JINJA-KAMPALA'!C17,'27.10 JINJA-KAMPALA'!C17)</f>
        <v>13.428571428571429</v>
      </c>
      <c r="D17" s="49">
        <f>AVERAGE('17.10 jinja-kampala'!D17,'18.10 Jinja-Kampala'!D17,'19.10 Jinja-Kampala-24hr'!D17,'20.10 Jinja-Kampala'!D17,'21.10 jinja-Kampala-24h'!D17,'23.10 JINJA-KAMPALA'!D17,'27.10 JINJA-KAMPALA'!D17)</f>
        <v>2.4285714285714284</v>
      </c>
      <c r="E17" s="49">
        <f>AVERAGE('17.10 jinja-kampala'!E17,'18.10 Jinja-Kampala'!E17,'19.10 Jinja-Kampala-24hr'!E17,'20.10 Jinja-Kampala'!E17,'21.10 jinja-Kampala-24h'!E17,'23.10 JINJA-KAMPALA'!E17,'27.10 JINJA-KAMPALA'!E17)</f>
        <v>2.1428571428571428</v>
      </c>
      <c r="F17" s="49">
        <f>AVERAGE('17.10 jinja-kampala'!F17,'18.10 Jinja-Kampala'!F17,'19.10 Jinja-Kampala-24hr'!F17,'20.10 Jinja-Kampala'!F17,'21.10 jinja-Kampala-24h'!F17,'23.10 JINJA-KAMPALA'!F17,'27.10 JINJA-KAMPALA'!F17)</f>
        <v>28.285714285714285</v>
      </c>
      <c r="G17" s="49">
        <f>AVERAGE('17.10 jinja-kampala'!G17,'18.10 Jinja-Kampala'!G17,'19.10 Jinja-Kampala-24hr'!G17,'20.10 Jinja-Kampala'!G17,'21.10 jinja-Kampala-24h'!G17,'23.10 JINJA-KAMPALA'!G17,'27.10 JINJA-KAMPALA'!G17)</f>
        <v>5.8571428571428568</v>
      </c>
      <c r="H17" s="49">
        <f>AVERAGE('17.10 jinja-kampala'!H17,'18.10 Jinja-Kampala'!H17,'19.10 Jinja-Kampala-24hr'!H17,'20.10 Jinja-Kampala'!H17,'21.10 jinja-Kampala-24h'!H17,'23.10 JINJA-KAMPALA'!H17,'27.10 JINJA-KAMPALA'!H17)</f>
        <v>1.5714285714285714</v>
      </c>
      <c r="I17" s="49">
        <f>AVERAGE('17.10 jinja-kampala'!I17,'18.10 Jinja-Kampala'!I17,'19.10 Jinja-Kampala-24hr'!I17,'20.10 Jinja-Kampala'!I17,'21.10 jinja-Kampala-24h'!I17,'23.10 JINJA-KAMPALA'!I17,'27.10 JINJA-KAMPALA'!I17)</f>
        <v>2.2857142857142856</v>
      </c>
      <c r="J17" s="49">
        <f>AVERAGE('17.10 jinja-kampala'!J17,'18.10 Jinja-Kampala'!J17,'19.10 Jinja-Kampala-24hr'!J17,'20.10 Jinja-Kampala'!J17,'21.10 jinja-Kampala-24h'!J17,'23.10 JINJA-KAMPALA'!J17,'27.10 JINJA-KAMPALA'!J17)</f>
        <v>1.7142857142857142</v>
      </c>
      <c r="K17" s="49">
        <f>AVERAGE('17.10 jinja-kampala'!K17,'18.10 Jinja-Kampala'!K17,'19.10 Jinja-Kampala-24hr'!K17,'20.10 Jinja-Kampala'!K17,'21.10 jinja-Kampala-24h'!K17,'23.10 JINJA-KAMPALA'!K17,'27.10 JINJA-KAMPALA'!K17)</f>
        <v>1.5714285714285714</v>
      </c>
      <c r="L17" s="49">
        <f>AVERAGE('17.10 jinja-kampala'!L17,'18.10 Jinja-Kampala'!L17,'19.10 Jinja-Kampala-24hr'!L17,'20.10 Jinja-Kampala'!L17,'21.10 jinja-Kampala-24h'!L17,'23.10 JINJA-KAMPALA'!L17,'27.10 JINJA-KAMPALA'!L17)</f>
        <v>9.2857142857142865</v>
      </c>
      <c r="M17" s="49">
        <f>AVERAGE('17.10 jinja-kampala'!M17,'18.10 Jinja-Kampala'!M17,'19.10 Jinja-Kampala-24hr'!M17,'20.10 Jinja-Kampala'!M17,'21.10 jinja-Kampala-24h'!M17,'23.10 JINJA-KAMPALA'!M17,'27.10 JINJA-KAMPALA'!M17)</f>
        <v>17.571428571428573</v>
      </c>
      <c r="N17" s="49">
        <f>AVERAGE('17.10 jinja-kampala'!N17,'18.10 Jinja-Kampala'!N17,'19.10 Jinja-Kampala-24hr'!N17,'20.10 Jinja-Kampala'!N17,'21.10 jinja-Kampala-24h'!N17,'23.10 JINJA-KAMPALA'!N17,'27.10 JINJA-KAMPALA'!N17)</f>
        <v>3.5714285714285716</v>
      </c>
      <c r="O17" s="15">
        <f t="shared" si="0"/>
        <v>72.142857142857139</v>
      </c>
      <c r="P17" s="15">
        <f t="shared" si="1"/>
        <v>89.714285714285708</v>
      </c>
      <c r="R17" s="1" t="s">
        <v>13</v>
      </c>
      <c r="S17" s="17">
        <f t="shared" ref="S17:AF17" si="9">SUM(C38:C41)</f>
        <v>64.571428571428569</v>
      </c>
      <c r="T17" s="17">
        <f t="shared" si="9"/>
        <v>24.714285714285715</v>
      </c>
      <c r="U17" s="17">
        <f t="shared" si="9"/>
        <v>16.285714285714285</v>
      </c>
      <c r="V17" s="17">
        <f t="shared" si="9"/>
        <v>110.28571428571428</v>
      </c>
      <c r="W17" s="17">
        <f t="shared" si="9"/>
        <v>1.5714285714285716</v>
      </c>
      <c r="X17" s="17">
        <f t="shared" si="9"/>
        <v>2.1428571428571428</v>
      </c>
      <c r="Y17" s="17">
        <f t="shared" si="9"/>
        <v>18</v>
      </c>
      <c r="Z17" s="17">
        <f t="shared" si="9"/>
        <v>23.428571428571427</v>
      </c>
      <c r="AA17" s="17">
        <f t="shared" si="9"/>
        <v>4.8571428571428568</v>
      </c>
      <c r="AB17" s="17">
        <f t="shared" si="9"/>
        <v>43</v>
      </c>
      <c r="AC17" s="17">
        <f t="shared" si="9"/>
        <v>73.857142857142861</v>
      </c>
      <c r="AD17" s="17">
        <f t="shared" si="9"/>
        <v>0.14285714285714285</v>
      </c>
      <c r="AE17" s="31">
        <f t="shared" si="9"/>
        <v>309</v>
      </c>
      <c r="AF17" s="31">
        <f t="shared" si="9"/>
        <v>382.85714285714283</v>
      </c>
    </row>
    <row r="18" spans="2:32" ht="23.1" customHeight="1" x14ac:dyDescent="0.25">
      <c r="B18" s="23" t="s">
        <v>45</v>
      </c>
      <c r="C18" s="49">
        <f>AVERAGE('17.10 jinja-kampala'!C18,'18.10 Jinja-Kampala'!C18,'19.10 Jinja-Kampala-24hr'!C18,'20.10 Jinja-Kampala'!C18,'21.10 jinja-Kampala-24h'!C18,'23.10 JINJA-KAMPALA'!C18,'27.10 JINJA-KAMPALA'!C18)</f>
        <v>13.428571428571429</v>
      </c>
      <c r="D18" s="49">
        <f>AVERAGE('17.10 jinja-kampala'!D18,'18.10 Jinja-Kampala'!D18,'19.10 Jinja-Kampala-24hr'!D18,'20.10 Jinja-Kampala'!D18,'21.10 jinja-Kampala-24h'!D18,'23.10 JINJA-KAMPALA'!D18,'27.10 JINJA-KAMPALA'!D18)</f>
        <v>6.8571428571428568</v>
      </c>
      <c r="E18" s="49">
        <f>AVERAGE('17.10 jinja-kampala'!E18,'18.10 Jinja-Kampala'!E18,'19.10 Jinja-Kampala-24hr'!E18,'20.10 Jinja-Kampala'!E18,'21.10 jinja-Kampala-24h'!E18,'23.10 JINJA-KAMPALA'!E18,'27.10 JINJA-KAMPALA'!E18)</f>
        <v>4.8571428571428568</v>
      </c>
      <c r="F18" s="49">
        <f>AVERAGE('17.10 jinja-kampala'!F18,'18.10 Jinja-Kampala'!F18,'19.10 Jinja-Kampala-24hr'!F18,'20.10 Jinja-Kampala'!F18,'21.10 jinja-Kampala-24h'!F18,'23.10 JINJA-KAMPALA'!F18,'27.10 JINJA-KAMPALA'!F18)</f>
        <v>30.142857142857142</v>
      </c>
      <c r="G18" s="49">
        <f>AVERAGE('17.10 jinja-kampala'!G18,'18.10 Jinja-Kampala'!G18,'19.10 Jinja-Kampala-24hr'!G18,'20.10 Jinja-Kampala'!G18,'21.10 jinja-Kampala-24h'!G18,'23.10 JINJA-KAMPALA'!G18,'27.10 JINJA-KAMPALA'!G18)</f>
        <v>1.7142857142857142</v>
      </c>
      <c r="H18" s="49">
        <f>AVERAGE('17.10 jinja-kampala'!H18,'18.10 Jinja-Kampala'!H18,'19.10 Jinja-Kampala-24hr'!H18,'20.10 Jinja-Kampala'!H18,'21.10 jinja-Kampala-24h'!H18,'23.10 JINJA-KAMPALA'!H18,'27.10 JINJA-KAMPALA'!H18)</f>
        <v>0.7142857142857143</v>
      </c>
      <c r="I18" s="49">
        <f>AVERAGE('17.10 jinja-kampala'!I18,'18.10 Jinja-Kampala'!I18,'19.10 Jinja-Kampala-24hr'!I18,'20.10 Jinja-Kampala'!I18,'21.10 jinja-Kampala-24h'!I18,'23.10 JINJA-KAMPALA'!I18,'27.10 JINJA-KAMPALA'!I18)</f>
        <v>3.1428571428571428</v>
      </c>
      <c r="J18" s="49">
        <f>AVERAGE('17.10 jinja-kampala'!J18,'18.10 Jinja-Kampala'!J18,'19.10 Jinja-Kampala-24hr'!J18,'20.10 Jinja-Kampala'!J18,'21.10 jinja-Kampala-24h'!J18,'23.10 JINJA-KAMPALA'!J18,'27.10 JINJA-KAMPALA'!J18)</f>
        <v>5.4285714285714288</v>
      </c>
      <c r="K18" s="49">
        <f>AVERAGE('17.10 jinja-kampala'!K18,'18.10 Jinja-Kampala'!K18,'19.10 Jinja-Kampala-24hr'!K18,'20.10 Jinja-Kampala'!K18,'21.10 jinja-Kampala-24h'!K18,'23.10 JINJA-KAMPALA'!K18,'27.10 JINJA-KAMPALA'!K18)</f>
        <v>1.1428571428571428</v>
      </c>
      <c r="L18" s="49">
        <f>AVERAGE('17.10 jinja-kampala'!L18,'18.10 Jinja-Kampala'!L18,'19.10 Jinja-Kampala-24hr'!L18,'20.10 Jinja-Kampala'!L18,'21.10 jinja-Kampala-24h'!L18,'23.10 JINJA-KAMPALA'!L18,'27.10 JINJA-KAMPALA'!L18)</f>
        <v>9.7142857142857135</v>
      </c>
      <c r="M18" s="49">
        <f>AVERAGE('17.10 jinja-kampala'!M18,'18.10 Jinja-Kampala'!M18,'19.10 Jinja-Kampala-24hr'!M18,'20.10 Jinja-Kampala'!M18,'21.10 jinja-Kampala-24h'!M18,'23.10 JINJA-KAMPALA'!M18,'27.10 JINJA-KAMPALA'!M18)</f>
        <v>22</v>
      </c>
      <c r="N18" s="49">
        <f>AVERAGE('17.10 jinja-kampala'!N18,'18.10 Jinja-Kampala'!N18,'19.10 Jinja-Kampala-24hr'!N18,'20.10 Jinja-Kampala'!N18,'21.10 jinja-Kampala-24h'!N18,'23.10 JINJA-KAMPALA'!N18,'27.10 JINJA-KAMPALA'!N18)</f>
        <v>0</v>
      </c>
      <c r="O18" s="15">
        <f t="shared" si="0"/>
        <v>77.142857142857139</v>
      </c>
      <c r="P18" s="15">
        <f t="shared" si="1"/>
        <v>99.142857142857139</v>
      </c>
      <c r="R18" s="1" t="s">
        <v>14</v>
      </c>
      <c r="S18" s="17">
        <f t="shared" ref="S18:AF18" si="10">SUM(C42:C45)</f>
        <v>73.285714285714278</v>
      </c>
      <c r="T18" s="17">
        <f t="shared" si="10"/>
        <v>27.285714285714288</v>
      </c>
      <c r="U18" s="17">
        <f t="shared" si="10"/>
        <v>21.857142857142858</v>
      </c>
      <c r="V18" s="17">
        <f t="shared" si="10"/>
        <v>112.42857142857144</v>
      </c>
      <c r="W18" s="17">
        <f t="shared" si="10"/>
        <v>2.8571428571428572</v>
      </c>
      <c r="X18" s="17">
        <f t="shared" si="10"/>
        <v>2.4285714285714284</v>
      </c>
      <c r="Y18" s="17">
        <f t="shared" si="10"/>
        <v>16.142857142857142</v>
      </c>
      <c r="Z18" s="17">
        <f t="shared" si="10"/>
        <v>25.857142857142861</v>
      </c>
      <c r="AA18" s="17">
        <f t="shared" si="10"/>
        <v>4.1428571428571423</v>
      </c>
      <c r="AB18" s="17">
        <f t="shared" si="10"/>
        <v>39.428571428571431</v>
      </c>
      <c r="AC18" s="17">
        <f t="shared" si="10"/>
        <v>84.142857142857139</v>
      </c>
      <c r="AD18" s="17">
        <f t="shared" si="10"/>
        <v>4.1428571428571432</v>
      </c>
      <c r="AE18" s="31">
        <f t="shared" si="10"/>
        <v>329.85714285714289</v>
      </c>
      <c r="AF18" s="31">
        <f t="shared" si="10"/>
        <v>414</v>
      </c>
    </row>
    <row r="19" spans="2:32" ht="23.1" customHeight="1" x14ac:dyDescent="0.25">
      <c r="B19" s="23" t="s">
        <v>46</v>
      </c>
      <c r="C19" s="49">
        <f>AVERAGE('17.10 jinja-kampala'!C19,'18.10 Jinja-Kampala'!C19,'19.10 Jinja-Kampala-24hr'!C19,'20.10 Jinja-Kampala'!C19,'21.10 jinja-Kampala-24h'!C19,'23.10 JINJA-KAMPALA'!C19,'27.10 JINJA-KAMPALA'!C19)</f>
        <v>11.428571428571429</v>
      </c>
      <c r="D19" s="49">
        <f>AVERAGE('17.10 jinja-kampala'!D19,'18.10 Jinja-Kampala'!D19,'19.10 Jinja-Kampala-24hr'!D19,'20.10 Jinja-Kampala'!D19,'21.10 jinja-Kampala-24h'!D19,'23.10 JINJA-KAMPALA'!D19,'27.10 JINJA-KAMPALA'!D19)</f>
        <v>4.8571428571428568</v>
      </c>
      <c r="E19" s="49">
        <f>AVERAGE('17.10 jinja-kampala'!E19,'18.10 Jinja-Kampala'!E19,'19.10 Jinja-Kampala-24hr'!E19,'20.10 Jinja-Kampala'!E19,'21.10 jinja-Kampala-24h'!E19,'23.10 JINJA-KAMPALA'!E19,'27.10 JINJA-KAMPALA'!E19)</f>
        <v>3.7142857142857144</v>
      </c>
      <c r="F19" s="49">
        <f>AVERAGE('17.10 jinja-kampala'!F19,'18.10 Jinja-Kampala'!F19,'19.10 Jinja-Kampala-24hr'!F19,'20.10 Jinja-Kampala'!F19,'21.10 jinja-Kampala-24h'!F19,'23.10 JINJA-KAMPALA'!F19,'27.10 JINJA-KAMPALA'!F19)</f>
        <v>31.714285714285715</v>
      </c>
      <c r="G19" s="49">
        <f>AVERAGE('17.10 jinja-kampala'!G19,'18.10 Jinja-Kampala'!G19,'19.10 Jinja-Kampala-24hr'!G19,'20.10 Jinja-Kampala'!G19,'21.10 jinja-Kampala-24h'!G19,'23.10 JINJA-KAMPALA'!G19,'27.10 JINJA-KAMPALA'!G19)</f>
        <v>0.8571428571428571</v>
      </c>
      <c r="H19" s="49">
        <f>AVERAGE('17.10 jinja-kampala'!H19,'18.10 Jinja-Kampala'!H19,'19.10 Jinja-Kampala-24hr'!H19,'20.10 Jinja-Kampala'!H19,'21.10 jinja-Kampala-24h'!H19,'23.10 JINJA-KAMPALA'!H19,'27.10 JINJA-KAMPALA'!H19)</f>
        <v>0.7142857142857143</v>
      </c>
      <c r="I19" s="49">
        <f>AVERAGE('17.10 jinja-kampala'!I19,'18.10 Jinja-Kampala'!I19,'19.10 Jinja-Kampala-24hr'!I19,'20.10 Jinja-Kampala'!I19,'21.10 jinja-Kampala-24h'!I19,'23.10 JINJA-KAMPALA'!I19,'27.10 JINJA-KAMPALA'!I19)</f>
        <v>2.8571428571428572</v>
      </c>
      <c r="J19" s="49">
        <f>AVERAGE('17.10 jinja-kampala'!J19,'18.10 Jinja-Kampala'!J19,'19.10 Jinja-Kampala-24hr'!J19,'20.10 Jinja-Kampala'!J19,'21.10 jinja-Kampala-24h'!J19,'23.10 JINJA-KAMPALA'!J19,'27.10 JINJA-KAMPALA'!J19)</f>
        <v>3.5714285714285716</v>
      </c>
      <c r="K19" s="49">
        <f>AVERAGE('17.10 jinja-kampala'!K19,'18.10 Jinja-Kampala'!K19,'19.10 Jinja-Kampala-24hr'!K19,'20.10 Jinja-Kampala'!K19,'21.10 jinja-Kampala-24h'!K19,'23.10 JINJA-KAMPALA'!K19,'27.10 JINJA-KAMPALA'!K19)</f>
        <v>0.42857142857142855</v>
      </c>
      <c r="L19" s="49">
        <f>AVERAGE('17.10 jinja-kampala'!L19,'18.10 Jinja-Kampala'!L19,'19.10 Jinja-Kampala-24hr'!L19,'20.10 Jinja-Kampala'!L19,'21.10 jinja-Kampala-24h'!L19,'23.10 JINJA-KAMPALA'!L19,'27.10 JINJA-KAMPALA'!L19)</f>
        <v>12.285714285714286</v>
      </c>
      <c r="M19" s="49">
        <f>AVERAGE('17.10 jinja-kampala'!M19,'18.10 Jinja-Kampala'!M19,'19.10 Jinja-Kampala-24hr'!M19,'20.10 Jinja-Kampala'!M19,'21.10 jinja-Kampala-24h'!M19,'23.10 JINJA-KAMPALA'!M19,'27.10 JINJA-KAMPALA'!M19)</f>
        <v>21</v>
      </c>
      <c r="N19" s="49">
        <f>AVERAGE('17.10 jinja-kampala'!N19,'18.10 Jinja-Kampala'!N19,'19.10 Jinja-Kampala-24hr'!N19,'20.10 Jinja-Kampala'!N19,'21.10 jinja-Kampala-24h'!N19,'23.10 JINJA-KAMPALA'!N19,'27.10 JINJA-KAMPALA'!N19)</f>
        <v>0</v>
      </c>
      <c r="O19" s="15">
        <f t="shared" si="0"/>
        <v>72.428571428571431</v>
      </c>
      <c r="P19" s="15">
        <f t="shared" si="1"/>
        <v>93.428571428571431</v>
      </c>
      <c r="R19" s="1" t="s">
        <v>15</v>
      </c>
      <c r="S19" s="17">
        <f t="shared" ref="S19:AF19" si="11">SUM(C46:C49)</f>
        <v>68.428571428571416</v>
      </c>
      <c r="T19" s="17">
        <f t="shared" si="11"/>
        <v>24.571428571428573</v>
      </c>
      <c r="U19" s="17">
        <f t="shared" si="11"/>
        <v>21.142857142857139</v>
      </c>
      <c r="V19" s="17">
        <f t="shared" si="11"/>
        <v>119.85714285714286</v>
      </c>
      <c r="W19" s="17">
        <f t="shared" si="11"/>
        <v>4</v>
      </c>
      <c r="X19" s="17">
        <f t="shared" si="11"/>
        <v>2.4285714285714284</v>
      </c>
      <c r="Y19" s="17">
        <f t="shared" si="11"/>
        <v>15.571428571428571</v>
      </c>
      <c r="Z19" s="17">
        <f t="shared" si="11"/>
        <v>26.142857142857142</v>
      </c>
      <c r="AA19" s="17">
        <f t="shared" si="11"/>
        <v>5.8571428571428568</v>
      </c>
      <c r="AB19" s="17">
        <f t="shared" si="11"/>
        <v>46</v>
      </c>
      <c r="AC19" s="17">
        <f t="shared" si="11"/>
        <v>101.57142857142857</v>
      </c>
      <c r="AD19" s="17">
        <f t="shared" si="11"/>
        <v>0</v>
      </c>
      <c r="AE19" s="31">
        <f t="shared" si="11"/>
        <v>334</v>
      </c>
      <c r="AF19" s="31">
        <f t="shared" si="11"/>
        <v>435.57142857142856</v>
      </c>
    </row>
    <row r="20" spans="2:32" ht="23.1" customHeight="1" x14ac:dyDescent="0.25">
      <c r="B20" s="23" t="s">
        <v>47</v>
      </c>
      <c r="C20" s="49">
        <f>AVERAGE('17.10 jinja-kampala'!C20,'18.10 Jinja-Kampala'!C20,'19.10 Jinja-Kampala-24hr'!C20,'20.10 Jinja-Kampala'!C20,'21.10 jinja-Kampala-24h'!C20,'23.10 JINJA-KAMPALA'!C20,'27.10 JINJA-KAMPALA'!C20)</f>
        <v>12.285714285714286</v>
      </c>
      <c r="D20" s="49">
        <f>AVERAGE('17.10 jinja-kampala'!D20,'18.10 Jinja-Kampala'!D20,'19.10 Jinja-Kampala-24hr'!D20,'20.10 Jinja-Kampala'!D20,'21.10 jinja-Kampala-24h'!D20,'23.10 JINJA-KAMPALA'!D20,'27.10 JINJA-KAMPALA'!D20)</f>
        <v>5.1428571428571432</v>
      </c>
      <c r="E20" s="49">
        <f>AVERAGE('17.10 jinja-kampala'!E20,'18.10 Jinja-Kampala'!E20,'19.10 Jinja-Kampala-24hr'!E20,'20.10 Jinja-Kampala'!E20,'21.10 jinja-Kampala-24h'!E20,'23.10 JINJA-KAMPALA'!E20,'27.10 JINJA-KAMPALA'!E20)</f>
        <v>3</v>
      </c>
      <c r="F20" s="49">
        <f>AVERAGE('17.10 jinja-kampala'!F20,'18.10 Jinja-Kampala'!F20,'19.10 Jinja-Kampala-24hr'!F20,'20.10 Jinja-Kampala'!F20,'21.10 jinja-Kampala-24h'!F20,'23.10 JINJA-KAMPALA'!F20,'27.10 JINJA-KAMPALA'!F20)</f>
        <v>35.142857142857146</v>
      </c>
      <c r="G20" s="49">
        <f>AVERAGE('17.10 jinja-kampala'!G20,'18.10 Jinja-Kampala'!G20,'19.10 Jinja-Kampala-24hr'!G20,'20.10 Jinja-Kampala'!G20,'21.10 jinja-Kampala-24h'!G20,'23.10 JINJA-KAMPALA'!G20,'27.10 JINJA-KAMPALA'!G20)</f>
        <v>0.7142857142857143</v>
      </c>
      <c r="H20" s="49">
        <f>AVERAGE('17.10 jinja-kampala'!H20,'18.10 Jinja-Kampala'!H20,'19.10 Jinja-Kampala-24hr'!H20,'20.10 Jinja-Kampala'!H20,'21.10 jinja-Kampala-24h'!H20,'23.10 JINJA-KAMPALA'!H20,'27.10 JINJA-KAMPALA'!H20)</f>
        <v>0.7142857142857143</v>
      </c>
      <c r="I20" s="49">
        <f>AVERAGE('17.10 jinja-kampala'!I20,'18.10 Jinja-Kampala'!I20,'19.10 Jinja-Kampala-24hr'!I20,'20.10 Jinja-Kampala'!I20,'21.10 jinja-Kampala-24h'!I20,'23.10 JINJA-KAMPALA'!I20,'27.10 JINJA-KAMPALA'!I20)</f>
        <v>2.8571428571428572</v>
      </c>
      <c r="J20" s="49">
        <f>AVERAGE('17.10 jinja-kampala'!J20,'18.10 Jinja-Kampala'!J20,'19.10 Jinja-Kampala-24hr'!J20,'20.10 Jinja-Kampala'!J20,'21.10 jinja-Kampala-24h'!J20,'23.10 JINJA-KAMPALA'!J20,'27.10 JINJA-KAMPALA'!J20)</f>
        <v>2.8571428571428572</v>
      </c>
      <c r="K20" s="49">
        <f>AVERAGE('17.10 jinja-kampala'!K20,'18.10 Jinja-Kampala'!K20,'19.10 Jinja-Kampala-24hr'!K20,'20.10 Jinja-Kampala'!K20,'21.10 jinja-Kampala-24h'!K20,'23.10 JINJA-KAMPALA'!K20,'27.10 JINJA-KAMPALA'!K20)</f>
        <v>0.5714285714285714</v>
      </c>
      <c r="L20" s="49">
        <f>AVERAGE('17.10 jinja-kampala'!L20,'18.10 Jinja-Kampala'!L20,'19.10 Jinja-Kampala-24hr'!L20,'20.10 Jinja-Kampala'!L20,'21.10 jinja-Kampala-24h'!L20,'23.10 JINJA-KAMPALA'!L20,'27.10 JINJA-KAMPALA'!L20)</f>
        <v>13.857142857142858</v>
      </c>
      <c r="M20" s="49">
        <f>AVERAGE('17.10 jinja-kampala'!M20,'18.10 Jinja-Kampala'!M20,'19.10 Jinja-Kampala-24hr'!M20,'20.10 Jinja-Kampala'!M20,'21.10 jinja-Kampala-24h'!M20,'23.10 JINJA-KAMPALA'!M20,'27.10 JINJA-KAMPALA'!M20)</f>
        <v>21.571428571428573</v>
      </c>
      <c r="N20" s="49">
        <f>AVERAGE('17.10 jinja-kampala'!N20,'18.10 Jinja-Kampala'!N20,'19.10 Jinja-Kampala-24hr'!N20,'20.10 Jinja-Kampala'!N20,'21.10 jinja-Kampala-24h'!N20,'23.10 JINJA-KAMPALA'!N20,'27.10 JINJA-KAMPALA'!N20)</f>
        <v>0</v>
      </c>
      <c r="O20" s="15">
        <f t="shared" si="0"/>
        <v>77.142857142857139</v>
      </c>
      <c r="P20" s="15">
        <f t="shared" si="1"/>
        <v>98.714285714285708</v>
      </c>
      <c r="R20" s="1" t="s">
        <v>16</v>
      </c>
      <c r="S20" s="17">
        <f t="shared" ref="S20:AF20" si="12">SUM(C50:C53)</f>
        <v>73.857142857142861</v>
      </c>
      <c r="T20" s="17">
        <f t="shared" si="12"/>
        <v>27.571428571428573</v>
      </c>
      <c r="U20" s="17">
        <f t="shared" si="12"/>
        <v>17.142857142857142</v>
      </c>
      <c r="V20" s="17">
        <f t="shared" si="12"/>
        <v>129.85714285714286</v>
      </c>
      <c r="W20" s="17">
        <f t="shared" si="12"/>
        <v>5.7142857142857144</v>
      </c>
      <c r="X20" s="17">
        <f t="shared" si="12"/>
        <v>4</v>
      </c>
      <c r="Y20" s="17">
        <f t="shared" si="12"/>
        <v>17.857142857142858</v>
      </c>
      <c r="Z20" s="17">
        <f t="shared" si="12"/>
        <v>26.142857142857142</v>
      </c>
      <c r="AA20" s="17">
        <f t="shared" si="12"/>
        <v>6.7142857142857144</v>
      </c>
      <c r="AB20" s="17">
        <f t="shared" si="12"/>
        <v>40.428571428571423</v>
      </c>
      <c r="AC20" s="17">
        <f t="shared" si="12"/>
        <v>103.14285714285714</v>
      </c>
      <c r="AD20" s="17">
        <f t="shared" si="12"/>
        <v>0.14285714285714285</v>
      </c>
      <c r="AE20" s="31">
        <f t="shared" si="12"/>
        <v>349.4285714285715</v>
      </c>
      <c r="AF20" s="31">
        <f t="shared" si="12"/>
        <v>452.57142857142856</v>
      </c>
    </row>
    <row r="21" spans="2:32" ht="23.1" customHeight="1" x14ac:dyDescent="0.25">
      <c r="B21" s="23" t="s">
        <v>48</v>
      </c>
      <c r="C21" s="49">
        <f>AVERAGE('17.10 jinja-kampala'!C21,'18.10 Jinja-Kampala'!C21,'19.10 Jinja-Kampala-24hr'!C21,'20.10 Jinja-Kampala'!C21,'21.10 jinja-Kampala-24h'!C21,'23.10 JINJA-KAMPALA'!C21,'27.10 JINJA-KAMPALA'!C21)</f>
        <v>11.857142857142858</v>
      </c>
      <c r="D21" s="49">
        <f>AVERAGE('17.10 jinja-kampala'!D21,'18.10 Jinja-Kampala'!D21,'19.10 Jinja-Kampala-24hr'!D21,'20.10 Jinja-Kampala'!D21,'21.10 jinja-Kampala-24h'!D21,'23.10 JINJA-KAMPALA'!D21,'27.10 JINJA-KAMPALA'!D21)</f>
        <v>3.4285714285714284</v>
      </c>
      <c r="E21" s="49">
        <f>AVERAGE('17.10 jinja-kampala'!E21,'18.10 Jinja-Kampala'!E21,'19.10 Jinja-Kampala-24hr'!E21,'20.10 Jinja-Kampala'!E21,'21.10 jinja-Kampala-24h'!E21,'23.10 JINJA-KAMPALA'!E21,'27.10 JINJA-KAMPALA'!E21)</f>
        <v>2.1428571428571428</v>
      </c>
      <c r="F21" s="49">
        <f>AVERAGE('17.10 jinja-kampala'!F21,'18.10 Jinja-Kampala'!F21,'19.10 Jinja-Kampala-24hr'!F21,'20.10 Jinja-Kampala'!F21,'21.10 jinja-Kampala-24h'!F21,'23.10 JINJA-KAMPALA'!F21,'27.10 JINJA-KAMPALA'!F21)</f>
        <v>27</v>
      </c>
      <c r="G21" s="49">
        <f>AVERAGE('17.10 jinja-kampala'!G21,'18.10 Jinja-Kampala'!G21,'19.10 Jinja-Kampala-24hr'!G21,'20.10 Jinja-Kampala'!G21,'21.10 jinja-Kampala-24h'!G21,'23.10 JINJA-KAMPALA'!G21,'27.10 JINJA-KAMPALA'!G21)</f>
        <v>1</v>
      </c>
      <c r="H21" s="49">
        <f>AVERAGE('17.10 jinja-kampala'!H21,'18.10 Jinja-Kampala'!H21,'19.10 Jinja-Kampala-24hr'!H21,'20.10 Jinja-Kampala'!H21,'21.10 jinja-Kampala-24h'!H21,'23.10 JINJA-KAMPALA'!H21,'27.10 JINJA-KAMPALA'!H21)</f>
        <v>0.5714285714285714</v>
      </c>
      <c r="I21" s="49">
        <f>AVERAGE('17.10 jinja-kampala'!I21,'18.10 Jinja-Kampala'!I21,'19.10 Jinja-Kampala-24hr'!I21,'20.10 Jinja-Kampala'!I21,'21.10 jinja-Kampala-24h'!I21,'23.10 JINJA-KAMPALA'!I21,'27.10 JINJA-KAMPALA'!I21)</f>
        <v>2.8571428571428572</v>
      </c>
      <c r="J21" s="49">
        <f>AVERAGE('17.10 jinja-kampala'!J21,'18.10 Jinja-Kampala'!J21,'19.10 Jinja-Kampala-24hr'!J21,'20.10 Jinja-Kampala'!J21,'21.10 jinja-Kampala-24h'!J21,'23.10 JINJA-KAMPALA'!J21,'27.10 JINJA-KAMPALA'!J21)</f>
        <v>2.7142857142857144</v>
      </c>
      <c r="K21" s="49">
        <f>AVERAGE('17.10 jinja-kampala'!K21,'18.10 Jinja-Kampala'!K21,'19.10 Jinja-Kampala-24hr'!K21,'20.10 Jinja-Kampala'!K21,'21.10 jinja-Kampala-24h'!K21,'23.10 JINJA-KAMPALA'!K21,'27.10 JINJA-KAMPALA'!K21)</f>
        <v>0.5714285714285714</v>
      </c>
      <c r="L21" s="49">
        <f>AVERAGE('17.10 jinja-kampala'!L21,'18.10 Jinja-Kampala'!L21,'19.10 Jinja-Kampala-24hr'!L21,'20.10 Jinja-Kampala'!L21,'21.10 jinja-Kampala-24h'!L21,'23.10 JINJA-KAMPALA'!L21,'27.10 JINJA-KAMPALA'!L21)</f>
        <v>7.7142857142857144</v>
      </c>
      <c r="M21" s="49">
        <f>AVERAGE('17.10 jinja-kampala'!M21,'18.10 Jinja-Kampala'!M21,'19.10 Jinja-Kampala-24hr'!M21,'20.10 Jinja-Kampala'!M21,'21.10 jinja-Kampala-24h'!M21,'23.10 JINJA-KAMPALA'!M21,'27.10 JINJA-KAMPALA'!M21)</f>
        <v>21.285714285714285</v>
      </c>
      <c r="N21" s="49">
        <f>AVERAGE('17.10 jinja-kampala'!N21,'18.10 Jinja-Kampala'!N21,'19.10 Jinja-Kampala-24hr'!N21,'20.10 Jinja-Kampala'!N21,'21.10 jinja-Kampala-24h'!N21,'23.10 JINJA-KAMPALA'!N21,'27.10 JINJA-KAMPALA'!N21)</f>
        <v>0</v>
      </c>
      <c r="O21" s="15">
        <f t="shared" si="0"/>
        <v>59.857142857142854</v>
      </c>
      <c r="P21" s="15">
        <f t="shared" si="1"/>
        <v>81.142857142857139</v>
      </c>
      <c r="R21" s="1" t="s">
        <v>20</v>
      </c>
      <c r="S21" s="34">
        <f t="shared" ref="S21:AF21" si="13">SUM(C54:C57)</f>
        <v>84.428571428571431</v>
      </c>
      <c r="T21" s="17">
        <f t="shared" si="13"/>
        <v>24.571428571428569</v>
      </c>
      <c r="U21" s="17">
        <f t="shared" si="13"/>
        <v>18.142857142857146</v>
      </c>
      <c r="V21" s="17">
        <f t="shared" si="13"/>
        <v>125.42857142857142</v>
      </c>
      <c r="W21" s="17">
        <f t="shared" si="13"/>
        <v>7.8571428571428568</v>
      </c>
      <c r="X21" s="17">
        <f t="shared" si="13"/>
        <v>2</v>
      </c>
      <c r="Y21" s="17">
        <f t="shared" si="13"/>
        <v>17.428571428571427</v>
      </c>
      <c r="Z21" s="17">
        <f t="shared" si="13"/>
        <v>23.857142857142858</v>
      </c>
      <c r="AA21" s="17">
        <f t="shared" si="13"/>
        <v>9.1428571428571423</v>
      </c>
      <c r="AB21" s="17">
        <f t="shared" si="13"/>
        <v>36.428571428571431</v>
      </c>
      <c r="AC21" s="17">
        <f t="shared" si="13"/>
        <v>95.047619047619051</v>
      </c>
      <c r="AD21" s="17">
        <f t="shared" si="13"/>
        <v>0</v>
      </c>
      <c r="AE21" s="31">
        <f t="shared" si="13"/>
        <v>349.28571428571433</v>
      </c>
      <c r="AF21" s="31">
        <f t="shared" si="13"/>
        <v>444.33333333333337</v>
      </c>
    </row>
    <row r="22" spans="2:32" ht="23.1" customHeight="1" x14ac:dyDescent="0.25">
      <c r="B22" s="23" t="s">
        <v>49</v>
      </c>
      <c r="C22" s="49">
        <f>AVERAGE('17.10 jinja-kampala'!C22,'18.10 Jinja-Kampala'!C22,'19.10 Jinja-Kampala-24hr'!C22,'20.10 Jinja-Kampala'!C22,'21.10 jinja-Kampala-24h'!C22,'23.10 JINJA-KAMPALA'!C22,'27.10 JINJA-KAMPALA'!C22)</f>
        <v>15.285714285714286</v>
      </c>
      <c r="D22" s="49">
        <f>AVERAGE('17.10 jinja-kampala'!D22,'18.10 Jinja-Kampala'!D22,'19.10 Jinja-Kampala-24hr'!D22,'20.10 Jinja-Kampala'!D22,'21.10 jinja-Kampala-24h'!D22,'23.10 JINJA-KAMPALA'!D22,'27.10 JINJA-KAMPALA'!D22)</f>
        <v>4</v>
      </c>
      <c r="E22" s="49">
        <f>AVERAGE('17.10 jinja-kampala'!E22,'18.10 Jinja-Kampala'!E22,'19.10 Jinja-Kampala-24hr'!E22,'20.10 Jinja-Kampala'!E22,'21.10 jinja-Kampala-24h'!E22,'23.10 JINJA-KAMPALA'!E22,'27.10 JINJA-KAMPALA'!E22)</f>
        <v>4.4285714285714288</v>
      </c>
      <c r="F22" s="49">
        <f>AVERAGE('17.10 jinja-kampala'!F22,'18.10 Jinja-Kampala'!F22,'19.10 Jinja-Kampala-24hr'!F22,'20.10 Jinja-Kampala'!F22,'21.10 jinja-Kampala-24h'!F22,'23.10 JINJA-KAMPALA'!F22,'27.10 JINJA-KAMPALA'!F22)</f>
        <v>31.142857142857142</v>
      </c>
      <c r="G22" s="49">
        <f>AVERAGE('17.10 jinja-kampala'!G22,'18.10 Jinja-Kampala'!G22,'19.10 Jinja-Kampala-24hr'!G22,'20.10 Jinja-Kampala'!G22,'21.10 jinja-Kampala-24h'!G22,'23.10 JINJA-KAMPALA'!G22,'27.10 JINJA-KAMPALA'!G22)</f>
        <v>1</v>
      </c>
      <c r="H22" s="49">
        <f>AVERAGE('17.10 jinja-kampala'!H22,'18.10 Jinja-Kampala'!H22,'19.10 Jinja-Kampala-24hr'!H22,'20.10 Jinja-Kampala'!H22,'21.10 jinja-Kampala-24h'!H22,'23.10 JINJA-KAMPALA'!H22,'27.10 JINJA-KAMPALA'!H22)</f>
        <v>1.1428571428571428</v>
      </c>
      <c r="I22" s="49">
        <f>AVERAGE('17.10 jinja-kampala'!I22,'18.10 Jinja-Kampala'!I22,'19.10 Jinja-Kampala-24hr'!I22,'20.10 Jinja-Kampala'!I22,'21.10 jinja-Kampala-24h'!I22,'23.10 JINJA-KAMPALA'!I22,'27.10 JINJA-KAMPALA'!I22)</f>
        <v>3.1428571428571428</v>
      </c>
      <c r="J22" s="49">
        <f>AVERAGE('17.10 jinja-kampala'!J22,'18.10 Jinja-Kampala'!J22,'19.10 Jinja-Kampala-24hr'!J22,'20.10 Jinja-Kampala'!J22,'21.10 jinja-Kampala-24h'!J22,'23.10 JINJA-KAMPALA'!J22,'27.10 JINJA-KAMPALA'!J22)</f>
        <v>4.5714285714285712</v>
      </c>
      <c r="K22" s="49">
        <f>AVERAGE('17.10 jinja-kampala'!K22,'18.10 Jinja-Kampala'!K22,'19.10 Jinja-Kampala-24hr'!K22,'20.10 Jinja-Kampala'!K22,'21.10 jinja-Kampala-24h'!K22,'23.10 JINJA-KAMPALA'!K22,'27.10 JINJA-KAMPALA'!K22)</f>
        <v>0.2857142857142857</v>
      </c>
      <c r="L22" s="49">
        <f>AVERAGE('17.10 jinja-kampala'!L22,'18.10 Jinja-Kampala'!L22,'19.10 Jinja-Kampala-24hr'!L22,'20.10 Jinja-Kampala'!L22,'21.10 jinja-Kampala-24h'!L22,'23.10 JINJA-KAMPALA'!L22,'27.10 JINJA-KAMPALA'!L22)</f>
        <v>11</v>
      </c>
      <c r="M22" s="49">
        <f>AVERAGE('17.10 jinja-kampala'!M22,'18.10 Jinja-Kampala'!M22,'19.10 Jinja-Kampala-24hr'!M22,'20.10 Jinja-Kampala'!M22,'21.10 jinja-Kampala-24h'!M22,'23.10 JINJA-KAMPALA'!M22,'27.10 JINJA-KAMPALA'!M22)</f>
        <v>23.285714285714285</v>
      </c>
      <c r="N22" s="49">
        <f>AVERAGE('17.10 jinja-kampala'!N22,'18.10 Jinja-Kampala'!N22,'19.10 Jinja-Kampala-24hr'!N22,'20.10 Jinja-Kampala'!N22,'21.10 jinja-Kampala-24h'!N22,'23.10 JINJA-KAMPALA'!N22,'27.10 JINJA-KAMPALA'!N22)</f>
        <v>0</v>
      </c>
      <c r="O22" s="15">
        <f t="shared" si="0"/>
        <v>76.000000000000014</v>
      </c>
      <c r="P22" s="15">
        <f t="shared" si="1"/>
        <v>99.285714285714306</v>
      </c>
      <c r="R22" s="1" t="s">
        <v>146</v>
      </c>
      <c r="S22" s="34">
        <f>SUM(C58:C61)</f>
        <v>66.5</v>
      </c>
      <c r="T22" s="34">
        <f t="shared" ref="T22:AF22" si="14">SUM(D58:D61)</f>
        <v>34</v>
      </c>
      <c r="U22" s="34">
        <f t="shared" si="14"/>
        <v>20</v>
      </c>
      <c r="V22" s="34">
        <f t="shared" si="14"/>
        <v>115</v>
      </c>
      <c r="W22" s="34">
        <f t="shared" si="14"/>
        <v>8.5</v>
      </c>
      <c r="X22" s="34">
        <f t="shared" si="14"/>
        <v>5</v>
      </c>
      <c r="Y22" s="34">
        <f t="shared" si="14"/>
        <v>8</v>
      </c>
      <c r="Z22" s="34">
        <f t="shared" si="14"/>
        <v>19</v>
      </c>
      <c r="AA22" s="34">
        <f t="shared" si="14"/>
        <v>18</v>
      </c>
      <c r="AB22" s="34">
        <f t="shared" si="14"/>
        <v>32.5</v>
      </c>
      <c r="AC22" s="34">
        <f t="shared" si="14"/>
        <v>80</v>
      </c>
      <c r="AD22" s="34">
        <f t="shared" si="14"/>
        <v>0</v>
      </c>
      <c r="AE22" s="31">
        <f t="shared" si="14"/>
        <v>326.5</v>
      </c>
      <c r="AF22" s="31">
        <f t="shared" si="14"/>
        <v>406.5</v>
      </c>
    </row>
    <row r="23" spans="2:32" ht="23.1" customHeight="1" x14ac:dyDescent="0.25">
      <c r="B23" s="23" t="s">
        <v>50</v>
      </c>
      <c r="C23" s="49">
        <f>AVERAGE('17.10 jinja-kampala'!C23,'18.10 Jinja-Kampala'!C23,'19.10 Jinja-Kampala-24hr'!C23,'20.10 Jinja-Kampala'!C23,'21.10 jinja-Kampala-24h'!C23,'23.10 JINJA-KAMPALA'!C23,'27.10 JINJA-KAMPALA'!C23)</f>
        <v>13.142857142857142</v>
      </c>
      <c r="D23" s="49">
        <f>AVERAGE('17.10 jinja-kampala'!D23,'18.10 Jinja-Kampala'!D23,'19.10 Jinja-Kampala-24hr'!D23,'20.10 Jinja-Kampala'!D23,'21.10 jinja-Kampala-24h'!D23,'23.10 JINJA-KAMPALA'!D23,'27.10 JINJA-KAMPALA'!D23)</f>
        <v>4.1428571428571432</v>
      </c>
      <c r="E23" s="49">
        <f>AVERAGE('17.10 jinja-kampala'!E23,'18.10 Jinja-Kampala'!E23,'19.10 Jinja-Kampala-24hr'!E23,'20.10 Jinja-Kampala'!E23,'21.10 jinja-Kampala-24h'!E23,'23.10 JINJA-KAMPALA'!E23,'27.10 JINJA-KAMPALA'!E23)</f>
        <v>3.2857142857142856</v>
      </c>
      <c r="F23" s="49">
        <f>AVERAGE('17.10 jinja-kampala'!F23,'18.10 Jinja-Kampala'!F23,'19.10 Jinja-Kampala-24hr'!F23,'20.10 Jinja-Kampala'!F23,'21.10 jinja-Kampala-24h'!F23,'23.10 JINJA-KAMPALA'!F23,'27.10 JINJA-KAMPALA'!F23)</f>
        <v>25.571428571428573</v>
      </c>
      <c r="G23" s="49">
        <f>AVERAGE('17.10 jinja-kampala'!G23,'18.10 Jinja-Kampala'!G23,'19.10 Jinja-Kampala-24hr'!G23,'20.10 Jinja-Kampala'!G23,'21.10 jinja-Kampala-24h'!G23,'23.10 JINJA-KAMPALA'!G23,'27.10 JINJA-KAMPALA'!G23)</f>
        <v>0.7142857142857143</v>
      </c>
      <c r="H23" s="49">
        <f>AVERAGE('17.10 jinja-kampala'!H23,'18.10 Jinja-Kampala'!H23,'19.10 Jinja-Kampala-24hr'!H23,'20.10 Jinja-Kampala'!H23,'21.10 jinja-Kampala-24h'!H23,'23.10 JINJA-KAMPALA'!H23,'27.10 JINJA-KAMPALA'!H23)</f>
        <v>0</v>
      </c>
      <c r="I23" s="49">
        <f>AVERAGE('17.10 jinja-kampala'!I23,'18.10 Jinja-Kampala'!I23,'19.10 Jinja-Kampala-24hr'!I23,'20.10 Jinja-Kampala'!I23,'21.10 jinja-Kampala-24h'!I23,'23.10 JINJA-KAMPALA'!I23,'27.10 JINJA-KAMPALA'!I23)</f>
        <v>4.1428571428571432</v>
      </c>
      <c r="J23" s="49">
        <f>AVERAGE('17.10 jinja-kampala'!J23,'18.10 Jinja-Kampala'!J23,'19.10 Jinja-Kampala-24hr'!J23,'20.10 Jinja-Kampala'!J23,'21.10 jinja-Kampala-24h'!J23,'23.10 JINJA-KAMPALA'!J23,'27.10 JINJA-KAMPALA'!J23)</f>
        <v>4.1428571428571432</v>
      </c>
      <c r="K23" s="49">
        <f>AVERAGE('17.10 jinja-kampala'!K23,'18.10 Jinja-Kampala'!K23,'19.10 Jinja-Kampala-24hr'!K23,'20.10 Jinja-Kampala'!K23,'21.10 jinja-Kampala-24h'!K23,'23.10 JINJA-KAMPALA'!K23,'27.10 JINJA-KAMPALA'!K23)</f>
        <v>1.2857142857142858</v>
      </c>
      <c r="L23" s="49">
        <f>AVERAGE('17.10 jinja-kampala'!L23,'18.10 Jinja-Kampala'!L23,'19.10 Jinja-Kampala-24hr'!L23,'20.10 Jinja-Kampala'!L23,'21.10 jinja-Kampala-24h'!L23,'23.10 JINJA-KAMPALA'!L23,'27.10 JINJA-KAMPALA'!L23)</f>
        <v>10.714285714285714</v>
      </c>
      <c r="M23" s="49">
        <f>AVERAGE('17.10 jinja-kampala'!M23,'18.10 Jinja-Kampala'!M23,'19.10 Jinja-Kampala-24hr'!M23,'20.10 Jinja-Kampala'!M23,'21.10 jinja-Kampala-24h'!M23,'23.10 JINJA-KAMPALA'!M23,'27.10 JINJA-KAMPALA'!M23)</f>
        <v>23</v>
      </c>
      <c r="N23" s="49">
        <f>AVERAGE('17.10 jinja-kampala'!N23,'18.10 Jinja-Kampala'!N23,'19.10 Jinja-Kampala-24hr'!N23,'20.10 Jinja-Kampala'!N23,'21.10 jinja-Kampala-24h'!N23,'23.10 JINJA-KAMPALA'!N23,'27.10 JINJA-KAMPALA'!N23)</f>
        <v>0</v>
      </c>
      <c r="O23" s="15">
        <f t="shared" si="0"/>
        <v>67.142857142857139</v>
      </c>
      <c r="P23" s="15">
        <f t="shared" si="1"/>
        <v>90.142857142857139</v>
      </c>
      <c r="R23" s="1" t="s">
        <v>147</v>
      </c>
      <c r="S23" s="34">
        <f>SUM(C62:C65)</f>
        <v>83</v>
      </c>
      <c r="T23" s="34">
        <f t="shared" ref="T23:AF23" si="15">SUM(D62:D65)</f>
        <v>44</v>
      </c>
      <c r="U23" s="34">
        <f t="shared" si="15"/>
        <v>18</v>
      </c>
      <c r="V23" s="34">
        <f t="shared" si="15"/>
        <v>95</v>
      </c>
      <c r="W23" s="34">
        <f t="shared" si="15"/>
        <v>7</v>
      </c>
      <c r="X23" s="34">
        <f t="shared" si="15"/>
        <v>4</v>
      </c>
      <c r="Y23" s="34">
        <f t="shared" si="15"/>
        <v>13.5</v>
      </c>
      <c r="Z23" s="34">
        <f t="shared" si="15"/>
        <v>18.5</v>
      </c>
      <c r="AA23" s="34">
        <f t="shared" si="15"/>
        <v>19.5</v>
      </c>
      <c r="AB23" s="34">
        <f t="shared" si="15"/>
        <v>36.5</v>
      </c>
      <c r="AC23" s="34">
        <f t="shared" si="15"/>
        <v>100</v>
      </c>
      <c r="AD23" s="34">
        <f t="shared" si="15"/>
        <v>0</v>
      </c>
      <c r="AE23" s="31">
        <f t="shared" si="15"/>
        <v>339</v>
      </c>
      <c r="AF23" s="31">
        <f t="shared" si="15"/>
        <v>439</v>
      </c>
    </row>
    <row r="24" spans="2:32" ht="23.1" customHeight="1" x14ac:dyDescent="0.25">
      <c r="B24" s="23" t="s">
        <v>51</v>
      </c>
      <c r="C24" s="49">
        <f>AVERAGE('17.10 jinja-kampala'!C24,'18.10 Jinja-Kampala'!C24,'19.10 Jinja-Kampala-24hr'!C24,'20.10 Jinja-Kampala'!C24,'21.10 jinja-Kampala-24h'!C24,'23.10 JINJA-KAMPALA'!C24,'27.10 JINJA-KAMPALA'!C24)</f>
        <v>12.142857142857142</v>
      </c>
      <c r="D24" s="49">
        <f>AVERAGE('17.10 jinja-kampala'!D24,'18.10 Jinja-Kampala'!D24,'19.10 Jinja-Kampala-24hr'!D24,'20.10 Jinja-Kampala'!D24,'21.10 jinja-Kampala-24h'!D24,'23.10 JINJA-KAMPALA'!D24,'27.10 JINJA-KAMPALA'!D24)</f>
        <v>4.2857142857142856</v>
      </c>
      <c r="E24" s="49">
        <f>AVERAGE('17.10 jinja-kampala'!E24,'18.10 Jinja-Kampala'!E24,'19.10 Jinja-Kampala-24hr'!E24,'20.10 Jinja-Kampala'!E24,'21.10 jinja-Kampala-24h'!E24,'23.10 JINJA-KAMPALA'!E24,'27.10 JINJA-KAMPALA'!E24)</f>
        <v>2.5714285714285716</v>
      </c>
      <c r="F24" s="49">
        <f>AVERAGE('17.10 jinja-kampala'!F24,'18.10 Jinja-Kampala'!F24,'19.10 Jinja-Kampala-24hr'!F24,'20.10 Jinja-Kampala'!F24,'21.10 jinja-Kampala-24h'!F24,'23.10 JINJA-KAMPALA'!F24,'27.10 JINJA-KAMPALA'!F24)</f>
        <v>27.285714285714285</v>
      </c>
      <c r="G24" s="49">
        <f>AVERAGE('17.10 jinja-kampala'!G24,'18.10 Jinja-Kampala'!G24,'19.10 Jinja-Kampala-24hr'!G24,'20.10 Jinja-Kampala'!G24,'21.10 jinja-Kampala-24h'!G24,'23.10 JINJA-KAMPALA'!G24,'27.10 JINJA-KAMPALA'!G24)</f>
        <v>0.42857142857142855</v>
      </c>
      <c r="H24" s="49">
        <f>AVERAGE('17.10 jinja-kampala'!H24,'18.10 Jinja-Kampala'!H24,'19.10 Jinja-Kampala-24hr'!H24,'20.10 Jinja-Kampala'!H24,'21.10 jinja-Kampala-24h'!H24,'23.10 JINJA-KAMPALA'!H24,'27.10 JINJA-KAMPALA'!H24)</f>
        <v>0.42857142857142855</v>
      </c>
      <c r="I24" s="49">
        <f>AVERAGE('17.10 jinja-kampala'!I24,'18.10 Jinja-Kampala'!I24,'19.10 Jinja-Kampala-24hr'!I24,'20.10 Jinja-Kampala'!I24,'21.10 jinja-Kampala-24h'!I24,'23.10 JINJA-KAMPALA'!I24,'27.10 JINJA-KAMPALA'!I24)</f>
        <v>3.7142857142857144</v>
      </c>
      <c r="J24" s="49">
        <f>AVERAGE('17.10 jinja-kampala'!J24,'18.10 Jinja-Kampala'!J24,'19.10 Jinja-Kampala-24hr'!J24,'20.10 Jinja-Kampala'!J24,'21.10 jinja-Kampala-24h'!J24,'23.10 JINJA-KAMPALA'!J24,'27.10 JINJA-KAMPALA'!J24)</f>
        <v>3.4285714285714284</v>
      </c>
      <c r="K24" s="49">
        <f>AVERAGE('17.10 jinja-kampala'!K24,'18.10 Jinja-Kampala'!K24,'19.10 Jinja-Kampala-24hr'!K24,'20.10 Jinja-Kampala'!K24,'21.10 jinja-Kampala-24h'!K24,'23.10 JINJA-KAMPALA'!K24,'27.10 JINJA-KAMPALA'!K24)</f>
        <v>1</v>
      </c>
      <c r="L24" s="49">
        <f>AVERAGE('17.10 jinja-kampala'!L24,'18.10 Jinja-Kampala'!L24,'19.10 Jinja-Kampala-24hr'!L24,'20.10 Jinja-Kampala'!L24,'21.10 jinja-Kampala-24h'!L24,'23.10 JINJA-KAMPALA'!L24,'27.10 JINJA-KAMPALA'!L24)</f>
        <v>9.7142857142857135</v>
      </c>
      <c r="M24" s="49">
        <f>AVERAGE('17.10 jinja-kampala'!M24,'18.10 Jinja-Kampala'!M24,'19.10 Jinja-Kampala-24hr'!M24,'20.10 Jinja-Kampala'!M24,'21.10 jinja-Kampala-24h'!M24,'23.10 JINJA-KAMPALA'!M24,'27.10 JINJA-KAMPALA'!M24)</f>
        <v>21.857142857142858</v>
      </c>
      <c r="N24" s="49">
        <f>AVERAGE('17.10 jinja-kampala'!N24,'18.10 Jinja-Kampala'!N24,'19.10 Jinja-Kampala-24hr'!N24,'20.10 Jinja-Kampala'!N24,'21.10 jinja-Kampala-24h'!N24,'23.10 JINJA-KAMPALA'!N24,'27.10 JINJA-KAMPALA'!N24)</f>
        <v>0</v>
      </c>
      <c r="O24" s="15">
        <f t="shared" si="0"/>
        <v>65</v>
      </c>
      <c r="P24" s="15">
        <f t="shared" si="1"/>
        <v>86.857142857142861</v>
      </c>
      <c r="R24" s="1" t="s">
        <v>148</v>
      </c>
      <c r="S24" s="34">
        <f>SUM(C66:C69)</f>
        <v>74</v>
      </c>
      <c r="T24" s="34">
        <f t="shared" ref="T24:AF24" si="16">SUM(D66:D69)</f>
        <v>36</v>
      </c>
      <c r="U24" s="34">
        <f t="shared" si="16"/>
        <v>31.5</v>
      </c>
      <c r="V24" s="34">
        <f t="shared" si="16"/>
        <v>80.5</v>
      </c>
      <c r="W24" s="34">
        <f t="shared" si="16"/>
        <v>4.5</v>
      </c>
      <c r="X24" s="34">
        <f t="shared" si="16"/>
        <v>2.5</v>
      </c>
      <c r="Y24" s="34">
        <f t="shared" si="16"/>
        <v>8</v>
      </c>
      <c r="Z24" s="34">
        <f t="shared" si="16"/>
        <v>19.5</v>
      </c>
      <c r="AA24" s="34">
        <f t="shared" si="16"/>
        <v>13</v>
      </c>
      <c r="AB24" s="34">
        <f t="shared" si="16"/>
        <v>22</v>
      </c>
      <c r="AC24" s="34">
        <f t="shared" si="16"/>
        <v>85.5</v>
      </c>
      <c r="AD24" s="34">
        <f t="shared" si="16"/>
        <v>0</v>
      </c>
      <c r="AE24" s="31">
        <f t="shared" si="16"/>
        <v>291.5</v>
      </c>
      <c r="AF24" s="31">
        <f t="shared" si="16"/>
        <v>377</v>
      </c>
    </row>
    <row r="25" spans="2:32" ht="23.1" customHeight="1" x14ac:dyDescent="0.25">
      <c r="B25" s="23" t="s">
        <v>52</v>
      </c>
      <c r="C25" s="49">
        <f>AVERAGE('17.10 jinja-kampala'!C25,'18.10 Jinja-Kampala'!C25,'19.10 Jinja-Kampala-24hr'!C25,'20.10 Jinja-Kampala'!C25,'21.10 jinja-Kampala-24h'!C25,'23.10 JINJA-KAMPALA'!C25,'27.10 JINJA-KAMPALA'!C25)</f>
        <v>10.714285714285714</v>
      </c>
      <c r="D25" s="49">
        <f>AVERAGE('17.10 jinja-kampala'!D25,'18.10 Jinja-Kampala'!D25,'19.10 Jinja-Kampala-24hr'!D25,'20.10 Jinja-Kampala'!D25,'21.10 jinja-Kampala-24h'!D25,'23.10 JINJA-KAMPALA'!D25,'27.10 JINJA-KAMPALA'!D25)</f>
        <v>4.8571428571428568</v>
      </c>
      <c r="E25" s="49">
        <f>AVERAGE('17.10 jinja-kampala'!E25,'18.10 Jinja-Kampala'!E25,'19.10 Jinja-Kampala-24hr'!E25,'20.10 Jinja-Kampala'!E25,'21.10 jinja-Kampala-24h'!E25,'23.10 JINJA-KAMPALA'!E25,'27.10 JINJA-KAMPALA'!E25)</f>
        <v>2</v>
      </c>
      <c r="F25" s="49">
        <f>AVERAGE('17.10 jinja-kampala'!F25,'18.10 Jinja-Kampala'!F25,'19.10 Jinja-Kampala-24hr'!F25,'20.10 Jinja-Kampala'!F25,'21.10 jinja-Kampala-24h'!F25,'23.10 JINJA-KAMPALA'!F25,'27.10 JINJA-KAMPALA'!F25)</f>
        <v>25.714285714285715</v>
      </c>
      <c r="G25" s="49">
        <f>AVERAGE('17.10 jinja-kampala'!G25,'18.10 Jinja-Kampala'!G25,'19.10 Jinja-Kampala-24hr'!G25,'20.10 Jinja-Kampala'!G25,'21.10 jinja-Kampala-24h'!G25,'23.10 JINJA-KAMPALA'!G25,'27.10 JINJA-KAMPALA'!G25)</f>
        <v>1.1428571428571428</v>
      </c>
      <c r="H25" s="49">
        <f>AVERAGE('17.10 jinja-kampala'!H25,'18.10 Jinja-Kampala'!H25,'19.10 Jinja-Kampala-24hr'!H25,'20.10 Jinja-Kampala'!H25,'21.10 jinja-Kampala-24h'!H25,'23.10 JINJA-KAMPALA'!H25,'27.10 JINJA-KAMPALA'!H25)</f>
        <v>0.42857142857142855</v>
      </c>
      <c r="I25" s="49">
        <f>AVERAGE('17.10 jinja-kampala'!I25,'18.10 Jinja-Kampala'!I25,'19.10 Jinja-Kampala-24hr'!I25,'20.10 Jinja-Kampala'!I25,'21.10 jinja-Kampala-24h'!I25,'23.10 JINJA-KAMPALA'!I25,'27.10 JINJA-KAMPALA'!I25)</f>
        <v>3.8571428571428572</v>
      </c>
      <c r="J25" s="49">
        <f>AVERAGE('17.10 jinja-kampala'!J25,'18.10 Jinja-Kampala'!J25,'19.10 Jinja-Kampala-24hr'!J25,'20.10 Jinja-Kampala'!J25,'21.10 jinja-Kampala-24h'!J25,'23.10 JINJA-KAMPALA'!J25,'27.10 JINJA-KAMPALA'!J25)</f>
        <v>4.5714285714285712</v>
      </c>
      <c r="K25" s="49">
        <f>AVERAGE('17.10 jinja-kampala'!K25,'18.10 Jinja-Kampala'!K25,'19.10 Jinja-Kampala-24hr'!K25,'20.10 Jinja-Kampala'!K25,'21.10 jinja-Kampala-24h'!K25,'23.10 JINJA-KAMPALA'!K25,'27.10 JINJA-KAMPALA'!K25)</f>
        <v>1.1428571428571428</v>
      </c>
      <c r="L25" s="49">
        <f>AVERAGE('17.10 jinja-kampala'!L25,'18.10 Jinja-Kampala'!L25,'19.10 Jinja-Kampala-24hr'!L25,'20.10 Jinja-Kampala'!L25,'21.10 jinja-Kampala-24h'!L25,'23.10 JINJA-KAMPALA'!L25,'27.10 JINJA-KAMPALA'!L25)</f>
        <v>9.4285714285714288</v>
      </c>
      <c r="M25" s="49">
        <f>AVERAGE('17.10 jinja-kampala'!M25,'18.10 Jinja-Kampala'!M25,'19.10 Jinja-Kampala-24hr'!M25,'20.10 Jinja-Kampala'!M25,'21.10 jinja-Kampala-24h'!M25,'23.10 JINJA-KAMPALA'!M25,'27.10 JINJA-KAMPALA'!M25)</f>
        <v>23.714285714285715</v>
      </c>
      <c r="N25" s="49">
        <f>AVERAGE('17.10 jinja-kampala'!N25,'18.10 Jinja-Kampala'!N25,'19.10 Jinja-Kampala-24hr'!N25,'20.10 Jinja-Kampala'!N25,'21.10 jinja-Kampala-24h'!N25,'23.10 JINJA-KAMPALA'!N25,'27.10 JINJA-KAMPALA'!N25)</f>
        <v>0</v>
      </c>
      <c r="O25" s="15">
        <f t="shared" si="0"/>
        <v>63.857142857142861</v>
      </c>
      <c r="P25" s="15">
        <f t="shared" si="1"/>
        <v>87.571428571428584</v>
      </c>
      <c r="R25" s="1" t="s">
        <v>149</v>
      </c>
      <c r="S25" s="34">
        <f>SUM(C70:C73)</f>
        <v>41</v>
      </c>
      <c r="T25" s="34">
        <f t="shared" ref="T25:AF25" si="17">SUM(D70:D73)</f>
        <v>16.5</v>
      </c>
      <c r="U25" s="34">
        <f t="shared" si="17"/>
        <v>9</v>
      </c>
      <c r="V25" s="34">
        <f t="shared" si="17"/>
        <v>52.5</v>
      </c>
      <c r="W25" s="34">
        <f t="shared" si="17"/>
        <v>0.5</v>
      </c>
      <c r="X25" s="34">
        <f t="shared" si="17"/>
        <v>1</v>
      </c>
      <c r="Y25" s="34">
        <f t="shared" si="17"/>
        <v>6</v>
      </c>
      <c r="Z25" s="34">
        <f t="shared" si="17"/>
        <v>20.5</v>
      </c>
      <c r="AA25" s="34">
        <f t="shared" si="17"/>
        <v>5.5</v>
      </c>
      <c r="AB25" s="34">
        <f t="shared" si="17"/>
        <v>16</v>
      </c>
      <c r="AC25" s="34">
        <f t="shared" si="17"/>
        <v>54</v>
      </c>
      <c r="AD25" s="34">
        <f t="shared" si="17"/>
        <v>0</v>
      </c>
      <c r="AE25" s="31">
        <f t="shared" si="17"/>
        <v>168.5</v>
      </c>
      <c r="AF25" s="31">
        <f t="shared" si="17"/>
        <v>222.5</v>
      </c>
    </row>
    <row r="26" spans="2:32" ht="23.1" customHeight="1" x14ac:dyDescent="0.25">
      <c r="B26" s="23" t="s">
        <v>53</v>
      </c>
      <c r="C26" s="49">
        <f>AVERAGE('17.10 jinja-kampala'!C26,'18.10 Jinja-Kampala'!C26,'19.10 Jinja-Kampala-24hr'!C26,'20.10 Jinja-Kampala'!C26,'21.10 jinja-Kampala-24h'!C26,'23.10 JINJA-KAMPALA'!C26,'27.10 JINJA-KAMPALA'!C26)</f>
        <v>14</v>
      </c>
      <c r="D26" s="49">
        <f>AVERAGE('17.10 jinja-kampala'!D26,'18.10 Jinja-Kampala'!D26,'19.10 Jinja-Kampala-24hr'!D26,'20.10 Jinja-Kampala'!D26,'21.10 jinja-Kampala-24h'!D26,'23.10 JINJA-KAMPALA'!D26,'27.10 JINJA-KAMPALA'!D26)</f>
        <v>2.8571428571428572</v>
      </c>
      <c r="E26" s="49">
        <f>AVERAGE('17.10 jinja-kampala'!E26,'18.10 Jinja-Kampala'!E26,'19.10 Jinja-Kampala-24hr'!E26,'20.10 Jinja-Kampala'!E26,'21.10 jinja-Kampala-24h'!E26,'23.10 JINJA-KAMPALA'!E26,'27.10 JINJA-KAMPALA'!E26)</f>
        <v>3.1428571428571428</v>
      </c>
      <c r="F26" s="49">
        <f>AVERAGE('17.10 jinja-kampala'!F26,'18.10 Jinja-Kampala'!F26,'19.10 Jinja-Kampala-24hr'!F26,'20.10 Jinja-Kampala'!F26,'21.10 jinja-Kampala-24h'!F26,'23.10 JINJA-KAMPALA'!F26,'27.10 JINJA-KAMPALA'!F26)</f>
        <v>23.142857142857142</v>
      </c>
      <c r="G26" s="49">
        <f>AVERAGE('17.10 jinja-kampala'!G26,'18.10 Jinja-Kampala'!G26,'19.10 Jinja-Kampala-24hr'!G26,'20.10 Jinja-Kampala'!G26,'21.10 jinja-Kampala-24h'!G26,'23.10 JINJA-KAMPALA'!G26,'27.10 JINJA-KAMPALA'!G26)</f>
        <v>0.42857142857142855</v>
      </c>
      <c r="H26" s="49">
        <f>AVERAGE('17.10 jinja-kampala'!H26,'18.10 Jinja-Kampala'!H26,'19.10 Jinja-Kampala-24hr'!H26,'20.10 Jinja-Kampala'!H26,'21.10 jinja-Kampala-24h'!H26,'23.10 JINJA-KAMPALA'!H26,'27.10 JINJA-KAMPALA'!H26)</f>
        <v>0.5714285714285714</v>
      </c>
      <c r="I26" s="49">
        <f>AVERAGE('17.10 jinja-kampala'!I26,'18.10 Jinja-Kampala'!I26,'19.10 Jinja-Kampala-24hr'!I26,'20.10 Jinja-Kampala'!I26,'21.10 jinja-Kampala-24h'!I26,'23.10 JINJA-KAMPALA'!I26,'27.10 JINJA-KAMPALA'!I26)</f>
        <v>4.4285714285714288</v>
      </c>
      <c r="J26" s="49">
        <f>AVERAGE('17.10 jinja-kampala'!J26,'18.10 Jinja-Kampala'!J26,'19.10 Jinja-Kampala-24hr'!J26,'20.10 Jinja-Kampala'!J26,'21.10 jinja-Kampala-24h'!J26,'23.10 JINJA-KAMPALA'!J26,'27.10 JINJA-KAMPALA'!J26)</f>
        <v>5.1428571428571432</v>
      </c>
      <c r="K26" s="49">
        <f>AVERAGE('17.10 jinja-kampala'!K26,'18.10 Jinja-Kampala'!K26,'19.10 Jinja-Kampala-24hr'!K26,'20.10 Jinja-Kampala'!K26,'21.10 jinja-Kampala-24h'!K26,'23.10 JINJA-KAMPALA'!K26,'27.10 JINJA-KAMPALA'!K26)</f>
        <v>1.7142857142857142</v>
      </c>
      <c r="L26" s="49">
        <f>AVERAGE('17.10 jinja-kampala'!L26,'18.10 Jinja-Kampala'!L26,'19.10 Jinja-Kampala-24hr'!L26,'20.10 Jinja-Kampala'!L26,'21.10 jinja-Kampala-24h'!L26,'23.10 JINJA-KAMPALA'!L26,'27.10 JINJA-KAMPALA'!L26)</f>
        <v>12.571428571428571</v>
      </c>
      <c r="M26" s="49">
        <f>AVERAGE('17.10 jinja-kampala'!M26,'18.10 Jinja-Kampala'!M26,'19.10 Jinja-Kampala-24hr'!M26,'20.10 Jinja-Kampala'!M26,'21.10 jinja-Kampala-24h'!M26,'23.10 JINJA-KAMPALA'!M26,'27.10 JINJA-KAMPALA'!M26)</f>
        <v>19.428571428571427</v>
      </c>
      <c r="N26" s="49">
        <f>AVERAGE('17.10 jinja-kampala'!N26,'18.10 Jinja-Kampala'!N26,'19.10 Jinja-Kampala-24hr'!N26,'20.10 Jinja-Kampala'!N26,'21.10 jinja-Kampala-24h'!N26,'23.10 JINJA-KAMPALA'!N26,'27.10 JINJA-KAMPALA'!N26)</f>
        <v>0</v>
      </c>
      <c r="O26" s="15">
        <f t="shared" si="0"/>
        <v>68</v>
      </c>
      <c r="P26" s="15">
        <f t="shared" si="1"/>
        <v>87.428571428571431</v>
      </c>
      <c r="R26" s="1" t="s">
        <v>150</v>
      </c>
      <c r="S26" s="34">
        <f>SUM(C74:C77)</f>
        <v>25.5</v>
      </c>
      <c r="T26" s="34">
        <f t="shared" ref="T26:AF26" si="18">SUM(D74:D77)</f>
        <v>13.5</v>
      </c>
      <c r="U26" s="34">
        <f t="shared" si="18"/>
        <v>4</v>
      </c>
      <c r="V26" s="34">
        <f t="shared" si="18"/>
        <v>22.5</v>
      </c>
      <c r="W26" s="34">
        <f t="shared" si="18"/>
        <v>3</v>
      </c>
      <c r="X26" s="34">
        <f t="shared" si="18"/>
        <v>0</v>
      </c>
      <c r="Y26" s="34">
        <f t="shared" si="18"/>
        <v>8.5</v>
      </c>
      <c r="Z26" s="34">
        <f t="shared" si="18"/>
        <v>14</v>
      </c>
      <c r="AA26" s="34">
        <f t="shared" si="18"/>
        <v>6.5</v>
      </c>
      <c r="AB26" s="34">
        <f t="shared" si="18"/>
        <v>28</v>
      </c>
      <c r="AC26" s="34">
        <f t="shared" si="18"/>
        <v>38.5</v>
      </c>
      <c r="AD26" s="34">
        <f t="shared" si="18"/>
        <v>0</v>
      </c>
      <c r="AE26" s="31">
        <f t="shared" si="18"/>
        <v>125.5</v>
      </c>
      <c r="AF26" s="31">
        <f t="shared" si="18"/>
        <v>164</v>
      </c>
    </row>
    <row r="27" spans="2:32" ht="23.1" customHeight="1" x14ac:dyDescent="0.25">
      <c r="B27" s="23" t="s">
        <v>54</v>
      </c>
      <c r="C27" s="49">
        <f>AVERAGE('17.10 jinja-kampala'!C27,'18.10 Jinja-Kampala'!C27,'19.10 Jinja-Kampala-24hr'!C27,'20.10 Jinja-Kampala'!C27,'21.10 jinja-Kampala-24h'!C27,'23.10 JINJA-KAMPALA'!C27,'27.10 JINJA-KAMPALA'!C27)</f>
        <v>14.714285714285714</v>
      </c>
      <c r="D27" s="49">
        <f>AVERAGE('17.10 jinja-kampala'!D27,'18.10 Jinja-Kampala'!D27,'19.10 Jinja-Kampala-24hr'!D27,'20.10 Jinja-Kampala'!D27,'21.10 jinja-Kampala-24h'!D27,'23.10 JINJA-KAMPALA'!D27,'27.10 JINJA-KAMPALA'!D27)</f>
        <v>4</v>
      </c>
      <c r="E27" s="49">
        <f>AVERAGE('17.10 jinja-kampala'!E27,'18.10 Jinja-Kampala'!E27,'19.10 Jinja-Kampala-24hr'!E27,'20.10 Jinja-Kampala'!E27,'21.10 jinja-Kampala-24h'!E27,'23.10 JINJA-KAMPALA'!E27,'27.10 JINJA-KAMPALA'!E27)</f>
        <v>5.4285714285714288</v>
      </c>
      <c r="F27" s="49">
        <f>AVERAGE('17.10 jinja-kampala'!F27,'18.10 Jinja-Kampala'!F27,'19.10 Jinja-Kampala-24hr'!F27,'20.10 Jinja-Kampala'!F27,'21.10 jinja-Kampala-24h'!F27,'23.10 JINJA-KAMPALA'!F27,'27.10 JINJA-KAMPALA'!F27)</f>
        <v>26.714285714285715</v>
      </c>
      <c r="G27" s="49">
        <f>AVERAGE('17.10 jinja-kampala'!G27,'18.10 Jinja-Kampala'!G27,'19.10 Jinja-Kampala-24hr'!G27,'20.10 Jinja-Kampala'!G27,'21.10 jinja-Kampala-24h'!G27,'23.10 JINJA-KAMPALA'!G27,'27.10 JINJA-KAMPALA'!G27)</f>
        <v>0.42857142857142855</v>
      </c>
      <c r="H27" s="49">
        <f>AVERAGE('17.10 jinja-kampala'!H27,'18.10 Jinja-Kampala'!H27,'19.10 Jinja-Kampala-24hr'!H27,'20.10 Jinja-Kampala'!H27,'21.10 jinja-Kampala-24h'!H27,'23.10 JINJA-KAMPALA'!H27,'27.10 JINJA-KAMPALA'!H27)</f>
        <v>0.7142857142857143</v>
      </c>
      <c r="I27" s="49">
        <f>AVERAGE('17.10 jinja-kampala'!I27,'18.10 Jinja-Kampala'!I27,'19.10 Jinja-Kampala-24hr'!I27,'20.10 Jinja-Kampala'!I27,'21.10 jinja-Kampala-24h'!I27,'23.10 JINJA-KAMPALA'!I27,'27.10 JINJA-KAMPALA'!I27)</f>
        <v>4.1428571428571432</v>
      </c>
      <c r="J27" s="49">
        <f>AVERAGE('17.10 jinja-kampala'!J27,'18.10 Jinja-Kampala'!J27,'19.10 Jinja-Kampala-24hr'!J27,'20.10 Jinja-Kampala'!J27,'21.10 jinja-Kampala-24h'!J27,'23.10 JINJA-KAMPALA'!J27,'27.10 JINJA-KAMPALA'!J27)</f>
        <v>5.4285714285714288</v>
      </c>
      <c r="K27" s="49">
        <f>AVERAGE('17.10 jinja-kampala'!K27,'18.10 Jinja-Kampala'!K27,'19.10 Jinja-Kampala-24hr'!K27,'20.10 Jinja-Kampala'!K27,'21.10 jinja-Kampala-24h'!K27,'23.10 JINJA-KAMPALA'!K27,'27.10 JINJA-KAMPALA'!K27)</f>
        <v>0.7142857142857143</v>
      </c>
      <c r="L27" s="49">
        <f>AVERAGE('17.10 jinja-kampala'!L27,'18.10 Jinja-Kampala'!L27,'19.10 Jinja-Kampala-24hr'!L27,'20.10 Jinja-Kampala'!L27,'21.10 jinja-Kampala-24h'!L27,'23.10 JINJA-KAMPALA'!L27,'27.10 JINJA-KAMPALA'!L27)</f>
        <v>10.428571428571429</v>
      </c>
      <c r="M27" s="49">
        <f>AVERAGE('17.10 jinja-kampala'!M27,'18.10 Jinja-Kampala'!M27,'19.10 Jinja-Kampala-24hr'!M27,'20.10 Jinja-Kampala'!M27,'21.10 jinja-Kampala-24h'!M27,'23.10 JINJA-KAMPALA'!M27,'27.10 JINJA-KAMPALA'!M27)</f>
        <v>24.571428571428573</v>
      </c>
      <c r="N27" s="49">
        <f>AVERAGE('17.10 jinja-kampala'!N27,'18.10 Jinja-Kampala'!N27,'19.10 Jinja-Kampala-24hr'!N27,'20.10 Jinja-Kampala'!N27,'21.10 jinja-Kampala-24h'!N27,'23.10 JINJA-KAMPALA'!N27,'27.10 JINJA-KAMPALA'!N27)</f>
        <v>0</v>
      </c>
      <c r="O27" s="15">
        <f t="shared" si="0"/>
        <v>72.714285714285722</v>
      </c>
      <c r="P27" s="15">
        <f t="shared" si="1"/>
        <v>97.285714285714292</v>
      </c>
      <c r="R27" s="1" t="s">
        <v>151</v>
      </c>
      <c r="S27" s="34">
        <f>SUM(C78:C81)</f>
        <v>4.5</v>
      </c>
      <c r="T27" s="34">
        <f t="shared" ref="T27:AF27" si="19">SUM(D78:D81)</f>
        <v>3.5</v>
      </c>
      <c r="U27" s="34">
        <f t="shared" si="19"/>
        <v>2.5</v>
      </c>
      <c r="V27" s="34">
        <f t="shared" si="19"/>
        <v>6</v>
      </c>
      <c r="W27" s="34">
        <f t="shared" si="19"/>
        <v>0</v>
      </c>
      <c r="X27" s="34">
        <f t="shared" si="19"/>
        <v>1</v>
      </c>
      <c r="Y27" s="34">
        <f t="shared" si="19"/>
        <v>2.5</v>
      </c>
      <c r="Z27" s="34">
        <f t="shared" si="19"/>
        <v>9</v>
      </c>
      <c r="AA27" s="34">
        <f t="shared" si="19"/>
        <v>5.5</v>
      </c>
      <c r="AB27" s="34">
        <f t="shared" si="19"/>
        <v>16</v>
      </c>
      <c r="AC27" s="34">
        <f t="shared" si="19"/>
        <v>20.5</v>
      </c>
      <c r="AD27" s="34">
        <f t="shared" si="19"/>
        <v>0</v>
      </c>
      <c r="AE27" s="31">
        <f t="shared" si="19"/>
        <v>50.5</v>
      </c>
      <c r="AF27" s="31">
        <f t="shared" si="19"/>
        <v>71</v>
      </c>
    </row>
    <row r="28" spans="2:32" ht="23.1" customHeight="1" x14ac:dyDescent="0.25">
      <c r="B28" s="23" t="s">
        <v>55</v>
      </c>
      <c r="C28" s="49">
        <f>AVERAGE('17.10 jinja-kampala'!C28,'18.10 Jinja-Kampala'!C28,'19.10 Jinja-Kampala-24hr'!C28,'20.10 Jinja-Kampala'!C28,'21.10 jinja-Kampala-24h'!C28,'23.10 JINJA-KAMPALA'!C28,'27.10 JINJA-KAMPALA'!C28)</f>
        <v>13.857142857142858</v>
      </c>
      <c r="D28" s="49">
        <f>AVERAGE('17.10 jinja-kampala'!D28,'18.10 Jinja-Kampala'!D28,'19.10 Jinja-Kampala-24hr'!D28,'20.10 Jinja-Kampala'!D28,'21.10 jinja-Kampala-24h'!D28,'23.10 JINJA-KAMPALA'!D28,'27.10 JINJA-KAMPALA'!D28)</f>
        <v>5.5714285714285712</v>
      </c>
      <c r="E28" s="49">
        <f>AVERAGE('17.10 jinja-kampala'!E28,'18.10 Jinja-Kampala'!E28,'19.10 Jinja-Kampala-24hr'!E28,'20.10 Jinja-Kampala'!E28,'21.10 jinja-Kampala-24h'!E28,'23.10 JINJA-KAMPALA'!E28,'27.10 JINJA-KAMPALA'!E28)</f>
        <v>3.4285714285714284</v>
      </c>
      <c r="F28" s="49">
        <f>AVERAGE('17.10 jinja-kampala'!F28,'18.10 Jinja-Kampala'!F28,'19.10 Jinja-Kampala-24hr'!F28,'20.10 Jinja-Kampala'!F28,'21.10 jinja-Kampala-24h'!F28,'23.10 JINJA-KAMPALA'!F28,'27.10 JINJA-KAMPALA'!F28)</f>
        <v>29.571428571428573</v>
      </c>
      <c r="G28" s="49">
        <f>AVERAGE('17.10 jinja-kampala'!G28,'18.10 Jinja-Kampala'!G28,'19.10 Jinja-Kampala-24hr'!G28,'20.10 Jinja-Kampala'!G28,'21.10 jinja-Kampala-24h'!G28,'23.10 JINJA-KAMPALA'!G28,'27.10 JINJA-KAMPALA'!G28)</f>
        <v>0.42857142857142855</v>
      </c>
      <c r="H28" s="49">
        <f>AVERAGE('17.10 jinja-kampala'!H28,'18.10 Jinja-Kampala'!H28,'19.10 Jinja-Kampala-24hr'!H28,'20.10 Jinja-Kampala'!H28,'21.10 jinja-Kampala-24h'!H28,'23.10 JINJA-KAMPALA'!H28,'27.10 JINJA-KAMPALA'!H28)</f>
        <v>0.42857142857142855</v>
      </c>
      <c r="I28" s="49">
        <f>AVERAGE('17.10 jinja-kampala'!I28,'18.10 Jinja-Kampala'!I28,'19.10 Jinja-Kampala-24hr'!I28,'20.10 Jinja-Kampala'!I28,'21.10 jinja-Kampala-24h'!I28,'23.10 JINJA-KAMPALA'!I28,'27.10 JINJA-KAMPALA'!I28)</f>
        <v>4.1428571428571432</v>
      </c>
      <c r="J28" s="49">
        <f>AVERAGE('17.10 jinja-kampala'!J28,'18.10 Jinja-Kampala'!J28,'19.10 Jinja-Kampala-24hr'!J28,'20.10 Jinja-Kampala'!J28,'21.10 jinja-Kampala-24h'!J28,'23.10 JINJA-KAMPALA'!J28,'27.10 JINJA-KAMPALA'!J28)</f>
        <v>3.7142857142857144</v>
      </c>
      <c r="K28" s="49">
        <f>AVERAGE('17.10 jinja-kampala'!K28,'18.10 Jinja-Kampala'!K28,'19.10 Jinja-Kampala-24hr'!K28,'20.10 Jinja-Kampala'!K28,'21.10 jinja-Kampala-24h'!K28,'23.10 JINJA-KAMPALA'!K28,'27.10 JINJA-KAMPALA'!K28)</f>
        <v>1</v>
      </c>
      <c r="L28" s="49">
        <f>AVERAGE('17.10 jinja-kampala'!L28,'18.10 Jinja-Kampala'!L28,'19.10 Jinja-Kampala-24hr'!L28,'20.10 Jinja-Kampala'!L28,'21.10 jinja-Kampala-24h'!L28,'23.10 JINJA-KAMPALA'!L28,'27.10 JINJA-KAMPALA'!L28)</f>
        <v>12.714285714285714</v>
      </c>
      <c r="M28" s="49">
        <f>AVERAGE('17.10 jinja-kampala'!M28,'18.10 Jinja-Kampala'!M28,'19.10 Jinja-Kampala-24hr'!M28,'20.10 Jinja-Kampala'!M28,'21.10 jinja-Kampala-24h'!M28,'23.10 JINJA-KAMPALA'!M28,'27.10 JINJA-KAMPALA'!M28)</f>
        <v>24.571428571428573</v>
      </c>
      <c r="N28" s="49">
        <f>AVERAGE('17.10 jinja-kampala'!N28,'18.10 Jinja-Kampala'!N28,'19.10 Jinja-Kampala-24hr'!N28,'20.10 Jinja-Kampala'!N28,'21.10 jinja-Kampala-24h'!N28,'23.10 JINJA-KAMPALA'!N28,'27.10 JINJA-KAMPALA'!N28)</f>
        <v>0.14285714285714285</v>
      </c>
      <c r="O28" s="15">
        <f t="shared" si="0"/>
        <v>75</v>
      </c>
      <c r="P28" s="15">
        <f t="shared" si="1"/>
        <v>99.571428571428569</v>
      </c>
      <c r="R28" s="1" t="s">
        <v>152</v>
      </c>
      <c r="S28" s="34">
        <f>SUM(C82:C85)</f>
        <v>3.5</v>
      </c>
      <c r="T28" s="34">
        <f t="shared" ref="T28:AF28" si="20">SUM(D82:D85)</f>
        <v>1.5</v>
      </c>
      <c r="U28" s="34">
        <f t="shared" si="20"/>
        <v>0.5</v>
      </c>
      <c r="V28" s="34">
        <f t="shared" si="20"/>
        <v>7</v>
      </c>
      <c r="W28" s="34">
        <f t="shared" si="20"/>
        <v>0.5</v>
      </c>
      <c r="X28" s="34">
        <f t="shared" si="20"/>
        <v>2.5</v>
      </c>
      <c r="Y28" s="34">
        <f t="shared" si="20"/>
        <v>4.5</v>
      </c>
      <c r="Z28" s="34">
        <f t="shared" si="20"/>
        <v>12</v>
      </c>
      <c r="AA28" s="34">
        <f t="shared" si="20"/>
        <v>4.5</v>
      </c>
      <c r="AB28" s="34">
        <f t="shared" si="20"/>
        <v>15</v>
      </c>
      <c r="AC28" s="34">
        <f t="shared" si="20"/>
        <v>5</v>
      </c>
      <c r="AD28" s="34">
        <f t="shared" si="20"/>
        <v>1.5</v>
      </c>
      <c r="AE28" s="31">
        <f t="shared" si="20"/>
        <v>53</v>
      </c>
      <c r="AF28" s="31">
        <f t="shared" si="20"/>
        <v>58</v>
      </c>
    </row>
    <row r="29" spans="2:32" ht="23.1" customHeight="1" x14ac:dyDescent="0.25">
      <c r="B29" s="23" t="s">
        <v>56</v>
      </c>
      <c r="C29" s="49">
        <f>AVERAGE('17.10 jinja-kampala'!C29,'18.10 Jinja-Kampala'!C29,'19.10 Jinja-Kampala-24hr'!C29,'20.10 Jinja-Kampala'!C29,'21.10 jinja-Kampala-24h'!C29,'23.10 JINJA-KAMPALA'!C29,'27.10 JINJA-KAMPALA'!C29)</f>
        <v>14</v>
      </c>
      <c r="D29" s="49">
        <f>AVERAGE('17.10 jinja-kampala'!D29,'18.10 Jinja-Kampala'!D29,'19.10 Jinja-Kampala-24hr'!D29,'20.10 Jinja-Kampala'!D29,'21.10 jinja-Kampala-24h'!D29,'23.10 JINJA-KAMPALA'!D29,'27.10 JINJA-KAMPALA'!D29)</f>
        <v>6.2857142857142856</v>
      </c>
      <c r="E29" s="49">
        <f>AVERAGE('17.10 jinja-kampala'!E29,'18.10 Jinja-Kampala'!E29,'19.10 Jinja-Kampala-24hr'!E29,'20.10 Jinja-Kampala'!E29,'21.10 jinja-Kampala-24h'!E29,'23.10 JINJA-KAMPALA'!E29,'27.10 JINJA-KAMPALA'!E29)</f>
        <v>3.1428571428571428</v>
      </c>
      <c r="F29" s="49">
        <f>AVERAGE('17.10 jinja-kampala'!F29,'18.10 Jinja-Kampala'!F29,'19.10 Jinja-Kampala-24hr'!F29,'20.10 Jinja-Kampala'!F29,'21.10 jinja-Kampala-24h'!F29,'23.10 JINJA-KAMPALA'!F29,'27.10 JINJA-KAMPALA'!F29)</f>
        <v>28.428571428571427</v>
      </c>
      <c r="G29" s="49">
        <f>AVERAGE('17.10 jinja-kampala'!G29,'18.10 Jinja-Kampala'!G29,'19.10 Jinja-Kampala-24hr'!G29,'20.10 Jinja-Kampala'!G29,'21.10 jinja-Kampala-24h'!G29,'23.10 JINJA-KAMPALA'!G29,'27.10 JINJA-KAMPALA'!G29)</f>
        <v>1.2857142857142858</v>
      </c>
      <c r="H29" s="49">
        <f>AVERAGE('17.10 jinja-kampala'!H29,'18.10 Jinja-Kampala'!H29,'19.10 Jinja-Kampala-24hr'!H29,'20.10 Jinja-Kampala'!H29,'21.10 jinja-Kampala-24h'!H29,'23.10 JINJA-KAMPALA'!H29,'27.10 JINJA-KAMPALA'!H29)</f>
        <v>0.42857142857142855</v>
      </c>
      <c r="I29" s="49">
        <f>AVERAGE('17.10 jinja-kampala'!I29,'18.10 Jinja-Kampala'!I29,'19.10 Jinja-Kampala-24hr'!I29,'20.10 Jinja-Kampala'!I29,'21.10 jinja-Kampala-24h'!I29,'23.10 JINJA-KAMPALA'!I29,'27.10 JINJA-KAMPALA'!I29)</f>
        <v>3.1428571428571428</v>
      </c>
      <c r="J29" s="49">
        <f>AVERAGE('17.10 jinja-kampala'!J29,'18.10 Jinja-Kampala'!J29,'19.10 Jinja-Kampala-24hr'!J29,'20.10 Jinja-Kampala'!J29,'21.10 jinja-Kampala-24h'!J29,'23.10 JINJA-KAMPALA'!J29,'27.10 JINJA-KAMPALA'!J29)</f>
        <v>7.1428571428571432</v>
      </c>
      <c r="K29" s="49">
        <f>AVERAGE('17.10 jinja-kampala'!K29,'18.10 Jinja-Kampala'!K29,'19.10 Jinja-Kampala-24hr'!K29,'20.10 Jinja-Kampala'!K29,'21.10 jinja-Kampala-24h'!K29,'23.10 JINJA-KAMPALA'!K29,'27.10 JINJA-KAMPALA'!K29)</f>
        <v>1</v>
      </c>
      <c r="L29" s="49">
        <f>AVERAGE('17.10 jinja-kampala'!L29,'18.10 Jinja-Kampala'!L29,'19.10 Jinja-Kampala-24hr'!L29,'20.10 Jinja-Kampala'!L29,'21.10 jinja-Kampala-24h'!L29,'23.10 JINJA-KAMPALA'!L29,'27.10 JINJA-KAMPALA'!L29)</f>
        <v>8</v>
      </c>
      <c r="M29" s="49">
        <f>AVERAGE('17.10 jinja-kampala'!M29,'18.10 Jinja-Kampala'!M29,'19.10 Jinja-Kampala-24hr'!M29,'20.10 Jinja-Kampala'!M29,'21.10 jinja-Kampala-24h'!M29,'23.10 JINJA-KAMPALA'!M29,'27.10 JINJA-KAMPALA'!M29)</f>
        <v>21.714285714285715</v>
      </c>
      <c r="N29" s="49">
        <f>AVERAGE('17.10 jinja-kampala'!N29,'18.10 Jinja-Kampala'!N29,'19.10 Jinja-Kampala-24hr'!N29,'20.10 Jinja-Kampala'!N29,'21.10 jinja-Kampala-24h'!N29,'23.10 JINJA-KAMPALA'!N29,'27.10 JINJA-KAMPALA'!N29)</f>
        <v>0</v>
      </c>
      <c r="O29" s="15">
        <f t="shared" si="0"/>
        <v>72.857142857142861</v>
      </c>
      <c r="P29" s="15">
        <f t="shared" si="1"/>
        <v>94.571428571428584</v>
      </c>
      <c r="R29" s="1" t="s">
        <v>153</v>
      </c>
      <c r="S29" s="34">
        <f>SUM(C86:C89)</f>
        <v>3.5</v>
      </c>
      <c r="T29" s="34">
        <f t="shared" ref="T29:AF29" si="21">SUM(D86:D89)</f>
        <v>2</v>
      </c>
      <c r="U29" s="34">
        <f t="shared" si="21"/>
        <v>0.5</v>
      </c>
      <c r="V29" s="34">
        <f t="shared" si="21"/>
        <v>1.5</v>
      </c>
      <c r="W29" s="34">
        <f t="shared" si="21"/>
        <v>0</v>
      </c>
      <c r="X29" s="34">
        <f t="shared" si="21"/>
        <v>2.5</v>
      </c>
      <c r="Y29" s="34">
        <f t="shared" si="21"/>
        <v>2.5</v>
      </c>
      <c r="Z29" s="34">
        <f t="shared" si="21"/>
        <v>14.5</v>
      </c>
      <c r="AA29" s="34">
        <f t="shared" si="21"/>
        <v>9.5</v>
      </c>
      <c r="AB29" s="34">
        <f t="shared" si="21"/>
        <v>20</v>
      </c>
      <c r="AC29" s="34">
        <f t="shared" si="21"/>
        <v>4.5</v>
      </c>
      <c r="AD29" s="34">
        <f t="shared" si="21"/>
        <v>0</v>
      </c>
      <c r="AE29" s="31">
        <f t="shared" si="21"/>
        <v>56.5</v>
      </c>
      <c r="AF29" s="31">
        <f t="shared" si="21"/>
        <v>61</v>
      </c>
    </row>
    <row r="30" spans="2:32" ht="23.1" customHeight="1" x14ac:dyDescent="0.25">
      <c r="B30" s="23" t="s">
        <v>57</v>
      </c>
      <c r="C30" s="49">
        <f>AVERAGE('17.10 jinja-kampala'!C30,'18.10 Jinja-Kampala'!C30,'19.10 Jinja-Kampala-24hr'!C30,'20.10 Jinja-Kampala'!C30,'21.10 jinja-Kampala-24h'!C30,'23.10 JINJA-KAMPALA'!C30,'27.10 JINJA-KAMPALA'!C30)</f>
        <v>16.571428571428573</v>
      </c>
      <c r="D30" s="49">
        <f>AVERAGE('17.10 jinja-kampala'!D30,'18.10 Jinja-Kampala'!D30,'19.10 Jinja-Kampala-24hr'!D30,'20.10 Jinja-Kampala'!D30,'21.10 jinja-Kampala-24h'!D30,'23.10 JINJA-KAMPALA'!D30,'27.10 JINJA-KAMPALA'!D30)</f>
        <v>5.8571428571428568</v>
      </c>
      <c r="E30" s="49">
        <f>AVERAGE('17.10 jinja-kampala'!E30,'18.10 Jinja-Kampala'!E30,'19.10 Jinja-Kampala-24hr'!E30,'20.10 Jinja-Kampala'!E30,'21.10 jinja-Kampala-24h'!E30,'23.10 JINJA-KAMPALA'!E30,'27.10 JINJA-KAMPALA'!E30)</f>
        <v>3</v>
      </c>
      <c r="F30" s="49">
        <f>AVERAGE('17.10 jinja-kampala'!F30,'18.10 Jinja-Kampala'!F30,'19.10 Jinja-Kampala-24hr'!F30,'20.10 Jinja-Kampala'!F30,'21.10 jinja-Kampala-24h'!F30,'23.10 JINJA-KAMPALA'!F30,'27.10 JINJA-KAMPALA'!F30)</f>
        <v>24</v>
      </c>
      <c r="G30" s="49">
        <f>AVERAGE('17.10 jinja-kampala'!G30,'18.10 Jinja-Kampala'!G30,'19.10 Jinja-Kampala-24hr'!G30,'20.10 Jinja-Kampala'!G30,'21.10 jinja-Kampala-24h'!G30,'23.10 JINJA-KAMPALA'!G30,'27.10 JINJA-KAMPALA'!G30)</f>
        <v>0.2857142857142857</v>
      </c>
      <c r="H30" s="49">
        <f>AVERAGE('17.10 jinja-kampala'!H30,'18.10 Jinja-Kampala'!H30,'19.10 Jinja-Kampala-24hr'!H30,'20.10 Jinja-Kampala'!H30,'21.10 jinja-Kampala-24h'!H30,'23.10 JINJA-KAMPALA'!H30,'27.10 JINJA-KAMPALA'!H30)</f>
        <v>0.5714285714285714</v>
      </c>
      <c r="I30" s="49">
        <f>AVERAGE('17.10 jinja-kampala'!I30,'18.10 Jinja-Kampala'!I30,'19.10 Jinja-Kampala-24hr'!I30,'20.10 Jinja-Kampala'!I30,'21.10 jinja-Kampala-24h'!I30,'23.10 JINJA-KAMPALA'!I30,'27.10 JINJA-KAMPALA'!I30)</f>
        <v>3.5714285714285716</v>
      </c>
      <c r="J30" s="49">
        <f>AVERAGE('17.10 jinja-kampala'!J30,'18.10 Jinja-Kampala'!J30,'19.10 Jinja-Kampala-24hr'!J30,'20.10 Jinja-Kampala'!J30,'21.10 jinja-Kampala-24h'!J30,'23.10 JINJA-KAMPALA'!J30,'27.10 JINJA-KAMPALA'!J30)</f>
        <v>5.1428571428571432</v>
      </c>
      <c r="K30" s="49">
        <f>AVERAGE('17.10 jinja-kampala'!K30,'18.10 Jinja-Kampala'!K30,'19.10 Jinja-Kampala-24hr'!K30,'20.10 Jinja-Kampala'!K30,'21.10 jinja-Kampala-24h'!K30,'23.10 JINJA-KAMPALA'!K30,'27.10 JINJA-KAMPALA'!K30)</f>
        <v>1.1428571428571428</v>
      </c>
      <c r="L30" s="49">
        <f>AVERAGE('17.10 jinja-kampala'!L30,'18.10 Jinja-Kampala'!L30,'19.10 Jinja-Kampala-24hr'!L30,'20.10 Jinja-Kampala'!L30,'21.10 jinja-Kampala-24h'!L30,'23.10 JINJA-KAMPALA'!L30,'27.10 JINJA-KAMPALA'!L30)</f>
        <v>10.571428571428571</v>
      </c>
      <c r="M30" s="49">
        <f>AVERAGE('17.10 jinja-kampala'!M30,'18.10 Jinja-Kampala'!M30,'19.10 Jinja-Kampala-24hr'!M30,'20.10 Jinja-Kampala'!M30,'21.10 jinja-Kampala-24h'!M30,'23.10 JINJA-KAMPALA'!M30,'27.10 JINJA-KAMPALA'!M30)</f>
        <v>19.714285714285715</v>
      </c>
      <c r="N30" s="49">
        <f>AVERAGE('17.10 jinja-kampala'!N30,'18.10 Jinja-Kampala'!N30,'19.10 Jinja-Kampala-24hr'!N30,'20.10 Jinja-Kampala'!N30,'21.10 jinja-Kampala-24h'!N30,'23.10 JINJA-KAMPALA'!N30,'27.10 JINJA-KAMPALA'!N30)</f>
        <v>0</v>
      </c>
      <c r="O30" s="15">
        <f t="shared" si="0"/>
        <v>70.714285714285722</v>
      </c>
      <c r="P30" s="15">
        <f t="shared" si="1"/>
        <v>90.428571428571445</v>
      </c>
      <c r="R30" s="1" t="s">
        <v>154</v>
      </c>
      <c r="S30" s="34">
        <f>SUM(C90:C93)</f>
        <v>4.5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6.5</v>
      </c>
      <c r="W30" s="34">
        <f t="shared" si="22"/>
        <v>0.5</v>
      </c>
      <c r="X30" s="34">
        <f t="shared" si="22"/>
        <v>2.5</v>
      </c>
      <c r="Y30" s="34">
        <f t="shared" si="22"/>
        <v>3</v>
      </c>
      <c r="Z30" s="34">
        <f t="shared" si="22"/>
        <v>14.5</v>
      </c>
      <c r="AA30" s="34">
        <f t="shared" si="22"/>
        <v>12</v>
      </c>
      <c r="AB30" s="34">
        <f t="shared" si="22"/>
        <v>23</v>
      </c>
      <c r="AC30" s="34">
        <f t="shared" si="22"/>
        <v>3</v>
      </c>
      <c r="AD30" s="34">
        <f t="shared" si="22"/>
        <v>0</v>
      </c>
      <c r="AE30" s="31">
        <f t="shared" si="22"/>
        <v>67.5</v>
      </c>
      <c r="AF30" s="31">
        <f t="shared" si="22"/>
        <v>70.5</v>
      </c>
    </row>
    <row r="31" spans="2:32" ht="23.1" customHeight="1" x14ac:dyDescent="0.25">
      <c r="B31" s="24" t="s">
        <v>58</v>
      </c>
      <c r="C31" s="49">
        <f>AVERAGE('17.10 jinja-kampala'!C31,'18.10 Jinja-Kampala'!C31,'19.10 Jinja-Kampala-24hr'!C31,'20.10 Jinja-Kampala'!C31,'21.10 jinja-Kampala-24h'!C31,'23.10 JINJA-KAMPALA'!C31,'27.10 JINJA-KAMPALA'!C31)</f>
        <v>13.285714285714286</v>
      </c>
      <c r="D31" s="49">
        <f>AVERAGE('17.10 jinja-kampala'!D31,'18.10 Jinja-Kampala'!D31,'19.10 Jinja-Kampala-24hr'!D31,'20.10 Jinja-Kampala'!D31,'21.10 jinja-Kampala-24h'!D31,'23.10 JINJA-KAMPALA'!D31,'27.10 JINJA-KAMPALA'!D31)</f>
        <v>4.2857142857142856</v>
      </c>
      <c r="E31" s="49">
        <f>AVERAGE('17.10 jinja-kampala'!E31,'18.10 Jinja-Kampala'!E31,'19.10 Jinja-Kampala-24hr'!E31,'20.10 Jinja-Kampala'!E31,'21.10 jinja-Kampala-24h'!E31,'23.10 JINJA-KAMPALA'!E31,'27.10 JINJA-KAMPALA'!E31)</f>
        <v>3.2857142857142856</v>
      </c>
      <c r="F31" s="49">
        <f>AVERAGE('17.10 jinja-kampala'!F31,'18.10 Jinja-Kampala'!F31,'19.10 Jinja-Kampala-24hr'!F31,'20.10 Jinja-Kampala'!F31,'21.10 jinja-Kampala-24h'!F31,'23.10 JINJA-KAMPALA'!F31,'27.10 JINJA-KAMPALA'!F31)</f>
        <v>29.428571428571427</v>
      </c>
      <c r="G31" s="49">
        <f>AVERAGE('17.10 jinja-kampala'!G31,'18.10 Jinja-Kampala'!G31,'19.10 Jinja-Kampala-24hr'!G31,'20.10 Jinja-Kampala'!G31,'21.10 jinja-Kampala-24h'!G31,'23.10 JINJA-KAMPALA'!G31,'27.10 JINJA-KAMPALA'!G31)</f>
        <v>0.7142857142857143</v>
      </c>
      <c r="H31" s="49">
        <f>AVERAGE('17.10 jinja-kampala'!H31,'18.10 Jinja-Kampala'!H31,'19.10 Jinja-Kampala-24hr'!H31,'20.10 Jinja-Kampala'!H31,'21.10 jinja-Kampala-24h'!H31,'23.10 JINJA-KAMPALA'!H31,'27.10 JINJA-KAMPALA'!H31)</f>
        <v>0.42857142857142855</v>
      </c>
      <c r="I31" s="49">
        <f>AVERAGE('17.10 jinja-kampala'!I31,'18.10 Jinja-Kampala'!I31,'19.10 Jinja-Kampala-24hr'!I31,'20.10 Jinja-Kampala'!I31,'21.10 jinja-Kampala-24h'!I31,'23.10 JINJA-KAMPALA'!I31,'27.10 JINJA-KAMPALA'!I31)</f>
        <v>3.7142857142857144</v>
      </c>
      <c r="J31" s="49">
        <f>AVERAGE('17.10 jinja-kampala'!J31,'18.10 Jinja-Kampala'!J31,'19.10 Jinja-Kampala-24hr'!J31,'20.10 Jinja-Kampala'!J31,'21.10 jinja-Kampala-24h'!J31,'23.10 JINJA-KAMPALA'!J31,'27.10 JINJA-KAMPALA'!J31)</f>
        <v>4.8571428571428568</v>
      </c>
      <c r="K31" s="49">
        <f>AVERAGE('17.10 jinja-kampala'!K31,'18.10 Jinja-Kampala'!K31,'19.10 Jinja-Kampala-24hr'!K31,'20.10 Jinja-Kampala'!K31,'21.10 jinja-Kampala-24h'!K31,'23.10 JINJA-KAMPALA'!K31,'27.10 JINJA-KAMPALA'!K31)</f>
        <v>1.2857142857142858</v>
      </c>
      <c r="L31" s="49">
        <f>AVERAGE('17.10 jinja-kampala'!L31,'18.10 Jinja-Kampala'!L31,'19.10 Jinja-Kampala-24hr'!L31,'20.10 Jinja-Kampala'!L31,'21.10 jinja-Kampala-24h'!L31,'23.10 JINJA-KAMPALA'!L31,'27.10 JINJA-KAMPALA'!L31)</f>
        <v>9.4285714285714288</v>
      </c>
      <c r="M31" s="49">
        <f>AVERAGE('17.10 jinja-kampala'!M31,'18.10 Jinja-Kampala'!M31,'19.10 Jinja-Kampala-24hr'!M31,'20.10 Jinja-Kampala'!M31,'21.10 jinja-Kampala-24h'!M31,'23.10 JINJA-KAMPALA'!M31,'27.10 JINJA-KAMPALA'!M31)</f>
        <v>17.571428571428573</v>
      </c>
      <c r="N31" s="49">
        <f>AVERAGE('17.10 jinja-kampala'!N31,'18.10 Jinja-Kampala'!N31,'19.10 Jinja-Kampala-24hr'!N31,'20.10 Jinja-Kampala'!N31,'21.10 jinja-Kampala-24h'!N31,'23.10 JINJA-KAMPALA'!N31,'27.10 JINJA-KAMPALA'!N31)</f>
        <v>0.14285714285714285</v>
      </c>
      <c r="O31" s="15">
        <f t="shared" si="0"/>
        <v>70.857142857142847</v>
      </c>
      <c r="P31" s="15">
        <f t="shared" si="1"/>
        <v>88.428571428571416</v>
      </c>
      <c r="R31" s="1" t="s">
        <v>155</v>
      </c>
      <c r="S31" s="34">
        <f>SUM(C94:C97)</f>
        <v>9</v>
      </c>
      <c r="T31" s="34">
        <f t="shared" ref="T31:AF31" si="23">SUM(D94:D97)</f>
        <v>3</v>
      </c>
      <c r="U31" s="34">
        <f t="shared" si="23"/>
        <v>1.5</v>
      </c>
      <c r="V31" s="34">
        <f t="shared" si="23"/>
        <v>19.5</v>
      </c>
      <c r="W31" s="34">
        <f t="shared" si="23"/>
        <v>2</v>
      </c>
      <c r="X31" s="34">
        <f t="shared" si="23"/>
        <v>4.5</v>
      </c>
      <c r="Y31" s="34">
        <f t="shared" si="23"/>
        <v>2.5</v>
      </c>
      <c r="Z31" s="34">
        <f t="shared" si="23"/>
        <v>14</v>
      </c>
      <c r="AA31" s="34">
        <f t="shared" si="23"/>
        <v>10.5</v>
      </c>
      <c r="AB31" s="34">
        <f t="shared" si="23"/>
        <v>37</v>
      </c>
      <c r="AC31" s="34">
        <f t="shared" si="23"/>
        <v>38</v>
      </c>
      <c r="AD31" s="34">
        <f t="shared" si="23"/>
        <v>0</v>
      </c>
      <c r="AE31" s="31">
        <f t="shared" si="23"/>
        <v>103.5</v>
      </c>
      <c r="AF31" s="31">
        <f t="shared" si="23"/>
        <v>141.5</v>
      </c>
    </row>
    <row r="32" spans="2:32" ht="23.1" customHeight="1" x14ac:dyDescent="0.25">
      <c r="B32" s="24" t="s">
        <v>59</v>
      </c>
      <c r="C32" s="49">
        <f>AVERAGE('17.10 jinja-kampala'!C32,'18.10 Jinja-Kampala'!C32,'19.10 Jinja-Kampala-24hr'!C32,'20.10 Jinja-Kampala'!C32,'21.10 jinja-Kampala-24h'!C32,'23.10 JINJA-KAMPALA'!C32,'27.10 JINJA-KAMPALA'!C32)</f>
        <v>15.857142857142858</v>
      </c>
      <c r="D32" s="49">
        <f>AVERAGE('17.10 jinja-kampala'!D32,'18.10 Jinja-Kampala'!D32,'19.10 Jinja-Kampala-24hr'!D32,'20.10 Jinja-Kampala'!D32,'21.10 jinja-Kampala-24h'!D32,'23.10 JINJA-KAMPALA'!D32,'27.10 JINJA-KAMPALA'!D32)</f>
        <v>4.2857142857142856</v>
      </c>
      <c r="E32" s="49">
        <f>AVERAGE('17.10 jinja-kampala'!E32,'18.10 Jinja-Kampala'!E32,'19.10 Jinja-Kampala-24hr'!E32,'20.10 Jinja-Kampala'!E32,'21.10 jinja-Kampala-24h'!E32,'23.10 JINJA-KAMPALA'!E32,'27.10 JINJA-KAMPALA'!E32)</f>
        <v>3.1428571428571428</v>
      </c>
      <c r="F32" s="49">
        <f>AVERAGE('17.10 jinja-kampala'!F32,'18.10 Jinja-Kampala'!F32,'19.10 Jinja-Kampala-24hr'!F32,'20.10 Jinja-Kampala'!F32,'21.10 jinja-Kampala-24h'!F32,'23.10 JINJA-KAMPALA'!F32,'27.10 JINJA-KAMPALA'!F32)</f>
        <v>27.571428571428573</v>
      </c>
      <c r="G32" s="49">
        <f>AVERAGE('17.10 jinja-kampala'!G32,'18.10 Jinja-Kampala'!G32,'19.10 Jinja-Kampala-24hr'!G32,'20.10 Jinja-Kampala'!G32,'21.10 jinja-Kampala-24h'!G32,'23.10 JINJA-KAMPALA'!G32,'27.10 JINJA-KAMPALA'!G32)</f>
        <v>0.42857142857142855</v>
      </c>
      <c r="H32" s="49">
        <f>AVERAGE('17.10 jinja-kampala'!H32,'18.10 Jinja-Kampala'!H32,'19.10 Jinja-Kampala-24hr'!H32,'20.10 Jinja-Kampala'!H32,'21.10 jinja-Kampala-24h'!H32,'23.10 JINJA-KAMPALA'!H32,'27.10 JINJA-KAMPALA'!H32)</f>
        <v>0.2857142857142857</v>
      </c>
      <c r="I32" s="49">
        <f>AVERAGE('17.10 jinja-kampala'!I32,'18.10 Jinja-Kampala'!I32,'19.10 Jinja-Kampala-24hr'!I32,'20.10 Jinja-Kampala'!I32,'21.10 jinja-Kampala-24h'!I32,'23.10 JINJA-KAMPALA'!I32,'27.10 JINJA-KAMPALA'!I32)</f>
        <v>4.2857142857142856</v>
      </c>
      <c r="J32" s="49">
        <f>AVERAGE('17.10 jinja-kampala'!J32,'18.10 Jinja-Kampala'!J32,'19.10 Jinja-Kampala-24hr'!J32,'20.10 Jinja-Kampala'!J32,'21.10 jinja-Kampala-24h'!J32,'23.10 JINJA-KAMPALA'!J32,'27.10 JINJA-KAMPALA'!J32)</f>
        <v>4.5714285714285712</v>
      </c>
      <c r="K32" s="49">
        <f>AVERAGE('17.10 jinja-kampala'!K32,'18.10 Jinja-Kampala'!K32,'19.10 Jinja-Kampala-24hr'!K32,'20.10 Jinja-Kampala'!K32,'21.10 jinja-Kampala-24h'!K32,'23.10 JINJA-KAMPALA'!K32,'27.10 JINJA-KAMPALA'!K32)</f>
        <v>1</v>
      </c>
      <c r="L32" s="49">
        <f>AVERAGE('17.10 jinja-kampala'!L32,'18.10 Jinja-Kampala'!L32,'19.10 Jinja-Kampala-24hr'!L32,'20.10 Jinja-Kampala'!L32,'21.10 jinja-Kampala-24h'!L32,'23.10 JINJA-KAMPALA'!L32,'27.10 JINJA-KAMPALA'!L32)</f>
        <v>8.4285714285714288</v>
      </c>
      <c r="M32" s="49">
        <f>AVERAGE('17.10 jinja-kampala'!M32,'18.10 Jinja-Kampala'!M32,'19.10 Jinja-Kampala-24hr'!M32,'20.10 Jinja-Kampala'!M32,'21.10 jinja-Kampala-24h'!M32,'23.10 JINJA-KAMPALA'!M32,'27.10 JINJA-KAMPALA'!M32)</f>
        <v>22.142857142857142</v>
      </c>
      <c r="N32" s="49">
        <f>AVERAGE('17.10 jinja-kampala'!N32,'18.10 Jinja-Kampala'!N32,'19.10 Jinja-Kampala-24hr'!N32,'20.10 Jinja-Kampala'!N32,'21.10 jinja-Kampala-24h'!N32,'23.10 JINJA-KAMPALA'!N32,'27.10 JINJA-KAMPALA'!N32)</f>
        <v>0</v>
      </c>
      <c r="O32" s="15">
        <f t="shared" si="0"/>
        <v>69.857142857142861</v>
      </c>
      <c r="P32" s="15">
        <f t="shared" si="1"/>
        <v>92</v>
      </c>
      <c r="R32" s="1" t="s">
        <v>156</v>
      </c>
      <c r="S32" s="34">
        <f>SUM(C98:C101)</f>
        <v>12.5</v>
      </c>
      <c r="T32" s="34">
        <f t="shared" ref="T32:AF32" si="24">SUM(D98:D101)</f>
        <v>8.5</v>
      </c>
      <c r="U32" s="34">
        <f t="shared" si="24"/>
        <v>4</v>
      </c>
      <c r="V32" s="34">
        <f t="shared" si="24"/>
        <v>47.5</v>
      </c>
      <c r="W32" s="34">
        <f t="shared" si="24"/>
        <v>0.5</v>
      </c>
      <c r="X32" s="34">
        <f t="shared" si="24"/>
        <v>6.5</v>
      </c>
      <c r="Y32" s="34">
        <f t="shared" si="24"/>
        <v>6</v>
      </c>
      <c r="Z32" s="34">
        <f t="shared" si="24"/>
        <v>14.5</v>
      </c>
      <c r="AA32" s="34">
        <f t="shared" si="24"/>
        <v>22.5</v>
      </c>
      <c r="AB32" s="34">
        <f t="shared" si="24"/>
        <v>46.5</v>
      </c>
      <c r="AC32" s="34">
        <f t="shared" si="24"/>
        <v>18</v>
      </c>
      <c r="AD32" s="34">
        <f t="shared" si="24"/>
        <v>0</v>
      </c>
      <c r="AE32" s="31">
        <f t="shared" si="24"/>
        <v>169</v>
      </c>
      <c r="AF32" s="31">
        <f t="shared" si="24"/>
        <v>187</v>
      </c>
    </row>
    <row r="33" spans="2:32" ht="23.1" customHeight="1" x14ac:dyDescent="0.25">
      <c r="B33" s="23" t="s">
        <v>60</v>
      </c>
      <c r="C33" s="49">
        <f>AVERAGE('17.10 jinja-kampala'!C33,'18.10 Jinja-Kampala'!C33,'19.10 Jinja-Kampala-24hr'!C33,'20.10 Jinja-Kampala'!C33,'21.10 jinja-Kampala-24h'!C33,'23.10 JINJA-KAMPALA'!C33,'27.10 JINJA-KAMPALA'!C33)</f>
        <v>13.142857142857142</v>
      </c>
      <c r="D33" s="49">
        <f>AVERAGE('17.10 jinja-kampala'!D33,'18.10 Jinja-Kampala'!D33,'19.10 Jinja-Kampala-24hr'!D33,'20.10 Jinja-Kampala'!D33,'21.10 jinja-Kampala-24h'!D33,'23.10 JINJA-KAMPALA'!D33,'27.10 JINJA-KAMPALA'!D33)</f>
        <v>5</v>
      </c>
      <c r="E33" s="49">
        <f>AVERAGE('17.10 jinja-kampala'!E33,'18.10 Jinja-Kampala'!E33,'19.10 Jinja-Kampala-24hr'!E33,'20.10 Jinja-Kampala'!E33,'21.10 jinja-Kampala-24h'!E33,'23.10 JINJA-KAMPALA'!E33,'27.10 JINJA-KAMPALA'!E33)</f>
        <v>1.7142857142857142</v>
      </c>
      <c r="F33" s="49">
        <f>AVERAGE('17.10 jinja-kampala'!F33,'18.10 Jinja-Kampala'!F33,'19.10 Jinja-Kampala-24hr'!F33,'20.10 Jinja-Kampala'!F33,'21.10 jinja-Kampala-24h'!F33,'23.10 JINJA-KAMPALA'!F33,'27.10 JINJA-KAMPALA'!F33)</f>
        <v>23.285714285714285</v>
      </c>
      <c r="G33" s="49">
        <f>AVERAGE('17.10 jinja-kampala'!G33,'18.10 Jinja-Kampala'!G33,'19.10 Jinja-Kampala-24hr'!G33,'20.10 Jinja-Kampala'!G33,'21.10 jinja-Kampala-24h'!G33,'23.10 JINJA-KAMPALA'!G33,'27.10 JINJA-KAMPALA'!G33)</f>
        <v>0.5714285714285714</v>
      </c>
      <c r="H33" s="49">
        <f>AVERAGE('17.10 jinja-kampala'!H33,'18.10 Jinja-Kampala'!H33,'19.10 Jinja-Kampala-24hr'!H33,'20.10 Jinja-Kampala'!H33,'21.10 jinja-Kampala-24h'!H33,'23.10 JINJA-KAMPALA'!H33,'27.10 JINJA-KAMPALA'!H33)</f>
        <v>0.5714285714285714</v>
      </c>
      <c r="I33" s="49">
        <f>AVERAGE('17.10 jinja-kampala'!I33,'18.10 Jinja-Kampala'!I33,'19.10 Jinja-Kampala-24hr'!I33,'20.10 Jinja-Kampala'!I33,'21.10 jinja-Kampala-24h'!I33,'23.10 JINJA-KAMPALA'!I33,'27.10 JINJA-KAMPALA'!I33)</f>
        <v>3.8571428571428572</v>
      </c>
      <c r="J33" s="49">
        <f>AVERAGE('17.10 jinja-kampala'!J33,'18.10 Jinja-Kampala'!J33,'19.10 Jinja-Kampala-24hr'!J33,'20.10 Jinja-Kampala'!J33,'21.10 jinja-Kampala-24h'!J33,'23.10 JINJA-KAMPALA'!J33,'27.10 JINJA-KAMPALA'!J33)</f>
        <v>6.4285714285714288</v>
      </c>
      <c r="K33" s="49">
        <f>AVERAGE('17.10 jinja-kampala'!K33,'18.10 Jinja-Kampala'!K33,'19.10 Jinja-Kampala-24hr'!K33,'20.10 Jinja-Kampala'!K33,'21.10 jinja-Kampala-24h'!K33,'23.10 JINJA-KAMPALA'!K33,'27.10 JINJA-KAMPALA'!K33)</f>
        <v>2.2857142857142856</v>
      </c>
      <c r="L33" s="49">
        <f>AVERAGE('17.10 jinja-kampala'!L33,'18.10 Jinja-Kampala'!L33,'19.10 Jinja-Kampala-24hr'!L33,'20.10 Jinja-Kampala'!L33,'21.10 jinja-Kampala-24h'!L33,'23.10 JINJA-KAMPALA'!L33,'27.10 JINJA-KAMPALA'!L33)</f>
        <v>12.571428571428571</v>
      </c>
      <c r="M33" s="49">
        <f>AVERAGE('17.10 jinja-kampala'!M33,'18.10 Jinja-Kampala'!M33,'19.10 Jinja-Kampala-24hr'!M33,'20.10 Jinja-Kampala'!M33,'21.10 jinja-Kampala-24h'!M33,'23.10 JINJA-KAMPALA'!M33,'27.10 JINJA-KAMPALA'!M33)</f>
        <v>18.428571428571427</v>
      </c>
      <c r="N33" s="49">
        <f>AVERAGE('17.10 jinja-kampala'!N33,'18.10 Jinja-Kampala'!N33,'19.10 Jinja-Kampala-24hr'!N33,'20.10 Jinja-Kampala'!N33,'21.10 jinja-Kampala-24h'!N33,'23.10 JINJA-KAMPALA'!N33,'27.10 JINJA-KAMPALA'!N33)</f>
        <v>0</v>
      </c>
      <c r="O33" s="15">
        <f t="shared" si="0"/>
        <v>69.428571428571416</v>
      </c>
      <c r="P33" s="15">
        <f t="shared" si="1"/>
        <v>87.857142857142847</v>
      </c>
      <c r="R33" s="1" t="s">
        <v>157</v>
      </c>
      <c r="S33" s="34">
        <f>SUM(C102:C105)</f>
        <v>25</v>
      </c>
      <c r="T33" s="34">
        <f t="shared" ref="T33:AF33" si="25">SUM(D102:D105)</f>
        <v>6.5</v>
      </c>
      <c r="U33" s="34">
        <f t="shared" si="25"/>
        <v>5</v>
      </c>
      <c r="V33" s="34">
        <f t="shared" si="25"/>
        <v>82</v>
      </c>
      <c r="W33" s="34">
        <f t="shared" si="25"/>
        <v>1.5</v>
      </c>
      <c r="X33" s="34">
        <f t="shared" si="25"/>
        <v>4</v>
      </c>
      <c r="Y33" s="34">
        <f t="shared" si="25"/>
        <v>6</v>
      </c>
      <c r="Z33" s="34">
        <f t="shared" si="25"/>
        <v>14.5</v>
      </c>
      <c r="AA33" s="34">
        <f t="shared" si="25"/>
        <v>11.5</v>
      </c>
      <c r="AB33" s="34">
        <f t="shared" si="25"/>
        <v>79.5</v>
      </c>
      <c r="AC33" s="34">
        <f t="shared" si="25"/>
        <v>35.5</v>
      </c>
      <c r="AD33" s="34">
        <f t="shared" si="25"/>
        <v>0</v>
      </c>
      <c r="AE33" s="31">
        <f t="shared" si="25"/>
        <v>235.5</v>
      </c>
      <c r="AF33" s="31">
        <f t="shared" si="25"/>
        <v>271</v>
      </c>
    </row>
    <row r="34" spans="2:32" ht="23.1" customHeight="1" x14ac:dyDescent="0.25">
      <c r="B34" s="24" t="s">
        <v>61</v>
      </c>
      <c r="C34" s="49">
        <f>AVERAGE('17.10 jinja-kampala'!C34,'18.10 Jinja-Kampala'!C34,'19.10 Jinja-Kampala-24hr'!C34,'20.10 Jinja-Kampala'!C34,'21.10 jinja-Kampala-24h'!C34,'23.10 JINJA-KAMPALA'!C34,'27.10 JINJA-KAMPALA'!C34)</f>
        <v>17.285714285714285</v>
      </c>
      <c r="D34" s="49">
        <f>AVERAGE('17.10 jinja-kampala'!D34,'18.10 Jinja-Kampala'!D34,'19.10 Jinja-Kampala-24hr'!D34,'20.10 Jinja-Kampala'!D34,'21.10 jinja-Kampala-24h'!D34,'23.10 JINJA-KAMPALA'!D34,'27.10 JINJA-KAMPALA'!D34)</f>
        <v>6.7142857142857144</v>
      </c>
      <c r="E34" s="49">
        <f>AVERAGE('17.10 jinja-kampala'!E34,'18.10 Jinja-Kampala'!E34,'19.10 Jinja-Kampala-24hr'!E34,'20.10 Jinja-Kampala'!E34,'21.10 jinja-Kampala-24h'!E34,'23.10 JINJA-KAMPALA'!E34,'27.10 JINJA-KAMPALA'!E34)</f>
        <v>4</v>
      </c>
      <c r="F34" s="49">
        <f>AVERAGE('17.10 jinja-kampala'!F34,'18.10 Jinja-Kampala'!F34,'19.10 Jinja-Kampala-24hr'!F34,'20.10 Jinja-Kampala'!F34,'21.10 jinja-Kampala-24h'!F34,'23.10 JINJA-KAMPALA'!F34,'27.10 JINJA-KAMPALA'!F34)</f>
        <v>33.142857142857146</v>
      </c>
      <c r="G34" s="49">
        <f>AVERAGE('17.10 jinja-kampala'!G34,'18.10 Jinja-Kampala'!G34,'19.10 Jinja-Kampala-24hr'!G34,'20.10 Jinja-Kampala'!G34,'21.10 jinja-Kampala-24h'!G34,'23.10 JINJA-KAMPALA'!G34,'27.10 JINJA-KAMPALA'!G34)</f>
        <v>0.5714285714285714</v>
      </c>
      <c r="H34" s="49">
        <f>AVERAGE('17.10 jinja-kampala'!H34,'18.10 Jinja-Kampala'!H34,'19.10 Jinja-Kampala-24hr'!H34,'20.10 Jinja-Kampala'!H34,'21.10 jinja-Kampala-24h'!H34,'23.10 JINJA-KAMPALA'!H34,'27.10 JINJA-KAMPALA'!H34)</f>
        <v>0.42857142857142855</v>
      </c>
      <c r="I34" s="49">
        <f>AVERAGE('17.10 jinja-kampala'!I34,'18.10 Jinja-Kampala'!I34,'19.10 Jinja-Kampala-24hr'!I34,'20.10 Jinja-Kampala'!I34,'21.10 jinja-Kampala-24h'!I34,'23.10 JINJA-KAMPALA'!I34,'27.10 JINJA-KAMPALA'!I34)</f>
        <v>3.7142857142857144</v>
      </c>
      <c r="J34" s="49">
        <f>AVERAGE('17.10 jinja-kampala'!J34,'18.10 Jinja-Kampala'!J34,'19.10 Jinja-Kampala-24hr'!J34,'20.10 Jinja-Kampala'!J34,'21.10 jinja-Kampala-24h'!J34,'23.10 JINJA-KAMPALA'!J34,'27.10 JINJA-KAMPALA'!J34)</f>
        <v>7.7142857142857144</v>
      </c>
      <c r="K34" s="49">
        <f>AVERAGE('17.10 jinja-kampala'!K34,'18.10 Jinja-Kampala'!K34,'19.10 Jinja-Kampala-24hr'!K34,'20.10 Jinja-Kampala'!K34,'21.10 jinja-Kampala-24h'!K34,'23.10 JINJA-KAMPALA'!K34,'27.10 JINJA-KAMPALA'!K34)</f>
        <v>1.4285714285714286</v>
      </c>
      <c r="L34" s="49">
        <f>AVERAGE('17.10 jinja-kampala'!L34,'18.10 Jinja-Kampala'!L34,'19.10 Jinja-Kampala-24hr'!L34,'20.10 Jinja-Kampala'!L34,'21.10 jinja-Kampala-24h'!L34,'23.10 JINJA-KAMPALA'!L34,'27.10 JINJA-KAMPALA'!L34)</f>
        <v>12.142857142857142</v>
      </c>
      <c r="M34" s="49">
        <f>AVERAGE('17.10 jinja-kampala'!M34,'18.10 Jinja-Kampala'!M34,'19.10 Jinja-Kampala-24hr'!M34,'20.10 Jinja-Kampala'!M34,'21.10 jinja-Kampala-24h'!M34,'23.10 JINJA-KAMPALA'!M34,'27.10 JINJA-KAMPALA'!M34)</f>
        <v>21.857142857142858</v>
      </c>
      <c r="N34" s="49">
        <f>AVERAGE('17.10 jinja-kampala'!N34,'18.10 Jinja-Kampala'!N34,'19.10 Jinja-Kampala-24hr'!N34,'20.10 Jinja-Kampala'!N34,'21.10 jinja-Kampala-24h'!N34,'23.10 JINJA-KAMPALA'!N34,'27.10 JINJA-KAMPALA'!N34)</f>
        <v>0</v>
      </c>
      <c r="O34" s="15">
        <f t="shared" si="0"/>
        <v>87.142857142857139</v>
      </c>
      <c r="P34" s="15">
        <f t="shared" si="1"/>
        <v>109</v>
      </c>
      <c r="R34" s="51" t="s">
        <v>90</v>
      </c>
      <c r="S34" s="52">
        <f t="shared" ref="S34:AF34" si="26">MAX(S10:S12)</f>
        <v>49</v>
      </c>
      <c r="T34" s="52">
        <f t="shared" si="26"/>
        <v>20.285714285714285</v>
      </c>
      <c r="U34" s="52">
        <f t="shared" si="26"/>
        <v>13.714285714285714</v>
      </c>
      <c r="V34" s="52">
        <f t="shared" si="26"/>
        <v>131</v>
      </c>
      <c r="W34" s="52">
        <f t="shared" si="26"/>
        <v>8.2857142857142847</v>
      </c>
      <c r="X34" s="52">
        <f t="shared" si="26"/>
        <v>4.4285714285714288</v>
      </c>
      <c r="Y34" s="52">
        <f t="shared" si="26"/>
        <v>11.714285714285715</v>
      </c>
      <c r="Z34" s="52">
        <f t="shared" si="26"/>
        <v>14.571428571428573</v>
      </c>
      <c r="AA34" s="52">
        <f t="shared" si="26"/>
        <v>6.1428571428571423</v>
      </c>
      <c r="AB34" s="52">
        <f t="shared" si="26"/>
        <v>48.142857142857146</v>
      </c>
      <c r="AC34" s="52">
        <f t="shared" si="26"/>
        <v>85.857142857142861</v>
      </c>
      <c r="AD34" s="52">
        <f t="shared" si="26"/>
        <v>3.5714285714285716</v>
      </c>
      <c r="AE34" s="40">
        <f t="shared" si="26"/>
        <v>286.57142857142856</v>
      </c>
      <c r="AF34" s="40">
        <f t="shared" si="26"/>
        <v>372.42857142857144</v>
      </c>
    </row>
    <row r="35" spans="2:32" ht="23.1" customHeight="1" x14ac:dyDescent="0.25">
      <c r="B35" s="24" t="s">
        <v>62</v>
      </c>
      <c r="C35" s="49">
        <f>AVERAGE('17.10 jinja-kampala'!C35,'18.10 Jinja-Kampala'!C35,'19.10 Jinja-Kampala-24hr'!C35,'20.10 Jinja-Kampala'!C35,'21.10 jinja-Kampala-24h'!C35,'23.10 JINJA-KAMPALA'!C35,'27.10 JINJA-KAMPALA'!C35)</f>
        <v>22.428571428571427</v>
      </c>
      <c r="D35" s="49">
        <f>AVERAGE('17.10 jinja-kampala'!D35,'18.10 Jinja-Kampala'!D35,'19.10 Jinja-Kampala-24hr'!D35,'20.10 Jinja-Kampala'!D35,'21.10 jinja-Kampala-24h'!D35,'23.10 JINJA-KAMPALA'!D35,'27.10 JINJA-KAMPALA'!D35)</f>
        <v>7.5714285714285712</v>
      </c>
      <c r="E35" s="49">
        <f>AVERAGE('17.10 jinja-kampala'!E35,'18.10 Jinja-Kampala'!E35,'19.10 Jinja-Kampala-24hr'!E35,'20.10 Jinja-Kampala'!E35,'21.10 jinja-Kampala-24h'!E35,'23.10 JINJA-KAMPALA'!E35,'27.10 JINJA-KAMPALA'!E35)</f>
        <v>3.4285714285714284</v>
      </c>
      <c r="F35" s="49">
        <f>AVERAGE('17.10 jinja-kampala'!F35,'18.10 Jinja-Kampala'!F35,'19.10 Jinja-Kampala-24hr'!F35,'20.10 Jinja-Kampala'!F35,'21.10 jinja-Kampala-24h'!F35,'23.10 JINJA-KAMPALA'!F35,'27.10 JINJA-KAMPALA'!F35)</f>
        <v>27.285714285714285</v>
      </c>
      <c r="G35" s="49">
        <f>AVERAGE('17.10 jinja-kampala'!G35,'18.10 Jinja-Kampala'!G35,'19.10 Jinja-Kampala-24hr'!G35,'20.10 Jinja-Kampala'!G35,'21.10 jinja-Kampala-24h'!G35,'23.10 JINJA-KAMPALA'!G35,'27.10 JINJA-KAMPALA'!G35)</f>
        <v>0.42857142857142855</v>
      </c>
      <c r="H35" s="49">
        <f>AVERAGE('17.10 jinja-kampala'!H35,'18.10 Jinja-Kampala'!H35,'19.10 Jinja-Kampala-24hr'!H35,'20.10 Jinja-Kampala'!H35,'21.10 jinja-Kampala-24h'!H35,'23.10 JINJA-KAMPALA'!H35,'27.10 JINJA-KAMPALA'!H35)</f>
        <v>0</v>
      </c>
      <c r="I35" s="49">
        <f>AVERAGE('17.10 jinja-kampala'!I35,'18.10 Jinja-Kampala'!I35,'19.10 Jinja-Kampala-24hr'!I35,'20.10 Jinja-Kampala'!I35,'21.10 jinja-Kampala-24h'!I35,'23.10 JINJA-KAMPALA'!I35,'27.10 JINJA-KAMPALA'!I35)</f>
        <v>2.5714285714285716</v>
      </c>
      <c r="J35" s="49">
        <f>AVERAGE('17.10 jinja-kampala'!J35,'18.10 Jinja-Kampala'!J35,'19.10 Jinja-Kampala-24hr'!J35,'20.10 Jinja-Kampala'!J35,'21.10 jinja-Kampala-24h'!J35,'23.10 JINJA-KAMPALA'!J35,'27.10 JINJA-KAMPALA'!J35)</f>
        <v>8.4285714285714288</v>
      </c>
      <c r="K35" s="49">
        <f>AVERAGE('17.10 jinja-kampala'!K35,'18.10 Jinja-Kampala'!K35,'19.10 Jinja-Kampala-24hr'!K35,'20.10 Jinja-Kampala'!K35,'21.10 jinja-Kampala-24h'!K35,'23.10 JINJA-KAMPALA'!K35,'27.10 JINJA-KAMPALA'!K35)</f>
        <v>3</v>
      </c>
      <c r="L35" s="49">
        <f>AVERAGE('17.10 jinja-kampala'!L35,'18.10 Jinja-Kampala'!L35,'19.10 Jinja-Kampala-24hr'!L35,'20.10 Jinja-Kampala'!L35,'21.10 jinja-Kampala-24h'!L35,'23.10 JINJA-KAMPALA'!L35,'27.10 JINJA-KAMPALA'!L35)</f>
        <v>9</v>
      </c>
      <c r="M35" s="49">
        <f>AVERAGE('17.10 jinja-kampala'!M35,'18.10 Jinja-Kampala'!M35,'19.10 Jinja-Kampala-24hr'!M35,'20.10 Jinja-Kampala'!M35,'21.10 jinja-Kampala-24h'!M35,'23.10 JINJA-KAMPALA'!M35,'27.10 JINJA-KAMPALA'!M35)</f>
        <v>22.571428571428573</v>
      </c>
      <c r="N35" s="49">
        <f>AVERAGE('17.10 jinja-kampala'!N35,'18.10 Jinja-Kampala'!N35,'19.10 Jinja-Kampala-24hr'!N35,'20.10 Jinja-Kampala'!N35,'21.10 jinja-Kampala-24h'!N35,'23.10 JINJA-KAMPALA'!N35,'27.10 JINJA-KAMPALA'!N35)</f>
        <v>0</v>
      </c>
      <c r="O35" s="15">
        <f t="shared" si="0"/>
        <v>84.142857142857139</v>
      </c>
      <c r="P35" s="15">
        <f t="shared" si="1"/>
        <v>106.71428571428571</v>
      </c>
      <c r="R35" s="51" t="s">
        <v>91</v>
      </c>
      <c r="S35" s="52">
        <f t="shared" ref="S35:AF35" si="27">MAX(S13:S18)</f>
        <v>73.285714285714278</v>
      </c>
      <c r="T35" s="52">
        <f t="shared" si="27"/>
        <v>27.285714285714288</v>
      </c>
      <c r="U35" s="52">
        <f t="shared" si="27"/>
        <v>21.857142857142858</v>
      </c>
      <c r="V35" s="52">
        <f t="shared" si="27"/>
        <v>112.42857142857144</v>
      </c>
      <c r="W35" s="52">
        <f t="shared" si="27"/>
        <v>3.2857142857142856</v>
      </c>
      <c r="X35" s="52">
        <f t="shared" si="27"/>
        <v>2.4285714285714284</v>
      </c>
      <c r="Y35" s="52">
        <f t="shared" si="27"/>
        <v>18</v>
      </c>
      <c r="Z35" s="52">
        <f t="shared" si="27"/>
        <v>27</v>
      </c>
      <c r="AA35" s="52">
        <f t="shared" si="27"/>
        <v>6.8571428571428577</v>
      </c>
      <c r="AB35" s="52">
        <f t="shared" si="27"/>
        <v>43.714285714285715</v>
      </c>
      <c r="AC35" s="52">
        <f t="shared" si="27"/>
        <v>91.857142857142861</v>
      </c>
      <c r="AD35" s="52">
        <f t="shared" si="27"/>
        <v>4.1428571428571432</v>
      </c>
      <c r="AE35" s="40">
        <f t="shared" si="27"/>
        <v>329.85714285714289</v>
      </c>
      <c r="AF35" s="40">
        <f t="shared" si="27"/>
        <v>414</v>
      </c>
    </row>
    <row r="36" spans="2:32" ht="23.1" customHeight="1" x14ac:dyDescent="0.25">
      <c r="B36" s="24" t="s">
        <v>63</v>
      </c>
      <c r="C36" s="49">
        <f>AVERAGE('17.10 jinja-kampala'!C36,'18.10 Jinja-Kampala'!C36,'19.10 Jinja-Kampala-24hr'!C36,'20.10 Jinja-Kampala'!C36,'21.10 jinja-Kampala-24h'!C36,'23.10 JINJA-KAMPALA'!C36,'27.10 JINJA-KAMPALA'!C36)</f>
        <v>15.571428571428571</v>
      </c>
      <c r="D36" s="49">
        <f>AVERAGE('17.10 jinja-kampala'!D36,'18.10 Jinja-Kampala'!D36,'19.10 Jinja-Kampala-24hr'!D36,'20.10 Jinja-Kampala'!D36,'21.10 jinja-Kampala-24h'!D36,'23.10 JINJA-KAMPALA'!D36,'27.10 JINJA-KAMPALA'!D36)</f>
        <v>6.1428571428571432</v>
      </c>
      <c r="E36" s="49">
        <f>AVERAGE('17.10 jinja-kampala'!E36,'18.10 Jinja-Kampala'!E36,'19.10 Jinja-Kampala-24hr'!E36,'20.10 Jinja-Kampala'!E36,'21.10 jinja-Kampala-24h'!E36,'23.10 JINJA-KAMPALA'!E36,'27.10 JINJA-KAMPALA'!E36)</f>
        <v>6</v>
      </c>
      <c r="F36" s="49">
        <f>AVERAGE('17.10 jinja-kampala'!F36,'18.10 Jinja-Kampala'!F36,'19.10 Jinja-Kampala-24hr'!F36,'20.10 Jinja-Kampala'!F36,'21.10 jinja-Kampala-24h'!F36,'23.10 JINJA-KAMPALA'!F36,'27.10 JINJA-KAMPALA'!F36)</f>
        <v>24</v>
      </c>
      <c r="G36" s="49">
        <f>AVERAGE('17.10 jinja-kampala'!G36,'18.10 Jinja-Kampala'!G36,'19.10 Jinja-Kampala-24hr'!G36,'20.10 Jinja-Kampala'!G36,'21.10 jinja-Kampala-24h'!G36,'23.10 JINJA-KAMPALA'!G36,'27.10 JINJA-KAMPALA'!G36)</f>
        <v>0.7142857142857143</v>
      </c>
      <c r="H36" s="49">
        <f>AVERAGE('17.10 jinja-kampala'!H36,'18.10 Jinja-Kampala'!H36,'19.10 Jinja-Kampala-24hr'!H36,'20.10 Jinja-Kampala'!H36,'21.10 jinja-Kampala-24h'!H36,'23.10 JINJA-KAMPALA'!H36,'27.10 JINJA-KAMPALA'!H36)</f>
        <v>0.2857142857142857</v>
      </c>
      <c r="I36" s="49">
        <f>AVERAGE('17.10 jinja-kampala'!I36,'18.10 Jinja-Kampala'!I36,'19.10 Jinja-Kampala-24hr'!I36,'20.10 Jinja-Kampala'!I36,'21.10 jinja-Kampala-24h'!I36,'23.10 JINJA-KAMPALA'!I36,'27.10 JINJA-KAMPALA'!I36)</f>
        <v>3.8571428571428572</v>
      </c>
      <c r="J36" s="49">
        <f>AVERAGE('17.10 jinja-kampala'!J36,'18.10 Jinja-Kampala'!J36,'19.10 Jinja-Kampala-24hr'!J36,'20.10 Jinja-Kampala'!J36,'21.10 jinja-Kampala-24h'!J36,'23.10 JINJA-KAMPALA'!J36,'27.10 JINJA-KAMPALA'!J36)</f>
        <v>5.8571428571428568</v>
      </c>
      <c r="K36" s="49">
        <f>AVERAGE('17.10 jinja-kampala'!K36,'18.10 Jinja-Kampala'!K36,'19.10 Jinja-Kampala-24hr'!K36,'20.10 Jinja-Kampala'!K36,'21.10 jinja-Kampala-24h'!K36,'23.10 JINJA-KAMPALA'!K36,'27.10 JINJA-KAMPALA'!K36)</f>
        <v>1.8571428571428572</v>
      </c>
      <c r="L36" s="49">
        <f>AVERAGE('17.10 jinja-kampala'!L36,'18.10 Jinja-Kampala'!L36,'19.10 Jinja-Kampala-24hr'!L36,'20.10 Jinja-Kampala'!L36,'21.10 jinja-Kampala-24h'!L36,'23.10 JINJA-KAMPALA'!L36,'27.10 JINJA-KAMPALA'!L36)</f>
        <v>10.571428571428571</v>
      </c>
      <c r="M36" s="49">
        <f>AVERAGE('17.10 jinja-kampala'!M36,'18.10 Jinja-Kampala'!M36,'19.10 Jinja-Kampala-24hr'!M36,'20.10 Jinja-Kampala'!M36,'21.10 jinja-Kampala-24h'!M36,'23.10 JINJA-KAMPALA'!M36,'27.10 JINJA-KAMPALA'!M36)</f>
        <v>21.142857142857142</v>
      </c>
      <c r="N36" s="49">
        <f>AVERAGE('17.10 jinja-kampala'!N36,'18.10 Jinja-Kampala'!N36,'19.10 Jinja-Kampala-24hr'!N36,'20.10 Jinja-Kampala'!N36,'21.10 jinja-Kampala-24h'!N36,'23.10 JINJA-KAMPALA'!N36,'27.10 JINJA-KAMPALA'!N36)</f>
        <v>0</v>
      </c>
      <c r="O36" s="15">
        <f t="shared" si="0"/>
        <v>74.857142857142847</v>
      </c>
      <c r="P36" s="15">
        <f t="shared" si="1"/>
        <v>95.999999999999986</v>
      </c>
      <c r="R36" s="51" t="s">
        <v>92</v>
      </c>
      <c r="S36" s="52">
        <f t="shared" ref="S36:AF36" si="28">MAX(S19:S21)</f>
        <v>84.428571428571431</v>
      </c>
      <c r="T36" s="52">
        <f t="shared" si="28"/>
        <v>27.571428571428573</v>
      </c>
      <c r="U36" s="52">
        <f t="shared" si="28"/>
        <v>21.142857142857139</v>
      </c>
      <c r="V36" s="52">
        <f t="shared" si="28"/>
        <v>129.85714285714286</v>
      </c>
      <c r="W36" s="52">
        <f t="shared" si="28"/>
        <v>7.8571428571428568</v>
      </c>
      <c r="X36" s="52">
        <f t="shared" si="28"/>
        <v>4</v>
      </c>
      <c r="Y36" s="52">
        <f t="shared" si="28"/>
        <v>17.857142857142858</v>
      </c>
      <c r="Z36" s="52">
        <f t="shared" si="28"/>
        <v>26.142857142857142</v>
      </c>
      <c r="AA36" s="52">
        <f t="shared" si="28"/>
        <v>9.1428571428571423</v>
      </c>
      <c r="AB36" s="52">
        <f t="shared" si="28"/>
        <v>46</v>
      </c>
      <c r="AC36" s="52">
        <f t="shared" si="28"/>
        <v>103.14285714285714</v>
      </c>
      <c r="AD36" s="52">
        <f t="shared" si="28"/>
        <v>0.14285714285714285</v>
      </c>
      <c r="AE36" s="40">
        <f t="shared" si="28"/>
        <v>349.4285714285715</v>
      </c>
      <c r="AF36" s="40">
        <f t="shared" si="28"/>
        <v>452.57142857142856</v>
      </c>
    </row>
    <row r="37" spans="2:32" ht="23.1" customHeight="1" x14ac:dyDescent="0.25">
      <c r="B37" s="23" t="s">
        <v>64</v>
      </c>
      <c r="C37" s="49">
        <f>AVERAGE('17.10 jinja-kampala'!C37,'18.10 Jinja-Kampala'!C37,'19.10 Jinja-Kampala-24hr'!C37,'20.10 Jinja-Kampala'!C37,'21.10 jinja-Kampala-24h'!C37,'23.10 JINJA-KAMPALA'!C37,'27.10 JINJA-KAMPALA'!C37)</f>
        <v>15.428571428571429</v>
      </c>
      <c r="D37" s="49">
        <f>AVERAGE('17.10 jinja-kampala'!D37,'18.10 Jinja-Kampala'!D37,'19.10 Jinja-Kampala-24hr'!D37,'20.10 Jinja-Kampala'!D37,'21.10 jinja-Kampala-24h'!D37,'23.10 JINJA-KAMPALA'!D37,'27.10 JINJA-KAMPALA'!D37)</f>
        <v>4.7142857142857144</v>
      </c>
      <c r="E37" s="49">
        <f>AVERAGE('17.10 jinja-kampala'!E37,'18.10 Jinja-Kampala'!E37,'19.10 Jinja-Kampala-24hr'!E37,'20.10 Jinja-Kampala'!E37,'21.10 jinja-Kampala-24h'!E37,'23.10 JINJA-KAMPALA'!E37,'27.10 JINJA-KAMPALA'!E37)</f>
        <v>3.4285714285714284</v>
      </c>
      <c r="F37" s="49">
        <f>AVERAGE('17.10 jinja-kampala'!F37,'18.10 Jinja-Kampala'!F37,'19.10 Jinja-Kampala-24hr'!F37,'20.10 Jinja-Kampala'!F37,'21.10 jinja-Kampala-24h'!F37,'23.10 JINJA-KAMPALA'!F37,'27.10 JINJA-KAMPALA'!F37)</f>
        <v>26.571428571428573</v>
      </c>
      <c r="G37" s="49">
        <f>AVERAGE('17.10 jinja-kampala'!G37,'18.10 Jinja-Kampala'!G37,'19.10 Jinja-Kampala-24hr'!G37,'20.10 Jinja-Kampala'!G37,'21.10 jinja-Kampala-24h'!G37,'23.10 JINJA-KAMPALA'!G37,'27.10 JINJA-KAMPALA'!G37)</f>
        <v>0.42857142857142855</v>
      </c>
      <c r="H37" s="49">
        <f>AVERAGE('17.10 jinja-kampala'!H37,'18.10 Jinja-Kampala'!H37,'19.10 Jinja-Kampala-24hr'!H37,'20.10 Jinja-Kampala'!H37,'21.10 jinja-Kampala-24h'!H37,'23.10 JINJA-KAMPALA'!H37,'27.10 JINJA-KAMPALA'!H37)</f>
        <v>0.5714285714285714</v>
      </c>
      <c r="I37" s="49">
        <f>AVERAGE('17.10 jinja-kampala'!I37,'18.10 Jinja-Kampala'!I37,'19.10 Jinja-Kampala-24hr'!I37,'20.10 Jinja-Kampala'!I37,'21.10 jinja-Kampala-24h'!I37,'23.10 JINJA-KAMPALA'!I37,'27.10 JINJA-KAMPALA'!I37)</f>
        <v>4.1428571428571432</v>
      </c>
      <c r="J37" s="49">
        <f>AVERAGE('17.10 jinja-kampala'!J37,'18.10 Jinja-Kampala'!J37,'19.10 Jinja-Kampala-24hr'!J37,'20.10 Jinja-Kampala'!J37,'21.10 jinja-Kampala-24h'!J37,'23.10 JINJA-KAMPALA'!J37,'27.10 JINJA-KAMPALA'!J37)</f>
        <v>5</v>
      </c>
      <c r="K37" s="49">
        <f>AVERAGE('17.10 jinja-kampala'!K37,'18.10 Jinja-Kampala'!K37,'19.10 Jinja-Kampala-24hr'!K37,'20.10 Jinja-Kampala'!K37,'21.10 jinja-Kampala-24h'!K37,'23.10 JINJA-KAMPALA'!K37,'27.10 JINJA-KAMPALA'!K37)</f>
        <v>0.5714285714285714</v>
      </c>
      <c r="L37" s="49">
        <f>AVERAGE('17.10 jinja-kampala'!L37,'18.10 Jinja-Kampala'!L37,'19.10 Jinja-Kampala-24hr'!L37,'20.10 Jinja-Kampala'!L37,'21.10 jinja-Kampala-24h'!L37,'23.10 JINJA-KAMPALA'!L37,'27.10 JINJA-KAMPALA'!L37)</f>
        <v>11.857142857142858</v>
      </c>
      <c r="M37" s="49">
        <f>AVERAGE('17.10 jinja-kampala'!M37,'18.10 Jinja-Kampala'!M37,'19.10 Jinja-Kampala-24hr'!M37,'20.10 Jinja-Kampala'!M37,'21.10 jinja-Kampala-24h'!M37,'23.10 JINJA-KAMPALA'!M37,'27.10 JINJA-KAMPALA'!M37)</f>
        <v>22.714285714285715</v>
      </c>
      <c r="N37" s="49">
        <f>AVERAGE('17.10 jinja-kampala'!N37,'18.10 Jinja-Kampala'!N37,'19.10 Jinja-Kampala-24hr'!N37,'20.10 Jinja-Kampala'!N37,'21.10 jinja-Kampala-24h'!N37,'23.10 JINJA-KAMPALA'!N37,'27.10 JINJA-KAMPALA'!N37)</f>
        <v>0.14285714285714285</v>
      </c>
      <c r="O37" s="15">
        <f t="shared" si="0"/>
        <v>72.857142857142847</v>
      </c>
      <c r="P37" s="15">
        <f t="shared" si="1"/>
        <v>95.571428571428555</v>
      </c>
      <c r="R37" s="37" t="s">
        <v>85</v>
      </c>
      <c r="S37" s="35">
        <f t="shared" ref="S37:AF37" si="29">SUM(S10:S12)</f>
        <v>135</v>
      </c>
      <c r="T37" s="16">
        <f t="shared" si="29"/>
        <v>41</v>
      </c>
      <c r="U37" s="16">
        <f t="shared" si="29"/>
        <v>32.428571428571431</v>
      </c>
      <c r="V37" s="16">
        <f t="shared" si="29"/>
        <v>375.14285714285711</v>
      </c>
      <c r="W37" s="16">
        <f t="shared" si="29"/>
        <v>18.714285714285712</v>
      </c>
      <c r="X37" s="16">
        <f t="shared" si="29"/>
        <v>11.571428571428573</v>
      </c>
      <c r="Y37" s="16">
        <f t="shared" si="29"/>
        <v>28.428571428571431</v>
      </c>
      <c r="Z37" s="16">
        <f t="shared" si="29"/>
        <v>37.428571428571431</v>
      </c>
      <c r="AA37" s="16">
        <f t="shared" si="29"/>
        <v>12.714285714285715</v>
      </c>
      <c r="AB37" s="16">
        <f t="shared" si="29"/>
        <v>137.57142857142858</v>
      </c>
      <c r="AC37" s="16">
        <f t="shared" si="29"/>
        <v>230.71428571428572</v>
      </c>
      <c r="AD37" s="16">
        <f t="shared" si="29"/>
        <v>3.7142857142857144</v>
      </c>
      <c r="AE37" s="32">
        <f t="shared" si="29"/>
        <v>833.71428571428578</v>
      </c>
      <c r="AF37" s="32">
        <f t="shared" si="29"/>
        <v>1064.4285714285716</v>
      </c>
    </row>
    <row r="38" spans="2:32" ht="23.1" customHeight="1" x14ac:dyDescent="0.25">
      <c r="B38" s="24" t="s">
        <v>65</v>
      </c>
      <c r="C38" s="49">
        <f>AVERAGE('17.10 jinja-kampala'!C38,'18.10 Jinja-Kampala'!C38,'19.10 Jinja-Kampala-24hr'!C38,'20.10 Jinja-Kampala'!C38,'21.10 jinja-Kampala-24h'!C38,'23.10 JINJA-KAMPALA'!C38,'27.10 JINJA-KAMPALA'!C38)</f>
        <v>17.428571428571427</v>
      </c>
      <c r="D38" s="49">
        <f>AVERAGE('17.10 jinja-kampala'!D38,'18.10 Jinja-Kampala'!D38,'19.10 Jinja-Kampala-24hr'!D38,'20.10 Jinja-Kampala'!D38,'21.10 jinja-Kampala-24h'!D38,'23.10 JINJA-KAMPALA'!D38,'27.10 JINJA-KAMPALA'!D38)</f>
        <v>4.7142857142857144</v>
      </c>
      <c r="E38" s="49">
        <f>AVERAGE('17.10 jinja-kampala'!E38,'18.10 Jinja-Kampala'!E38,'19.10 Jinja-Kampala-24hr'!E38,'20.10 Jinja-Kampala'!E38,'21.10 jinja-Kampala-24h'!E38,'23.10 JINJA-KAMPALA'!E38,'27.10 JINJA-KAMPALA'!E38)</f>
        <v>4.8571428571428568</v>
      </c>
      <c r="F38" s="49">
        <f>AVERAGE('17.10 jinja-kampala'!F38,'18.10 Jinja-Kampala'!F38,'19.10 Jinja-Kampala-24hr'!F38,'20.10 Jinja-Kampala'!F38,'21.10 jinja-Kampala-24h'!F38,'23.10 JINJA-KAMPALA'!F38,'27.10 JINJA-KAMPALA'!F38)</f>
        <v>29.428571428571427</v>
      </c>
      <c r="G38" s="49">
        <f>AVERAGE('17.10 jinja-kampala'!G38,'18.10 Jinja-Kampala'!G38,'19.10 Jinja-Kampala-24hr'!G38,'20.10 Jinja-Kampala'!G38,'21.10 jinja-Kampala-24h'!G38,'23.10 JINJA-KAMPALA'!G38,'27.10 JINJA-KAMPALA'!G38)</f>
        <v>0.14285714285714285</v>
      </c>
      <c r="H38" s="49">
        <f>AVERAGE('17.10 jinja-kampala'!H38,'18.10 Jinja-Kampala'!H38,'19.10 Jinja-Kampala-24hr'!H38,'20.10 Jinja-Kampala'!H38,'21.10 jinja-Kampala-24h'!H38,'23.10 JINJA-KAMPALA'!H38,'27.10 JINJA-KAMPALA'!H38)</f>
        <v>0.8571428571428571</v>
      </c>
      <c r="I38" s="49">
        <f>AVERAGE('17.10 jinja-kampala'!I38,'18.10 Jinja-Kampala'!I38,'19.10 Jinja-Kampala-24hr'!I38,'20.10 Jinja-Kampala'!I38,'21.10 jinja-Kampala-24h'!I38,'23.10 JINJA-KAMPALA'!I38,'27.10 JINJA-KAMPALA'!I38)</f>
        <v>5.5714285714285712</v>
      </c>
      <c r="J38" s="49">
        <f>AVERAGE('17.10 jinja-kampala'!J38,'18.10 Jinja-Kampala'!J38,'19.10 Jinja-Kampala-24hr'!J38,'20.10 Jinja-Kampala'!J38,'21.10 jinja-Kampala-24h'!J38,'23.10 JINJA-KAMPALA'!J38,'27.10 JINJA-KAMPALA'!J38)</f>
        <v>4.8571428571428568</v>
      </c>
      <c r="K38" s="49">
        <f>AVERAGE('17.10 jinja-kampala'!K38,'18.10 Jinja-Kampala'!K38,'19.10 Jinja-Kampala-24hr'!K38,'20.10 Jinja-Kampala'!K38,'21.10 jinja-Kampala-24h'!K38,'23.10 JINJA-KAMPALA'!K38,'27.10 JINJA-KAMPALA'!K38)</f>
        <v>1</v>
      </c>
      <c r="L38" s="49">
        <f>AVERAGE('17.10 jinja-kampala'!L38,'18.10 Jinja-Kampala'!L38,'19.10 Jinja-Kampala-24hr'!L38,'20.10 Jinja-Kampala'!L38,'21.10 jinja-Kampala-24h'!L38,'23.10 JINJA-KAMPALA'!L38,'27.10 JINJA-KAMPALA'!L38)</f>
        <v>12.142857142857142</v>
      </c>
      <c r="M38" s="49">
        <f>AVERAGE('17.10 jinja-kampala'!M38,'18.10 Jinja-Kampala'!M38,'19.10 Jinja-Kampala-24hr'!M38,'20.10 Jinja-Kampala'!M38,'21.10 jinja-Kampala-24h'!M38,'23.10 JINJA-KAMPALA'!M38,'27.10 JINJA-KAMPALA'!M38)</f>
        <v>18.571428571428573</v>
      </c>
      <c r="N38" s="49">
        <f>AVERAGE('17.10 jinja-kampala'!N38,'18.10 Jinja-Kampala'!N38,'19.10 Jinja-Kampala-24hr'!N38,'20.10 Jinja-Kampala'!N38,'21.10 jinja-Kampala-24h'!N38,'23.10 JINJA-KAMPALA'!N38,'27.10 JINJA-KAMPALA'!N38)</f>
        <v>0.14285714285714285</v>
      </c>
      <c r="O38" s="15">
        <f t="shared" si="0"/>
        <v>81.142857142857139</v>
      </c>
      <c r="P38" s="15">
        <f t="shared" si="1"/>
        <v>99.714285714285708</v>
      </c>
      <c r="R38" s="28" t="s">
        <v>86</v>
      </c>
      <c r="S38" s="16">
        <f t="shared" ref="S38:AF38" si="30">SUM(S13:S18)</f>
        <v>375.28571428571428</v>
      </c>
      <c r="T38" s="16">
        <f t="shared" si="30"/>
        <v>132.57142857142856</v>
      </c>
      <c r="U38" s="16">
        <f t="shared" si="30"/>
        <v>93.571428571428584</v>
      </c>
      <c r="V38" s="16">
        <f t="shared" si="30"/>
        <v>655.57142857142856</v>
      </c>
      <c r="W38" s="16">
        <f t="shared" si="30"/>
        <v>14.428571428571429</v>
      </c>
      <c r="X38" s="16">
        <f t="shared" si="30"/>
        <v>11.857142857142856</v>
      </c>
      <c r="Y38" s="16">
        <f t="shared" si="30"/>
        <v>94.571428571428569</v>
      </c>
      <c r="Z38" s="16">
        <f t="shared" si="30"/>
        <v>135.42857142857144</v>
      </c>
      <c r="AA38" s="16">
        <f t="shared" si="30"/>
        <v>29.714285714285715</v>
      </c>
      <c r="AB38" s="16">
        <f t="shared" si="30"/>
        <v>251.57142857142861</v>
      </c>
      <c r="AC38" s="16">
        <f t="shared" si="30"/>
        <v>506.28571428571422</v>
      </c>
      <c r="AD38" s="16">
        <f t="shared" si="30"/>
        <v>4.7142857142857144</v>
      </c>
      <c r="AE38" s="32">
        <f t="shared" si="30"/>
        <v>1799.2857142857142</v>
      </c>
      <c r="AF38" s="32">
        <f t="shared" si="30"/>
        <v>2305.5714285714284</v>
      </c>
    </row>
    <row r="39" spans="2:32" ht="23.1" customHeight="1" x14ac:dyDescent="0.25">
      <c r="B39" s="24" t="s">
        <v>66</v>
      </c>
      <c r="C39" s="49">
        <f>AVERAGE('17.10 jinja-kampala'!C39,'18.10 Jinja-Kampala'!C39,'19.10 Jinja-Kampala-24hr'!C39,'20.10 Jinja-Kampala'!C39,'21.10 jinja-Kampala-24h'!C39,'23.10 JINJA-KAMPALA'!C39,'27.10 JINJA-KAMPALA'!C39)</f>
        <v>17.428571428571427</v>
      </c>
      <c r="D39" s="49">
        <f>AVERAGE('17.10 jinja-kampala'!D39,'18.10 Jinja-Kampala'!D39,'19.10 Jinja-Kampala-24hr'!D39,'20.10 Jinja-Kampala'!D39,'21.10 jinja-Kampala-24h'!D39,'23.10 JINJA-KAMPALA'!D39,'27.10 JINJA-KAMPALA'!D39)</f>
        <v>7.7142857142857144</v>
      </c>
      <c r="E39" s="49">
        <f>AVERAGE('17.10 jinja-kampala'!E39,'18.10 Jinja-Kampala'!E39,'19.10 Jinja-Kampala-24hr'!E39,'20.10 Jinja-Kampala'!E39,'21.10 jinja-Kampala-24h'!E39,'23.10 JINJA-KAMPALA'!E39,'27.10 JINJA-KAMPALA'!E39)</f>
        <v>3</v>
      </c>
      <c r="F39" s="49">
        <f>AVERAGE('17.10 jinja-kampala'!F39,'18.10 Jinja-Kampala'!F39,'19.10 Jinja-Kampala-24hr'!F39,'20.10 Jinja-Kampala'!F39,'21.10 jinja-Kampala-24h'!F39,'23.10 JINJA-KAMPALA'!F39,'27.10 JINJA-KAMPALA'!F39)</f>
        <v>22</v>
      </c>
      <c r="G39" s="49">
        <f>AVERAGE('17.10 jinja-kampala'!G39,'18.10 Jinja-Kampala'!G39,'19.10 Jinja-Kampala-24hr'!G39,'20.10 Jinja-Kampala'!G39,'21.10 jinja-Kampala-24h'!G39,'23.10 JINJA-KAMPALA'!G39,'27.10 JINJA-KAMPALA'!G39)</f>
        <v>0.7142857142857143</v>
      </c>
      <c r="H39" s="49">
        <f>AVERAGE('17.10 jinja-kampala'!H39,'18.10 Jinja-Kampala'!H39,'19.10 Jinja-Kampala-24hr'!H39,'20.10 Jinja-Kampala'!H39,'21.10 jinja-Kampala-24h'!H39,'23.10 JINJA-KAMPALA'!H39,'27.10 JINJA-KAMPALA'!H39)</f>
        <v>0.5714285714285714</v>
      </c>
      <c r="I39" s="49">
        <f>AVERAGE('17.10 jinja-kampala'!I39,'18.10 Jinja-Kampala'!I39,'19.10 Jinja-Kampala-24hr'!I39,'20.10 Jinja-Kampala'!I39,'21.10 jinja-Kampala-24h'!I39,'23.10 JINJA-KAMPALA'!I39,'27.10 JINJA-KAMPALA'!I39)</f>
        <v>4</v>
      </c>
      <c r="J39" s="49">
        <f>AVERAGE('17.10 jinja-kampala'!J39,'18.10 Jinja-Kampala'!J39,'19.10 Jinja-Kampala-24hr'!J39,'20.10 Jinja-Kampala'!J39,'21.10 jinja-Kampala-24h'!J39,'23.10 JINJA-KAMPALA'!J39,'27.10 JINJA-KAMPALA'!J39)</f>
        <v>5.4285714285714288</v>
      </c>
      <c r="K39" s="49">
        <f>AVERAGE('17.10 jinja-kampala'!K39,'18.10 Jinja-Kampala'!K39,'19.10 Jinja-Kampala-24hr'!K39,'20.10 Jinja-Kampala'!K39,'21.10 jinja-Kampala-24h'!K39,'23.10 JINJA-KAMPALA'!K39,'27.10 JINJA-KAMPALA'!K39)</f>
        <v>0.7142857142857143</v>
      </c>
      <c r="L39" s="49">
        <f>AVERAGE('17.10 jinja-kampala'!L39,'18.10 Jinja-Kampala'!L39,'19.10 Jinja-Kampala-24hr'!L39,'20.10 Jinja-Kampala'!L39,'21.10 jinja-Kampala-24h'!L39,'23.10 JINJA-KAMPALA'!L39,'27.10 JINJA-KAMPALA'!L39)</f>
        <v>10</v>
      </c>
      <c r="M39" s="49">
        <f>AVERAGE('17.10 jinja-kampala'!M39,'18.10 Jinja-Kampala'!M39,'19.10 Jinja-Kampala-24hr'!M39,'20.10 Jinja-Kampala'!M39,'21.10 jinja-Kampala-24h'!M39,'23.10 JINJA-KAMPALA'!M39,'27.10 JINJA-KAMPALA'!M39)</f>
        <v>16.571428571428573</v>
      </c>
      <c r="N39" s="49">
        <f>AVERAGE('17.10 jinja-kampala'!N39,'18.10 Jinja-Kampala'!N39,'19.10 Jinja-Kampala-24hr'!N39,'20.10 Jinja-Kampala'!N39,'21.10 jinja-Kampala-24h'!N39,'23.10 JINJA-KAMPALA'!N39,'27.10 JINJA-KAMPALA'!N39)</f>
        <v>0</v>
      </c>
      <c r="O39" s="15">
        <f t="shared" si="0"/>
        <v>71.571428571428569</v>
      </c>
      <c r="P39" s="15">
        <f t="shared" si="1"/>
        <v>88.142857142857139</v>
      </c>
      <c r="R39" s="29" t="s">
        <v>87</v>
      </c>
      <c r="S39" s="16">
        <f t="shared" ref="S39:AF39" si="31">SUM(S19:S21)</f>
        <v>226.71428571428572</v>
      </c>
      <c r="T39" s="16">
        <f t="shared" si="31"/>
        <v>76.714285714285722</v>
      </c>
      <c r="U39" s="16">
        <f t="shared" si="31"/>
        <v>56.428571428571423</v>
      </c>
      <c r="V39" s="16">
        <f t="shared" si="31"/>
        <v>375.14285714285711</v>
      </c>
      <c r="W39" s="16">
        <f t="shared" si="31"/>
        <v>17.571428571428573</v>
      </c>
      <c r="X39" s="16">
        <f t="shared" si="31"/>
        <v>8.4285714285714288</v>
      </c>
      <c r="Y39" s="16">
        <f t="shared" si="31"/>
        <v>50.857142857142861</v>
      </c>
      <c r="Z39" s="16">
        <f t="shared" si="31"/>
        <v>76.142857142857139</v>
      </c>
      <c r="AA39" s="16">
        <f t="shared" si="31"/>
        <v>21.714285714285715</v>
      </c>
      <c r="AB39" s="16">
        <f t="shared" si="31"/>
        <v>122.85714285714285</v>
      </c>
      <c r="AC39" s="16">
        <f t="shared" si="31"/>
        <v>299.76190476190476</v>
      </c>
      <c r="AD39" s="16">
        <f t="shared" si="31"/>
        <v>0.14285714285714285</v>
      </c>
      <c r="AE39" s="32">
        <f t="shared" si="31"/>
        <v>1032.7142857142858</v>
      </c>
      <c r="AF39" s="32">
        <f t="shared" si="31"/>
        <v>1332.4761904761904</v>
      </c>
    </row>
    <row r="40" spans="2:32" ht="23.1" customHeight="1" x14ac:dyDescent="0.25">
      <c r="B40" s="24" t="s">
        <v>67</v>
      </c>
      <c r="C40" s="49">
        <f>AVERAGE('17.10 jinja-kampala'!C40,'18.10 Jinja-Kampala'!C40,'19.10 Jinja-Kampala-24hr'!C40,'20.10 Jinja-Kampala'!C40,'21.10 jinja-Kampala-24h'!C40,'23.10 JINJA-KAMPALA'!C40,'27.10 JINJA-KAMPALA'!C40)</f>
        <v>15.714285714285714</v>
      </c>
      <c r="D40" s="49">
        <f>AVERAGE('17.10 jinja-kampala'!D40,'18.10 Jinja-Kampala'!D40,'19.10 Jinja-Kampala-24hr'!D40,'20.10 Jinja-Kampala'!D40,'21.10 jinja-Kampala-24h'!D40,'23.10 JINJA-KAMPALA'!D40,'27.10 JINJA-KAMPALA'!D40)</f>
        <v>7</v>
      </c>
      <c r="E40" s="49">
        <f>AVERAGE('17.10 jinja-kampala'!E40,'18.10 Jinja-Kampala'!E40,'19.10 Jinja-Kampala-24hr'!E40,'20.10 Jinja-Kampala'!E40,'21.10 jinja-Kampala-24h'!E40,'23.10 JINJA-KAMPALA'!E40,'27.10 JINJA-KAMPALA'!E40)</f>
        <v>4</v>
      </c>
      <c r="F40" s="49">
        <f>AVERAGE('17.10 jinja-kampala'!F40,'18.10 Jinja-Kampala'!F40,'19.10 Jinja-Kampala-24hr'!F40,'20.10 Jinja-Kampala'!F40,'21.10 jinja-Kampala-24h'!F40,'23.10 JINJA-KAMPALA'!F40,'27.10 JINJA-KAMPALA'!F40)</f>
        <v>31.571428571428573</v>
      </c>
      <c r="G40" s="49">
        <f>AVERAGE('17.10 jinja-kampala'!G40,'18.10 Jinja-Kampala'!G40,'19.10 Jinja-Kampala-24hr'!G40,'20.10 Jinja-Kampala'!G40,'21.10 jinja-Kampala-24h'!G40,'23.10 JINJA-KAMPALA'!G40,'27.10 JINJA-KAMPALA'!G40)</f>
        <v>0</v>
      </c>
      <c r="H40" s="49">
        <f>AVERAGE('17.10 jinja-kampala'!H40,'18.10 Jinja-Kampala'!H40,'19.10 Jinja-Kampala-24hr'!H40,'20.10 Jinja-Kampala'!H40,'21.10 jinja-Kampala-24h'!H40,'23.10 JINJA-KAMPALA'!H40,'27.10 JINJA-KAMPALA'!H40)</f>
        <v>0.42857142857142855</v>
      </c>
      <c r="I40" s="49">
        <f>AVERAGE('17.10 jinja-kampala'!I40,'18.10 Jinja-Kampala'!I40,'19.10 Jinja-Kampala-24hr'!I40,'20.10 Jinja-Kampala'!I40,'21.10 jinja-Kampala-24h'!I40,'23.10 JINJA-KAMPALA'!I40,'27.10 JINJA-KAMPALA'!I40)</f>
        <v>3.8571428571428572</v>
      </c>
      <c r="J40" s="49">
        <f>AVERAGE('17.10 jinja-kampala'!J40,'18.10 Jinja-Kampala'!J40,'19.10 Jinja-Kampala-24hr'!J40,'20.10 Jinja-Kampala'!J40,'21.10 jinja-Kampala-24h'!J40,'23.10 JINJA-KAMPALA'!J40,'27.10 JINJA-KAMPALA'!J40)</f>
        <v>7.2857142857142856</v>
      </c>
      <c r="K40" s="49">
        <f>AVERAGE('17.10 jinja-kampala'!K40,'18.10 Jinja-Kampala'!K40,'19.10 Jinja-Kampala-24hr'!K40,'20.10 Jinja-Kampala'!K40,'21.10 jinja-Kampala-24h'!K40,'23.10 JINJA-KAMPALA'!K40,'27.10 JINJA-KAMPALA'!K40)</f>
        <v>2.2857142857142856</v>
      </c>
      <c r="L40" s="49">
        <f>AVERAGE('17.10 jinja-kampala'!L40,'18.10 Jinja-Kampala'!L40,'19.10 Jinja-Kampala-24hr'!L40,'20.10 Jinja-Kampala'!L40,'21.10 jinja-Kampala-24h'!L40,'23.10 JINJA-KAMPALA'!L40,'27.10 JINJA-KAMPALA'!L40)</f>
        <v>10.714285714285714</v>
      </c>
      <c r="M40" s="49">
        <f>AVERAGE('17.10 jinja-kampala'!M40,'18.10 Jinja-Kampala'!M40,'19.10 Jinja-Kampala-24hr'!M40,'20.10 Jinja-Kampala'!M40,'21.10 jinja-Kampala-24h'!M40,'23.10 JINJA-KAMPALA'!M40,'27.10 JINJA-KAMPALA'!M40)</f>
        <v>18.142857142857142</v>
      </c>
      <c r="N40" s="49">
        <f>AVERAGE('17.10 jinja-kampala'!N40,'18.10 Jinja-Kampala'!N40,'19.10 Jinja-Kampala-24hr'!N40,'20.10 Jinja-Kampala'!N40,'21.10 jinja-Kampala-24h'!N40,'23.10 JINJA-KAMPALA'!N40,'27.10 JINJA-KAMPALA'!N40)</f>
        <v>0</v>
      </c>
      <c r="O40" s="15">
        <f t="shared" si="0"/>
        <v>82.857142857142861</v>
      </c>
      <c r="P40" s="15">
        <f t="shared" si="1"/>
        <v>101</v>
      </c>
      <c r="R40" s="5" t="s">
        <v>17</v>
      </c>
      <c r="S40" s="16">
        <f t="shared" ref="S40:AF40" si="32">SUM(S10:S21)</f>
        <v>737</v>
      </c>
      <c r="T40" s="16">
        <f t="shared" si="32"/>
        <v>250.28571428571428</v>
      </c>
      <c r="U40" s="16">
        <f t="shared" si="32"/>
        <v>182.42857142857142</v>
      </c>
      <c r="V40" s="16">
        <f t="shared" si="32"/>
        <v>1405.8571428571429</v>
      </c>
      <c r="W40" s="16">
        <f t="shared" si="32"/>
        <v>50.714285714285708</v>
      </c>
      <c r="X40" s="16">
        <f t="shared" si="32"/>
        <v>31.857142857142854</v>
      </c>
      <c r="Y40" s="16">
        <f t="shared" si="32"/>
        <v>173.85714285714286</v>
      </c>
      <c r="Z40" s="16">
        <f t="shared" si="32"/>
        <v>249</v>
      </c>
      <c r="AA40" s="16">
        <f t="shared" si="32"/>
        <v>64.142857142857139</v>
      </c>
      <c r="AB40" s="16">
        <f t="shared" si="32"/>
        <v>512</v>
      </c>
      <c r="AC40" s="16">
        <f t="shared" si="32"/>
        <v>1036.7619047619048</v>
      </c>
      <c r="AD40" s="16">
        <f t="shared" si="32"/>
        <v>8.571428571428573</v>
      </c>
      <c r="AE40" s="32">
        <f t="shared" si="32"/>
        <v>3665.7142857142858</v>
      </c>
      <c r="AF40" s="32">
        <f t="shared" si="32"/>
        <v>4702.4761904761899</v>
      </c>
    </row>
    <row r="41" spans="2:32" ht="23.1" customHeight="1" x14ac:dyDescent="0.25">
      <c r="B41" s="23" t="s">
        <v>68</v>
      </c>
      <c r="C41" s="49">
        <f>AVERAGE('17.10 jinja-kampala'!C41,'18.10 Jinja-Kampala'!C41,'19.10 Jinja-Kampala-24hr'!C41,'20.10 Jinja-Kampala'!C41,'21.10 jinja-Kampala-24h'!C41,'23.10 JINJA-KAMPALA'!C41,'27.10 JINJA-KAMPALA'!C41)</f>
        <v>14</v>
      </c>
      <c r="D41" s="49">
        <f>AVERAGE('17.10 jinja-kampala'!D41,'18.10 Jinja-Kampala'!D41,'19.10 Jinja-Kampala-24hr'!D41,'20.10 Jinja-Kampala'!D41,'21.10 jinja-Kampala-24h'!D41,'23.10 JINJA-KAMPALA'!D41,'27.10 JINJA-KAMPALA'!D41)</f>
        <v>5.2857142857142856</v>
      </c>
      <c r="E41" s="49">
        <f>AVERAGE('17.10 jinja-kampala'!E41,'18.10 Jinja-Kampala'!E41,'19.10 Jinja-Kampala-24hr'!E41,'20.10 Jinja-Kampala'!E41,'21.10 jinja-Kampala-24h'!E41,'23.10 JINJA-KAMPALA'!E41,'27.10 JINJA-KAMPALA'!E41)</f>
        <v>4.4285714285714288</v>
      </c>
      <c r="F41" s="49">
        <f>AVERAGE('17.10 jinja-kampala'!F41,'18.10 Jinja-Kampala'!F41,'19.10 Jinja-Kampala-24hr'!F41,'20.10 Jinja-Kampala'!F41,'21.10 jinja-Kampala-24h'!F41,'23.10 JINJA-KAMPALA'!F41,'27.10 JINJA-KAMPALA'!F41)</f>
        <v>27.285714285714285</v>
      </c>
      <c r="G41" s="49">
        <f>AVERAGE('17.10 jinja-kampala'!G41,'18.10 Jinja-Kampala'!G41,'19.10 Jinja-Kampala-24hr'!G41,'20.10 Jinja-Kampala'!G41,'21.10 jinja-Kampala-24h'!G41,'23.10 JINJA-KAMPALA'!G41,'27.10 JINJA-KAMPALA'!G41)</f>
        <v>0.7142857142857143</v>
      </c>
      <c r="H41" s="49">
        <f>AVERAGE('17.10 jinja-kampala'!H41,'18.10 Jinja-Kampala'!H41,'19.10 Jinja-Kampala-24hr'!H41,'20.10 Jinja-Kampala'!H41,'21.10 jinja-Kampala-24h'!H41,'23.10 JINJA-KAMPALA'!H41,'27.10 JINJA-KAMPALA'!H41)</f>
        <v>0.2857142857142857</v>
      </c>
      <c r="I41" s="49">
        <f>AVERAGE('17.10 jinja-kampala'!I41,'18.10 Jinja-Kampala'!I41,'19.10 Jinja-Kampala-24hr'!I41,'20.10 Jinja-Kampala'!I41,'21.10 jinja-Kampala-24h'!I41,'23.10 JINJA-KAMPALA'!I41,'27.10 JINJA-KAMPALA'!I41)</f>
        <v>4.5714285714285712</v>
      </c>
      <c r="J41" s="49">
        <f>AVERAGE('17.10 jinja-kampala'!J41,'18.10 Jinja-Kampala'!J41,'19.10 Jinja-Kampala-24hr'!J41,'20.10 Jinja-Kampala'!J41,'21.10 jinja-Kampala-24h'!J41,'23.10 JINJA-KAMPALA'!J41,'27.10 JINJA-KAMPALA'!J41)</f>
        <v>5.8571428571428568</v>
      </c>
      <c r="K41" s="49">
        <f>AVERAGE('17.10 jinja-kampala'!K41,'18.10 Jinja-Kampala'!K41,'19.10 Jinja-Kampala-24hr'!K41,'20.10 Jinja-Kampala'!K41,'21.10 jinja-Kampala-24h'!K41,'23.10 JINJA-KAMPALA'!K41,'27.10 JINJA-KAMPALA'!K41)</f>
        <v>0.8571428571428571</v>
      </c>
      <c r="L41" s="49">
        <f>AVERAGE('17.10 jinja-kampala'!L41,'18.10 Jinja-Kampala'!L41,'19.10 Jinja-Kampala-24hr'!L41,'20.10 Jinja-Kampala'!L41,'21.10 jinja-Kampala-24h'!L41,'23.10 JINJA-KAMPALA'!L41,'27.10 JINJA-KAMPALA'!L41)</f>
        <v>10.142857142857142</v>
      </c>
      <c r="M41" s="49">
        <f>AVERAGE('17.10 jinja-kampala'!M41,'18.10 Jinja-Kampala'!M41,'19.10 Jinja-Kampala-24hr'!M41,'20.10 Jinja-Kampala'!M41,'21.10 jinja-Kampala-24h'!M41,'23.10 JINJA-KAMPALA'!M41,'27.10 JINJA-KAMPALA'!M41)</f>
        <v>20.571428571428573</v>
      </c>
      <c r="N41" s="49">
        <f>AVERAGE('17.10 jinja-kampala'!N41,'18.10 Jinja-Kampala'!N41,'19.10 Jinja-Kampala-24hr'!N41,'20.10 Jinja-Kampala'!N41,'21.10 jinja-Kampala-24h'!N41,'23.10 JINJA-KAMPALA'!N41,'27.10 JINJA-KAMPALA'!N41)</f>
        <v>0</v>
      </c>
      <c r="O41" s="15">
        <f t="shared" si="0"/>
        <v>73.428571428571416</v>
      </c>
      <c r="P41" s="15">
        <f t="shared" si="1"/>
        <v>93.999999999999986</v>
      </c>
      <c r="R41" s="5" t="s">
        <v>182</v>
      </c>
      <c r="S41" s="16">
        <f>SUM(S10:S33)</f>
        <v>1089.5</v>
      </c>
      <c r="T41" s="16">
        <f t="shared" ref="T41:AD41" si="33">SUM(T10:T33)</f>
        <v>420.28571428571428</v>
      </c>
      <c r="U41" s="16">
        <f t="shared" si="33"/>
        <v>278.92857142857144</v>
      </c>
      <c r="V41" s="16">
        <f t="shared" si="33"/>
        <v>1941.3571428571429</v>
      </c>
      <c r="W41" s="16">
        <f t="shared" si="33"/>
        <v>79.214285714285708</v>
      </c>
      <c r="X41" s="16">
        <f t="shared" si="33"/>
        <v>67.857142857142861</v>
      </c>
      <c r="Y41" s="16">
        <f t="shared" si="33"/>
        <v>244.85714285714286</v>
      </c>
      <c r="Z41" s="16">
        <f t="shared" si="33"/>
        <v>433.5</v>
      </c>
      <c r="AA41" s="16">
        <f t="shared" si="33"/>
        <v>202.64285714285714</v>
      </c>
      <c r="AB41" s="16">
        <f t="shared" si="33"/>
        <v>884</v>
      </c>
      <c r="AC41" s="16">
        <f t="shared" si="33"/>
        <v>1519.2619047619048</v>
      </c>
      <c r="AD41" s="16">
        <f t="shared" si="33"/>
        <v>10.071428571428573</v>
      </c>
      <c r="AE41" s="32">
        <f>SUM(AE10:AE33)</f>
        <v>5652.2142857142862</v>
      </c>
      <c r="AF41" s="32">
        <f>SUM(AF10:AF33)</f>
        <v>7171.4761904761899</v>
      </c>
    </row>
    <row r="42" spans="2:32" ht="23.1" customHeight="1" x14ac:dyDescent="0.25">
      <c r="B42" s="24" t="s">
        <v>69</v>
      </c>
      <c r="C42" s="49">
        <f>AVERAGE('17.10 jinja-kampala'!C42,'18.10 Jinja-Kampala'!C42,'19.10 Jinja-Kampala-24hr'!C42,'20.10 Jinja-Kampala'!C42,'21.10 jinja-Kampala-24h'!C42,'23.10 JINJA-KAMPALA'!C42,'27.10 JINJA-KAMPALA'!C42)</f>
        <v>18</v>
      </c>
      <c r="D42" s="49">
        <f>AVERAGE('17.10 jinja-kampala'!D42,'18.10 Jinja-Kampala'!D42,'19.10 Jinja-Kampala-24hr'!D42,'20.10 Jinja-Kampala'!D42,'21.10 jinja-Kampala-24h'!D42,'23.10 JINJA-KAMPALA'!D42,'27.10 JINJA-KAMPALA'!D42)</f>
        <v>9.7142857142857135</v>
      </c>
      <c r="E42" s="49">
        <f>AVERAGE('17.10 jinja-kampala'!E42,'18.10 Jinja-Kampala'!E42,'19.10 Jinja-Kampala-24hr'!E42,'20.10 Jinja-Kampala'!E42,'21.10 jinja-Kampala-24h'!E42,'23.10 JINJA-KAMPALA'!E42,'27.10 JINJA-KAMPALA'!E42)</f>
        <v>4.4285714285714288</v>
      </c>
      <c r="F42" s="49">
        <f>AVERAGE('17.10 jinja-kampala'!F42,'18.10 Jinja-Kampala'!F42,'19.10 Jinja-Kampala-24hr'!F42,'20.10 Jinja-Kampala'!F42,'21.10 jinja-Kampala-24h'!F42,'23.10 JINJA-KAMPALA'!F42,'27.10 JINJA-KAMPALA'!F42)</f>
        <v>33.142857142857146</v>
      </c>
      <c r="G42" s="49">
        <f>AVERAGE('17.10 jinja-kampala'!G42,'18.10 Jinja-Kampala'!G42,'19.10 Jinja-Kampala-24hr'!G42,'20.10 Jinja-Kampala'!G42,'21.10 jinja-Kampala-24h'!G42,'23.10 JINJA-KAMPALA'!G42,'27.10 JINJA-KAMPALA'!G42)</f>
        <v>1.4285714285714286</v>
      </c>
      <c r="H42" s="49">
        <f>AVERAGE('17.10 jinja-kampala'!H42,'18.10 Jinja-Kampala'!H42,'19.10 Jinja-Kampala-24hr'!H42,'20.10 Jinja-Kampala'!H42,'21.10 jinja-Kampala-24h'!H42,'23.10 JINJA-KAMPALA'!H42,'27.10 JINJA-KAMPALA'!H42)</f>
        <v>0.5714285714285714</v>
      </c>
      <c r="I42" s="49">
        <f>AVERAGE('17.10 jinja-kampala'!I42,'18.10 Jinja-Kampala'!I42,'19.10 Jinja-Kampala-24hr'!I42,'20.10 Jinja-Kampala'!I42,'21.10 jinja-Kampala-24h'!I42,'23.10 JINJA-KAMPALA'!I42,'27.10 JINJA-KAMPALA'!I42)</f>
        <v>4.4285714285714288</v>
      </c>
      <c r="J42" s="49">
        <f>AVERAGE('17.10 jinja-kampala'!J42,'18.10 Jinja-Kampala'!J42,'19.10 Jinja-Kampala-24hr'!J42,'20.10 Jinja-Kampala'!J42,'21.10 jinja-Kampala-24h'!J42,'23.10 JINJA-KAMPALA'!J42,'27.10 JINJA-KAMPALA'!J42)</f>
        <v>6.4285714285714288</v>
      </c>
      <c r="K42" s="49">
        <f>AVERAGE('17.10 jinja-kampala'!K42,'18.10 Jinja-Kampala'!K42,'19.10 Jinja-Kampala-24hr'!K42,'20.10 Jinja-Kampala'!K42,'21.10 jinja-Kampala-24h'!K42,'23.10 JINJA-KAMPALA'!K42,'27.10 JINJA-KAMPALA'!K42)</f>
        <v>0.7142857142857143</v>
      </c>
      <c r="L42" s="49">
        <f>AVERAGE('17.10 jinja-kampala'!L42,'18.10 Jinja-Kampala'!L42,'19.10 Jinja-Kampala-24hr'!L42,'20.10 Jinja-Kampala'!L42,'21.10 jinja-Kampala-24h'!L42,'23.10 JINJA-KAMPALA'!L42,'27.10 JINJA-KAMPALA'!L42)</f>
        <v>11.857142857142858</v>
      </c>
      <c r="M42" s="49">
        <f>AVERAGE('17.10 jinja-kampala'!M42,'18.10 Jinja-Kampala'!M42,'19.10 Jinja-Kampala-24hr'!M42,'20.10 Jinja-Kampala'!M42,'21.10 jinja-Kampala-24h'!M42,'23.10 JINJA-KAMPALA'!M42,'27.10 JINJA-KAMPALA'!M42)</f>
        <v>23.571428571428573</v>
      </c>
      <c r="N42" s="49">
        <f>AVERAGE('17.10 jinja-kampala'!N42,'18.10 Jinja-Kampala'!N42,'19.10 Jinja-Kampala-24hr'!N42,'20.10 Jinja-Kampala'!N42,'21.10 jinja-Kampala-24h'!N42,'23.10 JINJA-KAMPALA'!N42,'27.10 JINJA-KAMPALA'!N42)</f>
        <v>0</v>
      </c>
      <c r="O42" s="15">
        <f t="shared" si="0"/>
        <v>90.714285714285722</v>
      </c>
      <c r="P42" s="15">
        <f t="shared" si="1"/>
        <v>114.28571428571429</v>
      </c>
      <c r="R42" s="5" t="s">
        <v>160</v>
      </c>
      <c r="S42" s="48">
        <f>S41/S40</f>
        <v>1.4782903663500679</v>
      </c>
      <c r="T42" s="48">
        <f t="shared" ref="T42:AF42" si="34">T41/T40</f>
        <v>1.6792237442922375</v>
      </c>
      <c r="U42" s="48">
        <f t="shared" si="34"/>
        <v>1.5289741581832421</v>
      </c>
      <c r="V42" s="48">
        <f t="shared" si="34"/>
        <v>1.380906411950005</v>
      </c>
      <c r="W42" s="48">
        <f t="shared" si="34"/>
        <v>1.5619718309859156</v>
      </c>
      <c r="X42" s="48">
        <f t="shared" si="34"/>
        <v>2.1300448430493275</v>
      </c>
      <c r="Y42" s="48">
        <f t="shared" si="34"/>
        <v>1.4083812654067378</v>
      </c>
      <c r="Z42" s="48">
        <f t="shared" si="34"/>
        <v>1.7409638554216869</v>
      </c>
      <c r="AA42" s="48">
        <f t="shared" si="34"/>
        <v>3.1592427616926506</v>
      </c>
      <c r="AB42" s="48">
        <f t="shared" si="34"/>
        <v>1.7265625</v>
      </c>
      <c r="AC42" s="48">
        <f t="shared" si="34"/>
        <v>1.4653913283115929</v>
      </c>
      <c r="AD42" s="48">
        <f t="shared" si="34"/>
        <v>1.175</v>
      </c>
      <c r="AE42" s="53">
        <f t="shared" si="34"/>
        <v>1.541913484021824</v>
      </c>
      <c r="AF42" s="53">
        <f t="shared" si="34"/>
        <v>1.5250425307841866</v>
      </c>
    </row>
    <row r="43" spans="2:32" ht="23.1" customHeight="1" x14ac:dyDescent="0.25">
      <c r="B43" s="23" t="s">
        <v>70</v>
      </c>
      <c r="C43" s="49">
        <f>AVERAGE('17.10 jinja-kampala'!C43,'18.10 Jinja-Kampala'!C43,'19.10 Jinja-Kampala-24hr'!C43,'20.10 Jinja-Kampala'!C43,'21.10 jinja-Kampala-24h'!C43,'23.10 JINJA-KAMPALA'!C43,'27.10 JINJA-KAMPALA'!C43)</f>
        <v>16.142857142857142</v>
      </c>
      <c r="D43" s="49">
        <f>AVERAGE('17.10 jinja-kampala'!D43,'18.10 Jinja-Kampala'!D43,'19.10 Jinja-Kampala-24hr'!D43,'20.10 Jinja-Kampala'!D43,'21.10 jinja-Kampala-24h'!D43,'23.10 JINJA-KAMPALA'!D43,'27.10 JINJA-KAMPALA'!D43)</f>
        <v>7.1428571428571432</v>
      </c>
      <c r="E43" s="49">
        <f>AVERAGE('17.10 jinja-kampala'!E43,'18.10 Jinja-Kampala'!E43,'19.10 Jinja-Kampala-24hr'!E43,'20.10 Jinja-Kampala'!E43,'21.10 jinja-Kampala-24h'!E43,'23.10 JINJA-KAMPALA'!E43,'27.10 JINJA-KAMPALA'!E43)</f>
        <v>4.5714285714285712</v>
      </c>
      <c r="F43" s="49">
        <f>AVERAGE('17.10 jinja-kampala'!F43,'18.10 Jinja-Kampala'!F43,'19.10 Jinja-Kampala-24hr'!F43,'20.10 Jinja-Kampala'!F43,'21.10 jinja-Kampala-24h'!F43,'23.10 JINJA-KAMPALA'!F43,'27.10 JINJA-KAMPALA'!F43)</f>
        <v>23.571428571428573</v>
      </c>
      <c r="G43" s="49">
        <f>AVERAGE('17.10 jinja-kampala'!G43,'18.10 Jinja-Kampala'!G43,'19.10 Jinja-Kampala-24hr'!G43,'20.10 Jinja-Kampala'!G43,'21.10 jinja-Kampala-24h'!G43,'23.10 JINJA-KAMPALA'!G43,'27.10 JINJA-KAMPALA'!G43)</f>
        <v>0.42857142857142855</v>
      </c>
      <c r="H43" s="49">
        <f>AVERAGE('17.10 jinja-kampala'!H43,'18.10 Jinja-Kampala'!H43,'19.10 Jinja-Kampala-24hr'!H43,'20.10 Jinja-Kampala'!H43,'21.10 jinja-Kampala-24h'!H43,'23.10 JINJA-KAMPALA'!H43,'27.10 JINJA-KAMPALA'!H43)</f>
        <v>0.7142857142857143</v>
      </c>
      <c r="I43" s="49">
        <f>AVERAGE('17.10 jinja-kampala'!I43,'18.10 Jinja-Kampala'!I43,'19.10 Jinja-Kampala-24hr'!I43,'20.10 Jinja-Kampala'!I43,'21.10 jinja-Kampala-24h'!I43,'23.10 JINJA-KAMPALA'!I43,'27.10 JINJA-KAMPALA'!I43)</f>
        <v>3.4285714285714284</v>
      </c>
      <c r="J43" s="49">
        <f>AVERAGE('17.10 jinja-kampala'!J43,'18.10 Jinja-Kampala'!J43,'19.10 Jinja-Kampala-24hr'!J43,'20.10 Jinja-Kampala'!J43,'21.10 jinja-Kampala-24h'!J43,'23.10 JINJA-KAMPALA'!J43,'27.10 JINJA-KAMPALA'!J43)</f>
        <v>4.1428571428571432</v>
      </c>
      <c r="K43" s="49">
        <f>AVERAGE('17.10 jinja-kampala'!K43,'18.10 Jinja-Kampala'!K43,'19.10 Jinja-Kampala-24hr'!K43,'20.10 Jinja-Kampala'!K43,'21.10 jinja-Kampala-24h'!K43,'23.10 JINJA-KAMPALA'!K43,'27.10 JINJA-KAMPALA'!K43)</f>
        <v>1.5714285714285714</v>
      </c>
      <c r="L43" s="49">
        <f>AVERAGE('17.10 jinja-kampala'!L43,'18.10 Jinja-Kampala'!L43,'19.10 Jinja-Kampala-24hr'!L43,'20.10 Jinja-Kampala'!L43,'21.10 jinja-Kampala-24h'!L43,'23.10 JINJA-KAMPALA'!L43,'27.10 JINJA-KAMPALA'!L43)</f>
        <v>9</v>
      </c>
      <c r="M43" s="49">
        <f>AVERAGE('17.10 jinja-kampala'!M43,'18.10 Jinja-Kampala'!M43,'19.10 Jinja-Kampala-24hr'!M43,'20.10 Jinja-Kampala'!M43,'21.10 jinja-Kampala-24h'!M43,'23.10 JINJA-KAMPALA'!M43,'27.10 JINJA-KAMPALA'!M43)</f>
        <v>19.571428571428573</v>
      </c>
      <c r="N43" s="49">
        <f>AVERAGE('17.10 jinja-kampala'!N43,'18.10 Jinja-Kampala'!N43,'19.10 Jinja-Kampala-24hr'!N43,'20.10 Jinja-Kampala'!N43,'21.10 jinja-Kampala-24h'!N43,'23.10 JINJA-KAMPALA'!N43,'27.10 JINJA-KAMPALA'!N43)</f>
        <v>0</v>
      </c>
      <c r="O43" s="15">
        <f t="shared" si="0"/>
        <v>70.714285714285722</v>
      </c>
      <c r="P43" s="15">
        <f t="shared" si="1"/>
        <v>90.285714285714292</v>
      </c>
    </row>
    <row r="44" spans="2:32" ht="23.1" customHeight="1" x14ac:dyDescent="0.25">
      <c r="B44" s="25" t="s">
        <v>71</v>
      </c>
      <c r="C44" s="49">
        <f>AVERAGE('17.10 jinja-kampala'!C44,'18.10 Jinja-Kampala'!C44,'19.10 Jinja-Kampala-24hr'!C44,'20.10 Jinja-Kampala'!C44,'21.10 jinja-Kampala-24h'!C44,'23.10 JINJA-KAMPALA'!C44,'27.10 JINJA-KAMPALA'!C44)</f>
        <v>17.714285714285715</v>
      </c>
      <c r="D44" s="49">
        <f>AVERAGE('17.10 jinja-kampala'!D44,'18.10 Jinja-Kampala'!D44,'19.10 Jinja-Kampala-24hr'!D44,'20.10 Jinja-Kampala'!D44,'21.10 jinja-Kampala-24h'!D44,'23.10 JINJA-KAMPALA'!D44,'27.10 JINJA-KAMPALA'!D44)</f>
        <v>5.5714285714285712</v>
      </c>
      <c r="E44" s="49">
        <f>AVERAGE('17.10 jinja-kampala'!E44,'18.10 Jinja-Kampala'!E44,'19.10 Jinja-Kampala-24hr'!E44,'20.10 Jinja-Kampala'!E44,'21.10 jinja-Kampala-24h'!E44,'23.10 JINJA-KAMPALA'!E44,'27.10 JINJA-KAMPALA'!E44)</f>
        <v>6.8571428571428568</v>
      </c>
      <c r="F44" s="49">
        <f>AVERAGE('17.10 jinja-kampala'!F44,'18.10 Jinja-Kampala'!F44,'19.10 Jinja-Kampala-24hr'!F44,'20.10 Jinja-Kampala'!F44,'21.10 jinja-Kampala-24h'!F44,'23.10 JINJA-KAMPALA'!F44,'27.10 JINJA-KAMPALA'!F44)</f>
        <v>26.428571428571427</v>
      </c>
      <c r="G44" s="49">
        <f>AVERAGE('17.10 jinja-kampala'!G44,'18.10 Jinja-Kampala'!G44,'19.10 Jinja-Kampala-24hr'!G44,'20.10 Jinja-Kampala'!G44,'21.10 jinja-Kampala-24h'!G44,'23.10 JINJA-KAMPALA'!G44,'27.10 JINJA-KAMPALA'!G44)</f>
        <v>0.2857142857142857</v>
      </c>
      <c r="H44" s="49">
        <f>AVERAGE('17.10 jinja-kampala'!H44,'18.10 Jinja-Kampala'!H44,'19.10 Jinja-Kampala-24hr'!H44,'20.10 Jinja-Kampala'!H44,'21.10 jinja-Kampala-24h'!H44,'23.10 JINJA-KAMPALA'!H44,'27.10 JINJA-KAMPALA'!H44)</f>
        <v>0.7142857142857143</v>
      </c>
      <c r="I44" s="49">
        <f>AVERAGE('17.10 jinja-kampala'!I44,'18.10 Jinja-Kampala'!I44,'19.10 Jinja-Kampala-24hr'!I44,'20.10 Jinja-Kampala'!I44,'21.10 jinja-Kampala-24h'!I44,'23.10 JINJA-KAMPALA'!I44,'27.10 JINJA-KAMPALA'!I44)</f>
        <v>4.2857142857142856</v>
      </c>
      <c r="J44" s="49">
        <f>AVERAGE('17.10 jinja-kampala'!J44,'18.10 Jinja-Kampala'!J44,'19.10 Jinja-Kampala-24hr'!J44,'20.10 Jinja-Kampala'!J44,'21.10 jinja-Kampala-24h'!J44,'23.10 JINJA-KAMPALA'!J44,'27.10 JINJA-KAMPALA'!J44)</f>
        <v>6.8571428571428568</v>
      </c>
      <c r="K44" s="49">
        <f>AVERAGE('17.10 jinja-kampala'!K44,'18.10 Jinja-Kampala'!K44,'19.10 Jinja-Kampala-24hr'!K44,'20.10 Jinja-Kampala'!K44,'21.10 jinja-Kampala-24h'!K44,'23.10 JINJA-KAMPALA'!K44,'27.10 JINJA-KAMPALA'!K44)</f>
        <v>0.8571428571428571</v>
      </c>
      <c r="L44" s="49">
        <f>AVERAGE('17.10 jinja-kampala'!L44,'18.10 Jinja-Kampala'!L44,'19.10 Jinja-Kampala-24hr'!L44,'20.10 Jinja-Kampala'!L44,'21.10 jinja-Kampala-24h'!L44,'23.10 JINJA-KAMPALA'!L44,'27.10 JINJA-KAMPALA'!L44)</f>
        <v>9.7142857142857135</v>
      </c>
      <c r="M44" s="49">
        <f>AVERAGE('17.10 jinja-kampala'!M44,'18.10 Jinja-Kampala'!M44,'19.10 Jinja-Kampala-24hr'!M44,'20.10 Jinja-Kampala'!M44,'21.10 jinja-Kampala-24h'!M44,'23.10 JINJA-KAMPALA'!M44,'27.10 JINJA-KAMPALA'!M44)</f>
        <v>19.857142857142858</v>
      </c>
      <c r="N44" s="49">
        <f>AVERAGE('17.10 jinja-kampala'!N44,'18.10 Jinja-Kampala'!N44,'19.10 Jinja-Kampala-24hr'!N44,'20.10 Jinja-Kampala'!N44,'21.10 jinja-Kampala-24h'!N44,'23.10 JINJA-KAMPALA'!N44,'27.10 JINJA-KAMPALA'!N44)</f>
        <v>0</v>
      </c>
      <c r="O44" s="15">
        <f t="shared" si="0"/>
        <v>79.285714285714278</v>
      </c>
      <c r="P44" s="15">
        <f t="shared" si="1"/>
        <v>99.142857142857139</v>
      </c>
    </row>
    <row r="45" spans="2:32" ht="23.1" customHeight="1" x14ac:dyDescent="0.25">
      <c r="B45" s="23" t="s">
        <v>72</v>
      </c>
      <c r="C45" s="49">
        <f>AVERAGE('17.10 jinja-kampala'!C45,'18.10 Jinja-Kampala'!C45,'19.10 Jinja-Kampala-24hr'!C45,'20.10 Jinja-Kampala'!C45,'21.10 jinja-Kampala-24h'!C45,'23.10 JINJA-KAMPALA'!C45,'27.10 JINJA-KAMPALA'!C45)</f>
        <v>21.428571428571427</v>
      </c>
      <c r="D45" s="49">
        <f>AVERAGE('17.10 jinja-kampala'!D45,'18.10 Jinja-Kampala'!D45,'19.10 Jinja-Kampala-24hr'!D45,'20.10 Jinja-Kampala'!D45,'21.10 jinja-Kampala-24h'!D45,'23.10 JINJA-KAMPALA'!D45,'27.10 JINJA-KAMPALA'!D45)</f>
        <v>4.8571428571428568</v>
      </c>
      <c r="E45" s="49">
        <f>AVERAGE('17.10 jinja-kampala'!E45,'18.10 Jinja-Kampala'!E45,'19.10 Jinja-Kampala-24hr'!E45,'20.10 Jinja-Kampala'!E45,'21.10 jinja-Kampala-24h'!E45,'23.10 JINJA-KAMPALA'!E45,'27.10 JINJA-KAMPALA'!E45)</f>
        <v>6</v>
      </c>
      <c r="F45" s="49">
        <f>AVERAGE('17.10 jinja-kampala'!F45,'18.10 Jinja-Kampala'!F45,'19.10 Jinja-Kampala-24hr'!F45,'20.10 Jinja-Kampala'!F45,'21.10 jinja-Kampala-24h'!F45,'23.10 JINJA-KAMPALA'!F45,'27.10 JINJA-KAMPALA'!F45)</f>
        <v>29.285714285714285</v>
      </c>
      <c r="G45" s="49">
        <f>AVERAGE('17.10 jinja-kampala'!G45,'18.10 Jinja-Kampala'!G45,'19.10 Jinja-Kampala-24hr'!G45,'20.10 Jinja-Kampala'!G45,'21.10 jinja-Kampala-24h'!G45,'23.10 JINJA-KAMPALA'!G45,'27.10 JINJA-KAMPALA'!G45)</f>
        <v>0.7142857142857143</v>
      </c>
      <c r="H45" s="49">
        <f>AVERAGE('17.10 jinja-kampala'!H45,'18.10 Jinja-Kampala'!H45,'19.10 Jinja-Kampala-24hr'!H45,'20.10 Jinja-Kampala'!H45,'21.10 jinja-Kampala-24h'!H45,'23.10 JINJA-KAMPALA'!H45,'27.10 JINJA-KAMPALA'!H45)</f>
        <v>0.42857142857142855</v>
      </c>
      <c r="I45" s="49">
        <f>AVERAGE('17.10 jinja-kampala'!I45,'18.10 Jinja-Kampala'!I45,'19.10 Jinja-Kampala-24hr'!I45,'20.10 Jinja-Kampala'!I45,'21.10 jinja-Kampala-24h'!I45,'23.10 JINJA-KAMPALA'!I45,'27.10 JINJA-KAMPALA'!I45)</f>
        <v>4</v>
      </c>
      <c r="J45" s="49">
        <f>AVERAGE('17.10 jinja-kampala'!J45,'18.10 Jinja-Kampala'!J45,'19.10 Jinja-Kampala-24hr'!J45,'20.10 Jinja-Kampala'!J45,'21.10 jinja-Kampala-24h'!J45,'23.10 JINJA-KAMPALA'!J45,'27.10 JINJA-KAMPALA'!J45)</f>
        <v>8.4285714285714288</v>
      </c>
      <c r="K45" s="49">
        <f>AVERAGE('17.10 jinja-kampala'!K45,'18.10 Jinja-Kampala'!K45,'19.10 Jinja-Kampala-24hr'!K45,'20.10 Jinja-Kampala'!K45,'21.10 jinja-Kampala-24h'!K45,'23.10 JINJA-KAMPALA'!K45,'27.10 JINJA-KAMPALA'!K45)</f>
        <v>1</v>
      </c>
      <c r="L45" s="49">
        <f>AVERAGE('17.10 jinja-kampala'!L45,'18.10 Jinja-Kampala'!L45,'19.10 Jinja-Kampala-24hr'!L45,'20.10 Jinja-Kampala'!L45,'21.10 jinja-Kampala-24h'!L45,'23.10 JINJA-KAMPALA'!L45,'27.10 JINJA-KAMPALA'!L45)</f>
        <v>8.8571428571428577</v>
      </c>
      <c r="M45" s="49">
        <f>AVERAGE('17.10 jinja-kampala'!M45,'18.10 Jinja-Kampala'!M45,'19.10 Jinja-Kampala-24hr'!M45,'20.10 Jinja-Kampala'!M45,'21.10 jinja-Kampala-24h'!M45,'23.10 JINJA-KAMPALA'!M45,'27.10 JINJA-KAMPALA'!M45)</f>
        <v>21.142857142857142</v>
      </c>
      <c r="N45" s="49">
        <f>AVERAGE('17.10 jinja-kampala'!N45,'18.10 Jinja-Kampala'!N45,'19.10 Jinja-Kampala-24hr'!N45,'20.10 Jinja-Kampala'!N45,'21.10 jinja-Kampala-24h'!N45,'23.10 JINJA-KAMPALA'!N45,'27.10 JINJA-KAMPALA'!N45)</f>
        <v>4.1428571428571432</v>
      </c>
      <c r="O45" s="15">
        <f t="shared" si="0"/>
        <v>89.142857142857153</v>
      </c>
      <c r="P45" s="15">
        <f t="shared" si="1"/>
        <v>110.28571428571429</v>
      </c>
    </row>
    <row r="46" spans="2:32" ht="23.1" customHeight="1" x14ac:dyDescent="0.25">
      <c r="B46" s="24" t="s">
        <v>73</v>
      </c>
      <c r="C46" s="49">
        <f>AVERAGE('17.10 jinja-kampala'!C46,'18.10 Jinja-Kampala'!C46,'19.10 Jinja-Kampala-24hr'!C46,'20.10 Jinja-Kampala'!C46,'21.10 jinja-Kampala-24h'!C46,'23.10 JINJA-KAMPALA'!C46,'27.10 JINJA-KAMPALA'!C46)</f>
        <v>16.857142857142858</v>
      </c>
      <c r="D46" s="49">
        <f>AVERAGE('17.10 jinja-kampala'!D46,'18.10 Jinja-Kampala'!D46,'19.10 Jinja-Kampala-24hr'!D46,'20.10 Jinja-Kampala'!D46,'21.10 jinja-Kampala-24h'!D46,'23.10 JINJA-KAMPALA'!D46,'27.10 JINJA-KAMPALA'!D46)</f>
        <v>6.5714285714285712</v>
      </c>
      <c r="E46" s="49">
        <f>AVERAGE('17.10 jinja-kampala'!E46,'18.10 Jinja-Kampala'!E46,'19.10 Jinja-Kampala-24hr'!E46,'20.10 Jinja-Kampala'!E46,'21.10 jinja-Kampala-24h'!E46,'23.10 JINJA-KAMPALA'!E46,'27.10 JINJA-KAMPALA'!E46)</f>
        <v>4.2857142857142856</v>
      </c>
      <c r="F46" s="49">
        <f>AVERAGE('17.10 jinja-kampala'!F46,'18.10 Jinja-Kampala'!F46,'19.10 Jinja-Kampala-24hr'!F46,'20.10 Jinja-Kampala'!F46,'21.10 jinja-Kampala-24h'!F46,'23.10 JINJA-KAMPALA'!F46,'27.10 JINJA-KAMPALA'!F46)</f>
        <v>29.428571428571427</v>
      </c>
      <c r="G46" s="49">
        <f>AVERAGE('17.10 jinja-kampala'!G46,'18.10 Jinja-Kampala'!G46,'19.10 Jinja-Kampala-24hr'!G46,'20.10 Jinja-Kampala'!G46,'21.10 jinja-Kampala-24h'!G46,'23.10 JINJA-KAMPALA'!G46,'27.10 JINJA-KAMPALA'!G46)</f>
        <v>0.5714285714285714</v>
      </c>
      <c r="H46" s="49">
        <f>AVERAGE('17.10 jinja-kampala'!H46,'18.10 Jinja-Kampala'!H46,'19.10 Jinja-Kampala-24hr'!H46,'20.10 Jinja-Kampala'!H46,'21.10 jinja-Kampala-24h'!H46,'23.10 JINJA-KAMPALA'!H46,'27.10 JINJA-KAMPALA'!H46)</f>
        <v>1</v>
      </c>
      <c r="I46" s="49">
        <f>AVERAGE('17.10 jinja-kampala'!I46,'18.10 Jinja-Kampala'!I46,'19.10 Jinja-Kampala-24hr'!I46,'20.10 Jinja-Kampala'!I46,'21.10 jinja-Kampala-24h'!I46,'23.10 JINJA-KAMPALA'!I46,'27.10 JINJA-KAMPALA'!I46)</f>
        <v>3.5714285714285716</v>
      </c>
      <c r="J46" s="49">
        <f>AVERAGE('17.10 jinja-kampala'!J46,'18.10 Jinja-Kampala'!J46,'19.10 Jinja-Kampala-24hr'!J46,'20.10 Jinja-Kampala'!J46,'21.10 jinja-Kampala-24h'!J46,'23.10 JINJA-KAMPALA'!J46,'27.10 JINJA-KAMPALA'!J46)</f>
        <v>7.1428571428571432</v>
      </c>
      <c r="K46" s="49">
        <f>AVERAGE('17.10 jinja-kampala'!K46,'18.10 Jinja-Kampala'!K46,'19.10 Jinja-Kampala-24hr'!K46,'20.10 Jinja-Kampala'!K46,'21.10 jinja-Kampala-24h'!K46,'23.10 JINJA-KAMPALA'!K46,'27.10 JINJA-KAMPALA'!K46)</f>
        <v>1</v>
      </c>
      <c r="L46" s="49">
        <f>AVERAGE('17.10 jinja-kampala'!L46,'18.10 Jinja-Kampala'!L46,'19.10 Jinja-Kampala-24hr'!L46,'20.10 Jinja-Kampala'!L46,'21.10 jinja-Kampala-24h'!L46,'23.10 JINJA-KAMPALA'!L46,'27.10 JINJA-KAMPALA'!L46)</f>
        <v>10.571428571428571</v>
      </c>
      <c r="M46" s="49">
        <f>AVERAGE('17.10 jinja-kampala'!M46,'18.10 Jinja-Kampala'!M46,'19.10 Jinja-Kampala-24hr'!M46,'20.10 Jinja-Kampala'!M46,'21.10 jinja-Kampala-24h'!M46,'23.10 JINJA-KAMPALA'!M46,'27.10 JINJA-KAMPALA'!M46)</f>
        <v>26.571428571428573</v>
      </c>
      <c r="N46" s="49">
        <f>AVERAGE('17.10 jinja-kampala'!N46,'18.10 Jinja-Kampala'!N46,'19.10 Jinja-Kampala-24hr'!N46,'20.10 Jinja-Kampala'!N46,'21.10 jinja-Kampala-24h'!N46,'23.10 JINJA-KAMPALA'!N46,'27.10 JINJA-KAMPALA'!N46)</f>
        <v>0</v>
      </c>
      <c r="O46" s="15">
        <f t="shared" si="0"/>
        <v>80.999999999999986</v>
      </c>
      <c r="P46" s="15">
        <f t="shared" si="1"/>
        <v>107.57142857142856</v>
      </c>
      <c r="R46" s="8"/>
      <c r="T46"/>
    </row>
    <row r="47" spans="2:32" ht="23.1" customHeight="1" x14ac:dyDescent="0.25">
      <c r="B47" s="24" t="s">
        <v>74</v>
      </c>
      <c r="C47" s="49">
        <f>AVERAGE('17.10 jinja-kampala'!C47,'18.10 Jinja-Kampala'!C47,'19.10 Jinja-Kampala-24hr'!C47,'20.10 Jinja-Kampala'!C47,'21.10 jinja-Kampala-24h'!C47,'23.10 JINJA-KAMPALA'!C47,'27.10 JINJA-KAMPALA'!C47)</f>
        <v>17.285714285714285</v>
      </c>
      <c r="D47" s="49">
        <f>AVERAGE('17.10 jinja-kampala'!D47,'18.10 Jinja-Kampala'!D47,'19.10 Jinja-Kampala-24hr'!D47,'20.10 Jinja-Kampala'!D47,'21.10 jinja-Kampala-24h'!D47,'23.10 JINJA-KAMPALA'!D47,'27.10 JINJA-KAMPALA'!D47)</f>
        <v>7.4285714285714288</v>
      </c>
      <c r="E47" s="49">
        <f>AVERAGE('17.10 jinja-kampala'!E47,'18.10 Jinja-Kampala'!E47,'19.10 Jinja-Kampala-24hr'!E47,'20.10 Jinja-Kampala'!E47,'21.10 jinja-Kampala-24h'!E47,'23.10 JINJA-KAMPALA'!E47,'27.10 JINJA-KAMPALA'!E47)</f>
        <v>5.8571428571428568</v>
      </c>
      <c r="F47" s="49">
        <f>AVERAGE('17.10 jinja-kampala'!F47,'18.10 Jinja-Kampala'!F47,'19.10 Jinja-Kampala-24hr'!F47,'20.10 Jinja-Kampala'!F47,'21.10 jinja-Kampala-24h'!F47,'23.10 JINJA-KAMPALA'!F47,'27.10 JINJA-KAMPALA'!F47)</f>
        <v>30.285714285714285</v>
      </c>
      <c r="G47" s="49">
        <f>AVERAGE('17.10 jinja-kampala'!G47,'18.10 Jinja-Kampala'!G47,'19.10 Jinja-Kampala-24hr'!G47,'20.10 Jinja-Kampala'!G47,'21.10 jinja-Kampala-24h'!G47,'23.10 JINJA-KAMPALA'!G47,'27.10 JINJA-KAMPALA'!G47)</f>
        <v>1</v>
      </c>
      <c r="H47" s="49">
        <f>AVERAGE('17.10 jinja-kampala'!H47,'18.10 Jinja-Kampala'!H47,'19.10 Jinja-Kampala-24hr'!H47,'20.10 Jinja-Kampala'!H47,'21.10 jinja-Kampala-24h'!H47,'23.10 JINJA-KAMPALA'!H47,'27.10 JINJA-KAMPALA'!H47)</f>
        <v>0.42857142857142855</v>
      </c>
      <c r="I47" s="49">
        <f>AVERAGE('17.10 jinja-kampala'!I47,'18.10 Jinja-Kampala'!I47,'19.10 Jinja-Kampala-24hr'!I47,'20.10 Jinja-Kampala'!I47,'21.10 jinja-Kampala-24h'!I47,'23.10 JINJA-KAMPALA'!I47,'27.10 JINJA-KAMPALA'!I47)</f>
        <v>3.8571428571428572</v>
      </c>
      <c r="J47" s="49">
        <f>AVERAGE('17.10 jinja-kampala'!J47,'18.10 Jinja-Kampala'!J47,'19.10 Jinja-Kampala-24hr'!J47,'20.10 Jinja-Kampala'!J47,'21.10 jinja-Kampala-24h'!J47,'23.10 JINJA-KAMPALA'!J47,'27.10 JINJA-KAMPALA'!J47)</f>
        <v>5.1428571428571432</v>
      </c>
      <c r="K47" s="49">
        <f>AVERAGE('17.10 jinja-kampala'!K47,'18.10 Jinja-Kampala'!K47,'19.10 Jinja-Kampala-24hr'!K47,'20.10 Jinja-Kampala'!K47,'21.10 jinja-Kampala-24h'!K47,'23.10 JINJA-KAMPALA'!K47,'27.10 JINJA-KAMPALA'!K47)</f>
        <v>2.1428571428571428</v>
      </c>
      <c r="L47" s="49">
        <f>AVERAGE('17.10 jinja-kampala'!L47,'18.10 Jinja-Kampala'!L47,'19.10 Jinja-Kampala-24hr'!L47,'20.10 Jinja-Kampala'!L47,'21.10 jinja-Kampala-24h'!L47,'23.10 JINJA-KAMPALA'!L47,'27.10 JINJA-KAMPALA'!L47)</f>
        <v>10.571428571428571</v>
      </c>
      <c r="M47" s="49">
        <f>AVERAGE('17.10 jinja-kampala'!M47,'18.10 Jinja-Kampala'!M47,'19.10 Jinja-Kampala-24hr'!M47,'20.10 Jinja-Kampala'!M47,'21.10 jinja-Kampala-24h'!M47,'23.10 JINJA-KAMPALA'!M47,'27.10 JINJA-KAMPALA'!M47)</f>
        <v>23.428571428571427</v>
      </c>
      <c r="N47" s="49">
        <f>AVERAGE('17.10 jinja-kampala'!N47,'18.10 Jinja-Kampala'!N47,'19.10 Jinja-Kampala-24hr'!N47,'20.10 Jinja-Kampala'!N47,'21.10 jinja-Kampala-24h'!N47,'23.10 JINJA-KAMPALA'!N47,'27.10 JINJA-KAMPALA'!N47)</f>
        <v>0</v>
      </c>
      <c r="O47" s="15">
        <f t="shared" si="0"/>
        <v>84</v>
      </c>
      <c r="P47" s="15">
        <f t="shared" si="1"/>
        <v>107.42857142857143</v>
      </c>
      <c r="R47" s="8"/>
      <c r="T47"/>
    </row>
    <row r="48" spans="2:32" ht="23.1" customHeight="1" x14ac:dyDescent="0.25">
      <c r="B48" s="24" t="s">
        <v>75</v>
      </c>
      <c r="C48" s="49">
        <f>AVERAGE('17.10 jinja-kampala'!C48,'18.10 Jinja-Kampala'!C48,'19.10 Jinja-Kampala-24hr'!C48,'20.10 Jinja-Kampala'!C48,'21.10 jinja-Kampala-24h'!C48,'23.10 JINJA-KAMPALA'!C48,'27.10 JINJA-KAMPALA'!C48)</f>
        <v>15.142857142857142</v>
      </c>
      <c r="D48" s="49">
        <f>AVERAGE('17.10 jinja-kampala'!D48,'18.10 Jinja-Kampala'!D48,'19.10 Jinja-Kampala-24hr'!D48,'20.10 Jinja-Kampala'!D48,'21.10 jinja-Kampala-24h'!D48,'23.10 JINJA-KAMPALA'!D48,'27.10 JINJA-KAMPALA'!D48)</f>
        <v>6.7142857142857144</v>
      </c>
      <c r="E48" s="49">
        <f>AVERAGE('17.10 jinja-kampala'!E48,'18.10 Jinja-Kampala'!E48,'19.10 Jinja-Kampala-24hr'!E48,'20.10 Jinja-Kampala'!E48,'21.10 jinja-Kampala-24h'!E48,'23.10 JINJA-KAMPALA'!E48,'27.10 JINJA-KAMPALA'!E48)</f>
        <v>6.4285714285714288</v>
      </c>
      <c r="F48" s="49">
        <f>AVERAGE('17.10 jinja-kampala'!F48,'18.10 Jinja-Kampala'!F48,'19.10 Jinja-Kampala-24hr'!F48,'20.10 Jinja-Kampala'!F48,'21.10 jinja-Kampala-24h'!F48,'23.10 JINJA-KAMPALA'!F48,'27.10 JINJA-KAMPALA'!F48)</f>
        <v>30.285714285714285</v>
      </c>
      <c r="G48" s="49">
        <f>AVERAGE('17.10 jinja-kampala'!G48,'18.10 Jinja-Kampala'!G48,'19.10 Jinja-Kampala-24hr'!G48,'20.10 Jinja-Kampala'!G48,'21.10 jinja-Kampala-24h'!G48,'23.10 JINJA-KAMPALA'!G48,'27.10 JINJA-KAMPALA'!G48)</f>
        <v>1.1428571428571428</v>
      </c>
      <c r="H48" s="49">
        <f>AVERAGE('17.10 jinja-kampala'!H48,'18.10 Jinja-Kampala'!H48,'19.10 Jinja-Kampala-24hr'!H48,'20.10 Jinja-Kampala'!H48,'21.10 jinja-Kampala-24h'!H48,'23.10 JINJA-KAMPALA'!H48,'27.10 JINJA-KAMPALA'!H48)</f>
        <v>0.14285714285714285</v>
      </c>
      <c r="I48" s="49">
        <f>AVERAGE('17.10 jinja-kampala'!I48,'18.10 Jinja-Kampala'!I48,'19.10 Jinja-Kampala-24hr'!I48,'20.10 Jinja-Kampala'!I48,'21.10 jinja-Kampala-24h'!I48,'23.10 JINJA-KAMPALA'!I48,'27.10 JINJA-KAMPALA'!I48)</f>
        <v>3.5714285714285716</v>
      </c>
      <c r="J48" s="49">
        <f>AVERAGE('17.10 jinja-kampala'!J48,'18.10 Jinja-Kampala'!J48,'19.10 Jinja-Kampala-24hr'!J48,'20.10 Jinja-Kampala'!J48,'21.10 jinja-Kampala-24h'!J48,'23.10 JINJA-KAMPALA'!J48,'27.10 JINJA-KAMPALA'!J48)</f>
        <v>6.8571428571428568</v>
      </c>
      <c r="K48" s="49">
        <f>AVERAGE('17.10 jinja-kampala'!K48,'18.10 Jinja-Kampala'!K48,'19.10 Jinja-Kampala-24hr'!K48,'20.10 Jinja-Kampala'!K48,'21.10 jinja-Kampala-24h'!K48,'23.10 JINJA-KAMPALA'!K48,'27.10 JINJA-KAMPALA'!K48)</f>
        <v>1</v>
      </c>
      <c r="L48" s="49">
        <f>AVERAGE('17.10 jinja-kampala'!L48,'18.10 Jinja-Kampala'!L48,'19.10 Jinja-Kampala-24hr'!L48,'20.10 Jinja-Kampala'!L48,'21.10 jinja-Kampala-24h'!L48,'23.10 JINJA-KAMPALA'!L48,'27.10 JINJA-KAMPALA'!L48)</f>
        <v>13.285714285714286</v>
      </c>
      <c r="M48" s="49">
        <f>AVERAGE('17.10 jinja-kampala'!M48,'18.10 Jinja-Kampala'!M48,'19.10 Jinja-Kampala-24hr'!M48,'20.10 Jinja-Kampala'!M48,'21.10 jinja-Kampala-24h'!M48,'23.10 JINJA-KAMPALA'!M48,'27.10 JINJA-KAMPALA'!M48)</f>
        <v>24.428571428571427</v>
      </c>
      <c r="N48" s="49">
        <f>AVERAGE('17.10 jinja-kampala'!N48,'18.10 Jinja-Kampala'!N48,'19.10 Jinja-Kampala-24hr'!N48,'20.10 Jinja-Kampala'!N48,'21.10 jinja-Kampala-24h'!N48,'23.10 JINJA-KAMPALA'!N48,'27.10 JINJA-KAMPALA'!N48)</f>
        <v>0</v>
      </c>
      <c r="O48" s="15">
        <f t="shared" si="0"/>
        <v>84.571428571428584</v>
      </c>
      <c r="P48" s="15">
        <f t="shared" si="1"/>
        <v>109.00000000000001</v>
      </c>
      <c r="R48" s="8"/>
      <c r="T48"/>
    </row>
    <row r="49" spans="2:20" ht="23.1" customHeight="1" x14ac:dyDescent="0.25">
      <c r="B49" s="23" t="s">
        <v>76</v>
      </c>
      <c r="C49" s="49">
        <f>AVERAGE('17.10 jinja-kampala'!C49,'18.10 Jinja-Kampala'!C49,'19.10 Jinja-Kampala-24hr'!C49,'20.10 Jinja-Kampala'!C49,'21.10 jinja-Kampala-24h'!C49,'23.10 JINJA-KAMPALA'!C49,'27.10 JINJA-KAMPALA'!C49)</f>
        <v>19.142857142857142</v>
      </c>
      <c r="D49" s="49">
        <f>AVERAGE('17.10 jinja-kampala'!D49,'18.10 Jinja-Kampala'!D49,'19.10 Jinja-Kampala-24hr'!D49,'20.10 Jinja-Kampala'!D49,'21.10 jinja-Kampala-24h'!D49,'23.10 JINJA-KAMPALA'!D49,'27.10 JINJA-KAMPALA'!D49)</f>
        <v>3.8571428571428572</v>
      </c>
      <c r="E49" s="49">
        <f>AVERAGE('17.10 jinja-kampala'!E49,'18.10 Jinja-Kampala'!E49,'19.10 Jinja-Kampala-24hr'!E49,'20.10 Jinja-Kampala'!E49,'21.10 jinja-Kampala-24h'!E49,'23.10 JINJA-KAMPALA'!E49,'27.10 JINJA-KAMPALA'!E49)</f>
        <v>4.5714285714285712</v>
      </c>
      <c r="F49" s="49">
        <f>AVERAGE('17.10 jinja-kampala'!F49,'18.10 Jinja-Kampala'!F49,'19.10 Jinja-Kampala-24hr'!F49,'20.10 Jinja-Kampala'!F49,'21.10 jinja-Kampala-24h'!F49,'23.10 JINJA-KAMPALA'!F49,'27.10 JINJA-KAMPALA'!F49)</f>
        <v>29.857142857142858</v>
      </c>
      <c r="G49" s="49">
        <f>AVERAGE('17.10 jinja-kampala'!G49,'18.10 Jinja-Kampala'!G49,'19.10 Jinja-Kampala-24hr'!G49,'20.10 Jinja-Kampala'!G49,'21.10 jinja-Kampala-24h'!G49,'23.10 JINJA-KAMPALA'!G49,'27.10 JINJA-KAMPALA'!G49)</f>
        <v>1.2857142857142858</v>
      </c>
      <c r="H49" s="49">
        <f>AVERAGE('17.10 jinja-kampala'!H49,'18.10 Jinja-Kampala'!H49,'19.10 Jinja-Kampala-24hr'!H49,'20.10 Jinja-Kampala'!H49,'21.10 jinja-Kampala-24h'!H49,'23.10 JINJA-KAMPALA'!H49,'27.10 JINJA-KAMPALA'!H49)</f>
        <v>0.8571428571428571</v>
      </c>
      <c r="I49" s="49">
        <f>AVERAGE('17.10 jinja-kampala'!I49,'18.10 Jinja-Kampala'!I49,'19.10 Jinja-Kampala-24hr'!I49,'20.10 Jinja-Kampala'!I49,'21.10 jinja-Kampala-24h'!I49,'23.10 JINJA-KAMPALA'!I49,'27.10 JINJA-KAMPALA'!I49)</f>
        <v>4.5714285714285712</v>
      </c>
      <c r="J49" s="49">
        <f>AVERAGE('17.10 jinja-kampala'!J49,'18.10 Jinja-Kampala'!J49,'19.10 Jinja-Kampala-24hr'!J49,'20.10 Jinja-Kampala'!J49,'21.10 jinja-Kampala-24h'!J49,'23.10 JINJA-KAMPALA'!J49,'27.10 JINJA-KAMPALA'!J49)</f>
        <v>7</v>
      </c>
      <c r="K49" s="49">
        <f>AVERAGE('17.10 jinja-kampala'!K49,'18.10 Jinja-Kampala'!K49,'19.10 Jinja-Kampala-24hr'!K49,'20.10 Jinja-Kampala'!K49,'21.10 jinja-Kampala-24h'!K49,'23.10 JINJA-KAMPALA'!K49,'27.10 JINJA-KAMPALA'!K49)</f>
        <v>1.7142857142857142</v>
      </c>
      <c r="L49" s="49">
        <f>AVERAGE('17.10 jinja-kampala'!L49,'18.10 Jinja-Kampala'!L49,'19.10 Jinja-Kampala-24hr'!L49,'20.10 Jinja-Kampala'!L49,'21.10 jinja-Kampala-24h'!L49,'23.10 JINJA-KAMPALA'!L49,'27.10 JINJA-KAMPALA'!L49)</f>
        <v>11.571428571428571</v>
      </c>
      <c r="M49" s="49">
        <f>AVERAGE('17.10 jinja-kampala'!M49,'18.10 Jinja-Kampala'!M49,'19.10 Jinja-Kampala-24hr'!M49,'20.10 Jinja-Kampala'!M49,'21.10 jinja-Kampala-24h'!M49,'23.10 JINJA-KAMPALA'!M49,'27.10 JINJA-KAMPALA'!M49)</f>
        <v>27.142857142857142</v>
      </c>
      <c r="N49" s="49">
        <f>AVERAGE('17.10 jinja-kampala'!N49,'18.10 Jinja-Kampala'!N49,'19.10 Jinja-Kampala-24hr'!N49,'20.10 Jinja-Kampala'!N49,'21.10 jinja-Kampala-24h'!N49,'23.10 JINJA-KAMPALA'!N49,'27.10 JINJA-KAMPALA'!N49)</f>
        <v>0</v>
      </c>
      <c r="O49" s="15">
        <f t="shared" si="0"/>
        <v>84.428571428571416</v>
      </c>
      <c r="P49" s="15">
        <f t="shared" si="1"/>
        <v>111.57142857142856</v>
      </c>
      <c r="R49" s="8"/>
      <c r="T49"/>
    </row>
    <row r="50" spans="2:20" ht="23.1" customHeight="1" x14ac:dyDescent="0.25">
      <c r="B50" s="24" t="s">
        <v>77</v>
      </c>
      <c r="C50" s="49">
        <f>AVERAGE('17.10 jinja-kampala'!C50,'18.10 Jinja-Kampala'!C50,'19.10 Jinja-Kampala-24hr'!C50,'20.10 Jinja-Kampala'!C50,'21.10 jinja-Kampala-24h'!C50,'23.10 JINJA-KAMPALA'!C50,'27.10 JINJA-KAMPALA'!C50)</f>
        <v>18.857142857142858</v>
      </c>
      <c r="D50" s="49">
        <f>AVERAGE('17.10 jinja-kampala'!D50,'18.10 Jinja-Kampala'!D50,'19.10 Jinja-Kampala-24hr'!D50,'20.10 Jinja-Kampala'!D50,'21.10 jinja-Kampala-24h'!D50,'23.10 JINJA-KAMPALA'!D50,'27.10 JINJA-KAMPALA'!D50)</f>
        <v>5.8571428571428568</v>
      </c>
      <c r="E50" s="49">
        <f>AVERAGE('17.10 jinja-kampala'!E50,'18.10 Jinja-Kampala'!E50,'19.10 Jinja-Kampala-24hr'!E50,'20.10 Jinja-Kampala'!E50,'21.10 jinja-Kampala-24h'!E50,'23.10 JINJA-KAMPALA'!E50,'27.10 JINJA-KAMPALA'!E50)</f>
        <v>4.5714285714285712</v>
      </c>
      <c r="F50" s="49">
        <f>AVERAGE('17.10 jinja-kampala'!F50,'18.10 Jinja-Kampala'!F50,'19.10 Jinja-Kampala-24hr'!F50,'20.10 Jinja-Kampala'!F50,'21.10 jinja-Kampala-24h'!F50,'23.10 JINJA-KAMPALA'!F50,'27.10 JINJA-KAMPALA'!F50)</f>
        <v>34</v>
      </c>
      <c r="G50" s="49">
        <f>AVERAGE('17.10 jinja-kampala'!G50,'18.10 Jinja-Kampala'!G50,'19.10 Jinja-Kampala-24hr'!G50,'20.10 Jinja-Kampala'!G50,'21.10 jinja-Kampala-24h'!G50,'23.10 JINJA-KAMPALA'!G50,'27.10 JINJA-KAMPALA'!G50)</f>
        <v>1.4285714285714286</v>
      </c>
      <c r="H50" s="49">
        <f>AVERAGE('17.10 jinja-kampala'!H50,'18.10 Jinja-Kampala'!H50,'19.10 Jinja-Kampala-24hr'!H50,'20.10 Jinja-Kampala'!H50,'21.10 jinja-Kampala-24h'!H50,'23.10 JINJA-KAMPALA'!H50,'27.10 JINJA-KAMPALA'!H50)</f>
        <v>0.7142857142857143</v>
      </c>
      <c r="I50" s="49">
        <f>AVERAGE('17.10 jinja-kampala'!I50,'18.10 Jinja-Kampala'!I50,'19.10 Jinja-Kampala-24hr'!I50,'20.10 Jinja-Kampala'!I50,'21.10 jinja-Kampala-24h'!I50,'23.10 JINJA-KAMPALA'!I50,'27.10 JINJA-KAMPALA'!I50)</f>
        <v>5.1428571428571432</v>
      </c>
      <c r="J50" s="49">
        <f>AVERAGE('17.10 jinja-kampala'!J50,'18.10 Jinja-Kampala'!J50,'19.10 Jinja-Kampala-24hr'!J50,'20.10 Jinja-Kampala'!J50,'21.10 jinja-Kampala-24h'!J50,'23.10 JINJA-KAMPALA'!J50,'27.10 JINJA-KAMPALA'!J50)</f>
        <v>6.1428571428571432</v>
      </c>
      <c r="K50" s="49">
        <f>AVERAGE('17.10 jinja-kampala'!K50,'18.10 Jinja-Kampala'!K50,'19.10 Jinja-Kampala-24hr'!K50,'20.10 Jinja-Kampala'!K50,'21.10 jinja-Kampala-24h'!K50,'23.10 JINJA-KAMPALA'!K50,'27.10 JINJA-KAMPALA'!K50)</f>
        <v>1.2857142857142858</v>
      </c>
      <c r="L50" s="49">
        <f>AVERAGE('17.10 jinja-kampala'!L50,'18.10 Jinja-Kampala'!L50,'19.10 Jinja-Kampala-24hr'!L50,'20.10 Jinja-Kampala'!L50,'21.10 jinja-Kampala-24h'!L50,'23.10 JINJA-KAMPALA'!L50,'27.10 JINJA-KAMPALA'!L50)</f>
        <v>13</v>
      </c>
      <c r="M50" s="49">
        <f>AVERAGE('17.10 jinja-kampala'!M50,'18.10 Jinja-Kampala'!M50,'19.10 Jinja-Kampala-24hr'!M50,'20.10 Jinja-Kampala'!M50,'21.10 jinja-Kampala-24h'!M50,'23.10 JINJA-KAMPALA'!M50,'27.10 JINJA-KAMPALA'!M50)</f>
        <v>25.285714285714285</v>
      </c>
      <c r="N50" s="49">
        <f>AVERAGE('17.10 jinja-kampala'!N50,'18.10 Jinja-Kampala'!N50,'19.10 Jinja-Kampala-24hr'!N50,'20.10 Jinja-Kampala'!N50,'21.10 jinja-Kampala-24h'!N50,'23.10 JINJA-KAMPALA'!N50,'27.10 JINJA-KAMPALA'!N50)</f>
        <v>0</v>
      </c>
      <c r="O50" s="15">
        <f t="shared" si="0"/>
        <v>90.999999999999986</v>
      </c>
      <c r="P50" s="15">
        <f t="shared" si="1"/>
        <v>116.28571428571428</v>
      </c>
      <c r="R50" s="8"/>
      <c r="T50"/>
    </row>
    <row r="51" spans="2:20" ht="23.1" customHeight="1" x14ac:dyDescent="0.25">
      <c r="B51" s="24" t="s">
        <v>78</v>
      </c>
      <c r="C51" s="49">
        <f>AVERAGE('17.10 jinja-kampala'!C51,'18.10 Jinja-Kampala'!C51,'19.10 Jinja-Kampala-24hr'!C51,'20.10 Jinja-Kampala'!C51,'21.10 jinja-Kampala-24h'!C51,'23.10 JINJA-KAMPALA'!C51,'27.10 JINJA-KAMPALA'!C51)</f>
        <v>19.142857142857142</v>
      </c>
      <c r="D51" s="49">
        <f>AVERAGE('17.10 jinja-kampala'!D51,'18.10 Jinja-Kampala'!D51,'19.10 Jinja-Kampala-24hr'!D51,'20.10 Jinja-Kampala'!D51,'21.10 jinja-Kampala-24h'!D51,'23.10 JINJA-KAMPALA'!D51,'27.10 JINJA-KAMPALA'!D51)</f>
        <v>7.8571428571428568</v>
      </c>
      <c r="E51" s="49">
        <f>AVERAGE('17.10 jinja-kampala'!E51,'18.10 Jinja-Kampala'!E51,'19.10 Jinja-Kampala-24hr'!E51,'20.10 Jinja-Kampala'!E51,'21.10 jinja-Kampala-24h'!E51,'23.10 JINJA-KAMPALA'!E51,'27.10 JINJA-KAMPALA'!E51)</f>
        <v>4.4285714285714288</v>
      </c>
      <c r="F51" s="49">
        <f>AVERAGE('17.10 jinja-kampala'!F51,'18.10 Jinja-Kampala'!F51,'19.10 Jinja-Kampala-24hr'!F51,'20.10 Jinja-Kampala'!F51,'21.10 jinja-Kampala-24h'!F51,'23.10 JINJA-KAMPALA'!F51,'27.10 JINJA-KAMPALA'!F51)</f>
        <v>27.857142857142858</v>
      </c>
      <c r="G51" s="49">
        <f>AVERAGE('17.10 jinja-kampala'!G51,'18.10 Jinja-Kampala'!G51,'19.10 Jinja-Kampala-24hr'!G51,'20.10 Jinja-Kampala'!G51,'21.10 jinja-Kampala-24h'!G51,'23.10 JINJA-KAMPALA'!G51,'27.10 JINJA-KAMPALA'!G51)</f>
        <v>1.2857142857142858</v>
      </c>
      <c r="H51" s="49">
        <f>AVERAGE('17.10 jinja-kampala'!H51,'18.10 Jinja-Kampala'!H51,'19.10 Jinja-Kampala-24hr'!H51,'20.10 Jinja-Kampala'!H51,'21.10 jinja-Kampala-24h'!H51,'23.10 JINJA-KAMPALA'!H51,'27.10 JINJA-KAMPALA'!H51)</f>
        <v>0.7142857142857143</v>
      </c>
      <c r="I51" s="49">
        <f>AVERAGE('17.10 jinja-kampala'!I51,'18.10 Jinja-Kampala'!I51,'19.10 Jinja-Kampala-24hr'!I51,'20.10 Jinja-Kampala'!I51,'21.10 jinja-Kampala-24h'!I51,'23.10 JINJA-KAMPALA'!I51,'27.10 JINJA-KAMPALA'!I51)</f>
        <v>4.5714285714285712</v>
      </c>
      <c r="J51" s="49">
        <f>AVERAGE('17.10 jinja-kampala'!J51,'18.10 Jinja-Kampala'!J51,'19.10 Jinja-Kampala-24hr'!J51,'20.10 Jinja-Kampala'!J51,'21.10 jinja-Kampala-24h'!J51,'23.10 JINJA-KAMPALA'!J51,'27.10 JINJA-KAMPALA'!J51)</f>
        <v>5.8571428571428568</v>
      </c>
      <c r="K51" s="49">
        <f>AVERAGE('17.10 jinja-kampala'!K51,'18.10 Jinja-Kampala'!K51,'19.10 Jinja-Kampala-24hr'!K51,'20.10 Jinja-Kampala'!K51,'21.10 jinja-Kampala-24h'!K51,'23.10 JINJA-KAMPALA'!K51,'27.10 JINJA-KAMPALA'!K51)</f>
        <v>1.8571428571428572</v>
      </c>
      <c r="L51" s="49">
        <f>AVERAGE('17.10 jinja-kampala'!L51,'18.10 Jinja-Kampala'!L51,'19.10 Jinja-Kampala-24hr'!L51,'20.10 Jinja-Kampala'!L51,'21.10 jinja-Kampala-24h'!L51,'23.10 JINJA-KAMPALA'!L51,'27.10 JINJA-KAMPALA'!L51)</f>
        <v>10.142857142857142</v>
      </c>
      <c r="M51" s="49">
        <f>AVERAGE('17.10 jinja-kampala'!M51,'18.10 Jinja-Kampala'!M51,'19.10 Jinja-Kampala-24hr'!M51,'20.10 Jinja-Kampala'!M51,'21.10 jinja-Kampala-24h'!M51,'23.10 JINJA-KAMPALA'!M51,'27.10 JINJA-KAMPALA'!M51)</f>
        <v>27.285714285714285</v>
      </c>
      <c r="N51" s="49">
        <f>AVERAGE('17.10 jinja-kampala'!N51,'18.10 Jinja-Kampala'!N51,'19.10 Jinja-Kampala-24hr'!N51,'20.10 Jinja-Kampala'!N51,'21.10 jinja-Kampala-24h'!N51,'23.10 JINJA-KAMPALA'!N51,'27.10 JINJA-KAMPALA'!N51)</f>
        <v>0</v>
      </c>
      <c r="O51" s="15">
        <f t="shared" si="0"/>
        <v>83.714285714285722</v>
      </c>
      <c r="P51" s="15">
        <f t="shared" si="1"/>
        <v>111</v>
      </c>
      <c r="R51" s="8"/>
      <c r="T51"/>
    </row>
    <row r="52" spans="2:20" ht="23.1" customHeight="1" x14ac:dyDescent="0.25">
      <c r="B52" s="24" t="s">
        <v>79</v>
      </c>
      <c r="C52" s="49">
        <f>AVERAGE('17.10 jinja-kampala'!C52,'18.10 Jinja-Kampala'!C52,'19.10 Jinja-Kampala-24hr'!C52,'20.10 Jinja-Kampala'!C52,'21.10 jinja-Kampala-24h'!C52,'23.10 JINJA-KAMPALA'!C52,'27.10 JINJA-KAMPALA'!C52)</f>
        <v>17.428571428571427</v>
      </c>
      <c r="D52" s="49">
        <f>AVERAGE('17.10 jinja-kampala'!D52,'18.10 Jinja-Kampala'!D52,'19.10 Jinja-Kampala-24hr'!D52,'20.10 Jinja-Kampala'!D52,'21.10 jinja-Kampala-24h'!D52,'23.10 JINJA-KAMPALA'!D52,'27.10 JINJA-KAMPALA'!D52)</f>
        <v>7.1428571428571432</v>
      </c>
      <c r="E52" s="49">
        <f>AVERAGE('17.10 jinja-kampala'!E52,'18.10 Jinja-Kampala'!E52,'19.10 Jinja-Kampala-24hr'!E52,'20.10 Jinja-Kampala'!E52,'21.10 jinja-Kampala-24h'!E52,'23.10 JINJA-KAMPALA'!E52,'27.10 JINJA-KAMPALA'!E52)</f>
        <v>4.2857142857142856</v>
      </c>
      <c r="F52" s="49">
        <f>AVERAGE('17.10 jinja-kampala'!F52,'18.10 Jinja-Kampala'!F52,'19.10 Jinja-Kampala-24hr'!F52,'20.10 Jinja-Kampala'!F52,'21.10 jinja-Kampala-24h'!F52,'23.10 JINJA-KAMPALA'!F52,'27.10 JINJA-KAMPALA'!F52)</f>
        <v>36.142857142857146</v>
      </c>
      <c r="G52" s="49">
        <f>AVERAGE('17.10 jinja-kampala'!G52,'18.10 Jinja-Kampala'!G52,'19.10 Jinja-Kampala-24hr'!G52,'20.10 Jinja-Kampala'!G52,'21.10 jinja-Kampala-24h'!G52,'23.10 JINJA-KAMPALA'!G52,'27.10 JINJA-KAMPALA'!G52)</f>
        <v>1</v>
      </c>
      <c r="H52" s="49">
        <f>AVERAGE('17.10 jinja-kampala'!H52,'18.10 Jinja-Kampala'!H52,'19.10 Jinja-Kampala-24hr'!H52,'20.10 Jinja-Kampala'!H52,'21.10 jinja-Kampala-24h'!H52,'23.10 JINJA-KAMPALA'!H52,'27.10 JINJA-KAMPALA'!H52)</f>
        <v>1.2857142857142858</v>
      </c>
      <c r="I52" s="49">
        <f>AVERAGE('17.10 jinja-kampala'!I52,'18.10 Jinja-Kampala'!I52,'19.10 Jinja-Kampala-24hr'!I52,'20.10 Jinja-Kampala'!I52,'21.10 jinja-Kampala-24h'!I52,'23.10 JINJA-KAMPALA'!I52,'27.10 JINJA-KAMPALA'!I52)</f>
        <v>4</v>
      </c>
      <c r="J52" s="49">
        <f>AVERAGE('17.10 jinja-kampala'!J52,'18.10 Jinja-Kampala'!J52,'19.10 Jinja-Kampala-24hr'!J52,'20.10 Jinja-Kampala'!J52,'21.10 jinja-Kampala-24h'!J52,'23.10 JINJA-KAMPALA'!J52,'27.10 JINJA-KAMPALA'!J52)</f>
        <v>7.2857142857142856</v>
      </c>
      <c r="K52" s="49">
        <f>AVERAGE('17.10 jinja-kampala'!K52,'18.10 Jinja-Kampala'!K52,'19.10 Jinja-Kampala-24hr'!K52,'20.10 Jinja-Kampala'!K52,'21.10 jinja-Kampala-24h'!K52,'23.10 JINJA-KAMPALA'!K52,'27.10 JINJA-KAMPALA'!K52)</f>
        <v>1.8571428571428572</v>
      </c>
      <c r="L52" s="49">
        <f>AVERAGE('17.10 jinja-kampala'!L52,'18.10 Jinja-Kampala'!L52,'19.10 Jinja-Kampala-24hr'!L52,'20.10 Jinja-Kampala'!L52,'21.10 jinja-Kampala-24h'!L52,'23.10 JINJA-KAMPALA'!L52,'27.10 JINJA-KAMPALA'!L52)</f>
        <v>10</v>
      </c>
      <c r="M52" s="49">
        <f>AVERAGE('17.10 jinja-kampala'!M52,'18.10 Jinja-Kampala'!M52,'19.10 Jinja-Kampala-24hr'!M52,'20.10 Jinja-Kampala'!M52,'21.10 jinja-Kampala-24h'!M52,'23.10 JINJA-KAMPALA'!M52,'27.10 JINJA-KAMPALA'!M52)</f>
        <v>26.428571428571427</v>
      </c>
      <c r="N52" s="49">
        <f>AVERAGE('17.10 jinja-kampala'!N52,'18.10 Jinja-Kampala'!N52,'19.10 Jinja-Kampala-24hr'!N52,'20.10 Jinja-Kampala'!N52,'21.10 jinja-Kampala-24h'!N52,'23.10 JINJA-KAMPALA'!N52,'27.10 JINJA-KAMPALA'!N52)</f>
        <v>0.14285714285714285</v>
      </c>
      <c r="O52" s="15">
        <f t="shared" si="0"/>
        <v>90.571428571428584</v>
      </c>
      <c r="P52" s="15">
        <f t="shared" si="1"/>
        <v>117.00000000000001</v>
      </c>
      <c r="R52" s="8"/>
      <c r="T52"/>
    </row>
    <row r="53" spans="2:20" ht="23.1" customHeight="1" x14ac:dyDescent="0.25">
      <c r="B53" s="23" t="s">
        <v>80</v>
      </c>
      <c r="C53" s="49">
        <f>AVERAGE('17.10 jinja-kampala'!C53,'18.10 Jinja-Kampala'!C53,'19.10 Jinja-Kampala-24hr'!C53,'20.10 Jinja-Kampala'!C53,'21.10 jinja-Kampala-24h'!C53,'23.10 JINJA-KAMPALA'!C53,'27.10 JINJA-KAMPALA'!C53)</f>
        <v>18.428571428571427</v>
      </c>
      <c r="D53" s="49">
        <f>AVERAGE('17.10 jinja-kampala'!D53,'18.10 Jinja-Kampala'!D53,'19.10 Jinja-Kampala-24hr'!D53,'20.10 Jinja-Kampala'!D53,'21.10 jinja-Kampala-24h'!D53,'23.10 JINJA-KAMPALA'!D53,'27.10 JINJA-KAMPALA'!D53)</f>
        <v>6.7142857142857144</v>
      </c>
      <c r="E53" s="49">
        <f>AVERAGE('17.10 jinja-kampala'!E53,'18.10 Jinja-Kampala'!E53,'19.10 Jinja-Kampala-24hr'!E53,'20.10 Jinja-Kampala'!E53,'21.10 jinja-Kampala-24h'!E53,'23.10 JINJA-KAMPALA'!E53,'27.10 JINJA-KAMPALA'!E53)</f>
        <v>3.8571428571428572</v>
      </c>
      <c r="F53" s="49">
        <f>AVERAGE('17.10 jinja-kampala'!F53,'18.10 Jinja-Kampala'!F53,'19.10 Jinja-Kampala-24hr'!F53,'20.10 Jinja-Kampala'!F53,'21.10 jinja-Kampala-24h'!F53,'23.10 JINJA-KAMPALA'!F53,'27.10 JINJA-KAMPALA'!F53)</f>
        <v>31.857142857142858</v>
      </c>
      <c r="G53" s="49">
        <f>AVERAGE('17.10 jinja-kampala'!G53,'18.10 Jinja-Kampala'!G53,'19.10 Jinja-Kampala-24hr'!G53,'20.10 Jinja-Kampala'!G53,'21.10 jinja-Kampala-24h'!G53,'23.10 JINJA-KAMPALA'!G53,'27.10 JINJA-KAMPALA'!G53)</f>
        <v>2</v>
      </c>
      <c r="H53" s="49">
        <f>AVERAGE('17.10 jinja-kampala'!H53,'18.10 Jinja-Kampala'!H53,'19.10 Jinja-Kampala-24hr'!H53,'20.10 Jinja-Kampala'!H53,'21.10 jinja-Kampala-24h'!H53,'23.10 JINJA-KAMPALA'!H53,'27.10 JINJA-KAMPALA'!H53)</f>
        <v>1.2857142857142858</v>
      </c>
      <c r="I53" s="49">
        <f>AVERAGE('17.10 jinja-kampala'!I53,'18.10 Jinja-Kampala'!I53,'19.10 Jinja-Kampala-24hr'!I53,'20.10 Jinja-Kampala'!I53,'21.10 jinja-Kampala-24h'!I53,'23.10 JINJA-KAMPALA'!I53,'27.10 JINJA-KAMPALA'!I53)</f>
        <v>4.1428571428571432</v>
      </c>
      <c r="J53" s="49">
        <f>AVERAGE('17.10 jinja-kampala'!J53,'18.10 Jinja-Kampala'!J53,'19.10 Jinja-Kampala-24hr'!J53,'20.10 Jinja-Kampala'!J53,'21.10 jinja-Kampala-24h'!J53,'23.10 JINJA-KAMPALA'!J53,'27.10 JINJA-KAMPALA'!J53)</f>
        <v>6.8571428571428568</v>
      </c>
      <c r="K53" s="49">
        <f>AVERAGE('17.10 jinja-kampala'!K53,'18.10 Jinja-Kampala'!K53,'19.10 Jinja-Kampala-24hr'!K53,'20.10 Jinja-Kampala'!K53,'21.10 jinja-Kampala-24h'!K53,'23.10 JINJA-KAMPALA'!K53,'27.10 JINJA-KAMPALA'!K53)</f>
        <v>1.7142857142857142</v>
      </c>
      <c r="L53" s="49">
        <f>AVERAGE('17.10 jinja-kampala'!L53,'18.10 Jinja-Kampala'!L53,'19.10 Jinja-Kampala-24hr'!L53,'20.10 Jinja-Kampala'!L53,'21.10 jinja-Kampala-24h'!L53,'23.10 JINJA-KAMPALA'!L53,'27.10 JINJA-KAMPALA'!L53)</f>
        <v>7.2857142857142856</v>
      </c>
      <c r="M53" s="49">
        <f>AVERAGE('17.10 jinja-kampala'!M53,'18.10 Jinja-Kampala'!M53,'19.10 Jinja-Kampala-24hr'!M53,'20.10 Jinja-Kampala'!M53,'21.10 jinja-Kampala-24h'!M53,'23.10 JINJA-KAMPALA'!M53,'27.10 JINJA-KAMPALA'!M53)</f>
        <v>24.142857142857142</v>
      </c>
      <c r="N53" s="49">
        <f>AVERAGE('17.10 jinja-kampala'!N53,'18.10 Jinja-Kampala'!N53,'19.10 Jinja-Kampala-24hr'!N53,'20.10 Jinja-Kampala'!N53,'21.10 jinja-Kampala-24h'!N53,'23.10 JINJA-KAMPALA'!N53,'27.10 JINJA-KAMPALA'!N53)</f>
        <v>0</v>
      </c>
      <c r="O53" s="15">
        <f t="shared" si="0"/>
        <v>84.142857142857153</v>
      </c>
      <c r="P53" s="15">
        <f t="shared" si="1"/>
        <v>108.28571428571429</v>
      </c>
      <c r="R53" s="8"/>
      <c r="T53"/>
    </row>
    <row r="54" spans="2:20" ht="23.1" customHeight="1" x14ac:dyDescent="0.25">
      <c r="B54" s="23" t="s">
        <v>81</v>
      </c>
      <c r="C54" s="49">
        <f>AVERAGE('17.10 jinja-kampala'!C54,'18.10 Jinja-Kampala'!C54,'19.10 Jinja-Kampala-24hr'!C54,'20.10 Jinja-Kampala'!C54,'21.10 jinja-Kampala-24h'!C54,'23.10 JINJA-KAMPALA'!C54,'27.10 JINJA-KAMPALA'!C54)</f>
        <v>23.285714285714285</v>
      </c>
      <c r="D54" s="49">
        <f>AVERAGE('17.10 jinja-kampala'!D54,'18.10 Jinja-Kampala'!D54,'19.10 Jinja-Kampala-24hr'!D54,'20.10 Jinja-Kampala'!D54,'21.10 jinja-Kampala-24h'!D54,'23.10 JINJA-KAMPALA'!D54,'27.10 JINJA-KAMPALA'!D54)</f>
        <v>8.2857142857142865</v>
      </c>
      <c r="E54" s="49">
        <f>AVERAGE('17.10 jinja-kampala'!E54,'18.10 Jinja-Kampala'!E54,'19.10 Jinja-Kampala-24hr'!E54,'20.10 Jinja-Kampala'!E54,'21.10 jinja-Kampala-24h'!E54,'23.10 JINJA-KAMPALA'!E54,'27.10 JINJA-KAMPALA'!E54)</f>
        <v>4</v>
      </c>
      <c r="F54" s="49">
        <f>AVERAGE('17.10 jinja-kampala'!F54,'18.10 Jinja-Kampala'!F54,'19.10 Jinja-Kampala-24hr'!F54,'20.10 Jinja-Kampala'!F54,'21.10 jinja-Kampala-24h'!F54,'23.10 JINJA-KAMPALA'!F54,'27.10 JINJA-KAMPALA'!F54)</f>
        <v>37.571428571428569</v>
      </c>
      <c r="G54" s="49">
        <f>AVERAGE('17.10 jinja-kampala'!G54,'18.10 Jinja-Kampala'!G54,'19.10 Jinja-Kampala-24hr'!G54,'20.10 Jinja-Kampala'!G54,'21.10 jinja-Kampala-24h'!G54,'23.10 JINJA-KAMPALA'!G54,'27.10 JINJA-KAMPALA'!G54)</f>
        <v>2.4285714285714284</v>
      </c>
      <c r="H54" s="49">
        <f>AVERAGE('17.10 jinja-kampala'!H54,'18.10 Jinja-Kampala'!H54,'19.10 Jinja-Kampala-24hr'!H54,'20.10 Jinja-Kampala'!H54,'21.10 jinja-Kampala-24h'!H54,'23.10 JINJA-KAMPALA'!H54,'27.10 JINJA-KAMPALA'!H54)</f>
        <v>0.42857142857142855</v>
      </c>
      <c r="I54" s="49">
        <f>AVERAGE('17.10 jinja-kampala'!I54,'18.10 Jinja-Kampala'!I54,'19.10 Jinja-Kampala-24hr'!I54,'20.10 Jinja-Kampala'!I54,'21.10 jinja-Kampala-24h'!I54,'23.10 JINJA-KAMPALA'!I54,'27.10 JINJA-KAMPALA'!I54)</f>
        <v>5.1428571428571432</v>
      </c>
      <c r="J54" s="49">
        <f>AVERAGE('17.10 jinja-kampala'!J54,'18.10 Jinja-Kampala'!J54,'19.10 Jinja-Kampala-24hr'!J54,'20.10 Jinja-Kampala'!J54,'21.10 jinja-Kampala-24h'!J54,'23.10 JINJA-KAMPALA'!J54,'27.10 JINJA-KAMPALA'!J54)</f>
        <v>8.8571428571428577</v>
      </c>
      <c r="K54" s="49">
        <f>AVERAGE('17.10 jinja-kampala'!K54,'18.10 Jinja-Kampala'!K54,'19.10 Jinja-Kampala-24hr'!K54,'20.10 Jinja-Kampala'!K54,'21.10 jinja-Kampala-24h'!K54,'23.10 JINJA-KAMPALA'!K54,'27.10 JINJA-KAMPALA'!K54)</f>
        <v>2.2857142857142856</v>
      </c>
      <c r="L54" s="49">
        <f>AVERAGE('17.10 jinja-kampala'!L54,'18.10 Jinja-Kampala'!L54,'19.10 Jinja-Kampala-24hr'!L54,'20.10 Jinja-Kampala'!L54,'21.10 jinja-Kampala-24h'!L54,'23.10 JINJA-KAMPALA'!L54,'27.10 JINJA-KAMPALA'!L54)</f>
        <v>11.857142857142858</v>
      </c>
      <c r="M54" s="49">
        <f>AVERAGE('17.10 jinja-kampala'!M54,'18.10 Jinja-Kampala'!M54,'19.10 Jinja-Kampala-24hr'!M54,'20.10 Jinja-Kampala'!M54,'21.10 jinja-Kampala-24h'!M54,'23.10 JINJA-KAMPALA'!M54,'27.10 JINJA-KAMPALA'!M54)</f>
        <v>24.428571428571427</v>
      </c>
      <c r="N54" s="49">
        <f>AVERAGE('17.10 jinja-kampala'!N54,'18.10 Jinja-Kampala'!N54,'19.10 Jinja-Kampala-24hr'!N54,'20.10 Jinja-Kampala'!N54,'21.10 jinja-Kampala-24h'!N54,'23.10 JINJA-KAMPALA'!N54,'27.10 JINJA-KAMPALA'!N54)</f>
        <v>0</v>
      </c>
      <c r="O54" s="15">
        <f t="shared" si="0"/>
        <v>104.14285714285715</v>
      </c>
      <c r="P54" s="15">
        <f t="shared" si="1"/>
        <v>128.57142857142858</v>
      </c>
      <c r="R54" s="8"/>
      <c r="T54"/>
    </row>
    <row r="55" spans="2:20" ht="23.1" customHeight="1" x14ac:dyDescent="0.25">
      <c r="B55" s="23" t="s">
        <v>82</v>
      </c>
      <c r="C55" s="49">
        <f>AVERAGE('17.10 jinja-kampala'!C55,'18.10 Jinja-Kampala'!C55,'19.10 Jinja-Kampala-24hr'!C55,'20.10 Jinja-Kampala'!C55,'21.10 jinja-Kampala-24h'!C55,'23.10 JINJA-KAMPALA'!C55,'27.10 JINJA-KAMPALA'!C55)</f>
        <v>24</v>
      </c>
      <c r="D55" s="49">
        <f>AVERAGE('17.10 jinja-kampala'!D55,'18.10 Jinja-Kampala'!D55,'19.10 Jinja-Kampala-24hr'!D55,'20.10 Jinja-Kampala'!D55,'21.10 jinja-Kampala-24h'!D55,'23.10 JINJA-KAMPALA'!D55,'27.10 JINJA-KAMPALA'!D55)</f>
        <v>4.1428571428571432</v>
      </c>
      <c r="E55" s="49">
        <f>AVERAGE('17.10 jinja-kampala'!E55,'18.10 Jinja-Kampala'!E55,'19.10 Jinja-Kampala-24hr'!E55,'20.10 Jinja-Kampala'!E55,'21.10 jinja-Kampala-24h'!E55,'23.10 JINJA-KAMPALA'!E55,'27.10 JINJA-KAMPALA'!E55)</f>
        <v>6.4285714285714288</v>
      </c>
      <c r="F55" s="49">
        <f>AVERAGE('17.10 jinja-kampala'!F55,'18.10 Jinja-Kampala'!F55,'19.10 Jinja-Kampala-24hr'!F55,'20.10 Jinja-Kampala'!F55,'21.10 jinja-Kampala-24h'!F55,'23.10 JINJA-KAMPALA'!F55,'27.10 JINJA-KAMPALA'!F55)</f>
        <v>33.428571428571431</v>
      </c>
      <c r="G55" s="49">
        <f>AVERAGE('17.10 jinja-kampala'!G55,'18.10 Jinja-Kampala'!G55,'19.10 Jinja-Kampala-24hr'!G55,'20.10 Jinja-Kampala'!G55,'21.10 jinja-Kampala-24h'!G55,'23.10 JINJA-KAMPALA'!G55,'27.10 JINJA-KAMPALA'!G55)</f>
        <v>1.8571428571428572</v>
      </c>
      <c r="H55" s="49">
        <f>AVERAGE('17.10 jinja-kampala'!H55,'18.10 Jinja-Kampala'!H55,'19.10 Jinja-Kampala-24hr'!H55,'20.10 Jinja-Kampala'!H55,'21.10 jinja-Kampala-24h'!H55,'23.10 JINJA-KAMPALA'!H55,'27.10 JINJA-KAMPALA'!H55)</f>
        <v>0.8571428571428571</v>
      </c>
      <c r="I55" s="49">
        <f>AVERAGE('17.10 jinja-kampala'!I55,'18.10 Jinja-Kampala'!I55,'19.10 Jinja-Kampala-24hr'!I55,'20.10 Jinja-Kampala'!I55,'21.10 jinja-Kampala-24h'!I55,'23.10 JINJA-KAMPALA'!I55,'27.10 JINJA-KAMPALA'!I55)</f>
        <v>4</v>
      </c>
      <c r="J55" s="49">
        <f>AVERAGE('17.10 jinja-kampala'!J55,'18.10 Jinja-Kampala'!J55,'19.10 Jinja-Kampala-24hr'!J55,'20.10 Jinja-Kampala'!J55,'21.10 jinja-Kampala-24h'!J55,'23.10 JINJA-KAMPALA'!J55,'27.10 JINJA-KAMPALA'!J55)</f>
        <v>6.8571428571428568</v>
      </c>
      <c r="K55" s="49">
        <f>AVERAGE('17.10 jinja-kampala'!K55,'18.10 Jinja-Kampala'!K55,'19.10 Jinja-Kampala-24hr'!K55,'20.10 Jinja-Kampala'!K55,'21.10 jinja-Kampala-24h'!K55,'23.10 JINJA-KAMPALA'!K55,'27.10 JINJA-KAMPALA'!K55)</f>
        <v>3</v>
      </c>
      <c r="L55" s="49">
        <f>AVERAGE('17.10 jinja-kampala'!L55,'18.10 Jinja-Kampala'!L55,'19.10 Jinja-Kampala-24hr'!L55,'20.10 Jinja-Kampala'!L55,'21.10 jinja-Kampala-24h'!L55,'23.10 JINJA-KAMPALA'!L55,'27.10 JINJA-KAMPALA'!L55)</f>
        <v>9</v>
      </c>
      <c r="M55" s="49">
        <f>AVERAGE('17.10 jinja-kampala'!M55,'18.10 Jinja-Kampala'!M55,'19.10 Jinja-Kampala-24hr'!M55,'20.10 Jinja-Kampala'!M55,'21.10 jinja-Kampala-24h'!M55,'23.10 JINJA-KAMPALA'!M55,'27.10 JINJA-KAMPALA'!M55)</f>
        <v>26</v>
      </c>
      <c r="N55" s="49">
        <f>AVERAGE('17.10 jinja-kampala'!N55,'18.10 Jinja-Kampala'!N55,'19.10 Jinja-Kampala-24hr'!N55,'20.10 Jinja-Kampala'!N55,'21.10 jinja-Kampala-24h'!N55,'23.10 JINJA-KAMPALA'!N55,'27.10 JINJA-KAMPALA'!N55)</f>
        <v>0</v>
      </c>
      <c r="O55" s="15">
        <f t="shared" si="0"/>
        <v>93.571428571428584</v>
      </c>
      <c r="P55" s="15">
        <f t="shared" si="1"/>
        <v>119.57142857142858</v>
      </c>
      <c r="R55" s="8"/>
      <c r="T55"/>
    </row>
    <row r="56" spans="2:20" ht="23.1" customHeight="1" x14ac:dyDescent="0.25">
      <c r="B56" s="23" t="s">
        <v>83</v>
      </c>
      <c r="C56" s="49">
        <f>AVERAGE('17.10 jinja-kampala'!C56,'18.10 Jinja-Kampala'!C56,'19.10 Jinja-Kampala-24hr'!C56,'20.10 Jinja-Kampala'!C56,'21.10 jinja-Kampala-24h'!C56,'23.10 JINJA-KAMPALA'!C56,'27.10 JINJA-KAMPALA'!C56)</f>
        <v>23.142857142857142</v>
      </c>
      <c r="D56" s="49">
        <f>AVERAGE('17.10 jinja-kampala'!D56,'18.10 Jinja-Kampala'!D56,'19.10 Jinja-Kampala-24hr'!D56,'20.10 Jinja-Kampala'!D56,'21.10 jinja-Kampala-24h'!D56,'23.10 JINJA-KAMPALA'!D56,'27.10 JINJA-KAMPALA'!D56)</f>
        <v>7.5714285714285712</v>
      </c>
      <c r="E56" s="49">
        <f>AVERAGE('17.10 jinja-kampala'!E56,'18.10 Jinja-Kampala'!E56,'19.10 Jinja-Kampala-24hr'!E56,'20.10 Jinja-Kampala'!E56,'21.10 jinja-Kampala-24h'!E56,'23.10 JINJA-KAMPALA'!E56,'27.10 JINJA-KAMPALA'!E56)</f>
        <v>5.1428571428571432</v>
      </c>
      <c r="F56" s="49">
        <f>AVERAGE('17.10 jinja-kampala'!F56,'18.10 Jinja-Kampala'!F56,'19.10 Jinja-Kampala-24hr'!F56,'20.10 Jinja-Kampala'!F56,'21.10 jinja-Kampala-24h'!F56,'23.10 JINJA-KAMPALA'!F56,'27.10 JINJA-KAMPALA'!F56)</f>
        <v>30.142857142857142</v>
      </c>
      <c r="G56" s="49">
        <f>AVERAGE('17.10 jinja-kampala'!G56,'18.10 Jinja-Kampala'!G56,'19.10 Jinja-Kampala-24hr'!G56,'20.10 Jinja-Kampala'!G56,'21.10 jinja-Kampala-24h'!G56,'23.10 JINJA-KAMPALA'!G56,'27.10 JINJA-KAMPALA'!G56)</f>
        <v>1.8571428571428572</v>
      </c>
      <c r="H56" s="49">
        <f>AVERAGE('17.10 jinja-kampala'!H56,'18.10 Jinja-Kampala'!H56,'19.10 Jinja-Kampala-24hr'!H56,'20.10 Jinja-Kampala'!H56,'21.10 jinja-Kampala-24h'!H56,'23.10 JINJA-KAMPALA'!H56,'27.10 JINJA-KAMPALA'!H56)</f>
        <v>0.7142857142857143</v>
      </c>
      <c r="I56" s="49">
        <f>AVERAGE('17.10 jinja-kampala'!I56,'18.10 Jinja-Kampala'!I56,'19.10 Jinja-Kampala-24hr'!I56,'20.10 Jinja-Kampala'!I56,'21.10 jinja-Kampala-24h'!I56,'23.10 JINJA-KAMPALA'!I56,'27.10 JINJA-KAMPALA'!I56)</f>
        <v>4.8571428571428568</v>
      </c>
      <c r="J56" s="49">
        <f>AVERAGE('17.10 jinja-kampala'!J56,'18.10 Jinja-Kampala'!J56,'19.10 Jinja-Kampala-24hr'!J56,'20.10 Jinja-Kampala'!J56,'21.10 jinja-Kampala-24h'!J56,'23.10 JINJA-KAMPALA'!J56,'27.10 JINJA-KAMPALA'!J56)</f>
        <v>4.7142857142857144</v>
      </c>
      <c r="K56" s="49">
        <f>AVERAGE('17.10 jinja-kampala'!K56,'18.10 Jinja-Kampala'!K56,'19.10 Jinja-Kampala-24hr'!K56,'20.10 Jinja-Kampala'!K56,'21.10 jinja-Kampala-24h'!K56,'23.10 JINJA-KAMPALA'!K56,'27.10 JINJA-KAMPALA'!K56)</f>
        <v>1.7142857142857142</v>
      </c>
      <c r="L56" s="49">
        <f>AVERAGE('17.10 jinja-kampala'!L56,'18.10 Jinja-Kampala'!L56,'19.10 Jinja-Kampala-24hr'!L56,'20.10 Jinja-Kampala'!L56,'21.10 jinja-Kampala-24h'!L56,'23.10 JINJA-KAMPALA'!L56,'27.10 JINJA-KAMPALA'!L56)</f>
        <v>9.1428571428571423</v>
      </c>
      <c r="M56" s="49">
        <f>AVERAGE('17.10 jinja-kampala'!M56,'18.10 Jinja-Kampala'!M56,'19.10 Jinja-Kampala-24hr'!M56,'20.10 Jinja-Kampala'!M56,'21.10 jinja-Kampala-24h'!M56,'23.10 JINJA-KAMPALA'!M56,'27.10 JINJA-KAMPALA'!M56)</f>
        <v>23.285714285714285</v>
      </c>
      <c r="N56" s="49">
        <f>AVERAGE('17.10 jinja-kampala'!N56,'18.10 Jinja-Kampala'!N56,'19.10 Jinja-Kampala-24hr'!N56,'20.10 Jinja-Kampala'!N56,'21.10 jinja-Kampala-24h'!N56,'23.10 JINJA-KAMPALA'!N56,'27.10 JINJA-KAMPALA'!N56)</f>
        <v>0</v>
      </c>
      <c r="O56" s="15">
        <f t="shared" si="0"/>
        <v>88.999999999999986</v>
      </c>
      <c r="P56" s="15">
        <f t="shared" si="1"/>
        <v>112.28571428571428</v>
      </c>
      <c r="R56" s="8"/>
      <c r="T56"/>
    </row>
    <row r="57" spans="2:20" ht="23.1" customHeight="1" x14ac:dyDescent="0.25">
      <c r="B57" s="23" t="s">
        <v>84</v>
      </c>
      <c r="C57" s="49">
        <f>AVERAGE('17.10 jinja-kampala'!C57,'18.10 Jinja-Kampala'!C57,'19.10 Jinja-Kampala-24hr'!C57,'20.10 Jinja-Kampala'!C57,'21.10 jinja-Kampala-24h'!C57,'23.10 JINJA-KAMPALA'!C57,'27.10 JINJA-KAMPALA'!C57)</f>
        <v>14</v>
      </c>
      <c r="D57" s="49">
        <f>AVERAGE('17.10 jinja-kampala'!D57,'18.10 Jinja-Kampala'!D57,'19.10 Jinja-Kampala-24hr'!D57,'20.10 Jinja-Kampala'!D57,'21.10 jinja-Kampala-24h'!D57,'23.10 JINJA-KAMPALA'!D57,'27.10 JINJA-KAMPALA'!D57)</f>
        <v>4.5714285714285712</v>
      </c>
      <c r="E57" s="49">
        <f>AVERAGE('17.10 jinja-kampala'!E57,'18.10 Jinja-Kampala'!E57,'19.10 Jinja-Kampala-24hr'!E57,'20.10 Jinja-Kampala'!E57,'21.10 jinja-Kampala-24h'!E57,'23.10 JINJA-KAMPALA'!E57,'27.10 JINJA-KAMPALA'!E57)</f>
        <v>2.5714285714285716</v>
      </c>
      <c r="F57" s="49">
        <f>AVERAGE('17.10 jinja-kampala'!F57,'18.10 Jinja-Kampala'!F57,'19.10 Jinja-Kampala-24hr'!F57,'20.10 Jinja-Kampala'!F57,'21.10 jinja-Kampala-24h'!F57,'23.10 JINJA-KAMPALA'!F57,'27.10 JINJA-KAMPALA'!F57)</f>
        <v>24.285714285714285</v>
      </c>
      <c r="G57" s="49">
        <f>AVERAGE('17.10 jinja-kampala'!G57,'18.10 Jinja-Kampala'!G57,'19.10 Jinja-Kampala-24hr'!G57,'20.10 Jinja-Kampala'!G57,'21.10 jinja-Kampala-24h'!G57,'23.10 JINJA-KAMPALA'!G57,'27.10 JINJA-KAMPALA'!G57)</f>
        <v>1.7142857142857142</v>
      </c>
      <c r="H57" s="49">
        <f>AVERAGE('17.10 jinja-kampala'!H57,'18.10 Jinja-Kampala'!H57,'19.10 Jinja-Kampala-24hr'!H57,'20.10 Jinja-Kampala'!H57,'21.10 jinja-Kampala-24h'!H57,'23.10 JINJA-KAMPALA'!H57,'27.10 JINJA-KAMPALA'!H57)</f>
        <v>0</v>
      </c>
      <c r="I57" s="49">
        <f>AVERAGE('17.10 jinja-kampala'!I57,'18.10 Jinja-Kampala'!I57,'19.10 Jinja-Kampala-24hr'!I57,'20.10 Jinja-Kampala'!I57,'21.10 jinja-Kampala-24h'!I57,'23.10 JINJA-KAMPALA'!I57,'27.10 JINJA-KAMPALA'!I57)</f>
        <v>3.4285714285714284</v>
      </c>
      <c r="J57" s="49">
        <f>AVERAGE('17.10 jinja-kampala'!J57,'18.10 Jinja-Kampala'!J57,'19.10 Jinja-Kampala-24hr'!J57,'20.10 Jinja-Kampala'!J57,'21.10 jinja-Kampala-24h'!J57,'23.10 JINJA-KAMPALA'!J57,'27.10 JINJA-KAMPALA'!J57)</f>
        <v>3.4285714285714284</v>
      </c>
      <c r="K57" s="49">
        <f>AVERAGE('17.10 jinja-kampala'!K57,'18.10 Jinja-Kampala'!K57,'19.10 Jinja-Kampala-24hr'!K57,'20.10 Jinja-Kampala'!K57,'21.10 jinja-Kampala-24h'!K57,'23.10 JINJA-KAMPALA'!K57,'27.10 JINJA-KAMPALA'!K57)</f>
        <v>2.1428571428571428</v>
      </c>
      <c r="L57" s="49">
        <f>AVERAGE('17.10 jinja-kampala'!L57,'18.10 Jinja-Kampala'!L57,'19.10 Jinja-Kampala-24hr'!L57,'20.10 Jinja-Kampala'!L57,'21.10 jinja-Kampala-24h'!L57,'23.10 JINJA-KAMPALA'!L57,'27.10 JINJA-KAMPALA'!L57)</f>
        <v>6.4285714285714288</v>
      </c>
      <c r="M57" s="49">
        <f>AVERAGE('17.10 jinja-kampala'!M57,'18.10 Jinja-Kampala'!M57,'19.10 Jinja-Kampala-24hr'!M57,'20.10 Jinja-Kampala'!M57,'21.10 jinja-Kampala-24h'!M57,'23.10 JINJA-KAMPALA'!M57,'27.10 JINJA-KAMPALA'!M57)</f>
        <v>21.333333333333332</v>
      </c>
      <c r="N57" s="49">
        <f>AVERAGE('17.10 jinja-kampala'!N57,'18.10 Jinja-Kampala'!N57,'19.10 Jinja-Kampala-24hr'!N57,'20.10 Jinja-Kampala'!N57,'21.10 jinja-Kampala-24h'!N57,'23.10 JINJA-KAMPALA'!N57,'27.10 JINJA-KAMPALA'!N57)</f>
        <v>0</v>
      </c>
      <c r="O57" s="15">
        <f t="shared" si="0"/>
        <v>62.571428571428584</v>
      </c>
      <c r="P57" s="15">
        <f t="shared" si="1"/>
        <v>83.904761904761912</v>
      </c>
      <c r="R57" s="8"/>
      <c r="T57"/>
    </row>
    <row r="58" spans="2:20" ht="23.1" customHeight="1" x14ac:dyDescent="0.25">
      <c r="B58" s="23" t="s">
        <v>99</v>
      </c>
      <c r="C58" s="49">
        <f>AVERAGE('19.10 Jinja-Kampala-24hr'!C58,'21.10 jinja-Kampala-24h'!C58)</f>
        <v>14</v>
      </c>
      <c r="D58" s="49">
        <f>AVERAGE('19.10 Jinja-Kampala-24hr'!D58,'21.10 jinja-Kampala-24h'!D58)</f>
        <v>5</v>
      </c>
      <c r="E58" s="49">
        <f>AVERAGE('19.10 Jinja-Kampala-24hr'!E58,'21.10 jinja-Kampala-24h'!E58)</f>
        <v>4</v>
      </c>
      <c r="F58" s="49">
        <f>AVERAGE('19.10 Jinja-Kampala-24hr'!F58,'21.10 jinja-Kampala-24h'!F58)</f>
        <v>18.5</v>
      </c>
      <c r="G58" s="49">
        <f>AVERAGE('19.10 Jinja-Kampala-24hr'!G58,'21.10 jinja-Kampala-24h'!G58)</f>
        <v>0.5</v>
      </c>
      <c r="H58" s="49">
        <f>AVERAGE('19.10 Jinja-Kampala-24hr'!H58,'21.10 jinja-Kampala-24h'!H58)</f>
        <v>0</v>
      </c>
      <c r="I58" s="49">
        <f>AVERAGE('19.10 Jinja-Kampala-24hr'!I58,'21.10 jinja-Kampala-24h'!I58)</f>
        <v>0.5</v>
      </c>
      <c r="J58" s="49">
        <f>AVERAGE('19.10 Jinja-Kampala-24hr'!J58,'21.10 jinja-Kampala-24h'!J58)</f>
        <v>2</v>
      </c>
      <c r="K58" s="49">
        <f>AVERAGE('19.10 Jinja-Kampala-24hr'!K58,'21.10 jinja-Kampala-24h'!K58)</f>
        <v>3.5</v>
      </c>
      <c r="L58" s="49">
        <f>AVERAGE('19.10 Jinja-Kampala-24hr'!L58,'21.10 jinja-Kampala-24h'!L58)</f>
        <v>4</v>
      </c>
      <c r="M58" s="49">
        <f>AVERAGE('19.10 Jinja-Kampala-24hr'!M58,'21.10 jinja-Kampala-24h'!M58)</f>
        <v>15</v>
      </c>
      <c r="N58" s="49">
        <f>AVERAGE('19.10 Jinja-Kampala-24hr'!N58,'21.10 jinja-Kampala-24h'!N58)</f>
        <v>0</v>
      </c>
      <c r="O58" s="15">
        <f t="shared" si="0"/>
        <v>52</v>
      </c>
      <c r="P58" s="15">
        <f t="shared" si="1"/>
        <v>67</v>
      </c>
      <c r="R58" s="8"/>
      <c r="T58"/>
    </row>
    <row r="59" spans="2:20" ht="23.1" customHeight="1" x14ac:dyDescent="0.25">
      <c r="B59" s="23" t="s">
        <v>100</v>
      </c>
      <c r="C59" s="49">
        <f>AVERAGE('19.10 Jinja-Kampala-24hr'!C59,'21.10 jinja-Kampala-24h'!C59)</f>
        <v>16.5</v>
      </c>
      <c r="D59" s="49">
        <f>AVERAGE('19.10 Jinja-Kampala-24hr'!D59,'21.10 jinja-Kampala-24h'!D59)</f>
        <v>4</v>
      </c>
      <c r="E59" s="49">
        <f>AVERAGE('19.10 Jinja-Kampala-24hr'!E59,'21.10 jinja-Kampala-24h'!E59)</f>
        <v>4.5</v>
      </c>
      <c r="F59" s="49">
        <f>AVERAGE('19.10 Jinja-Kampala-24hr'!F59,'21.10 jinja-Kampala-24h'!F59)</f>
        <v>38.5</v>
      </c>
      <c r="G59" s="49">
        <f>AVERAGE('19.10 Jinja-Kampala-24hr'!G59,'21.10 jinja-Kampala-24h'!G59)</f>
        <v>3.5</v>
      </c>
      <c r="H59" s="49">
        <f>AVERAGE('19.10 Jinja-Kampala-24hr'!H59,'21.10 jinja-Kampala-24h'!H59)</f>
        <v>0</v>
      </c>
      <c r="I59" s="49">
        <f>AVERAGE('19.10 Jinja-Kampala-24hr'!I59,'21.10 jinja-Kampala-24h'!I59)</f>
        <v>4.5</v>
      </c>
      <c r="J59" s="49">
        <f>AVERAGE('19.10 Jinja-Kampala-24hr'!J59,'21.10 jinja-Kampala-24h'!J59)</f>
        <v>6</v>
      </c>
      <c r="K59" s="49">
        <f>AVERAGE('19.10 Jinja-Kampala-24hr'!K59,'21.10 jinja-Kampala-24h'!K59)</f>
        <v>5.5</v>
      </c>
      <c r="L59" s="49">
        <f>AVERAGE('19.10 Jinja-Kampala-24hr'!L59,'21.10 jinja-Kampala-24h'!L59)</f>
        <v>6</v>
      </c>
      <c r="M59" s="49">
        <f>AVERAGE('19.10 Jinja-Kampala-24hr'!M59,'21.10 jinja-Kampala-24h'!M59)</f>
        <v>25</v>
      </c>
      <c r="N59" s="49">
        <f>AVERAGE('19.10 Jinja-Kampala-24hr'!N59,'21.10 jinja-Kampala-24h'!N59)</f>
        <v>0</v>
      </c>
      <c r="O59" s="15">
        <f t="shared" si="0"/>
        <v>89</v>
      </c>
      <c r="P59" s="15">
        <f t="shared" si="1"/>
        <v>114</v>
      </c>
      <c r="R59" s="8"/>
      <c r="T59"/>
    </row>
    <row r="60" spans="2:20" ht="23.1" customHeight="1" x14ac:dyDescent="0.25">
      <c r="B60" s="23" t="s">
        <v>101</v>
      </c>
      <c r="C60" s="49">
        <f>AVERAGE('19.10 Jinja-Kampala-24hr'!C60,'21.10 jinja-Kampala-24h'!C60)</f>
        <v>16</v>
      </c>
      <c r="D60" s="49">
        <f>AVERAGE('19.10 Jinja-Kampala-24hr'!D60,'21.10 jinja-Kampala-24h'!D60)</f>
        <v>12</v>
      </c>
      <c r="E60" s="49">
        <f>AVERAGE('19.10 Jinja-Kampala-24hr'!E60,'21.10 jinja-Kampala-24h'!E60)</f>
        <v>7.5</v>
      </c>
      <c r="F60" s="49">
        <f>AVERAGE('19.10 Jinja-Kampala-24hr'!F60,'21.10 jinja-Kampala-24h'!F60)</f>
        <v>30</v>
      </c>
      <c r="G60" s="49">
        <f>AVERAGE('19.10 Jinja-Kampala-24hr'!G60,'21.10 jinja-Kampala-24h'!G60)</f>
        <v>2.5</v>
      </c>
      <c r="H60" s="49">
        <f>AVERAGE('19.10 Jinja-Kampala-24hr'!H60,'21.10 jinja-Kampala-24h'!H60)</f>
        <v>3</v>
      </c>
      <c r="I60" s="49">
        <f>AVERAGE('19.10 Jinja-Kampala-24hr'!I60,'21.10 jinja-Kampala-24h'!I60)</f>
        <v>1.5</v>
      </c>
      <c r="J60" s="49">
        <f>AVERAGE('19.10 Jinja-Kampala-24hr'!J60,'21.10 jinja-Kampala-24h'!J60)</f>
        <v>3</v>
      </c>
      <c r="K60" s="49">
        <f>AVERAGE('19.10 Jinja-Kampala-24hr'!K60,'21.10 jinja-Kampala-24h'!K60)</f>
        <v>5.5</v>
      </c>
      <c r="L60" s="49">
        <f>AVERAGE('19.10 Jinja-Kampala-24hr'!L60,'21.10 jinja-Kampala-24h'!L60)</f>
        <v>6</v>
      </c>
      <c r="M60" s="49">
        <f>AVERAGE('19.10 Jinja-Kampala-24hr'!M60,'21.10 jinja-Kampala-24h'!M60)</f>
        <v>29</v>
      </c>
      <c r="N60" s="49">
        <f>AVERAGE('19.10 Jinja-Kampala-24hr'!N60,'21.10 jinja-Kampala-24h'!N60)</f>
        <v>0</v>
      </c>
      <c r="O60" s="15">
        <f t="shared" si="0"/>
        <v>87</v>
      </c>
      <c r="P60" s="15">
        <f t="shared" si="1"/>
        <v>116</v>
      </c>
      <c r="R60" s="8"/>
      <c r="T60"/>
    </row>
    <row r="61" spans="2:20" ht="23.1" customHeight="1" x14ac:dyDescent="0.25">
      <c r="B61" s="23" t="s">
        <v>102</v>
      </c>
      <c r="C61" s="49">
        <f>AVERAGE('19.10 Jinja-Kampala-24hr'!C61,'21.10 jinja-Kampala-24h'!C61)</f>
        <v>20</v>
      </c>
      <c r="D61" s="49">
        <f>AVERAGE('19.10 Jinja-Kampala-24hr'!D61,'21.10 jinja-Kampala-24h'!D61)</f>
        <v>13</v>
      </c>
      <c r="E61" s="49">
        <f>AVERAGE('19.10 Jinja-Kampala-24hr'!E61,'21.10 jinja-Kampala-24h'!E61)</f>
        <v>4</v>
      </c>
      <c r="F61" s="49">
        <f>AVERAGE('19.10 Jinja-Kampala-24hr'!F61,'21.10 jinja-Kampala-24h'!F61)</f>
        <v>28</v>
      </c>
      <c r="G61" s="49">
        <f>AVERAGE('19.10 Jinja-Kampala-24hr'!G61,'21.10 jinja-Kampala-24h'!G61)</f>
        <v>2</v>
      </c>
      <c r="H61" s="49">
        <f>AVERAGE('19.10 Jinja-Kampala-24hr'!H61,'21.10 jinja-Kampala-24h'!H61)</f>
        <v>2</v>
      </c>
      <c r="I61" s="49">
        <f>AVERAGE('19.10 Jinja-Kampala-24hr'!I61,'21.10 jinja-Kampala-24h'!I61)</f>
        <v>1.5</v>
      </c>
      <c r="J61" s="49">
        <f>AVERAGE('19.10 Jinja-Kampala-24hr'!J61,'21.10 jinja-Kampala-24h'!J61)</f>
        <v>8</v>
      </c>
      <c r="K61" s="49">
        <f>AVERAGE('19.10 Jinja-Kampala-24hr'!K61,'21.10 jinja-Kampala-24h'!K61)</f>
        <v>3.5</v>
      </c>
      <c r="L61" s="49">
        <f>AVERAGE('19.10 Jinja-Kampala-24hr'!L61,'21.10 jinja-Kampala-24h'!L61)</f>
        <v>16.5</v>
      </c>
      <c r="M61" s="49">
        <f>AVERAGE('19.10 Jinja-Kampala-24hr'!M61,'21.10 jinja-Kampala-24h'!M61)</f>
        <v>11</v>
      </c>
      <c r="N61" s="49">
        <f>AVERAGE('19.10 Jinja-Kampala-24hr'!N61,'21.10 jinja-Kampala-24h'!N61)</f>
        <v>0</v>
      </c>
      <c r="O61" s="15">
        <f t="shared" si="0"/>
        <v>98.5</v>
      </c>
      <c r="P61" s="15">
        <f t="shared" si="1"/>
        <v>109.5</v>
      </c>
      <c r="R61" s="8"/>
      <c r="T61"/>
    </row>
    <row r="62" spans="2:20" ht="23.1" customHeight="1" x14ac:dyDescent="0.25">
      <c r="B62" s="23" t="s">
        <v>107</v>
      </c>
      <c r="C62" s="49">
        <f>AVERAGE('19.10 Jinja-Kampala-24hr'!C62,'21.10 jinja-Kampala-24h'!C62)</f>
        <v>20.5</v>
      </c>
      <c r="D62" s="49">
        <f>AVERAGE('19.10 Jinja-Kampala-24hr'!D62,'21.10 jinja-Kampala-24h'!D62)</f>
        <v>12.5</v>
      </c>
      <c r="E62" s="49">
        <f>AVERAGE('19.10 Jinja-Kampala-24hr'!E62,'21.10 jinja-Kampala-24h'!E62)</f>
        <v>3</v>
      </c>
      <c r="F62" s="49">
        <f>AVERAGE('19.10 Jinja-Kampala-24hr'!F62,'21.10 jinja-Kampala-24h'!F62)</f>
        <v>27.5</v>
      </c>
      <c r="G62" s="49">
        <f>AVERAGE('19.10 Jinja-Kampala-24hr'!G62,'21.10 jinja-Kampala-24h'!G62)</f>
        <v>2.5</v>
      </c>
      <c r="H62" s="49">
        <f>AVERAGE('19.10 Jinja-Kampala-24hr'!H62,'21.10 jinja-Kampala-24h'!H62)</f>
        <v>1.5</v>
      </c>
      <c r="I62" s="49">
        <f>AVERAGE('19.10 Jinja-Kampala-24hr'!I62,'21.10 jinja-Kampala-24h'!I62)</f>
        <v>5.5</v>
      </c>
      <c r="J62" s="49">
        <f>AVERAGE('19.10 Jinja-Kampala-24hr'!J62,'21.10 jinja-Kampala-24h'!J62)</f>
        <v>7</v>
      </c>
      <c r="K62" s="49">
        <f>AVERAGE('19.10 Jinja-Kampala-24hr'!K62,'21.10 jinja-Kampala-24h'!K62)</f>
        <v>6</v>
      </c>
      <c r="L62" s="49">
        <f>AVERAGE('19.10 Jinja-Kampala-24hr'!L62,'21.10 jinja-Kampala-24h'!L62)</f>
        <v>10.5</v>
      </c>
      <c r="M62" s="49">
        <f>AVERAGE('19.10 Jinja-Kampala-24hr'!M62,'21.10 jinja-Kampala-24h'!M62)</f>
        <v>17.5</v>
      </c>
      <c r="N62" s="49">
        <f>AVERAGE('19.10 Jinja-Kampala-24hr'!N62,'21.10 jinja-Kampala-24h'!N62)</f>
        <v>0</v>
      </c>
      <c r="O62" s="15">
        <f t="shared" si="0"/>
        <v>96.5</v>
      </c>
      <c r="P62" s="15">
        <f t="shared" si="1"/>
        <v>114</v>
      </c>
      <c r="R62" s="8"/>
      <c r="T62"/>
    </row>
    <row r="63" spans="2:20" ht="23.1" customHeight="1" x14ac:dyDescent="0.25">
      <c r="B63" s="23" t="s">
        <v>108</v>
      </c>
      <c r="C63" s="49">
        <f>AVERAGE('19.10 Jinja-Kampala-24hr'!C63,'21.10 jinja-Kampala-24h'!C63)</f>
        <v>22</v>
      </c>
      <c r="D63" s="49">
        <f>AVERAGE('19.10 Jinja-Kampala-24hr'!D63,'21.10 jinja-Kampala-24h'!D63)</f>
        <v>11.5</v>
      </c>
      <c r="E63" s="49">
        <f>AVERAGE('19.10 Jinja-Kampala-24hr'!E63,'21.10 jinja-Kampala-24h'!E63)</f>
        <v>7.5</v>
      </c>
      <c r="F63" s="49">
        <f>AVERAGE('19.10 Jinja-Kampala-24hr'!F63,'21.10 jinja-Kampala-24h'!F63)</f>
        <v>27</v>
      </c>
      <c r="G63" s="49">
        <f>AVERAGE('19.10 Jinja-Kampala-24hr'!G63,'21.10 jinja-Kampala-24h'!G63)</f>
        <v>2</v>
      </c>
      <c r="H63" s="49">
        <f>AVERAGE('19.10 Jinja-Kampala-24hr'!H63,'21.10 jinja-Kampala-24h'!H63)</f>
        <v>0.5</v>
      </c>
      <c r="I63" s="49">
        <f>AVERAGE('19.10 Jinja-Kampala-24hr'!I63,'21.10 jinja-Kampala-24h'!I63)</f>
        <v>6</v>
      </c>
      <c r="J63" s="49">
        <f>AVERAGE('19.10 Jinja-Kampala-24hr'!J63,'21.10 jinja-Kampala-24h'!J63)</f>
        <v>5</v>
      </c>
      <c r="K63" s="49">
        <f>AVERAGE('19.10 Jinja-Kampala-24hr'!K63,'21.10 jinja-Kampala-24h'!K63)</f>
        <v>4.5</v>
      </c>
      <c r="L63" s="49">
        <f>AVERAGE('19.10 Jinja-Kampala-24hr'!L63,'21.10 jinja-Kampala-24h'!L63)</f>
        <v>13</v>
      </c>
      <c r="M63" s="49">
        <f>AVERAGE('19.10 Jinja-Kampala-24hr'!M63,'21.10 jinja-Kampala-24h'!M63)</f>
        <v>29</v>
      </c>
      <c r="N63" s="49">
        <f>AVERAGE('19.10 Jinja-Kampala-24hr'!N63,'21.10 jinja-Kampala-24h'!N63)</f>
        <v>0</v>
      </c>
      <c r="O63" s="15">
        <f t="shared" si="0"/>
        <v>99</v>
      </c>
      <c r="P63" s="15">
        <f t="shared" si="1"/>
        <v>128</v>
      </c>
      <c r="R63" s="8"/>
      <c r="T63"/>
    </row>
    <row r="64" spans="2:20" ht="23.1" customHeight="1" x14ac:dyDescent="0.25">
      <c r="B64" s="23" t="s">
        <v>109</v>
      </c>
      <c r="C64" s="49">
        <f>AVERAGE('19.10 Jinja-Kampala-24hr'!C64,'21.10 jinja-Kampala-24h'!C64)</f>
        <v>25</v>
      </c>
      <c r="D64" s="49">
        <f>AVERAGE('19.10 Jinja-Kampala-24hr'!D64,'21.10 jinja-Kampala-24h'!D64)</f>
        <v>10.5</v>
      </c>
      <c r="E64" s="49">
        <f>AVERAGE('19.10 Jinja-Kampala-24hr'!E64,'21.10 jinja-Kampala-24h'!E64)</f>
        <v>5.5</v>
      </c>
      <c r="F64" s="49">
        <f>AVERAGE('19.10 Jinja-Kampala-24hr'!F64,'21.10 jinja-Kampala-24h'!F64)</f>
        <v>26</v>
      </c>
      <c r="G64" s="49">
        <f>AVERAGE('19.10 Jinja-Kampala-24hr'!G64,'21.10 jinja-Kampala-24h'!G64)</f>
        <v>2</v>
      </c>
      <c r="H64" s="49">
        <f>AVERAGE('19.10 Jinja-Kampala-24hr'!H64,'21.10 jinja-Kampala-24h'!H64)</f>
        <v>1</v>
      </c>
      <c r="I64" s="49">
        <f>AVERAGE('19.10 Jinja-Kampala-24hr'!I64,'21.10 jinja-Kampala-24h'!I64)</f>
        <v>1</v>
      </c>
      <c r="J64" s="49">
        <f>AVERAGE('19.10 Jinja-Kampala-24hr'!J64,'21.10 jinja-Kampala-24h'!J64)</f>
        <v>3.5</v>
      </c>
      <c r="K64" s="49">
        <f>AVERAGE('19.10 Jinja-Kampala-24hr'!K64,'21.10 jinja-Kampala-24h'!K64)</f>
        <v>4.5</v>
      </c>
      <c r="L64" s="49">
        <f>AVERAGE('19.10 Jinja-Kampala-24hr'!L64,'21.10 jinja-Kampala-24h'!L64)</f>
        <v>7.5</v>
      </c>
      <c r="M64" s="49">
        <f>AVERAGE('19.10 Jinja-Kampala-24hr'!M64,'21.10 jinja-Kampala-24h'!M64)</f>
        <v>32</v>
      </c>
      <c r="N64" s="49">
        <f>AVERAGE('19.10 Jinja-Kampala-24hr'!N64,'21.10 jinja-Kampala-24h'!N64)</f>
        <v>0</v>
      </c>
      <c r="O64" s="15">
        <f t="shared" si="0"/>
        <v>86.5</v>
      </c>
      <c r="P64" s="15">
        <f t="shared" si="1"/>
        <v>118.5</v>
      </c>
      <c r="R64" s="8"/>
      <c r="T64"/>
    </row>
    <row r="65" spans="2:20" ht="23.1" customHeight="1" x14ac:dyDescent="0.25">
      <c r="B65" s="23" t="s">
        <v>158</v>
      </c>
      <c r="C65" s="49">
        <f>AVERAGE('19.10 Jinja-Kampala-24hr'!C65,'21.10 jinja-Kampala-24h'!C65)</f>
        <v>15.5</v>
      </c>
      <c r="D65" s="49">
        <f>AVERAGE('19.10 Jinja-Kampala-24hr'!D65,'21.10 jinja-Kampala-24h'!D65)</f>
        <v>9.5</v>
      </c>
      <c r="E65" s="49">
        <f>AVERAGE('19.10 Jinja-Kampala-24hr'!E65,'21.10 jinja-Kampala-24h'!E65)</f>
        <v>2</v>
      </c>
      <c r="F65" s="49">
        <f>AVERAGE('19.10 Jinja-Kampala-24hr'!F65,'21.10 jinja-Kampala-24h'!F65)</f>
        <v>14.5</v>
      </c>
      <c r="G65" s="49">
        <f>AVERAGE('19.10 Jinja-Kampala-24hr'!G65,'21.10 jinja-Kampala-24h'!G65)</f>
        <v>0.5</v>
      </c>
      <c r="H65" s="49">
        <f>AVERAGE('19.10 Jinja-Kampala-24hr'!H65,'21.10 jinja-Kampala-24h'!H65)</f>
        <v>1</v>
      </c>
      <c r="I65" s="49">
        <f>AVERAGE('19.10 Jinja-Kampala-24hr'!I65,'21.10 jinja-Kampala-24h'!I65)</f>
        <v>1</v>
      </c>
      <c r="J65" s="49">
        <f>AVERAGE('19.10 Jinja-Kampala-24hr'!J65,'21.10 jinja-Kampala-24h'!J65)</f>
        <v>3</v>
      </c>
      <c r="K65" s="49">
        <f>AVERAGE('19.10 Jinja-Kampala-24hr'!K65,'21.10 jinja-Kampala-24h'!K65)</f>
        <v>4.5</v>
      </c>
      <c r="L65" s="49">
        <f>AVERAGE('19.10 Jinja-Kampala-24hr'!L65,'21.10 jinja-Kampala-24h'!L65)</f>
        <v>5.5</v>
      </c>
      <c r="M65" s="49">
        <f>AVERAGE('19.10 Jinja-Kampala-24hr'!M65,'21.10 jinja-Kampala-24h'!M65)</f>
        <v>21.5</v>
      </c>
      <c r="N65" s="49">
        <f>AVERAGE('19.10 Jinja-Kampala-24hr'!N65,'21.10 jinja-Kampala-24h'!N65)</f>
        <v>0</v>
      </c>
      <c r="O65" s="15">
        <f t="shared" si="0"/>
        <v>57</v>
      </c>
      <c r="P65" s="15">
        <f t="shared" si="1"/>
        <v>78.5</v>
      </c>
      <c r="R65" s="8"/>
      <c r="T65"/>
    </row>
    <row r="66" spans="2:20" ht="23.1" customHeight="1" x14ac:dyDescent="0.25">
      <c r="B66" s="23" t="s">
        <v>103</v>
      </c>
      <c r="C66" s="49">
        <f>AVERAGE('19.10 Jinja-Kampala-24hr'!C66,'21.10 jinja-Kampala-24h'!C66)</f>
        <v>18.5</v>
      </c>
      <c r="D66" s="49">
        <f>AVERAGE('19.10 Jinja-Kampala-24hr'!D66,'21.10 jinja-Kampala-24h'!D66)</f>
        <v>11.5</v>
      </c>
      <c r="E66" s="49">
        <f>AVERAGE('19.10 Jinja-Kampala-24hr'!E66,'21.10 jinja-Kampala-24h'!E66)</f>
        <v>5</v>
      </c>
      <c r="F66" s="49">
        <f>AVERAGE('19.10 Jinja-Kampala-24hr'!F66,'21.10 jinja-Kampala-24h'!F66)</f>
        <v>19</v>
      </c>
      <c r="G66" s="49">
        <f>AVERAGE('19.10 Jinja-Kampala-24hr'!G66,'21.10 jinja-Kampala-24h'!G66)</f>
        <v>2</v>
      </c>
      <c r="H66" s="49">
        <f>AVERAGE('19.10 Jinja-Kampala-24hr'!H66,'21.10 jinja-Kampala-24h'!H66)</f>
        <v>1</v>
      </c>
      <c r="I66" s="49">
        <f>AVERAGE('19.10 Jinja-Kampala-24hr'!I66,'21.10 jinja-Kampala-24h'!I66)</f>
        <v>2</v>
      </c>
      <c r="J66" s="49">
        <f>AVERAGE('19.10 Jinja-Kampala-24hr'!J66,'21.10 jinja-Kampala-24h'!J66)</f>
        <v>2.5</v>
      </c>
      <c r="K66" s="49">
        <f>AVERAGE('19.10 Jinja-Kampala-24hr'!K66,'21.10 jinja-Kampala-24h'!K66)</f>
        <v>5.5</v>
      </c>
      <c r="L66" s="49">
        <f>AVERAGE('19.10 Jinja-Kampala-24hr'!L66,'21.10 jinja-Kampala-24h'!L66)</f>
        <v>7</v>
      </c>
      <c r="M66" s="49">
        <f>AVERAGE('19.10 Jinja-Kampala-24hr'!M66,'21.10 jinja-Kampala-24h'!M66)</f>
        <v>22</v>
      </c>
      <c r="N66" s="49">
        <f>AVERAGE('19.10 Jinja-Kampala-24hr'!N66,'21.10 jinja-Kampala-24h'!N66)</f>
        <v>0</v>
      </c>
      <c r="O66" s="15">
        <f t="shared" si="0"/>
        <v>74</v>
      </c>
      <c r="P66" s="15">
        <f t="shared" si="1"/>
        <v>96</v>
      </c>
      <c r="R66" s="8"/>
      <c r="T66"/>
    </row>
    <row r="67" spans="2:20" ht="23.1" customHeight="1" x14ac:dyDescent="0.25">
      <c r="B67" s="23" t="s">
        <v>104</v>
      </c>
      <c r="C67" s="49">
        <f>AVERAGE('19.10 Jinja-Kampala-24hr'!C67,'21.10 jinja-Kampala-24h'!C67)</f>
        <v>16.5</v>
      </c>
      <c r="D67" s="49">
        <f>AVERAGE('19.10 Jinja-Kampala-24hr'!D67,'21.10 jinja-Kampala-24h'!D67)</f>
        <v>8.5</v>
      </c>
      <c r="E67" s="49">
        <f>AVERAGE('19.10 Jinja-Kampala-24hr'!E67,'21.10 jinja-Kampala-24h'!E67)</f>
        <v>5</v>
      </c>
      <c r="F67" s="49">
        <f>AVERAGE('19.10 Jinja-Kampala-24hr'!F67,'21.10 jinja-Kampala-24h'!F67)</f>
        <v>21</v>
      </c>
      <c r="G67" s="49">
        <f>AVERAGE('19.10 Jinja-Kampala-24hr'!G67,'21.10 jinja-Kampala-24h'!G67)</f>
        <v>0.5</v>
      </c>
      <c r="H67" s="49">
        <f>AVERAGE('19.10 Jinja-Kampala-24hr'!H67,'21.10 jinja-Kampala-24h'!H67)</f>
        <v>1</v>
      </c>
      <c r="I67" s="49">
        <f>AVERAGE('19.10 Jinja-Kampala-24hr'!I67,'21.10 jinja-Kampala-24h'!I67)</f>
        <v>3.5</v>
      </c>
      <c r="J67" s="49">
        <f>AVERAGE('19.10 Jinja-Kampala-24hr'!J67,'21.10 jinja-Kampala-24h'!J67)</f>
        <v>7</v>
      </c>
      <c r="K67" s="49">
        <f>AVERAGE('19.10 Jinja-Kampala-24hr'!K67,'21.10 jinja-Kampala-24h'!K67)</f>
        <v>2.5</v>
      </c>
      <c r="L67" s="49">
        <f>AVERAGE('19.10 Jinja-Kampala-24hr'!L67,'21.10 jinja-Kampala-24h'!L67)</f>
        <v>8</v>
      </c>
      <c r="M67" s="49">
        <f>AVERAGE('19.10 Jinja-Kampala-24hr'!M67,'21.10 jinja-Kampala-24h'!M67)</f>
        <v>22</v>
      </c>
      <c r="N67" s="49">
        <f>AVERAGE('19.10 Jinja-Kampala-24hr'!N67,'21.10 jinja-Kampala-24h'!N67)</f>
        <v>0</v>
      </c>
      <c r="O67" s="15">
        <f t="shared" si="0"/>
        <v>73.5</v>
      </c>
      <c r="P67" s="15">
        <f t="shared" si="1"/>
        <v>95.5</v>
      </c>
      <c r="R67" s="8"/>
      <c r="T67"/>
    </row>
    <row r="68" spans="2:20" ht="23.1" customHeight="1" x14ac:dyDescent="0.25">
      <c r="B68" s="23" t="s">
        <v>105</v>
      </c>
      <c r="C68" s="49">
        <f>AVERAGE('19.10 Jinja-Kampala-24hr'!C68,'21.10 jinja-Kampala-24h'!C68)</f>
        <v>17.5</v>
      </c>
      <c r="D68" s="49">
        <f>AVERAGE('19.10 Jinja-Kampala-24hr'!D68,'21.10 jinja-Kampala-24h'!D68)</f>
        <v>10</v>
      </c>
      <c r="E68" s="49">
        <f>AVERAGE('19.10 Jinja-Kampala-24hr'!E68,'21.10 jinja-Kampala-24h'!E68)</f>
        <v>5.5</v>
      </c>
      <c r="F68" s="49">
        <f>AVERAGE('19.10 Jinja-Kampala-24hr'!F68,'21.10 jinja-Kampala-24h'!F68)</f>
        <v>16.5</v>
      </c>
      <c r="G68" s="49">
        <f>AVERAGE('19.10 Jinja-Kampala-24hr'!G68,'21.10 jinja-Kampala-24h'!G68)</f>
        <v>0.5</v>
      </c>
      <c r="H68" s="49">
        <f>AVERAGE('19.10 Jinja-Kampala-24hr'!H68,'21.10 jinja-Kampala-24h'!H68)</f>
        <v>0.5</v>
      </c>
      <c r="I68" s="49">
        <f>AVERAGE('19.10 Jinja-Kampala-24hr'!I68,'21.10 jinja-Kampala-24h'!I68)</f>
        <v>1</v>
      </c>
      <c r="J68" s="49">
        <f>AVERAGE('19.10 Jinja-Kampala-24hr'!J68,'21.10 jinja-Kampala-24h'!J68)</f>
        <v>4</v>
      </c>
      <c r="K68" s="49">
        <f>AVERAGE('19.10 Jinja-Kampala-24hr'!K68,'21.10 jinja-Kampala-24h'!K68)</f>
        <v>2.5</v>
      </c>
      <c r="L68" s="49">
        <f>AVERAGE('19.10 Jinja-Kampala-24hr'!L68,'21.10 jinja-Kampala-24h'!L68)</f>
        <v>4.5</v>
      </c>
      <c r="M68" s="49">
        <f>AVERAGE('19.10 Jinja-Kampala-24hr'!M68,'21.10 jinja-Kampala-24h'!M68)</f>
        <v>25</v>
      </c>
      <c r="N68" s="49">
        <f>AVERAGE('19.10 Jinja-Kampala-24hr'!N68,'21.10 jinja-Kampala-24h'!N68)</f>
        <v>0</v>
      </c>
      <c r="O68" s="15">
        <f t="shared" si="0"/>
        <v>62.5</v>
      </c>
      <c r="P68" s="15">
        <f t="shared" si="1"/>
        <v>87.5</v>
      </c>
      <c r="R68" s="8"/>
      <c r="T68"/>
    </row>
    <row r="69" spans="2:20" ht="23.1" customHeight="1" x14ac:dyDescent="0.25">
      <c r="B69" s="23" t="s">
        <v>106</v>
      </c>
      <c r="C69" s="49">
        <f>AVERAGE('19.10 Jinja-Kampala-24hr'!C69,'21.10 jinja-Kampala-24h'!C69)</f>
        <v>21.5</v>
      </c>
      <c r="D69" s="49">
        <f>AVERAGE('19.10 Jinja-Kampala-24hr'!D69,'21.10 jinja-Kampala-24h'!D69)</f>
        <v>6</v>
      </c>
      <c r="E69" s="49">
        <f>AVERAGE('19.10 Jinja-Kampala-24hr'!E69,'21.10 jinja-Kampala-24h'!E69)</f>
        <v>16</v>
      </c>
      <c r="F69" s="49">
        <f>AVERAGE('19.10 Jinja-Kampala-24hr'!F69,'21.10 jinja-Kampala-24h'!F69)</f>
        <v>24</v>
      </c>
      <c r="G69" s="49">
        <f>AVERAGE('19.10 Jinja-Kampala-24hr'!G69,'21.10 jinja-Kampala-24h'!G69)</f>
        <v>1.5</v>
      </c>
      <c r="H69" s="49">
        <f>AVERAGE('19.10 Jinja-Kampala-24hr'!H69,'21.10 jinja-Kampala-24h'!H69)</f>
        <v>0</v>
      </c>
      <c r="I69" s="49">
        <f>AVERAGE('19.10 Jinja-Kampala-24hr'!I69,'21.10 jinja-Kampala-24h'!I69)</f>
        <v>1.5</v>
      </c>
      <c r="J69" s="49">
        <f>AVERAGE('19.10 Jinja-Kampala-24hr'!J69,'21.10 jinja-Kampala-24h'!J69)</f>
        <v>6</v>
      </c>
      <c r="K69" s="49">
        <f>AVERAGE('19.10 Jinja-Kampala-24hr'!K69,'21.10 jinja-Kampala-24h'!K69)</f>
        <v>2.5</v>
      </c>
      <c r="L69" s="49">
        <f>AVERAGE('19.10 Jinja-Kampala-24hr'!L69,'21.10 jinja-Kampala-24h'!L69)</f>
        <v>2.5</v>
      </c>
      <c r="M69" s="49">
        <f>AVERAGE('19.10 Jinja-Kampala-24hr'!M69,'21.10 jinja-Kampala-24h'!M69)</f>
        <v>16.5</v>
      </c>
      <c r="N69" s="49">
        <f>AVERAGE('19.10 Jinja-Kampala-24hr'!N69,'21.10 jinja-Kampala-24h'!N69)</f>
        <v>0</v>
      </c>
      <c r="O69" s="15">
        <f t="shared" si="0"/>
        <v>81.5</v>
      </c>
      <c r="P69" s="15">
        <f t="shared" si="1"/>
        <v>98</v>
      </c>
      <c r="R69" s="8"/>
      <c r="T69"/>
    </row>
    <row r="70" spans="2:20" ht="23.1" customHeight="1" x14ac:dyDescent="0.25">
      <c r="B70" s="23" t="s">
        <v>110</v>
      </c>
      <c r="C70" s="49">
        <f>AVERAGE('19.10 Jinja-Kampala-24hr'!C70,'21.10 jinja-Kampala-24h'!C70)</f>
        <v>15</v>
      </c>
      <c r="D70" s="49">
        <f>AVERAGE('19.10 Jinja-Kampala-24hr'!D70,'21.10 jinja-Kampala-24h'!D70)</f>
        <v>7</v>
      </c>
      <c r="E70" s="49">
        <f>AVERAGE('19.10 Jinja-Kampala-24hr'!E70,'21.10 jinja-Kampala-24h'!E70)</f>
        <v>5.5</v>
      </c>
      <c r="F70" s="49">
        <f>AVERAGE('19.10 Jinja-Kampala-24hr'!F70,'21.10 jinja-Kampala-24h'!F70)</f>
        <v>21</v>
      </c>
      <c r="G70" s="49">
        <f>AVERAGE('19.10 Jinja-Kampala-24hr'!G70,'21.10 jinja-Kampala-24h'!G70)</f>
        <v>0.5</v>
      </c>
      <c r="H70" s="49">
        <f>AVERAGE('19.10 Jinja-Kampala-24hr'!H70,'21.10 jinja-Kampala-24h'!H70)</f>
        <v>0.5</v>
      </c>
      <c r="I70" s="49">
        <f>AVERAGE('19.10 Jinja-Kampala-24hr'!I70,'21.10 jinja-Kampala-24h'!I70)</f>
        <v>0.5</v>
      </c>
      <c r="J70" s="49">
        <f>AVERAGE('19.10 Jinja-Kampala-24hr'!J70,'21.10 jinja-Kampala-24h'!J70)</f>
        <v>6.5</v>
      </c>
      <c r="K70" s="49">
        <f>AVERAGE('19.10 Jinja-Kampala-24hr'!K70,'21.10 jinja-Kampala-24h'!K70)</f>
        <v>1.5</v>
      </c>
      <c r="L70" s="49">
        <f>AVERAGE('19.10 Jinja-Kampala-24hr'!L70,'21.10 jinja-Kampala-24h'!L70)</f>
        <v>7</v>
      </c>
      <c r="M70" s="49">
        <f>AVERAGE('19.10 Jinja-Kampala-24hr'!M70,'21.10 jinja-Kampala-24h'!M70)</f>
        <v>22</v>
      </c>
      <c r="N70" s="49">
        <f>AVERAGE('19.10 Jinja-Kampala-24hr'!N70,'21.10 jinja-Kampala-24h'!N70)</f>
        <v>0</v>
      </c>
      <c r="O70" s="15">
        <f t="shared" si="0"/>
        <v>65</v>
      </c>
      <c r="P70" s="15">
        <f t="shared" si="1"/>
        <v>87</v>
      </c>
      <c r="R70" s="8"/>
      <c r="T70"/>
    </row>
    <row r="71" spans="2:20" ht="23.1" customHeight="1" x14ac:dyDescent="0.25">
      <c r="B71" s="23" t="s">
        <v>111</v>
      </c>
      <c r="C71" s="49">
        <f>AVERAGE('19.10 Jinja-Kampala-24hr'!C71,'21.10 jinja-Kampala-24h'!C71)</f>
        <v>6</v>
      </c>
      <c r="D71" s="49">
        <f>AVERAGE('19.10 Jinja-Kampala-24hr'!D71,'21.10 jinja-Kampala-24h'!D71)</f>
        <v>4.5</v>
      </c>
      <c r="E71" s="49">
        <f>AVERAGE('19.10 Jinja-Kampala-24hr'!E71,'21.10 jinja-Kampala-24h'!E71)</f>
        <v>1</v>
      </c>
      <c r="F71" s="49">
        <f>AVERAGE('19.10 Jinja-Kampala-24hr'!F71,'21.10 jinja-Kampala-24h'!F71)</f>
        <v>13</v>
      </c>
      <c r="G71" s="49">
        <f>AVERAGE('19.10 Jinja-Kampala-24hr'!G71,'21.10 jinja-Kampala-24h'!G71)</f>
        <v>0</v>
      </c>
      <c r="H71" s="49">
        <f>AVERAGE('19.10 Jinja-Kampala-24hr'!H71,'21.10 jinja-Kampala-24h'!H71)</f>
        <v>0</v>
      </c>
      <c r="I71" s="49">
        <f>AVERAGE('19.10 Jinja-Kampala-24hr'!I71,'21.10 jinja-Kampala-24h'!I71)</f>
        <v>2</v>
      </c>
      <c r="J71" s="49">
        <f>AVERAGE('19.10 Jinja-Kampala-24hr'!J71,'21.10 jinja-Kampala-24h'!J71)</f>
        <v>5.5</v>
      </c>
      <c r="K71" s="49">
        <f>AVERAGE('19.10 Jinja-Kampala-24hr'!K71,'21.10 jinja-Kampala-24h'!K71)</f>
        <v>0.5</v>
      </c>
      <c r="L71" s="49">
        <f>AVERAGE('19.10 Jinja-Kampala-24hr'!L71,'21.10 jinja-Kampala-24h'!L71)</f>
        <v>5</v>
      </c>
      <c r="M71" s="49">
        <f>AVERAGE('19.10 Jinja-Kampala-24hr'!M71,'21.10 jinja-Kampala-24h'!M71)</f>
        <v>13</v>
      </c>
      <c r="N71" s="49">
        <f>AVERAGE('19.10 Jinja-Kampala-24hr'!N71,'21.10 jinja-Kampala-24h'!N71)</f>
        <v>0</v>
      </c>
      <c r="O71" s="15">
        <f t="shared" si="0"/>
        <v>37.5</v>
      </c>
      <c r="P71" s="15">
        <f t="shared" si="1"/>
        <v>50.5</v>
      </c>
      <c r="R71" s="8"/>
      <c r="T71"/>
    </row>
    <row r="72" spans="2:20" ht="23.1" customHeight="1" x14ac:dyDescent="0.25">
      <c r="B72" s="23" t="s">
        <v>112</v>
      </c>
      <c r="C72" s="49">
        <f>AVERAGE('19.10 Jinja-Kampala-24hr'!C72,'21.10 jinja-Kampala-24h'!C72)</f>
        <v>11</v>
      </c>
      <c r="D72" s="49">
        <f>AVERAGE('19.10 Jinja-Kampala-24hr'!D72,'21.10 jinja-Kampala-24h'!D72)</f>
        <v>3</v>
      </c>
      <c r="E72" s="49">
        <f>AVERAGE('19.10 Jinja-Kampala-24hr'!E72,'21.10 jinja-Kampala-24h'!E72)</f>
        <v>1.5</v>
      </c>
      <c r="F72" s="49">
        <f>AVERAGE('19.10 Jinja-Kampala-24hr'!F72,'21.10 jinja-Kampala-24h'!F72)</f>
        <v>10</v>
      </c>
      <c r="G72" s="49">
        <f>AVERAGE('19.10 Jinja-Kampala-24hr'!G72,'21.10 jinja-Kampala-24h'!G72)</f>
        <v>0</v>
      </c>
      <c r="H72" s="49">
        <f>AVERAGE('19.10 Jinja-Kampala-24hr'!H72,'21.10 jinja-Kampala-24h'!H72)</f>
        <v>0</v>
      </c>
      <c r="I72" s="49">
        <f>AVERAGE('19.10 Jinja-Kampala-24hr'!I72,'21.10 jinja-Kampala-24h'!I72)</f>
        <v>3</v>
      </c>
      <c r="J72" s="49">
        <f>AVERAGE('19.10 Jinja-Kampala-24hr'!J72,'21.10 jinja-Kampala-24h'!J72)</f>
        <v>6</v>
      </c>
      <c r="K72" s="49">
        <f>AVERAGE('19.10 Jinja-Kampala-24hr'!K72,'21.10 jinja-Kampala-24h'!K72)</f>
        <v>1</v>
      </c>
      <c r="L72" s="49">
        <f>AVERAGE('19.10 Jinja-Kampala-24hr'!L72,'21.10 jinja-Kampala-24h'!L72)</f>
        <v>3.5</v>
      </c>
      <c r="M72" s="49">
        <f>AVERAGE('19.10 Jinja-Kampala-24hr'!M72,'21.10 jinja-Kampala-24h'!M72)</f>
        <v>13</v>
      </c>
      <c r="N72" s="49">
        <f>AVERAGE('19.10 Jinja-Kampala-24hr'!N72,'21.10 jinja-Kampala-24h'!N72)</f>
        <v>0</v>
      </c>
      <c r="O72" s="15">
        <f t="shared" si="0"/>
        <v>39</v>
      </c>
      <c r="P72" s="15">
        <f t="shared" si="1"/>
        <v>52</v>
      </c>
      <c r="R72" s="8"/>
      <c r="T72"/>
    </row>
    <row r="73" spans="2:20" ht="23.1" customHeight="1" x14ac:dyDescent="0.25">
      <c r="B73" s="23" t="s">
        <v>113</v>
      </c>
      <c r="C73" s="49">
        <f>AVERAGE('19.10 Jinja-Kampala-24hr'!C73,'21.10 jinja-Kampala-24h'!C73)</f>
        <v>9</v>
      </c>
      <c r="D73" s="49">
        <f>AVERAGE('19.10 Jinja-Kampala-24hr'!D73,'21.10 jinja-Kampala-24h'!D73)</f>
        <v>2</v>
      </c>
      <c r="E73" s="49">
        <f>AVERAGE('19.10 Jinja-Kampala-24hr'!E73,'21.10 jinja-Kampala-24h'!E73)</f>
        <v>1</v>
      </c>
      <c r="F73" s="49">
        <f>AVERAGE('19.10 Jinja-Kampala-24hr'!F73,'21.10 jinja-Kampala-24h'!F73)</f>
        <v>8.5</v>
      </c>
      <c r="G73" s="49">
        <f>AVERAGE('19.10 Jinja-Kampala-24hr'!G73,'21.10 jinja-Kampala-24h'!G73)</f>
        <v>0</v>
      </c>
      <c r="H73" s="49">
        <f>AVERAGE('19.10 Jinja-Kampala-24hr'!H73,'21.10 jinja-Kampala-24h'!H73)</f>
        <v>0.5</v>
      </c>
      <c r="I73" s="49">
        <f>AVERAGE('19.10 Jinja-Kampala-24hr'!I73,'21.10 jinja-Kampala-24h'!I73)</f>
        <v>0.5</v>
      </c>
      <c r="J73" s="49">
        <f>AVERAGE('19.10 Jinja-Kampala-24hr'!J73,'21.10 jinja-Kampala-24h'!J73)</f>
        <v>2.5</v>
      </c>
      <c r="K73" s="49">
        <f>AVERAGE('19.10 Jinja-Kampala-24hr'!K73,'21.10 jinja-Kampala-24h'!K73)</f>
        <v>2.5</v>
      </c>
      <c r="L73" s="49">
        <f>AVERAGE('19.10 Jinja-Kampala-24hr'!L73,'21.10 jinja-Kampala-24h'!L73)</f>
        <v>0.5</v>
      </c>
      <c r="M73" s="49">
        <f>AVERAGE('19.10 Jinja-Kampala-24hr'!M73,'21.10 jinja-Kampala-24h'!M73)</f>
        <v>6</v>
      </c>
      <c r="N73" s="49">
        <f>AVERAGE('19.10 Jinja-Kampala-24hr'!N73,'21.10 jinja-Kampala-24h'!N73)</f>
        <v>0</v>
      </c>
      <c r="O73" s="15">
        <f t="shared" si="0"/>
        <v>27</v>
      </c>
      <c r="P73" s="15">
        <f t="shared" si="1"/>
        <v>33</v>
      </c>
      <c r="R73" s="8"/>
      <c r="T73"/>
    </row>
    <row r="74" spans="2:20" ht="23.1" customHeight="1" x14ac:dyDescent="0.25">
      <c r="B74" s="23" t="s">
        <v>114</v>
      </c>
      <c r="C74" s="49">
        <f>AVERAGE('19.10 Jinja-Kampala-24hr'!C74,'21.10 jinja-Kampala-24h'!C74)</f>
        <v>9</v>
      </c>
      <c r="D74" s="49">
        <f>AVERAGE('19.10 Jinja-Kampala-24hr'!D74,'21.10 jinja-Kampala-24h'!D74)</f>
        <v>3</v>
      </c>
      <c r="E74" s="49">
        <f>AVERAGE('19.10 Jinja-Kampala-24hr'!E74,'21.10 jinja-Kampala-24h'!E74)</f>
        <v>1.5</v>
      </c>
      <c r="F74" s="49">
        <f>AVERAGE('19.10 Jinja-Kampala-24hr'!F74,'21.10 jinja-Kampala-24h'!F74)</f>
        <v>8</v>
      </c>
      <c r="G74" s="49">
        <f>AVERAGE('19.10 Jinja-Kampala-24hr'!G74,'21.10 jinja-Kampala-24h'!G74)</f>
        <v>2.5</v>
      </c>
      <c r="H74" s="49">
        <f>AVERAGE('19.10 Jinja-Kampala-24hr'!H74,'21.10 jinja-Kampala-24h'!H74)</f>
        <v>0</v>
      </c>
      <c r="I74" s="49">
        <f>AVERAGE('19.10 Jinja-Kampala-24hr'!I74,'21.10 jinja-Kampala-24h'!I74)</f>
        <v>3</v>
      </c>
      <c r="J74" s="49">
        <f>AVERAGE('19.10 Jinja-Kampala-24hr'!J74,'21.10 jinja-Kampala-24h'!J74)</f>
        <v>1.5</v>
      </c>
      <c r="K74" s="49">
        <f>AVERAGE('19.10 Jinja-Kampala-24hr'!K74,'21.10 jinja-Kampala-24h'!K74)</f>
        <v>2.5</v>
      </c>
      <c r="L74" s="49">
        <f>AVERAGE('19.10 Jinja-Kampala-24hr'!L74,'21.10 jinja-Kampala-24h'!L74)</f>
        <v>7.5</v>
      </c>
      <c r="M74" s="49">
        <f>AVERAGE('19.10 Jinja-Kampala-24hr'!M74,'21.10 jinja-Kampala-24h'!M74)</f>
        <v>13.5</v>
      </c>
      <c r="N74" s="49">
        <f>AVERAGE('19.10 Jinja-Kampala-24hr'!N74,'21.10 jinja-Kampala-24h'!N74)</f>
        <v>0</v>
      </c>
      <c r="O74" s="15">
        <f t="shared" ref="O74:O105" si="35">SUM(C74:L74,N74)</f>
        <v>38.5</v>
      </c>
      <c r="P74" s="15">
        <f t="shared" ref="P74:P105" si="36">SUM(C74:N74)</f>
        <v>52</v>
      </c>
      <c r="R74" s="8"/>
      <c r="T74"/>
    </row>
    <row r="75" spans="2:20" ht="23.1" customHeight="1" x14ac:dyDescent="0.25">
      <c r="B75" s="23" t="s">
        <v>115</v>
      </c>
      <c r="C75" s="49">
        <f>AVERAGE('19.10 Jinja-Kampala-24hr'!C75,'21.10 jinja-Kampala-24h'!C75)</f>
        <v>9</v>
      </c>
      <c r="D75" s="49">
        <f>AVERAGE('19.10 Jinja-Kampala-24hr'!D75,'21.10 jinja-Kampala-24h'!D75)</f>
        <v>1.5</v>
      </c>
      <c r="E75" s="49">
        <f>AVERAGE('19.10 Jinja-Kampala-24hr'!E75,'21.10 jinja-Kampala-24h'!E75)</f>
        <v>0.5</v>
      </c>
      <c r="F75" s="49">
        <f>AVERAGE('19.10 Jinja-Kampala-24hr'!F75,'21.10 jinja-Kampala-24h'!F75)</f>
        <v>5.5</v>
      </c>
      <c r="G75" s="49">
        <f>AVERAGE('19.10 Jinja-Kampala-24hr'!G75,'21.10 jinja-Kampala-24h'!G75)</f>
        <v>0</v>
      </c>
      <c r="H75" s="49">
        <f>AVERAGE('19.10 Jinja-Kampala-24hr'!H75,'21.10 jinja-Kampala-24h'!H75)</f>
        <v>0</v>
      </c>
      <c r="I75" s="49">
        <f>AVERAGE('19.10 Jinja-Kampala-24hr'!I75,'21.10 jinja-Kampala-24h'!I75)</f>
        <v>3</v>
      </c>
      <c r="J75" s="49">
        <f>AVERAGE('19.10 Jinja-Kampala-24hr'!J75,'21.10 jinja-Kampala-24h'!J75)</f>
        <v>4.5</v>
      </c>
      <c r="K75" s="49">
        <f>AVERAGE('19.10 Jinja-Kampala-24hr'!K75,'21.10 jinja-Kampala-24h'!K75)</f>
        <v>2</v>
      </c>
      <c r="L75" s="49">
        <f>AVERAGE('19.10 Jinja-Kampala-24hr'!L75,'21.10 jinja-Kampala-24h'!L75)</f>
        <v>8</v>
      </c>
      <c r="M75" s="49">
        <f>AVERAGE('19.10 Jinja-Kampala-24hr'!M75,'21.10 jinja-Kampala-24h'!M75)</f>
        <v>11</v>
      </c>
      <c r="N75" s="49">
        <f>AVERAGE('19.10 Jinja-Kampala-24hr'!N75,'21.10 jinja-Kampala-24h'!N75)</f>
        <v>0</v>
      </c>
      <c r="O75" s="15">
        <f t="shared" si="35"/>
        <v>34</v>
      </c>
      <c r="P75" s="15">
        <f t="shared" si="36"/>
        <v>45</v>
      </c>
      <c r="R75" s="8"/>
      <c r="T75"/>
    </row>
    <row r="76" spans="2:20" ht="23.1" customHeight="1" x14ac:dyDescent="0.25">
      <c r="B76" s="23" t="s">
        <v>116</v>
      </c>
      <c r="C76" s="49">
        <f>AVERAGE('19.10 Jinja-Kampala-24hr'!C76,'21.10 jinja-Kampala-24h'!C76)</f>
        <v>6</v>
      </c>
      <c r="D76" s="49">
        <f>AVERAGE('19.10 Jinja-Kampala-24hr'!D76,'21.10 jinja-Kampala-24h'!D76)</f>
        <v>6.5</v>
      </c>
      <c r="E76" s="49">
        <f>AVERAGE('19.10 Jinja-Kampala-24hr'!E76,'21.10 jinja-Kampala-24h'!E76)</f>
        <v>2</v>
      </c>
      <c r="F76" s="49">
        <f>AVERAGE('19.10 Jinja-Kampala-24hr'!F76,'21.10 jinja-Kampala-24h'!F76)</f>
        <v>7</v>
      </c>
      <c r="G76" s="49">
        <f>AVERAGE('19.10 Jinja-Kampala-24hr'!G76,'21.10 jinja-Kampala-24h'!G76)</f>
        <v>0.5</v>
      </c>
      <c r="H76" s="49">
        <f>AVERAGE('19.10 Jinja-Kampala-24hr'!H76,'21.10 jinja-Kampala-24h'!H76)</f>
        <v>0</v>
      </c>
      <c r="I76" s="49">
        <f>AVERAGE('19.10 Jinja-Kampala-24hr'!I76,'21.10 jinja-Kampala-24h'!I76)</f>
        <v>1.5</v>
      </c>
      <c r="J76" s="49">
        <f>AVERAGE('19.10 Jinja-Kampala-24hr'!J76,'21.10 jinja-Kampala-24h'!J76)</f>
        <v>6.5</v>
      </c>
      <c r="K76" s="49">
        <f>AVERAGE('19.10 Jinja-Kampala-24hr'!K76,'21.10 jinja-Kampala-24h'!K76)</f>
        <v>0.5</v>
      </c>
      <c r="L76" s="49">
        <f>AVERAGE('19.10 Jinja-Kampala-24hr'!L76,'21.10 jinja-Kampala-24h'!L76)</f>
        <v>6.5</v>
      </c>
      <c r="M76" s="49">
        <f>AVERAGE('19.10 Jinja-Kampala-24hr'!M76,'21.10 jinja-Kampala-24h'!M76)</f>
        <v>7.5</v>
      </c>
      <c r="N76" s="49">
        <f>AVERAGE('19.10 Jinja-Kampala-24hr'!N76,'21.10 jinja-Kampala-24h'!N76)</f>
        <v>0</v>
      </c>
      <c r="O76" s="15">
        <f t="shared" si="35"/>
        <v>37</v>
      </c>
      <c r="P76" s="15">
        <f t="shared" si="36"/>
        <v>44.5</v>
      </c>
      <c r="R76" s="8"/>
      <c r="T76"/>
    </row>
    <row r="77" spans="2:20" ht="23.1" customHeight="1" x14ac:dyDescent="0.25">
      <c r="B77" s="23" t="s">
        <v>117</v>
      </c>
      <c r="C77" s="49">
        <f>AVERAGE('19.10 Jinja-Kampala-24hr'!C77,'21.10 jinja-Kampala-24h'!C77)</f>
        <v>1.5</v>
      </c>
      <c r="D77" s="49">
        <f>AVERAGE('19.10 Jinja-Kampala-24hr'!D77,'21.10 jinja-Kampala-24h'!D77)</f>
        <v>2.5</v>
      </c>
      <c r="E77" s="49">
        <f>AVERAGE('19.10 Jinja-Kampala-24hr'!E77,'21.10 jinja-Kampala-24h'!E77)</f>
        <v>0</v>
      </c>
      <c r="F77" s="49">
        <f>AVERAGE('19.10 Jinja-Kampala-24hr'!F77,'21.10 jinja-Kampala-24h'!F77)</f>
        <v>2</v>
      </c>
      <c r="G77" s="49">
        <f>AVERAGE('19.10 Jinja-Kampala-24hr'!G77,'21.10 jinja-Kampala-24h'!G77)</f>
        <v>0</v>
      </c>
      <c r="H77" s="49">
        <f>AVERAGE('19.10 Jinja-Kampala-24hr'!H77,'21.10 jinja-Kampala-24h'!H77)</f>
        <v>0</v>
      </c>
      <c r="I77" s="49">
        <f>AVERAGE('19.10 Jinja-Kampala-24hr'!I77,'21.10 jinja-Kampala-24h'!I77)</f>
        <v>1</v>
      </c>
      <c r="J77" s="49">
        <f>AVERAGE('19.10 Jinja-Kampala-24hr'!J77,'21.10 jinja-Kampala-24h'!J77)</f>
        <v>1.5</v>
      </c>
      <c r="K77" s="49">
        <f>AVERAGE('19.10 Jinja-Kampala-24hr'!K77,'21.10 jinja-Kampala-24h'!K77)</f>
        <v>1.5</v>
      </c>
      <c r="L77" s="49">
        <f>AVERAGE('19.10 Jinja-Kampala-24hr'!L77,'21.10 jinja-Kampala-24h'!L77)</f>
        <v>6</v>
      </c>
      <c r="M77" s="49">
        <f>AVERAGE('19.10 Jinja-Kampala-24hr'!M77,'21.10 jinja-Kampala-24h'!M77)</f>
        <v>6.5</v>
      </c>
      <c r="N77" s="49">
        <f>AVERAGE('19.10 Jinja-Kampala-24hr'!N77,'21.10 jinja-Kampala-24h'!N77)</f>
        <v>0</v>
      </c>
      <c r="O77" s="15">
        <f t="shared" si="35"/>
        <v>16</v>
      </c>
      <c r="P77" s="15">
        <f t="shared" si="36"/>
        <v>22.5</v>
      </c>
      <c r="R77" s="8"/>
      <c r="T77"/>
    </row>
    <row r="78" spans="2:20" ht="23.1" customHeight="1" x14ac:dyDescent="0.25">
      <c r="B78" s="24" t="s">
        <v>118</v>
      </c>
      <c r="C78" s="49">
        <f>AVERAGE('19.10 Jinja-Kampala-24hr'!C78,'21.10 jinja-Kampala-24h'!C78)</f>
        <v>2</v>
      </c>
      <c r="D78" s="49">
        <f>AVERAGE('19.10 Jinja-Kampala-24hr'!D78,'21.10 jinja-Kampala-24h'!D78)</f>
        <v>1.5</v>
      </c>
      <c r="E78" s="49">
        <f>AVERAGE('19.10 Jinja-Kampala-24hr'!E78,'21.10 jinja-Kampala-24h'!E78)</f>
        <v>2</v>
      </c>
      <c r="F78" s="49">
        <f>AVERAGE('19.10 Jinja-Kampala-24hr'!F78,'21.10 jinja-Kampala-24h'!F78)</f>
        <v>2.5</v>
      </c>
      <c r="G78" s="49">
        <f>AVERAGE('19.10 Jinja-Kampala-24hr'!G78,'21.10 jinja-Kampala-24h'!G78)</f>
        <v>0</v>
      </c>
      <c r="H78" s="49">
        <f>AVERAGE('19.10 Jinja-Kampala-24hr'!H78,'21.10 jinja-Kampala-24h'!H78)</f>
        <v>0.5</v>
      </c>
      <c r="I78" s="49">
        <f>AVERAGE('19.10 Jinja-Kampala-24hr'!I78,'21.10 jinja-Kampala-24h'!I78)</f>
        <v>0</v>
      </c>
      <c r="J78" s="49">
        <f>AVERAGE('19.10 Jinja-Kampala-24hr'!J78,'21.10 jinja-Kampala-24h'!J78)</f>
        <v>3</v>
      </c>
      <c r="K78" s="49">
        <f>AVERAGE('19.10 Jinja-Kampala-24hr'!K78,'21.10 jinja-Kampala-24h'!K78)</f>
        <v>2.5</v>
      </c>
      <c r="L78" s="49">
        <f>AVERAGE('19.10 Jinja-Kampala-24hr'!L78,'21.10 jinja-Kampala-24h'!L78)</f>
        <v>4.5</v>
      </c>
      <c r="M78" s="49">
        <f>AVERAGE('19.10 Jinja-Kampala-24hr'!M78,'21.10 jinja-Kampala-24h'!M78)</f>
        <v>6.5</v>
      </c>
      <c r="N78" s="49">
        <f>AVERAGE('19.10 Jinja-Kampala-24hr'!N78,'21.10 jinja-Kampala-24h'!N78)</f>
        <v>0</v>
      </c>
      <c r="O78" s="15">
        <f t="shared" si="35"/>
        <v>18.5</v>
      </c>
      <c r="P78" s="15">
        <f t="shared" si="36"/>
        <v>25</v>
      </c>
      <c r="R78" s="8"/>
      <c r="T78"/>
    </row>
    <row r="79" spans="2:20" ht="23.1" customHeight="1" x14ac:dyDescent="0.25">
      <c r="B79" s="23" t="s">
        <v>119</v>
      </c>
      <c r="C79" s="49">
        <f>AVERAGE('19.10 Jinja-Kampala-24hr'!C79,'21.10 jinja-Kampala-24h'!C79)</f>
        <v>1</v>
      </c>
      <c r="D79" s="49">
        <f>AVERAGE('19.10 Jinja-Kampala-24hr'!D79,'21.10 jinja-Kampala-24h'!D79)</f>
        <v>0.5</v>
      </c>
      <c r="E79" s="49">
        <f>AVERAGE('19.10 Jinja-Kampala-24hr'!E79,'21.10 jinja-Kampala-24h'!E79)</f>
        <v>0</v>
      </c>
      <c r="F79" s="49">
        <f>AVERAGE('19.10 Jinja-Kampala-24hr'!F79,'21.10 jinja-Kampala-24h'!F79)</f>
        <v>1.5</v>
      </c>
      <c r="G79" s="49">
        <f>AVERAGE('19.10 Jinja-Kampala-24hr'!G79,'21.10 jinja-Kampala-24h'!G79)</f>
        <v>0</v>
      </c>
      <c r="H79" s="49">
        <f>AVERAGE('19.10 Jinja-Kampala-24hr'!H79,'21.10 jinja-Kampala-24h'!H79)</f>
        <v>0.5</v>
      </c>
      <c r="I79" s="49">
        <f>AVERAGE('19.10 Jinja-Kampala-24hr'!I79,'21.10 jinja-Kampala-24h'!I79)</f>
        <v>0.5</v>
      </c>
      <c r="J79" s="49">
        <f>AVERAGE('19.10 Jinja-Kampala-24hr'!J79,'21.10 jinja-Kampala-24h'!J79)</f>
        <v>2.5</v>
      </c>
      <c r="K79" s="49">
        <f>AVERAGE('19.10 Jinja-Kampala-24hr'!K79,'21.10 jinja-Kampala-24h'!K79)</f>
        <v>1</v>
      </c>
      <c r="L79" s="49">
        <f>AVERAGE('19.10 Jinja-Kampala-24hr'!L79,'21.10 jinja-Kampala-24h'!L79)</f>
        <v>7.5</v>
      </c>
      <c r="M79" s="49">
        <f>AVERAGE('19.10 Jinja-Kampala-24hr'!M79,'21.10 jinja-Kampala-24h'!M79)</f>
        <v>8.5</v>
      </c>
      <c r="N79" s="49">
        <f>AVERAGE('19.10 Jinja-Kampala-24hr'!N79,'21.10 jinja-Kampala-24h'!N79)</f>
        <v>0</v>
      </c>
      <c r="O79" s="15">
        <f t="shared" si="35"/>
        <v>15</v>
      </c>
      <c r="P79" s="15">
        <f t="shared" si="36"/>
        <v>23.5</v>
      </c>
      <c r="R79" s="8"/>
      <c r="T79"/>
    </row>
    <row r="80" spans="2:20" ht="23.1" customHeight="1" x14ac:dyDescent="0.25">
      <c r="B80" s="25" t="s">
        <v>120</v>
      </c>
      <c r="C80" s="49">
        <f>AVERAGE('19.10 Jinja-Kampala-24hr'!C80,'21.10 jinja-Kampala-24h'!C80)</f>
        <v>0.5</v>
      </c>
      <c r="D80" s="49">
        <f>AVERAGE('19.10 Jinja-Kampala-24hr'!D80,'21.10 jinja-Kampala-24h'!D80)</f>
        <v>1.5</v>
      </c>
      <c r="E80" s="49">
        <f>AVERAGE('19.10 Jinja-Kampala-24hr'!E80,'21.10 jinja-Kampala-24h'!E80)</f>
        <v>0.5</v>
      </c>
      <c r="F80" s="49">
        <f>AVERAGE('19.10 Jinja-Kampala-24hr'!F80,'21.10 jinja-Kampala-24h'!F80)</f>
        <v>2</v>
      </c>
      <c r="G80" s="49">
        <f>AVERAGE('19.10 Jinja-Kampala-24hr'!G80,'21.10 jinja-Kampala-24h'!G80)</f>
        <v>0</v>
      </c>
      <c r="H80" s="49">
        <f>AVERAGE('19.10 Jinja-Kampala-24hr'!H80,'21.10 jinja-Kampala-24h'!H80)</f>
        <v>0</v>
      </c>
      <c r="I80" s="49">
        <f>AVERAGE('19.10 Jinja-Kampala-24hr'!I80,'21.10 jinja-Kampala-24h'!I80)</f>
        <v>1</v>
      </c>
      <c r="J80" s="49">
        <f>AVERAGE('19.10 Jinja-Kampala-24hr'!J80,'21.10 jinja-Kampala-24h'!J80)</f>
        <v>2</v>
      </c>
      <c r="K80" s="49">
        <f>AVERAGE('19.10 Jinja-Kampala-24hr'!K80,'21.10 jinja-Kampala-24h'!K80)</f>
        <v>1</v>
      </c>
      <c r="L80" s="49">
        <f>AVERAGE('19.10 Jinja-Kampala-24hr'!L80,'21.10 jinja-Kampala-24h'!L80)</f>
        <v>2</v>
      </c>
      <c r="M80" s="49">
        <f>AVERAGE('19.10 Jinja-Kampala-24hr'!M80,'21.10 jinja-Kampala-24h'!M80)</f>
        <v>4</v>
      </c>
      <c r="N80" s="49">
        <f>AVERAGE('19.10 Jinja-Kampala-24hr'!N80,'21.10 jinja-Kampala-24h'!N80)</f>
        <v>0</v>
      </c>
      <c r="O80" s="15">
        <f t="shared" si="35"/>
        <v>10.5</v>
      </c>
      <c r="P80" s="15">
        <f t="shared" si="36"/>
        <v>14.5</v>
      </c>
      <c r="R80" s="8"/>
      <c r="T80"/>
    </row>
    <row r="81" spans="2:20" ht="23.1" customHeight="1" x14ac:dyDescent="0.25">
      <c r="B81" s="23" t="s">
        <v>121</v>
      </c>
      <c r="C81" s="49">
        <f>AVERAGE('19.10 Jinja-Kampala-24hr'!C81,'21.10 jinja-Kampala-24h'!C81)</f>
        <v>1</v>
      </c>
      <c r="D81" s="49">
        <f>AVERAGE('19.10 Jinja-Kampala-24hr'!D81,'21.10 jinja-Kampala-24h'!D81)</f>
        <v>0</v>
      </c>
      <c r="E81" s="49">
        <f>AVERAGE('19.10 Jinja-Kampala-24hr'!E81,'21.10 jinja-Kampala-24h'!E81)</f>
        <v>0</v>
      </c>
      <c r="F81" s="49">
        <f>AVERAGE('19.10 Jinja-Kampala-24hr'!F81,'21.10 jinja-Kampala-24h'!F81)</f>
        <v>0</v>
      </c>
      <c r="G81" s="49">
        <f>AVERAGE('19.10 Jinja-Kampala-24hr'!G81,'21.10 jinja-Kampala-24h'!G81)</f>
        <v>0</v>
      </c>
      <c r="H81" s="49">
        <f>AVERAGE('19.10 Jinja-Kampala-24hr'!H81,'21.10 jinja-Kampala-24h'!H81)</f>
        <v>0</v>
      </c>
      <c r="I81" s="49">
        <f>AVERAGE('19.10 Jinja-Kampala-24hr'!I81,'21.10 jinja-Kampala-24h'!I81)</f>
        <v>1</v>
      </c>
      <c r="J81" s="49">
        <f>AVERAGE('19.10 Jinja-Kampala-24hr'!J81,'21.10 jinja-Kampala-24h'!J81)</f>
        <v>1.5</v>
      </c>
      <c r="K81" s="49">
        <f>AVERAGE('19.10 Jinja-Kampala-24hr'!K81,'21.10 jinja-Kampala-24h'!K81)</f>
        <v>1</v>
      </c>
      <c r="L81" s="49">
        <f>AVERAGE('19.10 Jinja-Kampala-24hr'!L81,'21.10 jinja-Kampala-24h'!L81)</f>
        <v>2</v>
      </c>
      <c r="M81" s="49">
        <f>AVERAGE('19.10 Jinja-Kampala-24hr'!M81,'21.10 jinja-Kampala-24h'!M81)</f>
        <v>1.5</v>
      </c>
      <c r="N81" s="49">
        <f>AVERAGE('19.10 Jinja-Kampala-24hr'!N81,'21.10 jinja-Kampala-24h'!N81)</f>
        <v>0</v>
      </c>
      <c r="O81" s="15">
        <f t="shared" si="35"/>
        <v>6.5</v>
      </c>
      <c r="P81" s="15">
        <f t="shared" si="36"/>
        <v>8</v>
      </c>
      <c r="R81" s="8"/>
      <c r="T81"/>
    </row>
    <row r="82" spans="2:20" ht="23.1" customHeight="1" x14ac:dyDescent="0.25">
      <c r="B82" s="24" t="s">
        <v>122</v>
      </c>
      <c r="C82" s="49">
        <f>AVERAGE('19.10 Jinja-Kampala-24hr'!C82,'21.10 jinja-Kampala-24h'!C82)</f>
        <v>1.5</v>
      </c>
      <c r="D82" s="49">
        <f>AVERAGE('19.10 Jinja-Kampala-24hr'!D82,'21.10 jinja-Kampala-24h'!D82)</f>
        <v>0.5</v>
      </c>
      <c r="E82" s="49">
        <f>AVERAGE('19.10 Jinja-Kampala-24hr'!E82,'21.10 jinja-Kampala-24h'!E82)</f>
        <v>0</v>
      </c>
      <c r="F82" s="49">
        <f>AVERAGE('19.10 Jinja-Kampala-24hr'!F82,'21.10 jinja-Kampala-24h'!F82)</f>
        <v>2</v>
      </c>
      <c r="G82" s="49">
        <f>AVERAGE('19.10 Jinja-Kampala-24hr'!G82,'21.10 jinja-Kampala-24h'!G82)</f>
        <v>0</v>
      </c>
      <c r="H82" s="49">
        <f>AVERAGE('19.10 Jinja-Kampala-24hr'!H82,'21.10 jinja-Kampala-24h'!H82)</f>
        <v>0.5</v>
      </c>
      <c r="I82" s="49">
        <f>AVERAGE('19.10 Jinja-Kampala-24hr'!I82,'21.10 jinja-Kampala-24h'!I82)</f>
        <v>0.5</v>
      </c>
      <c r="J82" s="49">
        <f>AVERAGE('19.10 Jinja-Kampala-24hr'!J82,'21.10 jinja-Kampala-24h'!J82)</f>
        <v>3</v>
      </c>
      <c r="K82" s="49">
        <f>AVERAGE('19.10 Jinja-Kampala-24hr'!K82,'21.10 jinja-Kampala-24h'!K82)</f>
        <v>1</v>
      </c>
      <c r="L82" s="49">
        <f>AVERAGE('19.10 Jinja-Kampala-24hr'!L82,'21.10 jinja-Kampala-24h'!L82)</f>
        <v>2</v>
      </c>
      <c r="M82" s="49">
        <f>AVERAGE('19.10 Jinja-Kampala-24hr'!M82,'21.10 jinja-Kampala-24h'!M82)</f>
        <v>2</v>
      </c>
      <c r="N82" s="49">
        <f>AVERAGE('19.10 Jinja-Kampala-24hr'!N82,'21.10 jinja-Kampala-24h'!N82)</f>
        <v>0.5</v>
      </c>
      <c r="O82" s="15">
        <f t="shared" si="35"/>
        <v>11.5</v>
      </c>
      <c r="P82" s="15">
        <f t="shared" si="36"/>
        <v>13.5</v>
      </c>
      <c r="R82" s="8"/>
      <c r="T82"/>
    </row>
    <row r="83" spans="2:20" ht="23.1" customHeight="1" x14ac:dyDescent="0.25">
      <c r="B83" s="23" t="s">
        <v>123</v>
      </c>
      <c r="C83" s="49">
        <f>AVERAGE('19.10 Jinja-Kampala-24hr'!C83,'21.10 jinja-Kampala-24h'!C83)</f>
        <v>0.5</v>
      </c>
      <c r="D83" s="49">
        <f>AVERAGE('19.10 Jinja-Kampala-24hr'!D83,'21.10 jinja-Kampala-24h'!D83)</f>
        <v>0</v>
      </c>
      <c r="E83" s="49">
        <f>AVERAGE('19.10 Jinja-Kampala-24hr'!E83,'21.10 jinja-Kampala-24h'!E83)</f>
        <v>0.5</v>
      </c>
      <c r="F83" s="49">
        <f>AVERAGE('19.10 Jinja-Kampala-24hr'!F83,'21.10 jinja-Kampala-24h'!F83)</f>
        <v>1</v>
      </c>
      <c r="G83" s="49">
        <f>AVERAGE('19.10 Jinja-Kampala-24hr'!G83,'21.10 jinja-Kampala-24h'!G83)</f>
        <v>0</v>
      </c>
      <c r="H83" s="49">
        <f>AVERAGE('19.10 Jinja-Kampala-24hr'!H83,'21.10 jinja-Kampala-24h'!H83)</f>
        <v>0</v>
      </c>
      <c r="I83" s="49">
        <f>AVERAGE('19.10 Jinja-Kampala-24hr'!I83,'21.10 jinja-Kampala-24h'!I83)</f>
        <v>1</v>
      </c>
      <c r="J83" s="49">
        <f>AVERAGE('19.10 Jinja-Kampala-24hr'!J83,'21.10 jinja-Kampala-24h'!J83)</f>
        <v>1</v>
      </c>
      <c r="K83" s="49">
        <f>AVERAGE('19.10 Jinja-Kampala-24hr'!K83,'21.10 jinja-Kampala-24h'!K83)</f>
        <v>1</v>
      </c>
      <c r="L83" s="49">
        <f>AVERAGE('19.10 Jinja-Kampala-24hr'!L83,'21.10 jinja-Kampala-24h'!L83)</f>
        <v>2.5</v>
      </c>
      <c r="M83" s="49">
        <f>AVERAGE('19.10 Jinja-Kampala-24hr'!M83,'21.10 jinja-Kampala-24h'!M83)</f>
        <v>1</v>
      </c>
      <c r="N83" s="49">
        <f>AVERAGE('19.10 Jinja-Kampala-24hr'!N83,'21.10 jinja-Kampala-24h'!N83)</f>
        <v>0</v>
      </c>
      <c r="O83" s="15">
        <f t="shared" si="35"/>
        <v>7.5</v>
      </c>
      <c r="P83" s="15">
        <f t="shared" si="36"/>
        <v>8.5</v>
      </c>
      <c r="R83" s="8"/>
      <c r="T83"/>
    </row>
    <row r="84" spans="2:20" ht="23.1" customHeight="1" x14ac:dyDescent="0.25">
      <c r="B84" s="25" t="s">
        <v>124</v>
      </c>
      <c r="C84" s="49">
        <f>AVERAGE('19.10 Jinja-Kampala-24hr'!C84,'21.10 jinja-Kampala-24h'!C84)</f>
        <v>0.5</v>
      </c>
      <c r="D84" s="49">
        <f>AVERAGE('19.10 Jinja-Kampala-24hr'!D84,'21.10 jinja-Kampala-24h'!D84)</f>
        <v>1</v>
      </c>
      <c r="E84" s="49">
        <f>AVERAGE('19.10 Jinja-Kampala-24hr'!E84,'21.10 jinja-Kampala-24h'!E84)</f>
        <v>0</v>
      </c>
      <c r="F84" s="49">
        <f>AVERAGE('19.10 Jinja-Kampala-24hr'!F84,'21.10 jinja-Kampala-24h'!F84)</f>
        <v>1.5</v>
      </c>
      <c r="G84" s="49">
        <f>AVERAGE('19.10 Jinja-Kampala-24hr'!G84,'21.10 jinja-Kampala-24h'!G84)</f>
        <v>0</v>
      </c>
      <c r="H84" s="49">
        <f>AVERAGE('19.10 Jinja-Kampala-24hr'!H84,'21.10 jinja-Kampala-24h'!H84)</f>
        <v>1.5</v>
      </c>
      <c r="I84" s="49">
        <f>AVERAGE('19.10 Jinja-Kampala-24hr'!I84,'21.10 jinja-Kampala-24h'!I84)</f>
        <v>0.5</v>
      </c>
      <c r="J84" s="49">
        <f>AVERAGE('19.10 Jinja-Kampala-24hr'!J84,'21.10 jinja-Kampala-24h'!J84)</f>
        <v>4</v>
      </c>
      <c r="K84" s="49">
        <f>AVERAGE('19.10 Jinja-Kampala-24hr'!K84,'21.10 jinja-Kampala-24h'!K84)</f>
        <v>1.5</v>
      </c>
      <c r="L84" s="49">
        <f>AVERAGE('19.10 Jinja-Kampala-24hr'!L84,'21.10 jinja-Kampala-24h'!L84)</f>
        <v>5.5</v>
      </c>
      <c r="M84" s="49">
        <f>AVERAGE('19.10 Jinja-Kampala-24hr'!M84,'21.10 jinja-Kampala-24h'!M84)</f>
        <v>1</v>
      </c>
      <c r="N84" s="49">
        <f>AVERAGE('19.10 Jinja-Kampala-24hr'!N84,'21.10 jinja-Kampala-24h'!N84)</f>
        <v>0.5</v>
      </c>
      <c r="O84" s="15">
        <f t="shared" si="35"/>
        <v>16.5</v>
      </c>
      <c r="P84" s="15">
        <f t="shared" si="36"/>
        <v>17.5</v>
      </c>
      <c r="R84" s="8"/>
      <c r="T84"/>
    </row>
    <row r="85" spans="2:20" ht="23.1" customHeight="1" x14ac:dyDescent="0.25">
      <c r="B85" s="23" t="s">
        <v>125</v>
      </c>
      <c r="C85" s="49">
        <f>AVERAGE('19.10 Jinja-Kampala-24hr'!C85,'21.10 jinja-Kampala-24h'!C85)</f>
        <v>1</v>
      </c>
      <c r="D85" s="49">
        <f>AVERAGE('19.10 Jinja-Kampala-24hr'!D85,'21.10 jinja-Kampala-24h'!D85)</f>
        <v>0</v>
      </c>
      <c r="E85" s="49">
        <f>AVERAGE('19.10 Jinja-Kampala-24hr'!E85,'21.10 jinja-Kampala-24h'!E85)</f>
        <v>0</v>
      </c>
      <c r="F85" s="49">
        <f>AVERAGE('19.10 Jinja-Kampala-24hr'!F85,'21.10 jinja-Kampala-24h'!F85)</f>
        <v>2.5</v>
      </c>
      <c r="G85" s="49">
        <f>AVERAGE('19.10 Jinja-Kampala-24hr'!G85,'21.10 jinja-Kampala-24h'!G85)</f>
        <v>0.5</v>
      </c>
      <c r="H85" s="49">
        <f>AVERAGE('19.10 Jinja-Kampala-24hr'!H85,'21.10 jinja-Kampala-24h'!H85)</f>
        <v>0.5</v>
      </c>
      <c r="I85" s="49">
        <f>AVERAGE('19.10 Jinja-Kampala-24hr'!I85,'21.10 jinja-Kampala-24h'!I85)</f>
        <v>2.5</v>
      </c>
      <c r="J85" s="49">
        <f>AVERAGE('19.10 Jinja-Kampala-24hr'!J85,'21.10 jinja-Kampala-24h'!J85)</f>
        <v>4</v>
      </c>
      <c r="K85" s="49">
        <f>AVERAGE('19.10 Jinja-Kampala-24hr'!K85,'21.10 jinja-Kampala-24h'!K85)</f>
        <v>1</v>
      </c>
      <c r="L85" s="49">
        <f>AVERAGE('19.10 Jinja-Kampala-24hr'!L85,'21.10 jinja-Kampala-24h'!L85)</f>
        <v>5</v>
      </c>
      <c r="M85" s="49">
        <f>AVERAGE('19.10 Jinja-Kampala-24hr'!M85,'21.10 jinja-Kampala-24h'!M85)</f>
        <v>1</v>
      </c>
      <c r="N85" s="49">
        <f>AVERAGE('19.10 Jinja-Kampala-24hr'!N85,'21.10 jinja-Kampala-24h'!N85)</f>
        <v>0.5</v>
      </c>
      <c r="O85" s="15">
        <f t="shared" si="35"/>
        <v>17.5</v>
      </c>
      <c r="P85" s="15">
        <f t="shared" si="36"/>
        <v>18.5</v>
      </c>
      <c r="R85" s="8"/>
      <c r="T85"/>
    </row>
    <row r="86" spans="2:20" ht="23.1" customHeight="1" x14ac:dyDescent="0.25">
      <c r="B86" s="24" t="s">
        <v>126</v>
      </c>
      <c r="C86" s="49">
        <f>AVERAGE('19.10 Jinja-Kampala-24hr'!C86,'21.10 jinja-Kampala-24h'!C86)</f>
        <v>0</v>
      </c>
      <c r="D86" s="49">
        <f>AVERAGE('19.10 Jinja-Kampala-24hr'!D86,'21.10 jinja-Kampala-24h'!D86)</f>
        <v>1</v>
      </c>
      <c r="E86" s="49">
        <f>AVERAGE('19.10 Jinja-Kampala-24hr'!E86,'21.10 jinja-Kampala-24h'!E86)</f>
        <v>0.5</v>
      </c>
      <c r="F86" s="49">
        <f>AVERAGE('19.10 Jinja-Kampala-24hr'!F86,'21.10 jinja-Kampala-24h'!F86)</f>
        <v>0.5</v>
      </c>
      <c r="G86" s="49">
        <f>AVERAGE('19.10 Jinja-Kampala-24hr'!G86,'21.10 jinja-Kampala-24h'!G86)</f>
        <v>0</v>
      </c>
      <c r="H86" s="49">
        <f>AVERAGE('19.10 Jinja-Kampala-24hr'!H86,'21.10 jinja-Kampala-24h'!H86)</f>
        <v>0.5</v>
      </c>
      <c r="I86" s="49">
        <f>AVERAGE('19.10 Jinja-Kampala-24hr'!I86,'21.10 jinja-Kampala-24h'!I86)</f>
        <v>0.5</v>
      </c>
      <c r="J86" s="49">
        <f>AVERAGE('19.10 Jinja-Kampala-24hr'!J86,'21.10 jinja-Kampala-24h'!J86)</f>
        <v>5</v>
      </c>
      <c r="K86" s="49">
        <f>AVERAGE('19.10 Jinja-Kampala-24hr'!K86,'21.10 jinja-Kampala-24h'!K86)</f>
        <v>1.5</v>
      </c>
      <c r="L86" s="49">
        <f>AVERAGE('19.10 Jinja-Kampala-24hr'!L86,'21.10 jinja-Kampala-24h'!L86)</f>
        <v>4</v>
      </c>
      <c r="M86" s="49">
        <f>AVERAGE('19.10 Jinja-Kampala-24hr'!M86,'21.10 jinja-Kampala-24h'!M86)</f>
        <v>1.5</v>
      </c>
      <c r="N86" s="49">
        <f>AVERAGE('19.10 Jinja-Kampala-24hr'!N86,'21.10 jinja-Kampala-24h'!N86)</f>
        <v>0</v>
      </c>
      <c r="O86" s="15">
        <f t="shared" si="35"/>
        <v>13.5</v>
      </c>
      <c r="P86" s="15">
        <f t="shared" si="36"/>
        <v>15</v>
      </c>
      <c r="R86" s="8"/>
      <c r="T86"/>
    </row>
    <row r="87" spans="2:20" ht="23.1" customHeight="1" x14ac:dyDescent="0.25">
      <c r="B87" s="23" t="s">
        <v>127</v>
      </c>
      <c r="C87" s="49">
        <f>AVERAGE('19.10 Jinja-Kampala-24hr'!C87,'21.10 jinja-Kampala-24h'!C87)</f>
        <v>1</v>
      </c>
      <c r="D87" s="49">
        <f>AVERAGE('19.10 Jinja-Kampala-24hr'!D87,'21.10 jinja-Kampala-24h'!D87)</f>
        <v>1</v>
      </c>
      <c r="E87" s="49">
        <f>AVERAGE('19.10 Jinja-Kampala-24hr'!E87,'21.10 jinja-Kampala-24h'!E87)</f>
        <v>0</v>
      </c>
      <c r="F87" s="49">
        <f>AVERAGE('19.10 Jinja-Kampala-24hr'!F87,'21.10 jinja-Kampala-24h'!F87)</f>
        <v>0</v>
      </c>
      <c r="G87" s="49">
        <f>AVERAGE('19.10 Jinja-Kampala-24hr'!G87,'21.10 jinja-Kampala-24h'!G87)</f>
        <v>0</v>
      </c>
      <c r="H87" s="49">
        <f>AVERAGE('19.10 Jinja-Kampala-24hr'!H87,'21.10 jinja-Kampala-24h'!H87)</f>
        <v>0.5</v>
      </c>
      <c r="I87" s="49">
        <f>AVERAGE('19.10 Jinja-Kampala-24hr'!I87,'21.10 jinja-Kampala-24h'!I87)</f>
        <v>0.5</v>
      </c>
      <c r="J87" s="49">
        <f>AVERAGE('19.10 Jinja-Kampala-24hr'!J87,'21.10 jinja-Kampala-24h'!J87)</f>
        <v>2.5</v>
      </c>
      <c r="K87" s="49">
        <f>AVERAGE('19.10 Jinja-Kampala-24hr'!K87,'21.10 jinja-Kampala-24h'!K87)</f>
        <v>0.5</v>
      </c>
      <c r="L87" s="49">
        <f>AVERAGE('19.10 Jinja-Kampala-24hr'!L87,'21.10 jinja-Kampala-24h'!L87)</f>
        <v>4.5</v>
      </c>
      <c r="M87" s="49">
        <f>AVERAGE('19.10 Jinja-Kampala-24hr'!M87,'21.10 jinja-Kampala-24h'!M87)</f>
        <v>1.5</v>
      </c>
      <c r="N87" s="49">
        <f>AVERAGE('19.10 Jinja-Kampala-24hr'!N87,'21.10 jinja-Kampala-24h'!N87)</f>
        <v>0</v>
      </c>
      <c r="O87" s="15">
        <f t="shared" si="35"/>
        <v>10.5</v>
      </c>
      <c r="P87" s="15">
        <f t="shared" si="36"/>
        <v>12</v>
      </c>
      <c r="R87" s="8"/>
      <c r="T87"/>
    </row>
    <row r="88" spans="2:20" ht="23.1" customHeight="1" x14ac:dyDescent="0.25">
      <c r="B88" s="25" t="s">
        <v>128</v>
      </c>
      <c r="C88" s="49">
        <f>AVERAGE('19.10 Jinja-Kampala-24hr'!C88,'21.10 jinja-Kampala-24h'!C88)</f>
        <v>1</v>
      </c>
      <c r="D88" s="49">
        <f>AVERAGE('19.10 Jinja-Kampala-24hr'!D88,'21.10 jinja-Kampala-24h'!D88)</f>
        <v>0</v>
      </c>
      <c r="E88" s="49">
        <f>AVERAGE('19.10 Jinja-Kampala-24hr'!E88,'21.10 jinja-Kampala-24h'!E88)</f>
        <v>0</v>
      </c>
      <c r="F88" s="49">
        <f>AVERAGE('19.10 Jinja-Kampala-24hr'!F88,'21.10 jinja-Kampala-24h'!F88)</f>
        <v>1</v>
      </c>
      <c r="G88" s="49">
        <f>AVERAGE('19.10 Jinja-Kampala-24hr'!G88,'21.10 jinja-Kampala-24h'!G88)</f>
        <v>0</v>
      </c>
      <c r="H88" s="49">
        <f>AVERAGE('19.10 Jinja-Kampala-24hr'!H88,'21.10 jinja-Kampala-24h'!H88)</f>
        <v>1</v>
      </c>
      <c r="I88" s="49">
        <f>AVERAGE('19.10 Jinja-Kampala-24hr'!I88,'21.10 jinja-Kampala-24h'!I88)</f>
        <v>1.5</v>
      </c>
      <c r="J88" s="49">
        <f>AVERAGE('19.10 Jinja-Kampala-24hr'!J88,'21.10 jinja-Kampala-24h'!J88)</f>
        <v>2.5</v>
      </c>
      <c r="K88" s="49">
        <f>AVERAGE('19.10 Jinja-Kampala-24hr'!K88,'21.10 jinja-Kampala-24h'!K88)</f>
        <v>5</v>
      </c>
      <c r="L88" s="49">
        <f>AVERAGE('19.10 Jinja-Kampala-24hr'!L88,'21.10 jinja-Kampala-24h'!L88)</f>
        <v>6</v>
      </c>
      <c r="M88" s="49">
        <f>AVERAGE('19.10 Jinja-Kampala-24hr'!M88,'21.10 jinja-Kampala-24h'!M88)</f>
        <v>1</v>
      </c>
      <c r="N88" s="49">
        <f>AVERAGE('19.10 Jinja-Kampala-24hr'!N88,'21.10 jinja-Kampala-24h'!N88)</f>
        <v>0</v>
      </c>
      <c r="O88" s="15">
        <f t="shared" si="35"/>
        <v>18</v>
      </c>
      <c r="P88" s="15">
        <f t="shared" si="36"/>
        <v>19</v>
      </c>
      <c r="R88" s="8"/>
      <c r="T88"/>
    </row>
    <row r="89" spans="2:20" ht="23.1" customHeight="1" x14ac:dyDescent="0.25">
      <c r="B89" s="23" t="s">
        <v>129</v>
      </c>
      <c r="C89" s="49">
        <f>AVERAGE('19.10 Jinja-Kampala-24hr'!C89,'21.10 jinja-Kampala-24h'!C89)</f>
        <v>1.5</v>
      </c>
      <c r="D89" s="49">
        <f>AVERAGE('19.10 Jinja-Kampala-24hr'!D89,'21.10 jinja-Kampala-24h'!D89)</f>
        <v>0</v>
      </c>
      <c r="E89" s="49">
        <f>AVERAGE('19.10 Jinja-Kampala-24hr'!E89,'21.10 jinja-Kampala-24h'!E89)</f>
        <v>0</v>
      </c>
      <c r="F89" s="49">
        <f>AVERAGE('19.10 Jinja-Kampala-24hr'!F89,'21.10 jinja-Kampala-24h'!F89)</f>
        <v>0</v>
      </c>
      <c r="G89" s="49">
        <f>AVERAGE('19.10 Jinja-Kampala-24hr'!G89,'21.10 jinja-Kampala-24h'!G89)</f>
        <v>0</v>
      </c>
      <c r="H89" s="49">
        <f>AVERAGE('19.10 Jinja-Kampala-24hr'!H89,'21.10 jinja-Kampala-24h'!H89)</f>
        <v>0.5</v>
      </c>
      <c r="I89" s="49">
        <f>AVERAGE('19.10 Jinja-Kampala-24hr'!I89,'21.10 jinja-Kampala-24h'!I89)</f>
        <v>0</v>
      </c>
      <c r="J89" s="49">
        <f>AVERAGE('19.10 Jinja-Kampala-24hr'!J89,'21.10 jinja-Kampala-24h'!J89)</f>
        <v>4.5</v>
      </c>
      <c r="K89" s="49">
        <f>AVERAGE('19.10 Jinja-Kampala-24hr'!K89,'21.10 jinja-Kampala-24h'!K89)</f>
        <v>2.5</v>
      </c>
      <c r="L89" s="49">
        <f>AVERAGE('19.10 Jinja-Kampala-24hr'!L89,'21.10 jinja-Kampala-24h'!L89)</f>
        <v>5.5</v>
      </c>
      <c r="M89" s="49">
        <f>AVERAGE('19.10 Jinja-Kampala-24hr'!M89,'21.10 jinja-Kampala-24h'!M89)</f>
        <v>0.5</v>
      </c>
      <c r="N89" s="49">
        <f>AVERAGE('19.10 Jinja-Kampala-24hr'!N89,'21.10 jinja-Kampala-24h'!N89)</f>
        <v>0</v>
      </c>
      <c r="O89" s="15">
        <f t="shared" si="35"/>
        <v>14.5</v>
      </c>
      <c r="P89" s="15">
        <f t="shared" si="36"/>
        <v>15</v>
      </c>
      <c r="R89" s="8"/>
      <c r="T89"/>
    </row>
    <row r="90" spans="2:20" ht="23.1" customHeight="1" x14ac:dyDescent="0.25">
      <c r="B90" s="24" t="s">
        <v>130</v>
      </c>
      <c r="C90" s="49">
        <f>AVERAGE('19.10 Jinja-Kampala-24hr'!C90,'21.10 jinja-Kampala-24h'!C90)</f>
        <v>1.5</v>
      </c>
      <c r="D90" s="49">
        <f>AVERAGE('19.10 Jinja-Kampala-24hr'!D90,'21.10 jinja-Kampala-24h'!D90)</f>
        <v>0.5</v>
      </c>
      <c r="E90" s="49">
        <f>AVERAGE('19.10 Jinja-Kampala-24hr'!E90,'21.10 jinja-Kampala-24h'!E90)</f>
        <v>0</v>
      </c>
      <c r="F90" s="49">
        <f>AVERAGE('19.10 Jinja-Kampala-24hr'!F90,'21.10 jinja-Kampala-24h'!F90)</f>
        <v>0</v>
      </c>
      <c r="G90" s="49">
        <f>AVERAGE('19.10 Jinja-Kampala-24hr'!G90,'21.10 jinja-Kampala-24h'!G90)</f>
        <v>0.5</v>
      </c>
      <c r="H90" s="49">
        <f>AVERAGE('19.10 Jinja-Kampala-24hr'!H90,'21.10 jinja-Kampala-24h'!H90)</f>
        <v>0.5</v>
      </c>
      <c r="I90" s="49">
        <f>AVERAGE('19.10 Jinja-Kampala-24hr'!I90,'21.10 jinja-Kampala-24h'!I90)</f>
        <v>1.5</v>
      </c>
      <c r="J90" s="49">
        <f>AVERAGE('19.10 Jinja-Kampala-24hr'!J90,'21.10 jinja-Kampala-24h'!J90)</f>
        <v>3.5</v>
      </c>
      <c r="K90" s="49">
        <f>AVERAGE('19.10 Jinja-Kampala-24hr'!K90,'21.10 jinja-Kampala-24h'!K90)</f>
        <v>3</v>
      </c>
      <c r="L90" s="49">
        <f>AVERAGE('19.10 Jinja-Kampala-24hr'!L90,'21.10 jinja-Kampala-24h'!L90)</f>
        <v>5.5</v>
      </c>
      <c r="M90" s="49">
        <f>AVERAGE('19.10 Jinja-Kampala-24hr'!M90,'21.10 jinja-Kampala-24h'!M90)</f>
        <v>0.5</v>
      </c>
      <c r="N90" s="49">
        <f>AVERAGE('19.10 Jinja-Kampala-24hr'!N90,'21.10 jinja-Kampala-24h'!N90)</f>
        <v>0</v>
      </c>
      <c r="O90" s="15">
        <f t="shared" si="35"/>
        <v>16.5</v>
      </c>
      <c r="P90" s="15">
        <f t="shared" si="36"/>
        <v>17</v>
      </c>
      <c r="R90" s="8"/>
      <c r="T90"/>
    </row>
    <row r="91" spans="2:20" ht="23.1" customHeight="1" x14ac:dyDescent="0.25">
      <c r="B91" s="23" t="s">
        <v>131</v>
      </c>
      <c r="C91" s="49">
        <f>AVERAGE('19.10 Jinja-Kampala-24hr'!C91,'21.10 jinja-Kampala-24h'!C91)</f>
        <v>0</v>
      </c>
      <c r="D91" s="49">
        <f>AVERAGE('19.10 Jinja-Kampala-24hr'!D91,'21.10 jinja-Kampala-24h'!D91)</f>
        <v>0</v>
      </c>
      <c r="E91" s="49">
        <f>AVERAGE('19.10 Jinja-Kampala-24hr'!E91,'21.10 jinja-Kampala-24h'!E91)</f>
        <v>0</v>
      </c>
      <c r="F91" s="49">
        <f>AVERAGE('19.10 Jinja-Kampala-24hr'!F91,'21.10 jinja-Kampala-24h'!F91)</f>
        <v>0.5</v>
      </c>
      <c r="G91" s="49">
        <f>AVERAGE('19.10 Jinja-Kampala-24hr'!G91,'21.10 jinja-Kampala-24h'!G91)</f>
        <v>0</v>
      </c>
      <c r="H91" s="49">
        <f>AVERAGE('19.10 Jinja-Kampala-24hr'!H91,'21.10 jinja-Kampala-24h'!H91)</f>
        <v>1</v>
      </c>
      <c r="I91" s="49">
        <f>AVERAGE('19.10 Jinja-Kampala-24hr'!I91,'21.10 jinja-Kampala-24h'!I91)</f>
        <v>0.5</v>
      </c>
      <c r="J91" s="49">
        <f>AVERAGE('19.10 Jinja-Kampala-24hr'!J91,'21.10 jinja-Kampala-24h'!J91)</f>
        <v>4.5</v>
      </c>
      <c r="K91" s="49">
        <f>AVERAGE('19.10 Jinja-Kampala-24hr'!K91,'21.10 jinja-Kampala-24h'!K91)</f>
        <v>2.5</v>
      </c>
      <c r="L91" s="49">
        <f>AVERAGE('19.10 Jinja-Kampala-24hr'!L91,'21.10 jinja-Kampala-24h'!L91)</f>
        <v>5</v>
      </c>
      <c r="M91" s="49">
        <f>AVERAGE('19.10 Jinja-Kampala-24hr'!M91,'21.10 jinja-Kampala-24h'!M91)</f>
        <v>0</v>
      </c>
      <c r="N91" s="49">
        <f>AVERAGE('19.10 Jinja-Kampala-24hr'!N91,'21.10 jinja-Kampala-24h'!N91)</f>
        <v>0</v>
      </c>
      <c r="O91" s="15">
        <f t="shared" si="35"/>
        <v>14</v>
      </c>
      <c r="P91" s="15">
        <f t="shared" si="36"/>
        <v>14</v>
      </c>
      <c r="R91" s="8"/>
      <c r="T91"/>
    </row>
    <row r="92" spans="2:20" ht="23.1" customHeight="1" x14ac:dyDescent="0.25">
      <c r="B92" s="25" t="s">
        <v>132</v>
      </c>
      <c r="C92" s="49">
        <f>AVERAGE('19.10 Jinja-Kampala-24hr'!C92,'21.10 jinja-Kampala-24h'!C92)</f>
        <v>0.5</v>
      </c>
      <c r="D92" s="49">
        <f>AVERAGE('19.10 Jinja-Kampala-24hr'!D92,'21.10 jinja-Kampala-24h'!D92)</f>
        <v>0</v>
      </c>
      <c r="E92" s="49">
        <f>AVERAGE('19.10 Jinja-Kampala-24hr'!E92,'21.10 jinja-Kampala-24h'!E92)</f>
        <v>0</v>
      </c>
      <c r="F92" s="49">
        <f>AVERAGE('19.10 Jinja-Kampala-24hr'!F92,'21.10 jinja-Kampala-24h'!F92)</f>
        <v>1</v>
      </c>
      <c r="G92" s="49">
        <f>AVERAGE('19.10 Jinja-Kampala-24hr'!G92,'21.10 jinja-Kampala-24h'!G92)</f>
        <v>0</v>
      </c>
      <c r="H92" s="49">
        <f>AVERAGE('19.10 Jinja-Kampala-24hr'!H92,'21.10 jinja-Kampala-24h'!H92)</f>
        <v>0.5</v>
      </c>
      <c r="I92" s="49">
        <f>AVERAGE('19.10 Jinja-Kampala-24hr'!I92,'21.10 jinja-Kampala-24h'!I92)</f>
        <v>1</v>
      </c>
      <c r="J92" s="49">
        <f>AVERAGE('19.10 Jinja-Kampala-24hr'!J92,'21.10 jinja-Kampala-24h'!J92)</f>
        <v>4</v>
      </c>
      <c r="K92" s="49">
        <f>AVERAGE('19.10 Jinja-Kampala-24hr'!K92,'21.10 jinja-Kampala-24h'!K92)</f>
        <v>3.5</v>
      </c>
      <c r="L92" s="49">
        <f>AVERAGE('19.10 Jinja-Kampala-24hr'!L92,'21.10 jinja-Kampala-24h'!L92)</f>
        <v>5.5</v>
      </c>
      <c r="M92" s="49">
        <f>AVERAGE('19.10 Jinja-Kampala-24hr'!M92,'21.10 jinja-Kampala-24h'!M92)</f>
        <v>1.5</v>
      </c>
      <c r="N92" s="49">
        <f>AVERAGE('19.10 Jinja-Kampala-24hr'!N92,'21.10 jinja-Kampala-24h'!N92)</f>
        <v>0</v>
      </c>
      <c r="O92" s="15">
        <f t="shared" si="35"/>
        <v>16</v>
      </c>
      <c r="P92" s="15">
        <f t="shared" si="36"/>
        <v>17.5</v>
      </c>
      <c r="R92" s="8"/>
      <c r="T92"/>
    </row>
    <row r="93" spans="2:20" ht="23.1" customHeight="1" x14ac:dyDescent="0.25">
      <c r="B93" s="23" t="s">
        <v>133</v>
      </c>
      <c r="C93" s="49">
        <f>AVERAGE('19.10 Jinja-Kampala-24hr'!C93,'21.10 jinja-Kampala-24h'!C93)</f>
        <v>2.5</v>
      </c>
      <c r="D93" s="49">
        <f>AVERAGE('19.10 Jinja-Kampala-24hr'!D93,'21.10 jinja-Kampala-24h'!D93)</f>
        <v>0.5</v>
      </c>
      <c r="E93" s="49">
        <f>AVERAGE('19.10 Jinja-Kampala-24hr'!E93,'21.10 jinja-Kampala-24h'!E93)</f>
        <v>0</v>
      </c>
      <c r="F93" s="49">
        <f>AVERAGE('19.10 Jinja-Kampala-24hr'!F93,'21.10 jinja-Kampala-24h'!F93)</f>
        <v>5</v>
      </c>
      <c r="G93" s="49">
        <f>AVERAGE('19.10 Jinja-Kampala-24hr'!G93,'21.10 jinja-Kampala-24h'!G93)</f>
        <v>0</v>
      </c>
      <c r="H93" s="49">
        <f>AVERAGE('19.10 Jinja-Kampala-24hr'!H93,'21.10 jinja-Kampala-24h'!H93)</f>
        <v>0.5</v>
      </c>
      <c r="I93" s="49">
        <f>AVERAGE('19.10 Jinja-Kampala-24hr'!I93,'21.10 jinja-Kampala-24h'!I93)</f>
        <v>0</v>
      </c>
      <c r="J93" s="49">
        <f>AVERAGE('19.10 Jinja-Kampala-24hr'!J93,'21.10 jinja-Kampala-24h'!J93)</f>
        <v>2.5</v>
      </c>
      <c r="K93" s="49">
        <f>AVERAGE('19.10 Jinja-Kampala-24hr'!K93,'21.10 jinja-Kampala-24h'!K93)</f>
        <v>3</v>
      </c>
      <c r="L93" s="49">
        <f>AVERAGE('19.10 Jinja-Kampala-24hr'!L93,'21.10 jinja-Kampala-24h'!L93)</f>
        <v>7</v>
      </c>
      <c r="M93" s="49">
        <f>AVERAGE('19.10 Jinja-Kampala-24hr'!M93,'21.10 jinja-Kampala-24h'!M93)</f>
        <v>1</v>
      </c>
      <c r="N93" s="49">
        <f>AVERAGE('19.10 Jinja-Kampala-24hr'!N93,'21.10 jinja-Kampala-24h'!N93)</f>
        <v>0</v>
      </c>
      <c r="O93" s="15">
        <f t="shared" si="35"/>
        <v>21</v>
      </c>
      <c r="P93" s="15">
        <f t="shared" si="36"/>
        <v>22</v>
      </c>
      <c r="R93" s="8"/>
      <c r="T93"/>
    </row>
    <row r="94" spans="2:20" ht="23.1" customHeight="1" x14ac:dyDescent="0.25">
      <c r="B94" s="24" t="s">
        <v>134</v>
      </c>
      <c r="C94" s="49">
        <f>AVERAGE('19.10 Jinja-Kampala-24hr'!C94,'21.10 jinja-Kampala-24h'!C94)</f>
        <v>2</v>
      </c>
      <c r="D94" s="49">
        <f>AVERAGE('19.10 Jinja-Kampala-24hr'!D94,'21.10 jinja-Kampala-24h'!D94)</f>
        <v>1.5</v>
      </c>
      <c r="E94" s="49">
        <f>AVERAGE('19.10 Jinja-Kampala-24hr'!E94,'21.10 jinja-Kampala-24h'!E94)</f>
        <v>0</v>
      </c>
      <c r="F94" s="49">
        <f>AVERAGE('19.10 Jinja-Kampala-24hr'!F94,'21.10 jinja-Kampala-24h'!F94)</f>
        <v>4.5</v>
      </c>
      <c r="G94" s="49">
        <f>AVERAGE('19.10 Jinja-Kampala-24hr'!G94,'21.10 jinja-Kampala-24h'!G94)</f>
        <v>0.5</v>
      </c>
      <c r="H94" s="49">
        <f>AVERAGE('19.10 Jinja-Kampala-24hr'!H94,'21.10 jinja-Kampala-24h'!H94)</f>
        <v>1</v>
      </c>
      <c r="I94" s="49">
        <f>AVERAGE('19.10 Jinja-Kampala-24hr'!I94,'21.10 jinja-Kampala-24h'!I94)</f>
        <v>1</v>
      </c>
      <c r="J94" s="49">
        <f>AVERAGE('19.10 Jinja-Kampala-24hr'!J94,'21.10 jinja-Kampala-24h'!J94)</f>
        <v>5.5</v>
      </c>
      <c r="K94" s="49">
        <f>AVERAGE('19.10 Jinja-Kampala-24hr'!K94,'21.10 jinja-Kampala-24h'!K94)</f>
        <v>4</v>
      </c>
      <c r="L94" s="49">
        <f>AVERAGE('19.10 Jinja-Kampala-24hr'!L94,'21.10 jinja-Kampala-24h'!L94)</f>
        <v>10</v>
      </c>
      <c r="M94" s="49">
        <f>AVERAGE('19.10 Jinja-Kampala-24hr'!M94,'21.10 jinja-Kampala-24h'!M94)</f>
        <v>1</v>
      </c>
      <c r="N94" s="49">
        <f>AVERAGE('19.10 Jinja-Kampala-24hr'!N94,'21.10 jinja-Kampala-24h'!N94)</f>
        <v>0</v>
      </c>
      <c r="O94" s="15">
        <f t="shared" si="35"/>
        <v>30</v>
      </c>
      <c r="P94" s="15">
        <f t="shared" si="36"/>
        <v>31</v>
      </c>
      <c r="R94" s="8"/>
      <c r="T94"/>
    </row>
    <row r="95" spans="2:20" ht="23.1" customHeight="1" x14ac:dyDescent="0.25">
      <c r="B95" s="23" t="s">
        <v>135</v>
      </c>
      <c r="C95" s="49">
        <f>AVERAGE('19.10 Jinja-Kampala-24hr'!C95,'21.10 jinja-Kampala-24h'!C95)</f>
        <v>1.5</v>
      </c>
      <c r="D95" s="49">
        <f>AVERAGE('19.10 Jinja-Kampala-24hr'!D95,'21.10 jinja-Kampala-24h'!D95)</f>
        <v>1</v>
      </c>
      <c r="E95" s="49">
        <f>AVERAGE('19.10 Jinja-Kampala-24hr'!E95,'21.10 jinja-Kampala-24h'!E95)</f>
        <v>1.5</v>
      </c>
      <c r="F95" s="49">
        <f>AVERAGE('19.10 Jinja-Kampala-24hr'!F95,'21.10 jinja-Kampala-24h'!F95)</f>
        <v>3.5</v>
      </c>
      <c r="G95" s="49">
        <f>AVERAGE('19.10 Jinja-Kampala-24hr'!G95,'21.10 jinja-Kampala-24h'!G95)</f>
        <v>1.5</v>
      </c>
      <c r="H95" s="49">
        <f>AVERAGE('19.10 Jinja-Kampala-24hr'!H95,'21.10 jinja-Kampala-24h'!H95)</f>
        <v>2</v>
      </c>
      <c r="I95" s="49">
        <f>AVERAGE('19.10 Jinja-Kampala-24hr'!I95,'21.10 jinja-Kampala-24h'!I95)</f>
        <v>0.5</v>
      </c>
      <c r="J95" s="49">
        <f>AVERAGE('19.10 Jinja-Kampala-24hr'!J95,'21.10 jinja-Kampala-24h'!J95)</f>
        <v>3</v>
      </c>
      <c r="K95" s="49">
        <f>AVERAGE('19.10 Jinja-Kampala-24hr'!K95,'21.10 jinja-Kampala-24h'!K95)</f>
        <v>1.5</v>
      </c>
      <c r="L95" s="49">
        <f>AVERAGE('19.10 Jinja-Kampala-24hr'!L95,'21.10 jinja-Kampala-24h'!L95)</f>
        <v>11</v>
      </c>
      <c r="M95" s="49">
        <f>AVERAGE('19.10 Jinja-Kampala-24hr'!M95,'21.10 jinja-Kampala-24h'!M95)</f>
        <v>2</v>
      </c>
      <c r="N95" s="49">
        <f>AVERAGE('19.10 Jinja-Kampala-24hr'!N95,'21.10 jinja-Kampala-24h'!N95)</f>
        <v>0</v>
      </c>
      <c r="O95" s="15">
        <f t="shared" si="35"/>
        <v>27</v>
      </c>
      <c r="P95" s="15">
        <f t="shared" si="36"/>
        <v>29</v>
      </c>
      <c r="R95" s="8"/>
      <c r="T95"/>
    </row>
    <row r="96" spans="2:20" ht="23.1" customHeight="1" x14ac:dyDescent="0.25">
      <c r="B96" s="25" t="s">
        <v>136</v>
      </c>
      <c r="C96" s="49">
        <f>AVERAGE('19.10 Jinja-Kampala-24hr'!C96,'21.10 jinja-Kampala-24h'!C96)</f>
        <v>3</v>
      </c>
      <c r="D96" s="49">
        <f>AVERAGE('19.10 Jinja-Kampala-24hr'!D96,'21.10 jinja-Kampala-24h'!D96)</f>
        <v>0.5</v>
      </c>
      <c r="E96" s="49">
        <f>AVERAGE('19.10 Jinja-Kampala-24hr'!E96,'21.10 jinja-Kampala-24h'!E96)</f>
        <v>0</v>
      </c>
      <c r="F96" s="49">
        <f>AVERAGE('19.10 Jinja-Kampala-24hr'!F96,'21.10 jinja-Kampala-24h'!F96)</f>
        <v>4.5</v>
      </c>
      <c r="G96" s="49">
        <f>AVERAGE('19.10 Jinja-Kampala-24hr'!G96,'21.10 jinja-Kampala-24h'!G96)</f>
        <v>0</v>
      </c>
      <c r="H96" s="49">
        <f>AVERAGE('19.10 Jinja-Kampala-24hr'!H96,'21.10 jinja-Kampala-24h'!H96)</f>
        <v>0.5</v>
      </c>
      <c r="I96" s="49">
        <f>AVERAGE('19.10 Jinja-Kampala-24hr'!I96,'21.10 jinja-Kampala-24h'!I96)</f>
        <v>0.5</v>
      </c>
      <c r="J96" s="49">
        <f>AVERAGE('19.10 Jinja-Kampala-24hr'!J96,'21.10 jinja-Kampala-24h'!J96)</f>
        <v>3.5</v>
      </c>
      <c r="K96" s="49">
        <f>AVERAGE('19.10 Jinja-Kampala-24hr'!K96,'21.10 jinja-Kampala-24h'!K96)</f>
        <v>1.5</v>
      </c>
      <c r="L96" s="49">
        <f>AVERAGE('19.10 Jinja-Kampala-24hr'!L96,'21.10 jinja-Kampala-24h'!L96)</f>
        <v>5</v>
      </c>
      <c r="M96" s="49">
        <f>AVERAGE('19.10 Jinja-Kampala-24hr'!M96,'21.10 jinja-Kampala-24h'!M96)</f>
        <v>31.5</v>
      </c>
      <c r="N96" s="49">
        <f>AVERAGE('19.10 Jinja-Kampala-24hr'!N96,'21.10 jinja-Kampala-24h'!N96)</f>
        <v>0</v>
      </c>
      <c r="O96" s="15">
        <f t="shared" si="35"/>
        <v>19</v>
      </c>
      <c r="P96" s="15">
        <f t="shared" si="36"/>
        <v>50.5</v>
      </c>
      <c r="R96" s="8"/>
      <c r="T96"/>
    </row>
    <row r="97" spans="2:20" ht="23.1" customHeight="1" x14ac:dyDescent="0.25">
      <c r="B97" s="23" t="s">
        <v>137</v>
      </c>
      <c r="C97" s="49">
        <f>AVERAGE('19.10 Jinja-Kampala-24hr'!C97,'21.10 jinja-Kampala-24h'!C97)</f>
        <v>2.5</v>
      </c>
      <c r="D97" s="49">
        <f>AVERAGE('19.10 Jinja-Kampala-24hr'!D97,'21.10 jinja-Kampala-24h'!D97)</f>
        <v>0</v>
      </c>
      <c r="E97" s="49">
        <f>AVERAGE('19.10 Jinja-Kampala-24hr'!E97,'21.10 jinja-Kampala-24h'!E97)</f>
        <v>0</v>
      </c>
      <c r="F97" s="49">
        <f>AVERAGE('19.10 Jinja-Kampala-24hr'!F97,'21.10 jinja-Kampala-24h'!F97)</f>
        <v>7</v>
      </c>
      <c r="G97" s="49">
        <f>AVERAGE('19.10 Jinja-Kampala-24hr'!G97,'21.10 jinja-Kampala-24h'!G97)</f>
        <v>0</v>
      </c>
      <c r="H97" s="49">
        <f>AVERAGE('19.10 Jinja-Kampala-24hr'!H97,'21.10 jinja-Kampala-24h'!H97)</f>
        <v>1</v>
      </c>
      <c r="I97" s="49">
        <f>AVERAGE('19.10 Jinja-Kampala-24hr'!I97,'21.10 jinja-Kampala-24h'!I97)</f>
        <v>0.5</v>
      </c>
      <c r="J97" s="49">
        <f>AVERAGE('19.10 Jinja-Kampala-24hr'!J97,'21.10 jinja-Kampala-24h'!J97)</f>
        <v>2</v>
      </c>
      <c r="K97" s="49">
        <f>AVERAGE('19.10 Jinja-Kampala-24hr'!K97,'21.10 jinja-Kampala-24h'!K97)</f>
        <v>3.5</v>
      </c>
      <c r="L97" s="49">
        <f>AVERAGE('19.10 Jinja-Kampala-24hr'!L97,'21.10 jinja-Kampala-24h'!L97)</f>
        <v>11</v>
      </c>
      <c r="M97" s="49">
        <f>AVERAGE('19.10 Jinja-Kampala-24hr'!M97,'21.10 jinja-Kampala-24h'!M97)</f>
        <v>3.5</v>
      </c>
      <c r="N97" s="49">
        <f>AVERAGE('19.10 Jinja-Kampala-24hr'!N97,'21.10 jinja-Kampala-24h'!N97)</f>
        <v>0</v>
      </c>
      <c r="O97" s="15">
        <f t="shared" si="35"/>
        <v>27.5</v>
      </c>
      <c r="P97" s="15">
        <f t="shared" si="36"/>
        <v>31</v>
      </c>
      <c r="R97" s="8"/>
      <c r="T97"/>
    </row>
    <row r="98" spans="2:20" ht="23.1" customHeight="1" x14ac:dyDescent="0.25">
      <c r="B98" s="24" t="s">
        <v>138</v>
      </c>
      <c r="C98" s="49">
        <f>AVERAGE('19.10 Jinja-Kampala-24hr'!C98,'21.10 jinja-Kampala-24h'!C98)</f>
        <v>1.5</v>
      </c>
      <c r="D98" s="49">
        <f>AVERAGE('19.10 Jinja-Kampala-24hr'!D98,'21.10 jinja-Kampala-24h'!D98)</f>
        <v>1</v>
      </c>
      <c r="E98" s="49">
        <f>AVERAGE('19.10 Jinja-Kampala-24hr'!E98,'21.10 jinja-Kampala-24h'!E98)</f>
        <v>1.5</v>
      </c>
      <c r="F98" s="49">
        <f>AVERAGE('19.10 Jinja-Kampala-24hr'!F98,'21.10 jinja-Kampala-24h'!F98)</f>
        <v>8</v>
      </c>
      <c r="G98" s="49">
        <f>AVERAGE('19.10 Jinja-Kampala-24hr'!G98,'21.10 jinja-Kampala-24h'!G98)</f>
        <v>0</v>
      </c>
      <c r="H98" s="49">
        <f>AVERAGE('19.10 Jinja-Kampala-24hr'!H98,'21.10 jinja-Kampala-24h'!H98)</f>
        <v>2</v>
      </c>
      <c r="I98" s="49">
        <f>AVERAGE('19.10 Jinja-Kampala-24hr'!I98,'21.10 jinja-Kampala-24h'!I98)</f>
        <v>1.5</v>
      </c>
      <c r="J98" s="49">
        <f>AVERAGE('19.10 Jinja-Kampala-24hr'!J98,'21.10 jinja-Kampala-24h'!J98)</f>
        <v>3.5</v>
      </c>
      <c r="K98" s="49">
        <f>AVERAGE('19.10 Jinja-Kampala-24hr'!K98,'21.10 jinja-Kampala-24h'!K98)</f>
        <v>5.5</v>
      </c>
      <c r="L98" s="49">
        <f>AVERAGE('19.10 Jinja-Kampala-24hr'!L98,'21.10 jinja-Kampala-24h'!L98)</f>
        <v>8.5</v>
      </c>
      <c r="M98" s="49">
        <f>AVERAGE('19.10 Jinja-Kampala-24hr'!M98,'21.10 jinja-Kampala-24h'!M98)</f>
        <v>4</v>
      </c>
      <c r="N98" s="49">
        <f>AVERAGE('19.10 Jinja-Kampala-24hr'!N98,'21.10 jinja-Kampala-24h'!N98)</f>
        <v>0</v>
      </c>
      <c r="O98" s="15">
        <f t="shared" si="35"/>
        <v>33</v>
      </c>
      <c r="P98" s="15">
        <f t="shared" si="36"/>
        <v>37</v>
      </c>
      <c r="R98" s="8"/>
      <c r="T98"/>
    </row>
    <row r="99" spans="2:20" ht="23.1" customHeight="1" x14ac:dyDescent="0.25">
      <c r="B99" s="23" t="s">
        <v>139</v>
      </c>
      <c r="C99" s="49">
        <f>AVERAGE('19.10 Jinja-Kampala-24hr'!C99,'21.10 jinja-Kampala-24h'!C99)</f>
        <v>3</v>
      </c>
      <c r="D99" s="49">
        <f>AVERAGE('19.10 Jinja-Kampala-24hr'!D99,'21.10 jinja-Kampala-24h'!D99)</f>
        <v>3</v>
      </c>
      <c r="E99" s="49">
        <f>AVERAGE('19.10 Jinja-Kampala-24hr'!E99,'21.10 jinja-Kampala-24h'!E99)</f>
        <v>0.5</v>
      </c>
      <c r="F99" s="49">
        <f>AVERAGE('19.10 Jinja-Kampala-24hr'!F99,'21.10 jinja-Kampala-24h'!F99)</f>
        <v>12</v>
      </c>
      <c r="G99" s="49">
        <f>AVERAGE('19.10 Jinja-Kampala-24hr'!G99,'21.10 jinja-Kampala-24h'!G99)</f>
        <v>0.5</v>
      </c>
      <c r="H99" s="49">
        <f>AVERAGE('19.10 Jinja-Kampala-24hr'!H99,'21.10 jinja-Kampala-24h'!H99)</f>
        <v>2</v>
      </c>
      <c r="I99" s="49">
        <f>AVERAGE('19.10 Jinja-Kampala-24hr'!I99,'21.10 jinja-Kampala-24h'!I99)</f>
        <v>1.5</v>
      </c>
      <c r="J99" s="49">
        <f>AVERAGE('19.10 Jinja-Kampala-24hr'!J99,'21.10 jinja-Kampala-24h'!J99)</f>
        <v>2.5</v>
      </c>
      <c r="K99" s="49">
        <f>AVERAGE('19.10 Jinja-Kampala-24hr'!K99,'21.10 jinja-Kampala-24h'!K99)</f>
        <v>4</v>
      </c>
      <c r="L99" s="49">
        <f>AVERAGE('19.10 Jinja-Kampala-24hr'!L99,'21.10 jinja-Kampala-24h'!L99)</f>
        <v>14</v>
      </c>
      <c r="M99" s="49">
        <f>AVERAGE('19.10 Jinja-Kampala-24hr'!M99,'21.10 jinja-Kampala-24h'!M99)</f>
        <v>5</v>
      </c>
      <c r="N99" s="49">
        <f>AVERAGE('19.10 Jinja-Kampala-24hr'!N99,'21.10 jinja-Kampala-24h'!N99)</f>
        <v>0</v>
      </c>
      <c r="O99" s="15">
        <f t="shared" si="35"/>
        <v>43</v>
      </c>
      <c r="P99" s="15">
        <f t="shared" si="36"/>
        <v>48</v>
      </c>
      <c r="R99" s="8"/>
      <c r="T99"/>
    </row>
    <row r="100" spans="2:20" ht="23.1" customHeight="1" x14ac:dyDescent="0.25">
      <c r="B100" s="25" t="s">
        <v>140</v>
      </c>
      <c r="C100" s="49">
        <f>AVERAGE('19.10 Jinja-Kampala-24hr'!C100,'21.10 jinja-Kampala-24h'!C100)</f>
        <v>7</v>
      </c>
      <c r="D100" s="49">
        <f>AVERAGE('19.10 Jinja-Kampala-24hr'!D100,'21.10 jinja-Kampala-24h'!D100)</f>
        <v>4</v>
      </c>
      <c r="E100" s="49">
        <f>AVERAGE('19.10 Jinja-Kampala-24hr'!E100,'21.10 jinja-Kampala-24h'!E100)</f>
        <v>0.5</v>
      </c>
      <c r="F100" s="49">
        <f>AVERAGE('19.10 Jinja-Kampala-24hr'!F100,'21.10 jinja-Kampala-24h'!F100)</f>
        <v>15</v>
      </c>
      <c r="G100" s="49">
        <f>AVERAGE('19.10 Jinja-Kampala-24hr'!G100,'21.10 jinja-Kampala-24h'!G100)</f>
        <v>0</v>
      </c>
      <c r="H100" s="49">
        <f>AVERAGE('19.10 Jinja-Kampala-24hr'!H100,'21.10 jinja-Kampala-24h'!H100)</f>
        <v>2</v>
      </c>
      <c r="I100" s="49">
        <f>AVERAGE('19.10 Jinja-Kampala-24hr'!I100,'21.10 jinja-Kampala-24h'!I100)</f>
        <v>1.5</v>
      </c>
      <c r="J100" s="49">
        <f>AVERAGE('19.10 Jinja-Kampala-24hr'!J100,'21.10 jinja-Kampala-24h'!J100)</f>
        <v>6.5</v>
      </c>
      <c r="K100" s="49">
        <f>AVERAGE('19.10 Jinja-Kampala-24hr'!K100,'21.10 jinja-Kampala-24h'!K100)</f>
        <v>10</v>
      </c>
      <c r="L100" s="49">
        <f>AVERAGE('19.10 Jinja-Kampala-24hr'!L100,'21.10 jinja-Kampala-24h'!L100)</f>
        <v>17.5</v>
      </c>
      <c r="M100" s="49">
        <f>AVERAGE('19.10 Jinja-Kampala-24hr'!M100,'21.10 jinja-Kampala-24h'!M100)</f>
        <v>6</v>
      </c>
      <c r="N100" s="49">
        <f>AVERAGE('19.10 Jinja-Kampala-24hr'!N100,'21.10 jinja-Kampala-24h'!N100)</f>
        <v>0</v>
      </c>
      <c r="O100" s="15">
        <f t="shared" si="35"/>
        <v>64</v>
      </c>
      <c r="P100" s="15">
        <f t="shared" si="36"/>
        <v>70</v>
      </c>
      <c r="R100" s="8"/>
      <c r="T100"/>
    </row>
    <row r="101" spans="2:20" ht="23.1" customHeight="1" x14ac:dyDescent="0.25">
      <c r="B101" s="23" t="s">
        <v>141</v>
      </c>
      <c r="C101" s="49">
        <f>AVERAGE('19.10 Jinja-Kampala-24hr'!C101,'21.10 jinja-Kampala-24h'!C101)</f>
        <v>1</v>
      </c>
      <c r="D101" s="49">
        <f>AVERAGE('19.10 Jinja-Kampala-24hr'!D101,'21.10 jinja-Kampala-24h'!D101)</f>
        <v>0.5</v>
      </c>
      <c r="E101" s="49">
        <f>AVERAGE('19.10 Jinja-Kampala-24hr'!E101,'21.10 jinja-Kampala-24h'!E101)</f>
        <v>1.5</v>
      </c>
      <c r="F101" s="49">
        <f>AVERAGE('19.10 Jinja-Kampala-24hr'!F101,'21.10 jinja-Kampala-24h'!F101)</f>
        <v>12.5</v>
      </c>
      <c r="G101" s="49">
        <f>AVERAGE('19.10 Jinja-Kampala-24hr'!G101,'21.10 jinja-Kampala-24h'!G101)</f>
        <v>0</v>
      </c>
      <c r="H101" s="49">
        <f>AVERAGE('19.10 Jinja-Kampala-24hr'!H101,'21.10 jinja-Kampala-24h'!H101)</f>
        <v>0.5</v>
      </c>
      <c r="I101" s="49">
        <f>AVERAGE('19.10 Jinja-Kampala-24hr'!I101,'21.10 jinja-Kampala-24h'!I101)</f>
        <v>1.5</v>
      </c>
      <c r="J101" s="49">
        <f>AVERAGE('19.10 Jinja-Kampala-24hr'!J101,'21.10 jinja-Kampala-24h'!J101)</f>
        <v>2</v>
      </c>
      <c r="K101" s="49">
        <f>AVERAGE('19.10 Jinja-Kampala-24hr'!K101,'21.10 jinja-Kampala-24h'!K101)</f>
        <v>3</v>
      </c>
      <c r="L101" s="49">
        <f>AVERAGE('19.10 Jinja-Kampala-24hr'!L101,'21.10 jinja-Kampala-24h'!L101)</f>
        <v>6.5</v>
      </c>
      <c r="M101" s="49">
        <f>AVERAGE('19.10 Jinja-Kampala-24hr'!M101,'21.10 jinja-Kampala-24h'!M101)</f>
        <v>3</v>
      </c>
      <c r="N101" s="49">
        <f>AVERAGE('19.10 Jinja-Kampala-24hr'!N101,'21.10 jinja-Kampala-24h'!N101)</f>
        <v>0</v>
      </c>
      <c r="O101" s="15">
        <f t="shared" si="35"/>
        <v>29</v>
      </c>
      <c r="P101" s="15">
        <f t="shared" si="36"/>
        <v>32</v>
      </c>
      <c r="R101" s="8"/>
      <c r="T101"/>
    </row>
    <row r="102" spans="2:20" ht="23.1" customHeight="1" x14ac:dyDescent="0.25">
      <c r="B102" s="24" t="s">
        <v>142</v>
      </c>
      <c r="C102" s="49">
        <f>AVERAGE('19.10 Jinja-Kampala-24hr'!C102,'21.10 jinja-Kampala-24h'!C102)</f>
        <v>2</v>
      </c>
      <c r="D102" s="49">
        <f>AVERAGE('19.10 Jinja-Kampala-24hr'!D102,'21.10 jinja-Kampala-24h'!D102)</f>
        <v>0.5</v>
      </c>
      <c r="E102" s="49">
        <f>AVERAGE('19.10 Jinja-Kampala-24hr'!E102,'21.10 jinja-Kampala-24h'!E102)</f>
        <v>0</v>
      </c>
      <c r="F102" s="49">
        <f>AVERAGE('19.10 Jinja-Kampala-24hr'!F102,'21.10 jinja-Kampala-24h'!F102)</f>
        <v>15</v>
      </c>
      <c r="G102" s="49">
        <f>AVERAGE('19.10 Jinja-Kampala-24hr'!G102,'21.10 jinja-Kampala-24h'!G102)</f>
        <v>0.5</v>
      </c>
      <c r="H102" s="49">
        <f>AVERAGE('19.10 Jinja-Kampala-24hr'!H102,'21.10 jinja-Kampala-24h'!H102)</f>
        <v>1.5</v>
      </c>
      <c r="I102" s="49">
        <f>AVERAGE('19.10 Jinja-Kampala-24hr'!I102,'21.10 jinja-Kampala-24h'!I102)</f>
        <v>1</v>
      </c>
      <c r="J102" s="49">
        <f>AVERAGE('19.10 Jinja-Kampala-24hr'!J102,'21.10 jinja-Kampala-24h'!J102)</f>
        <v>6.5</v>
      </c>
      <c r="K102" s="49">
        <f>AVERAGE('19.10 Jinja-Kampala-24hr'!K102,'21.10 jinja-Kampala-24h'!K102)</f>
        <v>2.5</v>
      </c>
      <c r="L102" s="49">
        <f>AVERAGE('19.10 Jinja-Kampala-24hr'!L102,'21.10 jinja-Kampala-24h'!L102)</f>
        <v>8.5</v>
      </c>
      <c r="M102" s="49">
        <f>AVERAGE('19.10 Jinja-Kampala-24hr'!M102,'21.10 jinja-Kampala-24h'!M102)</f>
        <v>11.5</v>
      </c>
      <c r="N102" s="49">
        <f>AVERAGE('19.10 Jinja-Kampala-24hr'!N102,'21.10 jinja-Kampala-24h'!N102)</f>
        <v>0</v>
      </c>
      <c r="O102" s="15">
        <f t="shared" si="35"/>
        <v>38</v>
      </c>
      <c r="P102" s="15">
        <f t="shared" si="36"/>
        <v>49.5</v>
      </c>
      <c r="R102" s="8"/>
      <c r="T102"/>
    </row>
    <row r="103" spans="2:20" ht="23.1" customHeight="1" x14ac:dyDescent="0.25">
      <c r="B103" s="23" t="s">
        <v>143</v>
      </c>
      <c r="C103" s="49">
        <f>AVERAGE('19.10 Jinja-Kampala-24hr'!C103,'21.10 jinja-Kampala-24h'!C103)</f>
        <v>4.5</v>
      </c>
      <c r="D103" s="49">
        <f>AVERAGE('19.10 Jinja-Kampala-24hr'!D103,'21.10 jinja-Kampala-24h'!D103)</f>
        <v>1</v>
      </c>
      <c r="E103" s="49">
        <f>AVERAGE('19.10 Jinja-Kampala-24hr'!E103,'21.10 jinja-Kampala-24h'!E103)</f>
        <v>0</v>
      </c>
      <c r="F103" s="49">
        <f>AVERAGE('19.10 Jinja-Kampala-24hr'!F103,'21.10 jinja-Kampala-24h'!F103)</f>
        <v>16.5</v>
      </c>
      <c r="G103" s="49">
        <f>AVERAGE('19.10 Jinja-Kampala-24hr'!G103,'21.10 jinja-Kampala-24h'!G103)</f>
        <v>0</v>
      </c>
      <c r="H103" s="49">
        <f>AVERAGE('19.10 Jinja-Kampala-24hr'!H103,'21.10 jinja-Kampala-24h'!H103)</f>
        <v>0.5</v>
      </c>
      <c r="I103" s="49">
        <f>AVERAGE('19.10 Jinja-Kampala-24hr'!I103,'21.10 jinja-Kampala-24h'!I103)</f>
        <v>0</v>
      </c>
      <c r="J103" s="49">
        <f>AVERAGE('19.10 Jinja-Kampala-24hr'!J103,'21.10 jinja-Kampala-24h'!J103)</f>
        <v>0.5</v>
      </c>
      <c r="K103" s="49">
        <f>AVERAGE('19.10 Jinja-Kampala-24hr'!K103,'21.10 jinja-Kampala-24h'!K103)</f>
        <v>1.5</v>
      </c>
      <c r="L103" s="49">
        <f>AVERAGE('19.10 Jinja-Kampala-24hr'!L103,'21.10 jinja-Kampala-24h'!L103)</f>
        <v>45</v>
      </c>
      <c r="M103" s="49">
        <f>AVERAGE('19.10 Jinja-Kampala-24hr'!M103,'21.10 jinja-Kampala-24h'!M103)</f>
        <v>0</v>
      </c>
      <c r="N103" s="49">
        <f>AVERAGE('19.10 Jinja-Kampala-24hr'!N103,'21.10 jinja-Kampala-24h'!N103)</f>
        <v>0</v>
      </c>
      <c r="O103" s="15">
        <f t="shared" si="35"/>
        <v>69.5</v>
      </c>
      <c r="P103" s="15">
        <f t="shared" si="36"/>
        <v>69.5</v>
      </c>
      <c r="R103" s="8"/>
      <c r="T103"/>
    </row>
    <row r="104" spans="2:20" ht="23.1" customHeight="1" x14ac:dyDescent="0.25">
      <c r="B104" s="25" t="s">
        <v>144</v>
      </c>
      <c r="C104" s="49">
        <f>AVERAGE('19.10 Jinja-Kampala-24hr'!C104,'21.10 jinja-Kampala-24h'!C104)</f>
        <v>9.5</v>
      </c>
      <c r="D104" s="49">
        <f>AVERAGE('19.10 Jinja-Kampala-24hr'!D104,'21.10 jinja-Kampala-24h'!D104)</f>
        <v>3</v>
      </c>
      <c r="E104" s="49">
        <f>AVERAGE('19.10 Jinja-Kampala-24hr'!E104,'21.10 jinja-Kampala-24h'!E104)</f>
        <v>3</v>
      </c>
      <c r="F104" s="49">
        <f>AVERAGE('19.10 Jinja-Kampala-24hr'!F104,'21.10 jinja-Kampala-24h'!F104)</f>
        <v>28.5</v>
      </c>
      <c r="G104" s="49">
        <f>AVERAGE('19.10 Jinja-Kampala-24hr'!G104,'21.10 jinja-Kampala-24h'!G104)</f>
        <v>0.5</v>
      </c>
      <c r="H104" s="49">
        <f>AVERAGE('19.10 Jinja-Kampala-24hr'!H104,'21.10 jinja-Kampala-24h'!H104)</f>
        <v>0.5</v>
      </c>
      <c r="I104" s="49">
        <f>AVERAGE('19.10 Jinja-Kampala-24hr'!I104,'21.10 jinja-Kampala-24h'!I104)</f>
        <v>3.5</v>
      </c>
      <c r="J104" s="49">
        <f>AVERAGE('19.10 Jinja-Kampala-24hr'!J104,'21.10 jinja-Kampala-24h'!J104)</f>
        <v>3.5</v>
      </c>
      <c r="K104" s="49">
        <f>AVERAGE('19.10 Jinja-Kampala-24hr'!K104,'21.10 jinja-Kampala-24h'!K104)</f>
        <v>4.5</v>
      </c>
      <c r="L104" s="49">
        <f>AVERAGE('19.10 Jinja-Kampala-24hr'!L104,'21.10 jinja-Kampala-24h'!L104)</f>
        <v>12</v>
      </c>
      <c r="M104" s="49">
        <f>AVERAGE('19.10 Jinja-Kampala-24hr'!M104,'21.10 jinja-Kampala-24h'!M104)</f>
        <v>13.5</v>
      </c>
      <c r="N104" s="49">
        <f>AVERAGE('19.10 Jinja-Kampala-24hr'!N104,'21.10 jinja-Kampala-24h'!N104)</f>
        <v>0</v>
      </c>
      <c r="O104" s="15">
        <f t="shared" si="35"/>
        <v>68.5</v>
      </c>
      <c r="P104" s="15">
        <f t="shared" si="36"/>
        <v>82</v>
      </c>
      <c r="R104" s="8"/>
      <c r="T104"/>
    </row>
    <row r="105" spans="2:20" ht="23.1" customHeight="1" x14ac:dyDescent="0.25">
      <c r="B105" s="23" t="s">
        <v>145</v>
      </c>
      <c r="C105" s="49">
        <f>AVERAGE('19.10 Jinja-Kampala-24hr'!C105,'21.10 jinja-Kampala-24h'!C105)</f>
        <v>9</v>
      </c>
      <c r="D105" s="49">
        <f>AVERAGE('19.10 Jinja-Kampala-24hr'!D105,'21.10 jinja-Kampala-24h'!D105)</f>
        <v>2</v>
      </c>
      <c r="E105" s="49">
        <f>AVERAGE('19.10 Jinja-Kampala-24hr'!E105,'21.10 jinja-Kampala-24h'!E105)</f>
        <v>2</v>
      </c>
      <c r="F105" s="49">
        <f>AVERAGE('19.10 Jinja-Kampala-24hr'!F105,'21.10 jinja-Kampala-24h'!F105)</f>
        <v>22</v>
      </c>
      <c r="G105" s="49">
        <f>AVERAGE('19.10 Jinja-Kampala-24hr'!G105,'21.10 jinja-Kampala-24h'!G105)</f>
        <v>0.5</v>
      </c>
      <c r="H105" s="49">
        <f>AVERAGE('19.10 Jinja-Kampala-24hr'!H105,'21.10 jinja-Kampala-24h'!H105)</f>
        <v>1.5</v>
      </c>
      <c r="I105" s="49">
        <f>AVERAGE('19.10 Jinja-Kampala-24hr'!I105,'21.10 jinja-Kampala-24h'!I105)</f>
        <v>1.5</v>
      </c>
      <c r="J105" s="49">
        <f>AVERAGE('19.10 Jinja-Kampala-24hr'!J105,'21.10 jinja-Kampala-24h'!J105)</f>
        <v>4</v>
      </c>
      <c r="K105" s="49">
        <f>AVERAGE('19.10 Jinja-Kampala-24hr'!K105,'21.10 jinja-Kampala-24h'!K105)</f>
        <v>3</v>
      </c>
      <c r="L105" s="49">
        <f>AVERAGE('19.10 Jinja-Kampala-24hr'!L105,'21.10 jinja-Kampala-24h'!L105)</f>
        <v>14</v>
      </c>
      <c r="M105" s="49">
        <f>AVERAGE('19.10 Jinja-Kampala-24hr'!M105,'21.10 jinja-Kampala-24h'!M105)</f>
        <v>10.5</v>
      </c>
      <c r="N105" s="49">
        <f>AVERAGE('19.10 Jinja-Kampala-24hr'!N105,'21.10 jinja-Kampala-24h'!N105)</f>
        <v>0</v>
      </c>
      <c r="O105" s="15">
        <f t="shared" si="35"/>
        <v>59.5</v>
      </c>
      <c r="P105" s="15">
        <f t="shared" si="36"/>
        <v>70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1089.5</v>
      </c>
      <c r="D106" s="16">
        <f t="shared" ref="D106:P106" si="37">SUM(D10:D105)</f>
        <v>420.28571428571433</v>
      </c>
      <c r="E106" s="16">
        <f t="shared" si="37"/>
        <v>278.92857142857144</v>
      </c>
      <c r="F106" s="16">
        <f t="shared" si="37"/>
        <v>1941.3571428571427</v>
      </c>
      <c r="G106" s="16">
        <f t="shared" si="37"/>
        <v>79.214285714285708</v>
      </c>
      <c r="H106" s="16">
        <f t="shared" si="37"/>
        <v>67.857142857142861</v>
      </c>
      <c r="I106" s="16">
        <f t="shared" si="37"/>
        <v>244.85714285714289</v>
      </c>
      <c r="J106" s="16">
        <f t="shared" si="37"/>
        <v>433.49999999999994</v>
      </c>
      <c r="K106" s="16">
        <f t="shared" si="37"/>
        <v>202.64285714285711</v>
      </c>
      <c r="L106" s="16">
        <f t="shared" si="37"/>
        <v>884</v>
      </c>
      <c r="M106" s="16">
        <f t="shared" si="37"/>
        <v>1519.2619047619046</v>
      </c>
      <c r="N106" s="16">
        <f t="shared" si="37"/>
        <v>10.071428571428573</v>
      </c>
      <c r="O106" s="16">
        <f t="shared" si="37"/>
        <v>5652.2142857142862</v>
      </c>
      <c r="P106" s="16">
        <f t="shared" si="37"/>
        <v>7171.4761904761908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0.15192130198338655</v>
      </c>
      <c r="D107" s="43">
        <f t="shared" si="38"/>
        <v>5.8605188544564778E-2</v>
      </c>
      <c r="E107" s="43">
        <f t="shared" si="38"/>
        <v>3.8894164049375506E-2</v>
      </c>
      <c r="F107" s="43">
        <f t="shared" si="38"/>
        <v>0.27070537380229875</v>
      </c>
      <c r="G107" s="43">
        <f t="shared" si="38"/>
        <v>1.1045743388158112E-2</v>
      </c>
      <c r="H107" s="43">
        <f t="shared" si="38"/>
        <v>9.4620885651489697E-3</v>
      </c>
      <c r="I107" s="43">
        <f t="shared" si="38"/>
        <v>3.4143199580348074E-2</v>
      </c>
      <c r="J107" s="43">
        <f t="shared" si="38"/>
        <v>6.0447805791462195E-2</v>
      </c>
      <c r="K107" s="43">
        <f t="shared" si="38"/>
        <v>2.8256784483502759E-2</v>
      </c>
      <c r="L107" s="43">
        <f t="shared" si="38"/>
        <v>0.12326611377082489</v>
      </c>
      <c r="M107" s="43">
        <f t="shared" si="38"/>
        <v>0.21184786289599666</v>
      </c>
      <c r="N107" s="43">
        <f t="shared" si="38"/>
        <v>1.4043731449326366E-3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0.19275631547686745</v>
      </c>
      <c r="D108" s="44">
        <f t="shared" ref="D108:N108" si="39">D106/$O$106</f>
        <v>7.4357710631737253E-2</v>
      </c>
      <c r="E108" s="44">
        <f t="shared" si="39"/>
        <v>4.9348548609268177E-2</v>
      </c>
      <c r="F108" s="44">
        <f t="shared" si="39"/>
        <v>0.34346842577498066</v>
      </c>
      <c r="G108" s="44">
        <f t="shared" si="39"/>
        <v>1.4014735059584737E-2</v>
      </c>
      <c r="H108" s="44">
        <f t="shared" si="39"/>
        <v>1.2005408752574843E-2</v>
      </c>
      <c r="I108" s="44">
        <f t="shared" si="39"/>
        <v>4.332056968823849E-2</v>
      </c>
      <c r="J108" s="44">
        <f t="shared" si="39"/>
        <v>7.6695606020396545E-2</v>
      </c>
      <c r="K108" s="44">
        <f t="shared" si="39"/>
        <v>3.5851941716899816E-2</v>
      </c>
      <c r="L108" s="44">
        <f t="shared" si="39"/>
        <v>0.15639888286512238</v>
      </c>
      <c r="M108" s="44"/>
      <c r="N108" s="44">
        <f t="shared" si="39"/>
        <v>1.7818554043295297E-3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A87" zoomScale="60" workbookViewId="0">
      <selection activeCell="C58" sqref="C58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'23.10 KAMPALA-JINJA'!C3:G3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'23.10 KAMPALA-JINJA'!G5:H5</f>
        <v>Nakibbizi</v>
      </c>
      <c r="H5" s="64"/>
      <c r="I5" s="14"/>
      <c r="J5" s="2" t="s">
        <v>5</v>
      </c>
      <c r="K5" s="63" t="s">
        <v>181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'23.10 KAMPALA-JINJA'!D6:E6</f>
        <v>Kampala</v>
      </c>
      <c r="E6" s="64"/>
      <c r="F6" s="2" t="s">
        <v>2</v>
      </c>
      <c r="G6" s="63" t="str">
        <f>'23.10 KAMPALA-JINJA'!G6:H6</f>
        <v>Jinja</v>
      </c>
      <c r="H6" s="64"/>
      <c r="J6" s="2" t="s">
        <v>21</v>
      </c>
      <c r="K6" s="63" t="str">
        <f>'23.10 KAMPALA-JINJA'!K6:L6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Kampala-Jinja'!C10,'18.10 Kampala-Jinja'!C10,'19.10 Kampala-Jinja-24hr'!C10,'20.10 Kampala-Jinja'!C10,'21.10 Kampala-Jinja-24h'!C10,'23.10 KAMPALA-JINJA'!C10,'27.10 KAMPALA-JINJA'!C10)</f>
        <v>16.142857142857142</v>
      </c>
      <c r="D10" s="49">
        <f>AVERAGE('17.10 Kampala-Jinja'!D10,'18.10 Kampala-Jinja'!D10,'19.10 Kampala-Jinja-24hr'!D10,'20.10 Kampala-Jinja'!D10,'21.10 Kampala-Jinja-24h'!D10,'23.10 KAMPALA-JINJA'!D10,'27.10 KAMPALA-JINJA'!D10)</f>
        <v>3</v>
      </c>
      <c r="E10" s="49">
        <f>AVERAGE('17.10 Kampala-Jinja'!E10,'18.10 Kampala-Jinja'!E10,'19.10 Kampala-Jinja-24hr'!E10,'20.10 Kampala-Jinja'!E10,'21.10 Kampala-Jinja-24h'!E10,'23.10 KAMPALA-JINJA'!E10,'27.10 KAMPALA-JINJA'!E10)</f>
        <v>1.8571428571428572</v>
      </c>
      <c r="F10" s="49">
        <f>AVERAGE('17.10 Kampala-Jinja'!F10,'18.10 Kampala-Jinja'!F10,'19.10 Kampala-Jinja-24hr'!F10,'20.10 Kampala-Jinja'!F10,'21.10 Kampala-Jinja-24h'!F10,'23.10 KAMPALA-JINJA'!F10,'27.10 KAMPALA-JINJA'!F10)</f>
        <v>20</v>
      </c>
      <c r="G10" s="49">
        <f>AVERAGE('17.10 Kampala-Jinja'!G10,'18.10 Kampala-Jinja'!G10,'19.10 Kampala-Jinja-24hr'!G10,'20.10 Kampala-Jinja'!G10,'21.10 Kampala-Jinja-24h'!G10,'23.10 KAMPALA-JINJA'!G10,'27.10 KAMPALA-JINJA'!G10)</f>
        <v>1</v>
      </c>
      <c r="H10" s="49">
        <f>AVERAGE('17.10 Kampala-Jinja'!H10,'18.10 Kampala-Jinja'!H10,'19.10 Kampala-Jinja-24hr'!H10,'20.10 Kampala-Jinja'!H10,'21.10 Kampala-Jinja-24h'!H10,'23.10 KAMPALA-JINJA'!H10,'27.10 KAMPALA-JINJA'!H10)</f>
        <v>0.2857142857142857</v>
      </c>
      <c r="I10" s="49">
        <f>AVERAGE('17.10 Kampala-Jinja'!I10,'18.10 Kampala-Jinja'!I10,'19.10 Kampala-Jinja-24hr'!I10,'20.10 Kampala-Jinja'!I10,'21.10 Kampala-Jinja-24h'!I10,'23.10 KAMPALA-JINJA'!I10,'27.10 KAMPALA-JINJA'!I10)</f>
        <v>2.4285714285714284</v>
      </c>
      <c r="J10" s="49">
        <f>AVERAGE('17.10 Kampala-Jinja'!J10,'18.10 Kampala-Jinja'!J10,'19.10 Kampala-Jinja-24hr'!J10,'20.10 Kampala-Jinja'!J10,'21.10 Kampala-Jinja-24h'!J10,'23.10 KAMPALA-JINJA'!J10,'27.10 KAMPALA-JINJA'!J10)</f>
        <v>3.4285714285714284</v>
      </c>
      <c r="K10" s="49">
        <f>AVERAGE('17.10 Kampala-Jinja'!K10,'18.10 Kampala-Jinja'!K10,'19.10 Kampala-Jinja-24hr'!K10,'20.10 Kampala-Jinja'!K10,'21.10 Kampala-Jinja-24h'!K10,'23.10 KAMPALA-JINJA'!K10,'27.10 KAMPALA-JINJA'!K10)</f>
        <v>3.1428571428571428</v>
      </c>
      <c r="L10" s="49">
        <f>AVERAGE('17.10 Kampala-Jinja'!L10,'18.10 Kampala-Jinja'!L10,'19.10 Kampala-Jinja-24hr'!L10,'20.10 Kampala-Jinja'!L10,'21.10 Kampala-Jinja-24h'!L10,'23.10 KAMPALA-JINJA'!L10,'27.10 KAMPALA-JINJA'!L10)</f>
        <v>8.4285714285714288</v>
      </c>
      <c r="M10" s="49">
        <f>AVERAGE('17.10 Kampala-Jinja'!M10,'18.10 Kampala-Jinja'!M10,'19.10 Kampala-Jinja-24hr'!M10,'20.10 Kampala-Jinja'!M10,'21.10 Kampala-Jinja-24h'!M10,'23.10 KAMPALA-JINJA'!M10,'27.10 KAMPALA-JINJA'!M10)</f>
        <v>16.857142857142858</v>
      </c>
      <c r="N10" s="49">
        <f>AVERAGE('17.10 Kampala-Jinja'!N10,'18.10 Kampala-Jinja'!N10,'19.10 Kampala-Jinja-24hr'!N10,'20.10 Kampala-Jinja'!N10,'21.10 Kampala-Jinja-24h'!N10,'23.10 KAMPALA-JINJA'!N10,'27.10 KAMPALA-JINJA'!N10)</f>
        <v>0</v>
      </c>
      <c r="O10" s="15">
        <f t="shared" ref="O10:O73" si="0">SUM(C10:L10,N10)</f>
        <v>59.714285714285722</v>
      </c>
      <c r="P10" s="15">
        <f t="shared" ref="P10:P73" si="1">SUM(C10:N10)</f>
        <v>76.571428571428584</v>
      </c>
      <c r="R10" s="1" t="s">
        <v>6</v>
      </c>
      <c r="S10" s="17">
        <f t="shared" ref="S10:AF10" si="2">SUM(C10:C13)</f>
        <v>49.142857142857146</v>
      </c>
      <c r="T10" s="17">
        <f t="shared" si="2"/>
        <v>22</v>
      </c>
      <c r="U10" s="17">
        <f t="shared" si="2"/>
        <v>11.571428571428569</v>
      </c>
      <c r="V10" s="17">
        <f t="shared" si="2"/>
        <v>103.42857142857143</v>
      </c>
      <c r="W10" s="17">
        <f t="shared" si="2"/>
        <v>5.7142857142857144</v>
      </c>
      <c r="X10" s="17">
        <f t="shared" si="2"/>
        <v>0.99999999999999989</v>
      </c>
      <c r="Y10" s="17">
        <f t="shared" si="2"/>
        <v>9.5714285714285712</v>
      </c>
      <c r="Z10" s="17">
        <f t="shared" si="2"/>
        <v>20.571428571428569</v>
      </c>
      <c r="AA10" s="17">
        <f t="shared" si="2"/>
        <v>8.1428571428571423</v>
      </c>
      <c r="AB10" s="17">
        <f t="shared" si="2"/>
        <v>30.285714285714285</v>
      </c>
      <c r="AC10" s="17">
        <f t="shared" si="2"/>
        <v>67.285714285714292</v>
      </c>
      <c r="AD10" s="17">
        <f t="shared" si="2"/>
        <v>0</v>
      </c>
      <c r="AE10" s="31">
        <f t="shared" si="2"/>
        <v>261.42857142857144</v>
      </c>
      <c r="AF10" s="31">
        <f t="shared" si="2"/>
        <v>328.71428571428572</v>
      </c>
    </row>
    <row r="11" spans="2:32" s="6" customFormat="1" ht="23.1" customHeight="1" x14ac:dyDescent="0.25">
      <c r="B11" s="23" t="s">
        <v>38</v>
      </c>
      <c r="C11" s="49">
        <f>AVERAGE('17.10 Kampala-Jinja'!C11,'18.10 Kampala-Jinja'!C11,'19.10 Kampala-Jinja-24hr'!C11,'20.10 Kampala-Jinja'!C11,'21.10 Kampala-Jinja-24h'!C11,'23.10 KAMPALA-JINJA'!C11,'27.10 KAMPALA-JINJA'!C11)</f>
        <v>9.5714285714285712</v>
      </c>
      <c r="D11" s="49">
        <f>AVERAGE('17.10 Kampala-Jinja'!D11,'18.10 Kampala-Jinja'!D11,'19.10 Kampala-Jinja-24hr'!D11,'20.10 Kampala-Jinja'!D11,'21.10 Kampala-Jinja-24h'!D11,'23.10 KAMPALA-JINJA'!D11,'27.10 KAMPALA-JINJA'!D11)</f>
        <v>5</v>
      </c>
      <c r="E11" s="49">
        <f>AVERAGE('17.10 Kampala-Jinja'!E11,'18.10 Kampala-Jinja'!E11,'19.10 Kampala-Jinja-24hr'!E11,'20.10 Kampala-Jinja'!E11,'21.10 Kampala-Jinja-24h'!E11,'23.10 KAMPALA-JINJA'!E11,'27.10 KAMPALA-JINJA'!E11)</f>
        <v>2.2857142857142856</v>
      </c>
      <c r="F11" s="49">
        <f>AVERAGE('17.10 Kampala-Jinja'!F11,'18.10 Kampala-Jinja'!F11,'19.10 Kampala-Jinja-24hr'!F11,'20.10 Kampala-Jinja'!F11,'21.10 Kampala-Jinja-24h'!F11,'23.10 KAMPALA-JINJA'!F11,'27.10 KAMPALA-JINJA'!F11)</f>
        <v>22.428571428571427</v>
      </c>
      <c r="G11" s="49">
        <f>AVERAGE('17.10 Kampala-Jinja'!G11,'18.10 Kampala-Jinja'!G11,'19.10 Kampala-Jinja-24hr'!G11,'20.10 Kampala-Jinja'!G11,'21.10 Kampala-Jinja-24h'!G11,'23.10 KAMPALA-JINJA'!G11,'27.10 KAMPALA-JINJA'!G11)</f>
        <v>0.5714285714285714</v>
      </c>
      <c r="H11" s="49">
        <f>AVERAGE('17.10 Kampala-Jinja'!H11,'18.10 Kampala-Jinja'!H11,'19.10 Kampala-Jinja-24hr'!H11,'20.10 Kampala-Jinja'!H11,'21.10 Kampala-Jinja-24h'!H11,'23.10 KAMPALA-JINJA'!H11,'27.10 KAMPALA-JINJA'!H11)</f>
        <v>0</v>
      </c>
      <c r="I11" s="49">
        <f>AVERAGE('17.10 Kampala-Jinja'!I11,'18.10 Kampala-Jinja'!I11,'19.10 Kampala-Jinja-24hr'!I11,'20.10 Kampala-Jinja'!I11,'21.10 Kampala-Jinja-24h'!I11,'23.10 KAMPALA-JINJA'!I11,'27.10 KAMPALA-JINJA'!I11)</f>
        <v>2.2857142857142856</v>
      </c>
      <c r="J11" s="49">
        <f>AVERAGE('17.10 Kampala-Jinja'!J11,'18.10 Kampala-Jinja'!J11,'19.10 Kampala-Jinja-24hr'!J11,'20.10 Kampala-Jinja'!J11,'21.10 Kampala-Jinja-24h'!J11,'23.10 KAMPALA-JINJA'!J11,'27.10 KAMPALA-JINJA'!J11)</f>
        <v>5.2857142857142856</v>
      </c>
      <c r="K11" s="49">
        <f>AVERAGE('17.10 Kampala-Jinja'!K11,'18.10 Kampala-Jinja'!K11,'19.10 Kampala-Jinja-24hr'!K11,'20.10 Kampala-Jinja'!K11,'21.10 Kampala-Jinja-24h'!K11,'23.10 KAMPALA-JINJA'!K11,'27.10 KAMPALA-JINJA'!K11)</f>
        <v>1.8571428571428572</v>
      </c>
      <c r="L11" s="49">
        <f>AVERAGE('17.10 Kampala-Jinja'!L11,'18.10 Kampala-Jinja'!L11,'19.10 Kampala-Jinja-24hr'!L11,'20.10 Kampala-Jinja'!L11,'21.10 Kampala-Jinja-24h'!L11,'23.10 KAMPALA-JINJA'!L11,'27.10 KAMPALA-JINJA'!L11)</f>
        <v>8.1428571428571423</v>
      </c>
      <c r="M11" s="49">
        <f>AVERAGE('17.10 Kampala-Jinja'!M11,'18.10 Kampala-Jinja'!M11,'19.10 Kampala-Jinja-24hr'!M11,'20.10 Kampala-Jinja'!M11,'21.10 Kampala-Jinja-24h'!M11,'23.10 KAMPALA-JINJA'!M11,'27.10 KAMPALA-JINJA'!M11)</f>
        <v>16.428571428571427</v>
      </c>
      <c r="N11" s="49">
        <f>AVERAGE('17.10 Kampala-Jinja'!N11,'18.10 Kampala-Jinja'!N11,'19.10 Kampala-Jinja-24hr'!N11,'20.10 Kampala-Jinja'!N11,'21.10 Kampala-Jinja-24h'!N11,'23.10 KAMPALA-JINJA'!N11,'27.10 KAMPALA-JINJA'!N11)</f>
        <v>0</v>
      </c>
      <c r="O11" s="15">
        <f t="shared" si="0"/>
        <v>57.428571428571416</v>
      </c>
      <c r="P11" s="15">
        <f t="shared" si="1"/>
        <v>73.857142857142847</v>
      </c>
      <c r="R11" s="1" t="s">
        <v>7</v>
      </c>
      <c r="S11" s="17">
        <f t="shared" ref="S11:AF11" si="3">SUM(C14:C17)</f>
        <v>50</v>
      </c>
      <c r="T11" s="17">
        <f t="shared" si="3"/>
        <v>25.857142857142858</v>
      </c>
      <c r="U11" s="17">
        <f t="shared" si="3"/>
        <v>13.714285714285715</v>
      </c>
      <c r="V11" s="17">
        <f t="shared" si="3"/>
        <v>112</v>
      </c>
      <c r="W11" s="17">
        <f t="shared" si="3"/>
        <v>2.1428571428571428</v>
      </c>
      <c r="X11" s="17">
        <f t="shared" si="3"/>
        <v>1.4285714285714284</v>
      </c>
      <c r="Y11" s="17">
        <f t="shared" si="3"/>
        <v>9.2857142857142847</v>
      </c>
      <c r="Z11" s="17">
        <f t="shared" si="3"/>
        <v>15</v>
      </c>
      <c r="AA11" s="17">
        <f t="shared" si="3"/>
        <v>5.4285714285714288</v>
      </c>
      <c r="AB11" s="17">
        <f t="shared" si="3"/>
        <v>20.857142857142858</v>
      </c>
      <c r="AC11" s="17">
        <f t="shared" si="3"/>
        <v>63.571428571428569</v>
      </c>
      <c r="AD11" s="17">
        <f t="shared" si="3"/>
        <v>0.14285714285714285</v>
      </c>
      <c r="AE11" s="31">
        <f t="shared" si="3"/>
        <v>255.85714285714283</v>
      </c>
      <c r="AF11" s="31">
        <f t="shared" si="3"/>
        <v>319.42857142857139</v>
      </c>
    </row>
    <row r="12" spans="2:32" ht="23.1" customHeight="1" x14ac:dyDescent="0.25">
      <c r="B12" s="23" t="s">
        <v>39</v>
      </c>
      <c r="C12" s="49">
        <f>AVERAGE('17.10 Kampala-Jinja'!C12,'18.10 Kampala-Jinja'!C12,'19.10 Kampala-Jinja-24hr'!C12,'20.10 Kampala-Jinja'!C12,'21.10 Kampala-Jinja-24h'!C12,'23.10 KAMPALA-JINJA'!C12,'27.10 KAMPALA-JINJA'!C12)</f>
        <v>10.714285714285714</v>
      </c>
      <c r="D12" s="49">
        <f>AVERAGE('17.10 Kampala-Jinja'!D12,'18.10 Kampala-Jinja'!D12,'19.10 Kampala-Jinja-24hr'!D12,'20.10 Kampala-Jinja'!D12,'21.10 Kampala-Jinja-24h'!D12,'23.10 KAMPALA-JINJA'!D12,'27.10 KAMPALA-JINJA'!D12)</f>
        <v>6.8571428571428568</v>
      </c>
      <c r="E12" s="49">
        <f>AVERAGE('17.10 Kampala-Jinja'!E12,'18.10 Kampala-Jinja'!E12,'19.10 Kampala-Jinja-24hr'!E12,'20.10 Kampala-Jinja'!E12,'21.10 Kampala-Jinja-24h'!E12,'23.10 KAMPALA-JINJA'!E12,'27.10 KAMPALA-JINJA'!E12)</f>
        <v>3.1428571428571428</v>
      </c>
      <c r="F12" s="49">
        <f>AVERAGE('17.10 Kampala-Jinja'!F12,'18.10 Kampala-Jinja'!F12,'19.10 Kampala-Jinja-24hr'!F12,'20.10 Kampala-Jinja'!F12,'21.10 Kampala-Jinja-24h'!F12,'23.10 KAMPALA-JINJA'!F12,'27.10 KAMPALA-JINJA'!F12)</f>
        <v>30.571428571428573</v>
      </c>
      <c r="G12" s="49">
        <f>AVERAGE('17.10 Kampala-Jinja'!G12,'18.10 Kampala-Jinja'!G12,'19.10 Kampala-Jinja-24hr'!G12,'20.10 Kampala-Jinja'!G12,'21.10 Kampala-Jinja-24h'!G12,'23.10 KAMPALA-JINJA'!G12,'27.10 KAMPALA-JINJA'!G12)</f>
        <v>3.8571428571428572</v>
      </c>
      <c r="H12" s="49">
        <f>AVERAGE('17.10 Kampala-Jinja'!H12,'18.10 Kampala-Jinja'!H12,'19.10 Kampala-Jinja-24hr'!H12,'20.10 Kampala-Jinja'!H12,'21.10 Kampala-Jinja-24h'!H12,'23.10 KAMPALA-JINJA'!H12,'27.10 KAMPALA-JINJA'!H12)</f>
        <v>0.42857142857142855</v>
      </c>
      <c r="I12" s="49">
        <f>AVERAGE('17.10 Kampala-Jinja'!I12,'18.10 Kampala-Jinja'!I12,'19.10 Kampala-Jinja-24hr'!I12,'20.10 Kampala-Jinja'!I12,'21.10 Kampala-Jinja-24h'!I12,'23.10 KAMPALA-JINJA'!I12,'27.10 KAMPALA-JINJA'!I12)</f>
        <v>2.4285714285714284</v>
      </c>
      <c r="J12" s="49">
        <f>AVERAGE('17.10 Kampala-Jinja'!J12,'18.10 Kampala-Jinja'!J12,'19.10 Kampala-Jinja-24hr'!J12,'20.10 Kampala-Jinja'!J12,'21.10 Kampala-Jinja-24h'!J12,'23.10 KAMPALA-JINJA'!J12,'27.10 KAMPALA-JINJA'!J12)</f>
        <v>6.4285714285714288</v>
      </c>
      <c r="K12" s="49">
        <f>AVERAGE('17.10 Kampala-Jinja'!K12,'18.10 Kampala-Jinja'!K12,'19.10 Kampala-Jinja-24hr'!K12,'20.10 Kampala-Jinja'!K12,'21.10 Kampala-Jinja-24h'!K12,'23.10 KAMPALA-JINJA'!K12,'27.10 KAMPALA-JINJA'!K12)</f>
        <v>2.1428571428571428</v>
      </c>
      <c r="L12" s="49">
        <f>AVERAGE('17.10 Kampala-Jinja'!L12,'18.10 Kampala-Jinja'!L12,'19.10 Kampala-Jinja-24hr'!L12,'20.10 Kampala-Jinja'!L12,'21.10 Kampala-Jinja-24h'!L12,'23.10 KAMPALA-JINJA'!L12,'27.10 KAMPALA-JINJA'!L12)</f>
        <v>8.4285714285714288</v>
      </c>
      <c r="M12" s="49">
        <f>AVERAGE('17.10 Kampala-Jinja'!M12,'18.10 Kampala-Jinja'!M12,'19.10 Kampala-Jinja-24hr'!M12,'20.10 Kampala-Jinja'!M12,'21.10 Kampala-Jinja-24h'!M12,'23.10 KAMPALA-JINJA'!M12,'27.10 KAMPALA-JINJA'!M12)</f>
        <v>16.142857142857142</v>
      </c>
      <c r="N12" s="49">
        <f>AVERAGE('17.10 Kampala-Jinja'!N12,'18.10 Kampala-Jinja'!N12,'19.10 Kampala-Jinja-24hr'!N12,'20.10 Kampala-Jinja'!N12,'21.10 Kampala-Jinja-24h'!N12,'23.10 KAMPALA-JINJA'!N12,'27.10 KAMPALA-JINJA'!N12)</f>
        <v>0</v>
      </c>
      <c r="O12" s="15">
        <f t="shared" si="0"/>
        <v>75</v>
      </c>
      <c r="P12" s="15">
        <f t="shared" si="1"/>
        <v>91.142857142857139</v>
      </c>
      <c r="R12" s="1" t="s">
        <v>8</v>
      </c>
      <c r="S12" s="17">
        <f t="shared" ref="S12:AF12" si="4">SUM(C18:C21)</f>
        <v>54.714285714285708</v>
      </c>
      <c r="T12" s="17">
        <f t="shared" si="4"/>
        <v>33.285714285714285</v>
      </c>
      <c r="U12" s="17">
        <f t="shared" si="4"/>
        <v>18.571428571428573</v>
      </c>
      <c r="V12" s="17">
        <f t="shared" si="4"/>
        <v>118.14285714285714</v>
      </c>
      <c r="W12" s="17">
        <f t="shared" si="4"/>
        <v>3.8571428571428572</v>
      </c>
      <c r="X12" s="17">
        <f t="shared" si="4"/>
        <v>2.1428571428571428</v>
      </c>
      <c r="Y12" s="17">
        <f t="shared" si="4"/>
        <v>8.8571428571428577</v>
      </c>
      <c r="Z12" s="17">
        <f t="shared" si="4"/>
        <v>16.142857142857142</v>
      </c>
      <c r="AA12" s="17">
        <f t="shared" si="4"/>
        <v>4.2857142857142856</v>
      </c>
      <c r="AB12" s="17">
        <f t="shared" si="4"/>
        <v>18.142857142857142</v>
      </c>
      <c r="AC12" s="17">
        <f t="shared" si="4"/>
        <v>61.857142857142854</v>
      </c>
      <c r="AD12" s="17">
        <f t="shared" si="4"/>
        <v>0.2857142857142857</v>
      </c>
      <c r="AE12" s="31">
        <f t="shared" si="4"/>
        <v>278.42857142857139</v>
      </c>
      <c r="AF12" s="31">
        <f t="shared" si="4"/>
        <v>340.28571428571428</v>
      </c>
    </row>
    <row r="13" spans="2:32" ht="23.1" customHeight="1" x14ac:dyDescent="0.25">
      <c r="B13" s="23" t="s">
        <v>40</v>
      </c>
      <c r="C13" s="49">
        <f>AVERAGE('17.10 Kampala-Jinja'!C13,'18.10 Kampala-Jinja'!C13,'19.10 Kampala-Jinja-24hr'!C13,'20.10 Kampala-Jinja'!C13,'21.10 Kampala-Jinja-24h'!C13,'23.10 KAMPALA-JINJA'!C13,'27.10 KAMPALA-JINJA'!C13)</f>
        <v>12.714285714285714</v>
      </c>
      <c r="D13" s="49">
        <f>AVERAGE('17.10 Kampala-Jinja'!D13,'18.10 Kampala-Jinja'!D13,'19.10 Kampala-Jinja-24hr'!D13,'20.10 Kampala-Jinja'!D13,'21.10 Kampala-Jinja-24h'!D13,'23.10 KAMPALA-JINJA'!D13,'27.10 KAMPALA-JINJA'!D13)</f>
        <v>7.1428571428571432</v>
      </c>
      <c r="E13" s="49">
        <f>AVERAGE('17.10 Kampala-Jinja'!E13,'18.10 Kampala-Jinja'!E13,'19.10 Kampala-Jinja-24hr'!E13,'20.10 Kampala-Jinja'!E13,'21.10 Kampala-Jinja-24h'!E13,'23.10 KAMPALA-JINJA'!E13,'27.10 KAMPALA-JINJA'!E13)</f>
        <v>4.2857142857142856</v>
      </c>
      <c r="F13" s="49">
        <f>AVERAGE('17.10 Kampala-Jinja'!F13,'18.10 Kampala-Jinja'!F13,'19.10 Kampala-Jinja-24hr'!F13,'20.10 Kampala-Jinja'!F13,'21.10 Kampala-Jinja-24h'!F13,'23.10 KAMPALA-JINJA'!F13,'27.10 KAMPALA-JINJA'!F13)</f>
        <v>30.428571428571427</v>
      </c>
      <c r="G13" s="49">
        <f>AVERAGE('17.10 Kampala-Jinja'!G13,'18.10 Kampala-Jinja'!G13,'19.10 Kampala-Jinja-24hr'!G13,'20.10 Kampala-Jinja'!G13,'21.10 Kampala-Jinja-24h'!G13,'23.10 KAMPALA-JINJA'!G13,'27.10 KAMPALA-JINJA'!G13)</f>
        <v>0.2857142857142857</v>
      </c>
      <c r="H13" s="49">
        <f>AVERAGE('17.10 Kampala-Jinja'!H13,'18.10 Kampala-Jinja'!H13,'19.10 Kampala-Jinja-24hr'!H13,'20.10 Kampala-Jinja'!H13,'21.10 Kampala-Jinja-24h'!H13,'23.10 KAMPALA-JINJA'!H13,'27.10 KAMPALA-JINJA'!H13)</f>
        <v>0.2857142857142857</v>
      </c>
      <c r="I13" s="49">
        <f>AVERAGE('17.10 Kampala-Jinja'!I13,'18.10 Kampala-Jinja'!I13,'19.10 Kampala-Jinja-24hr'!I13,'20.10 Kampala-Jinja'!I13,'21.10 Kampala-Jinja-24h'!I13,'23.10 KAMPALA-JINJA'!I13,'27.10 KAMPALA-JINJA'!I13)</f>
        <v>2.4285714285714284</v>
      </c>
      <c r="J13" s="49">
        <f>AVERAGE('17.10 Kampala-Jinja'!J13,'18.10 Kampala-Jinja'!J13,'19.10 Kampala-Jinja-24hr'!J13,'20.10 Kampala-Jinja'!J13,'21.10 Kampala-Jinja-24h'!J13,'23.10 KAMPALA-JINJA'!J13,'27.10 KAMPALA-JINJA'!J13)</f>
        <v>5.4285714285714288</v>
      </c>
      <c r="K13" s="49">
        <f>AVERAGE('17.10 Kampala-Jinja'!K13,'18.10 Kampala-Jinja'!K13,'19.10 Kampala-Jinja-24hr'!K13,'20.10 Kampala-Jinja'!K13,'21.10 Kampala-Jinja-24h'!K13,'23.10 KAMPALA-JINJA'!K13,'27.10 KAMPALA-JINJA'!K13)</f>
        <v>1</v>
      </c>
      <c r="L13" s="49">
        <f>AVERAGE('17.10 Kampala-Jinja'!L13,'18.10 Kampala-Jinja'!L13,'19.10 Kampala-Jinja-24hr'!L13,'20.10 Kampala-Jinja'!L13,'21.10 Kampala-Jinja-24h'!L13,'23.10 KAMPALA-JINJA'!L13,'27.10 KAMPALA-JINJA'!L13)</f>
        <v>5.2857142857142856</v>
      </c>
      <c r="M13" s="49">
        <f>AVERAGE('17.10 Kampala-Jinja'!M13,'18.10 Kampala-Jinja'!M13,'19.10 Kampala-Jinja-24hr'!M13,'20.10 Kampala-Jinja'!M13,'21.10 Kampala-Jinja-24h'!M13,'23.10 KAMPALA-JINJA'!M13,'27.10 KAMPALA-JINJA'!M13)</f>
        <v>17.857142857142858</v>
      </c>
      <c r="N13" s="49">
        <f>AVERAGE('17.10 Kampala-Jinja'!N13,'18.10 Kampala-Jinja'!N13,'19.10 Kampala-Jinja-24hr'!N13,'20.10 Kampala-Jinja'!N13,'21.10 Kampala-Jinja-24h'!N13,'23.10 KAMPALA-JINJA'!N13,'27.10 KAMPALA-JINJA'!N13)</f>
        <v>0</v>
      </c>
      <c r="O13" s="15">
        <f t="shared" si="0"/>
        <v>69.285714285714292</v>
      </c>
      <c r="P13" s="15">
        <f t="shared" si="1"/>
        <v>87.142857142857153</v>
      </c>
      <c r="R13" s="1" t="s">
        <v>9</v>
      </c>
      <c r="S13" s="17">
        <f t="shared" ref="S13:AF13" si="5">SUM(C22:C25)</f>
        <v>56.571428571428569</v>
      </c>
      <c r="T13" s="17">
        <f t="shared" si="5"/>
        <v>25.714285714285715</v>
      </c>
      <c r="U13" s="17">
        <f t="shared" si="5"/>
        <v>15.571428571428573</v>
      </c>
      <c r="V13" s="17">
        <f t="shared" si="5"/>
        <v>118.85714285714286</v>
      </c>
      <c r="W13" s="17">
        <f t="shared" si="5"/>
        <v>3.4285714285714288</v>
      </c>
      <c r="X13" s="17">
        <f t="shared" si="5"/>
        <v>1.4285714285714284</v>
      </c>
      <c r="Y13" s="17">
        <f t="shared" si="5"/>
        <v>7.5714285714285712</v>
      </c>
      <c r="Z13" s="17">
        <f t="shared" si="5"/>
        <v>16</v>
      </c>
      <c r="AA13" s="17">
        <f t="shared" si="5"/>
        <v>4.2857142857142856</v>
      </c>
      <c r="AB13" s="17">
        <f t="shared" si="5"/>
        <v>15.857142857142858</v>
      </c>
      <c r="AC13" s="17">
        <f t="shared" si="5"/>
        <v>77.714285714285722</v>
      </c>
      <c r="AD13" s="17">
        <f t="shared" si="5"/>
        <v>0</v>
      </c>
      <c r="AE13" s="31">
        <f t="shared" si="5"/>
        <v>265.28571428571428</v>
      </c>
      <c r="AF13" s="31">
        <f t="shared" si="5"/>
        <v>343</v>
      </c>
    </row>
    <row r="14" spans="2:32" ht="23.1" customHeight="1" x14ac:dyDescent="0.25">
      <c r="B14" s="23" t="s">
        <v>41</v>
      </c>
      <c r="C14" s="49">
        <f>AVERAGE('17.10 Kampala-Jinja'!C14,'18.10 Kampala-Jinja'!C14,'19.10 Kampala-Jinja-24hr'!C14,'20.10 Kampala-Jinja'!C14,'21.10 Kampala-Jinja-24h'!C14,'23.10 KAMPALA-JINJA'!C14,'27.10 KAMPALA-JINJA'!C14)</f>
        <v>13.714285714285714</v>
      </c>
      <c r="D14" s="49">
        <f>AVERAGE('17.10 Kampala-Jinja'!D14,'18.10 Kampala-Jinja'!D14,'19.10 Kampala-Jinja-24hr'!D14,'20.10 Kampala-Jinja'!D14,'21.10 Kampala-Jinja-24h'!D14,'23.10 KAMPALA-JINJA'!D14,'27.10 KAMPALA-JINJA'!D14)</f>
        <v>7.7142857142857144</v>
      </c>
      <c r="E14" s="49">
        <f>AVERAGE('17.10 Kampala-Jinja'!E14,'18.10 Kampala-Jinja'!E14,'19.10 Kampala-Jinja-24hr'!E14,'20.10 Kampala-Jinja'!E14,'21.10 Kampala-Jinja-24h'!E14,'23.10 KAMPALA-JINJA'!E14,'27.10 KAMPALA-JINJA'!E14)</f>
        <v>3.5714285714285716</v>
      </c>
      <c r="F14" s="49">
        <f>AVERAGE('17.10 Kampala-Jinja'!F14,'18.10 Kampala-Jinja'!F14,'19.10 Kampala-Jinja-24hr'!F14,'20.10 Kampala-Jinja'!F14,'21.10 Kampala-Jinja-24h'!F14,'23.10 KAMPALA-JINJA'!F14,'27.10 KAMPALA-JINJA'!F14)</f>
        <v>31</v>
      </c>
      <c r="G14" s="49">
        <f>AVERAGE('17.10 Kampala-Jinja'!G14,'18.10 Kampala-Jinja'!G14,'19.10 Kampala-Jinja-24hr'!G14,'20.10 Kampala-Jinja'!G14,'21.10 Kampala-Jinja-24h'!G14,'23.10 KAMPALA-JINJA'!G14,'27.10 KAMPALA-JINJA'!G14)</f>
        <v>0.7142857142857143</v>
      </c>
      <c r="H14" s="49">
        <f>AVERAGE('17.10 Kampala-Jinja'!H14,'18.10 Kampala-Jinja'!H14,'19.10 Kampala-Jinja-24hr'!H14,'20.10 Kampala-Jinja'!H14,'21.10 Kampala-Jinja-24h'!H14,'23.10 KAMPALA-JINJA'!H14,'27.10 KAMPALA-JINJA'!H14)</f>
        <v>0.5714285714285714</v>
      </c>
      <c r="I14" s="49">
        <f>AVERAGE('17.10 Kampala-Jinja'!I14,'18.10 Kampala-Jinja'!I14,'19.10 Kampala-Jinja-24hr'!I14,'20.10 Kampala-Jinja'!I14,'21.10 Kampala-Jinja-24h'!I14,'23.10 KAMPALA-JINJA'!I14,'27.10 KAMPALA-JINJA'!I14)</f>
        <v>3</v>
      </c>
      <c r="J14" s="49">
        <f>AVERAGE('17.10 Kampala-Jinja'!J14,'18.10 Kampala-Jinja'!J14,'19.10 Kampala-Jinja-24hr'!J14,'20.10 Kampala-Jinja'!J14,'21.10 Kampala-Jinja-24h'!J14,'23.10 KAMPALA-JINJA'!J14,'27.10 KAMPALA-JINJA'!J14)</f>
        <v>3</v>
      </c>
      <c r="K14" s="49">
        <f>AVERAGE('17.10 Kampala-Jinja'!K14,'18.10 Kampala-Jinja'!K14,'19.10 Kampala-Jinja-24hr'!K14,'20.10 Kampala-Jinja'!K14,'21.10 Kampala-Jinja-24h'!K14,'23.10 KAMPALA-JINJA'!K14,'27.10 KAMPALA-JINJA'!K14)</f>
        <v>0.8571428571428571</v>
      </c>
      <c r="L14" s="49">
        <f>AVERAGE('17.10 Kampala-Jinja'!L14,'18.10 Kampala-Jinja'!L14,'19.10 Kampala-Jinja-24hr'!L14,'20.10 Kampala-Jinja'!L14,'21.10 Kampala-Jinja-24h'!L14,'23.10 KAMPALA-JINJA'!L14,'27.10 KAMPALA-JINJA'!L14)</f>
        <v>6.4285714285714288</v>
      </c>
      <c r="M14" s="49">
        <f>AVERAGE('17.10 Kampala-Jinja'!M14,'18.10 Kampala-Jinja'!M14,'19.10 Kampala-Jinja-24hr'!M14,'20.10 Kampala-Jinja'!M14,'21.10 Kampala-Jinja-24h'!M14,'23.10 KAMPALA-JINJA'!M14,'27.10 KAMPALA-JINJA'!M14)</f>
        <v>13.571428571428571</v>
      </c>
      <c r="N14" s="49">
        <f>AVERAGE('17.10 Kampala-Jinja'!N14,'18.10 Kampala-Jinja'!N14,'19.10 Kampala-Jinja-24hr'!N14,'20.10 Kampala-Jinja'!N14,'21.10 Kampala-Jinja-24h'!N14,'23.10 KAMPALA-JINJA'!N14,'27.10 KAMPALA-JINJA'!N14)</f>
        <v>0.14285714285714285</v>
      </c>
      <c r="O14" s="15">
        <f t="shared" si="0"/>
        <v>70.714285714285708</v>
      </c>
      <c r="P14" s="15">
        <f t="shared" si="1"/>
        <v>84.285714285714278</v>
      </c>
      <c r="R14" s="1" t="s">
        <v>10</v>
      </c>
      <c r="S14" s="17">
        <f t="shared" ref="S14:AF14" si="6">SUM(C26:C29)</f>
        <v>64.571428571428569</v>
      </c>
      <c r="T14" s="17">
        <f t="shared" si="6"/>
        <v>33.285714285714285</v>
      </c>
      <c r="U14" s="17">
        <f t="shared" si="6"/>
        <v>19.142857142857142</v>
      </c>
      <c r="V14" s="17">
        <f t="shared" si="6"/>
        <v>111.85714285714286</v>
      </c>
      <c r="W14" s="17">
        <f t="shared" si="6"/>
        <v>3.7142857142857144</v>
      </c>
      <c r="X14" s="17">
        <f t="shared" si="6"/>
        <v>2.5714285714285712</v>
      </c>
      <c r="Y14" s="17">
        <f t="shared" si="6"/>
        <v>11.142857142857144</v>
      </c>
      <c r="Z14" s="17">
        <f t="shared" si="6"/>
        <v>18.714285714285715</v>
      </c>
      <c r="AA14" s="17">
        <f t="shared" si="6"/>
        <v>3</v>
      </c>
      <c r="AB14" s="17">
        <f t="shared" si="6"/>
        <v>25.857142857142854</v>
      </c>
      <c r="AC14" s="17">
        <f t="shared" si="6"/>
        <v>78.714285714285722</v>
      </c>
      <c r="AD14" s="17">
        <f t="shared" si="6"/>
        <v>0</v>
      </c>
      <c r="AE14" s="31">
        <f t="shared" si="6"/>
        <v>293.85714285714283</v>
      </c>
      <c r="AF14" s="31">
        <f t="shared" si="6"/>
        <v>372.57142857142856</v>
      </c>
    </row>
    <row r="15" spans="2:32" ht="23.1" customHeight="1" x14ac:dyDescent="0.25">
      <c r="B15" s="23" t="s">
        <v>42</v>
      </c>
      <c r="C15" s="49">
        <f>AVERAGE('17.10 Kampala-Jinja'!C15,'18.10 Kampala-Jinja'!C15,'19.10 Kampala-Jinja-24hr'!C15,'20.10 Kampala-Jinja'!C15,'21.10 Kampala-Jinja-24h'!C15,'23.10 KAMPALA-JINJA'!C15,'27.10 KAMPALA-JINJA'!C15)</f>
        <v>15.857142857142858</v>
      </c>
      <c r="D15" s="49">
        <f>AVERAGE('17.10 Kampala-Jinja'!D15,'18.10 Kampala-Jinja'!D15,'19.10 Kampala-Jinja-24hr'!D15,'20.10 Kampala-Jinja'!D15,'21.10 Kampala-Jinja-24h'!D15,'23.10 KAMPALA-JINJA'!D15,'27.10 KAMPALA-JINJA'!D15)</f>
        <v>6.8571428571428568</v>
      </c>
      <c r="E15" s="49">
        <f>AVERAGE('17.10 Kampala-Jinja'!E15,'18.10 Kampala-Jinja'!E15,'19.10 Kampala-Jinja-24hr'!E15,'20.10 Kampala-Jinja'!E15,'21.10 Kampala-Jinja-24h'!E15,'23.10 KAMPALA-JINJA'!E15,'27.10 KAMPALA-JINJA'!E15)</f>
        <v>3.8571428571428572</v>
      </c>
      <c r="F15" s="49">
        <f>AVERAGE('17.10 Kampala-Jinja'!F15,'18.10 Kampala-Jinja'!F15,'19.10 Kampala-Jinja-24hr'!F15,'20.10 Kampala-Jinja'!F15,'21.10 Kampala-Jinja-24h'!F15,'23.10 KAMPALA-JINJA'!F15,'27.10 KAMPALA-JINJA'!F15)</f>
        <v>28.571428571428573</v>
      </c>
      <c r="G15" s="49">
        <f>AVERAGE('17.10 Kampala-Jinja'!G15,'18.10 Kampala-Jinja'!G15,'19.10 Kampala-Jinja-24hr'!G15,'20.10 Kampala-Jinja'!G15,'21.10 Kampala-Jinja-24h'!G15,'23.10 KAMPALA-JINJA'!G15,'27.10 KAMPALA-JINJA'!G15)</f>
        <v>0.42857142857142855</v>
      </c>
      <c r="H15" s="49">
        <f>AVERAGE('17.10 Kampala-Jinja'!H15,'18.10 Kampala-Jinja'!H15,'19.10 Kampala-Jinja-24hr'!H15,'20.10 Kampala-Jinja'!H15,'21.10 Kampala-Jinja-24h'!H15,'23.10 KAMPALA-JINJA'!H15,'27.10 KAMPALA-JINJA'!H15)</f>
        <v>0.14285714285714285</v>
      </c>
      <c r="I15" s="49">
        <f>AVERAGE('17.10 Kampala-Jinja'!I15,'18.10 Kampala-Jinja'!I15,'19.10 Kampala-Jinja-24hr'!I15,'20.10 Kampala-Jinja'!I15,'21.10 Kampala-Jinja-24h'!I15,'23.10 KAMPALA-JINJA'!I15,'27.10 KAMPALA-JINJA'!I15)</f>
        <v>2.5714285714285716</v>
      </c>
      <c r="J15" s="49">
        <f>AVERAGE('17.10 Kampala-Jinja'!J15,'18.10 Kampala-Jinja'!J15,'19.10 Kampala-Jinja-24hr'!J15,'20.10 Kampala-Jinja'!J15,'21.10 Kampala-Jinja-24h'!J15,'23.10 KAMPALA-JINJA'!J15,'27.10 KAMPALA-JINJA'!J15)</f>
        <v>3</v>
      </c>
      <c r="K15" s="49">
        <f>AVERAGE('17.10 Kampala-Jinja'!K15,'18.10 Kampala-Jinja'!K15,'19.10 Kampala-Jinja-24hr'!K15,'20.10 Kampala-Jinja'!K15,'21.10 Kampala-Jinja-24h'!K15,'23.10 KAMPALA-JINJA'!K15,'27.10 KAMPALA-JINJA'!K15)</f>
        <v>1.8571428571428572</v>
      </c>
      <c r="L15" s="49">
        <f>AVERAGE('17.10 Kampala-Jinja'!L15,'18.10 Kampala-Jinja'!L15,'19.10 Kampala-Jinja-24hr'!L15,'20.10 Kampala-Jinja'!L15,'21.10 Kampala-Jinja-24h'!L15,'23.10 KAMPALA-JINJA'!L15,'27.10 KAMPALA-JINJA'!L15)</f>
        <v>4.7142857142857144</v>
      </c>
      <c r="M15" s="49">
        <f>AVERAGE('17.10 Kampala-Jinja'!M15,'18.10 Kampala-Jinja'!M15,'19.10 Kampala-Jinja-24hr'!M15,'20.10 Kampala-Jinja'!M15,'21.10 Kampala-Jinja-24h'!M15,'23.10 KAMPALA-JINJA'!M15,'27.10 KAMPALA-JINJA'!M15)</f>
        <v>16</v>
      </c>
      <c r="N15" s="49">
        <f>AVERAGE('17.10 Kampala-Jinja'!N15,'18.10 Kampala-Jinja'!N15,'19.10 Kampala-Jinja-24hr'!N15,'20.10 Kampala-Jinja'!N15,'21.10 Kampala-Jinja-24h'!N15,'23.10 KAMPALA-JINJA'!N15,'27.10 KAMPALA-JINJA'!N15)</f>
        <v>0</v>
      </c>
      <c r="O15" s="15">
        <f t="shared" si="0"/>
        <v>67.857142857142861</v>
      </c>
      <c r="P15" s="15">
        <f t="shared" si="1"/>
        <v>83.857142857142861</v>
      </c>
      <c r="R15" s="1" t="s">
        <v>11</v>
      </c>
      <c r="S15" s="17">
        <f t="shared" ref="S15:AF15" si="7">SUM(C30:C33)</f>
        <v>61.714285714285715</v>
      </c>
      <c r="T15" s="17">
        <f t="shared" si="7"/>
        <v>26.571428571428569</v>
      </c>
      <c r="U15" s="17">
        <f t="shared" si="7"/>
        <v>16.142857142857146</v>
      </c>
      <c r="V15" s="17">
        <f t="shared" si="7"/>
        <v>112</v>
      </c>
      <c r="W15" s="17">
        <f t="shared" si="7"/>
        <v>13</v>
      </c>
      <c r="X15" s="17">
        <f t="shared" si="7"/>
        <v>2</v>
      </c>
      <c r="Y15" s="17">
        <f t="shared" si="7"/>
        <v>12.428571428571429</v>
      </c>
      <c r="Z15" s="17">
        <f t="shared" si="7"/>
        <v>19.571428571428569</v>
      </c>
      <c r="AA15" s="17">
        <f t="shared" si="7"/>
        <v>4.8571428571428577</v>
      </c>
      <c r="AB15" s="17">
        <f t="shared" si="7"/>
        <v>34.571428571428577</v>
      </c>
      <c r="AC15" s="17">
        <f t="shared" si="7"/>
        <v>73.428571428571416</v>
      </c>
      <c r="AD15" s="17">
        <f t="shared" si="7"/>
        <v>0.14285714285714285</v>
      </c>
      <c r="AE15" s="31">
        <f t="shared" si="7"/>
        <v>302.99999999999994</v>
      </c>
      <c r="AF15" s="31">
        <f t="shared" si="7"/>
        <v>376.42857142857139</v>
      </c>
    </row>
    <row r="16" spans="2:32" ht="23.1" customHeight="1" x14ac:dyDescent="0.25">
      <c r="B16" s="23" t="s">
        <v>43</v>
      </c>
      <c r="C16" s="49">
        <f>AVERAGE('17.10 Kampala-Jinja'!C16,'18.10 Kampala-Jinja'!C16,'19.10 Kampala-Jinja-24hr'!C16,'20.10 Kampala-Jinja'!C16,'21.10 Kampala-Jinja-24h'!C16,'23.10 KAMPALA-JINJA'!C16,'27.10 KAMPALA-JINJA'!C16)</f>
        <v>10.571428571428571</v>
      </c>
      <c r="D16" s="49">
        <f>AVERAGE('17.10 Kampala-Jinja'!D16,'18.10 Kampala-Jinja'!D16,'19.10 Kampala-Jinja-24hr'!D16,'20.10 Kampala-Jinja'!D16,'21.10 Kampala-Jinja-24h'!D16,'23.10 KAMPALA-JINJA'!D16,'27.10 KAMPALA-JINJA'!D16)</f>
        <v>5.5714285714285712</v>
      </c>
      <c r="E16" s="49">
        <f>AVERAGE('17.10 Kampala-Jinja'!E16,'18.10 Kampala-Jinja'!E16,'19.10 Kampala-Jinja-24hr'!E16,'20.10 Kampala-Jinja'!E16,'21.10 Kampala-Jinja-24h'!E16,'23.10 KAMPALA-JINJA'!E16,'27.10 KAMPALA-JINJA'!E16)</f>
        <v>3.2857142857142856</v>
      </c>
      <c r="F16" s="49">
        <f>AVERAGE('17.10 Kampala-Jinja'!F16,'18.10 Kampala-Jinja'!F16,'19.10 Kampala-Jinja-24hr'!F16,'20.10 Kampala-Jinja'!F16,'21.10 Kampala-Jinja-24h'!F16,'23.10 KAMPALA-JINJA'!F16,'27.10 KAMPALA-JINJA'!F16)</f>
        <v>26.428571428571427</v>
      </c>
      <c r="G16" s="49">
        <f>AVERAGE('17.10 Kampala-Jinja'!G16,'18.10 Kampala-Jinja'!G16,'19.10 Kampala-Jinja-24hr'!G16,'20.10 Kampala-Jinja'!G16,'21.10 Kampala-Jinja-24h'!G16,'23.10 KAMPALA-JINJA'!G16,'27.10 KAMPALA-JINJA'!G16)</f>
        <v>0.7142857142857143</v>
      </c>
      <c r="H16" s="49">
        <f>AVERAGE('17.10 Kampala-Jinja'!H16,'18.10 Kampala-Jinja'!H16,'19.10 Kampala-Jinja-24hr'!H16,'20.10 Kampala-Jinja'!H16,'21.10 Kampala-Jinja-24h'!H16,'23.10 KAMPALA-JINJA'!H16,'27.10 KAMPALA-JINJA'!H16)</f>
        <v>0.42857142857142855</v>
      </c>
      <c r="I16" s="49">
        <f>AVERAGE('17.10 Kampala-Jinja'!I16,'18.10 Kampala-Jinja'!I16,'19.10 Kampala-Jinja-24hr'!I16,'20.10 Kampala-Jinja'!I16,'21.10 Kampala-Jinja-24h'!I16,'23.10 KAMPALA-JINJA'!I16,'27.10 KAMPALA-JINJA'!I16)</f>
        <v>2.1428571428571428</v>
      </c>
      <c r="J16" s="49">
        <f>AVERAGE('17.10 Kampala-Jinja'!J16,'18.10 Kampala-Jinja'!J16,'19.10 Kampala-Jinja-24hr'!J16,'20.10 Kampala-Jinja'!J16,'21.10 Kampala-Jinja-24h'!J16,'23.10 KAMPALA-JINJA'!J16,'27.10 KAMPALA-JINJA'!J16)</f>
        <v>6.2857142857142856</v>
      </c>
      <c r="K16" s="49">
        <f>AVERAGE('17.10 Kampala-Jinja'!K16,'18.10 Kampala-Jinja'!K16,'19.10 Kampala-Jinja-24hr'!K16,'20.10 Kampala-Jinja'!K16,'21.10 Kampala-Jinja-24h'!K16,'23.10 KAMPALA-JINJA'!K16,'27.10 KAMPALA-JINJA'!K16)</f>
        <v>1.7142857142857142</v>
      </c>
      <c r="L16" s="49">
        <f>AVERAGE('17.10 Kampala-Jinja'!L16,'18.10 Kampala-Jinja'!L16,'19.10 Kampala-Jinja-24hr'!L16,'20.10 Kampala-Jinja'!L16,'21.10 Kampala-Jinja-24h'!L16,'23.10 KAMPALA-JINJA'!L16,'27.10 KAMPALA-JINJA'!L16)</f>
        <v>5</v>
      </c>
      <c r="M16" s="49">
        <f>AVERAGE('17.10 Kampala-Jinja'!M16,'18.10 Kampala-Jinja'!M16,'19.10 Kampala-Jinja-24hr'!M16,'20.10 Kampala-Jinja'!M16,'21.10 Kampala-Jinja-24h'!M16,'23.10 KAMPALA-JINJA'!M16,'27.10 KAMPALA-JINJA'!M16)</f>
        <v>19.285714285714285</v>
      </c>
      <c r="N16" s="49">
        <f>AVERAGE('17.10 Kampala-Jinja'!N16,'18.10 Kampala-Jinja'!N16,'19.10 Kampala-Jinja-24hr'!N16,'20.10 Kampala-Jinja'!N16,'21.10 Kampala-Jinja-24h'!N16,'23.10 KAMPALA-JINJA'!N16,'27.10 KAMPALA-JINJA'!N16)</f>
        <v>0</v>
      </c>
      <c r="O16" s="15">
        <f t="shared" si="0"/>
        <v>62.142857142857146</v>
      </c>
      <c r="P16" s="15">
        <f t="shared" si="1"/>
        <v>81.428571428571431</v>
      </c>
      <c r="R16" s="1" t="s">
        <v>12</v>
      </c>
      <c r="S16" s="17">
        <f t="shared" ref="S16:AF16" si="8">SUM(C34:C37)</f>
        <v>59.428571428571431</v>
      </c>
      <c r="T16" s="17">
        <f t="shared" si="8"/>
        <v>30.428571428571431</v>
      </c>
      <c r="U16" s="17">
        <f t="shared" si="8"/>
        <v>15.857142857142858</v>
      </c>
      <c r="V16" s="17">
        <f t="shared" si="8"/>
        <v>126.14285714285714</v>
      </c>
      <c r="W16" s="17">
        <f t="shared" si="8"/>
        <v>4.8571428571428568</v>
      </c>
      <c r="X16" s="17">
        <f t="shared" si="8"/>
        <v>2.2857142857142856</v>
      </c>
      <c r="Y16" s="17">
        <f t="shared" si="8"/>
        <v>16.142857142857142</v>
      </c>
      <c r="Z16" s="17">
        <f t="shared" si="8"/>
        <v>20.285714285714285</v>
      </c>
      <c r="AA16" s="17">
        <f t="shared" si="8"/>
        <v>3.2857142857142856</v>
      </c>
      <c r="AB16" s="17">
        <f t="shared" si="8"/>
        <v>45.285714285714285</v>
      </c>
      <c r="AC16" s="17">
        <f t="shared" si="8"/>
        <v>75.428571428571431</v>
      </c>
      <c r="AD16" s="17">
        <f t="shared" si="8"/>
        <v>0.14285714285714285</v>
      </c>
      <c r="AE16" s="31">
        <f t="shared" si="8"/>
        <v>324.14285714285711</v>
      </c>
      <c r="AF16" s="31">
        <f t="shared" si="8"/>
        <v>399.57142857142856</v>
      </c>
    </row>
    <row r="17" spans="2:32" ht="23.1" customHeight="1" x14ac:dyDescent="0.25">
      <c r="B17" s="23" t="s">
        <v>44</v>
      </c>
      <c r="C17" s="49">
        <f>AVERAGE('17.10 Kampala-Jinja'!C17,'18.10 Kampala-Jinja'!C17,'19.10 Kampala-Jinja-24hr'!C17,'20.10 Kampala-Jinja'!C17,'21.10 Kampala-Jinja-24h'!C17,'23.10 KAMPALA-JINJA'!C17,'27.10 KAMPALA-JINJA'!C17)</f>
        <v>9.8571428571428577</v>
      </c>
      <c r="D17" s="49">
        <f>AVERAGE('17.10 Kampala-Jinja'!D17,'18.10 Kampala-Jinja'!D17,'19.10 Kampala-Jinja-24hr'!D17,'20.10 Kampala-Jinja'!D17,'21.10 Kampala-Jinja-24h'!D17,'23.10 KAMPALA-JINJA'!D17,'27.10 KAMPALA-JINJA'!D17)</f>
        <v>5.7142857142857144</v>
      </c>
      <c r="E17" s="49">
        <f>AVERAGE('17.10 Kampala-Jinja'!E17,'18.10 Kampala-Jinja'!E17,'19.10 Kampala-Jinja-24hr'!E17,'20.10 Kampala-Jinja'!E17,'21.10 Kampala-Jinja-24h'!E17,'23.10 KAMPALA-JINJA'!E17,'27.10 KAMPALA-JINJA'!E17)</f>
        <v>3</v>
      </c>
      <c r="F17" s="49">
        <f>AVERAGE('17.10 Kampala-Jinja'!F17,'18.10 Kampala-Jinja'!F17,'19.10 Kampala-Jinja-24hr'!F17,'20.10 Kampala-Jinja'!F17,'21.10 Kampala-Jinja-24h'!F17,'23.10 KAMPALA-JINJA'!F17,'27.10 KAMPALA-JINJA'!F17)</f>
        <v>26</v>
      </c>
      <c r="G17" s="49">
        <f>AVERAGE('17.10 Kampala-Jinja'!G17,'18.10 Kampala-Jinja'!G17,'19.10 Kampala-Jinja-24hr'!G17,'20.10 Kampala-Jinja'!G17,'21.10 Kampala-Jinja-24h'!G17,'23.10 KAMPALA-JINJA'!G17,'27.10 KAMPALA-JINJA'!G17)</f>
        <v>0.2857142857142857</v>
      </c>
      <c r="H17" s="49">
        <f>AVERAGE('17.10 Kampala-Jinja'!H17,'18.10 Kampala-Jinja'!H17,'19.10 Kampala-Jinja-24hr'!H17,'20.10 Kampala-Jinja'!H17,'21.10 Kampala-Jinja-24h'!H17,'23.10 KAMPALA-JINJA'!H17,'27.10 KAMPALA-JINJA'!H17)</f>
        <v>0.2857142857142857</v>
      </c>
      <c r="I17" s="49">
        <f>AVERAGE('17.10 Kampala-Jinja'!I17,'18.10 Kampala-Jinja'!I17,'19.10 Kampala-Jinja-24hr'!I17,'20.10 Kampala-Jinja'!I17,'21.10 Kampala-Jinja-24h'!I17,'23.10 KAMPALA-JINJA'!I17,'27.10 KAMPALA-JINJA'!I17)</f>
        <v>1.5714285714285714</v>
      </c>
      <c r="J17" s="49">
        <f>AVERAGE('17.10 Kampala-Jinja'!J17,'18.10 Kampala-Jinja'!J17,'19.10 Kampala-Jinja-24hr'!J17,'20.10 Kampala-Jinja'!J17,'21.10 Kampala-Jinja-24h'!J17,'23.10 KAMPALA-JINJA'!J17,'27.10 KAMPALA-JINJA'!J17)</f>
        <v>2.7142857142857144</v>
      </c>
      <c r="K17" s="49">
        <f>AVERAGE('17.10 Kampala-Jinja'!K17,'18.10 Kampala-Jinja'!K17,'19.10 Kampala-Jinja-24hr'!K17,'20.10 Kampala-Jinja'!K17,'21.10 Kampala-Jinja-24h'!K17,'23.10 KAMPALA-JINJA'!K17,'27.10 KAMPALA-JINJA'!K17)</f>
        <v>1</v>
      </c>
      <c r="L17" s="49">
        <f>AVERAGE('17.10 Kampala-Jinja'!L17,'18.10 Kampala-Jinja'!L17,'19.10 Kampala-Jinja-24hr'!L17,'20.10 Kampala-Jinja'!L17,'21.10 Kampala-Jinja-24h'!L17,'23.10 KAMPALA-JINJA'!L17,'27.10 KAMPALA-JINJA'!L17)</f>
        <v>4.7142857142857144</v>
      </c>
      <c r="M17" s="49">
        <f>AVERAGE('17.10 Kampala-Jinja'!M17,'18.10 Kampala-Jinja'!M17,'19.10 Kampala-Jinja-24hr'!M17,'20.10 Kampala-Jinja'!M17,'21.10 Kampala-Jinja-24h'!M17,'23.10 KAMPALA-JINJA'!M17,'27.10 KAMPALA-JINJA'!M17)</f>
        <v>14.714285714285714</v>
      </c>
      <c r="N17" s="49">
        <f>AVERAGE('17.10 Kampala-Jinja'!N17,'18.10 Kampala-Jinja'!N17,'19.10 Kampala-Jinja-24hr'!N17,'20.10 Kampala-Jinja'!N17,'21.10 Kampala-Jinja-24h'!N17,'23.10 KAMPALA-JINJA'!N17,'27.10 KAMPALA-JINJA'!N17)</f>
        <v>0</v>
      </c>
      <c r="O17" s="15">
        <f t="shared" si="0"/>
        <v>55.142857142857139</v>
      </c>
      <c r="P17" s="15">
        <f t="shared" si="1"/>
        <v>69.857142857142847</v>
      </c>
      <c r="R17" s="1" t="s">
        <v>13</v>
      </c>
      <c r="S17" s="17">
        <f t="shared" ref="S17:AF17" si="9">SUM(C38:C41)</f>
        <v>47.142857142857146</v>
      </c>
      <c r="T17" s="17">
        <f t="shared" si="9"/>
        <v>24</v>
      </c>
      <c r="U17" s="17">
        <f t="shared" si="9"/>
        <v>14.428571428571431</v>
      </c>
      <c r="V17" s="17">
        <f t="shared" si="9"/>
        <v>116.99999999999999</v>
      </c>
      <c r="W17" s="17">
        <f t="shared" si="9"/>
        <v>5.5714285714285721</v>
      </c>
      <c r="X17" s="17">
        <f t="shared" si="9"/>
        <v>2.4285714285714284</v>
      </c>
      <c r="Y17" s="17">
        <f t="shared" si="9"/>
        <v>16.428571428571431</v>
      </c>
      <c r="Z17" s="17">
        <f t="shared" si="9"/>
        <v>17.714285714285715</v>
      </c>
      <c r="AA17" s="17">
        <f t="shared" si="9"/>
        <v>8.1428571428571423</v>
      </c>
      <c r="AB17" s="17">
        <f t="shared" si="9"/>
        <v>41</v>
      </c>
      <c r="AC17" s="17">
        <f t="shared" si="9"/>
        <v>64.857142857142861</v>
      </c>
      <c r="AD17" s="17">
        <f t="shared" si="9"/>
        <v>0</v>
      </c>
      <c r="AE17" s="31">
        <f t="shared" si="9"/>
        <v>293.85714285714283</v>
      </c>
      <c r="AF17" s="31">
        <f t="shared" si="9"/>
        <v>358.71428571428572</v>
      </c>
    </row>
    <row r="18" spans="2:32" ht="23.1" customHeight="1" x14ac:dyDescent="0.25">
      <c r="B18" s="23" t="s">
        <v>45</v>
      </c>
      <c r="C18" s="49">
        <f>AVERAGE('17.10 Kampala-Jinja'!C18,'18.10 Kampala-Jinja'!C18,'19.10 Kampala-Jinja-24hr'!C18,'20.10 Kampala-Jinja'!C18,'21.10 Kampala-Jinja-24h'!C18,'23.10 KAMPALA-JINJA'!C18,'27.10 KAMPALA-JINJA'!C18)</f>
        <v>13.571428571428571</v>
      </c>
      <c r="D18" s="49">
        <f>AVERAGE('17.10 Kampala-Jinja'!D18,'18.10 Kampala-Jinja'!D18,'19.10 Kampala-Jinja-24hr'!D18,'20.10 Kampala-Jinja'!D18,'21.10 Kampala-Jinja-24h'!D18,'23.10 KAMPALA-JINJA'!D18,'27.10 KAMPALA-JINJA'!D18)</f>
        <v>10</v>
      </c>
      <c r="E18" s="49">
        <f>AVERAGE('17.10 Kampala-Jinja'!E18,'18.10 Kampala-Jinja'!E18,'19.10 Kampala-Jinja-24hr'!E18,'20.10 Kampala-Jinja'!E18,'21.10 Kampala-Jinja-24h'!E18,'23.10 KAMPALA-JINJA'!E18,'27.10 KAMPALA-JINJA'!E18)</f>
        <v>4.4285714285714288</v>
      </c>
      <c r="F18" s="49">
        <f>AVERAGE('17.10 Kampala-Jinja'!F18,'18.10 Kampala-Jinja'!F18,'19.10 Kampala-Jinja-24hr'!F18,'20.10 Kampala-Jinja'!F18,'21.10 Kampala-Jinja-24h'!F18,'23.10 KAMPALA-JINJA'!F18,'27.10 KAMPALA-JINJA'!F18)</f>
        <v>29.142857142857142</v>
      </c>
      <c r="G18" s="49">
        <f>AVERAGE('17.10 Kampala-Jinja'!G18,'18.10 Kampala-Jinja'!G18,'19.10 Kampala-Jinja-24hr'!G18,'20.10 Kampala-Jinja'!G18,'21.10 Kampala-Jinja-24h'!G18,'23.10 KAMPALA-JINJA'!G18,'27.10 KAMPALA-JINJA'!G18)</f>
        <v>1.1428571428571428</v>
      </c>
      <c r="H18" s="49">
        <f>AVERAGE('17.10 Kampala-Jinja'!H18,'18.10 Kampala-Jinja'!H18,'19.10 Kampala-Jinja-24hr'!H18,'20.10 Kampala-Jinja'!H18,'21.10 Kampala-Jinja-24h'!H18,'23.10 KAMPALA-JINJA'!H18,'27.10 KAMPALA-JINJA'!H18)</f>
        <v>0.7142857142857143</v>
      </c>
      <c r="I18" s="49">
        <f>AVERAGE('17.10 Kampala-Jinja'!I18,'18.10 Kampala-Jinja'!I18,'19.10 Kampala-Jinja-24hr'!I18,'20.10 Kampala-Jinja'!I18,'21.10 Kampala-Jinja-24h'!I18,'23.10 KAMPALA-JINJA'!I18,'27.10 KAMPALA-JINJA'!I18)</f>
        <v>2.2857142857142856</v>
      </c>
      <c r="J18" s="49">
        <f>AVERAGE('17.10 Kampala-Jinja'!J18,'18.10 Kampala-Jinja'!J18,'19.10 Kampala-Jinja-24hr'!J18,'20.10 Kampala-Jinja'!J18,'21.10 Kampala-Jinja-24h'!J18,'23.10 KAMPALA-JINJA'!J18,'27.10 KAMPALA-JINJA'!J18)</f>
        <v>6.5714285714285712</v>
      </c>
      <c r="K18" s="49">
        <f>AVERAGE('17.10 Kampala-Jinja'!K18,'18.10 Kampala-Jinja'!K18,'19.10 Kampala-Jinja-24hr'!K18,'20.10 Kampala-Jinja'!K18,'21.10 Kampala-Jinja-24h'!K18,'23.10 KAMPALA-JINJA'!K18,'27.10 KAMPALA-JINJA'!K18)</f>
        <v>1.5714285714285714</v>
      </c>
      <c r="L18" s="49">
        <f>AVERAGE('17.10 Kampala-Jinja'!L18,'18.10 Kampala-Jinja'!L18,'19.10 Kampala-Jinja-24hr'!L18,'20.10 Kampala-Jinja'!L18,'21.10 Kampala-Jinja-24h'!L18,'23.10 KAMPALA-JINJA'!L18,'27.10 KAMPALA-JINJA'!L18)</f>
        <v>4.5714285714285712</v>
      </c>
      <c r="M18" s="49">
        <f>AVERAGE('17.10 Kampala-Jinja'!M18,'18.10 Kampala-Jinja'!M18,'19.10 Kampala-Jinja-24hr'!M18,'20.10 Kampala-Jinja'!M18,'21.10 Kampala-Jinja-24h'!M18,'23.10 KAMPALA-JINJA'!M18,'27.10 KAMPALA-JINJA'!M18)</f>
        <v>17.285714285714285</v>
      </c>
      <c r="N18" s="49">
        <f>AVERAGE('17.10 Kampala-Jinja'!N18,'18.10 Kampala-Jinja'!N18,'19.10 Kampala-Jinja-24hr'!N18,'20.10 Kampala-Jinja'!N18,'21.10 Kampala-Jinja-24h'!N18,'23.10 KAMPALA-JINJA'!N18,'27.10 KAMPALA-JINJA'!N18)</f>
        <v>0</v>
      </c>
      <c r="O18" s="15">
        <f t="shared" si="0"/>
        <v>74</v>
      </c>
      <c r="P18" s="15">
        <f t="shared" si="1"/>
        <v>91.285714285714278</v>
      </c>
      <c r="R18" s="1" t="s">
        <v>14</v>
      </c>
      <c r="S18" s="17">
        <f t="shared" ref="S18:AF18" si="10">SUM(C42:C45)</f>
        <v>58.714285714285708</v>
      </c>
      <c r="T18" s="17">
        <f t="shared" si="10"/>
        <v>24.571428571428573</v>
      </c>
      <c r="U18" s="17">
        <f t="shared" si="10"/>
        <v>14.285714285714285</v>
      </c>
      <c r="V18" s="17">
        <f t="shared" si="10"/>
        <v>128.28571428571428</v>
      </c>
      <c r="W18" s="17">
        <f t="shared" si="10"/>
        <v>4.2857142857142856</v>
      </c>
      <c r="X18" s="17">
        <f t="shared" si="10"/>
        <v>2.2857142857142856</v>
      </c>
      <c r="Y18" s="17">
        <f t="shared" si="10"/>
        <v>15</v>
      </c>
      <c r="Z18" s="17">
        <f t="shared" si="10"/>
        <v>24.714285714285715</v>
      </c>
      <c r="AA18" s="17">
        <f t="shared" si="10"/>
        <v>5.8571428571428577</v>
      </c>
      <c r="AB18" s="17">
        <f t="shared" si="10"/>
        <v>49.714285714285715</v>
      </c>
      <c r="AC18" s="17">
        <f t="shared" si="10"/>
        <v>66.285714285714292</v>
      </c>
      <c r="AD18" s="17">
        <f t="shared" si="10"/>
        <v>0.2857142857142857</v>
      </c>
      <c r="AE18" s="31">
        <f t="shared" si="10"/>
        <v>328</v>
      </c>
      <c r="AF18" s="31">
        <f t="shared" si="10"/>
        <v>394.28571428571433</v>
      </c>
    </row>
    <row r="19" spans="2:32" ht="23.1" customHeight="1" x14ac:dyDescent="0.25">
      <c r="B19" s="23" t="s">
        <v>46</v>
      </c>
      <c r="C19" s="49">
        <f>AVERAGE('17.10 Kampala-Jinja'!C19,'18.10 Kampala-Jinja'!C19,'19.10 Kampala-Jinja-24hr'!C19,'20.10 Kampala-Jinja'!C19,'21.10 Kampala-Jinja-24h'!C19,'23.10 KAMPALA-JINJA'!C19,'27.10 KAMPALA-JINJA'!C19)</f>
        <v>13</v>
      </c>
      <c r="D19" s="49">
        <f>AVERAGE('17.10 Kampala-Jinja'!D19,'18.10 Kampala-Jinja'!D19,'19.10 Kampala-Jinja-24hr'!D19,'20.10 Kampala-Jinja'!D19,'21.10 Kampala-Jinja-24h'!D19,'23.10 KAMPALA-JINJA'!D19,'27.10 KAMPALA-JINJA'!D19)</f>
        <v>7.8571428571428568</v>
      </c>
      <c r="E19" s="49">
        <f>AVERAGE('17.10 Kampala-Jinja'!E19,'18.10 Kampala-Jinja'!E19,'19.10 Kampala-Jinja-24hr'!E19,'20.10 Kampala-Jinja'!E19,'21.10 Kampala-Jinja-24h'!E19,'23.10 KAMPALA-JINJA'!E19,'27.10 KAMPALA-JINJA'!E19)</f>
        <v>6.1428571428571432</v>
      </c>
      <c r="F19" s="49">
        <f>AVERAGE('17.10 Kampala-Jinja'!F19,'18.10 Kampala-Jinja'!F19,'19.10 Kampala-Jinja-24hr'!F19,'20.10 Kampala-Jinja'!F19,'21.10 Kampala-Jinja-24h'!F19,'23.10 KAMPALA-JINJA'!F19,'27.10 KAMPALA-JINJA'!F19)</f>
        <v>28.142857142857142</v>
      </c>
      <c r="G19" s="49">
        <f>AVERAGE('17.10 Kampala-Jinja'!G19,'18.10 Kampala-Jinja'!G19,'19.10 Kampala-Jinja-24hr'!G19,'20.10 Kampala-Jinja'!G19,'21.10 Kampala-Jinja-24h'!G19,'23.10 KAMPALA-JINJA'!G19,'27.10 KAMPALA-JINJA'!G19)</f>
        <v>1.1428571428571428</v>
      </c>
      <c r="H19" s="49">
        <f>AVERAGE('17.10 Kampala-Jinja'!H19,'18.10 Kampala-Jinja'!H19,'19.10 Kampala-Jinja-24hr'!H19,'20.10 Kampala-Jinja'!H19,'21.10 Kampala-Jinja-24h'!H19,'23.10 KAMPALA-JINJA'!H19,'27.10 KAMPALA-JINJA'!H19)</f>
        <v>0.7142857142857143</v>
      </c>
      <c r="I19" s="49">
        <f>AVERAGE('17.10 Kampala-Jinja'!I19,'18.10 Kampala-Jinja'!I19,'19.10 Kampala-Jinja-24hr'!I19,'20.10 Kampala-Jinja'!I19,'21.10 Kampala-Jinja-24h'!I19,'23.10 KAMPALA-JINJA'!I19,'27.10 KAMPALA-JINJA'!I19)</f>
        <v>1.4285714285714286</v>
      </c>
      <c r="J19" s="49">
        <f>AVERAGE('17.10 Kampala-Jinja'!J19,'18.10 Kampala-Jinja'!J19,'19.10 Kampala-Jinja-24hr'!J19,'20.10 Kampala-Jinja'!J19,'21.10 Kampala-Jinja-24h'!J19,'23.10 KAMPALA-JINJA'!J19,'27.10 KAMPALA-JINJA'!J19)</f>
        <v>3.2857142857142856</v>
      </c>
      <c r="K19" s="49">
        <f>AVERAGE('17.10 Kampala-Jinja'!K19,'18.10 Kampala-Jinja'!K19,'19.10 Kampala-Jinja-24hr'!K19,'20.10 Kampala-Jinja'!K19,'21.10 Kampala-Jinja-24h'!K19,'23.10 KAMPALA-JINJA'!K19,'27.10 KAMPALA-JINJA'!K19)</f>
        <v>1.1428571428571428</v>
      </c>
      <c r="L19" s="49">
        <f>AVERAGE('17.10 Kampala-Jinja'!L19,'18.10 Kampala-Jinja'!L19,'19.10 Kampala-Jinja-24hr'!L19,'20.10 Kampala-Jinja'!L19,'21.10 Kampala-Jinja-24h'!L19,'23.10 KAMPALA-JINJA'!L19,'27.10 KAMPALA-JINJA'!L19)</f>
        <v>5.7142857142857144</v>
      </c>
      <c r="M19" s="49">
        <f>AVERAGE('17.10 Kampala-Jinja'!M19,'18.10 Kampala-Jinja'!M19,'19.10 Kampala-Jinja-24hr'!M19,'20.10 Kampala-Jinja'!M19,'21.10 Kampala-Jinja-24h'!M19,'23.10 KAMPALA-JINJA'!M19,'27.10 KAMPALA-JINJA'!M19)</f>
        <v>13.142857142857142</v>
      </c>
      <c r="N19" s="49">
        <f>AVERAGE('17.10 Kampala-Jinja'!N19,'18.10 Kampala-Jinja'!N19,'19.10 Kampala-Jinja-24hr'!N19,'20.10 Kampala-Jinja'!N19,'21.10 Kampala-Jinja-24h'!N19,'23.10 KAMPALA-JINJA'!N19,'27.10 KAMPALA-JINJA'!N19)</f>
        <v>0</v>
      </c>
      <c r="O19" s="15">
        <f t="shared" si="0"/>
        <v>68.571428571428569</v>
      </c>
      <c r="P19" s="15">
        <f t="shared" si="1"/>
        <v>81.714285714285708</v>
      </c>
      <c r="R19" s="1" t="s">
        <v>15</v>
      </c>
      <c r="S19" s="17">
        <f t="shared" ref="S19:AF19" si="11">SUM(C46:C49)</f>
        <v>52</v>
      </c>
      <c r="T19" s="17">
        <f t="shared" si="11"/>
        <v>23.857142857142861</v>
      </c>
      <c r="U19" s="17">
        <f t="shared" si="11"/>
        <v>16.571428571428573</v>
      </c>
      <c r="V19" s="17">
        <f t="shared" si="11"/>
        <v>110.57142857142856</v>
      </c>
      <c r="W19" s="17">
        <f t="shared" si="11"/>
        <v>4.2857142857142856</v>
      </c>
      <c r="X19" s="17">
        <f t="shared" si="11"/>
        <v>2.1428571428571428</v>
      </c>
      <c r="Y19" s="17">
        <f t="shared" si="11"/>
        <v>13.428571428571429</v>
      </c>
      <c r="Z19" s="17">
        <f t="shared" si="11"/>
        <v>24.428571428571427</v>
      </c>
      <c r="AA19" s="17">
        <f t="shared" si="11"/>
        <v>6.4285714285714288</v>
      </c>
      <c r="AB19" s="17">
        <f t="shared" si="11"/>
        <v>61.428571428571431</v>
      </c>
      <c r="AC19" s="17">
        <f t="shared" si="11"/>
        <v>71.571428571428569</v>
      </c>
      <c r="AD19" s="17">
        <f t="shared" si="11"/>
        <v>0</v>
      </c>
      <c r="AE19" s="31">
        <f t="shared" si="11"/>
        <v>315.14285714285711</v>
      </c>
      <c r="AF19" s="31">
        <f t="shared" si="11"/>
        <v>386.71428571428572</v>
      </c>
    </row>
    <row r="20" spans="2:32" ht="23.1" customHeight="1" x14ac:dyDescent="0.25">
      <c r="B20" s="23" t="s">
        <v>47</v>
      </c>
      <c r="C20" s="49">
        <f>AVERAGE('17.10 Kampala-Jinja'!C20,'18.10 Kampala-Jinja'!C20,'19.10 Kampala-Jinja-24hr'!C20,'20.10 Kampala-Jinja'!C20,'21.10 Kampala-Jinja-24h'!C20,'23.10 KAMPALA-JINJA'!C20,'27.10 KAMPALA-JINJA'!C20)</f>
        <v>15.571428571428571</v>
      </c>
      <c r="D20" s="49">
        <f>AVERAGE('17.10 Kampala-Jinja'!D20,'18.10 Kampala-Jinja'!D20,'19.10 Kampala-Jinja-24hr'!D20,'20.10 Kampala-Jinja'!D20,'21.10 Kampala-Jinja-24h'!D20,'23.10 KAMPALA-JINJA'!D20,'27.10 KAMPALA-JINJA'!D20)</f>
        <v>7.4285714285714288</v>
      </c>
      <c r="E20" s="49">
        <f>AVERAGE('17.10 Kampala-Jinja'!E20,'18.10 Kampala-Jinja'!E20,'19.10 Kampala-Jinja-24hr'!E20,'20.10 Kampala-Jinja'!E20,'21.10 Kampala-Jinja-24h'!E20,'23.10 KAMPALA-JINJA'!E20,'27.10 KAMPALA-JINJA'!E20)</f>
        <v>3.5714285714285716</v>
      </c>
      <c r="F20" s="49">
        <f>AVERAGE('17.10 Kampala-Jinja'!F20,'18.10 Kampala-Jinja'!F20,'19.10 Kampala-Jinja-24hr'!F20,'20.10 Kampala-Jinja'!F20,'21.10 Kampala-Jinja-24h'!F20,'23.10 KAMPALA-JINJA'!F20,'27.10 KAMPALA-JINJA'!F20)</f>
        <v>31.142857142857142</v>
      </c>
      <c r="G20" s="49">
        <f>AVERAGE('17.10 Kampala-Jinja'!G20,'18.10 Kampala-Jinja'!G20,'19.10 Kampala-Jinja-24hr'!G20,'20.10 Kampala-Jinja'!G20,'21.10 Kampala-Jinja-24h'!G20,'23.10 KAMPALA-JINJA'!G20,'27.10 KAMPALA-JINJA'!G20)</f>
        <v>0.7142857142857143</v>
      </c>
      <c r="H20" s="49">
        <f>AVERAGE('17.10 Kampala-Jinja'!H20,'18.10 Kampala-Jinja'!H20,'19.10 Kampala-Jinja-24hr'!H20,'20.10 Kampala-Jinja'!H20,'21.10 Kampala-Jinja-24h'!H20,'23.10 KAMPALA-JINJA'!H20,'27.10 KAMPALA-JINJA'!H20)</f>
        <v>0.2857142857142857</v>
      </c>
      <c r="I20" s="49">
        <f>AVERAGE('17.10 Kampala-Jinja'!I20,'18.10 Kampala-Jinja'!I20,'19.10 Kampala-Jinja-24hr'!I20,'20.10 Kampala-Jinja'!I20,'21.10 Kampala-Jinja-24h'!I20,'23.10 KAMPALA-JINJA'!I20,'27.10 KAMPALA-JINJA'!I20)</f>
        <v>2.2857142857142856</v>
      </c>
      <c r="J20" s="49">
        <f>AVERAGE('17.10 Kampala-Jinja'!J20,'18.10 Kampala-Jinja'!J20,'19.10 Kampala-Jinja-24hr'!J20,'20.10 Kampala-Jinja'!J20,'21.10 Kampala-Jinja-24h'!J20,'23.10 KAMPALA-JINJA'!J20,'27.10 KAMPALA-JINJA'!J20)</f>
        <v>2.8571428571428572</v>
      </c>
      <c r="K20" s="49">
        <f>AVERAGE('17.10 Kampala-Jinja'!K20,'18.10 Kampala-Jinja'!K20,'19.10 Kampala-Jinja-24hr'!K20,'20.10 Kampala-Jinja'!K20,'21.10 Kampala-Jinja-24h'!K20,'23.10 KAMPALA-JINJA'!K20,'27.10 KAMPALA-JINJA'!K20)</f>
        <v>0.7142857142857143</v>
      </c>
      <c r="L20" s="49">
        <f>AVERAGE('17.10 Kampala-Jinja'!L20,'18.10 Kampala-Jinja'!L20,'19.10 Kampala-Jinja-24hr'!L20,'20.10 Kampala-Jinja'!L20,'21.10 Kampala-Jinja-24h'!L20,'23.10 KAMPALA-JINJA'!L20,'27.10 KAMPALA-JINJA'!L20)</f>
        <v>3.8571428571428572</v>
      </c>
      <c r="M20" s="49">
        <f>AVERAGE('17.10 Kampala-Jinja'!M20,'18.10 Kampala-Jinja'!M20,'19.10 Kampala-Jinja-24hr'!M20,'20.10 Kampala-Jinja'!M20,'21.10 Kampala-Jinja-24h'!M20,'23.10 KAMPALA-JINJA'!M20,'27.10 KAMPALA-JINJA'!M20)</f>
        <v>16.714285714285715</v>
      </c>
      <c r="N20" s="49">
        <f>AVERAGE('17.10 Kampala-Jinja'!N20,'18.10 Kampala-Jinja'!N20,'19.10 Kampala-Jinja-24hr'!N20,'20.10 Kampala-Jinja'!N20,'21.10 Kampala-Jinja-24h'!N20,'23.10 KAMPALA-JINJA'!N20,'27.10 KAMPALA-JINJA'!N20)</f>
        <v>0.14285714285714285</v>
      </c>
      <c r="O20" s="15">
        <f t="shared" si="0"/>
        <v>68.571428571428569</v>
      </c>
      <c r="P20" s="15">
        <f t="shared" si="1"/>
        <v>85.285714285714278</v>
      </c>
      <c r="R20" s="1" t="s">
        <v>16</v>
      </c>
      <c r="S20" s="17">
        <f t="shared" ref="S20:AF20" si="12">SUM(C50:C53)</f>
        <v>56.428571428571431</v>
      </c>
      <c r="T20" s="17">
        <f t="shared" si="12"/>
        <v>27.428571428571423</v>
      </c>
      <c r="U20" s="17">
        <f t="shared" si="12"/>
        <v>14.714285714285715</v>
      </c>
      <c r="V20" s="17">
        <f t="shared" si="12"/>
        <v>126.85714285714286</v>
      </c>
      <c r="W20" s="17">
        <f t="shared" si="12"/>
        <v>4.7142857142857144</v>
      </c>
      <c r="X20" s="17">
        <f t="shared" si="12"/>
        <v>2.1428571428571428</v>
      </c>
      <c r="Y20" s="17">
        <f t="shared" si="12"/>
        <v>18</v>
      </c>
      <c r="Z20" s="17">
        <f t="shared" si="12"/>
        <v>24.571428571428573</v>
      </c>
      <c r="AA20" s="17">
        <f t="shared" si="12"/>
        <v>7.8571428571428577</v>
      </c>
      <c r="AB20" s="17">
        <f t="shared" si="12"/>
        <v>76.714285714285708</v>
      </c>
      <c r="AC20" s="17">
        <f t="shared" si="12"/>
        <v>77.285714285714278</v>
      </c>
      <c r="AD20" s="17">
        <f t="shared" si="12"/>
        <v>0.42857142857142855</v>
      </c>
      <c r="AE20" s="31">
        <f t="shared" si="12"/>
        <v>359.85714285714289</v>
      </c>
      <c r="AF20" s="31">
        <f t="shared" si="12"/>
        <v>437.14285714285711</v>
      </c>
    </row>
    <row r="21" spans="2:32" ht="23.1" customHeight="1" x14ac:dyDescent="0.25">
      <c r="B21" s="23" t="s">
        <v>48</v>
      </c>
      <c r="C21" s="49">
        <f>AVERAGE('17.10 Kampala-Jinja'!C21,'18.10 Kampala-Jinja'!C21,'19.10 Kampala-Jinja-24hr'!C21,'20.10 Kampala-Jinja'!C21,'21.10 Kampala-Jinja-24h'!C21,'23.10 KAMPALA-JINJA'!C21,'27.10 KAMPALA-JINJA'!C21)</f>
        <v>12.571428571428571</v>
      </c>
      <c r="D21" s="49">
        <f>AVERAGE('17.10 Kampala-Jinja'!D21,'18.10 Kampala-Jinja'!D21,'19.10 Kampala-Jinja-24hr'!D21,'20.10 Kampala-Jinja'!D21,'21.10 Kampala-Jinja-24h'!D21,'23.10 KAMPALA-JINJA'!D21,'27.10 KAMPALA-JINJA'!D21)</f>
        <v>8</v>
      </c>
      <c r="E21" s="49">
        <f>AVERAGE('17.10 Kampala-Jinja'!E21,'18.10 Kampala-Jinja'!E21,'19.10 Kampala-Jinja-24hr'!E21,'20.10 Kampala-Jinja'!E21,'21.10 Kampala-Jinja-24h'!E21,'23.10 KAMPALA-JINJA'!E21,'27.10 KAMPALA-JINJA'!E21)</f>
        <v>4.4285714285714288</v>
      </c>
      <c r="F21" s="49">
        <f>AVERAGE('17.10 Kampala-Jinja'!F21,'18.10 Kampala-Jinja'!F21,'19.10 Kampala-Jinja-24hr'!F21,'20.10 Kampala-Jinja'!F21,'21.10 Kampala-Jinja-24h'!F21,'23.10 KAMPALA-JINJA'!F21,'27.10 KAMPALA-JINJA'!F21)</f>
        <v>29.714285714285715</v>
      </c>
      <c r="G21" s="49">
        <f>AVERAGE('17.10 Kampala-Jinja'!G21,'18.10 Kampala-Jinja'!G21,'19.10 Kampala-Jinja-24hr'!G21,'20.10 Kampala-Jinja'!G21,'21.10 Kampala-Jinja-24h'!G21,'23.10 KAMPALA-JINJA'!G21,'27.10 KAMPALA-JINJA'!G21)</f>
        <v>0.8571428571428571</v>
      </c>
      <c r="H21" s="49">
        <f>AVERAGE('17.10 Kampala-Jinja'!H21,'18.10 Kampala-Jinja'!H21,'19.10 Kampala-Jinja-24hr'!H21,'20.10 Kampala-Jinja'!H21,'21.10 Kampala-Jinja-24h'!H21,'23.10 KAMPALA-JINJA'!H21,'27.10 KAMPALA-JINJA'!H21)</f>
        <v>0.42857142857142855</v>
      </c>
      <c r="I21" s="49">
        <f>AVERAGE('17.10 Kampala-Jinja'!I21,'18.10 Kampala-Jinja'!I21,'19.10 Kampala-Jinja-24hr'!I21,'20.10 Kampala-Jinja'!I21,'21.10 Kampala-Jinja-24h'!I21,'23.10 KAMPALA-JINJA'!I21,'27.10 KAMPALA-JINJA'!I21)</f>
        <v>2.8571428571428572</v>
      </c>
      <c r="J21" s="49">
        <f>AVERAGE('17.10 Kampala-Jinja'!J21,'18.10 Kampala-Jinja'!J21,'19.10 Kampala-Jinja-24hr'!J21,'20.10 Kampala-Jinja'!J21,'21.10 Kampala-Jinja-24h'!J21,'23.10 KAMPALA-JINJA'!J21,'27.10 KAMPALA-JINJA'!J21)</f>
        <v>3.4285714285714284</v>
      </c>
      <c r="K21" s="49">
        <f>AVERAGE('17.10 Kampala-Jinja'!K21,'18.10 Kampala-Jinja'!K21,'19.10 Kampala-Jinja-24hr'!K21,'20.10 Kampala-Jinja'!K21,'21.10 Kampala-Jinja-24h'!K21,'23.10 KAMPALA-JINJA'!K21,'27.10 KAMPALA-JINJA'!K21)</f>
        <v>0.8571428571428571</v>
      </c>
      <c r="L21" s="49">
        <f>AVERAGE('17.10 Kampala-Jinja'!L21,'18.10 Kampala-Jinja'!L21,'19.10 Kampala-Jinja-24hr'!L21,'20.10 Kampala-Jinja'!L21,'21.10 Kampala-Jinja-24h'!L21,'23.10 KAMPALA-JINJA'!L21,'27.10 KAMPALA-JINJA'!L21)</f>
        <v>4</v>
      </c>
      <c r="M21" s="49">
        <f>AVERAGE('17.10 Kampala-Jinja'!M21,'18.10 Kampala-Jinja'!M21,'19.10 Kampala-Jinja-24hr'!M21,'20.10 Kampala-Jinja'!M21,'21.10 Kampala-Jinja-24h'!M21,'23.10 KAMPALA-JINJA'!M21,'27.10 KAMPALA-JINJA'!M21)</f>
        <v>14.714285714285714</v>
      </c>
      <c r="N21" s="49">
        <f>AVERAGE('17.10 Kampala-Jinja'!N21,'18.10 Kampala-Jinja'!N21,'19.10 Kampala-Jinja-24hr'!N21,'20.10 Kampala-Jinja'!N21,'21.10 Kampala-Jinja-24h'!N21,'23.10 KAMPALA-JINJA'!N21,'27.10 KAMPALA-JINJA'!N21)</f>
        <v>0.14285714285714285</v>
      </c>
      <c r="O21" s="15">
        <f t="shared" si="0"/>
        <v>67.285714285714278</v>
      </c>
      <c r="P21" s="15">
        <f t="shared" si="1"/>
        <v>81.999999999999986</v>
      </c>
      <c r="R21" s="1" t="s">
        <v>20</v>
      </c>
      <c r="S21" s="34">
        <f t="shared" ref="S21:AF21" si="13">SUM(C54:C57)</f>
        <v>57.142857142857139</v>
      </c>
      <c r="T21" s="17">
        <f t="shared" si="13"/>
        <v>25.857142857142858</v>
      </c>
      <c r="U21" s="17">
        <f t="shared" si="13"/>
        <v>17.428571428571427</v>
      </c>
      <c r="V21" s="17">
        <f t="shared" si="13"/>
        <v>123.28571428571428</v>
      </c>
      <c r="W21" s="17">
        <f t="shared" si="13"/>
        <v>4.7142857142857144</v>
      </c>
      <c r="X21" s="17">
        <f t="shared" si="13"/>
        <v>4</v>
      </c>
      <c r="Y21" s="17">
        <f t="shared" si="13"/>
        <v>18.142857142857142</v>
      </c>
      <c r="Z21" s="17">
        <f t="shared" si="13"/>
        <v>21.142857142857142</v>
      </c>
      <c r="AA21" s="17">
        <f t="shared" si="13"/>
        <v>7</v>
      </c>
      <c r="AB21" s="17">
        <f t="shared" si="13"/>
        <v>83.571428571428555</v>
      </c>
      <c r="AC21" s="17">
        <f t="shared" si="13"/>
        <v>76.571428571428584</v>
      </c>
      <c r="AD21" s="17">
        <f t="shared" si="13"/>
        <v>0.2857142857142857</v>
      </c>
      <c r="AE21" s="31">
        <f t="shared" si="13"/>
        <v>362.57142857142861</v>
      </c>
      <c r="AF21" s="31">
        <f t="shared" si="13"/>
        <v>439.14285714285722</v>
      </c>
    </row>
    <row r="22" spans="2:32" ht="23.1" customHeight="1" x14ac:dyDescent="0.25">
      <c r="B22" s="23" t="s">
        <v>49</v>
      </c>
      <c r="C22" s="49">
        <f>AVERAGE('17.10 Kampala-Jinja'!C22,'18.10 Kampala-Jinja'!C22,'19.10 Kampala-Jinja-24hr'!C22,'20.10 Kampala-Jinja'!C22,'21.10 Kampala-Jinja-24h'!C22,'23.10 KAMPALA-JINJA'!C22,'27.10 KAMPALA-JINJA'!C22)</f>
        <v>16.285714285714285</v>
      </c>
      <c r="D22" s="49">
        <f>AVERAGE('17.10 Kampala-Jinja'!D22,'18.10 Kampala-Jinja'!D22,'19.10 Kampala-Jinja-24hr'!D22,'20.10 Kampala-Jinja'!D22,'21.10 Kampala-Jinja-24h'!D22,'23.10 KAMPALA-JINJA'!D22,'27.10 KAMPALA-JINJA'!D22)</f>
        <v>8.1428571428571423</v>
      </c>
      <c r="E22" s="49">
        <f>AVERAGE('17.10 Kampala-Jinja'!E22,'18.10 Kampala-Jinja'!E22,'19.10 Kampala-Jinja-24hr'!E22,'20.10 Kampala-Jinja'!E22,'21.10 Kampala-Jinja-24h'!E22,'23.10 KAMPALA-JINJA'!E22,'27.10 KAMPALA-JINJA'!E22)</f>
        <v>4.7142857142857144</v>
      </c>
      <c r="F22" s="49">
        <f>AVERAGE('17.10 Kampala-Jinja'!F22,'18.10 Kampala-Jinja'!F22,'19.10 Kampala-Jinja-24hr'!F22,'20.10 Kampala-Jinja'!F22,'21.10 Kampala-Jinja-24h'!F22,'23.10 KAMPALA-JINJA'!F22,'27.10 KAMPALA-JINJA'!F22)</f>
        <v>29.714285714285715</v>
      </c>
      <c r="G22" s="49">
        <f>AVERAGE('17.10 Kampala-Jinja'!G22,'18.10 Kampala-Jinja'!G22,'19.10 Kampala-Jinja-24hr'!G22,'20.10 Kampala-Jinja'!G22,'21.10 Kampala-Jinja-24h'!G22,'23.10 KAMPALA-JINJA'!G22,'27.10 KAMPALA-JINJA'!G22)</f>
        <v>0.8571428571428571</v>
      </c>
      <c r="H22" s="49">
        <f>AVERAGE('17.10 Kampala-Jinja'!H22,'18.10 Kampala-Jinja'!H22,'19.10 Kampala-Jinja-24hr'!H22,'20.10 Kampala-Jinja'!H22,'21.10 Kampala-Jinja-24h'!H22,'23.10 KAMPALA-JINJA'!H22,'27.10 KAMPALA-JINJA'!H22)</f>
        <v>0.7142857142857143</v>
      </c>
      <c r="I22" s="49">
        <f>AVERAGE('17.10 Kampala-Jinja'!I22,'18.10 Kampala-Jinja'!I22,'19.10 Kampala-Jinja-24hr'!I22,'20.10 Kampala-Jinja'!I22,'21.10 Kampala-Jinja-24h'!I22,'23.10 KAMPALA-JINJA'!I22,'27.10 KAMPALA-JINJA'!I22)</f>
        <v>2.1428571428571428</v>
      </c>
      <c r="J22" s="49">
        <f>AVERAGE('17.10 Kampala-Jinja'!J22,'18.10 Kampala-Jinja'!J22,'19.10 Kampala-Jinja-24hr'!J22,'20.10 Kampala-Jinja'!J22,'21.10 Kampala-Jinja-24h'!J22,'23.10 KAMPALA-JINJA'!J22,'27.10 KAMPALA-JINJA'!J22)</f>
        <v>4.1428571428571432</v>
      </c>
      <c r="K22" s="49">
        <f>AVERAGE('17.10 Kampala-Jinja'!K22,'18.10 Kampala-Jinja'!K22,'19.10 Kampala-Jinja-24hr'!K22,'20.10 Kampala-Jinja'!K22,'21.10 Kampala-Jinja-24h'!K22,'23.10 KAMPALA-JINJA'!K22,'27.10 KAMPALA-JINJA'!K22)</f>
        <v>0.2857142857142857</v>
      </c>
      <c r="L22" s="49">
        <f>AVERAGE('17.10 Kampala-Jinja'!L22,'18.10 Kampala-Jinja'!L22,'19.10 Kampala-Jinja-24hr'!L22,'20.10 Kampala-Jinja'!L22,'21.10 Kampala-Jinja-24h'!L22,'23.10 KAMPALA-JINJA'!L22,'27.10 KAMPALA-JINJA'!L22)</f>
        <v>3.5714285714285716</v>
      </c>
      <c r="M22" s="49">
        <f>AVERAGE('17.10 Kampala-Jinja'!M22,'18.10 Kampala-Jinja'!M22,'19.10 Kampala-Jinja-24hr'!M22,'20.10 Kampala-Jinja'!M22,'21.10 Kampala-Jinja-24h'!M22,'23.10 KAMPALA-JINJA'!M22,'27.10 KAMPALA-JINJA'!M22)</f>
        <v>21.285714285714285</v>
      </c>
      <c r="N22" s="49">
        <f>AVERAGE('17.10 Kampala-Jinja'!N22,'18.10 Kampala-Jinja'!N22,'19.10 Kampala-Jinja-24hr'!N22,'20.10 Kampala-Jinja'!N22,'21.10 Kampala-Jinja-24h'!N22,'23.10 KAMPALA-JINJA'!N22,'27.10 KAMPALA-JINJA'!N22)</f>
        <v>0</v>
      </c>
      <c r="O22" s="15">
        <f t="shared" si="0"/>
        <v>70.571428571428584</v>
      </c>
      <c r="P22" s="15">
        <f t="shared" si="1"/>
        <v>91.857142857142861</v>
      </c>
      <c r="R22" s="1" t="s">
        <v>146</v>
      </c>
      <c r="S22" s="34">
        <f>SUM(C58:C61)</f>
        <v>71.5</v>
      </c>
      <c r="T22" s="34">
        <f t="shared" ref="T22:AF22" si="14">SUM(D58:D61)</f>
        <v>18.5</v>
      </c>
      <c r="U22" s="34">
        <f t="shared" si="14"/>
        <v>12</v>
      </c>
      <c r="V22" s="34">
        <f t="shared" si="14"/>
        <v>95</v>
      </c>
      <c r="W22" s="34">
        <f t="shared" si="14"/>
        <v>3</v>
      </c>
      <c r="X22" s="34">
        <f t="shared" si="14"/>
        <v>2</v>
      </c>
      <c r="Y22" s="34">
        <f t="shared" si="14"/>
        <v>26</v>
      </c>
      <c r="Z22" s="34">
        <f t="shared" si="14"/>
        <v>16</v>
      </c>
      <c r="AA22" s="34">
        <f t="shared" si="14"/>
        <v>6.5</v>
      </c>
      <c r="AB22" s="34">
        <f t="shared" si="14"/>
        <v>65.5</v>
      </c>
      <c r="AC22" s="34">
        <f t="shared" si="14"/>
        <v>84.5</v>
      </c>
      <c r="AD22" s="34">
        <f t="shared" si="14"/>
        <v>0</v>
      </c>
      <c r="AE22" s="31">
        <f t="shared" si="14"/>
        <v>316</v>
      </c>
      <c r="AF22" s="31">
        <f t="shared" si="14"/>
        <v>400.5</v>
      </c>
    </row>
    <row r="23" spans="2:32" ht="23.1" customHeight="1" x14ac:dyDescent="0.25">
      <c r="B23" s="23" t="s">
        <v>50</v>
      </c>
      <c r="C23" s="49">
        <f>AVERAGE('17.10 Kampala-Jinja'!C23,'18.10 Kampala-Jinja'!C23,'19.10 Kampala-Jinja-24hr'!C23,'20.10 Kampala-Jinja'!C23,'21.10 Kampala-Jinja-24h'!C23,'23.10 KAMPALA-JINJA'!C23,'27.10 KAMPALA-JINJA'!C23)</f>
        <v>13.285714285714286</v>
      </c>
      <c r="D23" s="49">
        <f>AVERAGE('17.10 Kampala-Jinja'!D23,'18.10 Kampala-Jinja'!D23,'19.10 Kampala-Jinja-24hr'!D23,'20.10 Kampala-Jinja'!D23,'21.10 Kampala-Jinja-24h'!D23,'23.10 KAMPALA-JINJA'!D23,'27.10 KAMPALA-JINJA'!D23)</f>
        <v>5.7142857142857144</v>
      </c>
      <c r="E23" s="49">
        <f>AVERAGE('17.10 Kampala-Jinja'!E23,'18.10 Kampala-Jinja'!E23,'19.10 Kampala-Jinja-24hr'!E23,'20.10 Kampala-Jinja'!E23,'21.10 Kampala-Jinja-24h'!E23,'23.10 KAMPALA-JINJA'!E23,'27.10 KAMPALA-JINJA'!E23)</f>
        <v>3</v>
      </c>
      <c r="F23" s="49">
        <f>AVERAGE('17.10 Kampala-Jinja'!F23,'18.10 Kampala-Jinja'!F23,'19.10 Kampala-Jinja-24hr'!F23,'20.10 Kampala-Jinja'!F23,'21.10 Kampala-Jinja-24h'!F23,'23.10 KAMPALA-JINJA'!F23,'27.10 KAMPALA-JINJA'!F23)</f>
        <v>27.714285714285715</v>
      </c>
      <c r="G23" s="49">
        <f>AVERAGE('17.10 Kampala-Jinja'!G23,'18.10 Kampala-Jinja'!G23,'19.10 Kampala-Jinja-24hr'!G23,'20.10 Kampala-Jinja'!G23,'21.10 Kampala-Jinja-24h'!G23,'23.10 KAMPALA-JINJA'!G23,'27.10 KAMPALA-JINJA'!G23)</f>
        <v>1.1428571428571428</v>
      </c>
      <c r="H23" s="49">
        <f>AVERAGE('17.10 Kampala-Jinja'!H23,'18.10 Kampala-Jinja'!H23,'19.10 Kampala-Jinja-24hr'!H23,'20.10 Kampala-Jinja'!H23,'21.10 Kampala-Jinja-24h'!H23,'23.10 KAMPALA-JINJA'!H23,'27.10 KAMPALA-JINJA'!H23)</f>
        <v>0</v>
      </c>
      <c r="I23" s="49">
        <f>AVERAGE('17.10 Kampala-Jinja'!I23,'18.10 Kampala-Jinja'!I23,'19.10 Kampala-Jinja-24hr'!I23,'20.10 Kampala-Jinja'!I23,'21.10 Kampala-Jinja-24h'!I23,'23.10 KAMPALA-JINJA'!I23,'27.10 KAMPALA-JINJA'!I23)</f>
        <v>1.1428571428571428</v>
      </c>
      <c r="J23" s="49">
        <f>AVERAGE('17.10 Kampala-Jinja'!J23,'18.10 Kampala-Jinja'!J23,'19.10 Kampala-Jinja-24hr'!J23,'20.10 Kampala-Jinja'!J23,'21.10 Kampala-Jinja-24h'!J23,'23.10 KAMPALA-JINJA'!J23,'27.10 KAMPALA-JINJA'!J23)</f>
        <v>4</v>
      </c>
      <c r="K23" s="49">
        <f>AVERAGE('17.10 Kampala-Jinja'!K23,'18.10 Kampala-Jinja'!K23,'19.10 Kampala-Jinja-24hr'!K23,'20.10 Kampala-Jinja'!K23,'21.10 Kampala-Jinja-24h'!K23,'23.10 KAMPALA-JINJA'!K23,'27.10 KAMPALA-JINJA'!K23)</f>
        <v>0.8571428571428571</v>
      </c>
      <c r="L23" s="49">
        <f>AVERAGE('17.10 Kampala-Jinja'!L23,'18.10 Kampala-Jinja'!L23,'19.10 Kampala-Jinja-24hr'!L23,'20.10 Kampala-Jinja'!L23,'21.10 Kampala-Jinja-24h'!L23,'23.10 KAMPALA-JINJA'!L23,'27.10 KAMPALA-JINJA'!L23)</f>
        <v>2.5714285714285716</v>
      </c>
      <c r="M23" s="49">
        <f>AVERAGE('17.10 Kampala-Jinja'!M23,'18.10 Kampala-Jinja'!M23,'19.10 Kampala-Jinja-24hr'!M23,'20.10 Kampala-Jinja'!M23,'21.10 Kampala-Jinja-24h'!M23,'23.10 KAMPALA-JINJA'!M23,'27.10 KAMPALA-JINJA'!M23)</f>
        <v>19.142857142857142</v>
      </c>
      <c r="N23" s="49">
        <f>AVERAGE('17.10 Kampala-Jinja'!N23,'18.10 Kampala-Jinja'!N23,'19.10 Kampala-Jinja-24hr'!N23,'20.10 Kampala-Jinja'!N23,'21.10 Kampala-Jinja-24h'!N23,'23.10 KAMPALA-JINJA'!N23,'27.10 KAMPALA-JINJA'!N23)</f>
        <v>0</v>
      </c>
      <c r="O23" s="15">
        <f t="shared" si="0"/>
        <v>59.428571428571431</v>
      </c>
      <c r="P23" s="15">
        <f t="shared" si="1"/>
        <v>78.571428571428569</v>
      </c>
      <c r="R23" s="1" t="s">
        <v>147</v>
      </c>
      <c r="S23" s="34">
        <f>SUM(C62:C65)</f>
        <v>54</v>
      </c>
      <c r="T23" s="34">
        <f t="shared" ref="T23:AF23" si="15">SUM(D62:D65)</f>
        <v>18</v>
      </c>
      <c r="U23" s="34">
        <f t="shared" si="15"/>
        <v>11.5</v>
      </c>
      <c r="V23" s="34">
        <f t="shared" si="15"/>
        <v>91.5</v>
      </c>
      <c r="W23" s="34">
        <f t="shared" si="15"/>
        <v>4.5</v>
      </c>
      <c r="X23" s="34">
        <f t="shared" si="15"/>
        <v>2.5</v>
      </c>
      <c r="Y23" s="34">
        <f t="shared" si="15"/>
        <v>25</v>
      </c>
      <c r="Z23" s="34">
        <f t="shared" si="15"/>
        <v>33</v>
      </c>
      <c r="AA23" s="34">
        <f t="shared" si="15"/>
        <v>11.5</v>
      </c>
      <c r="AB23" s="34">
        <f t="shared" si="15"/>
        <v>73</v>
      </c>
      <c r="AC23" s="34">
        <f t="shared" si="15"/>
        <v>73</v>
      </c>
      <c r="AD23" s="34">
        <f t="shared" si="15"/>
        <v>0</v>
      </c>
      <c r="AE23" s="31">
        <f t="shared" si="15"/>
        <v>324.5</v>
      </c>
      <c r="AF23" s="31">
        <f t="shared" si="15"/>
        <v>397.5</v>
      </c>
    </row>
    <row r="24" spans="2:32" ht="23.1" customHeight="1" x14ac:dyDescent="0.25">
      <c r="B24" s="23" t="s">
        <v>51</v>
      </c>
      <c r="C24" s="49">
        <f>AVERAGE('17.10 Kampala-Jinja'!C24,'18.10 Kampala-Jinja'!C24,'19.10 Kampala-Jinja-24hr'!C24,'20.10 Kampala-Jinja'!C24,'21.10 Kampala-Jinja-24h'!C24,'23.10 KAMPALA-JINJA'!C24,'27.10 KAMPALA-JINJA'!C24)</f>
        <v>13.857142857142858</v>
      </c>
      <c r="D24" s="49">
        <f>AVERAGE('17.10 Kampala-Jinja'!D24,'18.10 Kampala-Jinja'!D24,'19.10 Kampala-Jinja-24hr'!D24,'20.10 Kampala-Jinja'!D24,'21.10 Kampala-Jinja-24h'!D24,'23.10 KAMPALA-JINJA'!D24,'27.10 KAMPALA-JINJA'!D24)</f>
        <v>6</v>
      </c>
      <c r="E24" s="49">
        <f>AVERAGE('17.10 Kampala-Jinja'!E24,'18.10 Kampala-Jinja'!E24,'19.10 Kampala-Jinja-24hr'!E24,'20.10 Kampala-Jinja'!E24,'21.10 Kampala-Jinja-24h'!E24,'23.10 KAMPALA-JINJA'!E24,'27.10 KAMPALA-JINJA'!E24)</f>
        <v>3.7142857142857144</v>
      </c>
      <c r="F24" s="49">
        <f>AVERAGE('17.10 Kampala-Jinja'!F24,'18.10 Kampala-Jinja'!F24,'19.10 Kampala-Jinja-24hr'!F24,'20.10 Kampala-Jinja'!F24,'21.10 Kampala-Jinja-24h'!F24,'23.10 KAMPALA-JINJA'!F24,'27.10 KAMPALA-JINJA'!F24)</f>
        <v>30.428571428571427</v>
      </c>
      <c r="G24" s="49">
        <f>AVERAGE('17.10 Kampala-Jinja'!G24,'18.10 Kampala-Jinja'!G24,'19.10 Kampala-Jinja-24hr'!G24,'20.10 Kampala-Jinja'!G24,'21.10 Kampala-Jinja-24h'!G24,'23.10 KAMPALA-JINJA'!G24,'27.10 KAMPALA-JINJA'!G24)</f>
        <v>0.8571428571428571</v>
      </c>
      <c r="H24" s="49">
        <f>AVERAGE('17.10 Kampala-Jinja'!H24,'18.10 Kampala-Jinja'!H24,'19.10 Kampala-Jinja-24hr'!H24,'20.10 Kampala-Jinja'!H24,'21.10 Kampala-Jinja-24h'!H24,'23.10 KAMPALA-JINJA'!H24,'27.10 KAMPALA-JINJA'!H24)</f>
        <v>0.5714285714285714</v>
      </c>
      <c r="I24" s="49">
        <f>AVERAGE('17.10 Kampala-Jinja'!I24,'18.10 Kampala-Jinja'!I24,'19.10 Kampala-Jinja-24hr'!I24,'20.10 Kampala-Jinja'!I24,'21.10 Kampala-Jinja-24h'!I24,'23.10 KAMPALA-JINJA'!I24,'27.10 KAMPALA-JINJA'!I24)</f>
        <v>2.2857142857142856</v>
      </c>
      <c r="J24" s="49">
        <f>AVERAGE('17.10 Kampala-Jinja'!J24,'18.10 Kampala-Jinja'!J24,'19.10 Kampala-Jinja-24hr'!J24,'20.10 Kampala-Jinja'!J24,'21.10 Kampala-Jinja-24h'!J24,'23.10 KAMPALA-JINJA'!J24,'27.10 KAMPALA-JINJA'!J24)</f>
        <v>4</v>
      </c>
      <c r="K24" s="49">
        <f>AVERAGE('17.10 Kampala-Jinja'!K24,'18.10 Kampala-Jinja'!K24,'19.10 Kampala-Jinja-24hr'!K24,'20.10 Kampala-Jinja'!K24,'21.10 Kampala-Jinja-24h'!K24,'23.10 KAMPALA-JINJA'!K24,'27.10 KAMPALA-JINJA'!K24)</f>
        <v>1.8571428571428572</v>
      </c>
      <c r="L24" s="49">
        <f>AVERAGE('17.10 Kampala-Jinja'!L24,'18.10 Kampala-Jinja'!L24,'19.10 Kampala-Jinja-24hr'!L24,'20.10 Kampala-Jinja'!L24,'21.10 Kampala-Jinja-24h'!L24,'23.10 KAMPALA-JINJA'!L24,'27.10 KAMPALA-JINJA'!L24)</f>
        <v>4.8571428571428568</v>
      </c>
      <c r="M24" s="49">
        <f>AVERAGE('17.10 Kampala-Jinja'!M24,'18.10 Kampala-Jinja'!M24,'19.10 Kampala-Jinja-24hr'!M24,'20.10 Kampala-Jinja'!M24,'21.10 Kampala-Jinja-24h'!M24,'23.10 KAMPALA-JINJA'!M24,'27.10 KAMPALA-JINJA'!M24)</f>
        <v>21.714285714285715</v>
      </c>
      <c r="N24" s="49">
        <f>AVERAGE('17.10 Kampala-Jinja'!N24,'18.10 Kampala-Jinja'!N24,'19.10 Kampala-Jinja-24hr'!N24,'20.10 Kampala-Jinja'!N24,'21.10 Kampala-Jinja-24h'!N24,'23.10 KAMPALA-JINJA'!N24,'27.10 KAMPALA-JINJA'!N24)</f>
        <v>0</v>
      </c>
      <c r="O24" s="15">
        <f t="shared" si="0"/>
        <v>68.428571428571416</v>
      </c>
      <c r="P24" s="15">
        <f t="shared" si="1"/>
        <v>90.142857142857139</v>
      </c>
      <c r="R24" s="1" t="s">
        <v>148</v>
      </c>
      <c r="S24" s="34">
        <f>SUM(C66:C69)</f>
        <v>50</v>
      </c>
      <c r="T24" s="34">
        <f t="shared" ref="T24:AF24" si="16">SUM(D66:D69)</f>
        <v>14</v>
      </c>
      <c r="U24" s="34">
        <f t="shared" si="16"/>
        <v>4</v>
      </c>
      <c r="V24" s="34">
        <f t="shared" si="16"/>
        <v>61</v>
      </c>
      <c r="W24" s="34">
        <f t="shared" si="16"/>
        <v>15.5</v>
      </c>
      <c r="X24" s="34">
        <f t="shared" si="16"/>
        <v>1.5</v>
      </c>
      <c r="Y24" s="34">
        <f t="shared" si="16"/>
        <v>11.5</v>
      </c>
      <c r="Z24" s="34">
        <f t="shared" si="16"/>
        <v>17</v>
      </c>
      <c r="AA24" s="34">
        <f t="shared" si="16"/>
        <v>9.5</v>
      </c>
      <c r="AB24" s="34">
        <f t="shared" si="16"/>
        <v>37.5</v>
      </c>
      <c r="AC24" s="34">
        <f t="shared" si="16"/>
        <v>74</v>
      </c>
      <c r="AD24" s="34">
        <f t="shared" si="16"/>
        <v>6.5</v>
      </c>
      <c r="AE24" s="31">
        <f t="shared" si="16"/>
        <v>228</v>
      </c>
      <c r="AF24" s="31">
        <f t="shared" si="16"/>
        <v>302</v>
      </c>
    </row>
    <row r="25" spans="2:32" ht="23.1" customHeight="1" x14ac:dyDescent="0.25">
      <c r="B25" s="23" t="s">
        <v>52</v>
      </c>
      <c r="C25" s="49">
        <f>AVERAGE('17.10 Kampala-Jinja'!C25,'18.10 Kampala-Jinja'!C25,'19.10 Kampala-Jinja-24hr'!C25,'20.10 Kampala-Jinja'!C25,'21.10 Kampala-Jinja-24h'!C25,'23.10 KAMPALA-JINJA'!C25,'27.10 KAMPALA-JINJA'!C25)</f>
        <v>13.142857142857142</v>
      </c>
      <c r="D25" s="49">
        <f>AVERAGE('17.10 Kampala-Jinja'!D25,'18.10 Kampala-Jinja'!D25,'19.10 Kampala-Jinja-24hr'!D25,'20.10 Kampala-Jinja'!D25,'21.10 Kampala-Jinja-24h'!D25,'23.10 KAMPALA-JINJA'!D25,'27.10 KAMPALA-JINJA'!D25)</f>
        <v>5.8571428571428568</v>
      </c>
      <c r="E25" s="49">
        <f>AVERAGE('17.10 Kampala-Jinja'!E25,'18.10 Kampala-Jinja'!E25,'19.10 Kampala-Jinja-24hr'!E25,'20.10 Kampala-Jinja'!E25,'21.10 Kampala-Jinja-24h'!E25,'23.10 KAMPALA-JINJA'!E25,'27.10 KAMPALA-JINJA'!E25)</f>
        <v>4.1428571428571432</v>
      </c>
      <c r="F25" s="49">
        <f>AVERAGE('17.10 Kampala-Jinja'!F25,'18.10 Kampala-Jinja'!F25,'19.10 Kampala-Jinja-24hr'!F25,'20.10 Kampala-Jinja'!F25,'21.10 Kampala-Jinja-24h'!F25,'23.10 KAMPALA-JINJA'!F25,'27.10 KAMPALA-JINJA'!F25)</f>
        <v>31</v>
      </c>
      <c r="G25" s="49">
        <f>AVERAGE('17.10 Kampala-Jinja'!G25,'18.10 Kampala-Jinja'!G25,'19.10 Kampala-Jinja-24hr'!G25,'20.10 Kampala-Jinja'!G25,'21.10 Kampala-Jinja-24h'!G25,'23.10 KAMPALA-JINJA'!G25,'27.10 KAMPALA-JINJA'!G25)</f>
        <v>0.5714285714285714</v>
      </c>
      <c r="H25" s="49">
        <f>AVERAGE('17.10 Kampala-Jinja'!H25,'18.10 Kampala-Jinja'!H25,'19.10 Kampala-Jinja-24hr'!H25,'20.10 Kampala-Jinja'!H25,'21.10 Kampala-Jinja-24h'!H25,'23.10 KAMPALA-JINJA'!H25,'27.10 KAMPALA-JINJA'!H25)</f>
        <v>0.14285714285714285</v>
      </c>
      <c r="I25" s="49">
        <f>AVERAGE('17.10 Kampala-Jinja'!I25,'18.10 Kampala-Jinja'!I25,'19.10 Kampala-Jinja-24hr'!I25,'20.10 Kampala-Jinja'!I25,'21.10 Kampala-Jinja-24h'!I25,'23.10 KAMPALA-JINJA'!I25,'27.10 KAMPALA-JINJA'!I25)</f>
        <v>2</v>
      </c>
      <c r="J25" s="49">
        <f>AVERAGE('17.10 Kampala-Jinja'!J25,'18.10 Kampala-Jinja'!J25,'19.10 Kampala-Jinja-24hr'!J25,'20.10 Kampala-Jinja'!J25,'21.10 Kampala-Jinja-24h'!J25,'23.10 KAMPALA-JINJA'!J25,'27.10 KAMPALA-JINJA'!J25)</f>
        <v>3.8571428571428572</v>
      </c>
      <c r="K25" s="49">
        <f>AVERAGE('17.10 Kampala-Jinja'!K25,'18.10 Kampala-Jinja'!K25,'19.10 Kampala-Jinja-24hr'!K25,'20.10 Kampala-Jinja'!K25,'21.10 Kampala-Jinja-24h'!K25,'23.10 KAMPALA-JINJA'!K25,'27.10 KAMPALA-JINJA'!K25)</f>
        <v>1.2857142857142858</v>
      </c>
      <c r="L25" s="49">
        <f>AVERAGE('17.10 Kampala-Jinja'!L25,'18.10 Kampala-Jinja'!L25,'19.10 Kampala-Jinja-24hr'!L25,'20.10 Kampala-Jinja'!L25,'21.10 Kampala-Jinja-24h'!L25,'23.10 KAMPALA-JINJA'!L25,'27.10 KAMPALA-JINJA'!L25)</f>
        <v>4.8571428571428568</v>
      </c>
      <c r="M25" s="49">
        <f>AVERAGE('17.10 Kampala-Jinja'!M25,'18.10 Kampala-Jinja'!M25,'19.10 Kampala-Jinja-24hr'!M25,'20.10 Kampala-Jinja'!M25,'21.10 Kampala-Jinja-24h'!M25,'23.10 KAMPALA-JINJA'!M25,'27.10 KAMPALA-JINJA'!M25)</f>
        <v>15.571428571428571</v>
      </c>
      <c r="N25" s="49">
        <f>AVERAGE('17.10 Kampala-Jinja'!N25,'18.10 Kampala-Jinja'!N25,'19.10 Kampala-Jinja-24hr'!N25,'20.10 Kampala-Jinja'!N25,'21.10 Kampala-Jinja-24h'!N25,'23.10 KAMPALA-JINJA'!N25,'27.10 KAMPALA-JINJA'!N25)</f>
        <v>0</v>
      </c>
      <c r="O25" s="15">
        <f t="shared" si="0"/>
        <v>66.857142857142847</v>
      </c>
      <c r="P25" s="15">
        <f t="shared" si="1"/>
        <v>82.428571428571416</v>
      </c>
      <c r="R25" s="1" t="s">
        <v>149</v>
      </c>
      <c r="S25" s="34">
        <f>SUM(C70:C73)</f>
        <v>37</v>
      </c>
      <c r="T25" s="34">
        <f t="shared" ref="T25:AF25" si="17">SUM(D70:D73)</f>
        <v>7</v>
      </c>
      <c r="U25" s="34">
        <f t="shared" si="17"/>
        <v>10</v>
      </c>
      <c r="V25" s="34">
        <f t="shared" si="17"/>
        <v>55.5</v>
      </c>
      <c r="W25" s="34">
        <f t="shared" si="17"/>
        <v>6</v>
      </c>
      <c r="X25" s="34">
        <f t="shared" si="17"/>
        <v>3</v>
      </c>
      <c r="Y25" s="34">
        <f t="shared" si="17"/>
        <v>9</v>
      </c>
      <c r="Z25" s="34">
        <f t="shared" si="17"/>
        <v>21</v>
      </c>
      <c r="AA25" s="34">
        <f t="shared" si="17"/>
        <v>5</v>
      </c>
      <c r="AB25" s="34">
        <f t="shared" si="17"/>
        <v>38</v>
      </c>
      <c r="AC25" s="34">
        <f t="shared" si="17"/>
        <v>43.5</v>
      </c>
      <c r="AD25" s="34">
        <f t="shared" si="17"/>
        <v>0</v>
      </c>
      <c r="AE25" s="31">
        <f t="shared" si="17"/>
        <v>191.5</v>
      </c>
      <c r="AF25" s="31">
        <f t="shared" si="17"/>
        <v>235</v>
      </c>
    </row>
    <row r="26" spans="2:32" ht="23.1" customHeight="1" x14ac:dyDescent="0.25">
      <c r="B26" s="23" t="s">
        <v>53</v>
      </c>
      <c r="C26" s="49">
        <f>AVERAGE('17.10 Kampala-Jinja'!C26,'18.10 Kampala-Jinja'!C26,'19.10 Kampala-Jinja-24hr'!C26,'20.10 Kampala-Jinja'!C26,'21.10 Kampala-Jinja-24h'!C26,'23.10 KAMPALA-JINJA'!C26,'27.10 KAMPALA-JINJA'!C26)</f>
        <v>16.428571428571427</v>
      </c>
      <c r="D26" s="49">
        <f>AVERAGE('17.10 Kampala-Jinja'!D26,'18.10 Kampala-Jinja'!D26,'19.10 Kampala-Jinja-24hr'!D26,'20.10 Kampala-Jinja'!D26,'21.10 Kampala-Jinja-24h'!D26,'23.10 KAMPALA-JINJA'!D26,'27.10 KAMPALA-JINJA'!D26)</f>
        <v>8</v>
      </c>
      <c r="E26" s="49">
        <f>AVERAGE('17.10 Kampala-Jinja'!E26,'18.10 Kampala-Jinja'!E26,'19.10 Kampala-Jinja-24hr'!E26,'20.10 Kampala-Jinja'!E26,'21.10 Kampala-Jinja-24h'!E26,'23.10 KAMPALA-JINJA'!E26,'27.10 KAMPALA-JINJA'!E26)</f>
        <v>5.5714285714285712</v>
      </c>
      <c r="F26" s="49">
        <f>AVERAGE('17.10 Kampala-Jinja'!F26,'18.10 Kampala-Jinja'!F26,'19.10 Kampala-Jinja-24hr'!F26,'20.10 Kampala-Jinja'!F26,'21.10 Kampala-Jinja-24h'!F26,'23.10 KAMPALA-JINJA'!F26,'27.10 KAMPALA-JINJA'!F26)</f>
        <v>25</v>
      </c>
      <c r="G26" s="49">
        <f>AVERAGE('17.10 Kampala-Jinja'!G26,'18.10 Kampala-Jinja'!G26,'19.10 Kampala-Jinja-24hr'!G26,'20.10 Kampala-Jinja'!G26,'21.10 Kampala-Jinja-24h'!G26,'23.10 KAMPALA-JINJA'!G26,'27.10 KAMPALA-JINJA'!G26)</f>
        <v>0.8571428571428571</v>
      </c>
      <c r="H26" s="49">
        <f>AVERAGE('17.10 Kampala-Jinja'!H26,'18.10 Kampala-Jinja'!H26,'19.10 Kampala-Jinja-24hr'!H26,'20.10 Kampala-Jinja'!H26,'21.10 Kampala-Jinja-24h'!H26,'23.10 KAMPALA-JINJA'!H26,'27.10 KAMPALA-JINJA'!H26)</f>
        <v>0.7142857142857143</v>
      </c>
      <c r="I26" s="49">
        <f>AVERAGE('17.10 Kampala-Jinja'!I26,'18.10 Kampala-Jinja'!I26,'19.10 Kampala-Jinja-24hr'!I26,'20.10 Kampala-Jinja'!I26,'21.10 Kampala-Jinja-24h'!I26,'23.10 KAMPALA-JINJA'!I26,'27.10 KAMPALA-JINJA'!I26)</f>
        <v>3.2857142857142856</v>
      </c>
      <c r="J26" s="49">
        <f>AVERAGE('17.10 Kampala-Jinja'!J26,'18.10 Kampala-Jinja'!J26,'19.10 Kampala-Jinja-24hr'!J26,'20.10 Kampala-Jinja'!J26,'21.10 Kampala-Jinja-24h'!J26,'23.10 KAMPALA-JINJA'!J26,'27.10 KAMPALA-JINJA'!J26)</f>
        <v>4.7142857142857144</v>
      </c>
      <c r="K26" s="49">
        <f>AVERAGE('17.10 Kampala-Jinja'!K26,'18.10 Kampala-Jinja'!K26,'19.10 Kampala-Jinja-24hr'!K26,'20.10 Kampala-Jinja'!K26,'21.10 Kampala-Jinja-24h'!K26,'23.10 KAMPALA-JINJA'!K26,'27.10 KAMPALA-JINJA'!K26)</f>
        <v>0.5714285714285714</v>
      </c>
      <c r="L26" s="49">
        <f>AVERAGE('17.10 Kampala-Jinja'!L26,'18.10 Kampala-Jinja'!L26,'19.10 Kampala-Jinja-24hr'!L26,'20.10 Kampala-Jinja'!L26,'21.10 Kampala-Jinja-24h'!L26,'23.10 KAMPALA-JINJA'!L26,'27.10 KAMPALA-JINJA'!L26)</f>
        <v>4.7142857142857144</v>
      </c>
      <c r="M26" s="49">
        <f>AVERAGE('17.10 Kampala-Jinja'!M26,'18.10 Kampala-Jinja'!M26,'19.10 Kampala-Jinja-24hr'!M26,'20.10 Kampala-Jinja'!M26,'21.10 Kampala-Jinja-24h'!M26,'23.10 KAMPALA-JINJA'!M26,'27.10 KAMPALA-JINJA'!M26)</f>
        <v>17.714285714285715</v>
      </c>
      <c r="N26" s="49">
        <f>AVERAGE('17.10 Kampala-Jinja'!N26,'18.10 Kampala-Jinja'!N26,'19.10 Kampala-Jinja-24hr'!N26,'20.10 Kampala-Jinja'!N26,'21.10 Kampala-Jinja-24h'!N26,'23.10 KAMPALA-JINJA'!N26,'27.10 KAMPALA-JINJA'!N26)</f>
        <v>0</v>
      </c>
      <c r="O26" s="15">
        <f t="shared" si="0"/>
        <v>69.857142857142847</v>
      </c>
      <c r="P26" s="15">
        <f t="shared" si="1"/>
        <v>87.571428571428555</v>
      </c>
      <c r="R26" s="1" t="s">
        <v>150</v>
      </c>
      <c r="S26" s="34">
        <f>SUM(C74:C77)</f>
        <v>27</v>
      </c>
      <c r="T26" s="34">
        <f t="shared" ref="T26:AF26" si="18">SUM(D74:D77)</f>
        <v>8</v>
      </c>
      <c r="U26" s="34">
        <f t="shared" si="18"/>
        <v>4</v>
      </c>
      <c r="V26" s="34">
        <f t="shared" si="18"/>
        <v>27</v>
      </c>
      <c r="W26" s="34">
        <f t="shared" si="18"/>
        <v>4</v>
      </c>
      <c r="X26" s="34">
        <f t="shared" si="18"/>
        <v>3</v>
      </c>
      <c r="Y26" s="34">
        <f t="shared" si="18"/>
        <v>10</v>
      </c>
      <c r="Z26" s="34">
        <f t="shared" si="18"/>
        <v>10.5</v>
      </c>
      <c r="AA26" s="34">
        <f t="shared" si="18"/>
        <v>4</v>
      </c>
      <c r="AB26" s="34">
        <f t="shared" si="18"/>
        <v>17.5</v>
      </c>
      <c r="AC26" s="34">
        <f t="shared" si="18"/>
        <v>31.5</v>
      </c>
      <c r="AD26" s="34">
        <f t="shared" si="18"/>
        <v>3</v>
      </c>
      <c r="AE26" s="31">
        <f t="shared" si="18"/>
        <v>118</v>
      </c>
      <c r="AF26" s="31">
        <f t="shared" si="18"/>
        <v>149.5</v>
      </c>
    </row>
    <row r="27" spans="2:32" ht="23.1" customHeight="1" x14ac:dyDescent="0.25">
      <c r="B27" s="23" t="s">
        <v>54</v>
      </c>
      <c r="C27" s="49">
        <f>AVERAGE('17.10 Kampala-Jinja'!C27,'18.10 Kampala-Jinja'!C27,'19.10 Kampala-Jinja-24hr'!C27,'20.10 Kampala-Jinja'!C27,'21.10 Kampala-Jinja-24h'!C27,'23.10 KAMPALA-JINJA'!C27,'27.10 KAMPALA-JINJA'!C27)</f>
        <v>17.142857142857142</v>
      </c>
      <c r="D27" s="49">
        <f>AVERAGE('17.10 Kampala-Jinja'!D27,'18.10 Kampala-Jinja'!D27,'19.10 Kampala-Jinja-24hr'!D27,'20.10 Kampala-Jinja'!D27,'21.10 Kampala-Jinja-24h'!D27,'23.10 KAMPALA-JINJA'!D27,'27.10 KAMPALA-JINJA'!D27)</f>
        <v>8.7142857142857135</v>
      </c>
      <c r="E27" s="49">
        <f>AVERAGE('17.10 Kampala-Jinja'!E27,'18.10 Kampala-Jinja'!E27,'19.10 Kampala-Jinja-24hr'!E27,'20.10 Kampala-Jinja'!E27,'21.10 Kampala-Jinja-24h'!E27,'23.10 KAMPALA-JINJA'!E27,'27.10 KAMPALA-JINJA'!E27)</f>
        <v>4.4285714285714288</v>
      </c>
      <c r="F27" s="49">
        <f>AVERAGE('17.10 Kampala-Jinja'!F27,'18.10 Kampala-Jinja'!F27,'19.10 Kampala-Jinja-24hr'!F27,'20.10 Kampala-Jinja'!F27,'21.10 Kampala-Jinja-24h'!F27,'23.10 KAMPALA-JINJA'!F27,'27.10 KAMPALA-JINJA'!F27)</f>
        <v>31.714285714285715</v>
      </c>
      <c r="G27" s="49">
        <f>AVERAGE('17.10 Kampala-Jinja'!G27,'18.10 Kampala-Jinja'!G27,'19.10 Kampala-Jinja-24hr'!G27,'20.10 Kampala-Jinja'!G27,'21.10 Kampala-Jinja-24h'!G27,'23.10 KAMPALA-JINJA'!G27,'27.10 KAMPALA-JINJA'!G27)</f>
        <v>0.5714285714285714</v>
      </c>
      <c r="H27" s="49">
        <f>AVERAGE('17.10 Kampala-Jinja'!H27,'18.10 Kampala-Jinja'!H27,'19.10 Kampala-Jinja-24hr'!H27,'20.10 Kampala-Jinja'!H27,'21.10 Kampala-Jinja-24h'!H27,'23.10 KAMPALA-JINJA'!H27,'27.10 KAMPALA-JINJA'!H27)</f>
        <v>1.2857142857142858</v>
      </c>
      <c r="I27" s="49">
        <f>AVERAGE('17.10 Kampala-Jinja'!I27,'18.10 Kampala-Jinja'!I27,'19.10 Kampala-Jinja-24hr'!I27,'20.10 Kampala-Jinja'!I27,'21.10 Kampala-Jinja-24h'!I27,'23.10 KAMPALA-JINJA'!I27,'27.10 KAMPALA-JINJA'!I27)</f>
        <v>2.1428571428571428</v>
      </c>
      <c r="J27" s="49">
        <f>AVERAGE('17.10 Kampala-Jinja'!J27,'18.10 Kampala-Jinja'!J27,'19.10 Kampala-Jinja-24hr'!J27,'20.10 Kampala-Jinja'!J27,'21.10 Kampala-Jinja-24h'!J27,'23.10 KAMPALA-JINJA'!J27,'27.10 KAMPALA-JINJA'!J27)</f>
        <v>4.4285714285714288</v>
      </c>
      <c r="K27" s="49">
        <f>AVERAGE('17.10 Kampala-Jinja'!K27,'18.10 Kampala-Jinja'!K27,'19.10 Kampala-Jinja-24hr'!K27,'20.10 Kampala-Jinja'!K27,'21.10 Kampala-Jinja-24h'!K27,'23.10 KAMPALA-JINJA'!K27,'27.10 KAMPALA-JINJA'!K27)</f>
        <v>0.5714285714285714</v>
      </c>
      <c r="L27" s="49">
        <f>AVERAGE('17.10 Kampala-Jinja'!L27,'18.10 Kampala-Jinja'!L27,'19.10 Kampala-Jinja-24hr'!L27,'20.10 Kampala-Jinja'!L27,'21.10 Kampala-Jinja-24h'!L27,'23.10 KAMPALA-JINJA'!L27,'27.10 KAMPALA-JINJA'!L27)</f>
        <v>7.2857142857142856</v>
      </c>
      <c r="M27" s="49">
        <f>AVERAGE('17.10 Kampala-Jinja'!M27,'18.10 Kampala-Jinja'!M27,'19.10 Kampala-Jinja-24hr'!M27,'20.10 Kampala-Jinja'!M27,'21.10 Kampala-Jinja-24h'!M27,'23.10 KAMPALA-JINJA'!M27,'27.10 KAMPALA-JINJA'!M27)</f>
        <v>20.142857142857142</v>
      </c>
      <c r="N27" s="49">
        <f>AVERAGE('17.10 Kampala-Jinja'!N27,'18.10 Kampala-Jinja'!N27,'19.10 Kampala-Jinja-24hr'!N27,'20.10 Kampala-Jinja'!N27,'21.10 Kampala-Jinja-24h'!N27,'23.10 KAMPALA-JINJA'!N27,'27.10 KAMPALA-JINJA'!N27)</f>
        <v>0</v>
      </c>
      <c r="O27" s="15">
        <f t="shared" si="0"/>
        <v>78.285714285714292</v>
      </c>
      <c r="P27" s="15">
        <f t="shared" si="1"/>
        <v>98.428571428571431</v>
      </c>
      <c r="R27" s="1" t="s">
        <v>151</v>
      </c>
      <c r="S27" s="34">
        <f>SUM(C78:C81)</f>
        <v>9.5</v>
      </c>
      <c r="T27" s="34">
        <f t="shared" ref="T27:AF27" si="19">SUM(D78:D81)</f>
        <v>1.5</v>
      </c>
      <c r="U27" s="34">
        <f t="shared" si="19"/>
        <v>1.5</v>
      </c>
      <c r="V27" s="34">
        <f t="shared" si="19"/>
        <v>8.5</v>
      </c>
      <c r="W27" s="34">
        <f t="shared" si="19"/>
        <v>1</v>
      </c>
      <c r="X27" s="34">
        <f t="shared" si="19"/>
        <v>2</v>
      </c>
      <c r="Y27" s="34">
        <f t="shared" si="19"/>
        <v>2.5</v>
      </c>
      <c r="Z27" s="34">
        <f t="shared" si="19"/>
        <v>14.5</v>
      </c>
      <c r="AA27" s="34">
        <f t="shared" si="19"/>
        <v>2.5</v>
      </c>
      <c r="AB27" s="34">
        <f t="shared" si="19"/>
        <v>9</v>
      </c>
      <c r="AC27" s="34">
        <f t="shared" si="19"/>
        <v>4.5</v>
      </c>
      <c r="AD27" s="34">
        <f t="shared" si="19"/>
        <v>0</v>
      </c>
      <c r="AE27" s="31">
        <f t="shared" si="19"/>
        <v>52.5</v>
      </c>
      <c r="AF27" s="31">
        <f t="shared" si="19"/>
        <v>57</v>
      </c>
    </row>
    <row r="28" spans="2:32" ht="23.1" customHeight="1" x14ac:dyDescent="0.25">
      <c r="B28" s="23" t="s">
        <v>55</v>
      </c>
      <c r="C28" s="49">
        <f>AVERAGE('17.10 Kampala-Jinja'!C28,'18.10 Kampala-Jinja'!C28,'19.10 Kampala-Jinja-24hr'!C28,'20.10 Kampala-Jinja'!C28,'21.10 Kampala-Jinja-24h'!C28,'23.10 KAMPALA-JINJA'!C28,'27.10 KAMPALA-JINJA'!C28)</f>
        <v>14.571428571428571</v>
      </c>
      <c r="D28" s="49">
        <f>AVERAGE('17.10 Kampala-Jinja'!D28,'18.10 Kampala-Jinja'!D28,'19.10 Kampala-Jinja-24hr'!D28,'20.10 Kampala-Jinja'!D28,'21.10 Kampala-Jinja-24h'!D28,'23.10 KAMPALA-JINJA'!D28,'27.10 KAMPALA-JINJA'!D28)</f>
        <v>9.1428571428571423</v>
      </c>
      <c r="E28" s="49">
        <f>AVERAGE('17.10 Kampala-Jinja'!E28,'18.10 Kampala-Jinja'!E28,'19.10 Kampala-Jinja-24hr'!E28,'20.10 Kampala-Jinja'!E28,'21.10 Kampala-Jinja-24h'!E28,'23.10 KAMPALA-JINJA'!E28,'27.10 KAMPALA-JINJA'!E28)</f>
        <v>4.4285714285714288</v>
      </c>
      <c r="F28" s="49">
        <f>AVERAGE('17.10 Kampala-Jinja'!F28,'18.10 Kampala-Jinja'!F28,'19.10 Kampala-Jinja-24hr'!F28,'20.10 Kampala-Jinja'!F28,'21.10 Kampala-Jinja-24h'!F28,'23.10 KAMPALA-JINJA'!F28,'27.10 KAMPALA-JINJA'!F28)</f>
        <v>29.714285714285715</v>
      </c>
      <c r="G28" s="49">
        <f>AVERAGE('17.10 Kampala-Jinja'!G28,'18.10 Kampala-Jinja'!G28,'19.10 Kampala-Jinja-24hr'!G28,'20.10 Kampala-Jinja'!G28,'21.10 Kampala-Jinja-24h'!G28,'23.10 KAMPALA-JINJA'!G28,'27.10 KAMPALA-JINJA'!G28)</f>
        <v>1.2857142857142858</v>
      </c>
      <c r="H28" s="49">
        <f>AVERAGE('17.10 Kampala-Jinja'!H28,'18.10 Kampala-Jinja'!H28,'19.10 Kampala-Jinja-24hr'!H28,'20.10 Kampala-Jinja'!H28,'21.10 Kampala-Jinja-24h'!H28,'23.10 KAMPALA-JINJA'!H28,'27.10 KAMPALA-JINJA'!H28)</f>
        <v>0.42857142857142855</v>
      </c>
      <c r="I28" s="49">
        <f>AVERAGE('17.10 Kampala-Jinja'!I28,'18.10 Kampala-Jinja'!I28,'19.10 Kampala-Jinja-24hr'!I28,'20.10 Kampala-Jinja'!I28,'21.10 Kampala-Jinja-24h'!I28,'23.10 KAMPALA-JINJA'!I28,'27.10 KAMPALA-JINJA'!I28)</f>
        <v>2.8571428571428572</v>
      </c>
      <c r="J28" s="49">
        <f>AVERAGE('17.10 Kampala-Jinja'!J28,'18.10 Kampala-Jinja'!J28,'19.10 Kampala-Jinja-24hr'!J28,'20.10 Kampala-Jinja'!J28,'21.10 Kampala-Jinja-24h'!J28,'23.10 KAMPALA-JINJA'!J28,'27.10 KAMPALA-JINJA'!J28)</f>
        <v>4.7142857142857144</v>
      </c>
      <c r="K28" s="49">
        <f>AVERAGE('17.10 Kampala-Jinja'!K28,'18.10 Kampala-Jinja'!K28,'19.10 Kampala-Jinja-24hr'!K28,'20.10 Kampala-Jinja'!K28,'21.10 Kampala-Jinja-24h'!K28,'23.10 KAMPALA-JINJA'!K28,'27.10 KAMPALA-JINJA'!K28)</f>
        <v>1</v>
      </c>
      <c r="L28" s="49">
        <f>AVERAGE('17.10 Kampala-Jinja'!L28,'18.10 Kampala-Jinja'!L28,'19.10 Kampala-Jinja-24hr'!L28,'20.10 Kampala-Jinja'!L28,'21.10 Kampala-Jinja-24h'!L28,'23.10 KAMPALA-JINJA'!L28,'27.10 KAMPALA-JINJA'!L28)</f>
        <v>5.5714285714285712</v>
      </c>
      <c r="M28" s="49">
        <f>AVERAGE('17.10 Kampala-Jinja'!M28,'18.10 Kampala-Jinja'!M28,'19.10 Kampala-Jinja-24hr'!M28,'20.10 Kampala-Jinja'!M28,'21.10 Kampala-Jinja-24h'!M28,'23.10 KAMPALA-JINJA'!M28,'27.10 KAMPALA-JINJA'!M28)</f>
        <v>19.857142857142858</v>
      </c>
      <c r="N28" s="49">
        <f>AVERAGE('17.10 Kampala-Jinja'!N28,'18.10 Kampala-Jinja'!N28,'19.10 Kampala-Jinja-24hr'!N28,'20.10 Kampala-Jinja'!N28,'21.10 Kampala-Jinja-24h'!N28,'23.10 KAMPALA-JINJA'!N28,'27.10 KAMPALA-JINJA'!N28)</f>
        <v>0</v>
      </c>
      <c r="O28" s="15">
        <f t="shared" si="0"/>
        <v>73.714285714285708</v>
      </c>
      <c r="P28" s="15">
        <f t="shared" si="1"/>
        <v>93.571428571428569</v>
      </c>
      <c r="R28" s="1" t="s">
        <v>152</v>
      </c>
      <c r="S28" s="34">
        <f>SUM(C82:C85)</f>
        <v>8</v>
      </c>
      <c r="T28" s="34">
        <f t="shared" ref="T28:AF28" si="20">SUM(D82:D85)</f>
        <v>2.5</v>
      </c>
      <c r="U28" s="34">
        <f t="shared" si="20"/>
        <v>1.5</v>
      </c>
      <c r="V28" s="34">
        <f t="shared" si="20"/>
        <v>6</v>
      </c>
      <c r="W28" s="34">
        <f t="shared" si="20"/>
        <v>0</v>
      </c>
      <c r="X28" s="34">
        <f t="shared" si="20"/>
        <v>1.5</v>
      </c>
      <c r="Y28" s="34">
        <f t="shared" si="20"/>
        <v>7.5</v>
      </c>
      <c r="Z28" s="34">
        <f t="shared" si="20"/>
        <v>20.5</v>
      </c>
      <c r="AA28" s="34">
        <f t="shared" si="20"/>
        <v>1.5</v>
      </c>
      <c r="AB28" s="34">
        <f t="shared" si="20"/>
        <v>18.5</v>
      </c>
      <c r="AC28" s="34">
        <f t="shared" si="20"/>
        <v>4</v>
      </c>
      <c r="AD28" s="34">
        <f t="shared" si="20"/>
        <v>0</v>
      </c>
      <c r="AE28" s="31">
        <f t="shared" si="20"/>
        <v>67.5</v>
      </c>
      <c r="AF28" s="31">
        <f t="shared" si="20"/>
        <v>71.5</v>
      </c>
    </row>
    <row r="29" spans="2:32" ht="23.1" customHeight="1" x14ac:dyDescent="0.25">
      <c r="B29" s="23" t="s">
        <v>56</v>
      </c>
      <c r="C29" s="49">
        <f>AVERAGE('17.10 Kampala-Jinja'!C29,'18.10 Kampala-Jinja'!C29,'19.10 Kampala-Jinja-24hr'!C29,'20.10 Kampala-Jinja'!C29,'21.10 Kampala-Jinja-24h'!C29,'23.10 KAMPALA-JINJA'!C29,'27.10 KAMPALA-JINJA'!C29)</f>
        <v>16.428571428571427</v>
      </c>
      <c r="D29" s="49">
        <f>AVERAGE('17.10 Kampala-Jinja'!D29,'18.10 Kampala-Jinja'!D29,'19.10 Kampala-Jinja-24hr'!D29,'20.10 Kampala-Jinja'!D29,'21.10 Kampala-Jinja-24h'!D29,'23.10 KAMPALA-JINJA'!D29,'27.10 KAMPALA-JINJA'!D29)</f>
        <v>7.4285714285714288</v>
      </c>
      <c r="E29" s="49">
        <f>AVERAGE('17.10 Kampala-Jinja'!E29,'18.10 Kampala-Jinja'!E29,'19.10 Kampala-Jinja-24hr'!E29,'20.10 Kampala-Jinja'!E29,'21.10 Kampala-Jinja-24h'!E29,'23.10 KAMPALA-JINJA'!E29,'27.10 KAMPALA-JINJA'!E29)</f>
        <v>4.7142857142857144</v>
      </c>
      <c r="F29" s="49">
        <f>AVERAGE('17.10 Kampala-Jinja'!F29,'18.10 Kampala-Jinja'!F29,'19.10 Kampala-Jinja-24hr'!F29,'20.10 Kampala-Jinja'!F29,'21.10 Kampala-Jinja-24h'!F29,'23.10 KAMPALA-JINJA'!F29,'27.10 KAMPALA-JINJA'!F29)</f>
        <v>25.428571428571427</v>
      </c>
      <c r="G29" s="49">
        <f>AVERAGE('17.10 Kampala-Jinja'!G29,'18.10 Kampala-Jinja'!G29,'19.10 Kampala-Jinja-24hr'!G29,'20.10 Kampala-Jinja'!G29,'21.10 Kampala-Jinja-24h'!G29,'23.10 KAMPALA-JINJA'!G29,'27.10 KAMPALA-JINJA'!G29)</f>
        <v>1</v>
      </c>
      <c r="H29" s="49">
        <f>AVERAGE('17.10 Kampala-Jinja'!H29,'18.10 Kampala-Jinja'!H29,'19.10 Kampala-Jinja-24hr'!H29,'20.10 Kampala-Jinja'!H29,'21.10 Kampala-Jinja-24h'!H29,'23.10 KAMPALA-JINJA'!H29,'27.10 KAMPALA-JINJA'!H29)</f>
        <v>0.14285714285714285</v>
      </c>
      <c r="I29" s="49">
        <f>AVERAGE('17.10 Kampala-Jinja'!I29,'18.10 Kampala-Jinja'!I29,'19.10 Kampala-Jinja-24hr'!I29,'20.10 Kampala-Jinja'!I29,'21.10 Kampala-Jinja-24h'!I29,'23.10 KAMPALA-JINJA'!I29,'27.10 KAMPALA-JINJA'!I29)</f>
        <v>2.8571428571428572</v>
      </c>
      <c r="J29" s="49">
        <f>AVERAGE('17.10 Kampala-Jinja'!J29,'18.10 Kampala-Jinja'!J29,'19.10 Kampala-Jinja-24hr'!J29,'20.10 Kampala-Jinja'!J29,'21.10 Kampala-Jinja-24h'!J29,'23.10 KAMPALA-JINJA'!J29,'27.10 KAMPALA-JINJA'!J29)</f>
        <v>4.8571428571428568</v>
      </c>
      <c r="K29" s="49">
        <f>AVERAGE('17.10 Kampala-Jinja'!K29,'18.10 Kampala-Jinja'!K29,'19.10 Kampala-Jinja-24hr'!K29,'20.10 Kampala-Jinja'!K29,'21.10 Kampala-Jinja-24h'!K29,'23.10 KAMPALA-JINJA'!K29,'27.10 KAMPALA-JINJA'!K29)</f>
        <v>0.8571428571428571</v>
      </c>
      <c r="L29" s="49">
        <f>AVERAGE('17.10 Kampala-Jinja'!L29,'18.10 Kampala-Jinja'!L29,'19.10 Kampala-Jinja-24hr'!L29,'20.10 Kampala-Jinja'!L29,'21.10 Kampala-Jinja-24h'!L29,'23.10 KAMPALA-JINJA'!L29,'27.10 KAMPALA-JINJA'!L29)</f>
        <v>8.2857142857142865</v>
      </c>
      <c r="M29" s="49">
        <f>AVERAGE('17.10 Kampala-Jinja'!M29,'18.10 Kampala-Jinja'!M29,'19.10 Kampala-Jinja-24hr'!M29,'20.10 Kampala-Jinja'!M29,'21.10 Kampala-Jinja-24h'!M29,'23.10 KAMPALA-JINJA'!M29,'27.10 KAMPALA-JINJA'!M29)</f>
        <v>21</v>
      </c>
      <c r="N29" s="49">
        <f>AVERAGE('17.10 Kampala-Jinja'!N29,'18.10 Kampala-Jinja'!N29,'19.10 Kampala-Jinja-24hr'!N29,'20.10 Kampala-Jinja'!N29,'21.10 Kampala-Jinja-24h'!N29,'23.10 KAMPALA-JINJA'!N29,'27.10 KAMPALA-JINJA'!N29)</f>
        <v>0</v>
      </c>
      <c r="O29" s="15">
        <f t="shared" si="0"/>
        <v>72</v>
      </c>
      <c r="P29" s="15">
        <f t="shared" si="1"/>
        <v>93</v>
      </c>
      <c r="R29" s="1" t="s">
        <v>153</v>
      </c>
      <c r="S29" s="34">
        <f>SUM(C86:C89)</f>
        <v>7.5</v>
      </c>
      <c r="T29" s="34">
        <f t="shared" ref="T29:AF29" si="21">SUM(D86:D89)</f>
        <v>2.5</v>
      </c>
      <c r="U29" s="34">
        <f t="shared" si="21"/>
        <v>2.5</v>
      </c>
      <c r="V29" s="34">
        <f t="shared" si="21"/>
        <v>5</v>
      </c>
      <c r="W29" s="34">
        <f t="shared" si="21"/>
        <v>0.5</v>
      </c>
      <c r="X29" s="34">
        <f t="shared" si="21"/>
        <v>3</v>
      </c>
      <c r="Y29" s="34">
        <f t="shared" si="21"/>
        <v>6.5</v>
      </c>
      <c r="Z29" s="34">
        <f t="shared" si="21"/>
        <v>20</v>
      </c>
      <c r="AA29" s="34">
        <f t="shared" si="21"/>
        <v>6</v>
      </c>
      <c r="AB29" s="34">
        <f t="shared" si="21"/>
        <v>15</v>
      </c>
      <c r="AC29" s="34">
        <f t="shared" si="21"/>
        <v>3.5</v>
      </c>
      <c r="AD29" s="34">
        <f t="shared" si="21"/>
        <v>0</v>
      </c>
      <c r="AE29" s="31">
        <f t="shared" si="21"/>
        <v>68.5</v>
      </c>
      <c r="AF29" s="31">
        <f t="shared" si="21"/>
        <v>72</v>
      </c>
    </row>
    <row r="30" spans="2:32" ht="23.1" customHeight="1" x14ac:dyDescent="0.25">
      <c r="B30" s="23" t="s">
        <v>57</v>
      </c>
      <c r="C30" s="49">
        <f>AVERAGE('17.10 Kampala-Jinja'!C30,'18.10 Kampala-Jinja'!C30,'19.10 Kampala-Jinja-24hr'!C30,'20.10 Kampala-Jinja'!C30,'21.10 Kampala-Jinja-24h'!C30,'23.10 KAMPALA-JINJA'!C30,'27.10 KAMPALA-JINJA'!C30)</f>
        <v>15.285714285714286</v>
      </c>
      <c r="D30" s="49">
        <f>AVERAGE('17.10 Kampala-Jinja'!D30,'18.10 Kampala-Jinja'!D30,'19.10 Kampala-Jinja-24hr'!D30,'20.10 Kampala-Jinja'!D30,'21.10 Kampala-Jinja-24h'!D30,'23.10 KAMPALA-JINJA'!D30,'27.10 KAMPALA-JINJA'!D30)</f>
        <v>6.7142857142857144</v>
      </c>
      <c r="E30" s="49">
        <f>AVERAGE('17.10 Kampala-Jinja'!E30,'18.10 Kampala-Jinja'!E30,'19.10 Kampala-Jinja-24hr'!E30,'20.10 Kampala-Jinja'!E30,'21.10 Kampala-Jinja-24h'!E30,'23.10 KAMPALA-JINJA'!E30,'27.10 KAMPALA-JINJA'!E30)</f>
        <v>5.4285714285714288</v>
      </c>
      <c r="F30" s="49">
        <f>AVERAGE('17.10 Kampala-Jinja'!F30,'18.10 Kampala-Jinja'!F30,'19.10 Kampala-Jinja-24hr'!F30,'20.10 Kampala-Jinja'!F30,'21.10 Kampala-Jinja-24h'!F30,'23.10 KAMPALA-JINJA'!F30,'27.10 KAMPALA-JINJA'!F30)</f>
        <v>30.142857142857142</v>
      </c>
      <c r="G30" s="49">
        <f>AVERAGE('17.10 Kampala-Jinja'!G30,'18.10 Kampala-Jinja'!G30,'19.10 Kampala-Jinja-24hr'!G30,'20.10 Kampala-Jinja'!G30,'21.10 Kampala-Jinja-24h'!G30,'23.10 KAMPALA-JINJA'!G30,'27.10 KAMPALA-JINJA'!G30)</f>
        <v>0.8571428571428571</v>
      </c>
      <c r="H30" s="49">
        <f>AVERAGE('17.10 Kampala-Jinja'!H30,'18.10 Kampala-Jinja'!H30,'19.10 Kampala-Jinja-24hr'!H30,'20.10 Kampala-Jinja'!H30,'21.10 Kampala-Jinja-24h'!H30,'23.10 KAMPALA-JINJA'!H30,'27.10 KAMPALA-JINJA'!H30)</f>
        <v>0.2857142857142857</v>
      </c>
      <c r="I30" s="49">
        <f>AVERAGE('17.10 Kampala-Jinja'!I30,'18.10 Kampala-Jinja'!I30,'19.10 Kampala-Jinja-24hr'!I30,'20.10 Kampala-Jinja'!I30,'21.10 Kampala-Jinja-24h'!I30,'23.10 KAMPALA-JINJA'!I30,'27.10 KAMPALA-JINJA'!I30)</f>
        <v>3.2857142857142856</v>
      </c>
      <c r="J30" s="49">
        <f>AVERAGE('17.10 Kampala-Jinja'!J30,'18.10 Kampala-Jinja'!J30,'19.10 Kampala-Jinja-24hr'!J30,'20.10 Kampala-Jinja'!J30,'21.10 Kampala-Jinja-24h'!J30,'23.10 KAMPALA-JINJA'!J30,'27.10 KAMPALA-JINJA'!J30)</f>
        <v>5.8571428571428568</v>
      </c>
      <c r="K30" s="49">
        <f>AVERAGE('17.10 Kampala-Jinja'!K30,'18.10 Kampala-Jinja'!K30,'19.10 Kampala-Jinja-24hr'!K30,'20.10 Kampala-Jinja'!K30,'21.10 Kampala-Jinja-24h'!K30,'23.10 KAMPALA-JINJA'!K30,'27.10 KAMPALA-JINJA'!K30)</f>
        <v>0.8571428571428571</v>
      </c>
      <c r="L30" s="49">
        <f>AVERAGE('17.10 Kampala-Jinja'!L30,'18.10 Kampala-Jinja'!L30,'19.10 Kampala-Jinja-24hr'!L30,'20.10 Kampala-Jinja'!L30,'21.10 Kampala-Jinja-24h'!L30,'23.10 KAMPALA-JINJA'!L30,'27.10 KAMPALA-JINJA'!L30)</f>
        <v>6.1428571428571432</v>
      </c>
      <c r="M30" s="49">
        <f>AVERAGE('17.10 Kampala-Jinja'!M30,'18.10 Kampala-Jinja'!M30,'19.10 Kampala-Jinja-24hr'!M30,'20.10 Kampala-Jinja'!M30,'21.10 Kampala-Jinja-24h'!M30,'23.10 KAMPALA-JINJA'!M30,'27.10 KAMPALA-JINJA'!M30)</f>
        <v>21.857142857142858</v>
      </c>
      <c r="N30" s="49">
        <f>AVERAGE('17.10 Kampala-Jinja'!N30,'18.10 Kampala-Jinja'!N30,'19.10 Kampala-Jinja-24hr'!N30,'20.10 Kampala-Jinja'!N30,'21.10 Kampala-Jinja-24h'!N30,'23.10 KAMPALA-JINJA'!N30,'27.10 KAMPALA-JINJA'!N30)</f>
        <v>0</v>
      </c>
      <c r="O30" s="15">
        <f t="shared" si="0"/>
        <v>74.857142857142847</v>
      </c>
      <c r="P30" s="15">
        <f t="shared" si="1"/>
        <v>96.714285714285708</v>
      </c>
      <c r="R30" s="1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2.5</v>
      </c>
      <c r="V30" s="34">
        <f t="shared" si="22"/>
        <v>3</v>
      </c>
      <c r="W30" s="34">
        <f t="shared" si="22"/>
        <v>0</v>
      </c>
      <c r="X30" s="34">
        <f t="shared" si="22"/>
        <v>1.5</v>
      </c>
      <c r="Y30" s="34">
        <f t="shared" si="22"/>
        <v>1.5</v>
      </c>
      <c r="Z30" s="34">
        <f t="shared" si="22"/>
        <v>12.5</v>
      </c>
      <c r="AA30" s="34">
        <f t="shared" si="22"/>
        <v>0.5</v>
      </c>
      <c r="AB30" s="34">
        <f t="shared" si="22"/>
        <v>9</v>
      </c>
      <c r="AC30" s="34">
        <f t="shared" si="22"/>
        <v>2.5</v>
      </c>
      <c r="AD30" s="34">
        <f t="shared" si="22"/>
        <v>0</v>
      </c>
      <c r="AE30" s="31">
        <f t="shared" si="22"/>
        <v>32.5</v>
      </c>
      <c r="AF30" s="31">
        <f t="shared" si="22"/>
        <v>35</v>
      </c>
    </row>
    <row r="31" spans="2:32" ht="23.1" customHeight="1" x14ac:dyDescent="0.25">
      <c r="B31" s="24" t="s">
        <v>58</v>
      </c>
      <c r="C31" s="49">
        <f>AVERAGE('17.10 Kampala-Jinja'!C31,'18.10 Kampala-Jinja'!C31,'19.10 Kampala-Jinja-24hr'!C31,'20.10 Kampala-Jinja'!C31,'21.10 Kampala-Jinja-24h'!C31,'23.10 KAMPALA-JINJA'!C31,'27.10 KAMPALA-JINJA'!C31)</f>
        <v>15.714285714285714</v>
      </c>
      <c r="D31" s="49">
        <f>AVERAGE('17.10 Kampala-Jinja'!D31,'18.10 Kampala-Jinja'!D31,'19.10 Kampala-Jinja-24hr'!D31,'20.10 Kampala-Jinja'!D31,'21.10 Kampala-Jinja-24h'!D31,'23.10 KAMPALA-JINJA'!D31,'27.10 KAMPALA-JINJA'!D31)</f>
        <v>5.2857142857142856</v>
      </c>
      <c r="E31" s="49">
        <f>AVERAGE('17.10 Kampala-Jinja'!E31,'18.10 Kampala-Jinja'!E31,'19.10 Kampala-Jinja-24hr'!E31,'20.10 Kampala-Jinja'!E31,'21.10 Kampala-Jinja-24h'!E31,'23.10 KAMPALA-JINJA'!E31,'27.10 KAMPALA-JINJA'!E31)</f>
        <v>3.2857142857142856</v>
      </c>
      <c r="F31" s="49">
        <f>AVERAGE('17.10 Kampala-Jinja'!F31,'18.10 Kampala-Jinja'!F31,'19.10 Kampala-Jinja-24hr'!F31,'20.10 Kampala-Jinja'!F31,'21.10 Kampala-Jinja-24h'!F31,'23.10 KAMPALA-JINJA'!F31,'27.10 KAMPALA-JINJA'!F31)</f>
        <v>28.142857142857142</v>
      </c>
      <c r="G31" s="49">
        <f>AVERAGE('17.10 Kampala-Jinja'!G31,'18.10 Kampala-Jinja'!G31,'19.10 Kampala-Jinja-24hr'!G31,'20.10 Kampala-Jinja'!G31,'21.10 Kampala-Jinja-24h'!G31,'23.10 KAMPALA-JINJA'!G31,'27.10 KAMPALA-JINJA'!G31)</f>
        <v>1.1428571428571428</v>
      </c>
      <c r="H31" s="49">
        <f>AVERAGE('17.10 Kampala-Jinja'!H31,'18.10 Kampala-Jinja'!H31,'19.10 Kampala-Jinja-24hr'!H31,'20.10 Kampala-Jinja'!H31,'21.10 Kampala-Jinja-24h'!H31,'23.10 KAMPALA-JINJA'!H31,'27.10 KAMPALA-JINJA'!H31)</f>
        <v>0.8571428571428571</v>
      </c>
      <c r="I31" s="49">
        <f>AVERAGE('17.10 Kampala-Jinja'!I31,'18.10 Kampala-Jinja'!I31,'19.10 Kampala-Jinja-24hr'!I31,'20.10 Kampala-Jinja'!I31,'21.10 Kampala-Jinja-24h'!I31,'23.10 KAMPALA-JINJA'!I31,'27.10 KAMPALA-JINJA'!I31)</f>
        <v>3.7142857142857144</v>
      </c>
      <c r="J31" s="49">
        <f>AVERAGE('17.10 Kampala-Jinja'!J31,'18.10 Kampala-Jinja'!J31,'19.10 Kampala-Jinja-24hr'!J31,'20.10 Kampala-Jinja'!J31,'21.10 Kampala-Jinja-24h'!J31,'23.10 KAMPALA-JINJA'!J31,'27.10 KAMPALA-JINJA'!J31)</f>
        <v>5.1428571428571432</v>
      </c>
      <c r="K31" s="49">
        <f>AVERAGE('17.10 Kampala-Jinja'!K31,'18.10 Kampala-Jinja'!K31,'19.10 Kampala-Jinja-24hr'!K31,'20.10 Kampala-Jinja'!K31,'21.10 Kampala-Jinja-24h'!K31,'23.10 KAMPALA-JINJA'!K31,'27.10 KAMPALA-JINJA'!K31)</f>
        <v>0.7142857142857143</v>
      </c>
      <c r="L31" s="49">
        <f>AVERAGE('17.10 Kampala-Jinja'!L31,'18.10 Kampala-Jinja'!L31,'19.10 Kampala-Jinja-24hr'!L31,'20.10 Kampala-Jinja'!L31,'21.10 Kampala-Jinja-24h'!L31,'23.10 KAMPALA-JINJA'!L31,'27.10 KAMPALA-JINJA'!L31)</f>
        <v>8.4285714285714288</v>
      </c>
      <c r="M31" s="49">
        <f>AVERAGE('17.10 Kampala-Jinja'!M31,'18.10 Kampala-Jinja'!M31,'19.10 Kampala-Jinja-24hr'!M31,'20.10 Kampala-Jinja'!M31,'21.10 Kampala-Jinja-24h'!M31,'23.10 KAMPALA-JINJA'!M31,'27.10 KAMPALA-JINJA'!M31)</f>
        <v>18.714285714285715</v>
      </c>
      <c r="N31" s="49">
        <f>AVERAGE('17.10 Kampala-Jinja'!N31,'18.10 Kampala-Jinja'!N31,'19.10 Kampala-Jinja-24hr'!N31,'20.10 Kampala-Jinja'!N31,'21.10 Kampala-Jinja-24h'!N31,'23.10 KAMPALA-JINJA'!N31,'27.10 KAMPALA-JINJA'!N31)</f>
        <v>0</v>
      </c>
      <c r="O31" s="15">
        <f t="shared" si="0"/>
        <v>72.428571428571431</v>
      </c>
      <c r="P31" s="15">
        <f t="shared" si="1"/>
        <v>91.142857142857139</v>
      </c>
      <c r="R31" s="1" t="s">
        <v>155</v>
      </c>
      <c r="S31" s="34">
        <f>SUM(C94:C97)</f>
        <v>5.5</v>
      </c>
      <c r="T31" s="34">
        <f t="shared" ref="T31:AF31" si="23">SUM(D94:D97)</f>
        <v>1.5</v>
      </c>
      <c r="U31" s="34">
        <f t="shared" si="23"/>
        <v>1</v>
      </c>
      <c r="V31" s="34">
        <f t="shared" si="23"/>
        <v>4.5</v>
      </c>
      <c r="W31" s="34">
        <f t="shared" si="23"/>
        <v>0.5</v>
      </c>
      <c r="X31" s="34">
        <f t="shared" si="23"/>
        <v>1</v>
      </c>
      <c r="Y31" s="34">
        <f t="shared" si="23"/>
        <v>3.5</v>
      </c>
      <c r="Z31" s="34">
        <f t="shared" si="23"/>
        <v>13</v>
      </c>
      <c r="AA31" s="34">
        <f t="shared" si="23"/>
        <v>1.5</v>
      </c>
      <c r="AB31" s="34">
        <f t="shared" si="23"/>
        <v>9</v>
      </c>
      <c r="AC31" s="34">
        <f t="shared" si="23"/>
        <v>2.5</v>
      </c>
      <c r="AD31" s="34">
        <f t="shared" si="23"/>
        <v>0</v>
      </c>
      <c r="AE31" s="31">
        <f t="shared" si="23"/>
        <v>41</v>
      </c>
      <c r="AF31" s="31">
        <f t="shared" si="23"/>
        <v>43.5</v>
      </c>
    </row>
    <row r="32" spans="2:32" ht="23.1" customHeight="1" x14ac:dyDescent="0.25">
      <c r="B32" s="24" t="s">
        <v>59</v>
      </c>
      <c r="C32" s="49">
        <f>AVERAGE('17.10 Kampala-Jinja'!C32,'18.10 Kampala-Jinja'!C32,'19.10 Kampala-Jinja-24hr'!C32,'20.10 Kampala-Jinja'!C32,'21.10 Kampala-Jinja-24h'!C32,'23.10 KAMPALA-JINJA'!C32,'27.10 KAMPALA-JINJA'!C32)</f>
        <v>17.285714285714285</v>
      </c>
      <c r="D32" s="49">
        <f>AVERAGE('17.10 Kampala-Jinja'!D32,'18.10 Kampala-Jinja'!D32,'19.10 Kampala-Jinja-24hr'!D32,'20.10 Kampala-Jinja'!D32,'21.10 Kampala-Jinja-24h'!D32,'23.10 KAMPALA-JINJA'!D32,'27.10 KAMPALA-JINJA'!D32)</f>
        <v>8.1428571428571423</v>
      </c>
      <c r="E32" s="49">
        <f>AVERAGE('17.10 Kampala-Jinja'!E32,'18.10 Kampala-Jinja'!E32,'19.10 Kampala-Jinja-24hr'!E32,'20.10 Kampala-Jinja'!E32,'21.10 Kampala-Jinja-24h'!E32,'23.10 KAMPALA-JINJA'!E32,'27.10 KAMPALA-JINJA'!E32)</f>
        <v>4.7142857142857144</v>
      </c>
      <c r="F32" s="49">
        <f>AVERAGE('17.10 Kampala-Jinja'!F32,'18.10 Kampala-Jinja'!F32,'19.10 Kampala-Jinja-24hr'!F32,'20.10 Kampala-Jinja'!F32,'21.10 Kampala-Jinja-24h'!F32,'23.10 KAMPALA-JINJA'!F32,'27.10 KAMPALA-JINJA'!F32)</f>
        <v>29.142857142857142</v>
      </c>
      <c r="G32" s="49">
        <f>AVERAGE('17.10 Kampala-Jinja'!G32,'18.10 Kampala-Jinja'!G32,'19.10 Kampala-Jinja-24hr'!G32,'20.10 Kampala-Jinja'!G32,'21.10 Kampala-Jinja-24h'!G32,'23.10 KAMPALA-JINJA'!G32,'27.10 KAMPALA-JINJA'!G32)</f>
        <v>0.8571428571428571</v>
      </c>
      <c r="H32" s="49">
        <f>AVERAGE('17.10 Kampala-Jinja'!H32,'18.10 Kampala-Jinja'!H32,'19.10 Kampala-Jinja-24hr'!H32,'20.10 Kampala-Jinja'!H32,'21.10 Kampala-Jinja-24h'!H32,'23.10 KAMPALA-JINJA'!H32,'27.10 KAMPALA-JINJA'!H32)</f>
        <v>0.5714285714285714</v>
      </c>
      <c r="I32" s="49">
        <f>AVERAGE('17.10 Kampala-Jinja'!I32,'18.10 Kampala-Jinja'!I32,'19.10 Kampala-Jinja-24hr'!I32,'20.10 Kampala-Jinja'!I32,'21.10 Kampala-Jinja-24h'!I32,'23.10 KAMPALA-JINJA'!I32,'27.10 KAMPALA-JINJA'!I32)</f>
        <v>3.5714285714285716</v>
      </c>
      <c r="J32" s="49">
        <f>AVERAGE('17.10 Kampala-Jinja'!J32,'18.10 Kampala-Jinja'!J32,'19.10 Kampala-Jinja-24hr'!J32,'20.10 Kampala-Jinja'!J32,'21.10 Kampala-Jinja-24h'!J32,'23.10 KAMPALA-JINJA'!J32,'27.10 KAMPALA-JINJA'!J32)</f>
        <v>5.5714285714285712</v>
      </c>
      <c r="K32" s="49">
        <f>AVERAGE('17.10 Kampala-Jinja'!K32,'18.10 Kampala-Jinja'!K32,'19.10 Kampala-Jinja-24hr'!K32,'20.10 Kampala-Jinja'!K32,'21.10 Kampala-Jinja-24h'!K32,'23.10 KAMPALA-JINJA'!K32,'27.10 KAMPALA-JINJA'!K32)</f>
        <v>0.7142857142857143</v>
      </c>
      <c r="L32" s="49">
        <f>AVERAGE('17.10 Kampala-Jinja'!L32,'18.10 Kampala-Jinja'!L32,'19.10 Kampala-Jinja-24hr'!L32,'20.10 Kampala-Jinja'!L32,'21.10 Kampala-Jinja-24h'!L32,'23.10 KAMPALA-JINJA'!L32,'27.10 KAMPALA-JINJA'!L32)</f>
        <v>11.571428571428571</v>
      </c>
      <c r="M32" s="49">
        <f>AVERAGE('17.10 Kampala-Jinja'!M32,'18.10 Kampala-Jinja'!M32,'19.10 Kampala-Jinja-24hr'!M32,'20.10 Kampala-Jinja'!M32,'21.10 Kampala-Jinja-24h'!M32,'23.10 KAMPALA-JINJA'!M32,'27.10 KAMPALA-JINJA'!M32)</f>
        <v>18.142857142857142</v>
      </c>
      <c r="N32" s="49">
        <f>AVERAGE('17.10 Kampala-Jinja'!N32,'18.10 Kampala-Jinja'!N32,'19.10 Kampala-Jinja-24hr'!N32,'20.10 Kampala-Jinja'!N32,'21.10 Kampala-Jinja-24h'!N32,'23.10 KAMPALA-JINJA'!N32,'27.10 KAMPALA-JINJA'!N32)</f>
        <v>0</v>
      </c>
      <c r="O32" s="15">
        <f t="shared" si="0"/>
        <v>82.142857142857125</v>
      </c>
      <c r="P32" s="15">
        <f t="shared" si="1"/>
        <v>100.28571428571426</v>
      </c>
      <c r="R32" s="1" t="s">
        <v>156</v>
      </c>
      <c r="S32" s="34">
        <f>SUM(C98:C101)</f>
        <v>7</v>
      </c>
      <c r="T32" s="34">
        <f t="shared" ref="T32:AF32" si="24">SUM(D98:D101)</f>
        <v>3.5</v>
      </c>
      <c r="U32" s="34">
        <f t="shared" si="24"/>
        <v>2</v>
      </c>
      <c r="V32" s="34">
        <f t="shared" si="24"/>
        <v>21</v>
      </c>
      <c r="W32" s="34">
        <f t="shared" si="24"/>
        <v>0</v>
      </c>
      <c r="X32" s="34">
        <f t="shared" si="24"/>
        <v>0</v>
      </c>
      <c r="Y32" s="34">
        <f t="shared" si="24"/>
        <v>4.5</v>
      </c>
      <c r="Z32" s="34">
        <f t="shared" si="24"/>
        <v>14</v>
      </c>
      <c r="AA32" s="34">
        <f t="shared" si="24"/>
        <v>4</v>
      </c>
      <c r="AB32" s="34">
        <f t="shared" si="24"/>
        <v>16</v>
      </c>
      <c r="AC32" s="34">
        <f t="shared" si="24"/>
        <v>4.5</v>
      </c>
      <c r="AD32" s="34">
        <f t="shared" si="24"/>
        <v>0</v>
      </c>
      <c r="AE32" s="31">
        <f t="shared" si="24"/>
        <v>72</v>
      </c>
      <c r="AF32" s="31">
        <f t="shared" si="24"/>
        <v>76.5</v>
      </c>
    </row>
    <row r="33" spans="2:32" ht="23.1" customHeight="1" x14ac:dyDescent="0.25">
      <c r="B33" s="23" t="s">
        <v>60</v>
      </c>
      <c r="C33" s="49">
        <f>AVERAGE('17.10 Kampala-Jinja'!C33,'18.10 Kampala-Jinja'!C33,'19.10 Kampala-Jinja-24hr'!C33,'20.10 Kampala-Jinja'!C33,'21.10 Kampala-Jinja-24h'!C33,'23.10 KAMPALA-JINJA'!C33,'27.10 KAMPALA-JINJA'!C33)</f>
        <v>13.428571428571429</v>
      </c>
      <c r="D33" s="49">
        <f>AVERAGE('17.10 Kampala-Jinja'!D33,'18.10 Kampala-Jinja'!D33,'19.10 Kampala-Jinja-24hr'!D33,'20.10 Kampala-Jinja'!D33,'21.10 Kampala-Jinja-24h'!D33,'23.10 KAMPALA-JINJA'!D33,'27.10 KAMPALA-JINJA'!D33)</f>
        <v>6.4285714285714288</v>
      </c>
      <c r="E33" s="49">
        <f>AVERAGE('17.10 Kampala-Jinja'!E33,'18.10 Kampala-Jinja'!E33,'19.10 Kampala-Jinja-24hr'!E33,'20.10 Kampala-Jinja'!E33,'21.10 Kampala-Jinja-24h'!E33,'23.10 KAMPALA-JINJA'!E33,'27.10 KAMPALA-JINJA'!E33)</f>
        <v>2.7142857142857144</v>
      </c>
      <c r="F33" s="49">
        <f>AVERAGE('17.10 Kampala-Jinja'!F33,'18.10 Kampala-Jinja'!F33,'19.10 Kampala-Jinja-24hr'!F33,'20.10 Kampala-Jinja'!F33,'21.10 Kampala-Jinja-24h'!F33,'23.10 KAMPALA-JINJA'!F33,'27.10 KAMPALA-JINJA'!F33)</f>
        <v>24.571428571428573</v>
      </c>
      <c r="G33" s="49">
        <f>AVERAGE('17.10 Kampala-Jinja'!G33,'18.10 Kampala-Jinja'!G33,'19.10 Kampala-Jinja-24hr'!G33,'20.10 Kampala-Jinja'!G33,'21.10 Kampala-Jinja-24h'!G33,'23.10 KAMPALA-JINJA'!G33,'27.10 KAMPALA-JINJA'!G33)</f>
        <v>10.142857142857142</v>
      </c>
      <c r="H33" s="49">
        <f>AVERAGE('17.10 Kampala-Jinja'!H33,'18.10 Kampala-Jinja'!H33,'19.10 Kampala-Jinja-24hr'!H33,'20.10 Kampala-Jinja'!H33,'21.10 Kampala-Jinja-24h'!H33,'23.10 KAMPALA-JINJA'!H33,'27.10 KAMPALA-JINJA'!H33)</f>
        <v>0.2857142857142857</v>
      </c>
      <c r="I33" s="49">
        <f>AVERAGE('17.10 Kampala-Jinja'!I33,'18.10 Kampala-Jinja'!I33,'19.10 Kampala-Jinja-24hr'!I33,'20.10 Kampala-Jinja'!I33,'21.10 Kampala-Jinja-24h'!I33,'23.10 KAMPALA-JINJA'!I33,'27.10 KAMPALA-JINJA'!I33)</f>
        <v>1.8571428571428572</v>
      </c>
      <c r="J33" s="49">
        <f>AVERAGE('17.10 Kampala-Jinja'!J33,'18.10 Kampala-Jinja'!J33,'19.10 Kampala-Jinja-24hr'!J33,'20.10 Kampala-Jinja'!J33,'21.10 Kampala-Jinja-24h'!J33,'23.10 KAMPALA-JINJA'!J33,'27.10 KAMPALA-JINJA'!J33)</f>
        <v>3</v>
      </c>
      <c r="K33" s="49">
        <f>AVERAGE('17.10 Kampala-Jinja'!K33,'18.10 Kampala-Jinja'!K33,'19.10 Kampala-Jinja-24hr'!K33,'20.10 Kampala-Jinja'!K33,'21.10 Kampala-Jinja-24h'!K33,'23.10 KAMPALA-JINJA'!K33,'27.10 KAMPALA-JINJA'!K33)</f>
        <v>2.5714285714285716</v>
      </c>
      <c r="L33" s="49">
        <f>AVERAGE('17.10 Kampala-Jinja'!L33,'18.10 Kampala-Jinja'!L33,'19.10 Kampala-Jinja-24hr'!L33,'20.10 Kampala-Jinja'!L33,'21.10 Kampala-Jinja-24h'!L33,'23.10 KAMPALA-JINJA'!L33,'27.10 KAMPALA-JINJA'!L33)</f>
        <v>8.4285714285714288</v>
      </c>
      <c r="M33" s="49">
        <f>AVERAGE('17.10 Kampala-Jinja'!M33,'18.10 Kampala-Jinja'!M33,'19.10 Kampala-Jinja-24hr'!M33,'20.10 Kampala-Jinja'!M33,'21.10 Kampala-Jinja-24h'!M33,'23.10 KAMPALA-JINJA'!M33,'27.10 KAMPALA-JINJA'!M33)</f>
        <v>14.714285714285714</v>
      </c>
      <c r="N33" s="49">
        <f>AVERAGE('17.10 Kampala-Jinja'!N33,'18.10 Kampala-Jinja'!N33,'19.10 Kampala-Jinja-24hr'!N33,'20.10 Kampala-Jinja'!N33,'21.10 Kampala-Jinja-24h'!N33,'23.10 KAMPALA-JINJA'!N33,'27.10 KAMPALA-JINJA'!N33)</f>
        <v>0.14285714285714285</v>
      </c>
      <c r="O33" s="15">
        <f t="shared" si="0"/>
        <v>73.571428571428569</v>
      </c>
      <c r="P33" s="15">
        <f t="shared" si="1"/>
        <v>88.285714285714278</v>
      </c>
      <c r="R33" s="1" t="s">
        <v>157</v>
      </c>
      <c r="S33" s="34">
        <f>SUM(C102:C105)</f>
        <v>24.5</v>
      </c>
      <c r="T33" s="34">
        <f t="shared" ref="T33:AF33" si="25">SUM(D102:D105)</f>
        <v>13</v>
      </c>
      <c r="U33" s="34">
        <f t="shared" si="25"/>
        <v>7.5</v>
      </c>
      <c r="V33" s="34">
        <f t="shared" si="25"/>
        <v>49</v>
      </c>
      <c r="W33" s="34">
        <f t="shared" si="25"/>
        <v>0.5</v>
      </c>
      <c r="X33" s="34">
        <f t="shared" si="25"/>
        <v>2</v>
      </c>
      <c r="Y33" s="34">
        <f t="shared" si="25"/>
        <v>7</v>
      </c>
      <c r="Z33" s="34">
        <f t="shared" si="25"/>
        <v>12</v>
      </c>
      <c r="AA33" s="34">
        <f t="shared" si="25"/>
        <v>5</v>
      </c>
      <c r="AB33" s="34">
        <f t="shared" si="25"/>
        <v>24.5</v>
      </c>
      <c r="AC33" s="34">
        <f t="shared" si="25"/>
        <v>38.5</v>
      </c>
      <c r="AD33" s="34">
        <f t="shared" si="25"/>
        <v>0</v>
      </c>
      <c r="AE33" s="31">
        <f t="shared" si="25"/>
        <v>145</v>
      </c>
      <c r="AF33" s="31">
        <f t="shared" si="25"/>
        <v>183.5</v>
      </c>
    </row>
    <row r="34" spans="2:32" ht="23.1" customHeight="1" x14ac:dyDescent="0.25">
      <c r="B34" s="24" t="s">
        <v>61</v>
      </c>
      <c r="C34" s="49">
        <f>AVERAGE('17.10 Kampala-Jinja'!C34,'18.10 Kampala-Jinja'!C34,'19.10 Kampala-Jinja-24hr'!C34,'20.10 Kampala-Jinja'!C34,'21.10 Kampala-Jinja-24h'!C34,'23.10 KAMPALA-JINJA'!C34,'27.10 KAMPALA-JINJA'!C34)</f>
        <v>14.714285714285714</v>
      </c>
      <c r="D34" s="49">
        <f>AVERAGE('17.10 Kampala-Jinja'!D34,'18.10 Kampala-Jinja'!D34,'19.10 Kampala-Jinja-24hr'!D34,'20.10 Kampala-Jinja'!D34,'21.10 Kampala-Jinja-24h'!D34,'23.10 KAMPALA-JINJA'!D34,'27.10 KAMPALA-JINJA'!D34)</f>
        <v>7.1428571428571432</v>
      </c>
      <c r="E34" s="49">
        <f>AVERAGE('17.10 Kampala-Jinja'!E34,'18.10 Kampala-Jinja'!E34,'19.10 Kampala-Jinja-24hr'!E34,'20.10 Kampala-Jinja'!E34,'21.10 Kampala-Jinja-24h'!E34,'23.10 KAMPALA-JINJA'!E34,'27.10 KAMPALA-JINJA'!E34)</f>
        <v>4.1428571428571432</v>
      </c>
      <c r="F34" s="49">
        <f>AVERAGE('17.10 Kampala-Jinja'!F34,'18.10 Kampala-Jinja'!F34,'19.10 Kampala-Jinja-24hr'!F34,'20.10 Kampala-Jinja'!F34,'21.10 Kampala-Jinja-24h'!F34,'23.10 KAMPALA-JINJA'!F34,'27.10 KAMPALA-JINJA'!F34)</f>
        <v>34.142857142857146</v>
      </c>
      <c r="G34" s="49">
        <f>AVERAGE('17.10 Kampala-Jinja'!G34,'18.10 Kampala-Jinja'!G34,'19.10 Kampala-Jinja-24hr'!G34,'20.10 Kampala-Jinja'!G34,'21.10 Kampala-Jinja-24h'!G34,'23.10 KAMPALA-JINJA'!G34,'27.10 KAMPALA-JINJA'!G34)</f>
        <v>1.1428571428571428</v>
      </c>
      <c r="H34" s="49">
        <f>AVERAGE('17.10 Kampala-Jinja'!H34,'18.10 Kampala-Jinja'!H34,'19.10 Kampala-Jinja-24hr'!H34,'20.10 Kampala-Jinja'!H34,'21.10 Kampala-Jinja-24h'!H34,'23.10 KAMPALA-JINJA'!H34,'27.10 KAMPALA-JINJA'!H34)</f>
        <v>0</v>
      </c>
      <c r="I34" s="49">
        <f>AVERAGE('17.10 Kampala-Jinja'!I34,'18.10 Kampala-Jinja'!I34,'19.10 Kampala-Jinja-24hr'!I34,'20.10 Kampala-Jinja'!I34,'21.10 Kampala-Jinja-24h'!I34,'23.10 KAMPALA-JINJA'!I34,'27.10 KAMPALA-JINJA'!I34)</f>
        <v>6.1428571428571432</v>
      </c>
      <c r="J34" s="49">
        <f>AVERAGE('17.10 Kampala-Jinja'!J34,'18.10 Kampala-Jinja'!J34,'19.10 Kampala-Jinja-24hr'!J34,'20.10 Kampala-Jinja'!J34,'21.10 Kampala-Jinja-24h'!J34,'23.10 KAMPALA-JINJA'!J34,'27.10 KAMPALA-JINJA'!J34)</f>
        <v>5.5714285714285712</v>
      </c>
      <c r="K34" s="49">
        <f>AVERAGE('17.10 Kampala-Jinja'!K34,'18.10 Kampala-Jinja'!K34,'19.10 Kampala-Jinja-24hr'!K34,'20.10 Kampala-Jinja'!K34,'21.10 Kampala-Jinja-24h'!K34,'23.10 KAMPALA-JINJA'!K34,'27.10 KAMPALA-JINJA'!K34)</f>
        <v>0.8571428571428571</v>
      </c>
      <c r="L34" s="49">
        <f>AVERAGE('17.10 Kampala-Jinja'!L34,'18.10 Kampala-Jinja'!L34,'19.10 Kampala-Jinja-24hr'!L34,'20.10 Kampala-Jinja'!L34,'21.10 Kampala-Jinja-24h'!L34,'23.10 KAMPALA-JINJA'!L34,'27.10 KAMPALA-JINJA'!L34)</f>
        <v>11.142857142857142</v>
      </c>
      <c r="M34" s="49">
        <f>AVERAGE('17.10 Kampala-Jinja'!M34,'18.10 Kampala-Jinja'!M34,'19.10 Kampala-Jinja-24hr'!M34,'20.10 Kampala-Jinja'!M34,'21.10 Kampala-Jinja-24h'!M34,'23.10 KAMPALA-JINJA'!M34,'27.10 KAMPALA-JINJA'!M34)</f>
        <v>20.857142857142858</v>
      </c>
      <c r="N34" s="49">
        <f>AVERAGE('17.10 Kampala-Jinja'!N34,'18.10 Kampala-Jinja'!N34,'19.10 Kampala-Jinja-24hr'!N34,'20.10 Kampala-Jinja'!N34,'21.10 Kampala-Jinja-24h'!N34,'23.10 KAMPALA-JINJA'!N34,'27.10 KAMPALA-JINJA'!N34)</f>
        <v>0.14285714285714285</v>
      </c>
      <c r="O34" s="15">
        <f t="shared" si="0"/>
        <v>85.142857142857139</v>
      </c>
      <c r="P34" s="15">
        <f t="shared" si="1"/>
        <v>106</v>
      </c>
      <c r="R34" s="51" t="s">
        <v>90</v>
      </c>
      <c r="S34" s="52">
        <f t="shared" ref="S34:AF34" si="26">MAX(S10:S12)</f>
        <v>54.714285714285708</v>
      </c>
      <c r="T34" s="52">
        <f t="shared" si="26"/>
        <v>33.285714285714285</v>
      </c>
      <c r="U34" s="52">
        <f t="shared" si="26"/>
        <v>18.571428571428573</v>
      </c>
      <c r="V34" s="52">
        <f t="shared" si="26"/>
        <v>118.14285714285714</v>
      </c>
      <c r="W34" s="52">
        <f t="shared" si="26"/>
        <v>5.7142857142857144</v>
      </c>
      <c r="X34" s="52">
        <f t="shared" si="26"/>
        <v>2.1428571428571428</v>
      </c>
      <c r="Y34" s="52">
        <f t="shared" si="26"/>
        <v>9.5714285714285712</v>
      </c>
      <c r="Z34" s="52">
        <f t="shared" si="26"/>
        <v>20.571428571428569</v>
      </c>
      <c r="AA34" s="52">
        <f t="shared" si="26"/>
        <v>8.1428571428571423</v>
      </c>
      <c r="AB34" s="52">
        <f t="shared" si="26"/>
        <v>30.285714285714285</v>
      </c>
      <c r="AC34" s="52">
        <f t="shared" si="26"/>
        <v>67.285714285714292</v>
      </c>
      <c r="AD34" s="52">
        <f t="shared" si="26"/>
        <v>0.2857142857142857</v>
      </c>
      <c r="AE34" s="40">
        <f t="shared" si="26"/>
        <v>278.42857142857139</v>
      </c>
      <c r="AF34" s="40">
        <f t="shared" si="26"/>
        <v>340.28571428571428</v>
      </c>
    </row>
    <row r="35" spans="2:32" ht="23.1" customHeight="1" x14ac:dyDescent="0.25">
      <c r="B35" s="24" t="s">
        <v>62</v>
      </c>
      <c r="C35" s="49">
        <f>AVERAGE('17.10 Kampala-Jinja'!C35,'18.10 Kampala-Jinja'!C35,'19.10 Kampala-Jinja-24hr'!C35,'20.10 Kampala-Jinja'!C35,'21.10 Kampala-Jinja-24h'!C35,'23.10 KAMPALA-JINJA'!C35,'27.10 KAMPALA-JINJA'!C35)</f>
        <v>13</v>
      </c>
      <c r="D35" s="49">
        <f>AVERAGE('17.10 Kampala-Jinja'!D35,'18.10 Kampala-Jinja'!D35,'19.10 Kampala-Jinja-24hr'!D35,'20.10 Kampala-Jinja'!D35,'21.10 Kampala-Jinja-24h'!D35,'23.10 KAMPALA-JINJA'!D35,'27.10 KAMPALA-JINJA'!D35)</f>
        <v>6.8571428571428568</v>
      </c>
      <c r="E35" s="49">
        <f>AVERAGE('17.10 Kampala-Jinja'!E35,'18.10 Kampala-Jinja'!E35,'19.10 Kampala-Jinja-24hr'!E35,'20.10 Kampala-Jinja'!E35,'21.10 Kampala-Jinja-24h'!E35,'23.10 KAMPALA-JINJA'!E35,'27.10 KAMPALA-JINJA'!E35)</f>
        <v>4</v>
      </c>
      <c r="F35" s="49">
        <f>AVERAGE('17.10 Kampala-Jinja'!F35,'18.10 Kampala-Jinja'!F35,'19.10 Kampala-Jinja-24hr'!F35,'20.10 Kampala-Jinja'!F35,'21.10 Kampala-Jinja-24h'!F35,'23.10 KAMPALA-JINJA'!F35,'27.10 KAMPALA-JINJA'!F35)</f>
        <v>29.285714285714285</v>
      </c>
      <c r="G35" s="49">
        <f>AVERAGE('17.10 Kampala-Jinja'!G35,'18.10 Kampala-Jinja'!G35,'19.10 Kampala-Jinja-24hr'!G35,'20.10 Kampala-Jinja'!G35,'21.10 Kampala-Jinja-24h'!G35,'23.10 KAMPALA-JINJA'!G35,'27.10 KAMPALA-JINJA'!G35)</f>
        <v>1.5714285714285714</v>
      </c>
      <c r="H35" s="49">
        <f>AVERAGE('17.10 Kampala-Jinja'!H35,'18.10 Kampala-Jinja'!H35,'19.10 Kampala-Jinja-24hr'!H35,'20.10 Kampala-Jinja'!H35,'21.10 Kampala-Jinja-24h'!H35,'23.10 KAMPALA-JINJA'!H35,'27.10 KAMPALA-JINJA'!H35)</f>
        <v>1.1428571428571428</v>
      </c>
      <c r="I35" s="49">
        <f>AVERAGE('17.10 Kampala-Jinja'!I35,'18.10 Kampala-Jinja'!I35,'19.10 Kampala-Jinja-24hr'!I35,'20.10 Kampala-Jinja'!I35,'21.10 Kampala-Jinja-24h'!I35,'23.10 KAMPALA-JINJA'!I35,'27.10 KAMPALA-JINJA'!I35)</f>
        <v>2.1428571428571428</v>
      </c>
      <c r="J35" s="49">
        <f>AVERAGE('17.10 Kampala-Jinja'!J35,'18.10 Kampala-Jinja'!J35,'19.10 Kampala-Jinja-24hr'!J35,'20.10 Kampala-Jinja'!J35,'21.10 Kampala-Jinja-24h'!J35,'23.10 KAMPALA-JINJA'!J35,'27.10 KAMPALA-JINJA'!J35)</f>
        <v>5.8571428571428568</v>
      </c>
      <c r="K35" s="49">
        <f>AVERAGE('17.10 Kampala-Jinja'!K35,'18.10 Kampala-Jinja'!K35,'19.10 Kampala-Jinja-24hr'!K35,'20.10 Kampala-Jinja'!K35,'21.10 Kampala-Jinja-24h'!K35,'23.10 KAMPALA-JINJA'!K35,'27.10 KAMPALA-JINJA'!K35)</f>
        <v>0.8571428571428571</v>
      </c>
      <c r="L35" s="49">
        <f>AVERAGE('17.10 Kampala-Jinja'!L35,'18.10 Kampala-Jinja'!L35,'19.10 Kampala-Jinja-24hr'!L35,'20.10 Kampala-Jinja'!L35,'21.10 Kampala-Jinja-24h'!L35,'23.10 KAMPALA-JINJA'!L35,'27.10 KAMPALA-JINJA'!L35)</f>
        <v>9.7142857142857135</v>
      </c>
      <c r="M35" s="49">
        <f>AVERAGE('17.10 Kampala-Jinja'!M35,'18.10 Kampala-Jinja'!M35,'19.10 Kampala-Jinja-24hr'!M35,'20.10 Kampala-Jinja'!M35,'21.10 Kampala-Jinja-24h'!M35,'23.10 KAMPALA-JINJA'!M35,'27.10 KAMPALA-JINJA'!M35)</f>
        <v>16.571428571428573</v>
      </c>
      <c r="N35" s="49">
        <f>AVERAGE('17.10 Kampala-Jinja'!N35,'18.10 Kampala-Jinja'!N35,'19.10 Kampala-Jinja-24hr'!N35,'20.10 Kampala-Jinja'!N35,'21.10 Kampala-Jinja-24h'!N35,'23.10 KAMPALA-JINJA'!N35,'27.10 KAMPALA-JINJA'!N35)</f>
        <v>0</v>
      </c>
      <c r="O35" s="15">
        <f t="shared" si="0"/>
        <v>74.428571428571416</v>
      </c>
      <c r="P35" s="15">
        <f t="shared" si="1"/>
        <v>90.999999999999986</v>
      </c>
      <c r="R35" s="51" t="s">
        <v>91</v>
      </c>
      <c r="S35" s="52">
        <f t="shared" ref="S35:AF35" si="27">MAX(S13:S18)</f>
        <v>64.571428571428569</v>
      </c>
      <c r="T35" s="52">
        <f t="shared" si="27"/>
        <v>33.285714285714285</v>
      </c>
      <c r="U35" s="52">
        <f t="shared" si="27"/>
        <v>19.142857142857142</v>
      </c>
      <c r="V35" s="52">
        <f t="shared" si="27"/>
        <v>128.28571428571428</v>
      </c>
      <c r="W35" s="52">
        <f t="shared" si="27"/>
        <v>13</v>
      </c>
      <c r="X35" s="52">
        <f t="shared" si="27"/>
        <v>2.5714285714285712</v>
      </c>
      <c r="Y35" s="52">
        <f t="shared" si="27"/>
        <v>16.428571428571431</v>
      </c>
      <c r="Z35" s="52">
        <f t="shared" si="27"/>
        <v>24.714285714285715</v>
      </c>
      <c r="AA35" s="52">
        <f t="shared" si="27"/>
        <v>8.1428571428571423</v>
      </c>
      <c r="AB35" s="52">
        <f t="shared" si="27"/>
        <v>49.714285714285715</v>
      </c>
      <c r="AC35" s="52">
        <f t="shared" si="27"/>
        <v>78.714285714285722</v>
      </c>
      <c r="AD35" s="52">
        <f t="shared" si="27"/>
        <v>0.2857142857142857</v>
      </c>
      <c r="AE35" s="40">
        <f t="shared" si="27"/>
        <v>328</v>
      </c>
      <c r="AF35" s="40">
        <f t="shared" si="27"/>
        <v>399.57142857142856</v>
      </c>
    </row>
    <row r="36" spans="2:32" ht="23.1" customHeight="1" x14ac:dyDescent="0.25">
      <c r="B36" s="24" t="s">
        <v>63</v>
      </c>
      <c r="C36" s="49">
        <f>AVERAGE('17.10 Kampala-Jinja'!C36,'18.10 Kampala-Jinja'!C36,'19.10 Kampala-Jinja-24hr'!C36,'20.10 Kampala-Jinja'!C36,'21.10 Kampala-Jinja-24h'!C36,'23.10 KAMPALA-JINJA'!C36,'27.10 KAMPALA-JINJA'!C36)</f>
        <v>16.285714285714285</v>
      </c>
      <c r="D36" s="49">
        <f>AVERAGE('17.10 Kampala-Jinja'!D36,'18.10 Kampala-Jinja'!D36,'19.10 Kampala-Jinja-24hr'!D36,'20.10 Kampala-Jinja'!D36,'21.10 Kampala-Jinja-24h'!D36,'23.10 KAMPALA-JINJA'!D36,'27.10 KAMPALA-JINJA'!D36)</f>
        <v>8.4285714285714288</v>
      </c>
      <c r="E36" s="49">
        <f>AVERAGE('17.10 Kampala-Jinja'!E36,'18.10 Kampala-Jinja'!E36,'19.10 Kampala-Jinja-24hr'!E36,'20.10 Kampala-Jinja'!E36,'21.10 Kampala-Jinja-24h'!E36,'23.10 KAMPALA-JINJA'!E36,'27.10 KAMPALA-JINJA'!E36)</f>
        <v>3.5714285714285716</v>
      </c>
      <c r="F36" s="49">
        <f>AVERAGE('17.10 Kampala-Jinja'!F36,'18.10 Kampala-Jinja'!F36,'19.10 Kampala-Jinja-24hr'!F36,'20.10 Kampala-Jinja'!F36,'21.10 Kampala-Jinja-24h'!F36,'23.10 KAMPALA-JINJA'!F36,'27.10 KAMPALA-JINJA'!F36)</f>
        <v>30.428571428571427</v>
      </c>
      <c r="G36" s="49">
        <f>AVERAGE('17.10 Kampala-Jinja'!G36,'18.10 Kampala-Jinja'!G36,'19.10 Kampala-Jinja-24hr'!G36,'20.10 Kampala-Jinja'!G36,'21.10 Kampala-Jinja-24h'!G36,'23.10 KAMPALA-JINJA'!G36,'27.10 KAMPALA-JINJA'!G36)</f>
        <v>0.42857142857142855</v>
      </c>
      <c r="H36" s="49">
        <f>AVERAGE('17.10 Kampala-Jinja'!H36,'18.10 Kampala-Jinja'!H36,'19.10 Kampala-Jinja-24hr'!H36,'20.10 Kampala-Jinja'!H36,'21.10 Kampala-Jinja-24h'!H36,'23.10 KAMPALA-JINJA'!H36,'27.10 KAMPALA-JINJA'!H36)</f>
        <v>0.5714285714285714</v>
      </c>
      <c r="I36" s="49">
        <f>AVERAGE('17.10 Kampala-Jinja'!I36,'18.10 Kampala-Jinja'!I36,'19.10 Kampala-Jinja-24hr'!I36,'20.10 Kampala-Jinja'!I36,'21.10 Kampala-Jinja-24h'!I36,'23.10 KAMPALA-JINJA'!I36,'27.10 KAMPALA-JINJA'!I36)</f>
        <v>3.5714285714285716</v>
      </c>
      <c r="J36" s="49">
        <f>AVERAGE('17.10 Kampala-Jinja'!J36,'18.10 Kampala-Jinja'!J36,'19.10 Kampala-Jinja-24hr'!J36,'20.10 Kampala-Jinja'!J36,'21.10 Kampala-Jinja-24h'!J36,'23.10 KAMPALA-JINJA'!J36,'27.10 KAMPALA-JINJA'!J36)</f>
        <v>5</v>
      </c>
      <c r="K36" s="49">
        <f>AVERAGE('17.10 Kampala-Jinja'!K36,'18.10 Kampala-Jinja'!K36,'19.10 Kampala-Jinja-24hr'!K36,'20.10 Kampala-Jinja'!K36,'21.10 Kampala-Jinja-24h'!K36,'23.10 KAMPALA-JINJA'!K36,'27.10 KAMPALA-JINJA'!K36)</f>
        <v>0.8571428571428571</v>
      </c>
      <c r="L36" s="49">
        <f>AVERAGE('17.10 Kampala-Jinja'!L36,'18.10 Kampala-Jinja'!L36,'19.10 Kampala-Jinja-24hr'!L36,'20.10 Kampala-Jinja'!L36,'21.10 Kampala-Jinja-24h'!L36,'23.10 KAMPALA-JINJA'!L36,'27.10 KAMPALA-JINJA'!L36)</f>
        <v>13</v>
      </c>
      <c r="M36" s="49">
        <f>AVERAGE('17.10 Kampala-Jinja'!M36,'18.10 Kampala-Jinja'!M36,'19.10 Kampala-Jinja-24hr'!M36,'20.10 Kampala-Jinja'!M36,'21.10 Kampala-Jinja-24h'!M36,'23.10 KAMPALA-JINJA'!M36,'27.10 KAMPALA-JINJA'!M36)</f>
        <v>23</v>
      </c>
      <c r="N36" s="49">
        <f>AVERAGE('17.10 Kampala-Jinja'!N36,'18.10 Kampala-Jinja'!N36,'19.10 Kampala-Jinja-24hr'!N36,'20.10 Kampala-Jinja'!N36,'21.10 Kampala-Jinja-24h'!N36,'23.10 KAMPALA-JINJA'!N36,'27.10 KAMPALA-JINJA'!N36)</f>
        <v>0</v>
      </c>
      <c r="O36" s="15">
        <f t="shared" si="0"/>
        <v>82.142857142857139</v>
      </c>
      <c r="P36" s="15">
        <f t="shared" si="1"/>
        <v>105.14285714285714</v>
      </c>
      <c r="R36" s="51" t="s">
        <v>92</v>
      </c>
      <c r="S36" s="52">
        <f t="shared" ref="S36:AF36" si="28">MAX(S19:S21)</f>
        <v>57.142857142857139</v>
      </c>
      <c r="T36" s="52">
        <f t="shared" si="28"/>
        <v>27.428571428571423</v>
      </c>
      <c r="U36" s="52">
        <f t="shared" si="28"/>
        <v>17.428571428571427</v>
      </c>
      <c r="V36" s="52">
        <f t="shared" si="28"/>
        <v>126.85714285714286</v>
      </c>
      <c r="W36" s="52">
        <f t="shared" si="28"/>
        <v>4.7142857142857144</v>
      </c>
      <c r="X36" s="52">
        <f t="shared" si="28"/>
        <v>4</v>
      </c>
      <c r="Y36" s="52">
        <f t="shared" si="28"/>
        <v>18.142857142857142</v>
      </c>
      <c r="Z36" s="52">
        <f t="shared" si="28"/>
        <v>24.571428571428573</v>
      </c>
      <c r="AA36" s="52">
        <f t="shared" si="28"/>
        <v>7.8571428571428577</v>
      </c>
      <c r="AB36" s="52">
        <f t="shared" si="28"/>
        <v>83.571428571428555</v>
      </c>
      <c r="AC36" s="52">
        <f t="shared" si="28"/>
        <v>77.285714285714278</v>
      </c>
      <c r="AD36" s="52">
        <f t="shared" si="28"/>
        <v>0.42857142857142855</v>
      </c>
      <c r="AE36" s="40">
        <f t="shared" si="28"/>
        <v>362.57142857142861</v>
      </c>
      <c r="AF36" s="40">
        <f t="shared" si="28"/>
        <v>439.14285714285722</v>
      </c>
    </row>
    <row r="37" spans="2:32" ht="23.1" customHeight="1" x14ac:dyDescent="0.25">
      <c r="B37" s="23" t="s">
        <v>64</v>
      </c>
      <c r="C37" s="49">
        <f>AVERAGE('17.10 Kampala-Jinja'!C37,'18.10 Kampala-Jinja'!C37,'19.10 Kampala-Jinja-24hr'!C37,'20.10 Kampala-Jinja'!C37,'21.10 Kampala-Jinja-24h'!C37,'23.10 KAMPALA-JINJA'!C37,'27.10 KAMPALA-JINJA'!C37)</f>
        <v>15.428571428571429</v>
      </c>
      <c r="D37" s="49">
        <f>AVERAGE('17.10 Kampala-Jinja'!D37,'18.10 Kampala-Jinja'!D37,'19.10 Kampala-Jinja-24hr'!D37,'20.10 Kampala-Jinja'!D37,'21.10 Kampala-Jinja-24h'!D37,'23.10 KAMPALA-JINJA'!D37,'27.10 KAMPALA-JINJA'!D37)</f>
        <v>8</v>
      </c>
      <c r="E37" s="49">
        <f>AVERAGE('17.10 Kampala-Jinja'!E37,'18.10 Kampala-Jinja'!E37,'19.10 Kampala-Jinja-24hr'!E37,'20.10 Kampala-Jinja'!E37,'21.10 Kampala-Jinja-24h'!E37,'23.10 KAMPALA-JINJA'!E37,'27.10 KAMPALA-JINJA'!E37)</f>
        <v>4.1428571428571432</v>
      </c>
      <c r="F37" s="49">
        <f>AVERAGE('17.10 Kampala-Jinja'!F37,'18.10 Kampala-Jinja'!F37,'19.10 Kampala-Jinja-24hr'!F37,'20.10 Kampala-Jinja'!F37,'21.10 Kampala-Jinja-24h'!F37,'23.10 KAMPALA-JINJA'!F37,'27.10 KAMPALA-JINJA'!F37)</f>
        <v>32.285714285714285</v>
      </c>
      <c r="G37" s="49">
        <f>AVERAGE('17.10 Kampala-Jinja'!G37,'18.10 Kampala-Jinja'!G37,'19.10 Kampala-Jinja-24hr'!G37,'20.10 Kampala-Jinja'!G37,'21.10 Kampala-Jinja-24h'!G37,'23.10 KAMPALA-JINJA'!G37,'27.10 KAMPALA-JINJA'!G37)</f>
        <v>1.7142857142857142</v>
      </c>
      <c r="H37" s="49">
        <f>AVERAGE('17.10 Kampala-Jinja'!H37,'18.10 Kampala-Jinja'!H37,'19.10 Kampala-Jinja-24hr'!H37,'20.10 Kampala-Jinja'!H37,'21.10 Kampala-Jinja-24h'!H37,'23.10 KAMPALA-JINJA'!H37,'27.10 KAMPALA-JINJA'!H37)</f>
        <v>0.5714285714285714</v>
      </c>
      <c r="I37" s="49">
        <f>AVERAGE('17.10 Kampala-Jinja'!I37,'18.10 Kampala-Jinja'!I37,'19.10 Kampala-Jinja-24hr'!I37,'20.10 Kampala-Jinja'!I37,'21.10 Kampala-Jinja-24h'!I37,'23.10 KAMPALA-JINJA'!I37,'27.10 KAMPALA-JINJA'!I37)</f>
        <v>4.2857142857142856</v>
      </c>
      <c r="J37" s="49">
        <f>AVERAGE('17.10 Kampala-Jinja'!J37,'18.10 Kampala-Jinja'!J37,'19.10 Kampala-Jinja-24hr'!J37,'20.10 Kampala-Jinja'!J37,'21.10 Kampala-Jinja-24h'!J37,'23.10 KAMPALA-JINJA'!J37,'27.10 KAMPALA-JINJA'!J37)</f>
        <v>3.8571428571428572</v>
      </c>
      <c r="K37" s="49">
        <f>AVERAGE('17.10 Kampala-Jinja'!K37,'18.10 Kampala-Jinja'!K37,'19.10 Kampala-Jinja-24hr'!K37,'20.10 Kampala-Jinja'!K37,'21.10 Kampala-Jinja-24h'!K37,'23.10 KAMPALA-JINJA'!K37,'27.10 KAMPALA-JINJA'!K37)</f>
        <v>0.7142857142857143</v>
      </c>
      <c r="L37" s="49">
        <f>AVERAGE('17.10 Kampala-Jinja'!L37,'18.10 Kampala-Jinja'!L37,'19.10 Kampala-Jinja-24hr'!L37,'20.10 Kampala-Jinja'!L37,'21.10 Kampala-Jinja-24h'!L37,'23.10 KAMPALA-JINJA'!L37,'27.10 KAMPALA-JINJA'!L37)</f>
        <v>11.428571428571429</v>
      </c>
      <c r="M37" s="49">
        <f>AVERAGE('17.10 Kampala-Jinja'!M37,'18.10 Kampala-Jinja'!M37,'19.10 Kampala-Jinja-24hr'!M37,'20.10 Kampala-Jinja'!M37,'21.10 Kampala-Jinja-24h'!M37,'23.10 KAMPALA-JINJA'!M37,'27.10 KAMPALA-JINJA'!M37)</f>
        <v>15</v>
      </c>
      <c r="N37" s="49">
        <f>AVERAGE('17.10 Kampala-Jinja'!N37,'18.10 Kampala-Jinja'!N37,'19.10 Kampala-Jinja-24hr'!N37,'20.10 Kampala-Jinja'!N37,'21.10 Kampala-Jinja-24h'!N37,'23.10 KAMPALA-JINJA'!N37,'27.10 KAMPALA-JINJA'!N37)</f>
        <v>0</v>
      </c>
      <c r="O37" s="15">
        <f t="shared" si="0"/>
        <v>82.428571428571431</v>
      </c>
      <c r="P37" s="15">
        <f t="shared" si="1"/>
        <v>97.428571428571431</v>
      </c>
      <c r="R37" s="37" t="s">
        <v>85</v>
      </c>
      <c r="S37" s="35">
        <f t="shared" ref="S37:AF37" si="29">SUM(S10:S12)</f>
        <v>153.85714285714283</v>
      </c>
      <c r="T37" s="16">
        <f t="shared" si="29"/>
        <v>81.142857142857139</v>
      </c>
      <c r="U37" s="16">
        <f t="shared" si="29"/>
        <v>43.857142857142861</v>
      </c>
      <c r="V37" s="16">
        <f t="shared" si="29"/>
        <v>333.57142857142856</v>
      </c>
      <c r="W37" s="16">
        <f t="shared" si="29"/>
        <v>11.714285714285715</v>
      </c>
      <c r="X37" s="16">
        <f t="shared" si="29"/>
        <v>4.5714285714285712</v>
      </c>
      <c r="Y37" s="16">
        <f t="shared" si="29"/>
        <v>27.714285714285712</v>
      </c>
      <c r="Z37" s="16">
        <f t="shared" si="29"/>
        <v>51.714285714285708</v>
      </c>
      <c r="AA37" s="16">
        <f t="shared" si="29"/>
        <v>17.857142857142858</v>
      </c>
      <c r="AB37" s="16">
        <f t="shared" si="29"/>
        <v>69.285714285714278</v>
      </c>
      <c r="AC37" s="16">
        <f t="shared" si="29"/>
        <v>192.71428571428572</v>
      </c>
      <c r="AD37" s="16">
        <f t="shared" si="29"/>
        <v>0.42857142857142855</v>
      </c>
      <c r="AE37" s="32">
        <f t="shared" si="29"/>
        <v>795.71428571428555</v>
      </c>
      <c r="AF37" s="32">
        <f t="shared" si="29"/>
        <v>988.42857142857133</v>
      </c>
    </row>
    <row r="38" spans="2:32" ht="23.1" customHeight="1" x14ac:dyDescent="0.25">
      <c r="B38" s="24" t="s">
        <v>65</v>
      </c>
      <c r="C38" s="49">
        <f>AVERAGE('17.10 Kampala-Jinja'!C38,'18.10 Kampala-Jinja'!C38,'19.10 Kampala-Jinja-24hr'!C38,'20.10 Kampala-Jinja'!C38,'21.10 Kampala-Jinja-24h'!C38,'23.10 KAMPALA-JINJA'!C38,'27.10 KAMPALA-JINJA'!C38)</f>
        <v>9.2857142857142865</v>
      </c>
      <c r="D38" s="49">
        <f>AVERAGE('17.10 Kampala-Jinja'!D38,'18.10 Kampala-Jinja'!D38,'19.10 Kampala-Jinja-24hr'!D38,'20.10 Kampala-Jinja'!D38,'21.10 Kampala-Jinja-24h'!D38,'23.10 KAMPALA-JINJA'!D38,'27.10 KAMPALA-JINJA'!D38)</f>
        <v>8.5714285714285712</v>
      </c>
      <c r="E38" s="49">
        <f>AVERAGE('17.10 Kampala-Jinja'!E38,'18.10 Kampala-Jinja'!E38,'19.10 Kampala-Jinja-24hr'!E38,'20.10 Kampala-Jinja'!E38,'21.10 Kampala-Jinja-24h'!E38,'23.10 KAMPALA-JINJA'!E38,'27.10 KAMPALA-JINJA'!E38)</f>
        <v>2.5714285714285716</v>
      </c>
      <c r="F38" s="49">
        <f>AVERAGE('17.10 Kampala-Jinja'!F38,'18.10 Kampala-Jinja'!F38,'19.10 Kampala-Jinja-24hr'!F38,'20.10 Kampala-Jinja'!F38,'21.10 Kampala-Jinja-24h'!F38,'23.10 KAMPALA-JINJA'!F38,'27.10 KAMPALA-JINJA'!F38)</f>
        <v>30.571428571428573</v>
      </c>
      <c r="G38" s="49">
        <f>AVERAGE('17.10 Kampala-Jinja'!G38,'18.10 Kampala-Jinja'!G38,'19.10 Kampala-Jinja-24hr'!G38,'20.10 Kampala-Jinja'!G38,'21.10 Kampala-Jinja-24h'!G38,'23.10 KAMPALA-JINJA'!G38,'27.10 KAMPALA-JINJA'!G38)</f>
        <v>2</v>
      </c>
      <c r="H38" s="49">
        <f>AVERAGE('17.10 Kampala-Jinja'!H38,'18.10 Kampala-Jinja'!H38,'19.10 Kampala-Jinja-24hr'!H38,'20.10 Kampala-Jinja'!H38,'21.10 Kampala-Jinja-24h'!H38,'23.10 KAMPALA-JINJA'!H38,'27.10 KAMPALA-JINJA'!H38)</f>
        <v>0.5714285714285714</v>
      </c>
      <c r="I38" s="49">
        <f>AVERAGE('17.10 Kampala-Jinja'!I38,'18.10 Kampala-Jinja'!I38,'19.10 Kampala-Jinja-24hr'!I38,'20.10 Kampala-Jinja'!I38,'21.10 Kampala-Jinja-24h'!I38,'23.10 KAMPALA-JINJA'!I38,'27.10 KAMPALA-JINJA'!I38)</f>
        <v>3.5714285714285716</v>
      </c>
      <c r="J38" s="49">
        <f>AVERAGE('17.10 Kampala-Jinja'!J38,'18.10 Kampala-Jinja'!J38,'19.10 Kampala-Jinja-24hr'!J38,'20.10 Kampala-Jinja'!J38,'21.10 Kampala-Jinja-24h'!J38,'23.10 KAMPALA-JINJA'!J38,'27.10 KAMPALA-JINJA'!J38)</f>
        <v>3.5714285714285716</v>
      </c>
      <c r="K38" s="49">
        <f>AVERAGE('17.10 Kampala-Jinja'!K38,'18.10 Kampala-Jinja'!K38,'19.10 Kampala-Jinja-24hr'!K38,'20.10 Kampala-Jinja'!K38,'21.10 Kampala-Jinja-24h'!K38,'23.10 KAMPALA-JINJA'!K38,'27.10 KAMPALA-JINJA'!K38)</f>
        <v>2.4285714285714284</v>
      </c>
      <c r="L38" s="49">
        <f>AVERAGE('17.10 Kampala-Jinja'!L38,'18.10 Kampala-Jinja'!L38,'19.10 Kampala-Jinja-24hr'!L38,'20.10 Kampala-Jinja'!L38,'21.10 Kampala-Jinja-24h'!L38,'23.10 KAMPALA-JINJA'!L38,'27.10 KAMPALA-JINJA'!L38)</f>
        <v>7.1428571428571432</v>
      </c>
      <c r="M38" s="49">
        <f>AVERAGE('17.10 Kampala-Jinja'!M38,'18.10 Kampala-Jinja'!M38,'19.10 Kampala-Jinja-24hr'!M38,'20.10 Kampala-Jinja'!M38,'21.10 Kampala-Jinja-24h'!M38,'23.10 KAMPALA-JINJA'!M38,'27.10 KAMPALA-JINJA'!M38)</f>
        <v>19.142857142857142</v>
      </c>
      <c r="N38" s="49">
        <f>AVERAGE('17.10 Kampala-Jinja'!N38,'18.10 Kampala-Jinja'!N38,'19.10 Kampala-Jinja-24hr'!N38,'20.10 Kampala-Jinja'!N38,'21.10 Kampala-Jinja-24h'!N38,'23.10 KAMPALA-JINJA'!N38,'27.10 KAMPALA-JINJA'!N38)</f>
        <v>0</v>
      </c>
      <c r="O38" s="15">
        <f t="shared" si="0"/>
        <v>70.285714285714278</v>
      </c>
      <c r="P38" s="15">
        <f t="shared" si="1"/>
        <v>89.428571428571416</v>
      </c>
      <c r="R38" s="28" t="s">
        <v>86</v>
      </c>
      <c r="S38" s="16">
        <f t="shared" ref="S38:AF38" si="30">SUM(S13:S18)</f>
        <v>348.14285714285717</v>
      </c>
      <c r="T38" s="16">
        <f t="shared" si="30"/>
        <v>164.57142857142858</v>
      </c>
      <c r="U38" s="16">
        <f t="shared" si="30"/>
        <v>95.428571428571445</v>
      </c>
      <c r="V38" s="16">
        <f t="shared" si="30"/>
        <v>714.14285714285711</v>
      </c>
      <c r="W38" s="16">
        <f t="shared" si="30"/>
        <v>34.857142857142861</v>
      </c>
      <c r="X38" s="16">
        <f t="shared" si="30"/>
        <v>13</v>
      </c>
      <c r="Y38" s="16">
        <f t="shared" si="30"/>
        <v>78.714285714285722</v>
      </c>
      <c r="Z38" s="16">
        <f t="shared" si="30"/>
        <v>117</v>
      </c>
      <c r="AA38" s="16">
        <f t="shared" si="30"/>
        <v>29.428571428571427</v>
      </c>
      <c r="AB38" s="16">
        <f t="shared" si="30"/>
        <v>212.28571428571428</v>
      </c>
      <c r="AC38" s="16">
        <f t="shared" si="30"/>
        <v>436.42857142857139</v>
      </c>
      <c r="AD38" s="16">
        <f t="shared" si="30"/>
        <v>0.5714285714285714</v>
      </c>
      <c r="AE38" s="32">
        <f t="shared" si="30"/>
        <v>1808.1428571428571</v>
      </c>
      <c r="AF38" s="32">
        <f t="shared" si="30"/>
        <v>2244.5714285714284</v>
      </c>
    </row>
    <row r="39" spans="2:32" ht="23.1" customHeight="1" x14ac:dyDescent="0.25">
      <c r="B39" s="24" t="s">
        <v>66</v>
      </c>
      <c r="C39" s="49">
        <f>AVERAGE('17.10 Kampala-Jinja'!C39,'18.10 Kampala-Jinja'!C39,'19.10 Kampala-Jinja-24hr'!C39,'20.10 Kampala-Jinja'!C39,'21.10 Kampala-Jinja-24h'!C39,'23.10 KAMPALA-JINJA'!C39,'27.10 KAMPALA-JINJA'!C39)</f>
        <v>10.142857142857142</v>
      </c>
      <c r="D39" s="49">
        <f>AVERAGE('17.10 Kampala-Jinja'!D39,'18.10 Kampala-Jinja'!D39,'19.10 Kampala-Jinja-24hr'!D39,'20.10 Kampala-Jinja'!D39,'21.10 Kampala-Jinja-24h'!D39,'23.10 KAMPALA-JINJA'!D39,'27.10 KAMPALA-JINJA'!D39)</f>
        <v>5.8571428571428568</v>
      </c>
      <c r="E39" s="49">
        <f>AVERAGE('17.10 Kampala-Jinja'!E39,'18.10 Kampala-Jinja'!E39,'19.10 Kampala-Jinja-24hr'!E39,'20.10 Kampala-Jinja'!E39,'21.10 Kampala-Jinja-24h'!E39,'23.10 KAMPALA-JINJA'!E39,'27.10 KAMPALA-JINJA'!E39)</f>
        <v>3.2857142857142856</v>
      </c>
      <c r="F39" s="49">
        <f>AVERAGE('17.10 Kampala-Jinja'!F39,'18.10 Kampala-Jinja'!F39,'19.10 Kampala-Jinja-24hr'!F39,'20.10 Kampala-Jinja'!F39,'21.10 Kampala-Jinja-24h'!F39,'23.10 KAMPALA-JINJA'!F39,'27.10 KAMPALA-JINJA'!F39)</f>
        <v>28</v>
      </c>
      <c r="G39" s="49">
        <f>AVERAGE('17.10 Kampala-Jinja'!G39,'18.10 Kampala-Jinja'!G39,'19.10 Kampala-Jinja-24hr'!G39,'20.10 Kampala-Jinja'!G39,'21.10 Kampala-Jinja-24h'!G39,'23.10 KAMPALA-JINJA'!G39,'27.10 KAMPALA-JINJA'!G39)</f>
        <v>0.7142857142857143</v>
      </c>
      <c r="H39" s="49">
        <f>AVERAGE('17.10 Kampala-Jinja'!H39,'18.10 Kampala-Jinja'!H39,'19.10 Kampala-Jinja-24hr'!H39,'20.10 Kampala-Jinja'!H39,'21.10 Kampala-Jinja-24h'!H39,'23.10 KAMPALA-JINJA'!H39,'27.10 KAMPALA-JINJA'!H39)</f>
        <v>0.7142857142857143</v>
      </c>
      <c r="I39" s="49">
        <f>AVERAGE('17.10 Kampala-Jinja'!I39,'18.10 Kampala-Jinja'!I39,'19.10 Kampala-Jinja-24hr'!I39,'20.10 Kampala-Jinja'!I39,'21.10 Kampala-Jinja-24h'!I39,'23.10 KAMPALA-JINJA'!I39,'27.10 KAMPALA-JINJA'!I39)</f>
        <v>3.7142857142857144</v>
      </c>
      <c r="J39" s="49">
        <f>AVERAGE('17.10 Kampala-Jinja'!J39,'18.10 Kampala-Jinja'!J39,'19.10 Kampala-Jinja-24hr'!J39,'20.10 Kampala-Jinja'!J39,'21.10 Kampala-Jinja-24h'!J39,'23.10 KAMPALA-JINJA'!J39,'27.10 KAMPALA-JINJA'!J39)</f>
        <v>5.1428571428571432</v>
      </c>
      <c r="K39" s="49">
        <f>AVERAGE('17.10 Kampala-Jinja'!K39,'18.10 Kampala-Jinja'!K39,'19.10 Kampala-Jinja-24hr'!K39,'20.10 Kampala-Jinja'!K39,'21.10 Kampala-Jinja-24h'!K39,'23.10 KAMPALA-JINJA'!K39,'27.10 KAMPALA-JINJA'!K39)</f>
        <v>1.1428571428571428</v>
      </c>
      <c r="L39" s="49">
        <f>AVERAGE('17.10 Kampala-Jinja'!L39,'18.10 Kampala-Jinja'!L39,'19.10 Kampala-Jinja-24hr'!L39,'20.10 Kampala-Jinja'!L39,'21.10 Kampala-Jinja-24h'!L39,'23.10 KAMPALA-JINJA'!L39,'27.10 KAMPALA-JINJA'!L39)</f>
        <v>10.142857142857142</v>
      </c>
      <c r="M39" s="49">
        <f>AVERAGE('17.10 Kampala-Jinja'!M39,'18.10 Kampala-Jinja'!M39,'19.10 Kampala-Jinja-24hr'!M39,'20.10 Kampala-Jinja'!M39,'21.10 Kampala-Jinja-24h'!M39,'23.10 KAMPALA-JINJA'!M39,'27.10 KAMPALA-JINJA'!M39)</f>
        <v>15.285714285714286</v>
      </c>
      <c r="N39" s="49">
        <f>AVERAGE('17.10 Kampala-Jinja'!N39,'18.10 Kampala-Jinja'!N39,'19.10 Kampala-Jinja-24hr'!N39,'20.10 Kampala-Jinja'!N39,'21.10 Kampala-Jinja-24h'!N39,'23.10 KAMPALA-JINJA'!N39,'27.10 KAMPALA-JINJA'!N39)</f>
        <v>0</v>
      </c>
      <c r="O39" s="15">
        <f t="shared" si="0"/>
        <v>68.857142857142861</v>
      </c>
      <c r="P39" s="15">
        <f t="shared" si="1"/>
        <v>84.142857142857153</v>
      </c>
      <c r="R39" s="29" t="s">
        <v>87</v>
      </c>
      <c r="S39" s="16">
        <f t="shared" ref="S39:AF39" si="31">SUM(S19:S21)</f>
        <v>165.57142857142856</v>
      </c>
      <c r="T39" s="16">
        <f t="shared" si="31"/>
        <v>77.142857142857139</v>
      </c>
      <c r="U39" s="16">
        <f t="shared" si="31"/>
        <v>48.714285714285715</v>
      </c>
      <c r="V39" s="16">
        <f t="shared" si="31"/>
        <v>360.71428571428567</v>
      </c>
      <c r="W39" s="16">
        <f t="shared" si="31"/>
        <v>13.714285714285715</v>
      </c>
      <c r="X39" s="16">
        <f t="shared" si="31"/>
        <v>8.2857142857142847</v>
      </c>
      <c r="Y39" s="16">
        <f t="shared" si="31"/>
        <v>49.571428571428569</v>
      </c>
      <c r="Z39" s="16">
        <f t="shared" si="31"/>
        <v>70.142857142857139</v>
      </c>
      <c r="AA39" s="16">
        <f t="shared" si="31"/>
        <v>21.285714285714285</v>
      </c>
      <c r="AB39" s="16">
        <f t="shared" si="31"/>
        <v>221.71428571428569</v>
      </c>
      <c r="AC39" s="16">
        <f t="shared" si="31"/>
        <v>225.42857142857142</v>
      </c>
      <c r="AD39" s="16">
        <f t="shared" si="31"/>
        <v>0.71428571428571419</v>
      </c>
      <c r="AE39" s="32">
        <f t="shared" si="31"/>
        <v>1037.5714285714287</v>
      </c>
      <c r="AF39" s="32">
        <f t="shared" si="31"/>
        <v>1263</v>
      </c>
    </row>
    <row r="40" spans="2:32" ht="23.1" customHeight="1" x14ac:dyDescent="0.25">
      <c r="B40" s="24" t="s">
        <v>67</v>
      </c>
      <c r="C40" s="49">
        <f>AVERAGE('17.10 Kampala-Jinja'!C40,'18.10 Kampala-Jinja'!C40,'19.10 Kampala-Jinja-24hr'!C40,'20.10 Kampala-Jinja'!C40,'21.10 Kampala-Jinja-24h'!C40,'23.10 KAMPALA-JINJA'!C40,'27.10 KAMPALA-JINJA'!C40)</f>
        <v>12.142857142857142</v>
      </c>
      <c r="D40" s="49">
        <f>AVERAGE('17.10 Kampala-Jinja'!D40,'18.10 Kampala-Jinja'!D40,'19.10 Kampala-Jinja-24hr'!D40,'20.10 Kampala-Jinja'!D40,'21.10 Kampala-Jinja-24h'!D40,'23.10 KAMPALA-JINJA'!D40,'27.10 KAMPALA-JINJA'!D40)</f>
        <v>5.8571428571428568</v>
      </c>
      <c r="E40" s="49">
        <f>AVERAGE('17.10 Kampala-Jinja'!E40,'18.10 Kampala-Jinja'!E40,'19.10 Kampala-Jinja-24hr'!E40,'20.10 Kampala-Jinja'!E40,'21.10 Kampala-Jinja-24h'!E40,'23.10 KAMPALA-JINJA'!E40,'27.10 KAMPALA-JINJA'!E40)</f>
        <v>5.8571428571428568</v>
      </c>
      <c r="F40" s="49">
        <f>AVERAGE('17.10 Kampala-Jinja'!F40,'18.10 Kampala-Jinja'!F40,'19.10 Kampala-Jinja-24hr'!F40,'20.10 Kampala-Jinja'!F40,'21.10 Kampala-Jinja-24h'!F40,'23.10 KAMPALA-JINJA'!F40,'27.10 KAMPALA-JINJA'!F40)</f>
        <v>32.857142857142854</v>
      </c>
      <c r="G40" s="49">
        <f>AVERAGE('17.10 Kampala-Jinja'!G40,'18.10 Kampala-Jinja'!G40,'19.10 Kampala-Jinja-24hr'!G40,'20.10 Kampala-Jinja'!G40,'21.10 Kampala-Jinja-24h'!G40,'23.10 KAMPALA-JINJA'!G40,'27.10 KAMPALA-JINJA'!G40)</f>
        <v>1.4285714285714286</v>
      </c>
      <c r="H40" s="49">
        <f>AVERAGE('17.10 Kampala-Jinja'!H40,'18.10 Kampala-Jinja'!H40,'19.10 Kampala-Jinja-24hr'!H40,'20.10 Kampala-Jinja'!H40,'21.10 Kampala-Jinja-24h'!H40,'23.10 KAMPALA-JINJA'!H40,'27.10 KAMPALA-JINJA'!H40)</f>
        <v>0.5714285714285714</v>
      </c>
      <c r="I40" s="49">
        <f>AVERAGE('17.10 Kampala-Jinja'!I40,'18.10 Kampala-Jinja'!I40,'19.10 Kampala-Jinja-24hr'!I40,'20.10 Kampala-Jinja'!I40,'21.10 Kampala-Jinja-24h'!I40,'23.10 KAMPALA-JINJA'!I40,'27.10 KAMPALA-JINJA'!I40)</f>
        <v>4.1428571428571432</v>
      </c>
      <c r="J40" s="49">
        <f>AVERAGE('17.10 Kampala-Jinja'!J40,'18.10 Kampala-Jinja'!J40,'19.10 Kampala-Jinja-24hr'!J40,'20.10 Kampala-Jinja'!J40,'21.10 Kampala-Jinja-24h'!J40,'23.10 KAMPALA-JINJA'!J40,'27.10 KAMPALA-JINJA'!J40)</f>
        <v>4.1428571428571432</v>
      </c>
      <c r="K40" s="49">
        <f>AVERAGE('17.10 Kampala-Jinja'!K40,'18.10 Kampala-Jinja'!K40,'19.10 Kampala-Jinja-24hr'!K40,'20.10 Kampala-Jinja'!K40,'21.10 Kampala-Jinja-24h'!K40,'23.10 KAMPALA-JINJA'!K40,'27.10 KAMPALA-JINJA'!K40)</f>
        <v>3.1428571428571428</v>
      </c>
      <c r="L40" s="49">
        <f>AVERAGE('17.10 Kampala-Jinja'!L40,'18.10 Kampala-Jinja'!L40,'19.10 Kampala-Jinja-24hr'!L40,'20.10 Kampala-Jinja'!L40,'21.10 Kampala-Jinja-24h'!L40,'23.10 KAMPALA-JINJA'!L40,'27.10 KAMPALA-JINJA'!L40)</f>
        <v>10.571428571428571</v>
      </c>
      <c r="M40" s="49">
        <f>AVERAGE('17.10 Kampala-Jinja'!M40,'18.10 Kampala-Jinja'!M40,'19.10 Kampala-Jinja-24hr'!M40,'20.10 Kampala-Jinja'!M40,'21.10 Kampala-Jinja-24h'!M40,'23.10 KAMPALA-JINJA'!M40,'27.10 KAMPALA-JINJA'!M40)</f>
        <v>15</v>
      </c>
      <c r="N40" s="49">
        <f>AVERAGE('17.10 Kampala-Jinja'!N40,'18.10 Kampala-Jinja'!N40,'19.10 Kampala-Jinja-24hr'!N40,'20.10 Kampala-Jinja'!N40,'21.10 Kampala-Jinja-24h'!N40,'23.10 KAMPALA-JINJA'!N40,'27.10 KAMPALA-JINJA'!N40)</f>
        <v>0</v>
      </c>
      <c r="O40" s="15">
        <f t="shared" si="0"/>
        <v>80.714285714285708</v>
      </c>
      <c r="P40" s="15">
        <f t="shared" si="1"/>
        <v>95.714285714285708</v>
      </c>
      <c r="R40" s="5" t="s">
        <v>17</v>
      </c>
      <c r="S40" s="16">
        <f t="shared" ref="S40:AF40" si="32">SUM(S10:S21)</f>
        <v>667.57142857142856</v>
      </c>
      <c r="T40" s="16">
        <f t="shared" si="32"/>
        <v>322.85714285714289</v>
      </c>
      <c r="U40" s="16">
        <f t="shared" si="32"/>
        <v>188.00000000000003</v>
      </c>
      <c r="V40" s="16">
        <f t="shared" si="32"/>
        <v>1408.4285714285713</v>
      </c>
      <c r="W40" s="16">
        <f t="shared" si="32"/>
        <v>60.285714285714285</v>
      </c>
      <c r="X40" s="16">
        <f t="shared" si="32"/>
        <v>25.857142857142858</v>
      </c>
      <c r="Y40" s="16">
        <f t="shared" si="32"/>
        <v>156</v>
      </c>
      <c r="Z40" s="16">
        <f t="shared" si="32"/>
        <v>238.85714285714286</v>
      </c>
      <c r="AA40" s="16">
        <f t="shared" si="32"/>
        <v>68.571428571428584</v>
      </c>
      <c r="AB40" s="16">
        <f t="shared" si="32"/>
        <v>503.28571428571428</v>
      </c>
      <c r="AC40" s="16">
        <f t="shared" si="32"/>
        <v>854.57142857142856</v>
      </c>
      <c r="AD40" s="16">
        <f t="shared" si="32"/>
        <v>1.714285714285714</v>
      </c>
      <c r="AE40" s="32">
        <f t="shared" si="32"/>
        <v>3641.4285714285716</v>
      </c>
      <c r="AF40" s="32">
        <f t="shared" si="32"/>
        <v>4496</v>
      </c>
    </row>
    <row r="41" spans="2:32" ht="23.1" customHeight="1" x14ac:dyDescent="0.25">
      <c r="B41" s="23" t="s">
        <v>68</v>
      </c>
      <c r="C41" s="49">
        <f>AVERAGE('17.10 Kampala-Jinja'!C41,'18.10 Kampala-Jinja'!C41,'19.10 Kampala-Jinja-24hr'!C41,'20.10 Kampala-Jinja'!C41,'21.10 Kampala-Jinja-24h'!C41,'23.10 KAMPALA-JINJA'!C41,'27.10 KAMPALA-JINJA'!C41)</f>
        <v>15.571428571428571</v>
      </c>
      <c r="D41" s="49">
        <f>AVERAGE('17.10 Kampala-Jinja'!D41,'18.10 Kampala-Jinja'!D41,'19.10 Kampala-Jinja-24hr'!D41,'20.10 Kampala-Jinja'!D41,'21.10 Kampala-Jinja-24h'!D41,'23.10 KAMPALA-JINJA'!D41,'27.10 KAMPALA-JINJA'!D41)</f>
        <v>3.7142857142857144</v>
      </c>
      <c r="E41" s="49">
        <f>AVERAGE('17.10 Kampala-Jinja'!E41,'18.10 Kampala-Jinja'!E41,'19.10 Kampala-Jinja-24hr'!E41,'20.10 Kampala-Jinja'!E41,'21.10 Kampala-Jinja-24h'!E41,'23.10 KAMPALA-JINJA'!E41,'27.10 KAMPALA-JINJA'!E41)</f>
        <v>2.7142857142857144</v>
      </c>
      <c r="F41" s="49">
        <f>AVERAGE('17.10 Kampala-Jinja'!F41,'18.10 Kampala-Jinja'!F41,'19.10 Kampala-Jinja-24hr'!F41,'20.10 Kampala-Jinja'!F41,'21.10 Kampala-Jinja-24h'!F41,'23.10 KAMPALA-JINJA'!F41,'27.10 KAMPALA-JINJA'!F41)</f>
        <v>25.571428571428573</v>
      </c>
      <c r="G41" s="49">
        <f>AVERAGE('17.10 Kampala-Jinja'!G41,'18.10 Kampala-Jinja'!G41,'19.10 Kampala-Jinja-24hr'!G41,'20.10 Kampala-Jinja'!G41,'21.10 Kampala-Jinja-24h'!G41,'23.10 KAMPALA-JINJA'!G41,'27.10 KAMPALA-JINJA'!G41)</f>
        <v>1.4285714285714286</v>
      </c>
      <c r="H41" s="49">
        <f>AVERAGE('17.10 Kampala-Jinja'!H41,'18.10 Kampala-Jinja'!H41,'19.10 Kampala-Jinja-24hr'!H41,'20.10 Kampala-Jinja'!H41,'21.10 Kampala-Jinja-24h'!H41,'23.10 KAMPALA-JINJA'!H41,'27.10 KAMPALA-JINJA'!H41)</f>
        <v>0.5714285714285714</v>
      </c>
      <c r="I41" s="49">
        <f>AVERAGE('17.10 Kampala-Jinja'!I41,'18.10 Kampala-Jinja'!I41,'19.10 Kampala-Jinja-24hr'!I41,'20.10 Kampala-Jinja'!I41,'21.10 Kampala-Jinja-24h'!I41,'23.10 KAMPALA-JINJA'!I41,'27.10 KAMPALA-JINJA'!I41)</f>
        <v>5</v>
      </c>
      <c r="J41" s="49">
        <f>AVERAGE('17.10 Kampala-Jinja'!J41,'18.10 Kampala-Jinja'!J41,'19.10 Kampala-Jinja-24hr'!J41,'20.10 Kampala-Jinja'!J41,'21.10 Kampala-Jinja-24h'!J41,'23.10 KAMPALA-JINJA'!J41,'27.10 KAMPALA-JINJA'!J41)</f>
        <v>4.8571428571428568</v>
      </c>
      <c r="K41" s="49">
        <f>AVERAGE('17.10 Kampala-Jinja'!K41,'18.10 Kampala-Jinja'!K41,'19.10 Kampala-Jinja-24hr'!K41,'20.10 Kampala-Jinja'!K41,'21.10 Kampala-Jinja-24h'!K41,'23.10 KAMPALA-JINJA'!K41,'27.10 KAMPALA-JINJA'!K41)</f>
        <v>1.4285714285714286</v>
      </c>
      <c r="L41" s="49">
        <f>AVERAGE('17.10 Kampala-Jinja'!L41,'18.10 Kampala-Jinja'!L41,'19.10 Kampala-Jinja-24hr'!L41,'20.10 Kampala-Jinja'!L41,'21.10 Kampala-Jinja-24h'!L41,'23.10 KAMPALA-JINJA'!L41,'27.10 KAMPALA-JINJA'!L41)</f>
        <v>13.142857142857142</v>
      </c>
      <c r="M41" s="49">
        <f>AVERAGE('17.10 Kampala-Jinja'!M41,'18.10 Kampala-Jinja'!M41,'19.10 Kampala-Jinja-24hr'!M41,'20.10 Kampala-Jinja'!M41,'21.10 Kampala-Jinja-24h'!M41,'23.10 KAMPALA-JINJA'!M41,'27.10 KAMPALA-JINJA'!M41)</f>
        <v>15.428571428571429</v>
      </c>
      <c r="N41" s="49">
        <f>AVERAGE('17.10 Kampala-Jinja'!N41,'18.10 Kampala-Jinja'!N41,'19.10 Kampala-Jinja-24hr'!N41,'20.10 Kampala-Jinja'!N41,'21.10 Kampala-Jinja-24h'!N41,'23.10 KAMPALA-JINJA'!N41,'27.10 KAMPALA-JINJA'!N41)</f>
        <v>0</v>
      </c>
      <c r="O41" s="15">
        <f t="shared" si="0"/>
        <v>74</v>
      </c>
      <c r="P41" s="15">
        <f t="shared" si="1"/>
        <v>89.428571428571431</v>
      </c>
      <c r="R41" s="5" t="s">
        <v>182</v>
      </c>
      <c r="S41" s="16">
        <f>SUM(S10:S33)</f>
        <v>971.07142857142856</v>
      </c>
      <c r="T41" s="16">
        <f t="shared" ref="T41:AD41" si="33">SUM(T10:T33)</f>
        <v>412.85714285714289</v>
      </c>
      <c r="U41" s="16">
        <f t="shared" si="33"/>
        <v>248.00000000000003</v>
      </c>
      <c r="V41" s="16">
        <f t="shared" si="33"/>
        <v>1835.4285714285713</v>
      </c>
      <c r="W41" s="16">
        <f t="shared" si="33"/>
        <v>95.785714285714278</v>
      </c>
      <c r="X41" s="16">
        <f t="shared" si="33"/>
        <v>48.857142857142861</v>
      </c>
      <c r="Y41" s="16">
        <f t="shared" si="33"/>
        <v>270.5</v>
      </c>
      <c r="Z41" s="16">
        <f t="shared" si="33"/>
        <v>442.85714285714289</v>
      </c>
      <c r="AA41" s="16">
        <f t="shared" si="33"/>
        <v>126.07142857142858</v>
      </c>
      <c r="AB41" s="16">
        <f t="shared" si="33"/>
        <v>835.78571428571422</v>
      </c>
      <c r="AC41" s="16">
        <f t="shared" si="33"/>
        <v>1221.0714285714284</v>
      </c>
      <c r="AD41" s="16">
        <f t="shared" si="33"/>
        <v>11.214285714285714</v>
      </c>
      <c r="AE41" s="32">
        <f>SUM(AE10:AE33)</f>
        <v>5298.4285714285716</v>
      </c>
      <c r="AF41" s="32">
        <f>SUM(AF10:AF33)</f>
        <v>6519.5</v>
      </c>
    </row>
    <row r="42" spans="2:32" ht="23.1" customHeight="1" x14ac:dyDescent="0.25">
      <c r="B42" s="24" t="s">
        <v>69</v>
      </c>
      <c r="C42" s="49">
        <f>AVERAGE('17.10 Kampala-Jinja'!C42,'18.10 Kampala-Jinja'!C42,'19.10 Kampala-Jinja-24hr'!C42,'20.10 Kampala-Jinja'!C42,'21.10 Kampala-Jinja-24h'!C42,'23.10 KAMPALA-JINJA'!C42,'27.10 KAMPALA-JINJA'!C42)</f>
        <v>11.857142857142858</v>
      </c>
      <c r="D42" s="49">
        <f>AVERAGE('17.10 Kampala-Jinja'!D42,'18.10 Kampala-Jinja'!D42,'19.10 Kampala-Jinja-24hr'!D42,'20.10 Kampala-Jinja'!D42,'21.10 Kampala-Jinja-24h'!D42,'23.10 KAMPALA-JINJA'!D42,'27.10 KAMPALA-JINJA'!D42)</f>
        <v>6.2857142857142856</v>
      </c>
      <c r="E42" s="49">
        <f>AVERAGE('17.10 Kampala-Jinja'!E42,'18.10 Kampala-Jinja'!E42,'19.10 Kampala-Jinja-24hr'!E42,'20.10 Kampala-Jinja'!E42,'21.10 Kampala-Jinja-24h'!E42,'23.10 KAMPALA-JINJA'!E42,'27.10 KAMPALA-JINJA'!E42)</f>
        <v>3</v>
      </c>
      <c r="F42" s="49">
        <f>AVERAGE('17.10 Kampala-Jinja'!F42,'18.10 Kampala-Jinja'!F42,'19.10 Kampala-Jinja-24hr'!F42,'20.10 Kampala-Jinja'!F42,'21.10 Kampala-Jinja-24h'!F42,'23.10 KAMPALA-JINJA'!F42,'27.10 KAMPALA-JINJA'!F42)</f>
        <v>28.857142857142858</v>
      </c>
      <c r="G42" s="49">
        <f>AVERAGE('17.10 Kampala-Jinja'!G42,'18.10 Kampala-Jinja'!G42,'19.10 Kampala-Jinja-24hr'!G42,'20.10 Kampala-Jinja'!G42,'21.10 Kampala-Jinja-24h'!G42,'23.10 KAMPALA-JINJA'!G42,'27.10 KAMPALA-JINJA'!G42)</f>
        <v>1.4285714285714286</v>
      </c>
      <c r="H42" s="49">
        <f>AVERAGE('17.10 Kampala-Jinja'!H42,'18.10 Kampala-Jinja'!H42,'19.10 Kampala-Jinja-24hr'!H42,'20.10 Kampala-Jinja'!H42,'21.10 Kampala-Jinja-24h'!H42,'23.10 KAMPALA-JINJA'!H42,'27.10 KAMPALA-JINJA'!H42)</f>
        <v>0.42857142857142855</v>
      </c>
      <c r="I42" s="49">
        <f>AVERAGE('17.10 Kampala-Jinja'!I42,'18.10 Kampala-Jinja'!I42,'19.10 Kampala-Jinja-24hr'!I42,'20.10 Kampala-Jinja'!I42,'21.10 Kampala-Jinja-24h'!I42,'23.10 KAMPALA-JINJA'!I42,'27.10 KAMPALA-JINJA'!I42)</f>
        <v>2.7142857142857144</v>
      </c>
      <c r="J42" s="49">
        <f>AVERAGE('17.10 Kampala-Jinja'!J42,'18.10 Kampala-Jinja'!J42,'19.10 Kampala-Jinja-24hr'!J42,'20.10 Kampala-Jinja'!J42,'21.10 Kampala-Jinja-24h'!J42,'23.10 KAMPALA-JINJA'!J42,'27.10 KAMPALA-JINJA'!J42)</f>
        <v>7.4285714285714288</v>
      </c>
      <c r="K42" s="49">
        <f>AVERAGE('17.10 Kampala-Jinja'!K42,'18.10 Kampala-Jinja'!K42,'19.10 Kampala-Jinja-24hr'!K42,'20.10 Kampala-Jinja'!K42,'21.10 Kampala-Jinja-24h'!K42,'23.10 KAMPALA-JINJA'!K42,'27.10 KAMPALA-JINJA'!K42)</f>
        <v>1.1428571428571428</v>
      </c>
      <c r="L42" s="49">
        <f>AVERAGE('17.10 Kampala-Jinja'!L42,'18.10 Kampala-Jinja'!L42,'19.10 Kampala-Jinja-24hr'!L42,'20.10 Kampala-Jinja'!L42,'21.10 Kampala-Jinja-24h'!L42,'23.10 KAMPALA-JINJA'!L42,'27.10 KAMPALA-JINJA'!L42)</f>
        <v>14</v>
      </c>
      <c r="M42" s="49">
        <f>AVERAGE('17.10 Kampala-Jinja'!M42,'18.10 Kampala-Jinja'!M42,'19.10 Kampala-Jinja-24hr'!M42,'20.10 Kampala-Jinja'!M42,'21.10 Kampala-Jinja-24h'!M42,'23.10 KAMPALA-JINJA'!M42,'27.10 KAMPALA-JINJA'!M42)</f>
        <v>16.571428571428573</v>
      </c>
      <c r="N42" s="49">
        <f>AVERAGE('17.10 Kampala-Jinja'!N42,'18.10 Kampala-Jinja'!N42,'19.10 Kampala-Jinja-24hr'!N42,'20.10 Kampala-Jinja'!N42,'21.10 Kampala-Jinja-24h'!N42,'23.10 KAMPALA-JINJA'!N42,'27.10 KAMPALA-JINJA'!N42)</f>
        <v>0.14285714285714285</v>
      </c>
      <c r="O42" s="15">
        <f t="shared" si="0"/>
        <v>77.285714285714292</v>
      </c>
      <c r="P42" s="15">
        <f t="shared" si="1"/>
        <v>93.857142857142861</v>
      </c>
      <c r="R42" s="5" t="s">
        <v>160</v>
      </c>
      <c r="S42" s="48">
        <f>S41/S40</f>
        <v>1.4546329980740424</v>
      </c>
      <c r="T42" s="48">
        <f t="shared" ref="T42:AF42" si="34">T41/T40</f>
        <v>1.2787610619469025</v>
      </c>
      <c r="U42" s="48">
        <f t="shared" si="34"/>
        <v>1.3191489361702127</v>
      </c>
      <c r="V42" s="48">
        <f t="shared" si="34"/>
        <v>1.3031747641748657</v>
      </c>
      <c r="W42" s="48">
        <f t="shared" si="34"/>
        <v>1.5888625592417061</v>
      </c>
      <c r="X42" s="48">
        <f t="shared" si="34"/>
        <v>1.8895027624309393</v>
      </c>
      <c r="Y42" s="48">
        <f t="shared" si="34"/>
        <v>1.733974358974359</v>
      </c>
      <c r="Z42" s="48">
        <f t="shared" si="34"/>
        <v>1.8540669856459331</v>
      </c>
      <c r="AA42" s="48">
        <f t="shared" si="34"/>
        <v>1.8385416666666665</v>
      </c>
      <c r="AB42" s="48">
        <f t="shared" si="34"/>
        <v>1.6606585296622196</v>
      </c>
      <c r="AC42" s="48">
        <f t="shared" si="34"/>
        <v>1.4288699431628216</v>
      </c>
      <c r="AD42" s="48">
        <f t="shared" si="34"/>
        <v>6.5416666666666679</v>
      </c>
      <c r="AE42" s="53">
        <f t="shared" si="34"/>
        <v>1.4550411926245586</v>
      </c>
      <c r="AF42" s="53">
        <f t="shared" si="34"/>
        <v>1.4500667259786477</v>
      </c>
    </row>
    <row r="43" spans="2:32" ht="23.1" customHeight="1" x14ac:dyDescent="0.25">
      <c r="B43" s="23" t="s">
        <v>70</v>
      </c>
      <c r="C43" s="49">
        <f>AVERAGE('17.10 Kampala-Jinja'!C43,'18.10 Kampala-Jinja'!C43,'19.10 Kampala-Jinja-24hr'!C43,'20.10 Kampala-Jinja'!C43,'21.10 Kampala-Jinja-24h'!C43,'23.10 KAMPALA-JINJA'!C43,'27.10 KAMPALA-JINJA'!C43)</f>
        <v>14.714285714285714</v>
      </c>
      <c r="D43" s="49">
        <f>AVERAGE('17.10 Kampala-Jinja'!D43,'18.10 Kampala-Jinja'!D43,'19.10 Kampala-Jinja-24hr'!D43,'20.10 Kampala-Jinja'!D43,'21.10 Kampala-Jinja-24h'!D43,'23.10 KAMPALA-JINJA'!D43,'27.10 KAMPALA-JINJA'!D43)</f>
        <v>5.1428571428571432</v>
      </c>
      <c r="E43" s="49">
        <f>AVERAGE('17.10 Kampala-Jinja'!E43,'18.10 Kampala-Jinja'!E43,'19.10 Kampala-Jinja-24hr'!E43,'20.10 Kampala-Jinja'!E43,'21.10 Kampala-Jinja-24h'!E43,'23.10 KAMPALA-JINJA'!E43,'27.10 KAMPALA-JINJA'!E43)</f>
        <v>3.1428571428571428</v>
      </c>
      <c r="F43" s="49">
        <f>AVERAGE('17.10 Kampala-Jinja'!F43,'18.10 Kampala-Jinja'!F43,'19.10 Kampala-Jinja-24hr'!F43,'20.10 Kampala-Jinja'!F43,'21.10 Kampala-Jinja-24h'!F43,'23.10 KAMPALA-JINJA'!F43,'27.10 KAMPALA-JINJA'!F43)</f>
        <v>33.428571428571431</v>
      </c>
      <c r="G43" s="49">
        <f>AVERAGE('17.10 Kampala-Jinja'!G43,'18.10 Kampala-Jinja'!G43,'19.10 Kampala-Jinja-24hr'!G43,'20.10 Kampala-Jinja'!G43,'21.10 Kampala-Jinja-24h'!G43,'23.10 KAMPALA-JINJA'!G43,'27.10 KAMPALA-JINJA'!G43)</f>
        <v>1.4285714285714286</v>
      </c>
      <c r="H43" s="49">
        <f>AVERAGE('17.10 Kampala-Jinja'!H43,'18.10 Kampala-Jinja'!H43,'19.10 Kampala-Jinja-24hr'!H43,'20.10 Kampala-Jinja'!H43,'21.10 Kampala-Jinja-24h'!H43,'23.10 KAMPALA-JINJA'!H43,'27.10 KAMPALA-JINJA'!H43)</f>
        <v>0.42857142857142855</v>
      </c>
      <c r="I43" s="49">
        <f>AVERAGE('17.10 Kampala-Jinja'!I43,'18.10 Kampala-Jinja'!I43,'19.10 Kampala-Jinja-24hr'!I43,'20.10 Kampala-Jinja'!I43,'21.10 Kampala-Jinja-24h'!I43,'23.10 KAMPALA-JINJA'!I43,'27.10 KAMPALA-JINJA'!I43)</f>
        <v>4</v>
      </c>
      <c r="J43" s="49">
        <f>AVERAGE('17.10 Kampala-Jinja'!J43,'18.10 Kampala-Jinja'!J43,'19.10 Kampala-Jinja-24hr'!J43,'20.10 Kampala-Jinja'!J43,'21.10 Kampala-Jinja-24h'!J43,'23.10 KAMPALA-JINJA'!J43,'27.10 KAMPALA-JINJA'!J43)</f>
        <v>3.4285714285714284</v>
      </c>
      <c r="K43" s="49">
        <f>AVERAGE('17.10 Kampala-Jinja'!K43,'18.10 Kampala-Jinja'!K43,'19.10 Kampala-Jinja-24hr'!K43,'20.10 Kampala-Jinja'!K43,'21.10 Kampala-Jinja-24h'!K43,'23.10 KAMPALA-JINJA'!K43,'27.10 KAMPALA-JINJA'!K43)</f>
        <v>1.2857142857142858</v>
      </c>
      <c r="L43" s="49">
        <f>AVERAGE('17.10 Kampala-Jinja'!L43,'18.10 Kampala-Jinja'!L43,'19.10 Kampala-Jinja-24hr'!L43,'20.10 Kampala-Jinja'!L43,'21.10 Kampala-Jinja-24h'!L43,'23.10 KAMPALA-JINJA'!L43,'27.10 KAMPALA-JINJA'!L43)</f>
        <v>11</v>
      </c>
      <c r="M43" s="49">
        <f>AVERAGE('17.10 Kampala-Jinja'!M43,'18.10 Kampala-Jinja'!M43,'19.10 Kampala-Jinja-24hr'!M43,'20.10 Kampala-Jinja'!M43,'21.10 Kampala-Jinja-24h'!M43,'23.10 KAMPALA-JINJA'!M43,'27.10 KAMPALA-JINJA'!M43)</f>
        <v>16.285714285714285</v>
      </c>
      <c r="N43" s="49">
        <f>AVERAGE('17.10 Kampala-Jinja'!N43,'18.10 Kampala-Jinja'!N43,'19.10 Kampala-Jinja-24hr'!N43,'20.10 Kampala-Jinja'!N43,'21.10 Kampala-Jinja-24h'!N43,'23.10 KAMPALA-JINJA'!N43,'27.10 KAMPALA-JINJA'!N43)</f>
        <v>0.14285714285714285</v>
      </c>
      <c r="O43" s="15">
        <f t="shared" si="0"/>
        <v>78.142857142857153</v>
      </c>
      <c r="P43" s="15">
        <f t="shared" si="1"/>
        <v>94.428571428571445</v>
      </c>
    </row>
    <row r="44" spans="2:32" ht="23.1" customHeight="1" x14ac:dyDescent="0.25">
      <c r="B44" s="25" t="s">
        <v>71</v>
      </c>
      <c r="C44" s="49">
        <f>AVERAGE('17.10 Kampala-Jinja'!C44,'18.10 Kampala-Jinja'!C44,'19.10 Kampala-Jinja-24hr'!C44,'20.10 Kampala-Jinja'!C44,'21.10 Kampala-Jinja-24h'!C44,'23.10 KAMPALA-JINJA'!C44,'27.10 KAMPALA-JINJA'!C44)</f>
        <v>14.571428571428571</v>
      </c>
      <c r="D44" s="49">
        <f>AVERAGE('17.10 Kampala-Jinja'!D44,'18.10 Kampala-Jinja'!D44,'19.10 Kampala-Jinja-24hr'!D44,'20.10 Kampala-Jinja'!D44,'21.10 Kampala-Jinja-24h'!D44,'23.10 KAMPALA-JINJA'!D44,'27.10 KAMPALA-JINJA'!D44)</f>
        <v>7.1428571428571432</v>
      </c>
      <c r="E44" s="49">
        <f>AVERAGE('17.10 Kampala-Jinja'!E44,'18.10 Kampala-Jinja'!E44,'19.10 Kampala-Jinja-24hr'!E44,'20.10 Kampala-Jinja'!E44,'21.10 Kampala-Jinja-24h'!E44,'23.10 KAMPALA-JINJA'!E44,'27.10 KAMPALA-JINJA'!E44)</f>
        <v>4.8571428571428568</v>
      </c>
      <c r="F44" s="49">
        <f>AVERAGE('17.10 Kampala-Jinja'!F44,'18.10 Kampala-Jinja'!F44,'19.10 Kampala-Jinja-24hr'!F44,'20.10 Kampala-Jinja'!F44,'21.10 Kampala-Jinja-24h'!F44,'23.10 KAMPALA-JINJA'!F44,'27.10 KAMPALA-JINJA'!F44)</f>
        <v>31.142857142857142</v>
      </c>
      <c r="G44" s="49">
        <f>AVERAGE('17.10 Kampala-Jinja'!G44,'18.10 Kampala-Jinja'!G44,'19.10 Kampala-Jinja-24hr'!G44,'20.10 Kampala-Jinja'!G44,'21.10 Kampala-Jinja-24h'!G44,'23.10 KAMPALA-JINJA'!G44,'27.10 KAMPALA-JINJA'!G44)</f>
        <v>0.5714285714285714</v>
      </c>
      <c r="H44" s="49">
        <f>AVERAGE('17.10 Kampala-Jinja'!H44,'18.10 Kampala-Jinja'!H44,'19.10 Kampala-Jinja-24hr'!H44,'20.10 Kampala-Jinja'!H44,'21.10 Kampala-Jinja-24h'!H44,'23.10 KAMPALA-JINJA'!H44,'27.10 KAMPALA-JINJA'!H44)</f>
        <v>0.7142857142857143</v>
      </c>
      <c r="I44" s="49">
        <f>AVERAGE('17.10 Kampala-Jinja'!I44,'18.10 Kampala-Jinja'!I44,'19.10 Kampala-Jinja-24hr'!I44,'20.10 Kampala-Jinja'!I44,'21.10 Kampala-Jinja-24h'!I44,'23.10 KAMPALA-JINJA'!I44,'27.10 KAMPALA-JINJA'!I44)</f>
        <v>3.1428571428571428</v>
      </c>
      <c r="J44" s="49">
        <f>AVERAGE('17.10 Kampala-Jinja'!J44,'18.10 Kampala-Jinja'!J44,'19.10 Kampala-Jinja-24hr'!J44,'20.10 Kampala-Jinja'!J44,'21.10 Kampala-Jinja-24h'!J44,'23.10 KAMPALA-JINJA'!J44,'27.10 KAMPALA-JINJA'!J44)</f>
        <v>6.7142857142857144</v>
      </c>
      <c r="K44" s="49">
        <f>AVERAGE('17.10 Kampala-Jinja'!K44,'18.10 Kampala-Jinja'!K44,'19.10 Kampala-Jinja-24hr'!K44,'20.10 Kampala-Jinja'!K44,'21.10 Kampala-Jinja-24h'!K44,'23.10 KAMPALA-JINJA'!K44,'27.10 KAMPALA-JINJA'!K44)</f>
        <v>1.7142857142857142</v>
      </c>
      <c r="L44" s="49">
        <f>AVERAGE('17.10 Kampala-Jinja'!L44,'18.10 Kampala-Jinja'!L44,'19.10 Kampala-Jinja-24hr'!L44,'20.10 Kampala-Jinja'!L44,'21.10 Kampala-Jinja-24h'!L44,'23.10 KAMPALA-JINJA'!L44,'27.10 KAMPALA-JINJA'!L44)</f>
        <v>12.714285714285714</v>
      </c>
      <c r="M44" s="49">
        <f>AVERAGE('17.10 Kampala-Jinja'!M44,'18.10 Kampala-Jinja'!M44,'19.10 Kampala-Jinja-24hr'!M44,'20.10 Kampala-Jinja'!M44,'21.10 Kampala-Jinja-24h'!M44,'23.10 KAMPALA-JINJA'!M44,'27.10 KAMPALA-JINJA'!M44)</f>
        <v>16.714285714285715</v>
      </c>
      <c r="N44" s="49">
        <f>AVERAGE('17.10 Kampala-Jinja'!N44,'18.10 Kampala-Jinja'!N44,'19.10 Kampala-Jinja-24hr'!N44,'20.10 Kampala-Jinja'!N44,'21.10 Kampala-Jinja-24h'!N44,'23.10 KAMPALA-JINJA'!N44,'27.10 KAMPALA-JINJA'!N44)</f>
        <v>0</v>
      </c>
      <c r="O44" s="15">
        <f t="shared" si="0"/>
        <v>83.285714285714278</v>
      </c>
      <c r="P44" s="15">
        <f t="shared" si="1"/>
        <v>100</v>
      </c>
    </row>
    <row r="45" spans="2:32" ht="23.1" customHeight="1" x14ac:dyDescent="0.25">
      <c r="B45" s="23" t="s">
        <v>72</v>
      </c>
      <c r="C45" s="49">
        <f>AVERAGE('17.10 Kampala-Jinja'!C45,'18.10 Kampala-Jinja'!C45,'19.10 Kampala-Jinja-24hr'!C45,'20.10 Kampala-Jinja'!C45,'21.10 Kampala-Jinja-24h'!C45,'23.10 KAMPALA-JINJA'!C45,'27.10 KAMPALA-JINJA'!C45)</f>
        <v>17.571428571428573</v>
      </c>
      <c r="D45" s="49">
        <f>AVERAGE('17.10 Kampala-Jinja'!D45,'18.10 Kampala-Jinja'!D45,'19.10 Kampala-Jinja-24hr'!D45,'20.10 Kampala-Jinja'!D45,'21.10 Kampala-Jinja-24h'!D45,'23.10 KAMPALA-JINJA'!D45,'27.10 KAMPALA-JINJA'!D45)</f>
        <v>6</v>
      </c>
      <c r="E45" s="49">
        <f>AVERAGE('17.10 Kampala-Jinja'!E45,'18.10 Kampala-Jinja'!E45,'19.10 Kampala-Jinja-24hr'!E45,'20.10 Kampala-Jinja'!E45,'21.10 Kampala-Jinja-24h'!E45,'23.10 KAMPALA-JINJA'!E45,'27.10 KAMPALA-JINJA'!E45)</f>
        <v>3.2857142857142856</v>
      </c>
      <c r="F45" s="49">
        <f>AVERAGE('17.10 Kampala-Jinja'!F45,'18.10 Kampala-Jinja'!F45,'19.10 Kampala-Jinja-24hr'!F45,'20.10 Kampala-Jinja'!F45,'21.10 Kampala-Jinja-24h'!F45,'23.10 KAMPALA-JINJA'!F45,'27.10 KAMPALA-JINJA'!F45)</f>
        <v>34.857142857142854</v>
      </c>
      <c r="G45" s="49">
        <f>AVERAGE('17.10 Kampala-Jinja'!G45,'18.10 Kampala-Jinja'!G45,'19.10 Kampala-Jinja-24hr'!G45,'20.10 Kampala-Jinja'!G45,'21.10 Kampala-Jinja-24h'!G45,'23.10 KAMPALA-JINJA'!G45,'27.10 KAMPALA-JINJA'!G45)</f>
        <v>0.8571428571428571</v>
      </c>
      <c r="H45" s="49">
        <f>AVERAGE('17.10 Kampala-Jinja'!H45,'18.10 Kampala-Jinja'!H45,'19.10 Kampala-Jinja-24hr'!H45,'20.10 Kampala-Jinja'!H45,'21.10 Kampala-Jinja-24h'!H45,'23.10 KAMPALA-JINJA'!H45,'27.10 KAMPALA-JINJA'!H45)</f>
        <v>0.7142857142857143</v>
      </c>
      <c r="I45" s="49">
        <f>AVERAGE('17.10 Kampala-Jinja'!I45,'18.10 Kampala-Jinja'!I45,'19.10 Kampala-Jinja-24hr'!I45,'20.10 Kampala-Jinja'!I45,'21.10 Kampala-Jinja-24h'!I45,'23.10 KAMPALA-JINJA'!I45,'27.10 KAMPALA-JINJA'!I45)</f>
        <v>5.1428571428571432</v>
      </c>
      <c r="J45" s="49">
        <f>AVERAGE('17.10 Kampala-Jinja'!J45,'18.10 Kampala-Jinja'!J45,'19.10 Kampala-Jinja-24hr'!J45,'20.10 Kampala-Jinja'!J45,'21.10 Kampala-Jinja-24h'!J45,'23.10 KAMPALA-JINJA'!J45,'27.10 KAMPALA-JINJA'!J45)</f>
        <v>7.1428571428571432</v>
      </c>
      <c r="K45" s="49">
        <f>AVERAGE('17.10 Kampala-Jinja'!K45,'18.10 Kampala-Jinja'!K45,'19.10 Kampala-Jinja-24hr'!K45,'20.10 Kampala-Jinja'!K45,'21.10 Kampala-Jinja-24h'!K45,'23.10 KAMPALA-JINJA'!K45,'27.10 KAMPALA-JINJA'!K45)</f>
        <v>1.7142857142857142</v>
      </c>
      <c r="L45" s="49">
        <f>AVERAGE('17.10 Kampala-Jinja'!L45,'18.10 Kampala-Jinja'!L45,'19.10 Kampala-Jinja-24hr'!L45,'20.10 Kampala-Jinja'!L45,'21.10 Kampala-Jinja-24h'!L45,'23.10 KAMPALA-JINJA'!L45,'27.10 KAMPALA-JINJA'!L45)</f>
        <v>12</v>
      </c>
      <c r="M45" s="49">
        <f>AVERAGE('17.10 Kampala-Jinja'!M45,'18.10 Kampala-Jinja'!M45,'19.10 Kampala-Jinja-24hr'!M45,'20.10 Kampala-Jinja'!M45,'21.10 Kampala-Jinja-24h'!M45,'23.10 KAMPALA-JINJA'!M45,'27.10 KAMPALA-JINJA'!M45)</f>
        <v>16.714285714285715</v>
      </c>
      <c r="N45" s="49">
        <f>AVERAGE('17.10 Kampala-Jinja'!N45,'18.10 Kampala-Jinja'!N45,'19.10 Kampala-Jinja-24hr'!N45,'20.10 Kampala-Jinja'!N45,'21.10 Kampala-Jinja-24h'!N45,'23.10 KAMPALA-JINJA'!N45,'27.10 KAMPALA-JINJA'!N45)</f>
        <v>0</v>
      </c>
      <c r="O45" s="15">
        <f t="shared" si="0"/>
        <v>89.285714285714263</v>
      </c>
      <c r="P45" s="15">
        <f t="shared" si="1"/>
        <v>105.99999999999997</v>
      </c>
    </row>
    <row r="46" spans="2:32" ht="23.1" customHeight="1" x14ac:dyDescent="0.25">
      <c r="B46" s="24" t="s">
        <v>73</v>
      </c>
      <c r="C46" s="49">
        <f>AVERAGE('17.10 Kampala-Jinja'!C46,'18.10 Kampala-Jinja'!C46,'19.10 Kampala-Jinja-24hr'!C46,'20.10 Kampala-Jinja'!C46,'21.10 Kampala-Jinja-24h'!C46,'23.10 KAMPALA-JINJA'!C46,'27.10 KAMPALA-JINJA'!C46)</f>
        <v>11.714285714285714</v>
      </c>
      <c r="D46" s="49">
        <f>AVERAGE('17.10 Kampala-Jinja'!D46,'18.10 Kampala-Jinja'!D46,'19.10 Kampala-Jinja-24hr'!D46,'20.10 Kampala-Jinja'!D46,'21.10 Kampala-Jinja-24h'!D46,'23.10 KAMPALA-JINJA'!D46,'27.10 KAMPALA-JINJA'!D46)</f>
        <v>5.7142857142857144</v>
      </c>
      <c r="E46" s="49">
        <f>AVERAGE('17.10 Kampala-Jinja'!E46,'18.10 Kampala-Jinja'!E46,'19.10 Kampala-Jinja-24hr'!E46,'20.10 Kampala-Jinja'!E46,'21.10 Kampala-Jinja-24h'!E46,'23.10 KAMPALA-JINJA'!E46,'27.10 KAMPALA-JINJA'!E46)</f>
        <v>4</v>
      </c>
      <c r="F46" s="49">
        <f>AVERAGE('17.10 Kampala-Jinja'!F46,'18.10 Kampala-Jinja'!F46,'19.10 Kampala-Jinja-24hr'!F46,'20.10 Kampala-Jinja'!F46,'21.10 Kampala-Jinja-24h'!F46,'23.10 KAMPALA-JINJA'!F46,'27.10 KAMPALA-JINJA'!F46)</f>
        <v>24.857142857142858</v>
      </c>
      <c r="G46" s="49">
        <f>AVERAGE('17.10 Kampala-Jinja'!G46,'18.10 Kampala-Jinja'!G46,'19.10 Kampala-Jinja-24hr'!G46,'20.10 Kampala-Jinja'!G46,'21.10 Kampala-Jinja-24h'!G46,'23.10 KAMPALA-JINJA'!G46,'27.10 KAMPALA-JINJA'!G46)</f>
        <v>0.5714285714285714</v>
      </c>
      <c r="H46" s="49">
        <f>AVERAGE('17.10 Kampala-Jinja'!H46,'18.10 Kampala-Jinja'!H46,'19.10 Kampala-Jinja-24hr'!H46,'20.10 Kampala-Jinja'!H46,'21.10 Kampala-Jinja-24h'!H46,'23.10 KAMPALA-JINJA'!H46,'27.10 KAMPALA-JINJA'!H46)</f>
        <v>0.5714285714285714</v>
      </c>
      <c r="I46" s="49">
        <f>AVERAGE('17.10 Kampala-Jinja'!I46,'18.10 Kampala-Jinja'!I46,'19.10 Kampala-Jinja-24hr'!I46,'20.10 Kampala-Jinja'!I46,'21.10 Kampala-Jinja-24h'!I46,'23.10 KAMPALA-JINJA'!I46,'27.10 KAMPALA-JINJA'!I46)</f>
        <v>3.8571428571428572</v>
      </c>
      <c r="J46" s="49">
        <f>AVERAGE('17.10 Kampala-Jinja'!J46,'18.10 Kampala-Jinja'!J46,'19.10 Kampala-Jinja-24hr'!J46,'20.10 Kampala-Jinja'!J46,'21.10 Kampala-Jinja-24h'!J46,'23.10 KAMPALA-JINJA'!J46,'27.10 KAMPALA-JINJA'!J46)</f>
        <v>6.2857142857142856</v>
      </c>
      <c r="K46" s="49">
        <f>AVERAGE('17.10 Kampala-Jinja'!K46,'18.10 Kampala-Jinja'!K46,'19.10 Kampala-Jinja-24hr'!K46,'20.10 Kampala-Jinja'!K46,'21.10 Kampala-Jinja-24h'!K46,'23.10 KAMPALA-JINJA'!K46,'27.10 KAMPALA-JINJA'!K46)</f>
        <v>1.4285714285714286</v>
      </c>
      <c r="L46" s="49">
        <f>AVERAGE('17.10 Kampala-Jinja'!L46,'18.10 Kampala-Jinja'!L46,'19.10 Kampala-Jinja-24hr'!L46,'20.10 Kampala-Jinja'!L46,'21.10 Kampala-Jinja-24h'!L46,'23.10 KAMPALA-JINJA'!L46,'27.10 KAMPALA-JINJA'!L46)</f>
        <v>17.571428571428573</v>
      </c>
      <c r="M46" s="49">
        <f>AVERAGE('17.10 Kampala-Jinja'!M46,'18.10 Kampala-Jinja'!M46,'19.10 Kampala-Jinja-24hr'!M46,'20.10 Kampala-Jinja'!M46,'21.10 Kampala-Jinja-24h'!M46,'23.10 KAMPALA-JINJA'!M46,'27.10 KAMPALA-JINJA'!M46)</f>
        <v>20.142857142857142</v>
      </c>
      <c r="N46" s="49">
        <f>AVERAGE('17.10 Kampala-Jinja'!N46,'18.10 Kampala-Jinja'!N46,'19.10 Kampala-Jinja-24hr'!N46,'20.10 Kampala-Jinja'!N46,'21.10 Kampala-Jinja-24h'!N46,'23.10 KAMPALA-JINJA'!N46,'27.10 KAMPALA-JINJA'!N46)</f>
        <v>0</v>
      </c>
      <c r="O46" s="15">
        <f t="shared" si="0"/>
        <v>76.571428571428569</v>
      </c>
      <c r="P46" s="15">
        <f t="shared" si="1"/>
        <v>96.714285714285708</v>
      </c>
      <c r="R46" s="8"/>
      <c r="T46"/>
    </row>
    <row r="47" spans="2:32" ht="23.1" customHeight="1" x14ac:dyDescent="0.25">
      <c r="B47" s="24" t="s">
        <v>74</v>
      </c>
      <c r="C47" s="49">
        <f>AVERAGE('17.10 Kampala-Jinja'!C47,'18.10 Kampala-Jinja'!C47,'19.10 Kampala-Jinja-24hr'!C47,'20.10 Kampala-Jinja'!C47,'21.10 Kampala-Jinja-24h'!C47,'23.10 KAMPALA-JINJA'!C47,'27.10 KAMPALA-JINJA'!C47)</f>
        <v>11</v>
      </c>
      <c r="D47" s="49">
        <f>AVERAGE('17.10 Kampala-Jinja'!D47,'18.10 Kampala-Jinja'!D47,'19.10 Kampala-Jinja-24hr'!D47,'20.10 Kampala-Jinja'!D47,'21.10 Kampala-Jinja-24h'!D47,'23.10 KAMPALA-JINJA'!D47,'27.10 KAMPALA-JINJA'!D47)</f>
        <v>4.2857142857142856</v>
      </c>
      <c r="E47" s="49">
        <f>AVERAGE('17.10 Kampala-Jinja'!E47,'18.10 Kampala-Jinja'!E47,'19.10 Kampala-Jinja-24hr'!E47,'20.10 Kampala-Jinja'!E47,'21.10 Kampala-Jinja-24h'!E47,'23.10 KAMPALA-JINJA'!E47,'27.10 KAMPALA-JINJA'!E47)</f>
        <v>3.7142857142857144</v>
      </c>
      <c r="F47" s="49">
        <f>AVERAGE('17.10 Kampala-Jinja'!F47,'18.10 Kampala-Jinja'!F47,'19.10 Kampala-Jinja-24hr'!F47,'20.10 Kampala-Jinja'!F47,'21.10 Kampala-Jinja-24h'!F47,'23.10 KAMPALA-JINJA'!F47,'27.10 KAMPALA-JINJA'!F47)</f>
        <v>25.428571428571427</v>
      </c>
      <c r="G47" s="49">
        <f>AVERAGE('17.10 Kampala-Jinja'!G47,'18.10 Kampala-Jinja'!G47,'19.10 Kampala-Jinja-24hr'!G47,'20.10 Kampala-Jinja'!G47,'21.10 Kampala-Jinja-24h'!G47,'23.10 KAMPALA-JINJA'!G47,'27.10 KAMPALA-JINJA'!G47)</f>
        <v>1</v>
      </c>
      <c r="H47" s="49">
        <f>AVERAGE('17.10 Kampala-Jinja'!H47,'18.10 Kampala-Jinja'!H47,'19.10 Kampala-Jinja-24hr'!H47,'20.10 Kampala-Jinja'!H47,'21.10 Kampala-Jinja-24h'!H47,'23.10 KAMPALA-JINJA'!H47,'27.10 KAMPALA-JINJA'!H47)</f>
        <v>0.42857142857142855</v>
      </c>
      <c r="I47" s="49">
        <f>AVERAGE('17.10 Kampala-Jinja'!I47,'18.10 Kampala-Jinja'!I47,'19.10 Kampala-Jinja-24hr'!I47,'20.10 Kampala-Jinja'!I47,'21.10 Kampala-Jinja-24h'!I47,'23.10 KAMPALA-JINJA'!I47,'27.10 KAMPALA-JINJA'!I47)</f>
        <v>3.2857142857142856</v>
      </c>
      <c r="J47" s="49">
        <f>AVERAGE('17.10 Kampala-Jinja'!J47,'18.10 Kampala-Jinja'!J47,'19.10 Kampala-Jinja-24hr'!J47,'20.10 Kampala-Jinja'!J47,'21.10 Kampala-Jinja-24h'!J47,'23.10 KAMPALA-JINJA'!J47,'27.10 KAMPALA-JINJA'!J47)</f>
        <v>6.7142857142857144</v>
      </c>
      <c r="K47" s="49">
        <f>AVERAGE('17.10 Kampala-Jinja'!K47,'18.10 Kampala-Jinja'!K47,'19.10 Kampala-Jinja-24hr'!K47,'20.10 Kampala-Jinja'!K47,'21.10 Kampala-Jinja-24h'!K47,'23.10 KAMPALA-JINJA'!K47,'27.10 KAMPALA-JINJA'!K47)</f>
        <v>1.2857142857142858</v>
      </c>
      <c r="L47" s="49">
        <f>AVERAGE('17.10 Kampala-Jinja'!L47,'18.10 Kampala-Jinja'!L47,'19.10 Kampala-Jinja-24hr'!L47,'20.10 Kampala-Jinja'!L47,'21.10 Kampala-Jinja-24h'!L47,'23.10 KAMPALA-JINJA'!L47,'27.10 KAMPALA-JINJA'!L47)</f>
        <v>13</v>
      </c>
      <c r="M47" s="49">
        <f>AVERAGE('17.10 Kampala-Jinja'!M47,'18.10 Kampala-Jinja'!M47,'19.10 Kampala-Jinja-24hr'!M47,'20.10 Kampala-Jinja'!M47,'21.10 Kampala-Jinja-24h'!M47,'23.10 KAMPALA-JINJA'!M47,'27.10 KAMPALA-JINJA'!M47)</f>
        <v>17.428571428571427</v>
      </c>
      <c r="N47" s="49">
        <f>AVERAGE('17.10 Kampala-Jinja'!N47,'18.10 Kampala-Jinja'!N47,'19.10 Kampala-Jinja-24hr'!N47,'20.10 Kampala-Jinja'!N47,'21.10 Kampala-Jinja-24h'!N47,'23.10 KAMPALA-JINJA'!N47,'27.10 KAMPALA-JINJA'!N47)</f>
        <v>0</v>
      </c>
      <c r="O47" s="15">
        <f t="shared" si="0"/>
        <v>70.142857142857139</v>
      </c>
      <c r="P47" s="15">
        <f t="shared" si="1"/>
        <v>87.571428571428569</v>
      </c>
      <c r="R47" s="8"/>
      <c r="T47"/>
    </row>
    <row r="48" spans="2:32" ht="23.1" customHeight="1" x14ac:dyDescent="0.25">
      <c r="B48" s="24" t="s">
        <v>75</v>
      </c>
      <c r="C48" s="49">
        <f>AVERAGE('17.10 Kampala-Jinja'!C48,'18.10 Kampala-Jinja'!C48,'19.10 Kampala-Jinja-24hr'!C48,'20.10 Kampala-Jinja'!C48,'21.10 Kampala-Jinja-24h'!C48,'23.10 KAMPALA-JINJA'!C48,'27.10 KAMPALA-JINJA'!C48)</f>
        <v>15.428571428571429</v>
      </c>
      <c r="D48" s="49">
        <f>AVERAGE('17.10 Kampala-Jinja'!D48,'18.10 Kampala-Jinja'!D48,'19.10 Kampala-Jinja-24hr'!D48,'20.10 Kampala-Jinja'!D48,'21.10 Kampala-Jinja-24h'!D48,'23.10 KAMPALA-JINJA'!D48,'27.10 KAMPALA-JINJA'!D48)</f>
        <v>7.4285714285714288</v>
      </c>
      <c r="E48" s="49">
        <f>AVERAGE('17.10 Kampala-Jinja'!E48,'18.10 Kampala-Jinja'!E48,'19.10 Kampala-Jinja-24hr'!E48,'20.10 Kampala-Jinja'!E48,'21.10 Kampala-Jinja-24h'!E48,'23.10 KAMPALA-JINJA'!E48,'27.10 KAMPALA-JINJA'!E48)</f>
        <v>5.1428571428571432</v>
      </c>
      <c r="F48" s="49">
        <f>AVERAGE('17.10 Kampala-Jinja'!F48,'18.10 Kampala-Jinja'!F48,'19.10 Kampala-Jinja-24hr'!F48,'20.10 Kampala-Jinja'!F48,'21.10 Kampala-Jinja-24h'!F48,'23.10 KAMPALA-JINJA'!F48,'27.10 KAMPALA-JINJA'!F48)</f>
        <v>32</v>
      </c>
      <c r="G48" s="49">
        <f>AVERAGE('17.10 Kampala-Jinja'!G48,'18.10 Kampala-Jinja'!G48,'19.10 Kampala-Jinja-24hr'!G48,'20.10 Kampala-Jinja'!G48,'21.10 Kampala-Jinja-24h'!G48,'23.10 KAMPALA-JINJA'!G48,'27.10 KAMPALA-JINJA'!G48)</f>
        <v>0.5714285714285714</v>
      </c>
      <c r="H48" s="49">
        <f>AVERAGE('17.10 Kampala-Jinja'!H48,'18.10 Kampala-Jinja'!H48,'19.10 Kampala-Jinja-24hr'!H48,'20.10 Kampala-Jinja'!H48,'21.10 Kampala-Jinja-24h'!H48,'23.10 KAMPALA-JINJA'!H48,'27.10 KAMPALA-JINJA'!H48)</f>
        <v>0.7142857142857143</v>
      </c>
      <c r="I48" s="49">
        <f>AVERAGE('17.10 Kampala-Jinja'!I48,'18.10 Kampala-Jinja'!I48,'19.10 Kampala-Jinja-24hr'!I48,'20.10 Kampala-Jinja'!I48,'21.10 Kampala-Jinja-24h'!I48,'23.10 KAMPALA-JINJA'!I48,'27.10 KAMPALA-JINJA'!I48)</f>
        <v>3.4285714285714284</v>
      </c>
      <c r="J48" s="49">
        <f>AVERAGE('17.10 Kampala-Jinja'!J48,'18.10 Kampala-Jinja'!J48,'19.10 Kampala-Jinja-24hr'!J48,'20.10 Kampala-Jinja'!J48,'21.10 Kampala-Jinja-24h'!J48,'23.10 KAMPALA-JINJA'!J48,'27.10 KAMPALA-JINJA'!J48)</f>
        <v>6.2857142857142856</v>
      </c>
      <c r="K48" s="49">
        <f>AVERAGE('17.10 Kampala-Jinja'!K48,'18.10 Kampala-Jinja'!K48,'19.10 Kampala-Jinja-24hr'!K48,'20.10 Kampala-Jinja'!K48,'21.10 Kampala-Jinja-24h'!K48,'23.10 KAMPALA-JINJA'!K48,'27.10 KAMPALA-JINJA'!K48)</f>
        <v>2.5714285714285716</v>
      </c>
      <c r="L48" s="49">
        <f>AVERAGE('17.10 Kampala-Jinja'!L48,'18.10 Kampala-Jinja'!L48,'19.10 Kampala-Jinja-24hr'!L48,'20.10 Kampala-Jinja'!L48,'21.10 Kampala-Jinja-24h'!L48,'23.10 KAMPALA-JINJA'!L48,'27.10 KAMPALA-JINJA'!L48)</f>
        <v>13</v>
      </c>
      <c r="M48" s="49">
        <f>AVERAGE('17.10 Kampala-Jinja'!M48,'18.10 Kampala-Jinja'!M48,'19.10 Kampala-Jinja-24hr'!M48,'20.10 Kampala-Jinja'!M48,'21.10 Kampala-Jinja-24h'!M48,'23.10 KAMPALA-JINJA'!M48,'27.10 KAMPALA-JINJA'!M48)</f>
        <v>18.857142857142858</v>
      </c>
      <c r="N48" s="49">
        <f>AVERAGE('17.10 Kampala-Jinja'!N48,'18.10 Kampala-Jinja'!N48,'19.10 Kampala-Jinja-24hr'!N48,'20.10 Kampala-Jinja'!N48,'21.10 Kampala-Jinja-24h'!N48,'23.10 KAMPALA-JINJA'!N48,'27.10 KAMPALA-JINJA'!N48)</f>
        <v>0</v>
      </c>
      <c r="O48" s="15">
        <f t="shared" si="0"/>
        <v>86.571428571428569</v>
      </c>
      <c r="P48" s="15">
        <f t="shared" si="1"/>
        <v>105.42857142857143</v>
      </c>
      <c r="R48" s="8"/>
      <c r="T48"/>
    </row>
    <row r="49" spans="2:20" ht="23.1" customHeight="1" x14ac:dyDescent="0.25">
      <c r="B49" s="23" t="s">
        <v>76</v>
      </c>
      <c r="C49" s="49">
        <f>AVERAGE('17.10 Kampala-Jinja'!C49,'18.10 Kampala-Jinja'!C49,'19.10 Kampala-Jinja-24hr'!C49,'20.10 Kampala-Jinja'!C49,'21.10 Kampala-Jinja-24h'!C49,'23.10 KAMPALA-JINJA'!C49,'27.10 KAMPALA-JINJA'!C49)</f>
        <v>13.857142857142858</v>
      </c>
      <c r="D49" s="49">
        <f>AVERAGE('17.10 Kampala-Jinja'!D49,'18.10 Kampala-Jinja'!D49,'19.10 Kampala-Jinja-24hr'!D49,'20.10 Kampala-Jinja'!D49,'21.10 Kampala-Jinja-24h'!D49,'23.10 KAMPALA-JINJA'!D49,'27.10 KAMPALA-JINJA'!D49)</f>
        <v>6.4285714285714288</v>
      </c>
      <c r="E49" s="49">
        <f>AVERAGE('17.10 Kampala-Jinja'!E49,'18.10 Kampala-Jinja'!E49,'19.10 Kampala-Jinja-24hr'!E49,'20.10 Kampala-Jinja'!E49,'21.10 Kampala-Jinja-24h'!E49,'23.10 KAMPALA-JINJA'!E49,'27.10 KAMPALA-JINJA'!E49)</f>
        <v>3.7142857142857144</v>
      </c>
      <c r="F49" s="49">
        <f>AVERAGE('17.10 Kampala-Jinja'!F49,'18.10 Kampala-Jinja'!F49,'19.10 Kampala-Jinja-24hr'!F49,'20.10 Kampala-Jinja'!F49,'21.10 Kampala-Jinja-24h'!F49,'23.10 KAMPALA-JINJA'!F49,'27.10 KAMPALA-JINJA'!F49)</f>
        <v>28.285714285714285</v>
      </c>
      <c r="G49" s="49">
        <f>AVERAGE('17.10 Kampala-Jinja'!G49,'18.10 Kampala-Jinja'!G49,'19.10 Kampala-Jinja-24hr'!G49,'20.10 Kampala-Jinja'!G49,'21.10 Kampala-Jinja-24h'!G49,'23.10 KAMPALA-JINJA'!G49,'27.10 KAMPALA-JINJA'!G49)</f>
        <v>2.1428571428571428</v>
      </c>
      <c r="H49" s="49">
        <f>AVERAGE('17.10 Kampala-Jinja'!H49,'18.10 Kampala-Jinja'!H49,'19.10 Kampala-Jinja-24hr'!H49,'20.10 Kampala-Jinja'!H49,'21.10 Kampala-Jinja-24h'!H49,'23.10 KAMPALA-JINJA'!H49,'27.10 KAMPALA-JINJA'!H49)</f>
        <v>0.42857142857142855</v>
      </c>
      <c r="I49" s="49">
        <f>AVERAGE('17.10 Kampala-Jinja'!I49,'18.10 Kampala-Jinja'!I49,'19.10 Kampala-Jinja-24hr'!I49,'20.10 Kampala-Jinja'!I49,'21.10 Kampala-Jinja-24h'!I49,'23.10 KAMPALA-JINJA'!I49,'27.10 KAMPALA-JINJA'!I49)</f>
        <v>2.8571428571428572</v>
      </c>
      <c r="J49" s="49">
        <f>AVERAGE('17.10 Kampala-Jinja'!J49,'18.10 Kampala-Jinja'!J49,'19.10 Kampala-Jinja-24hr'!J49,'20.10 Kampala-Jinja'!J49,'21.10 Kampala-Jinja-24h'!J49,'23.10 KAMPALA-JINJA'!J49,'27.10 KAMPALA-JINJA'!J49)</f>
        <v>5.1428571428571432</v>
      </c>
      <c r="K49" s="49">
        <f>AVERAGE('17.10 Kampala-Jinja'!K49,'18.10 Kampala-Jinja'!K49,'19.10 Kampala-Jinja-24hr'!K49,'20.10 Kampala-Jinja'!K49,'21.10 Kampala-Jinja-24h'!K49,'23.10 KAMPALA-JINJA'!K49,'27.10 KAMPALA-JINJA'!K49)</f>
        <v>1.1428571428571428</v>
      </c>
      <c r="L49" s="49">
        <f>AVERAGE('17.10 Kampala-Jinja'!L49,'18.10 Kampala-Jinja'!L49,'19.10 Kampala-Jinja-24hr'!L49,'20.10 Kampala-Jinja'!L49,'21.10 Kampala-Jinja-24h'!L49,'23.10 KAMPALA-JINJA'!L49,'27.10 KAMPALA-JINJA'!L49)</f>
        <v>17.857142857142858</v>
      </c>
      <c r="M49" s="49">
        <f>AVERAGE('17.10 Kampala-Jinja'!M49,'18.10 Kampala-Jinja'!M49,'19.10 Kampala-Jinja-24hr'!M49,'20.10 Kampala-Jinja'!M49,'21.10 Kampala-Jinja-24h'!M49,'23.10 KAMPALA-JINJA'!M49,'27.10 KAMPALA-JINJA'!M49)</f>
        <v>15.142857142857142</v>
      </c>
      <c r="N49" s="49">
        <f>AVERAGE('17.10 Kampala-Jinja'!N49,'18.10 Kampala-Jinja'!N49,'19.10 Kampala-Jinja-24hr'!N49,'20.10 Kampala-Jinja'!N49,'21.10 Kampala-Jinja-24h'!N49,'23.10 KAMPALA-JINJA'!N49,'27.10 KAMPALA-JINJA'!N49)</f>
        <v>0</v>
      </c>
      <c r="O49" s="15">
        <f t="shared" si="0"/>
        <v>81.857142857142861</v>
      </c>
      <c r="P49" s="15">
        <f t="shared" si="1"/>
        <v>97</v>
      </c>
      <c r="R49" s="8"/>
      <c r="T49"/>
    </row>
    <row r="50" spans="2:20" ht="23.1" customHeight="1" x14ac:dyDescent="0.25">
      <c r="B50" s="24" t="s">
        <v>77</v>
      </c>
      <c r="C50" s="49">
        <f>AVERAGE('17.10 Kampala-Jinja'!C50,'18.10 Kampala-Jinja'!C50,'19.10 Kampala-Jinja-24hr'!C50,'20.10 Kampala-Jinja'!C50,'21.10 Kampala-Jinja-24h'!C50,'23.10 KAMPALA-JINJA'!C50,'27.10 KAMPALA-JINJA'!C50)</f>
        <v>18</v>
      </c>
      <c r="D50" s="49">
        <f>AVERAGE('17.10 Kampala-Jinja'!D50,'18.10 Kampala-Jinja'!D50,'19.10 Kampala-Jinja-24hr'!D50,'20.10 Kampala-Jinja'!D50,'21.10 Kampala-Jinja-24h'!D50,'23.10 KAMPALA-JINJA'!D50,'27.10 KAMPALA-JINJA'!D50)</f>
        <v>7.5714285714285712</v>
      </c>
      <c r="E50" s="49">
        <f>AVERAGE('17.10 Kampala-Jinja'!E50,'18.10 Kampala-Jinja'!E50,'19.10 Kampala-Jinja-24hr'!E50,'20.10 Kampala-Jinja'!E50,'21.10 Kampala-Jinja-24h'!E50,'23.10 KAMPALA-JINJA'!E50,'27.10 KAMPALA-JINJA'!E50)</f>
        <v>3.8571428571428572</v>
      </c>
      <c r="F50" s="49">
        <f>AVERAGE('17.10 Kampala-Jinja'!F50,'18.10 Kampala-Jinja'!F50,'19.10 Kampala-Jinja-24hr'!F50,'20.10 Kampala-Jinja'!F50,'21.10 Kampala-Jinja-24h'!F50,'23.10 KAMPALA-JINJA'!F50,'27.10 KAMPALA-JINJA'!F50)</f>
        <v>40.714285714285715</v>
      </c>
      <c r="G50" s="49">
        <f>AVERAGE('17.10 Kampala-Jinja'!G50,'18.10 Kampala-Jinja'!G50,'19.10 Kampala-Jinja-24hr'!G50,'20.10 Kampala-Jinja'!G50,'21.10 Kampala-Jinja-24h'!G50,'23.10 KAMPALA-JINJA'!G50,'27.10 KAMPALA-JINJA'!G50)</f>
        <v>1.2857142857142858</v>
      </c>
      <c r="H50" s="49">
        <f>AVERAGE('17.10 Kampala-Jinja'!H50,'18.10 Kampala-Jinja'!H50,'19.10 Kampala-Jinja-24hr'!H50,'20.10 Kampala-Jinja'!H50,'21.10 Kampala-Jinja-24h'!H50,'23.10 KAMPALA-JINJA'!H50,'27.10 KAMPALA-JINJA'!H50)</f>
        <v>0.8571428571428571</v>
      </c>
      <c r="I50" s="49">
        <f>AVERAGE('17.10 Kampala-Jinja'!I50,'18.10 Kampala-Jinja'!I50,'19.10 Kampala-Jinja-24hr'!I50,'20.10 Kampala-Jinja'!I50,'21.10 Kampala-Jinja-24h'!I50,'23.10 KAMPALA-JINJA'!I50,'27.10 KAMPALA-JINJA'!I50)</f>
        <v>4</v>
      </c>
      <c r="J50" s="49">
        <f>AVERAGE('17.10 Kampala-Jinja'!J50,'18.10 Kampala-Jinja'!J50,'19.10 Kampala-Jinja-24hr'!J50,'20.10 Kampala-Jinja'!J50,'21.10 Kampala-Jinja-24h'!J50,'23.10 KAMPALA-JINJA'!J50,'27.10 KAMPALA-JINJA'!J50)</f>
        <v>6</v>
      </c>
      <c r="K50" s="49">
        <f>AVERAGE('17.10 Kampala-Jinja'!K50,'18.10 Kampala-Jinja'!K50,'19.10 Kampala-Jinja-24hr'!K50,'20.10 Kampala-Jinja'!K50,'21.10 Kampala-Jinja-24h'!K50,'23.10 KAMPALA-JINJA'!K50,'27.10 KAMPALA-JINJA'!K50)</f>
        <v>1.8571428571428572</v>
      </c>
      <c r="L50" s="49">
        <f>AVERAGE('17.10 Kampala-Jinja'!L50,'18.10 Kampala-Jinja'!L50,'19.10 Kampala-Jinja-24hr'!L50,'20.10 Kampala-Jinja'!L50,'21.10 Kampala-Jinja-24h'!L50,'23.10 KAMPALA-JINJA'!L50,'27.10 KAMPALA-JINJA'!L50)</f>
        <v>17.571428571428573</v>
      </c>
      <c r="M50" s="49">
        <f>AVERAGE('17.10 Kampala-Jinja'!M50,'18.10 Kampala-Jinja'!M50,'19.10 Kampala-Jinja-24hr'!M50,'20.10 Kampala-Jinja'!M50,'21.10 Kampala-Jinja-24h'!M50,'23.10 KAMPALA-JINJA'!M50,'27.10 KAMPALA-JINJA'!M50)</f>
        <v>18.428571428571427</v>
      </c>
      <c r="N50" s="49">
        <f>AVERAGE('17.10 Kampala-Jinja'!N50,'18.10 Kampala-Jinja'!N50,'19.10 Kampala-Jinja-24hr'!N50,'20.10 Kampala-Jinja'!N50,'21.10 Kampala-Jinja-24h'!N50,'23.10 KAMPALA-JINJA'!N50,'27.10 KAMPALA-JINJA'!N50)</f>
        <v>0.14285714285714285</v>
      </c>
      <c r="O50" s="15">
        <f t="shared" si="0"/>
        <v>101.85714285714286</v>
      </c>
      <c r="P50" s="15">
        <f t="shared" si="1"/>
        <v>120.28571428571429</v>
      </c>
      <c r="R50" s="8"/>
      <c r="T50"/>
    </row>
    <row r="51" spans="2:20" ht="23.1" customHeight="1" x14ac:dyDescent="0.25">
      <c r="B51" s="24" t="s">
        <v>78</v>
      </c>
      <c r="C51" s="49">
        <f>AVERAGE('17.10 Kampala-Jinja'!C51,'18.10 Kampala-Jinja'!C51,'19.10 Kampala-Jinja-24hr'!C51,'20.10 Kampala-Jinja'!C51,'21.10 Kampala-Jinja-24h'!C51,'23.10 KAMPALA-JINJA'!C51,'27.10 KAMPALA-JINJA'!C51)</f>
        <v>13.714285714285714</v>
      </c>
      <c r="D51" s="49">
        <f>AVERAGE('17.10 Kampala-Jinja'!D51,'18.10 Kampala-Jinja'!D51,'19.10 Kampala-Jinja-24hr'!D51,'20.10 Kampala-Jinja'!D51,'21.10 Kampala-Jinja-24h'!D51,'23.10 KAMPALA-JINJA'!D51,'27.10 KAMPALA-JINJA'!D51)</f>
        <v>4.8571428571428568</v>
      </c>
      <c r="E51" s="49">
        <f>AVERAGE('17.10 Kampala-Jinja'!E51,'18.10 Kampala-Jinja'!E51,'19.10 Kampala-Jinja-24hr'!E51,'20.10 Kampala-Jinja'!E51,'21.10 Kampala-Jinja-24h'!E51,'23.10 KAMPALA-JINJA'!E51,'27.10 KAMPALA-JINJA'!E51)</f>
        <v>3.4285714285714284</v>
      </c>
      <c r="F51" s="49">
        <f>AVERAGE('17.10 Kampala-Jinja'!F51,'18.10 Kampala-Jinja'!F51,'19.10 Kampala-Jinja-24hr'!F51,'20.10 Kampala-Jinja'!F51,'21.10 Kampala-Jinja-24h'!F51,'23.10 KAMPALA-JINJA'!F51,'27.10 KAMPALA-JINJA'!F51)</f>
        <v>29.142857142857142</v>
      </c>
      <c r="G51" s="49">
        <f>AVERAGE('17.10 Kampala-Jinja'!G51,'18.10 Kampala-Jinja'!G51,'19.10 Kampala-Jinja-24hr'!G51,'20.10 Kampala-Jinja'!G51,'21.10 Kampala-Jinja-24h'!G51,'23.10 KAMPALA-JINJA'!G51,'27.10 KAMPALA-JINJA'!G51)</f>
        <v>1</v>
      </c>
      <c r="H51" s="49">
        <f>AVERAGE('17.10 Kampala-Jinja'!H51,'18.10 Kampala-Jinja'!H51,'19.10 Kampala-Jinja-24hr'!H51,'20.10 Kampala-Jinja'!H51,'21.10 Kampala-Jinja-24h'!H51,'23.10 KAMPALA-JINJA'!H51,'27.10 KAMPALA-JINJA'!H51)</f>
        <v>1.1428571428571428</v>
      </c>
      <c r="I51" s="49">
        <f>AVERAGE('17.10 Kampala-Jinja'!I51,'18.10 Kampala-Jinja'!I51,'19.10 Kampala-Jinja-24hr'!I51,'20.10 Kampala-Jinja'!I51,'21.10 Kampala-Jinja-24h'!I51,'23.10 KAMPALA-JINJA'!I51,'27.10 KAMPALA-JINJA'!I51)</f>
        <v>6.1428571428571432</v>
      </c>
      <c r="J51" s="49">
        <f>AVERAGE('17.10 Kampala-Jinja'!J51,'18.10 Kampala-Jinja'!J51,'19.10 Kampala-Jinja-24hr'!J51,'20.10 Kampala-Jinja'!J51,'21.10 Kampala-Jinja-24h'!J51,'23.10 KAMPALA-JINJA'!J51,'27.10 KAMPALA-JINJA'!J51)</f>
        <v>5.8571428571428568</v>
      </c>
      <c r="K51" s="49">
        <f>AVERAGE('17.10 Kampala-Jinja'!K51,'18.10 Kampala-Jinja'!K51,'19.10 Kampala-Jinja-24hr'!K51,'20.10 Kampala-Jinja'!K51,'21.10 Kampala-Jinja-24h'!K51,'23.10 KAMPALA-JINJA'!K51,'27.10 KAMPALA-JINJA'!K51)</f>
        <v>1.8571428571428572</v>
      </c>
      <c r="L51" s="49">
        <f>AVERAGE('17.10 Kampala-Jinja'!L51,'18.10 Kampala-Jinja'!L51,'19.10 Kampala-Jinja-24hr'!L51,'20.10 Kampala-Jinja'!L51,'21.10 Kampala-Jinja-24h'!L51,'23.10 KAMPALA-JINJA'!L51,'27.10 KAMPALA-JINJA'!L51)</f>
        <v>15.142857142857142</v>
      </c>
      <c r="M51" s="49">
        <f>AVERAGE('17.10 Kampala-Jinja'!M51,'18.10 Kampala-Jinja'!M51,'19.10 Kampala-Jinja-24hr'!M51,'20.10 Kampala-Jinja'!M51,'21.10 Kampala-Jinja-24h'!M51,'23.10 KAMPALA-JINJA'!M51,'27.10 KAMPALA-JINJA'!M51)</f>
        <v>18.428571428571427</v>
      </c>
      <c r="N51" s="49">
        <f>AVERAGE('17.10 Kampala-Jinja'!N51,'18.10 Kampala-Jinja'!N51,'19.10 Kampala-Jinja-24hr'!N51,'20.10 Kampala-Jinja'!N51,'21.10 Kampala-Jinja-24h'!N51,'23.10 KAMPALA-JINJA'!N51,'27.10 KAMPALA-JINJA'!N51)</f>
        <v>0.14285714285714285</v>
      </c>
      <c r="O51" s="15">
        <f t="shared" si="0"/>
        <v>82.428571428571431</v>
      </c>
      <c r="P51" s="15">
        <f t="shared" si="1"/>
        <v>100.85714285714286</v>
      </c>
      <c r="R51" s="8"/>
      <c r="T51"/>
    </row>
    <row r="52" spans="2:20" ht="23.1" customHeight="1" x14ac:dyDescent="0.25">
      <c r="B52" s="24" t="s">
        <v>79</v>
      </c>
      <c r="C52" s="49">
        <f>AVERAGE('17.10 Kampala-Jinja'!C52,'18.10 Kampala-Jinja'!C52,'19.10 Kampala-Jinja-24hr'!C52,'20.10 Kampala-Jinja'!C52,'21.10 Kampala-Jinja-24h'!C52,'23.10 KAMPALA-JINJA'!C52,'27.10 KAMPALA-JINJA'!C52)</f>
        <v>13.285714285714286</v>
      </c>
      <c r="D52" s="49">
        <f>AVERAGE('17.10 Kampala-Jinja'!D52,'18.10 Kampala-Jinja'!D52,'19.10 Kampala-Jinja-24hr'!D52,'20.10 Kampala-Jinja'!D52,'21.10 Kampala-Jinja-24h'!D52,'23.10 KAMPALA-JINJA'!D52,'27.10 KAMPALA-JINJA'!D52)</f>
        <v>8.7142857142857135</v>
      </c>
      <c r="E52" s="49">
        <f>AVERAGE('17.10 Kampala-Jinja'!E52,'18.10 Kampala-Jinja'!E52,'19.10 Kampala-Jinja-24hr'!E52,'20.10 Kampala-Jinja'!E52,'21.10 Kampala-Jinja-24h'!E52,'23.10 KAMPALA-JINJA'!E52,'27.10 KAMPALA-JINJA'!E52)</f>
        <v>3.2857142857142856</v>
      </c>
      <c r="F52" s="49">
        <f>AVERAGE('17.10 Kampala-Jinja'!F52,'18.10 Kampala-Jinja'!F52,'19.10 Kampala-Jinja-24hr'!F52,'20.10 Kampala-Jinja'!F52,'21.10 Kampala-Jinja-24h'!F52,'23.10 KAMPALA-JINJA'!F52,'27.10 KAMPALA-JINJA'!F52)</f>
        <v>25.857142857142858</v>
      </c>
      <c r="G52" s="49">
        <f>AVERAGE('17.10 Kampala-Jinja'!G52,'18.10 Kampala-Jinja'!G52,'19.10 Kampala-Jinja-24hr'!G52,'20.10 Kampala-Jinja'!G52,'21.10 Kampala-Jinja-24h'!G52,'23.10 KAMPALA-JINJA'!G52,'27.10 KAMPALA-JINJA'!G52)</f>
        <v>1.4285714285714286</v>
      </c>
      <c r="H52" s="49">
        <f>AVERAGE('17.10 Kampala-Jinja'!H52,'18.10 Kampala-Jinja'!H52,'19.10 Kampala-Jinja-24hr'!H52,'20.10 Kampala-Jinja'!H52,'21.10 Kampala-Jinja-24h'!H52,'23.10 KAMPALA-JINJA'!H52,'27.10 KAMPALA-JINJA'!H52)</f>
        <v>0</v>
      </c>
      <c r="I52" s="49">
        <f>AVERAGE('17.10 Kampala-Jinja'!I52,'18.10 Kampala-Jinja'!I52,'19.10 Kampala-Jinja-24hr'!I52,'20.10 Kampala-Jinja'!I52,'21.10 Kampala-Jinja-24h'!I52,'23.10 KAMPALA-JINJA'!I52,'27.10 KAMPALA-JINJA'!I52)</f>
        <v>3.5714285714285716</v>
      </c>
      <c r="J52" s="49">
        <f>AVERAGE('17.10 Kampala-Jinja'!J52,'18.10 Kampala-Jinja'!J52,'19.10 Kampala-Jinja-24hr'!J52,'20.10 Kampala-Jinja'!J52,'21.10 Kampala-Jinja-24h'!J52,'23.10 KAMPALA-JINJA'!J52,'27.10 KAMPALA-JINJA'!J52)</f>
        <v>5.7142857142857144</v>
      </c>
      <c r="K52" s="49">
        <f>AVERAGE('17.10 Kampala-Jinja'!K52,'18.10 Kampala-Jinja'!K52,'19.10 Kampala-Jinja-24hr'!K52,'20.10 Kampala-Jinja'!K52,'21.10 Kampala-Jinja-24h'!K52,'23.10 KAMPALA-JINJA'!K52,'27.10 KAMPALA-JINJA'!K52)</f>
        <v>2.2857142857142856</v>
      </c>
      <c r="L52" s="49">
        <f>AVERAGE('17.10 Kampala-Jinja'!L52,'18.10 Kampala-Jinja'!L52,'19.10 Kampala-Jinja-24hr'!L52,'20.10 Kampala-Jinja'!L52,'21.10 Kampala-Jinja-24h'!L52,'23.10 KAMPALA-JINJA'!L52,'27.10 KAMPALA-JINJA'!L52)</f>
        <v>20.857142857142858</v>
      </c>
      <c r="M52" s="49">
        <f>AVERAGE('17.10 Kampala-Jinja'!M52,'18.10 Kampala-Jinja'!M52,'19.10 Kampala-Jinja-24hr'!M52,'20.10 Kampala-Jinja'!M52,'21.10 Kampala-Jinja-24h'!M52,'23.10 KAMPALA-JINJA'!M52,'27.10 KAMPALA-JINJA'!M52)</f>
        <v>21.285714285714285</v>
      </c>
      <c r="N52" s="49">
        <f>AVERAGE('17.10 Kampala-Jinja'!N52,'18.10 Kampala-Jinja'!N52,'19.10 Kampala-Jinja-24hr'!N52,'20.10 Kampala-Jinja'!N52,'21.10 Kampala-Jinja-24h'!N52,'23.10 KAMPALA-JINJA'!N52,'27.10 KAMPALA-JINJA'!N52)</f>
        <v>0.14285714285714285</v>
      </c>
      <c r="O52" s="15">
        <f t="shared" si="0"/>
        <v>85.142857142857139</v>
      </c>
      <c r="P52" s="15">
        <f t="shared" si="1"/>
        <v>106.42857142857142</v>
      </c>
      <c r="R52" s="8"/>
      <c r="T52"/>
    </row>
    <row r="53" spans="2:20" ht="23.1" customHeight="1" x14ac:dyDescent="0.25">
      <c r="B53" s="23" t="s">
        <v>80</v>
      </c>
      <c r="C53" s="49">
        <f>AVERAGE('17.10 Kampala-Jinja'!C53,'18.10 Kampala-Jinja'!C53,'19.10 Kampala-Jinja-24hr'!C53,'20.10 Kampala-Jinja'!C53,'21.10 Kampala-Jinja-24h'!C53,'23.10 KAMPALA-JINJA'!C53,'27.10 KAMPALA-JINJA'!C53)</f>
        <v>11.428571428571429</v>
      </c>
      <c r="D53" s="49">
        <f>AVERAGE('17.10 Kampala-Jinja'!D53,'18.10 Kampala-Jinja'!D53,'19.10 Kampala-Jinja-24hr'!D53,'20.10 Kampala-Jinja'!D53,'21.10 Kampala-Jinja-24h'!D53,'23.10 KAMPALA-JINJA'!D53,'27.10 KAMPALA-JINJA'!D53)</f>
        <v>6.2857142857142856</v>
      </c>
      <c r="E53" s="49">
        <f>AVERAGE('17.10 Kampala-Jinja'!E53,'18.10 Kampala-Jinja'!E53,'19.10 Kampala-Jinja-24hr'!E53,'20.10 Kampala-Jinja'!E53,'21.10 Kampala-Jinja-24h'!E53,'23.10 KAMPALA-JINJA'!E53,'27.10 KAMPALA-JINJA'!E53)</f>
        <v>4.1428571428571432</v>
      </c>
      <c r="F53" s="49">
        <f>AVERAGE('17.10 Kampala-Jinja'!F53,'18.10 Kampala-Jinja'!F53,'19.10 Kampala-Jinja-24hr'!F53,'20.10 Kampala-Jinja'!F53,'21.10 Kampala-Jinja-24h'!F53,'23.10 KAMPALA-JINJA'!F53,'27.10 KAMPALA-JINJA'!F53)</f>
        <v>31.142857142857142</v>
      </c>
      <c r="G53" s="49">
        <f>AVERAGE('17.10 Kampala-Jinja'!G53,'18.10 Kampala-Jinja'!G53,'19.10 Kampala-Jinja-24hr'!G53,'20.10 Kampala-Jinja'!G53,'21.10 Kampala-Jinja-24h'!G53,'23.10 KAMPALA-JINJA'!G53,'27.10 KAMPALA-JINJA'!G53)</f>
        <v>1</v>
      </c>
      <c r="H53" s="49">
        <f>AVERAGE('17.10 Kampala-Jinja'!H53,'18.10 Kampala-Jinja'!H53,'19.10 Kampala-Jinja-24hr'!H53,'20.10 Kampala-Jinja'!H53,'21.10 Kampala-Jinja-24h'!H53,'23.10 KAMPALA-JINJA'!H53,'27.10 KAMPALA-JINJA'!H53)</f>
        <v>0.14285714285714285</v>
      </c>
      <c r="I53" s="49">
        <f>AVERAGE('17.10 Kampala-Jinja'!I53,'18.10 Kampala-Jinja'!I53,'19.10 Kampala-Jinja-24hr'!I53,'20.10 Kampala-Jinja'!I53,'21.10 Kampala-Jinja-24h'!I53,'23.10 KAMPALA-JINJA'!I53,'27.10 KAMPALA-JINJA'!I53)</f>
        <v>4.2857142857142856</v>
      </c>
      <c r="J53" s="49">
        <f>AVERAGE('17.10 Kampala-Jinja'!J53,'18.10 Kampala-Jinja'!J53,'19.10 Kampala-Jinja-24hr'!J53,'20.10 Kampala-Jinja'!J53,'21.10 Kampala-Jinja-24h'!J53,'23.10 KAMPALA-JINJA'!J53,'27.10 KAMPALA-JINJA'!J53)</f>
        <v>7</v>
      </c>
      <c r="K53" s="49">
        <f>AVERAGE('17.10 Kampala-Jinja'!K53,'18.10 Kampala-Jinja'!K53,'19.10 Kampala-Jinja-24hr'!K53,'20.10 Kampala-Jinja'!K53,'21.10 Kampala-Jinja-24h'!K53,'23.10 KAMPALA-JINJA'!K53,'27.10 KAMPALA-JINJA'!K53)</f>
        <v>1.8571428571428572</v>
      </c>
      <c r="L53" s="49">
        <f>AVERAGE('17.10 Kampala-Jinja'!L53,'18.10 Kampala-Jinja'!L53,'19.10 Kampala-Jinja-24hr'!L53,'20.10 Kampala-Jinja'!L53,'21.10 Kampala-Jinja-24h'!L53,'23.10 KAMPALA-JINJA'!L53,'27.10 KAMPALA-JINJA'!L53)</f>
        <v>23.142857142857142</v>
      </c>
      <c r="M53" s="49">
        <f>AVERAGE('17.10 Kampala-Jinja'!M53,'18.10 Kampala-Jinja'!M53,'19.10 Kampala-Jinja-24hr'!M53,'20.10 Kampala-Jinja'!M53,'21.10 Kampala-Jinja-24h'!M53,'23.10 KAMPALA-JINJA'!M53,'27.10 KAMPALA-JINJA'!M53)</f>
        <v>19.142857142857142</v>
      </c>
      <c r="N53" s="49">
        <f>AVERAGE('17.10 Kampala-Jinja'!N53,'18.10 Kampala-Jinja'!N53,'19.10 Kampala-Jinja-24hr'!N53,'20.10 Kampala-Jinja'!N53,'21.10 Kampala-Jinja-24h'!N53,'23.10 KAMPALA-JINJA'!N53,'27.10 KAMPALA-JINJA'!N53)</f>
        <v>0</v>
      </c>
      <c r="O53" s="15">
        <f t="shared" si="0"/>
        <v>90.428571428571431</v>
      </c>
      <c r="P53" s="15">
        <f t="shared" si="1"/>
        <v>109.57142857142857</v>
      </c>
      <c r="R53" s="8"/>
      <c r="T53"/>
    </row>
    <row r="54" spans="2:20" ht="23.1" customHeight="1" x14ac:dyDescent="0.25">
      <c r="B54" s="23" t="s">
        <v>81</v>
      </c>
      <c r="C54" s="49">
        <f>AVERAGE('17.10 Kampala-Jinja'!C54,'18.10 Kampala-Jinja'!C54,'19.10 Kampala-Jinja-24hr'!C54,'20.10 Kampala-Jinja'!C54,'21.10 Kampala-Jinja-24h'!C54,'23.10 KAMPALA-JINJA'!C54,'27.10 KAMPALA-JINJA'!C54)</f>
        <v>16</v>
      </c>
      <c r="D54" s="49">
        <f>AVERAGE('17.10 Kampala-Jinja'!D54,'18.10 Kampala-Jinja'!D54,'19.10 Kampala-Jinja-24hr'!D54,'20.10 Kampala-Jinja'!D54,'21.10 Kampala-Jinja-24h'!D54,'23.10 KAMPALA-JINJA'!D54,'27.10 KAMPALA-JINJA'!D54)</f>
        <v>7.2857142857142856</v>
      </c>
      <c r="E54" s="49">
        <f>AVERAGE('17.10 Kampala-Jinja'!E54,'18.10 Kampala-Jinja'!E54,'19.10 Kampala-Jinja-24hr'!E54,'20.10 Kampala-Jinja'!E54,'21.10 Kampala-Jinja-24h'!E54,'23.10 KAMPALA-JINJA'!E54,'27.10 KAMPALA-JINJA'!E54)</f>
        <v>4.8571428571428568</v>
      </c>
      <c r="F54" s="49">
        <f>AVERAGE('17.10 Kampala-Jinja'!F54,'18.10 Kampala-Jinja'!F54,'19.10 Kampala-Jinja-24hr'!F54,'20.10 Kampala-Jinja'!F54,'21.10 Kampala-Jinja-24h'!F54,'23.10 KAMPALA-JINJA'!F54,'27.10 KAMPALA-JINJA'!F54)</f>
        <v>37.857142857142854</v>
      </c>
      <c r="G54" s="49">
        <f>AVERAGE('17.10 Kampala-Jinja'!G54,'18.10 Kampala-Jinja'!G54,'19.10 Kampala-Jinja-24hr'!G54,'20.10 Kampala-Jinja'!G54,'21.10 Kampala-Jinja-24h'!G54,'23.10 KAMPALA-JINJA'!G54,'27.10 KAMPALA-JINJA'!G54)</f>
        <v>1.5714285714285714</v>
      </c>
      <c r="H54" s="49">
        <f>AVERAGE('17.10 Kampala-Jinja'!H54,'18.10 Kampala-Jinja'!H54,'19.10 Kampala-Jinja-24hr'!H54,'20.10 Kampala-Jinja'!H54,'21.10 Kampala-Jinja-24h'!H54,'23.10 KAMPALA-JINJA'!H54,'27.10 KAMPALA-JINJA'!H54)</f>
        <v>1.4285714285714286</v>
      </c>
      <c r="I54" s="49">
        <f>AVERAGE('17.10 Kampala-Jinja'!I54,'18.10 Kampala-Jinja'!I54,'19.10 Kampala-Jinja-24hr'!I54,'20.10 Kampala-Jinja'!I54,'21.10 Kampala-Jinja-24h'!I54,'23.10 KAMPALA-JINJA'!I54,'27.10 KAMPALA-JINJA'!I54)</f>
        <v>4</v>
      </c>
      <c r="J54" s="49">
        <f>AVERAGE('17.10 Kampala-Jinja'!J54,'18.10 Kampala-Jinja'!J54,'19.10 Kampala-Jinja-24hr'!J54,'20.10 Kampala-Jinja'!J54,'21.10 Kampala-Jinja-24h'!J54,'23.10 KAMPALA-JINJA'!J54,'27.10 KAMPALA-JINJA'!J54)</f>
        <v>7</v>
      </c>
      <c r="K54" s="49">
        <f>AVERAGE('17.10 Kampala-Jinja'!K54,'18.10 Kampala-Jinja'!K54,'19.10 Kampala-Jinja-24hr'!K54,'20.10 Kampala-Jinja'!K54,'21.10 Kampala-Jinja-24h'!K54,'23.10 KAMPALA-JINJA'!K54,'27.10 KAMPALA-JINJA'!K54)</f>
        <v>2.1428571428571428</v>
      </c>
      <c r="L54" s="49">
        <f>AVERAGE('17.10 Kampala-Jinja'!L54,'18.10 Kampala-Jinja'!L54,'19.10 Kampala-Jinja-24hr'!L54,'20.10 Kampala-Jinja'!L54,'21.10 Kampala-Jinja-24h'!L54,'23.10 KAMPALA-JINJA'!L54,'27.10 KAMPALA-JINJA'!L54)</f>
        <v>21.285714285714285</v>
      </c>
      <c r="M54" s="49">
        <f>AVERAGE('17.10 Kampala-Jinja'!M54,'18.10 Kampala-Jinja'!M54,'19.10 Kampala-Jinja-24hr'!M54,'20.10 Kampala-Jinja'!M54,'21.10 Kampala-Jinja-24h'!M54,'23.10 KAMPALA-JINJA'!M54,'27.10 KAMPALA-JINJA'!M54)</f>
        <v>16.571428571428573</v>
      </c>
      <c r="N54" s="49">
        <f>AVERAGE('17.10 Kampala-Jinja'!N54,'18.10 Kampala-Jinja'!N54,'19.10 Kampala-Jinja-24hr'!N54,'20.10 Kampala-Jinja'!N54,'21.10 Kampala-Jinja-24h'!N54,'23.10 KAMPALA-JINJA'!N54,'27.10 KAMPALA-JINJA'!N54)</f>
        <v>0.2857142857142857</v>
      </c>
      <c r="O54" s="15">
        <f t="shared" si="0"/>
        <v>103.71428571428571</v>
      </c>
      <c r="P54" s="15">
        <f t="shared" si="1"/>
        <v>120.28571428571428</v>
      </c>
      <c r="R54" s="8"/>
      <c r="T54"/>
    </row>
    <row r="55" spans="2:20" ht="23.1" customHeight="1" x14ac:dyDescent="0.25">
      <c r="B55" s="23" t="s">
        <v>82</v>
      </c>
      <c r="C55" s="49">
        <f>AVERAGE('17.10 Kampala-Jinja'!C55,'18.10 Kampala-Jinja'!C55,'19.10 Kampala-Jinja-24hr'!C55,'20.10 Kampala-Jinja'!C55,'21.10 Kampala-Jinja-24h'!C55,'23.10 KAMPALA-JINJA'!C55,'27.10 KAMPALA-JINJA'!C55)</f>
        <v>17.285714285714285</v>
      </c>
      <c r="D55" s="49">
        <f>AVERAGE('17.10 Kampala-Jinja'!D55,'18.10 Kampala-Jinja'!D55,'19.10 Kampala-Jinja-24hr'!D55,'20.10 Kampala-Jinja'!D55,'21.10 Kampala-Jinja-24h'!D55,'23.10 KAMPALA-JINJA'!D55,'27.10 KAMPALA-JINJA'!D55)</f>
        <v>7.7142857142857144</v>
      </c>
      <c r="E55" s="49">
        <f>AVERAGE('17.10 Kampala-Jinja'!E55,'18.10 Kampala-Jinja'!E55,'19.10 Kampala-Jinja-24hr'!E55,'20.10 Kampala-Jinja'!E55,'21.10 Kampala-Jinja-24h'!E55,'23.10 KAMPALA-JINJA'!E55,'27.10 KAMPALA-JINJA'!E55)</f>
        <v>6</v>
      </c>
      <c r="F55" s="49">
        <f>AVERAGE('17.10 Kampala-Jinja'!F55,'18.10 Kampala-Jinja'!F55,'19.10 Kampala-Jinja-24hr'!F55,'20.10 Kampala-Jinja'!F55,'21.10 Kampala-Jinja-24h'!F55,'23.10 KAMPALA-JINJA'!F55,'27.10 KAMPALA-JINJA'!F55)</f>
        <v>35.857142857142854</v>
      </c>
      <c r="G55" s="49">
        <f>AVERAGE('17.10 Kampala-Jinja'!G55,'18.10 Kampala-Jinja'!G55,'19.10 Kampala-Jinja-24hr'!G55,'20.10 Kampala-Jinja'!G55,'21.10 Kampala-Jinja-24h'!G55,'23.10 KAMPALA-JINJA'!G55,'27.10 KAMPALA-JINJA'!G55)</f>
        <v>0.5714285714285714</v>
      </c>
      <c r="H55" s="49">
        <f>AVERAGE('17.10 Kampala-Jinja'!H55,'18.10 Kampala-Jinja'!H55,'19.10 Kampala-Jinja-24hr'!H55,'20.10 Kampala-Jinja'!H55,'21.10 Kampala-Jinja-24h'!H55,'23.10 KAMPALA-JINJA'!H55,'27.10 KAMPALA-JINJA'!H55)</f>
        <v>1</v>
      </c>
      <c r="I55" s="49">
        <f>AVERAGE('17.10 Kampala-Jinja'!I55,'18.10 Kampala-Jinja'!I55,'19.10 Kampala-Jinja-24hr'!I55,'20.10 Kampala-Jinja'!I55,'21.10 Kampala-Jinja-24h'!I55,'23.10 KAMPALA-JINJA'!I55,'27.10 KAMPALA-JINJA'!I55)</f>
        <v>6.8571428571428568</v>
      </c>
      <c r="J55" s="49">
        <f>AVERAGE('17.10 Kampala-Jinja'!J55,'18.10 Kampala-Jinja'!J55,'19.10 Kampala-Jinja-24hr'!J55,'20.10 Kampala-Jinja'!J55,'21.10 Kampala-Jinja-24h'!J55,'23.10 KAMPALA-JINJA'!J55,'27.10 KAMPALA-JINJA'!J55)</f>
        <v>6.2857142857142856</v>
      </c>
      <c r="K55" s="49">
        <f>AVERAGE('17.10 Kampala-Jinja'!K55,'18.10 Kampala-Jinja'!K55,'19.10 Kampala-Jinja-24hr'!K55,'20.10 Kampala-Jinja'!K55,'21.10 Kampala-Jinja-24h'!K55,'23.10 KAMPALA-JINJA'!K55,'27.10 KAMPALA-JINJA'!K55)</f>
        <v>2</v>
      </c>
      <c r="L55" s="49">
        <f>AVERAGE('17.10 Kampala-Jinja'!L55,'18.10 Kampala-Jinja'!L55,'19.10 Kampala-Jinja-24hr'!L55,'20.10 Kampala-Jinja'!L55,'21.10 Kampala-Jinja-24h'!L55,'23.10 KAMPALA-JINJA'!L55,'27.10 KAMPALA-JINJA'!L55)</f>
        <v>22.714285714285715</v>
      </c>
      <c r="M55" s="49">
        <f>AVERAGE('17.10 Kampala-Jinja'!M55,'18.10 Kampala-Jinja'!M55,'19.10 Kampala-Jinja-24hr'!M55,'20.10 Kampala-Jinja'!M55,'21.10 Kampala-Jinja-24h'!M55,'23.10 KAMPALA-JINJA'!M55,'27.10 KAMPALA-JINJA'!M55)</f>
        <v>20.714285714285715</v>
      </c>
      <c r="N55" s="49">
        <f>AVERAGE('17.10 Kampala-Jinja'!N55,'18.10 Kampala-Jinja'!N55,'19.10 Kampala-Jinja-24hr'!N55,'20.10 Kampala-Jinja'!N55,'21.10 Kampala-Jinja-24h'!N55,'23.10 KAMPALA-JINJA'!N55,'27.10 KAMPALA-JINJA'!N55)</f>
        <v>0</v>
      </c>
      <c r="O55" s="15">
        <f t="shared" si="0"/>
        <v>106.28571428571431</v>
      </c>
      <c r="P55" s="15">
        <f t="shared" si="1"/>
        <v>127.00000000000003</v>
      </c>
      <c r="R55" s="8"/>
      <c r="T55"/>
    </row>
    <row r="56" spans="2:20" ht="23.1" customHeight="1" x14ac:dyDescent="0.25">
      <c r="B56" s="23" t="s">
        <v>83</v>
      </c>
      <c r="C56" s="49">
        <f>AVERAGE('17.10 Kampala-Jinja'!C56,'18.10 Kampala-Jinja'!C56,'19.10 Kampala-Jinja-24hr'!C56,'20.10 Kampala-Jinja'!C56,'21.10 Kampala-Jinja-24h'!C56,'23.10 KAMPALA-JINJA'!C56,'27.10 KAMPALA-JINJA'!C56)</f>
        <v>13.285714285714286</v>
      </c>
      <c r="D56" s="49">
        <f>AVERAGE('17.10 Kampala-Jinja'!D56,'18.10 Kampala-Jinja'!D56,'19.10 Kampala-Jinja-24hr'!D56,'20.10 Kampala-Jinja'!D56,'21.10 Kampala-Jinja-24h'!D56,'23.10 KAMPALA-JINJA'!D56,'27.10 KAMPALA-JINJA'!D56)</f>
        <v>6.8571428571428568</v>
      </c>
      <c r="E56" s="49">
        <f>AVERAGE('17.10 Kampala-Jinja'!E56,'18.10 Kampala-Jinja'!E56,'19.10 Kampala-Jinja-24hr'!E56,'20.10 Kampala-Jinja'!E56,'21.10 Kampala-Jinja-24h'!E56,'23.10 KAMPALA-JINJA'!E56,'27.10 KAMPALA-JINJA'!E56)</f>
        <v>4.1428571428571432</v>
      </c>
      <c r="F56" s="49">
        <f>AVERAGE('17.10 Kampala-Jinja'!F56,'18.10 Kampala-Jinja'!F56,'19.10 Kampala-Jinja-24hr'!F56,'20.10 Kampala-Jinja'!F56,'21.10 Kampala-Jinja-24h'!F56,'23.10 KAMPALA-JINJA'!F56,'27.10 KAMPALA-JINJA'!F56)</f>
        <v>25.857142857142858</v>
      </c>
      <c r="G56" s="49">
        <f>AVERAGE('17.10 Kampala-Jinja'!G56,'18.10 Kampala-Jinja'!G56,'19.10 Kampala-Jinja-24hr'!G56,'20.10 Kampala-Jinja'!G56,'21.10 Kampala-Jinja-24h'!G56,'23.10 KAMPALA-JINJA'!G56,'27.10 KAMPALA-JINJA'!G56)</f>
        <v>1.2857142857142858</v>
      </c>
      <c r="H56" s="49">
        <f>AVERAGE('17.10 Kampala-Jinja'!H56,'18.10 Kampala-Jinja'!H56,'19.10 Kampala-Jinja-24hr'!H56,'20.10 Kampala-Jinja'!H56,'21.10 Kampala-Jinja-24h'!H56,'23.10 KAMPALA-JINJA'!H56,'27.10 KAMPALA-JINJA'!H56)</f>
        <v>0.2857142857142857</v>
      </c>
      <c r="I56" s="49">
        <f>AVERAGE('17.10 Kampala-Jinja'!I56,'18.10 Kampala-Jinja'!I56,'19.10 Kampala-Jinja-24hr'!I56,'20.10 Kampala-Jinja'!I56,'21.10 Kampala-Jinja-24h'!I56,'23.10 KAMPALA-JINJA'!I56,'27.10 KAMPALA-JINJA'!I56)</f>
        <v>5.1428571428571432</v>
      </c>
      <c r="J56" s="49">
        <f>AVERAGE('17.10 Kampala-Jinja'!J56,'18.10 Kampala-Jinja'!J56,'19.10 Kampala-Jinja-24hr'!J56,'20.10 Kampala-Jinja'!J56,'21.10 Kampala-Jinja-24h'!J56,'23.10 KAMPALA-JINJA'!J56,'27.10 KAMPALA-JINJA'!J56)</f>
        <v>5</v>
      </c>
      <c r="K56" s="49">
        <f>AVERAGE('17.10 Kampala-Jinja'!K56,'18.10 Kampala-Jinja'!K56,'19.10 Kampala-Jinja-24hr'!K56,'20.10 Kampala-Jinja'!K56,'21.10 Kampala-Jinja-24h'!K56,'23.10 KAMPALA-JINJA'!K56,'27.10 KAMPALA-JINJA'!K56)</f>
        <v>1.7142857142857142</v>
      </c>
      <c r="L56" s="49">
        <f>AVERAGE('17.10 Kampala-Jinja'!L56,'18.10 Kampala-Jinja'!L56,'19.10 Kampala-Jinja-24hr'!L56,'20.10 Kampala-Jinja'!L56,'21.10 Kampala-Jinja-24h'!L56,'23.10 KAMPALA-JINJA'!L56,'27.10 KAMPALA-JINJA'!L56)</f>
        <v>23.285714285714285</v>
      </c>
      <c r="M56" s="49">
        <f>AVERAGE('17.10 Kampala-Jinja'!M56,'18.10 Kampala-Jinja'!M56,'19.10 Kampala-Jinja-24hr'!M56,'20.10 Kampala-Jinja'!M56,'21.10 Kampala-Jinja-24h'!M56,'23.10 KAMPALA-JINJA'!M56,'27.10 KAMPALA-JINJA'!M56)</f>
        <v>18.428571428571427</v>
      </c>
      <c r="N56" s="49">
        <f>AVERAGE('17.10 Kampala-Jinja'!N56,'18.10 Kampala-Jinja'!N56,'19.10 Kampala-Jinja-24hr'!N56,'20.10 Kampala-Jinja'!N56,'21.10 Kampala-Jinja-24h'!N56,'23.10 KAMPALA-JINJA'!N56,'27.10 KAMPALA-JINJA'!N56)</f>
        <v>0</v>
      </c>
      <c r="O56" s="15">
        <f t="shared" si="0"/>
        <v>86.857142857142861</v>
      </c>
      <c r="P56" s="15">
        <f t="shared" si="1"/>
        <v>105.28571428571429</v>
      </c>
      <c r="R56" s="8"/>
      <c r="T56"/>
    </row>
    <row r="57" spans="2:20" ht="23.1" customHeight="1" x14ac:dyDescent="0.25">
      <c r="B57" s="23" t="s">
        <v>84</v>
      </c>
      <c r="C57" s="49">
        <f>AVERAGE('17.10 Kampala-Jinja'!C57,'18.10 Kampala-Jinja'!C57,'19.10 Kampala-Jinja-24hr'!C57,'20.10 Kampala-Jinja'!C57,'21.10 Kampala-Jinja-24h'!C57,'23.10 KAMPALA-JINJA'!C57,'27.10 KAMPALA-JINJA'!C57)</f>
        <v>10.571428571428571</v>
      </c>
      <c r="D57" s="49">
        <f>AVERAGE('17.10 Kampala-Jinja'!D57,'18.10 Kampala-Jinja'!D57,'19.10 Kampala-Jinja-24hr'!D57,'20.10 Kampala-Jinja'!D57,'21.10 Kampala-Jinja-24h'!D57,'23.10 KAMPALA-JINJA'!D57,'27.10 KAMPALA-JINJA'!D57)</f>
        <v>4</v>
      </c>
      <c r="E57" s="49">
        <f>AVERAGE('17.10 Kampala-Jinja'!E57,'18.10 Kampala-Jinja'!E57,'19.10 Kampala-Jinja-24hr'!E57,'20.10 Kampala-Jinja'!E57,'21.10 Kampala-Jinja-24h'!E57,'23.10 KAMPALA-JINJA'!E57,'27.10 KAMPALA-JINJA'!E57)</f>
        <v>2.4285714285714284</v>
      </c>
      <c r="F57" s="49">
        <f>AVERAGE('17.10 Kampala-Jinja'!F57,'18.10 Kampala-Jinja'!F57,'19.10 Kampala-Jinja-24hr'!F57,'20.10 Kampala-Jinja'!F57,'21.10 Kampala-Jinja-24h'!F57,'23.10 KAMPALA-JINJA'!F57,'27.10 KAMPALA-JINJA'!F57)</f>
        <v>23.714285714285715</v>
      </c>
      <c r="G57" s="49">
        <f>AVERAGE('17.10 Kampala-Jinja'!G57,'18.10 Kampala-Jinja'!G57,'19.10 Kampala-Jinja-24hr'!G57,'20.10 Kampala-Jinja'!G57,'21.10 Kampala-Jinja-24h'!G57,'23.10 KAMPALA-JINJA'!G57,'27.10 KAMPALA-JINJA'!G57)</f>
        <v>1.2857142857142858</v>
      </c>
      <c r="H57" s="49">
        <f>AVERAGE('17.10 Kampala-Jinja'!H57,'18.10 Kampala-Jinja'!H57,'19.10 Kampala-Jinja-24hr'!H57,'20.10 Kampala-Jinja'!H57,'21.10 Kampala-Jinja-24h'!H57,'23.10 KAMPALA-JINJA'!H57,'27.10 KAMPALA-JINJA'!H57)</f>
        <v>1.2857142857142858</v>
      </c>
      <c r="I57" s="49">
        <f>AVERAGE('17.10 Kampala-Jinja'!I57,'18.10 Kampala-Jinja'!I57,'19.10 Kampala-Jinja-24hr'!I57,'20.10 Kampala-Jinja'!I57,'21.10 Kampala-Jinja-24h'!I57,'23.10 KAMPALA-JINJA'!I57,'27.10 KAMPALA-JINJA'!I57)</f>
        <v>2.1428571428571428</v>
      </c>
      <c r="J57" s="49">
        <f>AVERAGE('17.10 Kampala-Jinja'!J57,'18.10 Kampala-Jinja'!J57,'19.10 Kampala-Jinja-24hr'!J57,'20.10 Kampala-Jinja'!J57,'21.10 Kampala-Jinja-24h'!J57,'23.10 KAMPALA-JINJA'!J57,'27.10 KAMPALA-JINJA'!J57)</f>
        <v>2.8571428571428572</v>
      </c>
      <c r="K57" s="49">
        <f>AVERAGE('17.10 Kampala-Jinja'!K57,'18.10 Kampala-Jinja'!K57,'19.10 Kampala-Jinja-24hr'!K57,'20.10 Kampala-Jinja'!K57,'21.10 Kampala-Jinja-24h'!K57,'23.10 KAMPALA-JINJA'!K57,'27.10 KAMPALA-JINJA'!K57)</f>
        <v>1.1428571428571428</v>
      </c>
      <c r="L57" s="49">
        <f>AVERAGE('17.10 Kampala-Jinja'!L57,'18.10 Kampala-Jinja'!L57,'19.10 Kampala-Jinja-24hr'!L57,'20.10 Kampala-Jinja'!L57,'21.10 Kampala-Jinja-24h'!L57,'23.10 KAMPALA-JINJA'!L57,'27.10 KAMPALA-JINJA'!L57)</f>
        <v>16.285714285714285</v>
      </c>
      <c r="M57" s="49">
        <f>AVERAGE('17.10 Kampala-Jinja'!M57,'18.10 Kampala-Jinja'!M57,'19.10 Kampala-Jinja-24hr'!M57,'20.10 Kampala-Jinja'!M57,'21.10 Kampala-Jinja-24h'!M57,'23.10 KAMPALA-JINJA'!M57,'27.10 KAMPALA-JINJA'!M57)</f>
        <v>20.857142857142858</v>
      </c>
      <c r="N57" s="49">
        <f>AVERAGE('17.10 Kampala-Jinja'!N57,'18.10 Kampala-Jinja'!N57,'19.10 Kampala-Jinja-24hr'!N57,'20.10 Kampala-Jinja'!N57,'21.10 Kampala-Jinja-24h'!N57,'23.10 KAMPALA-JINJA'!N57,'27.10 KAMPALA-JINJA'!N57)</f>
        <v>0</v>
      </c>
      <c r="O57" s="15">
        <f t="shared" si="0"/>
        <v>65.714285714285722</v>
      </c>
      <c r="P57" s="15">
        <f t="shared" si="1"/>
        <v>86.571428571428584</v>
      </c>
      <c r="R57" s="8"/>
      <c r="T57"/>
    </row>
    <row r="58" spans="2:20" ht="23.1" customHeight="1" x14ac:dyDescent="0.25">
      <c r="B58" s="23" t="s">
        <v>99</v>
      </c>
      <c r="C58" s="49">
        <f>AVERAGE('19.10 Kampala-Jinja-24hr'!C58,'21.10 Kampala-Jinja-24h'!C58)</f>
        <v>16</v>
      </c>
      <c r="D58" s="49">
        <f>AVERAGE('19.10 Kampala-Jinja-24hr'!D58,'21.10 Kampala-Jinja-24h'!D58)</f>
        <v>2</v>
      </c>
      <c r="E58" s="49">
        <f>AVERAGE('19.10 Kampala-Jinja-24hr'!E58,'21.10 Kampala-Jinja-24h'!E58)</f>
        <v>1</v>
      </c>
      <c r="F58" s="49">
        <f>AVERAGE('19.10 Kampala-Jinja-24hr'!F58,'21.10 Kampala-Jinja-24h'!F58)</f>
        <v>14</v>
      </c>
      <c r="G58" s="49">
        <f>AVERAGE('19.10 Kampala-Jinja-24hr'!G58,'21.10 Kampala-Jinja-24h'!G58)</f>
        <v>0.5</v>
      </c>
      <c r="H58" s="49">
        <f>AVERAGE('19.10 Kampala-Jinja-24hr'!H58,'21.10 Kampala-Jinja-24h'!H58)</f>
        <v>0</v>
      </c>
      <c r="I58" s="49">
        <f>AVERAGE('19.10 Kampala-Jinja-24hr'!I58,'21.10 Kampala-Jinja-24h'!I58)</f>
        <v>4.5</v>
      </c>
      <c r="J58" s="49">
        <f>AVERAGE('19.10 Kampala-Jinja-24hr'!J58,'21.10 Kampala-Jinja-24h'!J58)</f>
        <v>2</v>
      </c>
      <c r="K58" s="49">
        <f>AVERAGE('19.10 Kampala-Jinja-24hr'!K58,'21.10 Kampala-Jinja-24h'!K58)</f>
        <v>1.5</v>
      </c>
      <c r="L58" s="49">
        <f>AVERAGE('19.10 Kampala-Jinja-24hr'!L58,'21.10 Kampala-Jinja-24h'!L58)</f>
        <v>9.5</v>
      </c>
      <c r="M58" s="49">
        <f>AVERAGE('19.10 Kampala-Jinja-24hr'!M58,'21.10 Kampala-Jinja-24h'!M58)</f>
        <v>16</v>
      </c>
      <c r="N58" s="49">
        <f>AVERAGE('19.10 Kampala-Jinja-24hr'!N58,'21.10 Kampala-Jinja-24h'!N58)</f>
        <v>0</v>
      </c>
      <c r="O58" s="15">
        <f t="shared" si="0"/>
        <v>51</v>
      </c>
      <c r="P58" s="15">
        <f t="shared" si="1"/>
        <v>67</v>
      </c>
      <c r="R58" s="8"/>
      <c r="T58"/>
    </row>
    <row r="59" spans="2:20" ht="23.1" customHeight="1" x14ac:dyDescent="0.25">
      <c r="B59" s="23" t="s">
        <v>100</v>
      </c>
      <c r="C59" s="49">
        <f>AVERAGE('19.10 Kampala-Jinja-24hr'!C59,'21.10 Kampala-Jinja-24h'!C59)</f>
        <v>17.5</v>
      </c>
      <c r="D59" s="49">
        <f>AVERAGE('19.10 Kampala-Jinja-24hr'!D59,'21.10 Kampala-Jinja-24h'!D59)</f>
        <v>7.5</v>
      </c>
      <c r="E59" s="49">
        <f>AVERAGE('19.10 Kampala-Jinja-24hr'!E59,'21.10 Kampala-Jinja-24h'!E59)</f>
        <v>3.5</v>
      </c>
      <c r="F59" s="49">
        <f>AVERAGE('19.10 Kampala-Jinja-24hr'!F59,'21.10 Kampala-Jinja-24h'!F59)</f>
        <v>31.5</v>
      </c>
      <c r="G59" s="49">
        <f>AVERAGE('19.10 Kampala-Jinja-24hr'!G59,'21.10 Kampala-Jinja-24h'!G59)</f>
        <v>0.5</v>
      </c>
      <c r="H59" s="49">
        <f>AVERAGE('19.10 Kampala-Jinja-24hr'!H59,'21.10 Kampala-Jinja-24h'!H59)</f>
        <v>0.5</v>
      </c>
      <c r="I59" s="49">
        <f>AVERAGE('19.10 Kampala-Jinja-24hr'!I59,'21.10 Kampala-Jinja-24h'!I59)</f>
        <v>7</v>
      </c>
      <c r="J59" s="49">
        <f>AVERAGE('19.10 Kampala-Jinja-24hr'!J59,'21.10 Kampala-Jinja-24h'!J59)</f>
        <v>4</v>
      </c>
      <c r="K59" s="49">
        <f>AVERAGE('19.10 Kampala-Jinja-24hr'!K59,'21.10 Kampala-Jinja-24h'!K59)</f>
        <v>2</v>
      </c>
      <c r="L59" s="49">
        <f>AVERAGE('19.10 Kampala-Jinja-24hr'!L59,'21.10 Kampala-Jinja-24h'!L59)</f>
        <v>17.5</v>
      </c>
      <c r="M59" s="49">
        <f>AVERAGE('19.10 Kampala-Jinja-24hr'!M59,'21.10 Kampala-Jinja-24h'!M59)</f>
        <v>22</v>
      </c>
      <c r="N59" s="49">
        <f>AVERAGE('19.10 Kampala-Jinja-24hr'!N59,'21.10 Kampala-Jinja-24h'!N59)</f>
        <v>0</v>
      </c>
      <c r="O59" s="15">
        <f t="shared" si="0"/>
        <v>91.5</v>
      </c>
      <c r="P59" s="15">
        <f t="shared" si="1"/>
        <v>113.5</v>
      </c>
      <c r="R59" s="8"/>
      <c r="T59"/>
    </row>
    <row r="60" spans="2:20" ht="23.1" customHeight="1" x14ac:dyDescent="0.25">
      <c r="B60" s="23" t="s">
        <v>101</v>
      </c>
      <c r="C60" s="49">
        <f>AVERAGE('19.10 Kampala-Jinja-24hr'!C60,'21.10 Kampala-Jinja-24h'!C60)</f>
        <v>19.5</v>
      </c>
      <c r="D60" s="49">
        <f>AVERAGE('19.10 Kampala-Jinja-24hr'!D60,'21.10 Kampala-Jinja-24h'!D60)</f>
        <v>3</v>
      </c>
      <c r="E60" s="49">
        <f>AVERAGE('19.10 Kampala-Jinja-24hr'!E60,'21.10 Kampala-Jinja-24h'!E60)</f>
        <v>2</v>
      </c>
      <c r="F60" s="49">
        <f>AVERAGE('19.10 Kampala-Jinja-24hr'!F60,'21.10 Kampala-Jinja-24h'!F60)</f>
        <v>30.5</v>
      </c>
      <c r="G60" s="49">
        <f>AVERAGE('19.10 Kampala-Jinja-24hr'!G60,'21.10 Kampala-Jinja-24h'!G60)</f>
        <v>0.5</v>
      </c>
      <c r="H60" s="49">
        <f>AVERAGE('19.10 Kampala-Jinja-24hr'!H60,'21.10 Kampala-Jinja-24h'!H60)</f>
        <v>1</v>
      </c>
      <c r="I60" s="49">
        <f>AVERAGE('19.10 Kampala-Jinja-24hr'!I60,'21.10 Kampala-Jinja-24h'!I60)</f>
        <v>5</v>
      </c>
      <c r="J60" s="49">
        <f>AVERAGE('19.10 Kampala-Jinja-24hr'!J60,'21.10 Kampala-Jinja-24h'!J60)</f>
        <v>8.5</v>
      </c>
      <c r="K60" s="49">
        <f>AVERAGE('19.10 Kampala-Jinja-24hr'!K60,'21.10 Kampala-Jinja-24h'!K60)</f>
        <v>1</v>
      </c>
      <c r="L60" s="49">
        <f>AVERAGE('19.10 Kampala-Jinja-24hr'!L60,'21.10 Kampala-Jinja-24h'!L60)</f>
        <v>15</v>
      </c>
      <c r="M60" s="49">
        <f>AVERAGE('19.10 Kampala-Jinja-24hr'!M60,'21.10 Kampala-Jinja-24h'!M60)</f>
        <v>18.5</v>
      </c>
      <c r="N60" s="49">
        <f>AVERAGE('19.10 Kampala-Jinja-24hr'!N60,'21.10 Kampala-Jinja-24h'!N60)</f>
        <v>0</v>
      </c>
      <c r="O60" s="15">
        <f t="shared" si="0"/>
        <v>86</v>
      </c>
      <c r="P60" s="15">
        <f t="shared" si="1"/>
        <v>104.5</v>
      </c>
      <c r="R60" s="8"/>
      <c r="T60"/>
    </row>
    <row r="61" spans="2:20" ht="23.1" customHeight="1" x14ac:dyDescent="0.25">
      <c r="B61" s="23" t="s">
        <v>102</v>
      </c>
      <c r="C61" s="49">
        <f>AVERAGE('19.10 Kampala-Jinja-24hr'!C61,'21.10 Kampala-Jinja-24h'!C61)</f>
        <v>18.5</v>
      </c>
      <c r="D61" s="49">
        <f>AVERAGE('19.10 Kampala-Jinja-24hr'!D61,'21.10 Kampala-Jinja-24h'!D61)</f>
        <v>6</v>
      </c>
      <c r="E61" s="49">
        <f>AVERAGE('19.10 Kampala-Jinja-24hr'!E61,'21.10 Kampala-Jinja-24h'!E61)</f>
        <v>5.5</v>
      </c>
      <c r="F61" s="49">
        <f>AVERAGE('19.10 Kampala-Jinja-24hr'!F61,'21.10 Kampala-Jinja-24h'!F61)</f>
        <v>19</v>
      </c>
      <c r="G61" s="49">
        <f>AVERAGE('19.10 Kampala-Jinja-24hr'!G61,'21.10 Kampala-Jinja-24h'!G61)</f>
        <v>1.5</v>
      </c>
      <c r="H61" s="49">
        <f>AVERAGE('19.10 Kampala-Jinja-24hr'!H61,'21.10 Kampala-Jinja-24h'!H61)</f>
        <v>0.5</v>
      </c>
      <c r="I61" s="49">
        <f>AVERAGE('19.10 Kampala-Jinja-24hr'!I61,'21.10 Kampala-Jinja-24h'!I61)</f>
        <v>9.5</v>
      </c>
      <c r="J61" s="49">
        <f>AVERAGE('19.10 Kampala-Jinja-24hr'!J61,'21.10 Kampala-Jinja-24h'!J61)</f>
        <v>1.5</v>
      </c>
      <c r="K61" s="49">
        <f>AVERAGE('19.10 Kampala-Jinja-24hr'!K61,'21.10 Kampala-Jinja-24h'!K61)</f>
        <v>2</v>
      </c>
      <c r="L61" s="49">
        <f>AVERAGE('19.10 Kampala-Jinja-24hr'!L61,'21.10 Kampala-Jinja-24h'!L61)</f>
        <v>23.5</v>
      </c>
      <c r="M61" s="49">
        <f>AVERAGE('19.10 Kampala-Jinja-24hr'!M61,'21.10 Kampala-Jinja-24h'!M61)</f>
        <v>28</v>
      </c>
      <c r="N61" s="49">
        <f>AVERAGE('19.10 Kampala-Jinja-24hr'!N61,'21.10 Kampala-Jinja-24h'!N61)</f>
        <v>0</v>
      </c>
      <c r="O61" s="15">
        <f t="shared" si="0"/>
        <v>87.5</v>
      </c>
      <c r="P61" s="15">
        <f t="shared" si="1"/>
        <v>115.5</v>
      </c>
      <c r="R61" s="8"/>
      <c r="T61"/>
    </row>
    <row r="62" spans="2:20" ht="23.1" customHeight="1" x14ac:dyDescent="0.25">
      <c r="B62" s="23" t="s">
        <v>107</v>
      </c>
      <c r="C62" s="49">
        <f>AVERAGE('19.10 Kampala-Jinja-24hr'!C62,'21.10 Kampala-Jinja-24h'!C62)</f>
        <v>16.5</v>
      </c>
      <c r="D62" s="49">
        <f>AVERAGE('19.10 Kampala-Jinja-24hr'!D62,'21.10 Kampala-Jinja-24h'!D62)</f>
        <v>8</v>
      </c>
      <c r="E62" s="49">
        <f>AVERAGE('19.10 Kampala-Jinja-24hr'!E62,'21.10 Kampala-Jinja-24h'!E62)</f>
        <v>5</v>
      </c>
      <c r="F62" s="49">
        <f>AVERAGE('19.10 Kampala-Jinja-24hr'!F62,'21.10 Kampala-Jinja-24h'!F62)</f>
        <v>30</v>
      </c>
      <c r="G62" s="49">
        <f>AVERAGE('19.10 Kampala-Jinja-24hr'!G62,'21.10 Kampala-Jinja-24h'!G62)</f>
        <v>3</v>
      </c>
      <c r="H62" s="49">
        <f>AVERAGE('19.10 Kampala-Jinja-24hr'!H62,'21.10 Kampala-Jinja-24h'!H62)</f>
        <v>1.5</v>
      </c>
      <c r="I62" s="49">
        <f>AVERAGE('19.10 Kampala-Jinja-24hr'!I62,'21.10 Kampala-Jinja-24h'!I62)</f>
        <v>12.5</v>
      </c>
      <c r="J62" s="49">
        <f>AVERAGE('19.10 Kampala-Jinja-24hr'!J62,'21.10 Kampala-Jinja-24h'!J62)</f>
        <v>7</v>
      </c>
      <c r="K62" s="49">
        <f>AVERAGE('19.10 Kampala-Jinja-24hr'!K62,'21.10 Kampala-Jinja-24h'!K62)</f>
        <v>3</v>
      </c>
      <c r="L62" s="49">
        <f>AVERAGE('19.10 Kampala-Jinja-24hr'!L62,'21.10 Kampala-Jinja-24h'!L62)</f>
        <v>21</v>
      </c>
      <c r="M62" s="49">
        <f>AVERAGE('19.10 Kampala-Jinja-24hr'!M62,'21.10 Kampala-Jinja-24h'!M62)</f>
        <v>18</v>
      </c>
      <c r="N62" s="49">
        <f>AVERAGE('19.10 Kampala-Jinja-24hr'!N62,'21.10 Kampala-Jinja-24h'!N62)</f>
        <v>0</v>
      </c>
      <c r="O62" s="15">
        <f t="shared" si="0"/>
        <v>107.5</v>
      </c>
      <c r="P62" s="15">
        <f t="shared" si="1"/>
        <v>125.5</v>
      </c>
      <c r="R62" s="8"/>
      <c r="T62"/>
    </row>
    <row r="63" spans="2:20" ht="23.1" customHeight="1" x14ac:dyDescent="0.25">
      <c r="B63" s="23" t="s">
        <v>108</v>
      </c>
      <c r="C63" s="49">
        <f>AVERAGE('19.10 Kampala-Jinja-24hr'!C63,'21.10 Kampala-Jinja-24h'!C63)</f>
        <v>14.5</v>
      </c>
      <c r="D63" s="49">
        <f>AVERAGE('19.10 Kampala-Jinja-24hr'!D63,'21.10 Kampala-Jinja-24h'!D63)</f>
        <v>2.5</v>
      </c>
      <c r="E63" s="49">
        <f>AVERAGE('19.10 Kampala-Jinja-24hr'!E63,'21.10 Kampala-Jinja-24h'!E63)</f>
        <v>3</v>
      </c>
      <c r="F63" s="49">
        <f>AVERAGE('19.10 Kampala-Jinja-24hr'!F63,'21.10 Kampala-Jinja-24h'!F63)</f>
        <v>21</v>
      </c>
      <c r="G63" s="49">
        <f>AVERAGE('19.10 Kampala-Jinja-24hr'!G63,'21.10 Kampala-Jinja-24h'!G63)</f>
        <v>1.5</v>
      </c>
      <c r="H63" s="49">
        <f>AVERAGE('19.10 Kampala-Jinja-24hr'!H63,'21.10 Kampala-Jinja-24h'!H63)</f>
        <v>0</v>
      </c>
      <c r="I63" s="49">
        <f>AVERAGE('19.10 Kampala-Jinja-24hr'!I63,'21.10 Kampala-Jinja-24h'!I63)</f>
        <v>5.5</v>
      </c>
      <c r="J63" s="49">
        <f>AVERAGE('19.10 Kampala-Jinja-24hr'!J63,'21.10 Kampala-Jinja-24h'!J63)</f>
        <v>9</v>
      </c>
      <c r="K63" s="49">
        <f>AVERAGE('19.10 Kampala-Jinja-24hr'!K63,'21.10 Kampala-Jinja-24h'!K63)</f>
        <v>4</v>
      </c>
      <c r="L63" s="49">
        <f>AVERAGE('19.10 Kampala-Jinja-24hr'!L63,'21.10 Kampala-Jinja-24h'!L63)</f>
        <v>19</v>
      </c>
      <c r="M63" s="49">
        <f>AVERAGE('19.10 Kampala-Jinja-24hr'!M63,'21.10 Kampala-Jinja-24h'!M63)</f>
        <v>22</v>
      </c>
      <c r="N63" s="49">
        <f>AVERAGE('19.10 Kampala-Jinja-24hr'!N63,'21.10 Kampala-Jinja-24h'!N63)</f>
        <v>0</v>
      </c>
      <c r="O63" s="15">
        <f t="shared" si="0"/>
        <v>80</v>
      </c>
      <c r="P63" s="15">
        <f t="shared" si="1"/>
        <v>102</v>
      </c>
      <c r="R63" s="8"/>
      <c r="T63"/>
    </row>
    <row r="64" spans="2:20" ht="23.1" customHeight="1" x14ac:dyDescent="0.25">
      <c r="B64" s="23" t="s">
        <v>109</v>
      </c>
      <c r="C64" s="49">
        <f>AVERAGE('19.10 Kampala-Jinja-24hr'!C64,'21.10 Kampala-Jinja-24h'!C64)</f>
        <v>11.5</v>
      </c>
      <c r="D64" s="49">
        <f>AVERAGE('19.10 Kampala-Jinja-24hr'!D64,'21.10 Kampala-Jinja-24h'!D64)</f>
        <v>3.5</v>
      </c>
      <c r="E64" s="49">
        <f>AVERAGE('19.10 Kampala-Jinja-24hr'!E64,'21.10 Kampala-Jinja-24h'!E64)</f>
        <v>1.5</v>
      </c>
      <c r="F64" s="49">
        <f>AVERAGE('19.10 Kampala-Jinja-24hr'!F64,'21.10 Kampala-Jinja-24h'!F64)</f>
        <v>17</v>
      </c>
      <c r="G64" s="49">
        <f>AVERAGE('19.10 Kampala-Jinja-24hr'!G64,'21.10 Kampala-Jinja-24h'!G64)</f>
        <v>0</v>
      </c>
      <c r="H64" s="49">
        <f>AVERAGE('19.10 Kampala-Jinja-24hr'!H64,'21.10 Kampala-Jinja-24h'!H64)</f>
        <v>1</v>
      </c>
      <c r="I64" s="49">
        <f>AVERAGE('19.10 Kampala-Jinja-24hr'!I64,'21.10 Kampala-Jinja-24h'!I64)</f>
        <v>2</v>
      </c>
      <c r="J64" s="49">
        <f>AVERAGE('19.10 Kampala-Jinja-24hr'!J64,'21.10 Kampala-Jinja-24h'!J64)</f>
        <v>9.5</v>
      </c>
      <c r="K64" s="49">
        <f>AVERAGE('19.10 Kampala-Jinja-24hr'!K64,'21.10 Kampala-Jinja-24h'!K64)</f>
        <v>2.5</v>
      </c>
      <c r="L64" s="49">
        <f>AVERAGE('19.10 Kampala-Jinja-24hr'!L64,'21.10 Kampala-Jinja-24h'!L64)</f>
        <v>19.5</v>
      </c>
      <c r="M64" s="49">
        <f>AVERAGE('19.10 Kampala-Jinja-24hr'!M64,'21.10 Kampala-Jinja-24h'!M64)</f>
        <v>17.5</v>
      </c>
      <c r="N64" s="49">
        <f>AVERAGE('19.10 Kampala-Jinja-24hr'!N64,'21.10 Kampala-Jinja-24h'!N64)</f>
        <v>0</v>
      </c>
      <c r="O64" s="15">
        <f t="shared" si="0"/>
        <v>68</v>
      </c>
      <c r="P64" s="15">
        <f t="shared" si="1"/>
        <v>85.5</v>
      </c>
      <c r="R64" s="8"/>
      <c r="T64"/>
    </row>
    <row r="65" spans="2:20" ht="23.1" customHeight="1" x14ac:dyDescent="0.25">
      <c r="B65" s="23" t="s">
        <v>158</v>
      </c>
      <c r="C65" s="49">
        <f>AVERAGE('19.10 Kampala-Jinja-24hr'!C65,'21.10 Kampala-Jinja-24h'!C65)</f>
        <v>11.5</v>
      </c>
      <c r="D65" s="49">
        <f>AVERAGE('19.10 Kampala-Jinja-24hr'!D65,'21.10 Kampala-Jinja-24h'!D65)</f>
        <v>4</v>
      </c>
      <c r="E65" s="49">
        <f>AVERAGE('19.10 Kampala-Jinja-24hr'!E65,'21.10 Kampala-Jinja-24h'!E65)</f>
        <v>2</v>
      </c>
      <c r="F65" s="49">
        <f>AVERAGE('19.10 Kampala-Jinja-24hr'!F65,'21.10 Kampala-Jinja-24h'!F65)</f>
        <v>23.5</v>
      </c>
      <c r="G65" s="49">
        <f>AVERAGE('19.10 Kampala-Jinja-24hr'!G65,'21.10 Kampala-Jinja-24h'!G65)</f>
        <v>0</v>
      </c>
      <c r="H65" s="49">
        <f>AVERAGE('19.10 Kampala-Jinja-24hr'!H65,'21.10 Kampala-Jinja-24h'!H65)</f>
        <v>0</v>
      </c>
      <c r="I65" s="49">
        <f>AVERAGE('19.10 Kampala-Jinja-24hr'!I65,'21.10 Kampala-Jinja-24h'!I65)</f>
        <v>5</v>
      </c>
      <c r="J65" s="49">
        <f>AVERAGE('19.10 Kampala-Jinja-24hr'!J65,'21.10 Kampala-Jinja-24h'!J65)</f>
        <v>7.5</v>
      </c>
      <c r="K65" s="49">
        <f>AVERAGE('19.10 Kampala-Jinja-24hr'!K65,'21.10 Kampala-Jinja-24h'!K65)</f>
        <v>2</v>
      </c>
      <c r="L65" s="49">
        <f>AVERAGE('19.10 Kampala-Jinja-24hr'!L65,'21.10 Kampala-Jinja-24h'!L65)</f>
        <v>13.5</v>
      </c>
      <c r="M65" s="49">
        <f>AVERAGE('19.10 Kampala-Jinja-24hr'!M65,'21.10 Kampala-Jinja-24h'!M65)</f>
        <v>15.5</v>
      </c>
      <c r="N65" s="49">
        <f>AVERAGE('19.10 Kampala-Jinja-24hr'!N65,'21.10 Kampala-Jinja-24h'!N65)</f>
        <v>0</v>
      </c>
      <c r="O65" s="15">
        <f t="shared" si="0"/>
        <v>69</v>
      </c>
      <c r="P65" s="15">
        <f t="shared" si="1"/>
        <v>84.5</v>
      </c>
      <c r="R65" s="8"/>
      <c r="T65"/>
    </row>
    <row r="66" spans="2:20" ht="23.1" customHeight="1" x14ac:dyDescent="0.25">
      <c r="B66" s="23" t="s">
        <v>103</v>
      </c>
      <c r="C66" s="49">
        <f>AVERAGE('19.10 Kampala-Jinja-24hr'!C66,'21.10 Kampala-Jinja-24h'!C66)</f>
        <v>8.5</v>
      </c>
      <c r="D66" s="49">
        <f>AVERAGE('19.10 Kampala-Jinja-24hr'!D66,'21.10 Kampala-Jinja-24h'!D66)</f>
        <v>4</v>
      </c>
      <c r="E66" s="49">
        <f>AVERAGE('19.10 Kampala-Jinja-24hr'!E66,'21.10 Kampala-Jinja-24h'!E66)</f>
        <v>2</v>
      </c>
      <c r="F66" s="49">
        <f>AVERAGE('19.10 Kampala-Jinja-24hr'!F66,'21.10 Kampala-Jinja-24h'!F66)</f>
        <v>6.5</v>
      </c>
      <c r="G66" s="49">
        <f>AVERAGE('19.10 Kampala-Jinja-24hr'!G66,'21.10 Kampala-Jinja-24h'!G66)</f>
        <v>10.5</v>
      </c>
      <c r="H66" s="49">
        <f>AVERAGE('19.10 Kampala-Jinja-24hr'!H66,'21.10 Kampala-Jinja-24h'!H66)</f>
        <v>0</v>
      </c>
      <c r="I66" s="49">
        <f>AVERAGE('19.10 Kampala-Jinja-24hr'!I66,'21.10 Kampala-Jinja-24h'!I66)</f>
        <v>1</v>
      </c>
      <c r="J66" s="49">
        <f>AVERAGE('19.10 Kampala-Jinja-24hr'!J66,'21.10 Kampala-Jinja-24h'!J66)</f>
        <v>2.5</v>
      </c>
      <c r="K66" s="49">
        <f>AVERAGE('19.10 Kampala-Jinja-24hr'!K66,'21.10 Kampala-Jinja-24h'!K66)</f>
        <v>4</v>
      </c>
      <c r="L66" s="49">
        <f>AVERAGE('19.10 Kampala-Jinja-24hr'!L66,'21.10 Kampala-Jinja-24h'!L66)</f>
        <v>4</v>
      </c>
      <c r="M66" s="49">
        <f>AVERAGE('19.10 Kampala-Jinja-24hr'!M66,'21.10 Kampala-Jinja-24h'!M66)</f>
        <v>20.5</v>
      </c>
      <c r="N66" s="49">
        <f>AVERAGE('19.10 Kampala-Jinja-24hr'!N66,'21.10 Kampala-Jinja-24h'!N66)</f>
        <v>6.5</v>
      </c>
      <c r="O66" s="15">
        <f t="shared" si="0"/>
        <v>49.5</v>
      </c>
      <c r="P66" s="15">
        <f t="shared" si="1"/>
        <v>70</v>
      </c>
      <c r="R66" s="8"/>
      <c r="T66"/>
    </row>
    <row r="67" spans="2:20" ht="23.1" customHeight="1" x14ac:dyDescent="0.25">
      <c r="B67" s="23" t="s">
        <v>104</v>
      </c>
      <c r="C67" s="49">
        <f>AVERAGE('19.10 Kampala-Jinja-24hr'!C67,'21.10 Kampala-Jinja-24h'!C67)</f>
        <v>19.5</v>
      </c>
      <c r="D67" s="49">
        <f>AVERAGE('19.10 Kampala-Jinja-24hr'!D67,'21.10 Kampala-Jinja-24h'!D67)</f>
        <v>5</v>
      </c>
      <c r="E67" s="49">
        <f>AVERAGE('19.10 Kampala-Jinja-24hr'!E67,'21.10 Kampala-Jinja-24h'!E67)</f>
        <v>1</v>
      </c>
      <c r="F67" s="49">
        <f>AVERAGE('19.10 Kampala-Jinja-24hr'!F67,'21.10 Kampala-Jinja-24h'!F67)</f>
        <v>17.5</v>
      </c>
      <c r="G67" s="49">
        <f>AVERAGE('19.10 Kampala-Jinja-24hr'!G67,'21.10 Kampala-Jinja-24h'!G67)</f>
        <v>1.5</v>
      </c>
      <c r="H67" s="49">
        <f>AVERAGE('19.10 Kampala-Jinja-24hr'!H67,'21.10 Kampala-Jinja-24h'!H67)</f>
        <v>0</v>
      </c>
      <c r="I67" s="49">
        <f>AVERAGE('19.10 Kampala-Jinja-24hr'!I67,'21.10 Kampala-Jinja-24h'!I67)</f>
        <v>4.5</v>
      </c>
      <c r="J67" s="49">
        <f>AVERAGE('19.10 Kampala-Jinja-24hr'!J67,'21.10 Kampala-Jinja-24h'!J67)</f>
        <v>6</v>
      </c>
      <c r="K67" s="49">
        <f>AVERAGE('19.10 Kampala-Jinja-24hr'!K67,'21.10 Kampala-Jinja-24h'!K67)</f>
        <v>1</v>
      </c>
      <c r="L67" s="49">
        <f>AVERAGE('19.10 Kampala-Jinja-24hr'!L67,'21.10 Kampala-Jinja-24h'!L67)</f>
        <v>16.5</v>
      </c>
      <c r="M67" s="49">
        <f>AVERAGE('19.10 Kampala-Jinja-24hr'!M67,'21.10 Kampala-Jinja-24h'!M67)</f>
        <v>15.5</v>
      </c>
      <c r="N67" s="49">
        <f>AVERAGE('19.10 Kampala-Jinja-24hr'!N67,'21.10 Kampala-Jinja-24h'!N67)</f>
        <v>0</v>
      </c>
      <c r="O67" s="15">
        <f t="shared" si="0"/>
        <v>72.5</v>
      </c>
      <c r="P67" s="15">
        <f t="shared" si="1"/>
        <v>88</v>
      </c>
      <c r="R67" s="8"/>
      <c r="T67"/>
    </row>
    <row r="68" spans="2:20" ht="23.1" customHeight="1" x14ac:dyDescent="0.25">
      <c r="B68" s="23" t="s">
        <v>105</v>
      </c>
      <c r="C68" s="49">
        <f>AVERAGE('19.10 Kampala-Jinja-24hr'!C68,'21.10 Kampala-Jinja-24h'!C68)</f>
        <v>10</v>
      </c>
      <c r="D68" s="49">
        <f>AVERAGE('19.10 Kampala-Jinja-24hr'!D68,'21.10 Kampala-Jinja-24h'!D68)</f>
        <v>1.5</v>
      </c>
      <c r="E68" s="49">
        <f>AVERAGE('19.10 Kampala-Jinja-24hr'!E68,'21.10 Kampala-Jinja-24h'!E68)</f>
        <v>0</v>
      </c>
      <c r="F68" s="49">
        <f>AVERAGE('19.10 Kampala-Jinja-24hr'!F68,'21.10 Kampala-Jinja-24h'!F68)</f>
        <v>14.5</v>
      </c>
      <c r="G68" s="49">
        <f>AVERAGE('19.10 Kampala-Jinja-24hr'!G68,'21.10 Kampala-Jinja-24h'!G68)</f>
        <v>0</v>
      </c>
      <c r="H68" s="49">
        <f>AVERAGE('19.10 Kampala-Jinja-24hr'!H68,'21.10 Kampala-Jinja-24h'!H68)</f>
        <v>0.5</v>
      </c>
      <c r="I68" s="49">
        <f>AVERAGE('19.10 Kampala-Jinja-24hr'!I68,'21.10 Kampala-Jinja-24h'!I68)</f>
        <v>3.5</v>
      </c>
      <c r="J68" s="49">
        <f>AVERAGE('19.10 Kampala-Jinja-24hr'!J68,'21.10 Kampala-Jinja-24h'!J68)</f>
        <v>4</v>
      </c>
      <c r="K68" s="49">
        <f>AVERAGE('19.10 Kampala-Jinja-24hr'!K68,'21.10 Kampala-Jinja-24h'!K68)</f>
        <v>3</v>
      </c>
      <c r="L68" s="49">
        <f>AVERAGE('19.10 Kampala-Jinja-24hr'!L68,'21.10 Kampala-Jinja-24h'!L68)</f>
        <v>6</v>
      </c>
      <c r="M68" s="49">
        <f>AVERAGE('19.10 Kampala-Jinja-24hr'!M68,'21.10 Kampala-Jinja-24h'!M68)</f>
        <v>16.5</v>
      </c>
      <c r="N68" s="49">
        <f>AVERAGE('19.10 Kampala-Jinja-24hr'!N68,'21.10 Kampala-Jinja-24h'!N68)</f>
        <v>0</v>
      </c>
      <c r="O68" s="15">
        <f t="shared" si="0"/>
        <v>43</v>
      </c>
      <c r="P68" s="15">
        <f t="shared" si="1"/>
        <v>59.5</v>
      </c>
      <c r="R68" s="8"/>
      <c r="T68"/>
    </row>
    <row r="69" spans="2:20" ht="23.1" customHeight="1" x14ac:dyDescent="0.25">
      <c r="B69" s="23" t="s">
        <v>106</v>
      </c>
      <c r="C69" s="49">
        <f>AVERAGE('19.10 Kampala-Jinja-24hr'!C69,'21.10 Kampala-Jinja-24h'!C69)</f>
        <v>12</v>
      </c>
      <c r="D69" s="49">
        <f>AVERAGE('19.10 Kampala-Jinja-24hr'!D69,'21.10 Kampala-Jinja-24h'!D69)</f>
        <v>3.5</v>
      </c>
      <c r="E69" s="49">
        <f>AVERAGE('19.10 Kampala-Jinja-24hr'!E69,'21.10 Kampala-Jinja-24h'!E69)</f>
        <v>1</v>
      </c>
      <c r="F69" s="49">
        <f>AVERAGE('19.10 Kampala-Jinja-24hr'!F69,'21.10 Kampala-Jinja-24h'!F69)</f>
        <v>22.5</v>
      </c>
      <c r="G69" s="49">
        <f>AVERAGE('19.10 Kampala-Jinja-24hr'!G69,'21.10 Kampala-Jinja-24h'!G69)</f>
        <v>3.5</v>
      </c>
      <c r="H69" s="49">
        <f>AVERAGE('19.10 Kampala-Jinja-24hr'!H69,'21.10 Kampala-Jinja-24h'!H69)</f>
        <v>1</v>
      </c>
      <c r="I69" s="49">
        <f>AVERAGE('19.10 Kampala-Jinja-24hr'!I69,'21.10 Kampala-Jinja-24h'!I69)</f>
        <v>2.5</v>
      </c>
      <c r="J69" s="49">
        <f>AVERAGE('19.10 Kampala-Jinja-24hr'!J69,'21.10 Kampala-Jinja-24h'!J69)</f>
        <v>4.5</v>
      </c>
      <c r="K69" s="49">
        <f>AVERAGE('19.10 Kampala-Jinja-24hr'!K69,'21.10 Kampala-Jinja-24h'!K69)</f>
        <v>1.5</v>
      </c>
      <c r="L69" s="49">
        <f>AVERAGE('19.10 Kampala-Jinja-24hr'!L69,'21.10 Kampala-Jinja-24h'!L69)</f>
        <v>11</v>
      </c>
      <c r="M69" s="49">
        <f>AVERAGE('19.10 Kampala-Jinja-24hr'!M69,'21.10 Kampala-Jinja-24h'!M69)</f>
        <v>21.5</v>
      </c>
      <c r="N69" s="49">
        <f>AVERAGE('19.10 Kampala-Jinja-24hr'!N69,'21.10 Kampala-Jinja-24h'!N69)</f>
        <v>0</v>
      </c>
      <c r="O69" s="15">
        <f t="shared" si="0"/>
        <v>63</v>
      </c>
      <c r="P69" s="15">
        <f t="shared" si="1"/>
        <v>84.5</v>
      </c>
      <c r="R69" s="8"/>
      <c r="T69"/>
    </row>
    <row r="70" spans="2:20" ht="23.1" customHeight="1" x14ac:dyDescent="0.25">
      <c r="B70" s="23" t="s">
        <v>110</v>
      </c>
      <c r="C70" s="49">
        <f>AVERAGE('19.10 Kampala-Jinja-24hr'!C70,'21.10 Kampala-Jinja-24h'!C70)</f>
        <v>13</v>
      </c>
      <c r="D70" s="49">
        <f>AVERAGE('19.10 Kampala-Jinja-24hr'!D70,'21.10 Kampala-Jinja-24h'!D70)</f>
        <v>3.5</v>
      </c>
      <c r="E70" s="49">
        <f>AVERAGE('19.10 Kampala-Jinja-24hr'!E70,'21.10 Kampala-Jinja-24h'!E70)</f>
        <v>1</v>
      </c>
      <c r="F70" s="49">
        <f>AVERAGE('19.10 Kampala-Jinja-24hr'!F70,'21.10 Kampala-Jinja-24h'!F70)</f>
        <v>13.5</v>
      </c>
      <c r="G70" s="49">
        <f>AVERAGE('19.10 Kampala-Jinja-24hr'!G70,'21.10 Kampala-Jinja-24h'!G70)</f>
        <v>2</v>
      </c>
      <c r="H70" s="49">
        <f>AVERAGE('19.10 Kampala-Jinja-24hr'!H70,'21.10 Kampala-Jinja-24h'!H70)</f>
        <v>0.5</v>
      </c>
      <c r="I70" s="49">
        <f>AVERAGE('19.10 Kampala-Jinja-24hr'!I70,'21.10 Kampala-Jinja-24h'!I70)</f>
        <v>1.5</v>
      </c>
      <c r="J70" s="49">
        <f>AVERAGE('19.10 Kampala-Jinja-24hr'!J70,'21.10 Kampala-Jinja-24h'!J70)</f>
        <v>7</v>
      </c>
      <c r="K70" s="49">
        <f>AVERAGE('19.10 Kampala-Jinja-24hr'!K70,'21.10 Kampala-Jinja-24h'!K70)</f>
        <v>1.5</v>
      </c>
      <c r="L70" s="49">
        <f>AVERAGE('19.10 Kampala-Jinja-24hr'!L70,'21.10 Kampala-Jinja-24h'!L70)</f>
        <v>9.5</v>
      </c>
      <c r="M70" s="49">
        <f>AVERAGE('19.10 Kampala-Jinja-24hr'!M70,'21.10 Kampala-Jinja-24h'!M70)</f>
        <v>14.5</v>
      </c>
      <c r="N70" s="49">
        <f>AVERAGE('19.10 Kampala-Jinja-24hr'!N70,'21.10 Kampala-Jinja-24h'!N70)</f>
        <v>0</v>
      </c>
      <c r="O70" s="15">
        <f t="shared" si="0"/>
        <v>53</v>
      </c>
      <c r="P70" s="15">
        <f t="shared" si="1"/>
        <v>67.5</v>
      </c>
      <c r="R70" s="8"/>
      <c r="T70"/>
    </row>
    <row r="71" spans="2:20" ht="23.1" customHeight="1" x14ac:dyDescent="0.25">
      <c r="B71" s="23" t="s">
        <v>111</v>
      </c>
      <c r="C71" s="49">
        <f>AVERAGE('19.10 Kampala-Jinja-24hr'!C71,'21.10 Kampala-Jinja-24h'!C71)</f>
        <v>8</v>
      </c>
      <c r="D71" s="49">
        <f>AVERAGE('19.10 Kampala-Jinja-24hr'!D71,'21.10 Kampala-Jinja-24h'!D71)</f>
        <v>1.5</v>
      </c>
      <c r="E71" s="49">
        <f>AVERAGE('19.10 Kampala-Jinja-24hr'!E71,'21.10 Kampala-Jinja-24h'!E71)</f>
        <v>4</v>
      </c>
      <c r="F71" s="49">
        <f>AVERAGE('19.10 Kampala-Jinja-24hr'!F71,'21.10 Kampala-Jinja-24h'!F71)</f>
        <v>24.5</v>
      </c>
      <c r="G71" s="49">
        <f>AVERAGE('19.10 Kampala-Jinja-24hr'!G71,'21.10 Kampala-Jinja-24h'!G71)</f>
        <v>2.5</v>
      </c>
      <c r="H71" s="49">
        <f>AVERAGE('19.10 Kampala-Jinja-24hr'!H71,'21.10 Kampala-Jinja-24h'!H71)</f>
        <v>1.5</v>
      </c>
      <c r="I71" s="49">
        <f>AVERAGE('19.10 Kampala-Jinja-24hr'!I71,'21.10 Kampala-Jinja-24h'!I71)</f>
        <v>5</v>
      </c>
      <c r="J71" s="49">
        <f>AVERAGE('19.10 Kampala-Jinja-24hr'!J71,'21.10 Kampala-Jinja-24h'!J71)</f>
        <v>8.5</v>
      </c>
      <c r="K71" s="49">
        <f>AVERAGE('19.10 Kampala-Jinja-24hr'!K71,'21.10 Kampala-Jinja-24h'!K71)</f>
        <v>1.5</v>
      </c>
      <c r="L71" s="49">
        <f>AVERAGE('19.10 Kampala-Jinja-24hr'!L71,'21.10 Kampala-Jinja-24h'!L71)</f>
        <v>9.5</v>
      </c>
      <c r="M71" s="49">
        <f>AVERAGE('19.10 Kampala-Jinja-24hr'!M71,'21.10 Kampala-Jinja-24h'!M71)</f>
        <v>11.5</v>
      </c>
      <c r="N71" s="49">
        <f>AVERAGE('19.10 Kampala-Jinja-24hr'!N71,'21.10 Kampala-Jinja-24h'!N71)</f>
        <v>0</v>
      </c>
      <c r="O71" s="15">
        <f t="shared" si="0"/>
        <v>66.5</v>
      </c>
      <c r="P71" s="15">
        <f t="shared" si="1"/>
        <v>78</v>
      </c>
      <c r="R71" s="8"/>
      <c r="T71"/>
    </row>
    <row r="72" spans="2:20" ht="23.1" customHeight="1" x14ac:dyDescent="0.25">
      <c r="B72" s="23" t="s">
        <v>112</v>
      </c>
      <c r="C72" s="49">
        <f>AVERAGE('19.10 Kampala-Jinja-24hr'!C72,'21.10 Kampala-Jinja-24h'!C72)</f>
        <v>8.5</v>
      </c>
      <c r="D72" s="49">
        <f>AVERAGE('19.10 Kampala-Jinja-24hr'!D72,'21.10 Kampala-Jinja-24h'!D72)</f>
        <v>1</v>
      </c>
      <c r="E72" s="49">
        <f>AVERAGE('19.10 Kampala-Jinja-24hr'!E72,'21.10 Kampala-Jinja-24h'!E72)</f>
        <v>4.5</v>
      </c>
      <c r="F72" s="49">
        <f>AVERAGE('19.10 Kampala-Jinja-24hr'!F72,'21.10 Kampala-Jinja-24h'!F72)</f>
        <v>12</v>
      </c>
      <c r="G72" s="49">
        <f>AVERAGE('19.10 Kampala-Jinja-24hr'!G72,'21.10 Kampala-Jinja-24h'!G72)</f>
        <v>0</v>
      </c>
      <c r="H72" s="49">
        <f>AVERAGE('19.10 Kampala-Jinja-24hr'!H72,'21.10 Kampala-Jinja-24h'!H72)</f>
        <v>0.5</v>
      </c>
      <c r="I72" s="49">
        <f>AVERAGE('19.10 Kampala-Jinja-24hr'!I72,'21.10 Kampala-Jinja-24h'!I72)</f>
        <v>2</v>
      </c>
      <c r="J72" s="49">
        <f>AVERAGE('19.10 Kampala-Jinja-24hr'!J72,'21.10 Kampala-Jinja-24h'!J72)</f>
        <v>3</v>
      </c>
      <c r="K72" s="49">
        <f>AVERAGE('19.10 Kampala-Jinja-24hr'!K72,'21.10 Kampala-Jinja-24h'!K72)</f>
        <v>2</v>
      </c>
      <c r="L72" s="49">
        <f>AVERAGE('19.10 Kampala-Jinja-24hr'!L72,'21.10 Kampala-Jinja-24h'!L72)</f>
        <v>9</v>
      </c>
      <c r="M72" s="49">
        <f>AVERAGE('19.10 Kampala-Jinja-24hr'!M72,'21.10 Kampala-Jinja-24h'!M72)</f>
        <v>10.5</v>
      </c>
      <c r="N72" s="49">
        <f>AVERAGE('19.10 Kampala-Jinja-24hr'!N72,'21.10 Kampala-Jinja-24h'!N72)</f>
        <v>0</v>
      </c>
      <c r="O72" s="15">
        <f t="shared" si="0"/>
        <v>42.5</v>
      </c>
      <c r="P72" s="15">
        <f t="shared" si="1"/>
        <v>53</v>
      </c>
      <c r="R72" s="8"/>
      <c r="T72"/>
    </row>
    <row r="73" spans="2:20" ht="23.1" customHeight="1" x14ac:dyDescent="0.25">
      <c r="B73" s="23" t="s">
        <v>113</v>
      </c>
      <c r="C73" s="49">
        <f>AVERAGE('19.10 Kampala-Jinja-24hr'!C73,'21.10 Kampala-Jinja-24h'!C73)</f>
        <v>7.5</v>
      </c>
      <c r="D73" s="49">
        <f>AVERAGE('19.10 Kampala-Jinja-24hr'!D73,'21.10 Kampala-Jinja-24h'!D73)</f>
        <v>1</v>
      </c>
      <c r="E73" s="49">
        <f>AVERAGE('19.10 Kampala-Jinja-24hr'!E73,'21.10 Kampala-Jinja-24h'!E73)</f>
        <v>0.5</v>
      </c>
      <c r="F73" s="49">
        <f>AVERAGE('19.10 Kampala-Jinja-24hr'!F73,'21.10 Kampala-Jinja-24h'!F73)</f>
        <v>5.5</v>
      </c>
      <c r="G73" s="49">
        <f>AVERAGE('19.10 Kampala-Jinja-24hr'!G73,'21.10 Kampala-Jinja-24h'!G73)</f>
        <v>1.5</v>
      </c>
      <c r="H73" s="49">
        <f>AVERAGE('19.10 Kampala-Jinja-24hr'!H73,'21.10 Kampala-Jinja-24h'!H73)</f>
        <v>0.5</v>
      </c>
      <c r="I73" s="49">
        <f>AVERAGE('19.10 Kampala-Jinja-24hr'!I73,'21.10 Kampala-Jinja-24h'!I73)</f>
        <v>0.5</v>
      </c>
      <c r="J73" s="49">
        <f>AVERAGE('19.10 Kampala-Jinja-24hr'!J73,'21.10 Kampala-Jinja-24h'!J73)</f>
        <v>2.5</v>
      </c>
      <c r="K73" s="49">
        <f>AVERAGE('19.10 Kampala-Jinja-24hr'!K73,'21.10 Kampala-Jinja-24h'!K73)</f>
        <v>0</v>
      </c>
      <c r="L73" s="49">
        <f>AVERAGE('19.10 Kampala-Jinja-24hr'!L73,'21.10 Kampala-Jinja-24h'!L73)</f>
        <v>10</v>
      </c>
      <c r="M73" s="49">
        <f>AVERAGE('19.10 Kampala-Jinja-24hr'!M73,'21.10 Kampala-Jinja-24h'!M73)</f>
        <v>7</v>
      </c>
      <c r="N73" s="49">
        <f>AVERAGE('19.10 Kampala-Jinja-24hr'!N73,'21.10 Kampala-Jinja-24h'!N73)</f>
        <v>0</v>
      </c>
      <c r="O73" s="15">
        <f t="shared" si="0"/>
        <v>29.5</v>
      </c>
      <c r="P73" s="15">
        <f t="shared" si="1"/>
        <v>36.5</v>
      </c>
      <c r="R73" s="8"/>
      <c r="T73"/>
    </row>
    <row r="74" spans="2:20" ht="23.1" customHeight="1" x14ac:dyDescent="0.25">
      <c r="B74" s="23" t="s">
        <v>114</v>
      </c>
      <c r="C74" s="49">
        <f>AVERAGE('19.10 Kampala-Jinja-24hr'!C74,'21.10 Kampala-Jinja-24h'!C74)</f>
        <v>7</v>
      </c>
      <c r="D74" s="49">
        <f>AVERAGE('19.10 Kampala-Jinja-24hr'!D74,'21.10 Kampala-Jinja-24h'!D74)</f>
        <v>1.5</v>
      </c>
      <c r="E74" s="49">
        <f>AVERAGE('19.10 Kampala-Jinja-24hr'!E74,'21.10 Kampala-Jinja-24h'!E74)</f>
        <v>1.5</v>
      </c>
      <c r="F74" s="49">
        <f>AVERAGE('19.10 Kampala-Jinja-24hr'!F74,'21.10 Kampala-Jinja-24h'!F74)</f>
        <v>8.5</v>
      </c>
      <c r="G74" s="49">
        <f>AVERAGE('19.10 Kampala-Jinja-24hr'!G74,'21.10 Kampala-Jinja-24h'!G74)</f>
        <v>2</v>
      </c>
      <c r="H74" s="49">
        <f>AVERAGE('19.10 Kampala-Jinja-24hr'!H74,'21.10 Kampala-Jinja-24h'!H74)</f>
        <v>0</v>
      </c>
      <c r="I74" s="49">
        <f>AVERAGE('19.10 Kampala-Jinja-24hr'!I74,'21.10 Kampala-Jinja-24h'!I74)</f>
        <v>4.5</v>
      </c>
      <c r="J74" s="49">
        <f>AVERAGE('19.10 Kampala-Jinja-24hr'!J74,'21.10 Kampala-Jinja-24h'!J74)</f>
        <v>4</v>
      </c>
      <c r="K74" s="49">
        <f>AVERAGE('19.10 Kampala-Jinja-24hr'!K74,'21.10 Kampala-Jinja-24h'!K74)</f>
        <v>1</v>
      </c>
      <c r="L74" s="49">
        <f>AVERAGE('19.10 Kampala-Jinja-24hr'!L74,'21.10 Kampala-Jinja-24h'!L74)</f>
        <v>3.5</v>
      </c>
      <c r="M74" s="49">
        <f>AVERAGE('19.10 Kampala-Jinja-24hr'!M74,'21.10 Kampala-Jinja-24h'!M74)</f>
        <v>8</v>
      </c>
      <c r="N74" s="49">
        <f>AVERAGE('19.10 Kampala-Jinja-24hr'!N74,'21.10 Kampala-Jinja-24h'!N74)</f>
        <v>0</v>
      </c>
      <c r="O74" s="15">
        <f t="shared" ref="O74:O105" si="35">SUM(C74:L74,N74)</f>
        <v>33.5</v>
      </c>
      <c r="P74" s="15">
        <f t="shared" ref="P74:P105" si="36">SUM(C74:N74)</f>
        <v>41.5</v>
      </c>
      <c r="R74" s="8"/>
      <c r="T74"/>
    </row>
    <row r="75" spans="2:20" ht="23.1" customHeight="1" x14ac:dyDescent="0.25">
      <c r="B75" s="23" t="s">
        <v>115</v>
      </c>
      <c r="C75" s="49">
        <f>AVERAGE('19.10 Kampala-Jinja-24hr'!C75,'21.10 Kampala-Jinja-24h'!C75)</f>
        <v>10</v>
      </c>
      <c r="D75" s="49">
        <f>AVERAGE('19.10 Kampala-Jinja-24hr'!D75,'21.10 Kampala-Jinja-24h'!D75)</f>
        <v>1.5</v>
      </c>
      <c r="E75" s="49">
        <f>AVERAGE('19.10 Kampala-Jinja-24hr'!E75,'21.10 Kampala-Jinja-24h'!E75)</f>
        <v>1</v>
      </c>
      <c r="F75" s="49">
        <f>AVERAGE('19.10 Kampala-Jinja-24hr'!F75,'21.10 Kampala-Jinja-24h'!F75)</f>
        <v>12.5</v>
      </c>
      <c r="G75" s="49">
        <f>AVERAGE('19.10 Kampala-Jinja-24hr'!G75,'21.10 Kampala-Jinja-24h'!G75)</f>
        <v>1</v>
      </c>
      <c r="H75" s="49">
        <f>AVERAGE('19.10 Kampala-Jinja-24hr'!H75,'21.10 Kampala-Jinja-24h'!H75)</f>
        <v>2.5</v>
      </c>
      <c r="I75" s="49">
        <f>AVERAGE('19.10 Kampala-Jinja-24hr'!I75,'21.10 Kampala-Jinja-24h'!I75)</f>
        <v>3.5</v>
      </c>
      <c r="J75" s="49">
        <f>AVERAGE('19.10 Kampala-Jinja-24hr'!J75,'21.10 Kampala-Jinja-24h'!J75)</f>
        <v>1.5</v>
      </c>
      <c r="K75" s="49">
        <f>AVERAGE('19.10 Kampala-Jinja-24hr'!K75,'21.10 Kampala-Jinja-24h'!K75)</f>
        <v>1.5</v>
      </c>
      <c r="L75" s="49">
        <f>AVERAGE('19.10 Kampala-Jinja-24hr'!L75,'21.10 Kampala-Jinja-24h'!L75)</f>
        <v>8.5</v>
      </c>
      <c r="M75" s="49">
        <f>AVERAGE('19.10 Kampala-Jinja-24hr'!M75,'21.10 Kampala-Jinja-24h'!M75)</f>
        <v>11</v>
      </c>
      <c r="N75" s="49">
        <f>AVERAGE('19.10 Kampala-Jinja-24hr'!N75,'21.10 Kampala-Jinja-24h'!N75)</f>
        <v>0</v>
      </c>
      <c r="O75" s="15">
        <f t="shared" si="35"/>
        <v>43.5</v>
      </c>
      <c r="P75" s="15">
        <f t="shared" si="36"/>
        <v>54.5</v>
      </c>
      <c r="R75" s="8"/>
      <c r="T75"/>
    </row>
    <row r="76" spans="2:20" ht="23.1" customHeight="1" x14ac:dyDescent="0.25">
      <c r="B76" s="23" t="s">
        <v>116</v>
      </c>
      <c r="C76" s="49">
        <f>AVERAGE('19.10 Kampala-Jinja-24hr'!C76,'21.10 Kampala-Jinja-24h'!C76)</f>
        <v>7</v>
      </c>
      <c r="D76" s="49">
        <f>AVERAGE('19.10 Kampala-Jinja-24hr'!D76,'21.10 Kampala-Jinja-24h'!D76)</f>
        <v>3</v>
      </c>
      <c r="E76" s="49">
        <f>AVERAGE('19.10 Kampala-Jinja-24hr'!E76,'21.10 Kampala-Jinja-24h'!E76)</f>
        <v>1</v>
      </c>
      <c r="F76" s="49">
        <f>AVERAGE('19.10 Kampala-Jinja-24hr'!F76,'21.10 Kampala-Jinja-24h'!F76)</f>
        <v>5</v>
      </c>
      <c r="G76" s="49">
        <f>AVERAGE('19.10 Kampala-Jinja-24hr'!G76,'21.10 Kampala-Jinja-24h'!G76)</f>
        <v>0.5</v>
      </c>
      <c r="H76" s="49">
        <f>AVERAGE('19.10 Kampala-Jinja-24hr'!H76,'21.10 Kampala-Jinja-24h'!H76)</f>
        <v>0.5</v>
      </c>
      <c r="I76" s="49">
        <f>AVERAGE('19.10 Kampala-Jinja-24hr'!I76,'21.10 Kampala-Jinja-24h'!I76)</f>
        <v>1</v>
      </c>
      <c r="J76" s="49">
        <f>AVERAGE('19.10 Kampala-Jinja-24hr'!J76,'21.10 Kampala-Jinja-24h'!J76)</f>
        <v>3</v>
      </c>
      <c r="K76" s="49">
        <f>AVERAGE('19.10 Kampala-Jinja-24hr'!K76,'21.10 Kampala-Jinja-24h'!K76)</f>
        <v>0</v>
      </c>
      <c r="L76" s="49">
        <f>AVERAGE('19.10 Kampala-Jinja-24hr'!L76,'21.10 Kampala-Jinja-24h'!L76)</f>
        <v>2</v>
      </c>
      <c r="M76" s="49">
        <f>AVERAGE('19.10 Kampala-Jinja-24hr'!M76,'21.10 Kampala-Jinja-24h'!M76)</f>
        <v>8.5</v>
      </c>
      <c r="N76" s="49">
        <f>AVERAGE('19.10 Kampala-Jinja-24hr'!N76,'21.10 Kampala-Jinja-24h'!N76)</f>
        <v>3</v>
      </c>
      <c r="O76" s="15">
        <f t="shared" si="35"/>
        <v>26</v>
      </c>
      <c r="P76" s="15">
        <f t="shared" si="36"/>
        <v>34.5</v>
      </c>
      <c r="R76" s="8"/>
      <c r="T76"/>
    </row>
    <row r="77" spans="2:20" ht="23.1" customHeight="1" x14ac:dyDescent="0.25">
      <c r="B77" s="23" t="s">
        <v>117</v>
      </c>
      <c r="C77" s="49">
        <f>AVERAGE('19.10 Kampala-Jinja-24hr'!C77,'21.10 Kampala-Jinja-24h'!C77)</f>
        <v>3</v>
      </c>
      <c r="D77" s="49">
        <f>AVERAGE('19.10 Kampala-Jinja-24hr'!D77,'21.10 Kampala-Jinja-24h'!D77)</f>
        <v>2</v>
      </c>
      <c r="E77" s="49">
        <f>AVERAGE('19.10 Kampala-Jinja-24hr'!E77,'21.10 Kampala-Jinja-24h'!E77)</f>
        <v>0.5</v>
      </c>
      <c r="F77" s="49">
        <f>AVERAGE('19.10 Kampala-Jinja-24hr'!F77,'21.10 Kampala-Jinja-24h'!F77)</f>
        <v>1</v>
      </c>
      <c r="G77" s="49">
        <f>AVERAGE('19.10 Kampala-Jinja-24hr'!G77,'21.10 Kampala-Jinja-24h'!G77)</f>
        <v>0.5</v>
      </c>
      <c r="H77" s="49">
        <f>AVERAGE('19.10 Kampala-Jinja-24hr'!H77,'21.10 Kampala-Jinja-24h'!H77)</f>
        <v>0</v>
      </c>
      <c r="I77" s="49">
        <f>AVERAGE('19.10 Kampala-Jinja-24hr'!I77,'21.10 Kampala-Jinja-24h'!I77)</f>
        <v>1</v>
      </c>
      <c r="J77" s="49">
        <f>AVERAGE('19.10 Kampala-Jinja-24hr'!J77,'21.10 Kampala-Jinja-24h'!J77)</f>
        <v>2</v>
      </c>
      <c r="K77" s="49">
        <f>AVERAGE('19.10 Kampala-Jinja-24hr'!K77,'21.10 Kampala-Jinja-24h'!K77)</f>
        <v>1.5</v>
      </c>
      <c r="L77" s="49">
        <f>AVERAGE('19.10 Kampala-Jinja-24hr'!L77,'21.10 Kampala-Jinja-24h'!L77)</f>
        <v>3.5</v>
      </c>
      <c r="M77" s="49">
        <f>AVERAGE('19.10 Kampala-Jinja-24hr'!M77,'21.10 Kampala-Jinja-24h'!M77)</f>
        <v>4</v>
      </c>
      <c r="N77" s="49">
        <f>AVERAGE('19.10 Kampala-Jinja-24hr'!N77,'21.10 Kampala-Jinja-24h'!N77)</f>
        <v>0</v>
      </c>
      <c r="O77" s="15">
        <f t="shared" si="35"/>
        <v>15</v>
      </c>
      <c r="P77" s="15">
        <f t="shared" si="36"/>
        <v>19</v>
      </c>
      <c r="R77" s="8"/>
      <c r="T77"/>
    </row>
    <row r="78" spans="2:20" ht="23.1" customHeight="1" x14ac:dyDescent="0.25">
      <c r="B78" s="24" t="s">
        <v>118</v>
      </c>
      <c r="C78" s="49">
        <f>AVERAGE('19.10 Kampala-Jinja-24hr'!C78,'21.10 Kampala-Jinja-24h'!C78)</f>
        <v>1</v>
      </c>
      <c r="D78" s="49">
        <f>AVERAGE('19.10 Kampala-Jinja-24hr'!D78,'21.10 Kampala-Jinja-24h'!D78)</f>
        <v>0.5</v>
      </c>
      <c r="E78" s="49">
        <f>AVERAGE('19.10 Kampala-Jinja-24hr'!E78,'21.10 Kampala-Jinja-24h'!E78)</f>
        <v>0.5</v>
      </c>
      <c r="F78" s="49">
        <f>AVERAGE('19.10 Kampala-Jinja-24hr'!F78,'21.10 Kampala-Jinja-24h'!F78)</f>
        <v>2</v>
      </c>
      <c r="G78" s="49">
        <f>AVERAGE('19.10 Kampala-Jinja-24hr'!G78,'21.10 Kampala-Jinja-24h'!G78)</f>
        <v>0.5</v>
      </c>
      <c r="H78" s="49">
        <f>AVERAGE('19.10 Kampala-Jinja-24hr'!H78,'21.10 Kampala-Jinja-24h'!H78)</f>
        <v>0</v>
      </c>
      <c r="I78" s="49">
        <f>AVERAGE('19.10 Kampala-Jinja-24hr'!I78,'21.10 Kampala-Jinja-24h'!I78)</f>
        <v>0.5</v>
      </c>
      <c r="J78" s="49">
        <f>AVERAGE('19.10 Kampala-Jinja-24hr'!J78,'21.10 Kampala-Jinja-24h'!J78)</f>
        <v>1</v>
      </c>
      <c r="K78" s="49">
        <f>AVERAGE('19.10 Kampala-Jinja-24hr'!K78,'21.10 Kampala-Jinja-24h'!K78)</f>
        <v>1.5</v>
      </c>
      <c r="L78" s="49">
        <f>AVERAGE('19.10 Kampala-Jinja-24hr'!L78,'21.10 Kampala-Jinja-24h'!L78)</f>
        <v>1.5</v>
      </c>
      <c r="M78" s="49">
        <f>AVERAGE('19.10 Kampala-Jinja-24hr'!M78,'21.10 Kampala-Jinja-24h'!M78)</f>
        <v>0.5</v>
      </c>
      <c r="N78" s="49">
        <f>AVERAGE('19.10 Kampala-Jinja-24hr'!N78,'21.10 Kampala-Jinja-24h'!N78)</f>
        <v>0</v>
      </c>
      <c r="O78" s="15">
        <f t="shared" si="35"/>
        <v>9</v>
      </c>
      <c r="P78" s="15">
        <f t="shared" si="36"/>
        <v>9.5</v>
      </c>
      <c r="R78" s="8"/>
      <c r="T78"/>
    </row>
    <row r="79" spans="2:20" ht="23.1" customHeight="1" x14ac:dyDescent="0.25">
      <c r="B79" s="23" t="s">
        <v>119</v>
      </c>
      <c r="C79" s="49">
        <f>AVERAGE('19.10 Kampala-Jinja-24hr'!C79,'21.10 Kampala-Jinja-24h'!C79)</f>
        <v>5</v>
      </c>
      <c r="D79" s="49">
        <f>AVERAGE('19.10 Kampala-Jinja-24hr'!D79,'21.10 Kampala-Jinja-24h'!D79)</f>
        <v>0</v>
      </c>
      <c r="E79" s="49">
        <f>AVERAGE('19.10 Kampala-Jinja-24hr'!E79,'21.10 Kampala-Jinja-24h'!E79)</f>
        <v>0</v>
      </c>
      <c r="F79" s="49">
        <f>AVERAGE('19.10 Kampala-Jinja-24hr'!F79,'21.10 Kampala-Jinja-24h'!F79)</f>
        <v>3</v>
      </c>
      <c r="G79" s="49">
        <f>AVERAGE('19.10 Kampala-Jinja-24hr'!G79,'21.10 Kampala-Jinja-24h'!G79)</f>
        <v>0</v>
      </c>
      <c r="H79" s="49">
        <f>AVERAGE('19.10 Kampala-Jinja-24hr'!H79,'21.10 Kampala-Jinja-24h'!H79)</f>
        <v>1</v>
      </c>
      <c r="I79" s="49">
        <f>AVERAGE('19.10 Kampala-Jinja-24hr'!I79,'21.10 Kampala-Jinja-24h'!I79)</f>
        <v>2</v>
      </c>
      <c r="J79" s="49">
        <f>AVERAGE('19.10 Kampala-Jinja-24hr'!J79,'21.10 Kampala-Jinja-24h'!J79)</f>
        <v>6.5</v>
      </c>
      <c r="K79" s="49">
        <f>AVERAGE('19.10 Kampala-Jinja-24hr'!K79,'21.10 Kampala-Jinja-24h'!K79)</f>
        <v>1</v>
      </c>
      <c r="L79" s="49">
        <f>AVERAGE('19.10 Kampala-Jinja-24hr'!L79,'21.10 Kampala-Jinja-24h'!L79)</f>
        <v>5</v>
      </c>
      <c r="M79" s="49">
        <f>AVERAGE('19.10 Kampala-Jinja-24hr'!M79,'21.10 Kampala-Jinja-24h'!M79)</f>
        <v>2</v>
      </c>
      <c r="N79" s="49">
        <f>AVERAGE('19.10 Kampala-Jinja-24hr'!N79,'21.10 Kampala-Jinja-24h'!N79)</f>
        <v>0</v>
      </c>
      <c r="O79" s="15">
        <f t="shared" si="35"/>
        <v>23.5</v>
      </c>
      <c r="P79" s="15">
        <f t="shared" si="36"/>
        <v>25.5</v>
      </c>
      <c r="R79" s="8"/>
      <c r="T79"/>
    </row>
    <row r="80" spans="2:20" ht="23.1" customHeight="1" x14ac:dyDescent="0.25">
      <c r="B80" s="25" t="s">
        <v>120</v>
      </c>
      <c r="C80" s="49">
        <f>AVERAGE('19.10 Kampala-Jinja-24hr'!C80,'21.10 Kampala-Jinja-24h'!C80)</f>
        <v>2</v>
      </c>
      <c r="D80" s="49">
        <f>AVERAGE('19.10 Kampala-Jinja-24hr'!D80,'21.10 Kampala-Jinja-24h'!D80)</f>
        <v>0.5</v>
      </c>
      <c r="E80" s="49">
        <f>AVERAGE('19.10 Kampala-Jinja-24hr'!E80,'21.10 Kampala-Jinja-24h'!E80)</f>
        <v>0.5</v>
      </c>
      <c r="F80" s="49">
        <f>AVERAGE('19.10 Kampala-Jinja-24hr'!F80,'21.10 Kampala-Jinja-24h'!F80)</f>
        <v>2.5</v>
      </c>
      <c r="G80" s="49">
        <f>AVERAGE('19.10 Kampala-Jinja-24hr'!G80,'21.10 Kampala-Jinja-24h'!G80)</f>
        <v>0</v>
      </c>
      <c r="H80" s="49">
        <f>AVERAGE('19.10 Kampala-Jinja-24hr'!H80,'21.10 Kampala-Jinja-24h'!H80)</f>
        <v>1</v>
      </c>
      <c r="I80" s="49">
        <f>AVERAGE('19.10 Kampala-Jinja-24hr'!I80,'21.10 Kampala-Jinja-24h'!I80)</f>
        <v>0</v>
      </c>
      <c r="J80" s="49">
        <f>AVERAGE('19.10 Kampala-Jinja-24hr'!J80,'21.10 Kampala-Jinja-24h'!J80)</f>
        <v>5.5</v>
      </c>
      <c r="K80" s="49">
        <f>AVERAGE('19.10 Kampala-Jinja-24hr'!K80,'21.10 Kampala-Jinja-24h'!K80)</f>
        <v>0</v>
      </c>
      <c r="L80" s="49">
        <f>AVERAGE('19.10 Kampala-Jinja-24hr'!L80,'21.10 Kampala-Jinja-24h'!L80)</f>
        <v>1</v>
      </c>
      <c r="M80" s="49">
        <f>AVERAGE('19.10 Kampala-Jinja-24hr'!M80,'21.10 Kampala-Jinja-24h'!M80)</f>
        <v>2</v>
      </c>
      <c r="N80" s="49">
        <f>AVERAGE('19.10 Kampala-Jinja-24hr'!N80,'21.10 Kampala-Jinja-24h'!N80)</f>
        <v>0</v>
      </c>
      <c r="O80" s="15">
        <f t="shared" si="35"/>
        <v>13</v>
      </c>
      <c r="P80" s="15">
        <f t="shared" si="36"/>
        <v>15</v>
      </c>
      <c r="R80" s="8"/>
      <c r="T80"/>
    </row>
    <row r="81" spans="2:20" ht="23.1" customHeight="1" x14ac:dyDescent="0.25">
      <c r="B81" s="23" t="s">
        <v>121</v>
      </c>
      <c r="C81" s="49">
        <f>AVERAGE('19.10 Kampala-Jinja-24hr'!C81,'21.10 Kampala-Jinja-24h'!C81)</f>
        <v>1.5</v>
      </c>
      <c r="D81" s="49">
        <f>AVERAGE('19.10 Kampala-Jinja-24hr'!D81,'21.10 Kampala-Jinja-24h'!D81)</f>
        <v>0.5</v>
      </c>
      <c r="E81" s="49">
        <f>AVERAGE('19.10 Kampala-Jinja-24hr'!E81,'21.10 Kampala-Jinja-24h'!E81)</f>
        <v>0.5</v>
      </c>
      <c r="F81" s="49">
        <f>AVERAGE('19.10 Kampala-Jinja-24hr'!F81,'21.10 Kampala-Jinja-24h'!F81)</f>
        <v>1</v>
      </c>
      <c r="G81" s="49">
        <f>AVERAGE('19.10 Kampala-Jinja-24hr'!G81,'21.10 Kampala-Jinja-24h'!G81)</f>
        <v>0.5</v>
      </c>
      <c r="H81" s="49">
        <f>AVERAGE('19.10 Kampala-Jinja-24hr'!H81,'21.10 Kampala-Jinja-24h'!H81)</f>
        <v>0</v>
      </c>
      <c r="I81" s="49">
        <f>AVERAGE('19.10 Kampala-Jinja-24hr'!I81,'21.10 Kampala-Jinja-24h'!I81)</f>
        <v>0</v>
      </c>
      <c r="J81" s="49">
        <f>AVERAGE('19.10 Kampala-Jinja-24hr'!J81,'21.10 Kampala-Jinja-24h'!J81)</f>
        <v>1.5</v>
      </c>
      <c r="K81" s="49">
        <f>AVERAGE('19.10 Kampala-Jinja-24hr'!K81,'21.10 Kampala-Jinja-24h'!K81)</f>
        <v>0</v>
      </c>
      <c r="L81" s="49">
        <f>AVERAGE('19.10 Kampala-Jinja-24hr'!L81,'21.10 Kampala-Jinja-24h'!L81)</f>
        <v>1.5</v>
      </c>
      <c r="M81" s="49">
        <f>AVERAGE('19.10 Kampala-Jinja-24hr'!M81,'21.10 Kampala-Jinja-24h'!M81)</f>
        <v>0</v>
      </c>
      <c r="N81" s="49">
        <f>AVERAGE('19.10 Kampala-Jinja-24hr'!N81,'21.10 Kampala-Jinja-24h'!N81)</f>
        <v>0</v>
      </c>
      <c r="O81" s="15">
        <f t="shared" si="35"/>
        <v>7</v>
      </c>
      <c r="P81" s="15">
        <f t="shared" si="36"/>
        <v>7</v>
      </c>
      <c r="R81" s="8"/>
      <c r="T81"/>
    </row>
    <row r="82" spans="2:20" ht="23.1" customHeight="1" x14ac:dyDescent="0.25">
      <c r="B82" s="24" t="s">
        <v>122</v>
      </c>
      <c r="C82" s="49">
        <f>AVERAGE('19.10 Kampala-Jinja-24hr'!C82,'21.10 Kampala-Jinja-24h'!C82)</f>
        <v>3</v>
      </c>
      <c r="D82" s="49">
        <f>AVERAGE('19.10 Kampala-Jinja-24hr'!D82,'21.10 Kampala-Jinja-24h'!D82)</f>
        <v>1</v>
      </c>
      <c r="E82" s="49">
        <f>AVERAGE('19.10 Kampala-Jinja-24hr'!E82,'21.10 Kampala-Jinja-24h'!E82)</f>
        <v>0.5</v>
      </c>
      <c r="F82" s="49">
        <f>AVERAGE('19.10 Kampala-Jinja-24hr'!F82,'21.10 Kampala-Jinja-24h'!F82)</f>
        <v>2.5</v>
      </c>
      <c r="G82" s="49">
        <f>AVERAGE('19.10 Kampala-Jinja-24hr'!G82,'21.10 Kampala-Jinja-24h'!G82)</f>
        <v>0</v>
      </c>
      <c r="H82" s="49">
        <f>AVERAGE('19.10 Kampala-Jinja-24hr'!H82,'21.10 Kampala-Jinja-24h'!H82)</f>
        <v>0</v>
      </c>
      <c r="I82" s="49">
        <f>AVERAGE('19.10 Kampala-Jinja-24hr'!I82,'21.10 Kampala-Jinja-24h'!I82)</f>
        <v>1.5</v>
      </c>
      <c r="J82" s="49">
        <f>AVERAGE('19.10 Kampala-Jinja-24hr'!J82,'21.10 Kampala-Jinja-24h'!J82)</f>
        <v>5</v>
      </c>
      <c r="K82" s="49">
        <f>AVERAGE('19.10 Kampala-Jinja-24hr'!K82,'21.10 Kampala-Jinja-24h'!K82)</f>
        <v>0.5</v>
      </c>
      <c r="L82" s="49">
        <f>AVERAGE('19.10 Kampala-Jinja-24hr'!L82,'21.10 Kampala-Jinja-24h'!L82)</f>
        <v>8</v>
      </c>
      <c r="M82" s="49">
        <f>AVERAGE('19.10 Kampala-Jinja-24hr'!M82,'21.10 Kampala-Jinja-24h'!M82)</f>
        <v>1.5</v>
      </c>
      <c r="N82" s="49">
        <f>AVERAGE('19.10 Kampala-Jinja-24hr'!N82,'21.10 Kampala-Jinja-24h'!N82)</f>
        <v>0</v>
      </c>
      <c r="O82" s="15">
        <f t="shared" si="35"/>
        <v>22</v>
      </c>
      <c r="P82" s="15">
        <f t="shared" si="36"/>
        <v>23.5</v>
      </c>
      <c r="R82" s="8"/>
      <c r="T82"/>
    </row>
    <row r="83" spans="2:20" ht="23.1" customHeight="1" x14ac:dyDescent="0.25">
      <c r="B83" s="23" t="s">
        <v>123</v>
      </c>
      <c r="C83" s="49">
        <f>AVERAGE('19.10 Kampala-Jinja-24hr'!C83,'21.10 Kampala-Jinja-24h'!C83)</f>
        <v>2</v>
      </c>
      <c r="D83" s="49">
        <f>AVERAGE('19.10 Kampala-Jinja-24hr'!D83,'21.10 Kampala-Jinja-24h'!D83)</f>
        <v>0</v>
      </c>
      <c r="E83" s="49">
        <f>AVERAGE('19.10 Kampala-Jinja-24hr'!E83,'21.10 Kampala-Jinja-24h'!E83)</f>
        <v>0</v>
      </c>
      <c r="F83" s="49">
        <f>AVERAGE('19.10 Kampala-Jinja-24hr'!F83,'21.10 Kampala-Jinja-24h'!F83)</f>
        <v>1</v>
      </c>
      <c r="G83" s="49">
        <f>AVERAGE('19.10 Kampala-Jinja-24hr'!G83,'21.10 Kampala-Jinja-24h'!G83)</f>
        <v>0</v>
      </c>
      <c r="H83" s="49">
        <f>AVERAGE('19.10 Kampala-Jinja-24hr'!H83,'21.10 Kampala-Jinja-24h'!H83)</f>
        <v>1</v>
      </c>
      <c r="I83" s="49">
        <f>AVERAGE('19.10 Kampala-Jinja-24hr'!I83,'21.10 Kampala-Jinja-24h'!I83)</f>
        <v>3.5</v>
      </c>
      <c r="J83" s="49">
        <f>AVERAGE('19.10 Kampala-Jinja-24hr'!J83,'21.10 Kampala-Jinja-24h'!J83)</f>
        <v>8</v>
      </c>
      <c r="K83" s="49">
        <f>AVERAGE('19.10 Kampala-Jinja-24hr'!K83,'21.10 Kampala-Jinja-24h'!K83)</f>
        <v>1</v>
      </c>
      <c r="L83" s="49">
        <f>AVERAGE('19.10 Kampala-Jinja-24hr'!L83,'21.10 Kampala-Jinja-24h'!L83)</f>
        <v>5.5</v>
      </c>
      <c r="M83" s="49">
        <f>AVERAGE('19.10 Kampala-Jinja-24hr'!M83,'21.10 Kampala-Jinja-24h'!M83)</f>
        <v>0.5</v>
      </c>
      <c r="N83" s="49">
        <f>AVERAGE('19.10 Kampala-Jinja-24hr'!N83,'21.10 Kampala-Jinja-24h'!N83)</f>
        <v>0</v>
      </c>
      <c r="O83" s="15">
        <f t="shared" si="35"/>
        <v>22</v>
      </c>
      <c r="P83" s="15">
        <f t="shared" si="36"/>
        <v>22.5</v>
      </c>
      <c r="R83" s="8"/>
      <c r="T83"/>
    </row>
    <row r="84" spans="2:20" ht="23.1" customHeight="1" x14ac:dyDescent="0.25">
      <c r="B84" s="25" t="s">
        <v>124</v>
      </c>
      <c r="C84" s="49">
        <f>AVERAGE('19.10 Kampala-Jinja-24hr'!C84,'21.10 Kampala-Jinja-24h'!C84)</f>
        <v>1.5</v>
      </c>
      <c r="D84" s="49">
        <f>AVERAGE('19.10 Kampala-Jinja-24hr'!D84,'21.10 Kampala-Jinja-24h'!D84)</f>
        <v>1</v>
      </c>
      <c r="E84" s="49">
        <f>AVERAGE('19.10 Kampala-Jinja-24hr'!E84,'21.10 Kampala-Jinja-24h'!E84)</f>
        <v>0.5</v>
      </c>
      <c r="F84" s="49">
        <f>AVERAGE('19.10 Kampala-Jinja-24hr'!F84,'21.10 Kampala-Jinja-24h'!F84)</f>
        <v>0.5</v>
      </c>
      <c r="G84" s="49">
        <f>AVERAGE('19.10 Kampala-Jinja-24hr'!G84,'21.10 Kampala-Jinja-24h'!G84)</f>
        <v>0</v>
      </c>
      <c r="H84" s="49">
        <f>AVERAGE('19.10 Kampala-Jinja-24hr'!H84,'21.10 Kampala-Jinja-24h'!H84)</f>
        <v>0</v>
      </c>
      <c r="I84" s="49">
        <f>AVERAGE('19.10 Kampala-Jinja-24hr'!I84,'21.10 Kampala-Jinja-24h'!I84)</f>
        <v>1</v>
      </c>
      <c r="J84" s="49">
        <f>AVERAGE('19.10 Kampala-Jinja-24hr'!J84,'21.10 Kampala-Jinja-24h'!J84)</f>
        <v>2</v>
      </c>
      <c r="K84" s="49">
        <f>AVERAGE('19.10 Kampala-Jinja-24hr'!K84,'21.10 Kampala-Jinja-24h'!K84)</f>
        <v>0</v>
      </c>
      <c r="L84" s="49">
        <f>AVERAGE('19.10 Kampala-Jinja-24hr'!L84,'21.10 Kampala-Jinja-24h'!L84)</f>
        <v>2.5</v>
      </c>
      <c r="M84" s="49">
        <f>AVERAGE('19.10 Kampala-Jinja-24hr'!M84,'21.10 Kampala-Jinja-24h'!M84)</f>
        <v>1</v>
      </c>
      <c r="N84" s="49">
        <f>AVERAGE('19.10 Kampala-Jinja-24hr'!N84,'21.10 Kampala-Jinja-24h'!N84)</f>
        <v>0</v>
      </c>
      <c r="O84" s="15">
        <f t="shared" si="35"/>
        <v>9</v>
      </c>
      <c r="P84" s="15">
        <f t="shared" si="36"/>
        <v>10</v>
      </c>
      <c r="R84" s="8"/>
      <c r="T84"/>
    </row>
    <row r="85" spans="2:20" ht="23.1" customHeight="1" x14ac:dyDescent="0.25">
      <c r="B85" s="23" t="s">
        <v>125</v>
      </c>
      <c r="C85" s="49">
        <f>AVERAGE('19.10 Kampala-Jinja-24hr'!C85,'21.10 Kampala-Jinja-24h'!C85)</f>
        <v>1.5</v>
      </c>
      <c r="D85" s="49">
        <f>AVERAGE('19.10 Kampala-Jinja-24hr'!D85,'21.10 Kampala-Jinja-24h'!D85)</f>
        <v>0.5</v>
      </c>
      <c r="E85" s="49">
        <f>AVERAGE('19.10 Kampala-Jinja-24hr'!E85,'21.10 Kampala-Jinja-24h'!E85)</f>
        <v>0.5</v>
      </c>
      <c r="F85" s="49">
        <f>AVERAGE('19.10 Kampala-Jinja-24hr'!F85,'21.10 Kampala-Jinja-24h'!F85)</f>
        <v>2</v>
      </c>
      <c r="G85" s="49">
        <f>AVERAGE('19.10 Kampala-Jinja-24hr'!G85,'21.10 Kampala-Jinja-24h'!G85)</f>
        <v>0</v>
      </c>
      <c r="H85" s="49">
        <f>AVERAGE('19.10 Kampala-Jinja-24hr'!H85,'21.10 Kampala-Jinja-24h'!H85)</f>
        <v>0.5</v>
      </c>
      <c r="I85" s="49">
        <f>AVERAGE('19.10 Kampala-Jinja-24hr'!I85,'21.10 Kampala-Jinja-24h'!I85)</f>
        <v>1.5</v>
      </c>
      <c r="J85" s="49">
        <f>AVERAGE('19.10 Kampala-Jinja-24hr'!J85,'21.10 Kampala-Jinja-24h'!J85)</f>
        <v>5.5</v>
      </c>
      <c r="K85" s="49">
        <f>AVERAGE('19.10 Kampala-Jinja-24hr'!K85,'21.10 Kampala-Jinja-24h'!K85)</f>
        <v>0</v>
      </c>
      <c r="L85" s="49">
        <f>AVERAGE('19.10 Kampala-Jinja-24hr'!L85,'21.10 Kampala-Jinja-24h'!L85)</f>
        <v>2.5</v>
      </c>
      <c r="M85" s="49">
        <f>AVERAGE('19.10 Kampala-Jinja-24hr'!M85,'21.10 Kampala-Jinja-24h'!M85)</f>
        <v>1</v>
      </c>
      <c r="N85" s="49">
        <f>AVERAGE('19.10 Kampala-Jinja-24hr'!N85,'21.10 Kampala-Jinja-24h'!N85)</f>
        <v>0</v>
      </c>
      <c r="O85" s="15">
        <f t="shared" si="35"/>
        <v>14.5</v>
      </c>
      <c r="P85" s="15">
        <f t="shared" si="36"/>
        <v>15.5</v>
      </c>
      <c r="R85" s="8"/>
      <c r="T85"/>
    </row>
    <row r="86" spans="2:20" ht="23.1" customHeight="1" x14ac:dyDescent="0.25">
      <c r="B86" s="24" t="s">
        <v>126</v>
      </c>
      <c r="C86" s="49">
        <f>AVERAGE('19.10 Kampala-Jinja-24hr'!C86,'21.10 Kampala-Jinja-24h'!C86)</f>
        <v>3</v>
      </c>
      <c r="D86" s="49">
        <f>AVERAGE('19.10 Kampala-Jinja-24hr'!D86,'21.10 Kampala-Jinja-24h'!D86)</f>
        <v>0.5</v>
      </c>
      <c r="E86" s="49">
        <f>AVERAGE('19.10 Kampala-Jinja-24hr'!E86,'21.10 Kampala-Jinja-24h'!E86)</f>
        <v>1</v>
      </c>
      <c r="F86" s="49">
        <f>AVERAGE('19.10 Kampala-Jinja-24hr'!F86,'21.10 Kampala-Jinja-24h'!F86)</f>
        <v>1</v>
      </c>
      <c r="G86" s="49">
        <f>AVERAGE('19.10 Kampala-Jinja-24hr'!G86,'21.10 Kampala-Jinja-24h'!G86)</f>
        <v>0</v>
      </c>
      <c r="H86" s="49">
        <f>AVERAGE('19.10 Kampala-Jinja-24hr'!H86,'21.10 Kampala-Jinja-24h'!H86)</f>
        <v>1</v>
      </c>
      <c r="I86" s="49">
        <f>AVERAGE('19.10 Kampala-Jinja-24hr'!I86,'21.10 Kampala-Jinja-24h'!I86)</f>
        <v>1</v>
      </c>
      <c r="J86" s="49">
        <f>AVERAGE('19.10 Kampala-Jinja-24hr'!J86,'21.10 Kampala-Jinja-24h'!J86)</f>
        <v>7.5</v>
      </c>
      <c r="K86" s="49">
        <f>AVERAGE('19.10 Kampala-Jinja-24hr'!K86,'21.10 Kampala-Jinja-24h'!K86)</f>
        <v>0.5</v>
      </c>
      <c r="L86" s="49">
        <f>AVERAGE('19.10 Kampala-Jinja-24hr'!L86,'21.10 Kampala-Jinja-24h'!L86)</f>
        <v>4.5</v>
      </c>
      <c r="M86" s="49">
        <f>AVERAGE('19.10 Kampala-Jinja-24hr'!M86,'21.10 Kampala-Jinja-24h'!M86)</f>
        <v>1</v>
      </c>
      <c r="N86" s="49">
        <f>AVERAGE('19.10 Kampala-Jinja-24hr'!N86,'21.10 Kampala-Jinja-24h'!N86)</f>
        <v>0</v>
      </c>
      <c r="O86" s="15">
        <f t="shared" si="35"/>
        <v>20</v>
      </c>
      <c r="P86" s="15">
        <f t="shared" si="36"/>
        <v>21</v>
      </c>
      <c r="R86" s="8"/>
      <c r="T86"/>
    </row>
    <row r="87" spans="2:20" ht="23.1" customHeight="1" x14ac:dyDescent="0.25">
      <c r="B87" s="23" t="s">
        <v>127</v>
      </c>
      <c r="C87" s="49">
        <f>AVERAGE('19.10 Kampala-Jinja-24hr'!C87,'21.10 Kampala-Jinja-24h'!C87)</f>
        <v>1</v>
      </c>
      <c r="D87" s="49">
        <f>AVERAGE('19.10 Kampala-Jinja-24hr'!D87,'21.10 Kampala-Jinja-24h'!D87)</f>
        <v>1.5</v>
      </c>
      <c r="E87" s="49">
        <f>AVERAGE('19.10 Kampala-Jinja-24hr'!E87,'21.10 Kampala-Jinja-24h'!E87)</f>
        <v>0.5</v>
      </c>
      <c r="F87" s="49">
        <f>AVERAGE('19.10 Kampala-Jinja-24hr'!F87,'21.10 Kampala-Jinja-24h'!F87)</f>
        <v>1</v>
      </c>
      <c r="G87" s="49">
        <f>AVERAGE('19.10 Kampala-Jinja-24hr'!G87,'21.10 Kampala-Jinja-24h'!G87)</f>
        <v>0</v>
      </c>
      <c r="H87" s="49">
        <f>AVERAGE('19.10 Kampala-Jinja-24hr'!H87,'21.10 Kampala-Jinja-24h'!H87)</f>
        <v>1</v>
      </c>
      <c r="I87" s="49">
        <f>AVERAGE('19.10 Kampala-Jinja-24hr'!I87,'21.10 Kampala-Jinja-24h'!I87)</f>
        <v>3</v>
      </c>
      <c r="J87" s="49">
        <f>AVERAGE('19.10 Kampala-Jinja-24hr'!J87,'21.10 Kampala-Jinja-24h'!J87)</f>
        <v>5.5</v>
      </c>
      <c r="K87" s="49">
        <f>AVERAGE('19.10 Kampala-Jinja-24hr'!K87,'21.10 Kampala-Jinja-24h'!K87)</f>
        <v>0.5</v>
      </c>
      <c r="L87" s="49">
        <f>AVERAGE('19.10 Kampala-Jinja-24hr'!L87,'21.10 Kampala-Jinja-24h'!L87)</f>
        <v>6.5</v>
      </c>
      <c r="M87" s="49">
        <f>AVERAGE('19.10 Kampala-Jinja-24hr'!M87,'21.10 Kampala-Jinja-24h'!M87)</f>
        <v>0.5</v>
      </c>
      <c r="N87" s="49">
        <f>AVERAGE('19.10 Kampala-Jinja-24hr'!N87,'21.10 Kampala-Jinja-24h'!N87)</f>
        <v>0</v>
      </c>
      <c r="O87" s="15">
        <f t="shared" si="35"/>
        <v>20.5</v>
      </c>
      <c r="P87" s="15">
        <f t="shared" si="36"/>
        <v>21</v>
      </c>
      <c r="R87" s="8"/>
      <c r="T87"/>
    </row>
    <row r="88" spans="2:20" ht="23.1" customHeight="1" x14ac:dyDescent="0.25">
      <c r="B88" s="25" t="s">
        <v>128</v>
      </c>
      <c r="C88" s="49">
        <f>AVERAGE('19.10 Kampala-Jinja-24hr'!C88,'21.10 Kampala-Jinja-24h'!C88)</f>
        <v>1</v>
      </c>
      <c r="D88" s="49">
        <f>AVERAGE('19.10 Kampala-Jinja-24hr'!D88,'21.10 Kampala-Jinja-24h'!D88)</f>
        <v>0</v>
      </c>
      <c r="E88" s="49">
        <f>AVERAGE('19.10 Kampala-Jinja-24hr'!E88,'21.10 Kampala-Jinja-24h'!E88)</f>
        <v>0.5</v>
      </c>
      <c r="F88" s="49">
        <f>AVERAGE('19.10 Kampala-Jinja-24hr'!F88,'21.10 Kampala-Jinja-24h'!F88)</f>
        <v>1</v>
      </c>
      <c r="G88" s="49">
        <f>AVERAGE('19.10 Kampala-Jinja-24hr'!G88,'21.10 Kampala-Jinja-24h'!G88)</f>
        <v>0.5</v>
      </c>
      <c r="H88" s="49">
        <f>AVERAGE('19.10 Kampala-Jinja-24hr'!H88,'21.10 Kampala-Jinja-24h'!H88)</f>
        <v>0</v>
      </c>
      <c r="I88" s="49">
        <f>AVERAGE('19.10 Kampala-Jinja-24hr'!I88,'21.10 Kampala-Jinja-24h'!I88)</f>
        <v>0</v>
      </c>
      <c r="J88" s="49">
        <f>AVERAGE('19.10 Kampala-Jinja-24hr'!J88,'21.10 Kampala-Jinja-24h'!J88)</f>
        <v>4.5</v>
      </c>
      <c r="K88" s="49">
        <f>AVERAGE('19.10 Kampala-Jinja-24hr'!K88,'21.10 Kampala-Jinja-24h'!K88)</f>
        <v>3.5</v>
      </c>
      <c r="L88" s="49">
        <f>AVERAGE('19.10 Kampala-Jinja-24hr'!L88,'21.10 Kampala-Jinja-24h'!L88)</f>
        <v>1.5</v>
      </c>
      <c r="M88" s="49">
        <f>AVERAGE('19.10 Kampala-Jinja-24hr'!M88,'21.10 Kampala-Jinja-24h'!M88)</f>
        <v>1</v>
      </c>
      <c r="N88" s="49">
        <f>AVERAGE('19.10 Kampala-Jinja-24hr'!N88,'21.10 Kampala-Jinja-24h'!N88)</f>
        <v>0</v>
      </c>
      <c r="O88" s="15">
        <f t="shared" si="35"/>
        <v>12.5</v>
      </c>
      <c r="P88" s="15">
        <f t="shared" si="36"/>
        <v>13.5</v>
      </c>
      <c r="R88" s="8"/>
      <c r="T88"/>
    </row>
    <row r="89" spans="2:20" ht="23.1" customHeight="1" x14ac:dyDescent="0.25">
      <c r="B89" s="23" t="s">
        <v>129</v>
      </c>
      <c r="C89" s="49">
        <f>AVERAGE('19.10 Kampala-Jinja-24hr'!C89,'21.10 Kampala-Jinja-24h'!C89)</f>
        <v>2.5</v>
      </c>
      <c r="D89" s="49">
        <f>AVERAGE('19.10 Kampala-Jinja-24hr'!D89,'21.10 Kampala-Jinja-24h'!D89)</f>
        <v>0.5</v>
      </c>
      <c r="E89" s="49">
        <f>AVERAGE('19.10 Kampala-Jinja-24hr'!E89,'21.10 Kampala-Jinja-24h'!E89)</f>
        <v>0.5</v>
      </c>
      <c r="F89" s="49">
        <f>AVERAGE('19.10 Kampala-Jinja-24hr'!F89,'21.10 Kampala-Jinja-24h'!F89)</f>
        <v>2</v>
      </c>
      <c r="G89" s="49">
        <f>AVERAGE('19.10 Kampala-Jinja-24hr'!G89,'21.10 Kampala-Jinja-24h'!G89)</f>
        <v>0</v>
      </c>
      <c r="H89" s="49">
        <f>AVERAGE('19.10 Kampala-Jinja-24hr'!H89,'21.10 Kampala-Jinja-24h'!H89)</f>
        <v>1</v>
      </c>
      <c r="I89" s="49">
        <f>AVERAGE('19.10 Kampala-Jinja-24hr'!I89,'21.10 Kampala-Jinja-24h'!I89)</f>
        <v>2.5</v>
      </c>
      <c r="J89" s="49">
        <f>AVERAGE('19.10 Kampala-Jinja-24hr'!J89,'21.10 Kampala-Jinja-24h'!J89)</f>
        <v>2.5</v>
      </c>
      <c r="K89" s="49">
        <f>AVERAGE('19.10 Kampala-Jinja-24hr'!K89,'21.10 Kampala-Jinja-24h'!K89)</f>
        <v>1.5</v>
      </c>
      <c r="L89" s="49">
        <f>AVERAGE('19.10 Kampala-Jinja-24hr'!L89,'21.10 Kampala-Jinja-24h'!L89)</f>
        <v>2.5</v>
      </c>
      <c r="M89" s="49">
        <f>AVERAGE('19.10 Kampala-Jinja-24hr'!M89,'21.10 Kampala-Jinja-24h'!M89)</f>
        <v>1</v>
      </c>
      <c r="N89" s="49">
        <f>AVERAGE('19.10 Kampala-Jinja-24hr'!N89,'21.10 Kampala-Jinja-24h'!N89)</f>
        <v>0</v>
      </c>
      <c r="O89" s="15">
        <f t="shared" si="35"/>
        <v>15.5</v>
      </c>
      <c r="P89" s="15">
        <f t="shared" si="36"/>
        <v>16.5</v>
      </c>
      <c r="R89" s="8"/>
      <c r="T89"/>
    </row>
    <row r="90" spans="2:20" ht="23.1" customHeight="1" x14ac:dyDescent="0.25">
      <c r="B90" s="24" t="s">
        <v>130</v>
      </c>
      <c r="C90" s="49">
        <f>AVERAGE('19.10 Kampala-Jinja-24hr'!C90,'21.10 Kampala-Jinja-24h'!C90)</f>
        <v>0.5</v>
      </c>
      <c r="D90" s="49">
        <f>AVERAGE('19.10 Kampala-Jinja-24hr'!D90,'21.10 Kampala-Jinja-24h'!D90)</f>
        <v>0</v>
      </c>
      <c r="E90" s="49">
        <f>AVERAGE('19.10 Kampala-Jinja-24hr'!E90,'21.10 Kampala-Jinja-24h'!E90)</f>
        <v>1.5</v>
      </c>
      <c r="F90" s="49">
        <f>AVERAGE('19.10 Kampala-Jinja-24hr'!F90,'21.10 Kampala-Jinja-24h'!F90)</f>
        <v>0.5</v>
      </c>
      <c r="G90" s="49">
        <f>AVERAGE('19.10 Kampala-Jinja-24hr'!G90,'21.10 Kampala-Jinja-24h'!G90)</f>
        <v>0</v>
      </c>
      <c r="H90" s="49">
        <f>AVERAGE('19.10 Kampala-Jinja-24hr'!H90,'21.10 Kampala-Jinja-24h'!H90)</f>
        <v>0.5</v>
      </c>
      <c r="I90" s="49">
        <f>AVERAGE('19.10 Kampala-Jinja-24hr'!I90,'21.10 Kampala-Jinja-24h'!I90)</f>
        <v>0</v>
      </c>
      <c r="J90" s="49">
        <f>AVERAGE('19.10 Kampala-Jinja-24hr'!J90,'21.10 Kampala-Jinja-24h'!J90)</f>
        <v>6</v>
      </c>
      <c r="K90" s="49">
        <f>AVERAGE('19.10 Kampala-Jinja-24hr'!K90,'21.10 Kampala-Jinja-24h'!K90)</f>
        <v>0.5</v>
      </c>
      <c r="L90" s="49">
        <f>AVERAGE('19.10 Kampala-Jinja-24hr'!L90,'21.10 Kampala-Jinja-24h'!L90)</f>
        <v>3.5</v>
      </c>
      <c r="M90" s="49">
        <f>AVERAGE('19.10 Kampala-Jinja-24hr'!M90,'21.10 Kampala-Jinja-24h'!M90)</f>
        <v>0.5</v>
      </c>
      <c r="N90" s="49">
        <f>AVERAGE('19.10 Kampala-Jinja-24hr'!N90,'21.10 Kampala-Jinja-24h'!N90)</f>
        <v>0</v>
      </c>
      <c r="O90" s="15">
        <f t="shared" si="35"/>
        <v>13</v>
      </c>
      <c r="P90" s="15">
        <f t="shared" si="36"/>
        <v>13.5</v>
      </c>
      <c r="R90" s="8"/>
      <c r="T90"/>
    </row>
    <row r="91" spans="2:20" ht="23.1" customHeight="1" x14ac:dyDescent="0.25">
      <c r="B91" s="23" t="s">
        <v>131</v>
      </c>
      <c r="C91" s="49">
        <f>AVERAGE('19.10 Kampala-Jinja-24hr'!C91,'21.10 Kampala-Jinja-24h'!C91)</f>
        <v>0</v>
      </c>
      <c r="D91" s="49">
        <f>AVERAGE('19.10 Kampala-Jinja-24hr'!D91,'21.10 Kampala-Jinja-24h'!D91)</f>
        <v>0</v>
      </c>
      <c r="E91" s="49">
        <f>AVERAGE('19.10 Kampala-Jinja-24hr'!E91,'21.10 Kampala-Jinja-24h'!E91)</f>
        <v>0.5</v>
      </c>
      <c r="F91" s="49">
        <f>AVERAGE('19.10 Kampala-Jinja-24hr'!F91,'21.10 Kampala-Jinja-24h'!F91)</f>
        <v>0</v>
      </c>
      <c r="G91" s="49">
        <f>AVERAGE('19.10 Kampala-Jinja-24hr'!G91,'21.10 Kampala-Jinja-24h'!G91)</f>
        <v>0</v>
      </c>
      <c r="H91" s="49">
        <f>AVERAGE('19.10 Kampala-Jinja-24hr'!H91,'21.10 Kampala-Jinja-24h'!H91)</f>
        <v>0.5</v>
      </c>
      <c r="I91" s="49">
        <f>AVERAGE('19.10 Kampala-Jinja-24hr'!I91,'21.10 Kampala-Jinja-24h'!I91)</f>
        <v>0.5</v>
      </c>
      <c r="J91" s="49">
        <f>AVERAGE('19.10 Kampala-Jinja-24hr'!J91,'21.10 Kampala-Jinja-24h'!J91)</f>
        <v>2</v>
      </c>
      <c r="K91" s="49">
        <f>AVERAGE('19.10 Kampala-Jinja-24hr'!K91,'21.10 Kampala-Jinja-24h'!K91)</f>
        <v>0</v>
      </c>
      <c r="L91" s="49">
        <f>AVERAGE('19.10 Kampala-Jinja-24hr'!L91,'21.10 Kampala-Jinja-24h'!L91)</f>
        <v>0.5</v>
      </c>
      <c r="M91" s="49">
        <f>AVERAGE('19.10 Kampala-Jinja-24hr'!M91,'21.10 Kampala-Jinja-24h'!M91)</f>
        <v>1</v>
      </c>
      <c r="N91" s="49">
        <f>AVERAGE('19.10 Kampala-Jinja-24hr'!N91,'21.10 Kampala-Jinja-24h'!N91)</f>
        <v>0</v>
      </c>
      <c r="O91" s="15">
        <f t="shared" si="35"/>
        <v>4</v>
      </c>
      <c r="P91" s="15">
        <f t="shared" si="36"/>
        <v>5</v>
      </c>
      <c r="R91" s="8"/>
      <c r="T91"/>
    </row>
    <row r="92" spans="2:20" ht="23.1" customHeight="1" x14ac:dyDescent="0.25">
      <c r="B92" s="25" t="s">
        <v>132</v>
      </c>
      <c r="C92" s="49">
        <f>AVERAGE('19.10 Kampala-Jinja-24hr'!C92,'21.10 Kampala-Jinja-24h'!C92)</f>
        <v>0.5</v>
      </c>
      <c r="D92" s="49">
        <f>AVERAGE('19.10 Kampala-Jinja-24hr'!D92,'21.10 Kampala-Jinja-24h'!D92)</f>
        <v>0</v>
      </c>
      <c r="E92" s="49">
        <f>AVERAGE('19.10 Kampala-Jinja-24hr'!E92,'21.10 Kampala-Jinja-24h'!E92)</f>
        <v>0</v>
      </c>
      <c r="F92" s="49">
        <f>AVERAGE('19.10 Kampala-Jinja-24hr'!F92,'21.10 Kampala-Jinja-24h'!F92)</f>
        <v>1</v>
      </c>
      <c r="G92" s="49">
        <f>AVERAGE('19.10 Kampala-Jinja-24hr'!G92,'21.10 Kampala-Jinja-24h'!G92)</f>
        <v>0</v>
      </c>
      <c r="H92" s="49">
        <f>AVERAGE('19.10 Kampala-Jinja-24hr'!H92,'21.10 Kampala-Jinja-24h'!H92)</f>
        <v>0.5</v>
      </c>
      <c r="I92" s="49">
        <f>AVERAGE('19.10 Kampala-Jinja-24hr'!I92,'21.10 Kampala-Jinja-24h'!I92)</f>
        <v>1</v>
      </c>
      <c r="J92" s="49">
        <f>AVERAGE('19.10 Kampala-Jinja-24hr'!J92,'21.10 Kampala-Jinja-24h'!J92)</f>
        <v>1.5</v>
      </c>
      <c r="K92" s="49">
        <f>AVERAGE('19.10 Kampala-Jinja-24hr'!K92,'21.10 Kampala-Jinja-24h'!K92)</f>
        <v>0</v>
      </c>
      <c r="L92" s="49">
        <f>AVERAGE('19.10 Kampala-Jinja-24hr'!L92,'21.10 Kampala-Jinja-24h'!L92)</f>
        <v>0.5</v>
      </c>
      <c r="M92" s="49">
        <f>AVERAGE('19.10 Kampala-Jinja-24hr'!M92,'21.10 Kampala-Jinja-24h'!M92)</f>
        <v>0</v>
      </c>
      <c r="N92" s="49">
        <f>AVERAGE('19.10 Kampala-Jinja-24hr'!N92,'21.10 Kampala-Jinja-24h'!N92)</f>
        <v>0</v>
      </c>
      <c r="O92" s="15">
        <f t="shared" si="35"/>
        <v>5</v>
      </c>
      <c r="P92" s="15">
        <f t="shared" si="36"/>
        <v>5</v>
      </c>
      <c r="R92" s="8"/>
      <c r="T92"/>
    </row>
    <row r="93" spans="2:20" ht="23.1" customHeight="1" x14ac:dyDescent="0.25">
      <c r="B93" s="23" t="s">
        <v>133</v>
      </c>
      <c r="C93" s="49">
        <f>AVERAGE('19.10 Kampala-Jinja-24hr'!C93,'21.10 Kampala-Jinja-24h'!C93)</f>
        <v>1</v>
      </c>
      <c r="D93" s="49">
        <f>AVERAGE('19.10 Kampala-Jinja-24hr'!D93,'21.10 Kampala-Jinja-24h'!D93)</f>
        <v>0</v>
      </c>
      <c r="E93" s="49">
        <f>AVERAGE('19.10 Kampala-Jinja-24hr'!E93,'21.10 Kampala-Jinja-24h'!E93)</f>
        <v>0.5</v>
      </c>
      <c r="F93" s="49">
        <f>AVERAGE('19.10 Kampala-Jinja-24hr'!F93,'21.10 Kampala-Jinja-24h'!F93)</f>
        <v>1.5</v>
      </c>
      <c r="G93" s="49">
        <f>AVERAGE('19.10 Kampala-Jinja-24hr'!G93,'21.10 Kampala-Jinja-24h'!G93)</f>
        <v>0</v>
      </c>
      <c r="H93" s="49">
        <f>AVERAGE('19.10 Kampala-Jinja-24hr'!H93,'21.10 Kampala-Jinja-24h'!H93)</f>
        <v>0</v>
      </c>
      <c r="I93" s="49">
        <f>AVERAGE('19.10 Kampala-Jinja-24hr'!I93,'21.10 Kampala-Jinja-24h'!I93)</f>
        <v>0</v>
      </c>
      <c r="J93" s="49">
        <f>AVERAGE('19.10 Kampala-Jinja-24hr'!J93,'21.10 Kampala-Jinja-24h'!J93)</f>
        <v>3</v>
      </c>
      <c r="K93" s="49">
        <f>AVERAGE('19.10 Kampala-Jinja-24hr'!K93,'21.10 Kampala-Jinja-24h'!K93)</f>
        <v>0</v>
      </c>
      <c r="L93" s="49">
        <f>AVERAGE('19.10 Kampala-Jinja-24hr'!L93,'21.10 Kampala-Jinja-24h'!L93)</f>
        <v>4.5</v>
      </c>
      <c r="M93" s="49">
        <f>AVERAGE('19.10 Kampala-Jinja-24hr'!M93,'21.10 Kampala-Jinja-24h'!M93)</f>
        <v>1</v>
      </c>
      <c r="N93" s="49">
        <f>AVERAGE('19.10 Kampala-Jinja-24hr'!N93,'21.10 Kampala-Jinja-24h'!N93)</f>
        <v>0</v>
      </c>
      <c r="O93" s="15">
        <f t="shared" si="35"/>
        <v>10.5</v>
      </c>
      <c r="P93" s="15">
        <f t="shared" si="36"/>
        <v>11.5</v>
      </c>
      <c r="R93" s="8"/>
      <c r="T93"/>
    </row>
    <row r="94" spans="2:20" ht="23.1" customHeight="1" x14ac:dyDescent="0.25">
      <c r="B94" s="24" t="s">
        <v>134</v>
      </c>
      <c r="C94" s="49">
        <f>AVERAGE('19.10 Kampala-Jinja-24hr'!C94,'21.10 Kampala-Jinja-24h'!C94)</f>
        <v>1.5</v>
      </c>
      <c r="D94" s="49">
        <f>AVERAGE('19.10 Kampala-Jinja-24hr'!D94,'21.10 Kampala-Jinja-24h'!D94)</f>
        <v>0.5</v>
      </c>
      <c r="E94" s="49">
        <f>AVERAGE('19.10 Kampala-Jinja-24hr'!E94,'21.10 Kampala-Jinja-24h'!E94)</f>
        <v>0.5</v>
      </c>
      <c r="F94" s="49">
        <f>AVERAGE('19.10 Kampala-Jinja-24hr'!F94,'21.10 Kampala-Jinja-24h'!F94)</f>
        <v>0.5</v>
      </c>
      <c r="G94" s="49">
        <f>AVERAGE('19.10 Kampala-Jinja-24hr'!G94,'21.10 Kampala-Jinja-24h'!G94)</f>
        <v>0.5</v>
      </c>
      <c r="H94" s="49">
        <f>AVERAGE('19.10 Kampala-Jinja-24hr'!H94,'21.10 Kampala-Jinja-24h'!H94)</f>
        <v>0</v>
      </c>
      <c r="I94" s="49">
        <f>AVERAGE('19.10 Kampala-Jinja-24hr'!I94,'21.10 Kampala-Jinja-24h'!I94)</f>
        <v>1.5</v>
      </c>
      <c r="J94" s="49">
        <f>AVERAGE('19.10 Kampala-Jinja-24hr'!J94,'21.10 Kampala-Jinja-24h'!J94)</f>
        <v>2.5</v>
      </c>
      <c r="K94" s="49">
        <f>AVERAGE('19.10 Kampala-Jinja-24hr'!K94,'21.10 Kampala-Jinja-24h'!K94)</f>
        <v>0.5</v>
      </c>
      <c r="L94" s="49">
        <f>AVERAGE('19.10 Kampala-Jinja-24hr'!L94,'21.10 Kampala-Jinja-24h'!L94)</f>
        <v>2.5</v>
      </c>
      <c r="M94" s="49">
        <f>AVERAGE('19.10 Kampala-Jinja-24hr'!M94,'21.10 Kampala-Jinja-24h'!M94)</f>
        <v>0</v>
      </c>
      <c r="N94" s="49">
        <f>AVERAGE('19.10 Kampala-Jinja-24hr'!N94,'21.10 Kampala-Jinja-24h'!N94)</f>
        <v>0</v>
      </c>
      <c r="O94" s="15">
        <f t="shared" si="35"/>
        <v>10.5</v>
      </c>
      <c r="P94" s="15">
        <f t="shared" si="36"/>
        <v>10.5</v>
      </c>
      <c r="R94" s="8"/>
      <c r="T94"/>
    </row>
    <row r="95" spans="2:20" ht="23.1" customHeight="1" x14ac:dyDescent="0.25">
      <c r="B95" s="23" t="s">
        <v>135</v>
      </c>
      <c r="C95" s="49">
        <f>AVERAGE('19.10 Kampala-Jinja-24hr'!C95,'21.10 Kampala-Jinja-24h'!C95)</f>
        <v>1.5</v>
      </c>
      <c r="D95" s="49">
        <f>AVERAGE('19.10 Kampala-Jinja-24hr'!D95,'21.10 Kampala-Jinja-24h'!D95)</f>
        <v>1</v>
      </c>
      <c r="E95" s="49">
        <f>AVERAGE('19.10 Kampala-Jinja-24hr'!E95,'21.10 Kampala-Jinja-24h'!E95)</f>
        <v>0.5</v>
      </c>
      <c r="F95" s="49">
        <f>AVERAGE('19.10 Kampala-Jinja-24hr'!F95,'21.10 Kampala-Jinja-24h'!F95)</f>
        <v>1.5</v>
      </c>
      <c r="G95" s="49">
        <f>AVERAGE('19.10 Kampala-Jinja-24hr'!G95,'21.10 Kampala-Jinja-24h'!G95)</f>
        <v>0</v>
      </c>
      <c r="H95" s="49">
        <f>AVERAGE('19.10 Kampala-Jinja-24hr'!H95,'21.10 Kampala-Jinja-24h'!H95)</f>
        <v>0</v>
      </c>
      <c r="I95" s="49">
        <f>AVERAGE('19.10 Kampala-Jinja-24hr'!I95,'21.10 Kampala-Jinja-24h'!I95)</f>
        <v>0.5</v>
      </c>
      <c r="J95" s="49">
        <f>AVERAGE('19.10 Kampala-Jinja-24hr'!J95,'21.10 Kampala-Jinja-24h'!J95)</f>
        <v>1</v>
      </c>
      <c r="K95" s="49">
        <f>AVERAGE('19.10 Kampala-Jinja-24hr'!K95,'21.10 Kampala-Jinja-24h'!K95)</f>
        <v>1</v>
      </c>
      <c r="L95" s="49">
        <f>AVERAGE('19.10 Kampala-Jinja-24hr'!L95,'21.10 Kampala-Jinja-24h'!L95)</f>
        <v>2.5</v>
      </c>
      <c r="M95" s="49">
        <f>AVERAGE('19.10 Kampala-Jinja-24hr'!M95,'21.10 Kampala-Jinja-24h'!M95)</f>
        <v>0.5</v>
      </c>
      <c r="N95" s="49">
        <f>AVERAGE('19.10 Kampala-Jinja-24hr'!N95,'21.10 Kampala-Jinja-24h'!N95)</f>
        <v>0</v>
      </c>
      <c r="O95" s="15">
        <f t="shared" si="35"/>
        <v>9.5</v>
      </c>
      <c r="P95" s="15">
        <f t="shared" si="36"/>
        <v>10</v>
      </c>
      <c r="R95" s="8"/>
      <c r="T95"/>
    </row>
    <row r="96" spans="2:20" ht="23.1" customHeight="1" x14ac:dyDescent="0.25">
      <c r="B96" s="25" t="s">
        <v>136</v>
      </c>
      <c r="C96" s="49">
        <f>AVERAGE('19.10 Kampala-Jinja-24hr'!C96,'21.10 Kampala-Jinja-24h'!C96)</f>
        <v>1</v>
      </c>
      <c r="D96" s="49">
        <f>AVERAGE('19.10 Kampala-Jinja-24hr'!D96,'21.10 Kampala-Jinja-24h'!D96)</f>
        <v>0</v>
      </c>
      <c r="E96" s="49">
        <f>AVERAGE('19.10 Kampala-Jinja-24hr'!E96,'21.10 Kampala-Jinja-24h'!E96)</f>
        <v>0</v>
      </c>
      <c r="F96" s="49">
        <f>AVERAGE('19.10 Kampala-Jinja-24hr'!F96,'21.10 Kampala-Jinja-24h'!F96)</f>
        <v>0.5</v>
      </c>
      <c r="G96" s="49">
        <f>AVERAGE('19.10 Kampala-Jinja-24hr'!G96,'21.10 Kampala-Jinja-24h'!G96)</f>
        <v>0</v>
      </c>
      <c r="H96" s="49">
        <f>AVERAGE('19.10 Kampala-Jinja-24hr'!H96,'21.10 Kampala-Jinja-24h'!H96)</f>
        <v>0.5</v>
      </c>
      <c r="I96" s="49">
        <f>AVERAGE('19.10 Kampala-Jinja-24hr'!I96,'21.10 Kampala-Jinja-24h'!I96)</f>
        <v>1</v>
      </c>
      <c r="J96" s="49">
        <f>AVERAGE('19.10 Kampala-Jinja-24hr'!J96,'21.10 Kampala-Jinja-24h'!J96)</f>
        <v>5.5</v>
      </c>
      <c r="K96" s="49">
        <f>AVERAGE('19.10 Kampala-Jinja-24hr'!K96,'21.10 Kampala-Jinja-24h'!K96)</f>
        <v>0</v>
      </c>
      <c r="L96" s="49">
        <f>AVERAGE('19.10 Kampala-Jinja-24hr'!L96,'21.10 Kampala-Jinja-24h'!L96)</f>
        <v>0.5</v>
      </c>
      <c r="M96" s="49">
        <f>AVERAGE('19.10 Kampala-Jinja-24hr'!M96,'21.10 Kampala-Jinja-24h'!M96)</f>
        <v>0.5</v>
      </c>
      <c r="N96" s="49">
        <f>AVERAGE('19.10 Kampala-Jinja-24hr'!N96,'21.10 Kampala-Jinja-24h'!N96)</f>
        <v>0</v>
      </c>
      <c r="O96" s="15">
        <f t="shared" si="35"/>
        <v>9</v>
      </c>
      <c r="P96" s="15">
        <f t="shared" si="36"/>
        <v>9.5</v>
      </c>
      <c r="R96" s="8"/>
      <c r="T96"/>
    </row>
    <row r="97" spans="2:20" ht="23.1" customHeight="1" x14ac:dyDescent="0.25">
      <c r="B97" s="23" t="s">
        <v>137</v>
      </c>
      <c r="C97" s="49">
        <f>AVERAGE('19.10 Kampala-Jinja-24hr'!C97,'21.10 Kampala-Jinja-24h'!C97)</f>
        <v>1.5</v>
      </c>
      <c r="D97" s="49">
        <f>AVERAGE('19.10 Kampala-Jinja-24hr'!D97,'21.10 Kampala-Jinja-24h'!D97)</f>
        <v>0</v>
      </c>
      <c r="E97" s="49">
        <f>AVERAGE('19.10 Kampala-Jinja-24hr'!E97,'21.10 Kampala-Jinja-24h'!E97)</f>
        <v>0</v>
      </c>
      <c r="F97" s="49">
        <f>AVERAGE('19.10 Kampala-Jinja-24hr'!F97,'21.10 Kampala-Jinja-24h'!F97)</f>
        <v>2</v>
      </c>
      <c r="G97" s="49">
        <f>AVERAGE('19.10 Kampala-Jinja-24hr'!G97,'21.10 Kampala-Jinja-24h'!G97)</f>
        <v>0</v>
      </c>
      <c r="H97" s="49">
        <f>AVERAGE('19.10 Kampala-Jinja-24hr'!H97,'21.10 Kampala-Jinja-24h'!H97)</f>
        <v>0.5</v>
      </c>
      <c r="I97" s="49">
        <f>AVERAGE('19.10 Kampala-Jinja-24hr'!I97,'21.10 Kampala-Jinja-24h'!I97)</f>
        <v>0.5</v>
      </c>
      <c r="J97" s="49">
        <f>AVERAGE('19.10 Kampala-Jinja-24hr'!J97,'21.10 Kampala-Jinja-24h'!J97)</f>
        <v>4</v>
      </c>
      <c r="K97" s="49">
        <f>AVERAGE('19.10 Kampala-Jinja-24hr'!K97,'21.10 Kampala-Jinja-24h'!K97)</f>
        <v>0</v>
      </c>
      <c r="L97" s="49">
        <f>AVERAGE('19.10 Kampala-Jinja-24hr'!L97,'21.10 Kampala-Jinja-24h'!L97)</f>
        <v>3.5</v>
      </c>
      <c r="M97" s="49">
        <f>AVERAGE('19.10 Kampala-Jinja-24hr'!M97,'21.10 Kampala-Jinja-24h'!M97)</f>
        <v>1.5</v>
      </c>
      <c r="N97" s="49">
        <f>AVERAGE('19.10 Kampala-Jinja-24hr'!N97,'21.10 Kampala-Jinja-24h'!N97)</f>
        <v>0</v>
      </c>
      <c r="O97" s="15">
        <f t="shared" si="35"/>
        <v>12</v>
      </c>
      <c r="P97" s="15">
        <f t="shared" si="36"/>
        <v>13.5</v>
      </c>
      <c r="R97" s="8"/>
      <c r="T97"/>
    </row>
    <row r="98" spans="2:20" ht="23.1" customHeight="1" x14ac:dyDescent="0.25">
      <c r="B98" s="24" t="s">
        <v>138</v>
      </c>
      <c r="C98" s="49">
        <f>AVERAGE('19.10 Kampala-Jinja-24hr'!C98,'21.10 Kampala-Jinja-24h'!C98)</f>
        <v>1</v>
      </c>
      <c r="D98" s="49">
        <f>AVERAGE('19.10 Kampala-Jinja-24hr'!D98,'21.10 Kampala-Jinja-24h'!D98)</f>
        <v>0</v>
      </c>
      <c r="E98" s="49">
        <f>AVERAGE('19.10 Kampala-Jinja-24hr'!E98,'21.10 Kampala-Jinja-24h'!E98)</f>
        <v>0.5</v>
      </c>
      <c r="F98" s="49">
        <f>AVERAGE('19.10 Kampala-Jinja-24hr'!F98,'21.10 Kampala-Jinja-24h'!F98)</f>
        <v>3.5</v>
      </c>
      <c r="G98" s="49">
        <f>AVERAGE('19.10 Kampala-Jinja-24hr'!G98,'21.10 Kampala-Jinja-24h'!G98)</f>
        <v>0</v>
      </c>
      <c r="H98" s="49">
        <f>AVERAGE('19.10 Kampala-Jinja-24hr'!H98,'21.10 Kampala-Jinja-24h'!H98)</f>
        <v>0</v>
      </c>
      <c r="I98" s="49">
        <f>AVERAGE('19.10 Kampala-Jinja-24hr'!I98,'21.10 Kampala-Jinja-24h'!I98)</f>
        <v>1</v>
      </c>
      <c r="J98" s="49">
        <f>AVERAGE('19.10 Kampala-Jinja-24hr'!J98,'21.10 Kampala-Jinja-24h'!J98)</f>
        <v>4.5</v>
      </c>
      <c r="K98" s="49">
        <f>AVERAGE('19.10 Kampala-Jinja-24hr'!K98,'21.10 Kampala-Jinja-24h'!K98)</f>
        <v>0.5</v>
      </c>
      <c r="L98" s="49">
        <f>AVERAGE('19.10 Kampala-Jinja-24hr'!L98,'21.10 Kampala-Jinja-24h'!L98)</f>
        <v>3.5</v>
      </c>
      <c r="M98" s="49">
        <f>AVERAGE('19.10 Kampala-Jinja-24hr'!M98,'21.10 Kampala-Jinja-24h'!M98)</f>
        <v>1</v>
      </c>
      <c r="N98" s="49">
        <f>AVERAGE('19.10 Kampala-Jinja-24hr'!N98,'21.10 Kampala-Jinja-24h'!N98)</f>
        <v>0</v>
      </c>
      <c r="O98" s="15">
        <f t="shared" si="35"/>
        <v>14.5</v>
      </c>
      <c r="P98" s="15">
        <f t="shared" si="36"/>
        <v>15.5</v>
      </c>
      <c r="R98" s="8"/>
      <c r="T98"/>
    </row>
    <row r="99" spans="2:20" ht="23.1" customHeight="1" x14ac:dyDescent="0.25">
      <c r="B99" s="23" t="s">
        <v>139</v>
      </c>
      <c r="C99" s="49">
        <f>AVERAGE('19.10 Kampala-Jinja-24hr'!C99,'21.10 Kampala-Jinja-24h'!C99)</f>
        <v>1.5</v>
      </c>
      <c r="D99" s="49">
        <f>AVERAGE('19.10 Kampala-Jinja-24hr'!D99,'21.10 Kampala-Jinja-24h'!D99)</f>
        <v>2.5</v>
      </c>
      <c r="E99" s="49">
        <f>AVERAGE('19.10 Kampala-Jinja-24hr'!E99,'21.10 Kampala-Jinja-24h'!E99)</f>
        <v>1</v>
      </c>
      <c r="F99" s="49">
        <f>AVERAGE('19.10 Kampala-Jinja-24hr'!F99,'21.10 Kampala-Jinja-24h'!F99)</f>
        <v>6</v>
      </c>
      <c r="G99" s="49">
        <f>AVERAGE('19.10 Kampala-Jinja-24hr'!G99,'21.10 Kampala-Jinja-24h'!G99)</f>
        <v>0</v>
      </c>
      <c r="H99" s="49">
        <f>AVERAGE('19.10 Kampala-Jinja-24hr'!H99,'21.10 Kampala-Jinja-24h'!H99)</f>
        <v>0</v>
      </c>
      <c r="I99" s="49">
        <f>AVERAGE('19.10 Kampala-Jinja-24hr'!I99,'21.10 Kampala-Jinja-24h'!I99)</f>
        <v>2</v>
      </c>
      <c r="J99" s="49">
        <f>AVERAGE('19.10 Kampala-Jinja-24hr'!J99,'21.10 Kampala-Jinja-24h'!J99)</f>
        <v>3</v>
      </c>
      <c r="K99" s="49">
        <f>AVERAGE('19.10 Kampala-Jinja-24hr'!K99,'21.10 Kampala-Jinja-24h'!K99)</f>
        <v>0.5</v>
      </c>
      <c r="L99" s="49">
        <f>AVERAGE('19.10 Kampala-Jinja-24hr'!L99,'21.10 Kampala-Jinja-24h'!L99)</f>
        <v>4.5</v>
      </c>
      <c r="M99" s="49">
        <f>AVERAGE('19.10 Kampala-Jinja-24hr'!M99,'21.10 Kampala-Jinja-24h'!M99)</f>
        <v>1</v>
      </c>
      <c r="N99" s="49">
        <f>AVERAGE('19.10 Kampala-Jinja-24hr'!N99,'21.10 Kampala-Jinja-24h'!N99)</f>
        <v>0</v>
      </c>
      <c r="O99" s="15">
        <f t="shared" si="35"/>
        <v>21</v>
      </c>
      <c r="P99" s="15">
        <f t="shared" si="36"/>
        <v>22</v>
      </c>
      <c r="R99" s="8"/>
      <c r="T99"/>
    </row>
    <row r="100" spans="2:20" ht="23.1" customHeight="1" x14ac:dyDescent="0.25">
      <c r="B100" s="25" t="s">
        <v>140</v>
      </c>
      <c r="C100" s="49">
        <f>AVERAGE('19.10 Kampala-Jinja-24hr'!C100,'21.10 Kampala-Jinja-24h'!C100)</f>
        <v>2.5</v>
      </c>
      <c r="D100" s="49">
        <f>AVERAGE('19.10 Kampala-Jinja-24hr'!D100,'21.10 Kampala-Jinja-24h'!D100)</f>
        <v>0.5</v>
      </c>
      <c r="E100" s="49">
        <f>AVERAGE('19.10 Kampala-Jinja-24hr'!E100,'21.10 Kampala-Jinja-24h'!E100)</f>
        <v>0</v>
      </c>
      <c r="F100" s="49">
        <f>AVERAGE('19.10 Kampala-Jinja-24hr'!F100,'21.10 Kampala-Jinja-24h'!F100)</f>
        <v>7.5</v>
      </c>
      <c r="G100" s="49">
        <f>AVERAGE('19.10 Kampala-Jinja-24hr'!G100,'21.10 Kampala-Jinja-24h'!G100)</f>
        <v>0</v>
      </c>
      <c r="H100" s="49">
        <f>AVERAGE('19.10 Kampala-Jinja-24hr'!H100,'21.10 Kampala-Jinja-24h'!H100)</f>
        <v>0</v>
      </c>
      <c r="I100" s="49">
        <f>AVERAGE('19.10 Kampala-Jinja-24hr'!I100,'21.10 Kampala-Jinja-24h'!I100)</f>
        <v>1</v>
      </c>
      <c r="J100" s="49">
        <f>AVERAGE('19.10 Kampala-Jinja-24hr'!J100,'21.10 Kampala-Jinja-24h'!J100)</f>
        <v>3</v>
      </c>
      <c r="K100" s="49">
        <f>AVERAGE('19.10 Kampala-Jinja-24hr'!K100,'21.10 Kampala-Jinja-24h'!K100)</f>
        <v>2</v>
      </c>
      <c r="L100" s="49">
        <f>AVERAGE('19.10 Kampala-Jinja-24hr'!L100,'21.10 Kampala-Jinja-24h'!L100)</f>
        <v>4.5</v>
      </c>
      <c r="M100" s="49">
        <f>AVERAGE('19.10 Kampala-Jinja-24hr'!M100,'21.10 Kampala-Jinja-24h'!M100)</f>
        <v>1</v>
      </c>
      <c r="N100" s="49">
        <f>AVERAGE('19.10 Kampala-Jinja-24hr'!N100,'21.10 Kampala-Jinja-24h'!N100)</f>
        <v>0</v>
      </c>
      <c r="O100" s="15">
        <f t="shared" si="35"/>
        <v>21</v>
      </c>
      <c r="P100" s="15">
        <f t="shared" si="36"/>
        <v>22</v>
      </c>
      <c r="R100" s="8"/>
      <c r="T100"/>
    </row>
    <row r="101" spans="2:20" ht="23.1" customHeight="1" x14ac:dyDescent="0.25">
      <c r="B101" s="23" t="s">
        <v>141</v>
      </c>
      <c r="C101" s="49">
        <f>AVERAGE('19.10 Kampala-Jinja-24hr'!C101,'21.10 Kampala-Jinja-24h'!C101)</f>
        <v>2</v>
      </c>
      <c r="D101" s="49">
        <f>AVERAGE('19.10 Kampala-Jinja-24hr'!D101,'21.10 Kampala-Jinja-24h'!D101)</f>
        <v>0.5</v>
      </c>
      <c r="E101" s="49">
        <f>AVERAGE('19.10 Kampala-Jinja-24hr'!E101,'21.10 Kampala-Jinja-24h'!E101)</f>
        <v>0.5</v>
      </c>
      <c r="F101" s="49">
        <f>AVERAGE('19.10 Kampala-Jinja-24hr'!F101,'21.10 Kampala-Jinja-24h'!F101)</f>
        <v>4</v>
      </c>
      <c r="G101" s="49">
        <f>AVERAGE('19.10 Kampala-Jinja-24hr'!G101,'21.10 Kampala-Jinja-24h'!G101)</f>
        <v>0</v>
      </c>
      <c r="H101" s="49">
        <f>AVERAGE('19.10 Kampala-Jinja-24hr'!H101,'21.10 Kampala-Jinja-24h'!H101)</f>
        <v>0</v>
      </c>
      <c r="I101" s="49">
        <f>AVERAGE('19.10 Kampala-Jinja-24hr'!I101,'21.10 Kampala-Jinja-24h'!I101)</f>
        <v>0.5</v>
      </c>
      <c r="J101" s="49">
        <f>AVERAGE('19.10 Kampala-Jinja-24hr'!J101,'21.10 Kampala-Jinja-24h'!J101)</f>
        <v>3.5</v>
      </c>
      <c r="K101" s="49">
        <f>AVERAGE('19.10 Kampala-Jinja-24hr'!K101,'21.10 Kampala-Jinja-24h'!K101)</f>
        <v>1</v>
      </c>
      <c r="L101" s="49">
        <f>AVERAGE('19.10 Kampala-Jinja-24hr'!L101,'21.10 Kampala-Jinja-24h'!L101)</f>
        <v>3.5</v>
      </c>
      <c r="M101" s="49">
        <f>AVERAGE('19.10 Kampala-Jinja-24hr'!M101,'21.10 Kampala-Jinja-24h'!M101)</f>
        <v>1.5</v>
      </c>
      <c r="N101" s="49">
        <f>AVERAGE('19.10 Kampala-Jinja-24hr'!N101,'21.10 Kampala-Jinja-24h'!N101)</f>
        <v>0</v>
      </c>
      <c r="O101" s="15">
        <f t="shared" si="35"/>
        <v>15.5</v>
      </c>
      <c r="P101" s="15">
        <f t="shared" si="36"/>
        <v>17</v>
      </c>
      <c r="R101" s="8"/>
      <c r="T101"/>
    </row>
    <row r="102" spans="2:20" ht="23.1" customHeight="1" x14ac:dyDescent="0.25">
      <c r="B102" s="24" t="s">
        <v>142</v>
      </c>
      <c r="C102" s="49">
        <f>AVERAGE('19.10 Kampala-Jinja-24hr'!C102,'21.10 Kampala-Jinja-24h'!C102)</f>
        <v>5.5</v>
      </c>
      <c r="D102" s="49">
        <f>AVERAGE('19.10 Kampala-Jinja-24hr'!D102,'21.10 Kampala-Jinja-24h'!D102)</f>
        <v>2.5</v>
      </c>
      <c r="E102" s="49">
        <f>AVERAGE('19.10 Kampala-Jinja-24hr'!E102,'21.10 Kampala-Jinja-24h'!E102)</f>
        <v>0.5</v>
      </c>
      <c r="F102" s="49">
        <f>AVERAGE('19.10 Kampala-Jinja-24hr'!F102,'21.10 Kampala-Jinja-24h'!F102)</f>
        <v>5</v>
      </c>
      <c r="G102" s="49">
        <f>AVERAGE('19.10 Kampala-Jinja-24hr'!G102,'21.10 Kampala-Jinja-24h'!G102)</f>
        <v>0</v>
      </c>
      <c r="H102" s="49">
        <f>AVERAGE('19.10 Kampala-Jinja-24hr'!H102,'21.10 Kampala-Jinja-24h'!H102)</f>
        <v>1</v>
      </c>
      <c r="I102" s="49">
        <f>AVERAGE('19.10 Kampala-Jinja-24hr'!I102,'21.10 Kampala-Jinja-24h'!I102)</f>
        <v>1</v>
      </c>
      <c r="J102" s="49">
        <f>AVERAGE('19.10 Kampala-Jinja-24hr'!J102,'21.10 Kampala-Jinja-24h'!J102)</f>
        <v>1.5</v>
      </c>
      <c r="K102" s="49">
        <f>AVERAGE('19.10 Kampala-Jinja-24hr'!K102,'21.10 Kampala-Jinja-24h'!K102)</f>
        <v>0.5</v>
      </c>
      <c r="L102" s="49">
        <f>AVERAGE('19.10 Kampala-Jinja-24hr'!L102,'21.10 Kampala-Jinja-24h'!L102)</f>
        <v>5</v>
      </c>
      <c r="M102" s="49">
        <f>AVERAGE('19.10 Kampala-Jinja-24hr'!M102,'21.10 Kampala-Jinja-24h'!M102)</f>
        <v>7.5</v>
      </c>
      <c r="N102" s="49">
        <f>AVERAGE('19.10 Kampala-Jinja-24hr'!N102,'21.10 Kampala-Jinja-24h'!N102)</f>
        <v>0</v>
      </c>
      <c r="O102" s="15">
        <f t="shared" si="35"/>
        <v>22.5</v>
      </c>
      <c r="P102" s="15">
        <f t="shared" si="36"/>
        <v>30</v>
      </c>
      <c r="R102" s="8"/>
      <c r="T102"/>
    </row>
    <row r="103" spans="2:20" ht="23.1" customHeight="1" x14ac:dyDescent="0.25">
      <c r="B103" s="23" t="s">
        <v>143</v>
      </c>
      <c r="C103" s="49">
        <f>AVERAGE('19.10 Kampala-Jinja-24hr'!C103,'21.10 Kampala-Jinja-24h'!C103)</f>
        <v>5.5</v>
      </c>
      <c r="D103" s="49">
        <f>AVERAGE('19.10 Kampala-Jinja-24hr'!D103,'21.10 Kampala-Jinja-24h'!D103)</f>
        <v>2.5</v>
      </c>
      <c r="E103" s="49">
        <f>AVERAGE('19.10 Kampala-Jinja-24hr'!E103,'21.10 Kampala-Jinja-24h'!E103)</f>
        <v>0.5</v>
      </c>
      <c r="F103" s="49">
        <f>AVERAGE('19.10 Kampala-Jinja-24hr'!F103,'21.10 Kampala-Jinja-24h'!F103)</f>
        <v>14.5</v>
      </c>
      <c r="G103" s="49">
        <f>AVERAGE('19.10 Kampala-Jinja-24hr'!G103,'21.10 Kampala-Jinja-24h'!G103)</f>
        <v>0</v>
      </c>
      <c r="H103" s="49">
        <f>AVERAGE('19.10 Kampala-Jinja-24hr'!H103,'21.10 Kampala-Jinja-24h'!H103)</f>
        <v>1</v>
      </c>
      <c r="I103" s="49">
        <f>AVERAGE('19.10 Kampala-Jinja-24hr'!I103,'21.10 Kampala-Jinja-24h'!I103)</f>
        <v>1.5</v>
      </c>
      <c r="J103" s="49">
        <f>AVERAGE('19.10 Kampala-Jinja-24hr'!J103,'21.10 Kampala-Jinja-24h'!J103)</f>
        <v>2.5</v>
      </c>
      <c r="K103" s="49">
        <f>AVERAGE('19.10 Kampala-Jinja-24hr'!K103,'21.10 Kampala-Jinja-24h'!K103)</f>
        <v>1.5</v>
      </c>
      <c r="L103" s="49">
        <f>AVERAGE('19.10 Kampala-Jinja-24hr'!L103,'21.10 Kampala-Jinja-24h'!L103)</f>
        <v>6.5</v>
      </c>
      <c r="M103" s="49">
        <f>AVERAGE('19.10 Kampala-Jinja-24hr'!M103,'21.10 Kampala-Jinja-24h'!M103)</f>
        <v>5.5</v>
      </c>
      <c r="N103" s="49">
        <f>AVERAGE('19.10 Kampala-Jinja-24hr'!N103,'21.10 Kampala-Jinja-24h'!N103)</f>
        <v>0</v>
      </c>
      <c r="O103" s="15">
        <f t="shared" si="35"/>
        <v>36</v>
      </c>
      <c r="P103" s="15">
        <f t="shared" si="36"/>
        <v>41.5</v>
      </c>
      <c r="R103" s="8"/>
      <c r="T103"/>
    </row>
    <row r="104" spans="2:20" ht="23.1" customHeight="1" x14ac:dyDescent="0.25">
      <c r="B104" s="25" t="s">
        <v>144</v>
      </c>
      <c r="C104" s="49">
        <f>AVERAGE('19.10 Kampala-Jinja-24hr'!C104,'21.10 Kampala-Jinja-24h'!C104)</f>
        <v>8.5</v>
      </c>
      <c r="D104" s="49">
        <f>AVERAGE('19.10 Kampala-Jinja-24hr'!D104,'21.10 Kampala-Jinja-24h'!D104)</f>
        <v>5</v>
      </c>
      <c r="E104" s="49">
        <f>AVERAGE('19.10 Kampala-Jinja-24hr'!E104,'21.10 Kampala-Jinja-24h'!E104)</f>
        <v>5.5</v>
      </c>
      <c r="F104" s="49">
        <f>AVERAGE('19.10 Kampala-Jinja-24hr'!F104,'21.10 Kampala-Jinja-24h'!F104)</f>
        <v>16</v>
      </c>
      <c r="G104" s="49">
        <f>AVERAGE('19.10 Kampala-Jinja-24hr'!G104,'21.10 Kampala-Jinja-24h'!G104)</f>
        <v>0</v>
      </c>
      <c r="H104" s="49">
        <f>AVERAGE('19.10 Kampala-Jinja-24hr'!H104,'21.10 Kampala-Jinja-24h'!H104)</f>
        <v>0</v>
      </c>
      <c r="I104" s="49">
        <f>AVERAGE('19.10 Kampala-Jinja-24hr'!I104,'21.10 Kampala-Jinja-24h'!I104)</f>
        <v>3</v>
      </c>
      <c r="J104" s="49">
        <f>AVERAGE('19.10 Kampala-Jinja-24hr'!J104,'21.10 Kampala-Jinja-24h'!J104)</f>
        <v>3</v>
      </c>
      <c r="K104" s="49">
        <f>AVERAGE('19.10 Kampala-Jinja-24hr'!K104,'21.10 Kampala-Jinja-24h'!K104)</f>
        <v>1.5</v>
      </c>
      <c r="L104" s="49">
        <f>AVERAGE('19.10 Kampala-Jinja-24hr'!L104,'21.10 Kampala-Jinja-24h'!L104)</f>
        <v>4.5</v>
      </c>
      <c r="M104" s="49">
        <f>AVERAGE('19.10 Kampala-Jinja-24hr'!M104,'21.10 Kampala-Jinja-24h'!M104)</f>
        <v>12.5</v>
      </c>
      <c r="N104" s="49">
        <f>AVERAGE('19.10 Kampala-Jinja-24hr'!N104,'21.10 Kampala-Jinja-24h'!N104)</f>
        <v>0</v>
      </c>
      <c r="O104" s="15">
        <f t="shared" si="35"/>
        <v>47</v>
      </c>
      <c r="P104" s="15">
        <f t="shared" si="36"/>
        <v>59.5</v>
      </c>
      <c r="R104" s="8"/>
      <c r="T104"/>
    </row>
    <row r="105" spans="2:20" ht="23.1" customHeight="1" x14ac:dyDescent="0.25">
      <c r="B105" s="23" t="s">
        <v>145</v>
      </c>
      <c r="C105" s="49">
        <f>AVERAGE('19.10 Kampala-Jinja-24hr'!C105,'21.10 Kampala-Jinja-24h'!C105)</f>
        <v>5</v>
      </c>
      <c r="D105" s="49">
        <f>AVERAGE('19.10 Kampala-Jinja-24hr'!D105,'21.10 Kampala-Jinja-24h'!D105)</f>
        <v>3</v>
      </c>
      <c r="E105" s="49">
        <f>AVERAGE('19.10 Kampala-Jinja-24hr'!E105,'21.10 Kampala-Jinja-24h'!E105)</f>
        <v>1</v>
      </c>
      <c r="F105" s="49">
        <f>AVERAGE('19.10 Kampala-Jinja-24hr'!F105,'21.10 Kampala-Jinja-24h'!F105)</f>
        <v>13.5</v>
      </c>
      <c r="G105" s="49">
        <f>AVERAGE('19.10 Kampala-Jinja-24hr'!G105,'21.10 Kampala-Jinja-24h'!G105)</f>
        <v>0.5</v>
      </c>
      <c r="H105" s="49">
        <f>AVERAGE('19.10 Kampala-Jinja-24hr'!H105,'21.10 Kampala-Jinja-24h'!H105)</f>
        <v>0</v>
      </c>
      <c r="I105" s="49">
        <f>AVERAGE('19.10 Kampala-Jinja-24hr'!I105,'21.10 Kampala-Jinja-24h'!I105)</f>
        <v>1.5</v>
      </c>
      <c r="J105" s="49">
        <f>AVERAGE('19.10 Kampala-Jinja-24hr'!J105,'21.10 Kampala-Jinja-24h'!J105)</f>
        <v>5</v>
      </c>
      <c r="K105" s="49">
        <f>AVERAGE('19.10 Kampala-Jinja-24hr'!K105,'21.10 Kampala-Jinja-24h'!K105)</f>
        <v>1.5</v>
      </c>
      <c r="L105" s="49">
        <f>AVERAGE('19.10 Kampala-Jinja-24hr'!L105,'21.10 Kampala-Jinja-24h'!L105)</f>
        <v>8.5</v>
      </c>
      <c r="M105" s="49">
        <f>AVERAGE('19.10 Kampala-Jinja-24hr'!M105,'21.10 Kampala-Jinja-24h'!M105)</f>
        <v>13</v>
      </c>
      <c r="N105" s="49">
        <f>AVERAGE('19.10 Kampala-Jinja-24hr'!N105,'21.10 Kampala-Jinja-24h'!N105)</f>
        <v>0</v>
      </c>
      <c r="O105" s="15">
        <f t="shared" si="35"/>
        <v>39.5</v>
      </c>
      <c r="P105" s="15">
        <f t="shared" si="36"/>
        <v>52.5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971.07142857142867</v>
      </c>
      <c r="D106" s="16">
        <f t="shared" ref="D106:P106" si="37">SUM(D10:D105)</f>
        <v>412.85714285714278</v>
      </c>
      <c r="E106" s="16">
        <f t="shared" si="37"/>
        <v>247.99999999999997</v>
      </c>
      <c r="F106" s="16">
        <f t="shared" si="37"/>
        <v>1835.4285714285716</v>
      </c>
      <c r="G106" s="16">
        <f t="shared" si="37"/>
        <v>95.785714285714278</v>
      </c>
      <c r="H106" s="16">
        <f t="shared" si="37"/>
        <v>48.857142857142854</v>
      </c>
      <c r="I106" s="16">
        <f t="shared" si="37"/>
        <v>270.5</v>
      </c>
      <c r="J106" s="16">
        <f t="shared" si="37"/>
        <v>442.85714285714283</v>
      </c>
      <c r="K106" s="16">
        <f t="shared" si="37"/>
        <v>126.07142857142857</v>
      </c>
      <c r="L106" s="16">
        <f t="shared" si="37"/>
        <v>835.78571428571422</v>
      </c>
      <c r="M106" s="16">
        <f t="shared" si="37"/>
        <v>1221.0714285714284</v>
      </c>
      <c r="N106" s="16">
        <f t="shared" si="37"/>
        <v>11.214285714285714</v>
      </c>
      <c r="O106" s="16">
        <f t="shared" si="37"/>
        <v>5298.4285714285706</v>
      </c>
      <c r="P106" s="16">
        <f t="shared" si="37"/>
        <v>6519.5000000000009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0.14894875812124067</v>
      </c>
      <c r="D107" s="43">
        <f t="shared" si="38"/>
        <v>6.3326504004470083E-2</v>
      </c>
      <c r="E107" s="43">
        <f t="shared" si="38"/>
        <v>3.803972697292736E-2</v>
      </c>
      <c r="F107" s="43">
        <f t="shared" si="38"/>
        <v>0.28152903925585876</v>
      </c>
      <c r="G107" s="43">
        <f t="shared" si="38"/>
        <v>1.4692187174739515E-2</v>
      </c>
      <c r="H107" s="43">
        <f t="shared" si="38"/>
        <v>7.4940015119476719E-3</v>
      </c>
      <c r="I107" s="43">
        <f t="shared" si="38"/>
        <v>4.1490911879745372E-2</v>
      </c>
      <c r="J107" s="43">
        <f t="shared" si="38"/>
        <v>6.7928083880227433E-2</v>
      </c>
      <c r="K107" s="43">
        <f t="shared" si="38"/>
        <v>1.9337591620742167E-2</v>
      </c>
      <c r="L107" s="43">
        <f t="shared" si="38"/>
        <v>0.12819782411008729</v>
      </c>
      <c r="M107" s="43">
        <f t="shared" si="38"/>
        <v>0.18729525708588515</v>
      </c>
      <c r="N107" s="43">
        <f t="shared" si="38"/>
        <v>1.7201143821283398E-3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0.18327536466337732</v>
      </c>
      <c r="D108" s="44">
        <f t="shared" ref="D108:N108" si="39">D106/$O$106</f>
        <v>7.7920677289762458E-2</v>
      </c>
      <c r="E108" s="44">
        <f t="shared" si="39"/>
        <v>4.6806330718002644E-2</v>
      </c>
      <c r="F108" s="44">
        <f t="shared" si="39"/>
        <v>0.34640998678853574</v>
      </c>
      <c r="G108" s="44">
        <f t="shared" si="39"/>
        <v>1.8078136374666345E-2</v>
      </c>
      <c r="H108" s="44">
        <f t="shared" si="39"/>
        <v>9.2210628488231024E-3</v>
      </c>
      <c r="I108" s="44">
        <f t="shared" si="39"/>
        <v>5.1052872819434339E-2</v>
      </c>
      <c r="J108" s="44">
        <f t="shared" si="39"/>
        <v>8.3582733425004732E-2</v>
      </c>
      <c r="K108" s="44">
        <f t="shared" si="39"/>
        <v>2.3794116854053766E-2</v>
      </c>
      <c r="L108" s="44">
        <f t="shared" si="39"/>
        <v>0.15774218771064197</v>
      </c>
      <c r="M108" s="44"/>
      <c r="N108" s="44">
        <f t="shared" si="39"/>
        <v>2.1165305076977004E-3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zoomScale="60" workbookViewId="0">
      <selection activeCell="S101" sqref="S10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'23.10 KAMPALA-JINJA'!C3:G3</f>
        <v>MCC - C 4- STN19 -Kampala-Jinja highway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'Avg Week Kampala-Jinja'!G5:H5</f>
        <v>Nakibbizi</v>
      </c>
      <c r="H5" s="64"/>
      <c r="I5" s="14"/>
      <c r="J5" s="2" t="s">
        <v>5</v>
      </c>
      <c r="K5" s="63" t="str">
        <f>'Avg Week Kampala-Jinja'!K5:L5</f>
        <v>xxxx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Kampala-Jinja'!K6:L6</f>
        <v>Emma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SUM('AvgWeek Jinja-Kampala'!C10+'Avg Week Kampala-Jinja'!C10)</f>
        <v>23.857142857142858</v>
      </c>
      <c r="D10" s="49">
        <f>SUM('AvgWeek Jinja-Kampala'!D10+'Avg Week Kampala-Jinja'!D10)</f>
        <v>4.2857142857142856</v>
      </c>
      <c r="E10" s="49">
        <f>SUM('AvgWeek Jinja-Kampala'!E10+'Avg Week Kampala-Jinja'!E10)</f>
        <v>3.4285714285714288</v>
      </c>
      <c r="F10" s="49">
        <f>SUM('AvgWeek Jinja-Kampala'!F10+'Avg Week Kampala-Jinja'!F10)</f>
        <v>46.428571428571431</v>
      </c>
      <c r="G10" s="49">
        <f>SUM('AvgWeek Jinja-Kampala'!G10+'Avg Week Kampala-Jinja'!G10)</f>
        <v>2.1428571428571428</v>
      </c>
      <c r="H10" s="49">
        <f>SUM('AvgWeek Jinja-Kampala'!H10+'Avg Week Kampala-Jinja'!H10)</f>
        <v>1.1428571428571428</v>
      </c>
      <c r="I10" s="49">
        <f>SUM('AvgWeek Jinja-Kampala'!I10+'Avg Week Kampala-Jinja'!I10)</f>
        <v>3.8571428571428568</v>
      </c>
      <c r="J10" s="49">
        <f>SUM('AvgWeek Jinja-Kampala'!J10+'Avg Week Kampala-Jinja'!J10)</f>
        <v>7.5714285714285712</v>
      </c>
      <c r="K10" s="49">
        <f>SUM('AvgWeek Jinja-Kampala'!K10+'Avg Week Kampala-Jinja'!K10)</f>
        <v>4</v>
      </c>
      <c r="L10" s="49">
        <f>SUM('AvgWeek Jinja-Kampala'!L10+'Avg Week Kampala-Jinja'!L10)</f>
        <v>21.714285714285715</v>
      </c>
      <c r="M10" s="49">
        <f>SUM('AvgWeek Jinja-Kampala'!M10+'Avg Week Kampala-Jinja'!M10)</f>
        <v>32.428571428571431</v>
      </c>
      <c r="N10" s="49">
        <f>SUM('AvgWeek Jinja-Kampala'!N10+'Avg Week Kampala-Jinja'!N10)</f>
        <v>0</v>
      </c>
      <c r="O10" s="15">
        <f t="shared" ref="O10:O73" si="0">SUM(C10:L10,N10)</f>
        <v>118.42857142857142</v>
      </c>
      <c r="P10" s="15">
        <f t="shared" ref="P10:P73" si="1">SUM(C10:N10)</f>
        <v>150.85714285714283</v>
      </c>
      <c r="R10" s="1" t="s">
        <v>6</v>
      </c>
      <c r="S10" s="17">
        <f t="shared" ref="S10:AF10" si="2">SUM(C10:C13)</f>
        <v>86.285714285714278</v>
      </c>
      <c r="T10" s="17">
        <f t="shared" si="2"/>
        <v>31.714285714285715</v>
      </c>
      <c r="U10" s="17">
        <f t="shared" si="2"/>
        <v>20.714285714285715</v>
      </c>
      <c r="V10" s="17">
        <f t="shared" si="2"/>
        <v>234.42857142857142</v>
      </c>
      <c r="W10" s="17">
        <f t="shared" si="2"/>
        <v>11.857142857142856</v>
      </c>
      <c r="X10" s="17">
        <f t="shared" si="2"/>
        <v>5.4285714285714288</v>
      </c>
      <c r="Y10" s="17">
        <f t="shared" si="2"/>
        <v>17</v>
      </c>
      <c r="Z10" s="17">
        <f t="shared" si="2"/>
        <v>33.428571428571431</v>
      </c>
      <c r="AA10" s="17">
        <f t="shared" si="2"/>
        <v>14.285714285714286</v>
      </c>
      <c r="AB10" s="17">
        <f t="shared" si="2"/>
        <v>78.428571428571431</v>
      </c>
      <c r="AC10" s="17">
        <f t="shared" si="2"/>
        <v>140.71428571428569</v>
      </c>
      <c r="AD10" s="17">
        <f t="shared" si="2"/>
        <v>0.14285714285714285</v>
      </c>
      <c r="AE10" s="31">
        <f t="shared" si="2"/>
        <v>533.71428571428578</v>
      </c>
      <c r="AF10" s="31">
        <f t="shared" si="2"/>
        <v>674.42857142857144</v>
      </c>
    </row>
    <row r="11" spans="2:32" s="6" customFormat="1" ht="23.1" customHeight="1" x14ac:dyDescent="0.25">
      <c r="B11" s="23" t="s">
        <v>38</v>
      </c>
      <c r="C11" s="49">
        <f>SUM('AvgWeek Jinja-Kampala'!C11+'Avg Week Kampala-Jinja'!C11)</f>
        <v>18.285714285714285</v>
      </c>
      <c r="D11" s="49">
        <f>SUM('AvgWeek Jinja-Kampala'!D11+'Avg Week Kampala-Jinja'!D11)</f>
        <v>7.2857142857142856</v>
      </c>
      <c r="E11" s="49">
        <f>SUM('AvgWeek Jinja-Kampala'!E11+'Avg Week Kampala-Jinja'!E11)</f>
        <v>5.1428571428571423</v>
      </c>
      <c r="F11" s="49">
        <f>SUM('AvgWeek Jinja-Kampala'!F11+'Avg Week Kampala-Jinja'!F11)</f>
        <v>59.714285714285708</v>
      </c>
      <c r="G11" s="49">
        <f>SUM('AvgWeek Jinja-Kampala'!G11+'Avg Week Kampala-Jinja'!G11)</f>
        <v>1.5714285714285714</v>
      </c>
      <c r="H11" s="49">
        <f>SUM('AvgWeek Jinja-Kampala'!H11+'Avg Week Kampala-Jinja'!H11)</f>
        <v>1.2857142857142858</v>
      </c>
      <c r="I11" s="49">
        <f>SUM('AvgWeek Jinja-Kampala'!I11+'Avg Week Kampala-Jinja'!I11)</f>
        <v>4.4285714285714288</v>
      </c>
      <c r="J11" s="49">
        <f>SUM('AvgWeek Jinja-Kampala'!J11+'Avg Week Kampala-Jinja'!J11)</f>
        <v>8.8571428571428577</v>
      </c>
      <c r="K11" s="49">
        <f>SUM('AvgWeek Jinja-Kampala'!K11+'Avg Week Kampala-Jinja'!K11)</f>
        <v>3.1428571428571432</v>
      </c>
      <c r="L11" s="49">
        <f>SUM('AvgWeek Jinja-Kampala'!L11+'Avg Week Kampala-Jinja'!L11)</f>
        <v>19</v>
      </c>
      <c r="M11" s="49">
        <f>SUM('AvgWeek Jinja-Kampala'!M11+'Avg Week Kampala-Jinja'!M11)</f>
        <v>37.714285714285708</v>
      </c>
      <c r="N11" s="49">
        <f>SUM('AvgWeek Jinja-Kampala'!N11+'Avg Week Kampala-Jinja'!N11)</f>
        <v>0</v>
      </c>
      <c r="O11" s="15">
        <f t="shared" si="0"/>
        <v>128.71428571428572</v>
      </c>
      <c r="P11" s="15">
        <f t="shared" si="1"/>
        <v>166.42857142857144</v>
      </c>
      <c r="R11" s="1" t="s">
        <v>7</v>
      </c>
      <c r="S11" s="17">
        <f t="shared" ref="S11:AF11" si="3">SUM(C14:C17)</f>
        <v>98.857142857142861</v>
      </c>
      <c r="T11" s="17">
        <f t="shared" si="3"/>
        <v>36.857142857142861</v>
      </c>
      <c r="U11" s="17">
        <f t="shared" si="3"/>
        <v>23.285714285714285</v>
      </c>
      <c r="V11" s="17">
        <f t="shared" si="3"/>
        <v>232.14285714285714</v>
      </c>
      <c r="W11" s="17">
        <f t="shared" si="3"/>
        <v>10.428571428571429</v>
      </c>
      <c r="X11" s="17">
        <f t="shared" si="3"/>
        <v>5.8571428571428577</v>
      </c>
      <c r="Y11" s="17">
        <f t="shared" si="3"/>
        <v>18.571428571428569</v>
      </c>
      <c r="Z11" s="17">
        <f t="shared" si="3"/>
        <v>25</v>
      </c>
      <c r="AA11" s="17">
        <f t="shared" si="3"/>
        <v>9.2857142857142847</v>
      </c>
      <c r="AB11" s="17">
        <f t="shared" si="3"/>
        <v>66.714285714285722</v>
      </c>
      <c r="AC11" s="17">
        <f t="shared" si="3"/>
        <v>135</v>
      </c>
      <c r="AD11" s="17">
        <f t="shared" si="3"/>
        <v>3.7142857142857144</v>
      </c>
      <c r="AE11" s="31">
        <f t="shared" si="3"/>
        <v>530.71428571428567</v>
      </c>
      <c r="AF11" s="31">
        <f t="shared" si="3"/>
        <v>665.71428571428567</v>
      </c>
    </row>
    <row r="12" spans="2:32" ht="23.1" customHeight="1" x14ac:dyDescent="0.25">
      <c r="B12" s="23" t="s">
        <v>39</v>
      </c>
      <c r="C12" s="49">
        <f>SUM('AvgWeek Jinja-Kampala'!C12+'Avg Week Kampala-Jinja'!C12)</f>
        <v>20.142857142857142</v>
      </c>
      <c r="D12" s="49">
        <f>SUM('AvgWeek Jinja-Kampala'!D12+'Avg Week Kampala-Jinja'!D12)</f>
        <v>10.571428571428571</v>
      </c>
      <c r="E12" s="49">
        <f>SUM('AvgWeek Jinja-Kampala'!E12+'Avg Week Kampala-Jinja'!E12)</f>
        <v>5.1428571428571423</v>
      </c>
      <c r="F12" s="49">
        <f>SUM('AvgWeek Jinja-Kampala'!F12+'Avg Week Kampala-Jinja'!F12)</f>
        <v>62.428571428571431</v>
      </c>
      <c r="G12" s="49">
        <f>SUM('AvgWeek Jinja-Kampala'!G12+'Avg Week Kampala-Jinja'!G12)</f>
        <v>5.4285714285714288</v>
      </c>
      <c r="H12" s="49">
        <f>SUM('AvgWeek Jinja-Kampala'!H12+'Avg Week Kampala-Jinja'!H12)</f>
        <v>1.7142857142857144</v>
      </c>
      <c r="I12" s="49">
        <f>SUM('AvgWeek Jinja-Kampala'!I12+'Avg Week Kampala-Jinja'!I12)</f>
        <v>4.1428571428571423</v>
      </c>
      <c r="J12" s="49">
        <f>SUM('AvgWeek Jinja-Kampala'!J12+'Avg Week Kampala-Jinja'!J12)</f>
        <v>8.2857142857142865</v>
      </c>
      <c r="K12" s="49">
        <f>SUM('AvgWeek Jinja-Kampala'!K12+'Avg Week Kampala-Jinja'!K12)</f>
        <v>3.7142857142857144</v>
      </c>
      <c r="L12" s="49">
        <f>SUM('AvgWeek Jinja-Kampala'!L12+'Avg Week Kampala-Jinja'!L12)</f>
        <v>17.142857142857142</v>
      </c>
      <c r="M12" s="49">
        <f>SUM('AvgWeek Jinja-Kampala'!M12+'Avg Week Kampala-Jinja'!M12)</f>
        <v>33.285714285714285</v>
      </c>
      <c r="N12" s="49">
        <f>SUM('AvgWeek Jinja-Kampala'!N12+'Avg Week Kampala-Jinja'!N12)</f>
        <v>0.14285714285714285</v>
      </c>
      <c r="O12" s="15">
        <f t="shared" si="0"/>
        <v>138.85714285714286</v>
      </c>
      <c r="P12" s="15">
        <f t="shared" si="1"/>
        <v>172.14285714285714</v>
      </c>
      <c r="R12" s="1" t="s">
        <v>8</v>
      </c>
      <c r="S12" s="17">
        <f t="shared" ref="S12:AF12" si="4">SUM(C18:C21)</f>
        <v>103.71428571428572</v>
      </c>
      <c r="T12" s="17">
        <f t="shared" si="4"/>
        <v>53.571428571428569</v>
      </c>
      <c r="U12" s="17">
        <f t="shared" si="4"/>
        <v>32.285714285714285</v>
      </c>
      <c r="V12" s="17">
        <f t="shared" si="4"/>
        <v>242.14285714285717</v>
      </c>
      <c r="W12" s="17">
        <f t="shared" si="4"/>
        <v>8.1428571428571423</v>
      </c>
      <c r="X12" s="17">
        <f t="shared" si="4"/>
        <v>4.8571428571428577</v>
      </c>
      <c r="Y12" s="17">
        <f t="shared" si="4"/>
        <v>20.571428571428573</v>
      </c>
      <c r="Z12" s="17">
        <f t="shared" si="4"/>
        <v>30.714285714285715</v>
      </c>
      <c r="AA12" s="17">
        <f t="shared" si="4"/>
        <v>7</v>
      </c>
      <c r="AB12" s="17">
        <f t="shared" si="4"/>
        <v>61.714285714285715</v>
      </c>
      <c r="AC12" s="17">
        <f t="shared" si="4"/>
        <v>147.71428571428572</v>
      </c>
      <c r="AD12" s="17">
        <f t="shared" si="4"/>
        <v>0.2857142857142857</v>
      </c>
      <c r="AE12" s="31">
        <f t="shared" si="4"/>
        <v>565</v>
      </c>
      <c r="AF12" s="31">
        <f t="shared" si="4"/>
        <v>712.71428571428567</v>
      </c>
    </row>
    <row r="13" spans="2:32" ht="23.1" customHeight="1" x14ac:dyDescent="0.25">
      <c r="B13" s="23" t="s">
        <v>40</v>
      </c>
      <c r="C13" s="49">
        <f>SUM('AvgWeek Jinja-Kampala'!C13+'Avg Week Kampala-Jinja'!C13)</f>
        <v>24</v>
      </c>
      <c r="D13" s="49">
        <f>SUM('AvgWeek Jinja-Kampala'!D13+'Avg Week Kampala-Jinja'!D13)</f>
        <v>9.5714285714285712</v>
      </c>
      <c r="E13" s="49">
        <f>SUM('AvgWeek Jinja-Kampala'!E13+'Avg Week Kampala-Jinja'!E13)</f>
        <v>7</v>
      </c>
      <c r="F13" s="49">
        <f>SUM('AvgWeek Jinja-Kampala'!F13+'Avg Week Kampala-Jinja'!F13)</f>
        <v>65.857142857142861</v>
      </c>
      <c r="G13" s="49">
        <f>SUM('AvgWeek Jinja-Kampala'!G13+'Avg Week Kampala-Jinja'!G13)</f>
        <v>2.714285714285714</v>
      </c>
      <c r="H13" s="49">
        <f>SUM('AvgWeek Jinja-Kampala'!H13+'Avg Week Kampala-Jinja'!H13)</f>
        <v>1.2857142857142856</v>
      </c>
      <c r="I13" s="49">
        <f>SUM('AvgWeek Jinja-Kampala'!I13+'Avg Week Kampala-Jinja'!I13)</f>
        <v>4.5714285714285712</v>
      </c>
      <c r="J13" s="49">
        <f>SUM('AvgWeek Jinja-Kampala'!J13+'Avg Week Kampala-Jinja'!J13)</f>
        <v>8.7142857142857153</v>
      </c>
      <c r="K13" s="49">
        <f>SUM('AvgWeek Jinja-Kampala'!K13+'Avg Week Kampala-Jinja'!K13)</f>
        <v>3.4285714285714284</v>
      </c>
      <c r="L13" s="49">
        <f>SUM('AvgWeek Jinja-Kampala'!L13+'Avg Week Kampala-Jinja'!L13)</f>
        <v>20.571428571428573</v>
      </c>
      <c r="M13" s="49">
        <f>SUM('AvgWeek Jinja-Kampala'!M13+'Avg Week Kampala-Jinja'!M13)</f>
        <v>37.285714285714285</v>
      </c>
      <c r="N13" s="49">
        <f>SUM('AvgWeek Jinja-Kampala'!N13+'Avg Week Kampala-Jinja'!N13)</f>
        <v>0</v>
      </c>
      <c r="O13" s="15">
        <f t="shared" si="0"/>
        <v>147.71428571428572</v>
      </c>
      <c r="P13" s="15">
        <f t="shared" si="1"/>
        <v>185</v>
      </c>
      <c r="R13" s="1" t="s">
        <v>9</v>
      </c>
      <c r="S13" s="17">
        <f t="shared" ref="S13:AF13" si="5">SUM(C22:C25)</f>
        <v>107.85714285714286</v>
      </c>
      <c r="T13" s="17">
        <f t="shared" si="5"/>
        <v>43</v>
      </c>
      <c r="U13" s="17">
        <f t="shared" si="5"/>
        <v>27.857142857142858</v>
      </c>
      <c r="V13" s="17">
        <f t="shared" si="5"/>
        <v>228.57142857142858</v>
      </c>
      <c r="W13" s="17">
        <f t="shared" si="5"/>
        <v>6.7142857142857144</v>
      </c>
      <c r="X13" s="17">
        <f t="shared" si="5"/>
        <v>3.4285714285714288</v>
      </c>
      <c r="Y13" s="17">
        <f t="shared" si="5"/>
        <v>22.428571428571431</v>
      </c>
      <c r="Z13" s="17">
        <f t="shared" si="5"/>
        <v>32.714285714285715</v>
      </c>
      <c r="AA13" s="17">
        <f t="shared" si="5"/>
        <v>8</v>
      </c>
      <c r="AB13" s="17">
        <f t="shared" si="5"/>
        <v>56.714285714285708</v>
      </c>
      <c r="AC13" s="17">
        <f t="shared" si="5"/>
        <v>169.57142857142856</v>
      </c>
      <c r="AD13" s="17">
        <f t="shared" si="5"/>
        <v>0</v>
      </c>
      <c r="AE13" s="31">
        <f t="shared" si="5"/>
        <v>537.28571428571445</v>
      </c>
      <c r="AF13" s="31">
        <f t="shared" si="5"/>
        <v>706.85714285714289</v>
      </c>
    </row>
    <row r="14" spans="2:32" ht="23.1" customHeight="1" x14ac:dyDescent="0.25">
      <c r="B14" s="23" t="s">
        <v>41</v>
      </c>
      <c r="C14" s="49">
        <f>SUM('AvgWeek Jinja-Kampala'!C14+'Avg Week Kampala-Jinja'!C14)</f>
        <v>25.714285714285715</v>
      </c>
      <c r="D14" s="49">
        <f>SUM('AvgWeek Jinja-Kampala'!D14+'Avg Week Kampala-Jinja'!D14)</f>
        <v>10.714285714285715</v>
      </c>
      <c r="E14" s="49">
        <f>SUM('AvgWeek Jinja-Kampala'!E14+'Avg Week Kampala-Jinja'!E14)</f>
        <v>7</v>
      </c>
      <c r="F14" s="49">
        <f>SUM('AvgWeek Jinja-Kampala'!F14+'Avg Week Kampala-Jinja'!F14)</f>
        <v>66</v>
      </c>
      <c r="G14" s="49">
        <f>SUM('AvgWeek Jinja-Kampala'!G14+'Avg Week Kampala-Jinja'!G14)</f>
        <v>1.4285714285714286</v>
      </c>
      <c r="H14" s="49">
        <f>SUM('AvgWeek Jinja-Kampala'!H14+'Avg Week Kampala-Jinja'!H14)</f>
        <v>0.71428571428571419</v>
      </c>
      <c r="I14" s="49">
        <f>SUM('AvgWeek Jinja-Kampala'!I14+'Avg Week Kampala-Jinja'!I14)</f>
        <v>5.4285714285714288</v>
      </c>
      <c r="J14" s="49">
        <f>SUM('AvgWeek Jinja-Kampala'!J14+'Avg Week Kampala-Jinja'!J14)</f>
        <v>4.8571428571428577</v>
      </c>
      <c r="K14" s="49">
        <f>SUM('AvgWeek Jinja-Kampala'!K14+'Avg Week Kampala-Jinja'!K14)</f>
        <v>1.7142857142857142</v>
      </c>
      <c r="L14" s="49">
        <f>SUM('AvgWeek Jinja-Kampala'!L14+'Avg Week Kampala-Jinja'!L14)</f>
        <v>18.714285714285715</v>
      </c>
      <c r="M14" s="49">
        <f>SUM('AvgWeek Jinja-Kampala'!M14+'Avg Week Kampala-Jinja'!M14)</f>
        <v>30.285714285714285</v>
      </c>
      <c r="N14" s="49">
        <f>SUM('AvgWeek Jinja-Kampala'!N14+'Avg Week Kampala-Jinja'!N14)</f>
        <v>0.14285714285714285</v>
      </c>
      <c r="O14" s="15">
        <f t="shared" si="0"/>
        <v>142.42857142857142</v>
      </c>
      <c r="P14" s="15">
        <f t="shared" si="1"/>
        <v>172.71428571428569</v>
      </c>
      <c r="R14" s="1" t="s">
        <v>10</v>
      </c>
      <c r="S14" s="17">
        <f t="shared" ref="S14:AF14" si="6">SUM(C26:C29)</f>
        <v>121.14285714285714</v>
      </c>
      <c r="T14" s="17">
        <f t="shared" si="6"/>
        <v>52</v>
      </c>
      <c r="U14" s="17">
        <f t="shared" si="6"/>
        <v>34.285714285714285</v>
      </c>
      <c r="V14" s="17">
        <f t="shared" si="6"/>
        <v>219.71428571428572</v>
      </c>
      <c r="W14" s="17">
        <f t="shared" si="6"/>
        <v>6.2857142857142856</v>
      </c>
      <c r="X14" s="17">
        <f t="shared" si="6"/>
        <v>4.7142857142857135</v>
      </c>
      <c r="Y14" s="17">
        <f t="shared" si="6"/>
        <v>27</v>
      </c>
      <c r="Z14" s="17">
        <f t="shared" si="6"/>
        <v>40.142857142857146</v>
      </c>
      <c r="AA14" s="17">
        <f t="shared" si="6"/>
        <v>7.4285714285714288</v>
      </c>
      <c r="AB14" s="17">
        <f t="shared" si="6"/>
        <v>69.571428571428569</v>
      </c>
      <c r="AC14" s="17">
        <f t="shared" si="6"/>
        <v>169</v>
      </c>
      <c r="AD14" s="17">
        <f t="shared" si="6"/>
        <v>0.14285714285714285</v>
      </c>
      <c r="AE14" s="31">
        <f t="shared" si="6"/>
        <v>582.42857142857144</v>
      </c>
      <c r="AF14" s="31">
        <f t="shared" si="6"/>
        <v>751.42857142857144</v>
      </c>
    </row>
    <row r="15" spans="2:32" ht="23.1" customHeight="1" x14ac:dyDescent="0.25">
      <c r="B15" s="23" t="s">
        <v>42</v>
      </c>
      <c r="C15" s="49">
        <f>SUM('AvgWeek Jinja-Kampala'!C15+'Avg Week Kampala-Jinja'!C15)</f>
        <v>27.571428571428569</v>
      </c>
      <c r="D15" s="49">
        <f>SUM('AvgWeek Jinja-Kampala'!D15+'Avg Week Kampala-Jinja'!D15)</f>
        <v>8.7142857142857135</v>
      </c>
      <c r="E15" s="49">
        <f>SUM('AvgWeek Jinja-Kampala'!E15+'Avg Week Kampala-Jinja'!E15)</f>
        <v>6.4285714285714288</v>
      </c>
      <c r="F15" s="49">
        <f>SUM('AvgWeek Jinja-Kampala'!F15+'Avg Week Kampala-Jinja'!F15)</f>
        <v>57.714285714285715</v>
      </c>
      <c r="G15" s="49">
        <f>SUM('AvgWeek Jinja-Kampala'!G15+'Avg Week Kampala-Jinja'!G15)</f>
        <v>1</v>
      </c>
      <c r="H15" s="49">
        <f>SUM('AvgWeek Jinja-Kampala'!H15+'Avg Week Kampala-Jinja'!H15)</f>
        <v>1.7142857142857142</v>
      </c>
      <c r="I15" s="49">
        <f>SUM('AvgWeek Jinja-Kampala'!I15+'Avg Week Kampala-Jinja'!I15)</f>
        <v>4.7142857142857144</v>
      </c>
      <c r="J15" s="49">
        <f>SUM('AvgWeek Jinja-Kampala'!J15+'Avg Week Kampala-Jinja'!J15)</f>
        <v>6.1428571428571423</v>
      </c>
      <c r="K15" s="49">
        <f>SUM('AvgWeek Jinja-Kampala'!K15+'Avg Week Kampala-Jinja'!K15)</f>
        <v>2.1428571428571428</v>
      </c>
      <c r="L15" s="49">
        <f>SUM('AvgWeek Jinja-Kampala'!L15+'Avg Week Kampala-Jinja'!L15)</f>
        <v>15.571428571428573</v>
      </c>
      <c r="M15" s="49">
        <f>SUM('AvgWeek Jinja-Kampala'!M15+'Avg Week Kampala-Jinja'!M15)</f>
        <v>34.428571428571431</v>
      </c>
      <c r="N15" s="49">
        <f>SUM('AvgWeek Jinja-Kampala'!N15+'Avg Week Kampala-Jinja'!N15)</f>
        <v>0</v>
      </c>
      <c r="O15" s="15">
        <f t="shared" si="0"/>
        <v>131.71428571428569</v>
      </c>
      <c r="P15" s="15">
        <f t="shared" si="1"/>
        <v>166.14285714285711</v>
      </c>
      <c r="R15" s="1" t="s">
        <v>11</v>
      </c>
      <c r="S15" s="17">
        <f t="shared" ref="S15:AF15" si="7">SUM(C30:C33)</f>
        <v>120.57142857142857</v>
      </c>
      <c r="T15" s="17">
        <f t="shared" si="7"/>
        <v>46</v>
      </c>
      <c r="U15" s="17">
        <f t="shared" si="7"/>
        <v>27.285714285714285</v>
      </c>
      <c r="V15" s="17">
        <f t="shared" si="7"/>
        <v>216.28571428571428</v>
      </c>
      <c r="W15" s="17">
        <f t="shared" si="7"/>
        <v>15</v>
      </c>
      <c r="X15" s="17">
        <f t="shared" si="7"/>
        <v>3.8571428571428572</v>
      </c>
      <c r="Y15" s="17">
        <f t="shared" si="7"/>
        <v>27.857142857142861</v>
      </c>
      <c r="Z15" s="17">
        <f t="shared" si="7"/>
        <v>40.571428571428569</v>
      </c>
      <c r="AA15" s="17">
        <f t="shared" si="7"/>
        <v>10.571428571428573</v>
      </c>
      <c r="AB15" s="17">
        <f t="shared" si="7"/>
        <v>75.571428571428569</v>
      </c>
      <c r="AC15" s="17">
        <f t="shared" si="7"/>
        <v>151.28571428571428</v>
      </c>
      <c r="AD15" s="17">
        <f t="shared" si="7"/>
        <v>0.2857142857142857</v>
      </c>
      <c r="AE15" s="31">
        <f t="shared" si="7"/>
        <v>583.85714285714289</v>
      </c>
      <c r="AF15" s="31">
        <f t="shared" si="7"/>
        <v>735.14285714285722</v>
      </c>
    </row>
    <row r="16" spans="2:32" ht="23.1" customHeight="1" x14ac:dyDescent="0.25">
      <c r="B16" s="23" t="s">
        <v>43</v>
      </c>
      <c r="C16" s="49">
        <f>SUM('AvgWeek Jinja-Kampala'!C16+'Avg Week Kampala-Jinja'!C16)</f>
        <v>22.285714285714285</v>
      </c>
      <c r="D16" s="49">
        <f>SUM('AvgWeek Jinja-Kampala'!D16+'Avg Week Kampala-Jinja'!D16)</f>
        <v>9.2857142857142847</v>
      </c>
      <c r="E16" s="49">
        <f>SUM('AvgWeek Jinja-Kampala'!E16+'Avg Week Kampala-Jinja'!E16)</f>
        <v>4.7142857142857144</v>
      </c>
      <c r="F16" s="49">
        <f>SUM('AvgWeek Jinja-Kampala'!F16+'Avg Week Kampala-Jinja'!F16)</f>
        <v>54.142857142857139</v>
      </c>
      <c r="G16" s="49">
        <f>SUM('AvgWeek Jinja-Kampala'!G16+'Avg Week Kampala-Jinja'!G16)</f>
        <v>1.8571428571428572</v>
      </c>
      <c r="H16" s="49">
        <f>SUM('AvgWeek Jinja-Kampala'!H16+'Avg Week Kampala-Jinja'!H16)</f>
        <v>1.5714285714285714</v>
      </c>
      <c r="I16" s="49">
        <f>SUM('AvgWeek Jinja-Kampala'!I16+'Avg Week Kampala-Jinja'!I16)</f>
        <v>4.5714285714285712</v>
      </c>
      <c r="J16" s="49">
        <f>SUM('AvgWeek Jinja-Kampala'!J16+'Avg Week Kampala-Jinja'!J16)</f>
        <v>9.5714285714285712</v>
      </c>
      <c r="K16" s="49">
        <f>SUM('AvgWeek Jinja-Kampala'!K16+'Avg Week Kampala-Jinja'!K16)</f>
        <v>2.8571428571428568</v>
      </c>
      <c r="L16" s="49">
        <f>SUM('AvgWeek Jinja-Kampala'!L16+'Avg Week Kampala-Jinja'!L16)</f>
        <v>18.428571428571431</v>
      </c>
      <c r="M16" s="49">
        <f>SUM('AvgWeek Jinja-Kampala'!M16+'Avg Week Kampala-Jinja'!M16)</f>
        <v>38</v>
      </c>
      <c r="N16" s="49">
        <f>SUM('AvgWeek Jinja-Kampala'!N16+'Avg Week Kampala-Jinja'!N16)</f>
        <v>0</v>
      </c>
      <c r="O16" s="15">
        <f t="shared" si="0"/>
        <v>129.28571428571428</v>
      </c>
      <c r="P16" s="15">
        <f t="shared" si="1"/>
        <v>167.28571428571428</v>
      </c>
      <c r="R16" s="1" t="s">
        <v>12</v>
      </c>
      <c r="S16" s="17">
        <f t="shared" ref="S16:AF16" si="8">SUM(C34:C37)</f>
        <v>130.14285714285714</v>
      </c>
      <c r="T16" s="17">
        <f t="shared" si="8"/>
        <v>55.571428571428577</v>
      </c>
      <c r="U16" s="17">
        <f t="shared" si="8"/>
        <v>32.714285714285715</v>
      </c>
      <c r="V16" s="17">
        <f t="shared" si="8"/>
        <v>237.14285714285714</v>
      </c>
      <c r="W16" s="17">
        <f t="shared" si="8"/>
        <v>7</v>
      </c>
      <c r="X16" s="17">
        <f t="shared" si="8"/>
        <v>3.5714285714285712</v>
      </c>
      <c r="Y16" s="17">
        <f t="shared" si="8"/>
        <v>30.428571428571431</v>
      </c>
      <c r="Z16" s="17">
        <f t="shared" si="8"/>
        <v>47.285714285714292</v>
      </c>
      <c r="AA16" s="17">
        <f t="shared" si="8"/>
        <v>10.142857142857142</v>
      </c>
      <c r="AB16" s="17">
        <f t="shared" si="8"/>
        <v>88.857142857142861</v>
      </c>
      <c r="AC16" s="17">
        <f t="shared" si="8"/>
        <v>163.71428571428572</v>
      </c>
      <c r="AD16" s="17">
        <f t="shared" si="8"/>
        <v>0.2857142857142857</v>
      </c>
      <c r="AE16" s="31">
        <f t="shared" si="8"/>
        <v>643.14285714285711</v>
      </c>
      <c r="AF16" s="31">
        <f t="shared" si="8"/>
        <v>806.85714285714278</v>
      </c>
    </row>
    <row r="17" spans="2:32" ht="23.1" customHeight="1" x14ac:dyDescent="0.25">
      <c r="B17" s="23" t="s">
        <v>44</v>
      </c>
      <c r="C17" s="49">
        <f>SUM('AvgWeek Jinja-Kampala'!C17+'Avg Week Kampala-Jinja'!C17)</f>
        <v>23.285714285714285</v>
      </c>
      <c r="D17" s="49">
        <f>SUM('AvgWeek Jinja-Kampala'!D17+'Avg Week Kampala-Jinja'!D17)</f>
        <v>8.1428571428571423</v>
      </c>
      <c r="E17" s="49">
        <f>SUM('AvgWeek Jinja-Kampala'!E17+'Avg Week Kampala-Jinja'!E17)</f>
        <v>5.1428571428571423</v>
      </c>
      <c r="F17" s="49">
        <f>SUM('AvgWeek Jinja-Kampala'!F17+'Avg Week Kampala-Jinja'!F17)</f>
        <v>54.285714285714285</v>
      </c>
      <c r="G17" s="49">
        <f>SUM('AvgWeek Jinja-Kampala'!G17+'Avg Week Kampala-Jinja'!G17)</f>
        <v>6.1428571428571423</v>
      </c>
      <c r="H17" s="49">
        <f>SUM('AvgWeek Jinja-Kampala'!H17+'Avg Week Kampala-Jinja'!H17)</f>
        <v>1.8571428571428572</v>
      </c>
      <c r="I17" s="49">
        <f>SUM('AvgWeek Jinja-Kampala'!I17+'Avg Week Kampala-Jinja'!I17)</f>
        <v>3.8571428571428568</v>
      </c>
      <c r="J17" s="49">
        <f>SUM('AvgWeek Jinja-Kampala'!J17+'Avg Week Kampala-Jinja'!J17)</f>
        <v>4.4285714285714288</v>
      </c>
      <c r="K17" s="49">
        <f>SUM('AvgWeek Jinja-Kampala'!K17+'Avg Week Kampala-Jinja'!K17)</f>
        <v>2.5714285714285712</v>
      </c>
      <c r="L17" s="49">
        <f>SUM('AvgWeek Jinja-Kampala'!L17+'Avg Week Kampala-Jinja'!L17)</f>
        <v>14</v>
      </c>
      <c r="M17" s="49">
        <f>SUM('AvgWeek Jinja-Kampala'!M17+'Avg Week Kampala-Jinja'!M17)</f>
        <v>32.285714285714285</v>
      </c>
      <c r="N17" s="49">
        <f>SUM('AvgWeek Jinja-Kampala'!N17+'Avg Week Kampala-Jinja'!N17)</f>
        <v>3.5714285714285716</v>
      </c>
      <c r="O17" s="15">
        <f t="shared" si="0"/>
        <v>127.28571428571429</v>
      </c>
      <c r="P17" s="15">
        <f t="shared" si="1"/>
        <v>159.57142857142858</v>
      </c>
      <c r="R17" s="1" t="s">
        <v>13</v>
      </c>
      <c r="S17" s="17">
        <f t="shared" ref="S17:AF17" si="9">SUM(C38:C41)</f>
        <v>111.71428571428571</v>
      </c>
      <c r="T17" s="17">
        <f t="shared" si="9"/>
        <v>48.714285714285708</v>
      </c>
      <c r="U17" s="17">
        <f t="shared" si="9"/>
        <v>30.714285714285715</v>
      </c>
      <c r="V17" s="17">
        <f t="shared" si="9"/>
        <v>227.28571428571431</v>
      </c>
      <c r="W17" s="17">
        <f t="shared" si="9"/>
        <v>7.1428571428571423</v>
      </c>
      <c r="X17" s="17">
        <f t="shared" si="9"/>
        <v>4.5714285714285712</v>
      </c>
      <c r="Y17" s="17">
        <f t="shared" si="9"/>
        <v>34.428571428571431</v>
      </c>
      <c r="Z17" s="17">
        <f t="shared" si="9"/>
        <v>41.142857142857146</v>
      </c>
      <c r="AA17" s="17">
        <f t="shared" si="9"/>
        <v>13</v>
      </c>
      <c r="AB17" s="17">
        <f t="shared" si="9"/>
        <v>84</v>
      </c>
      <c r="AC17" s="17">
        <f t="shared" si="9"/>
        <v>138.71428571428572</v>
      </c>
      <c r="AD17" s="17">
        <f t="shared" si="9"/>
        <v>0.14285714285714285</v>
      </c>
      <c r="AE17" s="31">
        <f t="shared" si="9"/>
        <v>602.85714285714278</v>
      </c>
      <c r="AF17" s="31">
        <f t="shared" si="9"/>
        <v>741.57142857142856</v>
      </c>
    </row>
    <row r="18" spans="2:32" ht="23.1" customHeight="1" x14ac:dyDescent="0.25">
      <c r="B18" s="23" t="s">
        <v>45</v>
      </c>
      <c r="C18" s="49">
        <f>SUM('AvgWeek Jinja-Kampala'!C18+'Avg Week Kampala-Jinja'!C18)</f>
        <v>27</v>
      </c>
      <c r="D18" s="49">
        <f>SUM('AvgWeek Jinja-Kampala'!D18+'Avg Week Kampala-Jinja'!D18)</f>
        <v>16.857142857142858</v>
      </c>
      <c r="E18" s="49">
        <f>SUM('AvgWeek Jinja-Kampala'!E18+'Avg Week Kampala-Jinja'!E18)</f>
        <v>9.2857142857142847</v>
      </c>
      <c r="F18" s="49">
        <f>SUM('AvgWeek Jinja-Kampala'!F18+'Avg Week Kampala-Jinja'!F18)</f>
        <v>59.285714285714285</v>
      </c>
      <c r="G18" s="49">
        <f>SUM('AvgWeek Jinja-Kampala'!G18+'Avg Week Kampala-Jinja'!G18)</f>
        <v>2.8571428571428568</v>
      </c>
      <c r="H18" s="49">
        <f>SUM('AvgWeek Jinja-Kampala'!H18+'Avg Week Kampala-Jinja'!H18)</f>
        <v>1.4285714285714286</v>
      </c>
      <c r="I18" s="49">
        <f>SUM('AvgWeek Jinja-Kampala'!I18+'Avg Week Kampala-Jinja'!I18)</f>
        <v>5.4285714285714288</v>
      </c>
      <c r="J18" s="49">
        <f>SUM('AvgWeek Jinja-Kampala'!J18+'Avg Week Kampala-Jinja'!J18)</f>
        <v>12</v>
      </c>
      <c r="K18" s="49">
        <f>SUM('AvgWeek Jinja-Kampala'!K18+'Avg Week Kampala-Jinja'!K18)</f>
        <v>2.7142857142857144</v>
      </c>
      <c r="L18" s="49">
        <f>SUM('AvgWeek Jinja-Kampala'!L18+'Avg Week Kampala-Jinja'!L18)</f>
        <v>14.285714285714285</v>
      </c>
      <c r="M18" s="49">
        <f>SUM('AvgWeek Jinja-Kampala'!M18+'Avg Week Kampala-Jinja'!M18)</f>
        <v>39.285714285714285</v>
      </c>
      <c r="N18" s="49">
        <f>SUM('AvgWeek Jinja-Kampala'!N18+'Avg Week Kampala-Jinja'!N18)</f>
        <v>0</v>
      </c>
      <c r="O18" s="15">
        <f t="shared" si="0"/>
        <v>151.14285714285717</v>
      </c>
      <c r="P18" s="15">
        <f t="shared" si="1"/>
        <v>190.42857142857144</v>
      </c>
      <c r="R18" s="1" t="s">
        <v>14</v>
      </c>
      <c r="S18" s="17">
        <f t="shared" ref="S18:AF18" si="10">SUM(C42:C45)</f>
        <v>132</v>
      </c>
      <c r="T18" s="17">
        <f t="shared" si="10"/>
        <v>51.857142857142861</v>
      </c>
      <c r="U18" s="17">
        <f t="shared" si="10"/>
        <v>36.142857142857139</v>
      </c>
      <c r="V18" s="17">
        <f t="shared" si="10"/>
        <v>240.71428571428569</v>
      </c>
      <c r="W18" s="17">
        <f t="shared" si="10"/>
        <v>7.1428571428571423</v>
      </c>
      <c r="X18" s="17">
        <f t="shared" si="10"/>
        <v>4.7142857142857135</v>
      </c>
      <c r="Y18" s="17">
        <f t="shared" si="10"/>
        <v>31.142857142857142</v>
      </c>
      <c r="Z18" s="17">
        <f t="shared" si="10"/>
        <v>50.571428571428569</v>
      </c>
      <c r="AA18" s="17">
        <f t="shared" si="10"/>
        <v>10</v>
      </c>
      <c r="AB18" s="17">
        <f t="shared" si="10"/>
        <v>89.142857142857153</v>
      </c>
      <c r="AC18" s="17">
        <f t="shared" si="10"/>
        <v>150.42857142857144</v>
      </c>
      <c r="AD18" s="17">
        <f t="shared" si="10"/>
        <v>4.4285714285714288</v>
      </c>
      <c r="AE18" s="31">
        <f t="shared" si="10"/>
        <v>657.85714285714289</v>
      </c>
      <c r="AF18" s="31">
        <f t="shared" si="10"/>
        <v>808.28571428571433</v>
      </c>
    </row>
    <row r="19" spans="2:32" ht="23.1" customHeight="1" x14ac:dyDescent="0.25">
      <c r="B19" s="23" t="s">
        <v>46</v>
      </c>
      <c r="C19" s="49">
        <f>SUM('AvgWeek Jinja-Kampala'!C19+'Avg Week Kampala-Jinja'!C19)</f>
        <v>24.428571428571431</v>
      </c>
      <c r="D19" s="49">
        <f>SUM('AvgWeek Jinja-Kampala'!D19+'Avg Week Kampala-Jinja'!D19)</f>
        <v>12.714285714285714</v>
      </c>
      <c r="E19" s="49">
        <f>SUM('AvgWeek Jinja-Kampala'!E19+'Avg Week Kampala-Jinja'!E19)</f>
        <v>9.8571428571428577</v>
      </c>
      <c r="F19" s="49">
        <f>SUM('AvgWeek Jinja-Kampala'!F19+'Avg Week Kampala-Jinja'!F19)</f>
        <v>59.857142857142861</v>
      </c>
      <c r="G19" s="49">
        <f>SUM('AvgWeek Jinja-Kampala'!G19+'Avg Week Kampala-Jinja'!G19)</f>
        <v>2</v>
      </c>
      <c r="H19" s="49">
        <f>SUM('AvgWeek Jinja-Kampala'!H19+'Avg Week Kampala-Jinja'!H19)</f>
        <v>1.4285714285714286</v>
      </c>
      <c r="I19" s="49">
        <f>SUM('AvgWeek Jinja-Kampala'!I19+'Avg Week Kampala-Jinja'!I19)</f>
        <v>4.2857142857142856</v>
      </c>
      <c r="J19" s="49">
        <f>SUM('AvgWeek Jinja-Kampala'!J19+'Avg Week Kampala-Jinja'!J19)</f>
        <v>6.8571428571428577</v>
      </c>
      <c r="K19" s="49">
        <f>SUM('AvgWeek Jinja-Kampala'!K19+'Avg Week Kampala-Jinja'!K19)</f>
        <v>1.5714285714285714</v>
      </c>
      <c r="L19" s="49">
        <f>SUM('AvgWeek Jinja-Kampala'!L19+'Avg Week Kampala-Jinja'!L19)</f>
        <v>18</v>
      </c>
      <c r="M19" s="49">
        <f>SUM('AvgWeek Jinja-Kampala'!M19+'Avg Week Kampala-Jinja'!M19)</f>
        <v>34.142857142857139</v>
      </c>
      <c r="N19" s="49">
        <f>SUM('AvgWeek Jinja-Kampala'!N19+'Avg Week Kampala-Jinja'!N19)</f>
        <v>0</v>
      </c>
      <c r="O19" s="15">
        <f t="shared" si="0"/>
        <v>141</v>
      </c>
      <c r="P19" s="15">
        <f t="shared" si="1"/>
        <v>175.14285714285714</v>
      </c>
      <c r="R19" s="1" t="s">
        <v>15</v>
      </c>
      <c r="S19" s="17">
        <f t="shared" ref="S19:AF19" si="11">SUM(C46:C49)</f>
        <v>120.42857142857142</v>
      </c>
      <c r="T19" s="17">
        <f t="shared" si="11"/>
        <v>48.428571428571423</v>
      </c>
      <c r="U19" s="17">
        <f t="shared" si="11"/>
        <v>37.714285714285708</v>
      </c>
      <c r="V19" s="17">
        <f t="shared" si="11"/>
        <v>230.42857142857142</v>
      </c>
      <c r="W19" s="17">
        <f t="shared" si="11"/>
        <v>8.2857142857142847</v>
      </c>
      <c r="X19" s="17">
        <f t="shared" si="11"/>
        <v>4.5714285714285712</v>
      </c>
      <c r="Y19" s="17">
        <f t="shared" si="11"/>
        <v>29</v>
      </c>
      <c r="Z19" s="17">
        <f t="shared" si="11"/>
        <v>50.571428571428569</v>
      </c>
      <c r="AA19" s="17">
        <f t="shared" si="11"/>
        <v>12.285714285714285</v>
      </c>
      <c r="AB19" s="17">
        <f t="shared" si="11"/>
        <v>107.42857142857143</v>
      </c>
      <c r="AC19" s="17">
        <f t="shared" si="11"/>
        <v>173.14285714285714</v>
      </c>
      <c r="AD19" s="17">
        <f t="shared" si="11"/>
        <v>0</v>
      </c>
      <c r="AE19" s="31">
        <f t="shared" si="11"/>
        <v>649.14285714285711</v>
      </c>
      <c r="AF19" s="31">
        <f t="shared" si="11"/>
        <v>822.28571428571411</v>
      </c>
    </row>
    <row r="20" spans="2:32" ht="23.1" customHeight="1" x14ac:dyDescent="0.25">
      <c r="B20" s="23" t="s">
        <v>47</v>
      </c>
      <c r="C20" s="49">
        <f>SUM('AvgWeek Jinja-Kampala'!C20+'Avg Week Kampala-Jinja'!C20)</f>
        <v>27.857142857142858</v>
      </c>
      <c r="D20" s="49">
        <f>SUM('AvgWeek Jinja-Kampala'!D20+'Avg Week Kampala-Jinja'!D20)</f>
        <v>12.571428571428573</v>
      </c>
      <c r="E20" s="49">
        <f>SUM('AvgWeek Jinja-Kampala'!E20+'Avg Week Kampala-Jinja'!E20)</f>
        <v>6.5714285714285712</v>
      </c>
      <c r="F20" s="49">
        <f>SUM('AvgWeek Jinja-Kampala'!F20+'Avg Week Kampala-Jinja'!F20)</f>
        <v>66.285714285714292</v>
      </c>
      <c r="G20" s="49">
        <f>SUM('AvgWeek Jinja-Kampala'!G20+'Avg Week Kampala-Jinja'!G20)</f>
        <v>1.4285714285714286</v>
      </c>
      <c r="H20" s="49">
        <f>SUM('AvgWeek Jinja-Kampala'!H20+'Avg Week Kampala-Jinja'!H20)</f>
        <v>1</v>
      </c>
      <c r="I20" s="49">
        <f>SUM('AvgWeek Jinja-Kampala'!I20+'Avg Week Kampala-Jinja'!I20)</f>
        <v>5.1428571428571423</v>
      </c>
      <c r="J20" s="49">
        <f>SUM('AvgWeek Jinja-Kampala'!J20+'Avg Week Kampala-Jinja'!J20)</f>
        <v>5.7142857142857144</v>
      </c>
      <c r="K20" s="49">
        <f>SUM('AvgWeek Jinja-Kampala'!K20+'Avg Week Kampala-Jinja'!K20)</f>
        <v>1.2857142857142856</v>
      </c>
      <c r="L20" s="49">
        <f>SUM('AvgWeek Jinja-Kampala'!L20+'Avg Week Kampala-Jinja'!L20)</f>
        <v>17.714285714285715</v>
      </c>
      <c r="M20" s="49">
        <f>SUM('AvgWeek Jinja-Kampala'!M20+'Avg Week Kampala-Jinja'!M20)</f>
        <v>38.285714285714292</v>
      </c>
      <c r="N20" s="49">
        <f>SUM('AvgWeek Jinja-Kampala'!N20+'Avg Week Kampala-Jinja'!N20)</f>
        <v>0.14285714285714285</v>
      </c>
      <c r="O20" s="15">
        <f t="shared" si="0"/>
        <v>145.71428571428572</v>
      </c>
      <c r="P20" s="15">
        <f t="shared" si="1"/>
        <v>184.00000000000003</v>
      </c>
      <c r="R20" s="1" t="s">
        <v>16</v>
      </c>
      <c r="S20" s="17">
        <f t="shared" ref="S20:AF20" si="12">SUM(C50:C53)</f>
        <v>130.28571428571431</v>
      </c>
      <c r="T20" s="17">
        <f t="shared" si="12"/>
        <v>55</v>
      </c>
      <c r="U20" s="17">
        <f t="shared" si="12"/>
        <v>31.857142857142854</v>
      </c>
      <c r="V20" s="17">
        <f t="shared" si="12"/>
        <v>256.71428571428572</v>
      </c>
      <c r="W20" s="17">
        <f t="shared" si="12"/>
        <v>10.428571428571429</v>
      </c>
      <c r="X20" s="17">
        <f t="shared" si="12"/>
        <v>6.1428571428571432</v>
      </c>
      <c r="Y20" s="17">
        <f t="shared" si="12"/>
        <v>35.857142857142861</v>
      </c>
      <c r="Z20" s="17">
        <f t="shared" si="12"/>
        <v>50.714285714285708</v>
      </c>
      <c r="AA20" s="17">
        <f t="shared" si="12"/>
        <v>14.571428571428571</v>
      </c>
      <c r="AB20" s="17">
        <f t="shared" si="12"/>
        <v>117.14285714285715</v>
      </c>
      <c r="AC20" s="17">
        <f t="shared" si="12"/>
        <v>180.42857142857139</v>
      </c>
      <c r="AD20" s="17">
        <f t="shared" si="12"/>
        <v>0.5714285714285714</v>
      </c>
      <c r="AE20" s="31">
        <f t="shared" si="12"/>
        <v>709.28571428571433</v>
      </c>
      <c r="AF20" s="31">
        <f t="shared" si="12"/>
        <v>889.71428571428578</v>
      </c>
    </row>
    <row r="21" spans="2:32" ht="23.1" customHeight="1" x14ac:dyDescent="0.25">
      <c r="B21" s="23" t="s">
        <v>48</v>
      </c>
      <c r="C21" s="49">
        <f>SUM('AvgWeek Jinja-Kampala'!C21+'Avg Week Kampala-Jinja'!C21)</f>
        <v>24.428571428571431</v>
      </c>
      <c r="D21" s="49">
        <f>SUM('AvgWeek Jinja-Kampala'!D21+'Avg Week Kampala-Jinja'!D21)</f>
        <v>11.428571428571429</v>
      </c>
      <c r="E21" s="49">
        <f>SUM('AvgWeek Jinja-Kampala'!E21+'Avg Week Kampala-Jinja'!E21)</f>
        <v>6.5714285714285712</v>
      </c>
      <c r="F21" s="49">
        <f>SUM('AvgWeek Jinja-Kampala'!F21+'Avg Week Kampala-Jinja'!F21)</f>
        <v>56.714285714285715</v>
      </c>
      <c r="G21" s="49">
        <f>SUM('AvgWeek Jinja-Kampala'!G21+'Avg Week Kampala-Jinja'!G21)</f>
        <v>1.8571428571428572</v>
      </c>
      <c r="H21" s="49">
        <f>SUM('AvgWeek Jinja-Kampala'!H21+'Avg Week Kampala-Jinja'!H21)</f>
        <v>1</v>
      </c>
      <c r="I21" s="49">
        <f>SUM('AvgWeek Jinja-Kampala'!I21+'Avg Week Kampala-Jinja'!I21)</f>
        <v>5.7142857142857144</v>
      </c>
      <c r="J21" s="49">
        <f>SUM('AvgWeek Jinja-Kampala'!J21+'Avg Week Kampala-Jinja'!J21)</f>
        <v>6.1428571428571423</v>
      </c>
      <c r="K21" s="49">
        <f>SUM('AvgWeek Jinja-Kampala'!K21+'Avg Week Kampala-Jinja'!K21)</f>
        <v>1.4285714285714284</v>
      </c>
      <c r="L21" s="49">
        <f>SUM('AvgWeek Jinja-Kampala'!L21+'Avg Week Kampala-Jinja'!L21)</f>
        <v>11.714285714285715</v>
      </c>
      <c r="M21" s="49">
        <f>SUM('AvgWeek Jinja-Kampala'!M21+'Avg Week Kampala-Jinja'!M21)</f>
        <v>36</v>
      </c>
      <c r="N21" s="49">
        <f>SUM('AvgWeek Jinja-Kampala'!N21+'Avg Week Kampala-Jinja'!N21)</f>
        <v>0.14285714285714285</v>
      </c>
      <c r="O21" s="15">
        <f t="shared" si="0"/>
        <v>127.14285714285714</v>
      </c>
      <c r="P21" s="15">
        <f t="shared" si="1"/>
        <v>163.14285714285714</v>
      </c>
      <c r="R21" s="1" t="s">
        <v>20</v>
      </c>
      <c r="S21" s="34">
        <f t="shared" ref="S21:AF21" si="13">SUM(C54:C57)</f>
        <v>141.57142857142856</v>
      </c>
      <c r="T21" s="17">
        <f t="shared" si="13"/>
        <v>50.428571428571431</v>
      </c>
      <c r="U21" s="17">
        <f t="shared" si="13"/>
        <v>35.571428571428569</v>
      </c>
      <c r="V21" s="17">
        <f t="shared" si="13"/>
        <v>248.71428571428569</v>
      </c>
      <c r="W21" s="17">
        <f t="shared" si="13"/>
        <v>12.571428571428573</v>
      </c>
      <c r="X21" s="17">
        <f t="shared" si="13"/>
        <v>6</v>
      </c>
      <c r="Y21" s="17">
        <f t="shared" si="13"/>
        <v>35.571428571428569</v>
      </c>
      <c r="Z21" s="17">
        <f t="shared" si="13"/>
        <v>45</v>
      </c>
      <c r="AA21" s="17">
        <f t="shared" si="13"/>
        <v>16.142857142857142</v>
      </c>
      <c r="AB21" s="17">
        <f t="shared" si="13"/>
        <v>120</v>
      </c>
      <c r="AC21" s="17">
        <f t="shared" si="13"/>
        <v>171.61904761904765</v>
      </c>
      <c r="AD21" s="17">
        <f t="shared" si="13"/>
        <v>0.2857142857142857</v>
      </c>
      <c r="AE21" s="31">
        <f t="shared" si="13"/>
        <v>711.85714285714278</v>
      </c>
      <c r="AF21" s="31">
        <f t="shared" si="13"/>
        <v>883.47619047619048</v>
      </c>
    </row>
    <row r="22" spans="2:32" ht="23.1" customHeight="1" x14ac:dyDescent="0.25">
      <c r="B22" s="23" t="s">
        <v>49</v>
      </c>
      <c r="C22" s="49">
        <f>SUM('AvgWeek Jinja-Kampala'!C22+'Avg Week Kampala-Jinja'!C22)</f>
        <v>31.571428571428569</v>
      </c>
      <c r="D22" s="49">
        <f>SUM('AvgWeek Jinja-Kampala'!D22+'Avg Week Kampala-Jinja'!D22)</f>
        <v>12.142857142857142</v>
      </c>
      <c r="E22" s="49">
        <f>SUM('AvgWeek Jinja-Kampala'!E22+'Avg Week Kampala-Jinja'!E22)</f>
        <v>9.1428571428571423</v>
      </c>
      <c r="F22" s="49">
        <f>SUM('AvgWeek Jinja-Kampala'!F22+'Avg Week Kampala-Jinja'!F22)</f>
        <v>60.857142857142861</v>
      </c>
      <c r="G22" s="49">
        <f>SUM('AvgWeek Jinja-Kampala'!G22+'Avg Week Kampala-Jinja'!G22)</f>
        <v>1.8571428571428572</v>
      </c>
      <c r="H22" s="49">
        <f>SUM('AvgWeek Jinja-Kampala'!H22+'Avg Week Kampala-Jinja'!H22)</f>
        <v>1.8571428571428572</v>
      </c>
      <c r="I22" s="49">
        <f>SUM('AvgWeek Jinja-Kampala'!I22+'Avg Week Kampala-Jinja'!I22)</f>
        <v>5.2857142857142856</v>
      </c>
      <c r="J22" s="49">
        <f>SUM('AvgWeek Jinja-Kampala'!J22+'Avg Week Kampala-Jinja'!J22)</f>
        <v>8.7142857142857153</v>
      </c>
      <c r="K22" s="49">
        <f>SUM('AvgWeek Jinja-Kampala'!K22+'Avg Week Kampala-Jinja'!K22)</f>
        <v>0.5714285714285714</v>
      </c>
      <c r="L22" s="49">
        <f>SUM('AvgWeek Jinja-Kampala'!L22+'Avg Week Kampala-Jinja'!L22)</f>
        <v>14.571428571428571</v>
      </c>
      <c r="M22" s="49">
        <f>SUM('AvgWeek Jinja-Kampala'!M22+'Avg Week Kampala-Jinja'!M22)</f>
        <v>44.571428571428569</v>
      </c>
      <c r="N22" s="49">
        <f>SUM('AvgWeek Jinja-Kampala'!N22+'Avg Week Kampala-Jinja'!N22)</f>
        <v>0</v>
      </c>
      <c r="O22" s="15">
        <f t="shared" si="0"/>
        <v>146.57142857142861</v>
      </c>
      <c r="P22" s="15">
        <f t="shared" si="1"/>
        <v>191.14285714285717</v>
      </c>
      <c r="R22" s="1" t="s">
        <v>146</v>
      </c>
      <c r="S22" s="34">
        <f>SUM(C58:C61)</f>
        <v>138</v>
      </c>
      <c r="T22" s="34">
        <f t="shared" ref="T22:AF22" si="14">SUM(D58:D61)</f>
        <v>52.5</v>
      </c>
      <c r="U22" s="34">
        <f t="shared" si="14"/>
        <v>32</v>
      </c>
      <c r="V22" s="34">
        <f t="shared" si="14"/>
        <v>210</v>
      </c>
      <c r="W22" s="34">
        <f t="shared" si="14"/>
        <v>11.5</v>
      </c>
      <c r="X22" s="34">
        <f t="shared" si="14"/>
        <v>7</v>
      </c>
      <c r="Y22" s="34">
        <f t="shared" si="14"/>
        <v>34</v>
      </c>
      <c r="Z22" s="34">
        <f t="shared" si="14"/>
        <v>35</v>
      </c>
      <c r="AA22" s="34">
        <f t="shared" si="14"/>
        <v>24.5</v>
      </c>
      <c r="AB22" s="34">
        <f t="shared" si="14"/>
        <v>98</v>
      </c>
      <c r="AC22" s="34">
        <f t="shared" si="14"/>
        <v>164.5</v>
      </c>
      <c r="AD22" s="34">
        <f t="shared" si="14"/>
        <v>0</v>
      </c>
      <c r="AE22" s="31">
        <f t="shared" si="14"/>
        <v>642.5</v>
      </c>
      <c r="AF22" s="31">
        <f t="shared" si="14"/>
        <v>807</v>
      </c>
    </row>
    <row r="23" spans="2:32" ht="23.1" customHeight="1" x14ac:dyDescent="0.25">
      <c r="B23" s="23" t="s">
        <v>50</v>
      </c>
      <c r="C23" s="49">
        <f>SUM('AvgWeek Jinja-Kampala'!C23+'Avg Week Kampala-Jinja'!C23)</f>
        <v>26.428571428571431</v>
      </c>
      <c r="D23" s="49">
        <f>SUM('AvgWeek Jinja-Kampala'!D23+'Avg Week Kampala-Jinja'!D23)</f>
        <v>9.8571428571428577</v>
      </c>
      <c r="E23" s="49">
        <f>SUM('AvgWeek Jinja-Kampala'!E23+'Avg Week Kampala-Jinja'!E23)</f>
        <v>6.2857142857142856</v>
      </c>
      <c r="F23" s="49">
        <f>SUM('AvgWeek Jinja-Kampala'!F23+'Avg Week Kampala-Jinja'!F23)</f>
        <v>53.285714285714292</v>
      </c>
      <c r="G23" s="49">
        <f>SUM('AvgWeek Jinja-Kampala'!G23+'Avg Week Kampala-Jinja'!G23)</f>
        <v>1.8571428571428572</v>
      </c>
      <c r="H23" s="49">
        <f>SUM('AvgWeek Jinja-Kampala'!H23+'Avg Week Kampala-Jinja'!H23)</f>
        <v>0</v>
      </c>
      <c r="I23" s="49">
        <f>SUM('AvgWeek Jinja-Kampala'!I23+'Avg Week Kampala-Jinja'!I23)</f>
        <v>5.2857142857142865</v>
      </c>
      <c r="J23" s="49">
        <f>SUM('AvgWeek Jinja-Kampala'!J23+'Avg Week Kampala-Jinja'!J23)</f>
        <v>8.1428571428571423</v>
      </c>
      <c r="K23" s="49">
        <f>SUM('AvgWeek Jinja-Kampala'!K23+'Avg Week Kampala-Jinja'!K23)</f>
        <v>2.1428571428571428</v>
      </c>
      <c r="L23" s="49">
        <f>SUM('AvgWeek Jinja-Kampala'!L23+'Avg Week Kampala-Jinja'!L23)</f>
        <v>13.285714285714285</v>
      </c>
      <c r="M23" s="49">
        <f>SUM('AvgWeek Jinja-Kampala'!M23+'Avg Week Kampala-Jinja'!M23)</f>
        <v>42.142857142857139</v>
      </c>
      <c r="N23" s="49">
        <f>SUM('AvgWeek Jinja-Kampala'!N23+'Avg Week Kampala-Jinja'!N23)</f>
        <v>0</v>
      </c>
      <c r="O23" s="15">
        <f t="shared" si="0"/>
        <v>126.57142857142858</v>
      </c>
      <c r="P23" s="15">
        <f t="shared" si="1"/>
        <v>168.71428571428572</v>
      </c>
      <c r="R23" s="1" t="s">
        <v>147</v>
      </c>
      <c r="S23" s="34">
        <f>SUM(C62:C65)</f>
        <v>137</v>
      </c>
      <c r="T23" s="34">
        <f t="shared" ref="T23:AF23" si="15">SUM(D62:D65)</f>
        <v>62</v>
      </c>
      <c r="U23" s="34">
        <f t="shared" si="15"/>
        <v>29.5</v>
      </c>
      <c r="V23" s="34">
        <f t="shared" si="15"/>
        <v>186.5</v>
      </c>
      <c r="W23" s="34">
        <f t="shared" si="15"/>
        <v>11.5</v>
      </c>
      <c r="X23" s="34">
        <f t="shared" si="15"/>
        <v>6.5</v>
      </c>
      <c r="Y23" s="34">
        <f t="shared" si="15"/>
        <v>38.5</v>
      </c>
      <c r="Z23" s="34">
        <f t="shared" si="15"/>
        <v>51.5</v>
      </c>
      <c r="AA23" s="34">
        <f t="shared" si="15"/>
        <v>31</v>
      </c>
      <c r="AB23" s="34">
        <f t="shared" si="15"/>
        <v>109.5</v>
      </c>
      <c r="AC23" s="34">
        <f t="shared" si="15"/>
        <v>173</v>
      </c>
      <c r="AD23" s="34">
        <f t="shared" si="15"/>
        <v>0</v>
      </c>
      <c r="AE23" s="31">
        <f t="shared" si="15"/>
        <v>663.5</v>
      </c>
      <c r="AF23" s="31">
        <f t="shared" si="15"/>
        <v>836.5</v>
      </c>
    </row>
    <row r="24" spans="2:32" ht="23.1" customHeight="1" x14ac:dyDescent="0.25">
      <c r="B24" s="23" t="s">
        <v>51</v>
      </c>
      <c r="C24" s="49">
        <f>SUM('AvgWeek Jinja-Kampala'!C24+'Avg Week Kampala-Jinja'!C24)</f>
        <v>26</v>
      </c>
      <c r="D24" s="49">
        <f>SUM('AvgWeek Jinja-Kampala'!D24+'Avg Week Kampala-Jinja'!D24)</f>
        <v>10.285714285714285</v>
      </c>
      <c r="E24" s="49">
        <f>SUM('AvgWeek Jinja-Kampala'!E24+'Avg Week Kampala-Jinja'!E24)</f>
        <v>6.2857142857142865</v>
      </c>
      <c r="F24" s="49">
        <f>SUM('AvgWeek Jinja-Kampala'!F24+'Avg Week Kampala-Jinja'!F24)</f>
        <v>57.714285714285708</v>
      </c>
      <c r="G24" s="49">
        <f>SUM('AvgWeek Jinja-Kampala'!G24+'Avg Week Kampala-Jinja'!G24)</f>
        <v>1.2857142857142856</v>
      </c>
      <c r="H24" s="49">
        <f>SUM('AvgWeek Jinja-Kampala'!H24+'Avg Week Kampala-Jinja'!H24)</f>
        <v>1</v>
      </c>
      <c r="I24" s="49">
        <f>SUM('AvgWeek Jinja-Kampala'!I24+'Avg Week Kampala-Jinja'!I24)</f>
        <v>6</v>
      </c>
      <c r="J24" s="49">
        <f>SUM('AvgWeek Jinja-Kampala'!J24+'Avg Week Kampala-Jinja'!J24)</f>
        <v>7.4285714285714288</v>
      </c>
      <c r="K24" s="49">
        <f>SUM('AvgWeek Jinja-Kampala'!K24+'Avg Week Kampala-Jinja'!K24)</f>
        <v>2.8571428571428572</v>
      </c>
      <c r="L24" s="49">
        <f>SUM('AvgWeek Jinja-Kampala'!L24+'Avg Week Kampala-Jinja'!L24)</f>
        <v>14.571428571428569</v>
      </c>
      <c r="M24" s="49">
        <f>SUM('AvgWeek Jinja-Kampala'!M24+'Avg Week Kampala-Jinja'!M24)</f>
        <v>43.571428571428569</v>
      </c>
      <c r="N24" s="49">
        <f>SUM('AvgWeek Jinja-Kampala'!N24+'Avg Week Kampala-Jinja'!N24)</f>
        <v>0</v>
      </c>
      <c r="O24" s="15">
        <f t="shared" si="0"/>
        <v>133.42857142857144</v>
      </c>
      <c r="P24" s="15">
        <f t="shared" si="1"/>
        <v>177</v>
      </c>
      <c r="R24" s="1" t="s">
        <v>148</v>
      </c>
      <c r="S24" s="34">
        <f>SUM(C66:C69)</f>
        <v>124</v>
      </c>
      <c r="T24" s="34">
        <f t="shared" ref="T24:AF24" si="16">SUM(D66:D69)</f>
        <v>50</v>
      </c>
      <c r="U24" s="34">
        <f t="shared" si="16"/>
        <v>35.5</v>
      </c>
      <c r="V24" s="34">
        <f t="shared" si="16"/>
        <v>141.5</v>
      </c>
      <c r="W24" s="34">
        <f t="shared" si="16"/>
        <v>20</v>
      </c>
      <c r="X24" s="34">
        <f t="shared" si="16"/>
        <v>4</v>
      </c>
      <c r="Y24" s="34">
        <f t="shared" si="16"/>
        <v>19.5</v>
      </c>
      <c r="Z24" s="34">
        <f t="shared" si="16"/>
        <v>36.5</v>
      </c>
      <c r="AA24" s="34">
        <f t="shared" si="16"/>
        <v>22.5</v>
      </c>
      <c r="AB24" s="34">
        <f t="shared" si="16"/>
        <v>59.5</v>
      </c>
      <c r="AC24" s="34">
        <f t="shared" si="16"/>
        <v>159.5</v>
      </c>
      <c r="AD24" s="34">
        <f t="shared" si="16"/>
        <v>6.5</v>
      </c>
      <c r="AE24" s="31">
        <f t="shared" si="16"/>
        <v>519.5</v>
      </c>
      <c r="AF24" s="31">
        <f t="shared" si="16"/>
        <v>679</v>
      </c>
    </row>
    <row r="25" spans="2:32" ht="23.1" customHeight="1" x14ac:dyDescent="0.25">
      <c r="B25" s="23" t="s">
        <v>52</v>
      </c>
      <c r="C25" s="49">
        <f>SUM('AvgWeek Jinja-Kampala'!C25+'Avg Week Kampala-Jinja'!C25)</f>
        <v>23.857142857142854</v>
      </c>
      <c r="D25" s="49">
        <f>SUM('AvgWeek Jinja-Kampala'!D25+'Avg Week Kampala-Jinja'!D25)</f>
        <v>10.714285714285714</v>
      </c>
      <c r="E25" s="49">
        <f>SUM('AvgWeek Jinja-Kampala'!E25+'Avg Week Kampala-Jinja'!E25)</f>
        <v>6.1428571428571432</v>
      </c>
      <c r="F25" s="49">
        <f>SUM('AvgWeek Jinja-Kampala'!F25+'Avg Week Kampala-Jinja'!F25)</f>
        <v>56.714285714285715</v>
      </c>
      <c r="G25" s="49">
        <f>SUM('AvgWeek Jinja-Kampala'!G25+'Avg Week Kampala-Jinja'!G25)</f>
        <v>1.7142857142857142</v>
      </c>
      <c r="H25" s="49">
        <f>SUM('AvgWeek Jinja-Kampala'!H25+'Avg Week Kampala-Jinja'!H25)</f>
        <v>0.5714285714285714</v>
      </c>
      <c r="I25" s="49">
        <f>SUM('AvgWeek Jinja-Kampala'!I25+'Avg Week Kampala-Jinja'!I25)</f>
        <v>5.8571428571428577</v>
      </c>
      <c r="J25" s="49">
        <f>SUM('AvgWeek Jinja-Kampala'!J25+'Avg Week Kampala-Jinja'!J25)</f>
        <v>8.4285714285714288</v>
      </c>
      <c r="K25" s="49">
        <f>SUM('AvgWeek Jinja-Kampala'!K25+'Avg Week Kampala-Jinja'!K25)</f>
        <v>2.4285714285714288</v>
      </c>
      <c r="L25" s="49">
        <f>SUM('AvgWeek Jinja-Kampala'!L25+'Avg Week Kampala-Jinja'!L25)</f>
        <v>14.285714285714285</v>
      </c>
      <c r="M25" s="49">
        <f>SUM('AvgWeek Jinja-Kampala'!M25+'Avg Week Kampala-Jinja'!M25)</f>
        <v>39.285714285714285</v>
      </c>
      <c r="N25" s="49">
        <f>SUM('AvgWeek Jinja-Kampala'!N25+'Avg Week Kampala-Jinja'!N25)</f>
        <v>0</v>
      </c>
      <c r="O25" s="15">
        <f t="shared" si="0"/>
        <v>130.71428571428572</v>
      </c>
      <c r="P25" s="15">
        <f t="shared" si="1"/>
        <v>170</v>
      </c>
      <c r="R25" s="1" t="s">
        <v>149</v>
      </c>
      <c r="S25" s="34">
        <f>SUM(C70:C73)</f>
        <v>78</v>
      </c>
      <c r="T25" s="34">
        <f t="shared" ref="T25:AF25" si="17">SUM(D70:D73)</f>
        <v>23.5</v>
      </c>
      <c r="U25" s="34">
        <f t="shared" si="17"/>
        <v>19</v>
      </c>
      <c r="V25" s="34">
        <f t="shared" si="17"/>
        <v>108</v>
      </c>
      <c r="W25" s="34">
        <f t="shared" si="17"/>
        <v>6.5</v>
      </c>
      <c r="X25" s="34">
        <f t="shared" si="17"/>
        <v>4</v>
      </c>
      <c r="Y25" s="34">
        <f t="shared" si="17"/>
        <v>15</v>
      </c>
      <c r="Z25" s="34">
        <f t="shared" si="17"/>
        <v>41.5</v>
      </c>
      <c r="AA25" s="34">
        <f t="shared" si="17"/>
        <v>10.5</v>
      </c>
      <c r="AB25" s="34">
        <f t="shared" si="17"/>
        <v>54</v>
      </c>
      <c r="AC25" s="34">
        <f t="shared" si="17"/>
        <v>97.5</v>
      </c>
      <c r="AD25" s="34">
        <f t="shared" si="17"/>
        <v>0</v>
      </c>
      <c r="AE25" s="31">
        <f t="shared" si="17"/>
        <v>360</v>
      </c>
      <c r="AF25" s="31">
        <f t="shared" si="17"/>
        <v>457.5</v>
      </c>
    </row>
    <row r="26" spans="2:32" ht="23.1" customHeight="1" x14ac:dyDescent="0.25">
      <c r="B26" s="23" t="s">
        <v>53</v>
      </c>
      <c r="C26" s="49">
        <f>SUM('AvgWeek Jinja-Kampala'!C26+'Avg Week Kampala-Jinja'!C26)</f>
        <v>30.428571428571427</v>
      </c>
      <c r="D26" s="49">
        <f>SUM('AvgWeek Jinja-Kampala'!D26+'Avg Week Kampala-Jinja'!D26)</f>
        <v>10.857142857142858</v>
      </c>
      <c r="E26" s="49">
        <f>SUM('AvgWeek Jinja-Kampala'!E26+'Avg Week Kampala-Jinja'!E26)</f>
        <v>8.7142857142857135</v>
      </c>
      <c r="F26" s="49">
        <f>SUM('AvgWeek Jinja-Kampala'!F26+'Avg Week Kampala-Jinja'!F26)</f>
        <v>48.142857142857139</v>
      </c>
      <c r="G26" s="49">
        <f>SUM('AvgWeek Jinja-Kampala'!G26+'Avg Week Kampala-Jinja'!G26)</f>
        <v>1.2857142857142856</v>
      </c>
      <c r="H26" s="49">
        <f>SUM('AvgWeek Jinja-Kampala'!H26+'Avg Week Kampala-Jinja'!H26)</f>
        <v>1.2857142857142856</v>
      </c>
      <c r="I26" s="49">
        <f>SUM('AvgWeek Jinja-Kampala'!I26+'Avg Week Kampala-Jinja'!I26)</f>
        <v>7.7142857142857144</v>
      </c>
      <c r="J26" s="49">
        <f>SUM('AvgWeek Jinja-Kampala'!J26+'Avg Week Kampala-Jinja'!J26)</f>
        <v>9.8571428571428577</v>
      </c>
      <c r="K26" s="49">
        <f>SUM('AvgWeek Jinja-Kampala'!K26+'Avg Week Kampala-Jinja'!K26)</f>
        <v>2.2857142857142856</v>
      </c>
      <c r="L26" s="49">
        <f>SUM('AvgWeek Jinja-Kampala'!L26+'Avg Week Kampala-Jinja'!L26)</f>
        <v>17.285714285714285</v>
      </c>
      <c r="M26" s="49">
        <f>SUM('AvgWeek Jinja-Kampala'!M26+'Avg Week Kampala-Jinja'!M26)</f>
        <v>37.142857142857139</v>
      </c>
      <c r="N26" s="49">
        <f>SUM('AvgWeek Jinja-Kampala'!N26+'Avg Week Kampala-Jinja'!N26)</f>
        <v>0</v>
      </c>
      <c r="O26" s="15">
        <f t="shared" si="0"/>
        <v>137.85714285714286</v>
      </c>
      <c r="P26" s="15">
        <f t="shared" si="1"/>
        <v>175</v>
      </c>
      <c r="R26" s="1" t="s">
        <v>150</v>
      </c>
      <c r="S26" s="34">
        <f>SUM(C74:C77)</f>
        <v>52.5</v>
      </c>
      <c r="T26" s="34">
        <f t="shared" ref="T26:AF26" si="18">SUM(D74:D77)</f>
        <v>21.5</v>
      </c>
      <c r="U26" s="34">
        <f t="shared" si="18"/>
        <v>8</v>
      </c>
      <c r="V26" s="34">
        <f t="shared" si="18"/>
        <v>49.5</v>
      </c>
      <c r="W26" s="34">
        <f t="shared" si="18"/>
        <v>7</v>
      </c>
      <c r="X26" s="34">
        <f t="shared" si="18"/>
        <v>3</v>
      </c>
      <c r="Y26" s="34">
        <f t="shared" si="18"/>
        <v>18.5</v>
      </c>
      <c r="Z26" s="34">
        <f t="shared" si="18"/>
        <v>24.5</v>
      </c>
      <c r="AA26" s="34">
        <f t="shared" si="18"/>
        <v>10.5</v>
      </c>
      <c r="AB26" s="34">
        <f t="shared" si="18"/>
        <v>45.5</v>
      </c>
      <c r="AC26" s="34">
        <f t="shared" si="18"/>
        <v>70</v>
      </c>
      <c r="AD26" s="34">
        <f t="shared" si="18"/>
        <v>3</v>
      </c>
      <c r="AE26" s="31">
        <f t="shared" si="18"/>
        <v>243.5</v>
      </c>
      <c r="AF26" s="31">
        <f t="shared" si="18"/>
        <v>313.5</v>
      </c>
    </row>
    <row r="27" spans="2:32" ht="23.1" customHeight="1" x14ac:dyDescent="0.25">
      <c r="B27" s="23" t="s">
        <v>54</v>
      </c>
      <c r="C27" s="49">
        <f>SUM('AvgWeek Jinja-Kampala'!C27+'Avg Week Kampala-Jinja'!C27)</f>
        <v>31.857142857142854</v>
      </c>
      <c r="D27" s="49">
        <f>SUM('AvgWeek Jinja-Kampala'!D27+'Avg Week Kampala-Jinja'!D27)</f>
        <v>12.714285714285714</v>
      </c>
      <c r="E27" s="49">
        <f>SUM('AvgWeek Jinja-Kampala'!E27+'Avg Week Kampala-Jinja'!E27)</f>
        <v>9.8571428571428577</v>
      </c>
      <c r="F27" s="49">
        <f>SUM('AvgWeek Jinja-Kampala'!F27+'Avg Week Kampala-Jinja'!F27)</f>
        <v>58.428571428571431</v>
      </c>
      <c r="G27" s="49">
        <f>SUM('AvgWeek Jinja-Kampala'!G27+'Avg Week Kampala-Jinja'!G27)</f>
        <v>1</v>
      </c>
      <c r="H27" s="49">
        <f>SUM('AvgWeek Jinja-Kampala'!H27+'Avg Week Kampala-Jinja'!H27)</f>
        <v>2</v>
      </c>
      <c r="I27" s="49">
        <f>SUM('AvgWeek Jinja-Kampala'!I27+'Avg Week Kampala-Jinja'!I27)</f>
        <v>6.2857142857142865</v>
      </c>
      <c r="J27" s="49">
        <f>SUM('AvgWeek Jinja-Kampala'!J27+'Avg Week Kampala-Jinja'!J27)</f>
        <v>9.8571428571428577</v>
      </c>
      <c r="K27" s="49">
        <f>SUM('AvgWeek Jinja-Kampala'!K27+'Avg Week Kampala-Jinja'!K27)</f>
        <v>1.2857142857142856</v>
      </c>
      <c r="L27" s="49">
        <f>SUM('AvgWeek Jinja-Kampala'!L27+'Avg Week Kampala-Jinja'!L27)</f>
        <v>17.714285714285715</v>
      </c>
      <c r="M27" s="49">
        <f>SUM('AvgWeek Jinja-Kampala'!M27+'Avg Week Kampala-Jinja'!M27)</f>
        <v>44.714285714285715</v>
      </c>
      <c r="N27" s="49">
        <f>SUM('AvgWeek Jinja-Kampala'!N27+'Avg Week Kampala-Jinja'!N27)</f>
        <v>0</v>
      </c>
      <c r="O27" s="15">
        <f t="shared" si="0"/>
        <v>151</v>
      </c>
      <c r="P27" s="15">
        <f t="shared" si="1"/>
        <v>195.71428571428572</v>
      </c>
      <c r="R27" s="1" t="s">
        <v>151</v>
      </c>
      <c r="S27" s="34">
        <f>SUM(C78:C81)</f>
        <v>14</v>
      </c>
      <c r="T27" s="34">
        <f t="shared" ref="T27:AF27" si="19">SUM(D78:D81)</f>
        <v>5</v>
      </c>
      <c r="U27" s="34">
        <f t="shared" si="19"/>
        <v>4</v>
      </c>
      <c r="V27" s="34">
        <f t="shared" si="19"/>
        <v>14.5</v>
      </c>
      <c r="W27" s="34">
        <f t="shared" si="19"/>
        <v>1</v>
      </c>
      <c r="X27" s="34">
        <f t="shared" si="19"/>
        <v>3</v>
      </c>
      <c r="Y27" s="34">
        <f t="shared" si="19"/>
        <v>5</v>
      </c>
      <c r="Z27" s="34">
        <f t="shared" si="19"/>
        <v>23.5</v>
      </c>
      <c r="AA27" s="34">
        <f t="shared" si="19"/>
        <v>8</v>
      </c>
      <c r="AB27" s="34">
        <f t="shared" si="19"/>
        <v>25</v>
      </c>
      <c r="AC27" s="34">
        <f t="shared" si="19"/>
        <v>25</v>
      </c>
      <c r="AD27" s="34">
        <f t="shared" si="19"/>
        <v>0</v>
      </c>
      <c r="AE27" s="31">
        <f t="shared" si="19"/>
        <v>103</v>
      </c>
      <c r="AF27" s="31">
        <f t="shared" si="19"/>
        <v>128</v>
      </c>
    </row>
    <row r="28" spans="2:32" ht="23.1" customHeight="1" x14ac:dyDescent="0.25">
      <c r="B28" s="23" t="s">
        <v>55</v>
      </c>
      <c r="C28" s="49">
        <f>SUM('AvgWeek Jinja-Kampala'!C28+'Avg Week Kampala-Jinja'!C28)</f>
        <v>28.428571428571431</v>
      </c>
      <c r="D28" s="49">
        <f>SUM('AvgWeek Jinja-Kampala'!D28+'Avg Week Kampala-Jinja'!D28)</f>
        <v>14.714285714285714</v>
      </c>
      <c r="E28" s="49">
        <f>SUM('AvgWeek Jinja-Kampala'!E28+'Avg Week Kampala-Jinja'!E28)</f>
        <v>7.8571428571428577</v>
      </c>
      <c r="F28" s="49">
        <f>SUM('AvgWeek Jinja-Kampala'!F28+'Avg Week Kampala-Jinja'!F28)</f>
        <v>59.285714285714292</v>
      </c>
      <c r="G28" s="49">
        <f>SUM('AvgWeek Jinja-Kampala'!G28+'Avg Week Kampala-Jinja'!G28)</f>
        <v>1.7142857142857144</v>
      </c>
      <c r="H28" s="49">
        <f>SUM('AvgWeek Jinja-Kampala'!H28+'Avg Week Kampala-Jinja'!H28)</f>
        <v>0.8571428571428571</v>
      </c>
      <c r="I28" s="49">
        <f>SUM('AvgWeek Jinja-Kampala'!I28+'Avg Week Kampala-Jinja'!I28)</f>
        <v>7</v>
      </c>
      <c r="J28" s="49">
        <f>SUM('AvgWeek Jinja-Kampala'!J28+'Avg Week Kampala-Jinja'!J28)</f>
        <v>8.4285714285714288</v>
      </c>
      <c r="K28" s="49">
        <f>SUM('AvgWeek Jinja-Kampala'!K28+'Avg Week Kampala-Jinja'!K28)</f>
        <v>2</v>
      </c>
      <c r="L28" s="49">
        <f>SUM('AvgWeek Jinja-Kampala'!L28+'Avg Week Kampala-Jinja'!L28)</f>
        <v>18.285714285714285</v>
      </c>
      <c r="M28" s="49">
        <f>SUM('AvgWeek Jinja-Kampala'!M28+'Avg Week Kampala-Jinja'!M28)</f>
        <v>44.428571428571431</v>
      </c>
      <c r="N28" s="49">
        <f>SUM('AvgWeek Jinja-Kampala'!N28+'Avg Week Kampala-Jinja'!N28)</f>
        <v>0.14285714285714285</v>
      </c>
      <c r="O28" s="15">
        <f t="shared" si="0"/>
        <v>148.71428571428569</v>
      </c>
      <c r="P28" s="15">
        <f t="shared" si="1"/>
        <v>193.14285714285714</v>
      </c>
      <c r="R28" s="1" t="s">
        <v>152</v>
      </c>
      <c r="S28" s="34">
        <f>SUM(C82:C85)</f>
        <v>11.5</v>
      </c>
      <c r="T28" s="34">
        <f t="shared" ref="T28:AF28" si="20">SUM(D82:D85)</f>
        <v>4</v>
      </c>
      <c r="U28" s="34">
        <f t="shared" si="20"/>
        <v>2</v>
      </c>
      <c r="V28" s="34">
        <f t="shared" si="20"/>
        <v>13</v>
      </c>
      <c r="W28" s="34">
        <f t="shared" si="20"/>
        <v>0.5</v>
      </c>
      <c r="X28" s="34">
        <f t="shared" si="20"/>
        <v>4</v>
      </c>
      <c r="Y28" s="34">
        <f t="shared" si="20"/>
        <v>12</v>
      </c>
      <c r="Z28" s="34">
        <f t="shared" si="20"/>
        <v>32.5</v>
      </c>
      <c r="AA28" s="34">
        <f t="shared" si="20"/>
        <v>6</v>
      </c>
      <c r="AB28" s="34">
        <f t="shared" si="20"/>
        <v>33.5</v>
      </c>
      <c r="AC28" s="34">
        <f t="shared" si="20"/>
        <v>9</v>
      </c>
      <c r="AD28" s="34">
        <f t="shared" si="20"/>
        <v>1.5</v>
      </c>
      <c r="AE28" s="31">
        <f t="shared" si="20"/>
        <v>120.5</v>
      </c>
      <c r="AF28" s="31">
        <f t="shared" si="20"/>
        <v>129.5</v>
      </c>
    </row>
    <row r="29" spans="2:32" ht="23.1" customHeight="1" x14ac:dyDescent="0.25">
      <c r="B29" s="23" t="s">
        <v>56</v>
      </c>
      <c r="C29" s="49">
        <f>SUM('AvgWeek Jinja-Kampala'!C29+'Avg Week Kampala-Jinja'!C29)</f>
        <v>30.428571428571427</v>
      </c>
      <c r="D29" s="49">
        <f>SUM('AvgWeek Jinja-Kampala'!D29+'Avg Week Kampala-Jinja'!D29)</f>
        <v>13.714285714285715</v>
      </c>
      <c r="E29" s="49">
        <f>SUM('AvgWeek Jinja-Kampala'!E29+'Avg Week Kampala-Jinja'!E29)</f>
        <v>7.8571428571428577</v>
      </c>
      <c r="F29" s="49">
        <f>SUM('AvgWeek Jinja-Kampala'!F29+'Avg Week Kampala-Jinja'!F29)</f>
        <v>53.857142857142854</v>
      </c>
      <c r="G29" s="49">
        <f>SUM('AvgWeek Jinja-Kampala'!G29+'Avg Week Kampala-Jinja'!G29)</f>
        <v>2.2857142857142856</v>
      </c>
      <c r="H29" s="49">
        <f>SUM('AvgWeek Jinja-Kampala'!H29+'Avg Week Kampala-Jinja'!H29)</f>
        <v>0.5714285714285714</v>
      </c>
      <c r="I29" s="49">
        <f>SUM('AvgWeek Jinja-Kampala'!I29+'Avg Week Kampala-Jinja'!I29)</f>
        <v>6</v>
      </c>
      <c r="J29" s="49">
        <f>SUM('AvgWeek Jinja-Kampala'!J29+'Avg Week Kampala-Jinja'!J29)</f>
        <v>12</v>
      </c>
      <c r="K29" s="49">
        <f>SUM('AvgWeek Jinja-Kampala'!K29+'Avg Week Kampala-Jinja'!K29)</f>
        <v>1.8571428571428572</v>
      </c>
      <c r="L29" s="49">
        <f>SUM('AvgWeek Jinja-Kampala'!L29+'Avg Week Kampala-Jinja'!L29)</f>
        <v>16.285714285714285</v>
      </c>
      <c r="M29" s="49">
        <f>SUM('AvgWeek Jinja-Kampala'!M29+'Avg Week Kampala-Jinja'!M29)</f>
        <v>42.714285714285715</v>
      </c>
      <c r="N29" s="49">
        <f>SUM('AvgWeek Jinja-Kampala'!N29+'Avg Week Kampala-Jinja'!N29)</f>
        <v>0</v>
      </c>
      <c r="O29" s="15">
        <f t="shared" si="0"/>
        <v>144.85714285714286</v>
      </c>
      <c r="P29" s="15">
        <f t="shared" si="1"/>
        <v>187.57142857142858</v>
      </c>
      <c r="R29" s="1" t="s">
        <v>153</v>
      </c>
      <c r="S29" s="34">
        <f>SUM(C86:C89)</f>
        <v>11</v>
      </c>
      <c r="T29" s="34">
        <f t="shared" ref="T29:AF29" si="21">SUM(D86:D89)</f>
        <v>4.5</v>
      </c>
      <c r="U29" s="34">
        <f t="shared" si="21"/>
        <v>3</v>
      </c>
      <c r="V29" s="34">
        <f t="shared" si="21"/>
        <v>6.5</v>
      </c>
      <c r="W29" s="34">
        <f t="shared" si="21"/>
        <v>0.5</v>
      </c>
      <c r="X29" s="34">
        <f t="shared" si="21"/>
        <v>5.5</v>
      </c>
      <c r="Y29" s="34">
        <f t="shared" si="21"/>
        <v>9</v>
      </c>
      <c r="Z29" s="34">
        <f t="shared" si="21"/>
        <v>34.5</v>
      </c>
      <c r="AA29" s="34">
        <f t="shared" si="21"/>
        <v>15.5</v>
      </c>
      <c r="AB29" s="34">
        <f t="shared" si="21"/>
        <v>35</v>
      </c>
      <c r="AC29" s="34">
        <f t="shared" si="21"/>
        <v>8</v>
      </c>
      <c r="AD29" s="34">
        <f t="shared" si="21"/>
        <v>0</v>
      </c>
      <c r="AE29" s="31">
        <f t="shared" si="21"/>
        <v>125</v>
      </c>
      <c r="AF29" s="31">
        <f t="shared" si="21"/>
        <v>133</v>
      </c>
    </row>
    <row r="30" spans="2:32" ht="23.1" customHeight="1" x14ac:dyDescent="0.25">
      <c r="B30" s="23" t="s">
        <v>57</v>
      </c>
      <c r="C30" s="49">
        <f>SUM('AvgWeek Jinja-Kampala'!C30+'Avg Week Kampala-Jinja'!C30)</f>
        <v>31.857142857142861</v>
      </c>
      <c r="D30" s="49">
        <f>SUM('AvgWeek Jinja-Kampala'!D30+'Avg Week Kampala-Jinja'!D30)</f>
        <v>12.571428571428571</v>
      </c>
      <c r="E30" s="49">
        <f>SUM('AvgWeek Jinja-Kampala'!E30+'Avg Week Kampala-Jinja'!E30)</f>
        <v>8.4285714285714288</v>
      </c>
      <c r="F30" s="49">
        <f>SUM('AvgWeek Jinja-Kampala'!F30+'Avg Week Kampala-Jinja'!F30)</f>
        <v>54.142857142857139</v>
      </c>
      <c r="G30" s="49">
        <f>SUM('AvgWeek Jinja-Kampala'!G30+'Avg Week Kampala-Jinja'!G30)</f>
        <v>1.1428571428571428</v>
      </c>
      <c r="H30" s="49">
        <f>SUM('AvgWeek Jinja-Kampala'!H30+'Avg Week Kampala-Jinja'!H30)</f>
        <v>0.8571428571428571</v>
      </c>
      <c r="I30" s="49">
        <f>SUM('AvgWeek Jinja-Kampala'!I30+'Avg Week Kampala-Jinja'!I30)</f>
        <v>6.8571428571428577</v>
      </c>
      <c r="J30" s="49">
        <f>SUM('AvgWeek Jinja-Kampala'!J30+'Avg Week Kampala-Jinja'!J30)</f>
        <v>11</v>
      </c>
      <c r="K30" s="49">
        <f>SUM('AvgWeek Jinja-Kampala'!K30+'Avg Week Kampala-Jinja'!K30)</f>
        <v>2</v>
      </c>
      <c r="L30" s="49">
        <f>SUM('AvgWeek Jinja-Kampala'!L30+'Avg Week Kampala-Jinja'!L30)</f>
        <v>16.714285714285715</v>
      </c>
      <c r="M30" s="49">
        <f>SUM('AvgWeek Jinja-Kampala'!M30+'Avg Week Kampala-Jinja'!M30)</f>
        <v>41.571428571428569</v>
      </c>
      <c r="N30" s="49">
        <f>SUM('AvgWeek Jinja-Kampala'!N30+'Avg Week Kampala-Jinja'!N30)</f>
        <v>0</v>
      </c>
      <c r="O30" s="15">
        <f t="shared" si="0"/>
        <v>145.57142857142858</v>
      </c>
      <c r="P30" s="15">
        <f t="shared" si="1"/>
        <v>187.14285714285717</v>
      </c>
      <c r="R30" s="1" t="s">
        <v>154</v>
      </c>
      <c r="S30" s="34">
        <f>SUM(C90:C93)</f>
        <v>6.5</v>
      </c>
      <c r="T30" s="34">
        <f t="shared" ref="T30:AF30" si="22">SUM(D90:D93)</f>
        <v>1</v>
      </c>
      <c r="U30" s="34">
        <f t="shared" si="22"/>
        <v>2.5</v>
      </c>
      <c r="V30" s="34">
        <f t="shared" si="22"/>
        <v>9.5</v>
      </c>
      <c r="W30" s="34">
        <f t="shared" si="22"/>
        <v>0.5</v>
      </c>
      <c r="X30" s="34">
        <f t="shared" si="22"/>
        <v>4</v>
      </c>
      <c r="Y30" s="34">
        <f t="shared" si="22"/>
        <v>4.5</v>
      </c>
      <c r="Z30" s="34">
        <f t="shared" si="22"/>
        <v>27</v>
      </c>
      <c r="AA30" s="34">
        <f t="shared" si="22"/>
        <v>12.5</v>
      </c>
      <c r="AB30" s="34">
        <f t="shared" si="22"/>
        <v>32</v>
      </c>
      <c r="AC30" s="34">
        <f t="shared" si="22"/>
        <v>5.5</v>
      </c>
      <c r="AD30" s="34">
        <f t="shared" si="22"/>
        <v>0</v>
      </c>
      <c r="AE30" s="31">
        <f t="shared" si="22"/>
        <v>100</v>
      </c>
      <c r="AF30" s="31">
        <f t="shared" si="22"/>
        <v>105.5</v>
      </c>
    </row>
    <row r="31" spans="2:32" ht="23.1" customHeight="1" x14ac:dyDescent="0.25">
      <c r="B31" s="24" t="s">
        <v>58</v>
      </c>
      <c r="C31" s="49">
        <f>SUM('AvgWeek Jinja-Kampala'!C31+'Avg Week Kampala-Jinja'!C31)</f>
        <v>29</v>
      </c>
      <c r="D31" s="49">
        <f>SUM('AvgWeek Jinja-Kampala'!D31+'Avg Week Kampala-Jinja'!D31)</f>
        <v>9.5714285714285712</v>
      </c>
      <c r="E31" s="49">
        <f>SUM('AvgWeek Jinja-Kampala'!E31+'Avg Week Kampala-Jinja'!E31)</f>
        <v>6.5714285714285712</v>
      </c>
      <c r="F31" s="49">
        <f>SUM('AvgWeek Jinja-Kampala'!F31+'Avg Week Kampala-Jinja'!F31)</f>
        <v>57.571428571428569</v>
      </c>
      <c r="G31" s="49">
        <f>SUM('AvgWeek Jinja-Kampala'!G31+'Avg Week Kampala-Jinja'!G31)</f>
        <v>1.8571428571428572</v>
      </c>
      <c r="H31" s="49">
        <f>SUM('AvgWeek Jinja-Kampala'!H31+'Avg Week Kampala-Jinja'!H31)</f>
        <v>1.2857142857142856</v>
      </c>
      <c r="I31" s="49">
        <f>SUM('AvgWeek Jinja-Kampala'!I31+'Avg Week Kampala-Jinja'!I31)</f>
        <v>7.4285714285714288</v>
      </c>
      <c r="J31" s="49">
        <f>SUM('AvgWeek Jinja-Kampala'!J31+'Avg Week Kampala-Jinja'!J31)</f>
        <v>10</v>
      </c>
      <c r="K31" s="49">
        <f>SUM('AvgWeek Jinja-Kampala'!K31+'Avg Week Kampala-Jinja'!K31)</f>
        <v>2</v>
      </c>
      <c r="L31" s="49">
        <f>SUM('AvgWeek Jinja-Kampala'!L31+'Avg Week Kampala-Jinja'!L31)</f>
        <v>17.857142857142858</v>
      </c>
      <c r="M31" s="49">
        <f>SUM('AvgWeek Jinja-Kampala'!M31+'Avg Week Kampala-Jinja'!M31)</f>
        <v>36.285714285714292</v>
      </c>
      <c r="N31" s="49">
        <f>SUM('AvgWeek Jinja-Kampala'!N31+'Avg Week Kampala-Jinja'!N31)</f>
        <v>0.14285714285714285</v>
      </c>
      <c r="O31" s="15">
        <f t="shared" si="0"/>
        <v>143.28571428571428</v>
      </c>
      <c r="P31" s="15">
        <f t="shared" si="1"/>
        <v>179.57142857142858</v>
      </c>
      <c r="R31" s="1" t="s">
        <v>155</v>
      </c>
      <c r="S31" s="34">
        <f>SUM(C94:C97)</f>
        <v>14.5</v>
      </c>
      <c r="T31" s="34">
        <f t="shared" ref="T31:AF31" si="23">SUM(D94:D97)</f>
        <v>4.5</v>
      </c>
      <c r="U31" s="34">
        <f t="shared" si="23"/>
        <v>2.5</v>
      </c>
      <c r="V31" s="34">
        <f t="shared" si="23"/>
        <v>24</v>
      </c>
      <c r="W31" s="34">
        <f t="shared" si="23"/>
        <v>2.5</v>
      </c>
      <c r="X31" s="34">
        <f t="shared" si="23"/>
        <v>5.5</v>
      </c>
      <c r="Y31" s="34">
        <f t="shared" si="23"/>
        <v>6</v>
      </c>
      <c r="Z31" s="34">
        <f t="shared" si="23"/>
        <v>27</v>
      </c>
      <c r="AA31" s="34">
        <f t="shared" si="23"/>
        <v>12</v>
      </c>
      <c r="AB31" s="34">
        <f t="shared" si="23"/>
        <v>46</v>
      </c>
      <c r="AC31" s="34">
        <f t="shared" si="23"/>
        <v>40.5</v>
      </c>
      <c r="AD31" s="34">
        <f t="shared" si="23"/>
        <v>0</v>
      </c>
      <c r="AE31" s="31">
        <f t="shared" si="23"/>
        <v>144.5</v>
      </c>
      <c r="AF31" s="31">
        <f t="shared" si="23"/>
        <v>185</v>
      </c>
    </row>
    <row r="32" spans="2:32" ht="23.1" customHeight="1" x14ac:dyDescent="0.25">
      <c r="B32" s="24" t="s">
        <v>59</v>
      </c>
      <c r="C32" s="49">
        <f>SUM('AvgWeek Jinja-Kampala'!C32+'Avg Week Kampala-Jinja'!C32)</f>
        <v>33.142857142857139</v>
      </c>
      <c r="D32" s="49">
        <f>SUM('AvgWeek Jinja-Kampala'!D32+'Avg Week Kampala-Jinja'!D32)</f>
        <v>12.428571428571427</v>
      </c>
      <c r="E32" s="49">
        <f>SUM('AvgWeek Jinja-Kampala'!E32+'Avg Week Kampala-Jinja'!E32)</f>
        <v>7.8571428571428577</v>
      </c>
      <c r="F32" s="49">
        <f>SUM('AvgWeek Jinja-Kampala'!F32+'Avg Week Kampala-Jinja'!F32)</f>
        <v>56.714285714285715</v>
      </c>
      <c r="G32" s="49">
        <f>SUM('AvgWeek Jinja-Kampala'!G32+'Avg Week Kampala-Jinja'!G32)</f>
        <v>1.2857142857142856</v>
      </c>
      <c r="H32" s="49">
        <f>SUM('AvgWeek Jinja-Kampala'!H32+'Avg Week Kampala-Jinja'!H32)</f>
        <v>0.8571428571428571</v>
      </c>
      <c r="I32" s="49">
        <f>SUM('AvgWeek Jinja-Kampala'!I32+'Avg Week Kampala-Jinja'!I32)</f>
        <v>7.8571428571428577</v>
      </c>
      <c r="J32" s="49">
        <f>SUM('AvgWeek Jinja-Kampala'!J32+'Avg Week Kampala-Jinja'!J32)</f>
        <v>10.142857142857142</v>
      </c>
      <c r="K32" s="49">
        <f>SUM('AvgWeek Jinja-Kampala'!K32+'Avg Week Kampala-Jinja'!K32)</f>
        <v>1.7142857142857144</v>
      </c>
      <c r="L32" s="49">
        <f>SUM('AvgWeek Jinja-Kampala'!L32+'Avg Week Kampala-Jinja'!L32)</f>
        <v>20</v>
      </c>
      <c r="M32" s="49">
        <f>SUM('AvgWeek Jinja-Kampala'!M32+'Avg Week Kampala-Jinja'!M32)</f>
        <v>40.285714285714285</v>
      </c>
      <c r="N32" s="49">
        <f>SUM('AvgWeek Jinja-Kampala'!N32+'Avg Week Kampala-Jinja'!N32)</f>
        <v>0</v>
      </c>
      <c r="O32" s="15">
        <f t="shared" si="0"/>
        <v>152.00000000000003</v>
      </c>
      <c r="P32" s="15">
        <f t="shared" si="1"/>
        <v>192.28571428571431</v>
      </c>
      <c r="R32" s="1" t="s">
        <v>156</v>
      </c>
      <c r="S32" s="34">
        <f>SUM(C98:C101)</f>
        <v>19.5</v>
      </c>
      <c r="T32" s="34">
        <f t="shared" ref="T32:AF32" si="24">SUM(D98:D101)</f>
        <v>12</v>
      </c>
      <c r="U32" s="34">
        <f t="shared" si="24"/>
        <v>6</v>
      </c>
      <c r="V32" s="34">
        <f t="shared" si="24"/>
        <v>68.5</v>
      </c>
      <c r="W32" s="34">
        <f t="shared" si="24"/>
        <v>0.5</v>
      </c>
      <c r="X32" s="34">
        <f t="shared" si="24"/>
        <v>6.5</v>
      </c>
      <c r="Y32" s="34">
        <f t="shared" si="24"/>
        <v>10.5</v>
      </c>
      <c r="Z32" s="34">
        <f t="shared" si="24"/>
        <v>28.5</v>
      </c>
      <c r="AA32" s="34">
        <f t="shared" si="24"/>
        <v>26.5</v>
      </c>
      <c r="AB32" s="34">
        <f t="shared" si="24"/>
        <v>62.5</v>
      </c>
      <c r="AC32" s="34">
        <f t="shared" si="24"/>
        <v>22.5</v>
      </c>
      <c r="AD32" s="34">
        <f t="shared" si="24"/>
        <v>0</v>
      </c>
      <c r="AE32" s="31">
        <f t="shared" si="24"/>
        <v>241</v>
      </c>
      <c r="AF32" s="31">
        <f t="shared" si="24"/>
        <v>263.5</v>
      </c>
    </row>
    <row r="33" spans="2:32" ht="23.1" customHeight="1" x14ac:dyDescent="0.25">
      <c r="B33" s="23" t="s">
        <v>60</v>
      </c>
      <c r="C33" s="49">
        <f>SUM('AvgWeek Jinja-Kampala'!C33+'Avg Week Kampala-Jinja'!C33)</f>
        <v>26.571428571428569</v>
      </c>
      <c r="D33" s="49">
        <f>SUM('AvgWeek Jinja-Kampala'!D33+'Avg Week Kampala-Jinja'!D33)</f>
        <v>11.428571428571429</v>
      </c>
      <c r="E33" s="49">
        <f>SUM('AvgWeek Jinja-Kampala'!E33+'Avg Week Kampala-Jinja'!E33)</f>
        <v>4.4285714285714288</v>
      </c>
      <c r="F33" s="49">
        <f>SUM('AvgWeek Jinja-Kampala'!F33+'Avg Week Kampala-Jinja'!F33)</f>
        <v>47.857142857142861</v>
      </c>
      <c r="G33" s="49">
        <f>SUM('AvgWeek Jinja-Kampala'!G33+'Avg Week Kampala-Jinja'!G33)</f>
        <v>10.714285714285714</v>
      </c>
      <c r="H33" s="49">
        <f>SUM('AvgWeek Jinja-Kampala'!H33+'Avg Week Kampala-Jinja'!H33)</f>
        <v>0.8571428571428571</v>
      </c>
      <c r="I33" s="49">
        <f>SUM('AvgWeek Jinja-Kampala'!I33+'Avg Week Kampala-Jinja'!I33)</f>
        <v>5.7142857142857144</v>
      </c>
      <c r="J33" s="49">
        <f>SUM('AvgWeek Jinja-Kampala'!J33+'Avg Week Kampala-Jinja'!J33)</f>
        <v>9.4285714285714288</v>
      </c>
      <c r="K33" s="49">
        <f>SUM('AvgWeek Jinja-Kampala'!K33+'Avg Week Kampala-Jinja'!K33)</f>
        <v>4.8571428571428577</v>
      </c>
      <c r="L33" s="49">
        <f>SUM('AvgWeek Jinja-Kampala'!L33+'Avg Week Kampala-Jinja'!L33)</f>
        <v>21</v>
      </c>
      <c r="M33" s="49">
        <f>SUM('AvgWeek Jinja-Kampala'!M33+'Avg Week Kampala-Jinja'!M33)</f>
        <v>33.142857142857139</v>
      </c>
      <c r="N33" s="49">
        <f>SUM('AvgWeek Jinja-Kampala'!N33+'Avg Week Kampala-Jinja'!N33)</f>
        <v>0.14285714285714285</v>
      </c>
      <c r="O33" s="15">
        <f t="shared" si="0"/>
        <v>143</v>
      </c>
      <c r="P33" s="15">
        <f t="shared" si="1"/>
        <v>176.14285714285714</v>
      </c>
      <c r="R33" s="1" t="s">
        <v>157</v>
      </c>
      <c r="S33" s="34">
        <f>SUM(C102:C105)</f>
        <v>49.5</v>
      </c>
      <c r="T33" s="34">
        <f t="shared" ref="T33:AF33" si="25">SUM(D102:D105)</f>
        <v>19.5</v>
      </c>
      <c r="U33" s="34">
        <f t="shared" si="25"/>
        <v>12.5</v>
      </c>
      <c r="V33" s="34">
        <f t="shared" si="25"/>
        <v>131</v>
      </c>
      <c r="W33" s="34">
        <f t="shared" si="25"/>
        <v>2</v>
      </c>
      <c r="X33" s="34">
        <f t="shared" si="25"/>
        <v>6</v>
      </c>
      <c r="Y33" s="34">
        <f t="shared" si="25"/>
        <v>13</v>
      </c>
      <c r="Z33" s="34">
        <f t="shared" si="25"/>
        <v>26.5</v>
      </c>
      <c r="AA33" s="34">
        <f t="shared" si="25"/>
        <v>16.5</v>
      </c>
      <c r="AB33" s="34">
        <f t="shared" si="25"/>
        <v>104</v>
      </c>
      <c r="AC33" s="34">
        <f t="shared" si="25"/>
        <v>74</v>
      </c>
      <c r="AD33" s="34">
        <f t="shared" si="25"/>
        <v>0</v>
      </c>
      <c r="AE33" s="31">
        <f t="shared" si="25"/>
        <v>380.5</v>
      </c>
      <c r="AF33" s="31">
        <f t="shared" si="25"/>
        <v>454.5</v>
      </c>
    </row>
    <row r="34" spans="2:32" ht="23.1" customHeight="1" x14ac:dyDescent="0.25">
      <c r="B34" s="24" t="s">
        <v>61</v>
      </c>
      <c r="C34" s="49">
        <f>SUM('AvgWeek Jinja-Kampala'!C34+'Avg Week Kampala-Jinja'!C34)</f>
        <v>32</v>
      </c>
      <c r="D34" s="49">
        <f>SUM('AvgWeek Jinja-Kampala'!D34+'Avg Week Kampala-Jinja'!D34)</f>
        <v>13.857142857142858</v>
      </c>
      <c r="E34" s="49">
        <f>SUM('AvgWeek Jinja-Kampala'!E34+'Avg Week Kampala-Jinja'!E34)</f>
        <v>8.1428571428571423</v>
      </c>
      <c r="F34" s="49">
        <f>SUM('AvgWeek Jinja-Kampala'!F34+'Avg Week Kampala-Jinja'!F34)</f>
        <v>67.285714285714292</v>
      </c>
      <c r="G34" s="49">
        <f>SUM('AvgWeek Jinja-Kampala'!G34+'Avg Week Kampala-Jinja'!G34)</f>
        <v>1.7142857142857142</v>
      </c>
      <c r="H34" s="49">
        <f>SUM('AvgWeek Jinja-Kampala'!H34+'Avg Week Kampala-Jinja'!H34)</f>
        <v>0.42857142857142855</v>
      </c>
      <c r="I34" s="49">
        <f>SUM('AvgWeek Jinja-Kampala'!I34+'Avg Week Kampala-Jinja'!I34)</f>
        <v>9.8571428571428577</v>
      </c>
      <c r="J34" s="49">
        <f>SUM('AvgWeek Jinja-Kampala'!J34+'Avg Week Kampala-Jinja'!J34)</f>
        <v>13.285714285714285</v>
      </c>
      <c r="K34" s="49">
        <f>SUM('AvgWeek Jinja-Kampala'!K34+'Avg Week Kampala-Jinja'!K34)</f>
        <v>2.2857142857142856</v>
      </c>
      <c r="L34" s="49">
        <f>SUM('AvgWeek Jinja-Kampala'!L34+'Avg Week Kampala-Jinja'!L34)</f>
        <v>23.285714285714285</v>
      </c>
      <c r="M34" s="49">
        <f>SUM('AvgWeek Jinja-Kampala'!M34+'Avg Week Kampala-Jinja'!M34)</f>
        <v>42.714285714285715</v>
      </c>
      <c r="N34" s="49">
        <f>SUM('AvgWeek Jinja-Kampala'!N34+'Avg Week Kampala-Jinja'!N34)</f>
        <v>0.14285714285714285</v>
      </c>
      <c r="O34" s="15">
        <f t="shared" si="0"/>
        <v>172.28571428571425</v>
      </c>
      <c r="P34" s="15">
        <f t="shared" si="1"/>
        <v>214.99999999999997</v>
      </c>
      <c r="R34" s="51" t="s">
        <v>90</v>
      </c>
      <c r="S34" s="52">
        <f t="shared" ref="S34:AF34" si="26">MAX(S10:S12)</f>
        <v>103.71428571428572</v>
      </c>
      <c r="T34" s="52">
        <f t="shared" si="26"/>
        <v>53.571428571428569</v>
      </c>
      <c r="U34" s="52">
        <f t="shared" si="26"/>
        <v>32.285714285714285</v>
      </c>
      <c r="V34" s="52">
        <f t="shared" si="26"/>
        <v>242.14285714285717</v>
      </c>
      <c r="W34" s="52">
        <f t="shared" si="26"/>
        <v>11.857142857142856</v>
      </c>
      <c r="X34" s="52">
        <f t="shared" si="26"/>
        <v>5.8571428571428577</v>
      </c>
      <c r="Y34" s="52">
        <f t="shared" si="26"/>
        <v>20.571428571428573</v>
      </c>
      <c r="Z34" s="52">
        <f t="shared" si="26"/>
        <v>33.428571428571431</v>
      </c>
      <c r="AA34" s="52">
        <f t="shared" si="26"/>
        <v>14.285714285714286</v>
      </c>
      <c r="AB34" s="52">
        <f t="shared" si="26"/>
        <v>78.428571428571431</v>
      </c>
      <c r="AC34" s="52">
        <f t="shared" si="26"/>
        <v>147.71428571428572</v>
      </c>
      <c r="AD34" s="52">
        <f t="shared" si="26"/>
        <v>3.7142857142857144</v>
      </c>
      <c r="AE34" s="40">
        <f t="shared" si="26"/>
        <v>565</v>
      </c>
      <c r="AF34" s="40">
        <f t="shared" si="26"/>
        <v>712.71428571428567</v>
      </c>
    </row>
    <row r="35" spans="2:32" ht="23.1" customHeight="1" x14ac:dyDescent="0.25">
      <c r="B35" s="24" t="s">
        <v>62</v>
      </c>
      <c r="C35" s="49">
        <f>SUM('AvgWeek Jinja-Kampala'!C35+'Avg Week Kampala-Jinja'!C35)</f>
        <v>35.428571428571431</v>
      </c>
      <c r="D35" s="49">
        <f>SUM('AvgWeek Jinja-Kampala'!D35+'Avg Week Kampala-Jinja'!D35)</f>
        <v>14.428571428571427</v>
      </c>
      <c r="E35" s="49">
        <f>SUM('AvgWeek Jinja-Kampala'!E35+'Avg Week Kampala-Jinja'!E35)</f>
        <v>7.4285714285714288</v>
      </c>
      <c r="F35" s="49">
        <f>SUM('AvgWeek Jinja-Kampala'!F35+'Avg Week Kampala-Jinja'!F35)</f>
        <v>56.571428571428569</v>
      </c>
      <c r="G35" s="49">
        <f>SUM('AvgWeek Jinja-Kampala'!G35+'Avg Week Kampala-Jinja'!G35)</f>
        <v>2</v>
      </c>
      <c r="H35" s="49">
        <f>SUM('AvgWeek Jinja-Kampala'!H35+'Avg Week Kampala-Jinja'!H35)</f>
        <v>1.1428571428571428</v>
      </c>
      <c r="I35" s="49">
        <f>SUM('AvgWeek Jinja-Kampala'!I35+'Avg Week Kampala-Jinja'!I35)</f>
        <v>4.7142857142857144</v>
      </c>
      <c r="J35" s="49">
        <f>SUM('AvgWeek Jinja-Kampala'!J35+'Avg Week Kampala-Jinja'!J35)</f>
        <v>14.285714285714285</v>
      </c>
      <c r="K35" s="49">
        <f>SUM('AvgWeek Jinja-Kampala'!K35+'Avg Week Kampala-Jinja'!K35)</f>
        <v>3.8571428571428572</v>
      </c>
      <c r="L35" s="49">
        <f>SUM('AvgWeek Jinja-Kampala'!L35+'Avg Week Kampala-Jinja'!L35)</f>
        <v>18.714285714285715</v>
      </c>
      <c r="M35" s="49">
        <f>SUM('AvgWeek Jinja-Kampala'!M35+'Avg Week Kampala-Jinja'!M35)</f>
        <v>39.142857142857146</v>
      </c>
      <c r="N35" s="49">
        <f>SUM('AvgWeek Jinja-Kampala'!N35+'Avg Week Kampala-Jinja'!N35)</f>
        <v>0</v>
      </c>
      <c r="O35" s="15">
        <f t="shared" si="0"/>
        <v>158.57142857142858</v>
      </c>
      <c r="P35" s="15">
        <f t="shared" si="1"/>
        <v>197.71428571428572</v>
      </c>
      <c r="R35" s="51" t="s">
        <v>91</v>
      </c>
      <c r="S35" s="52">
        <f t="shared" ref="S35:AF35" si="27">MAX(S13:S18)</f>
        <v>132</v>
      </c>
      <c r="T35" s="52">
        <f t="shared" si="27"/>
        <v>55.571428571428577</v>
      </c>
      <c r="U35" s="52">
        <f t="shared" si="27"/>
        <v>36.142857142857139</v>
      </c>
      <c r="V35" s="52">
        <f t="shared" si="27"/>
        <v>240.71428571428569</v>
      </c>
      <c r="W35" s="52">
        <f t="shared" si="27"/>
        <v>15</v>
      </c>
      <c r="X35" s="52">
        <f t="shared" si="27"/>
        <v>4.7142857142857135</v>
      </c>
      <c r="Y35" s="52">
        <f t="shared" si="27"/>
        <v>34.428571428571431</v>
      </c>
      <c r="Z35" s="52">
        <f t="shared" si="27"/>
        <v>50.571428571428569</v>
      </c>
      <c r="AA35" s="52">
        <f t="shared" si="27"/>
        <v>13</v>
      </c>
      <c r="AB35" s="52">
        <f t="shared" si="27"/>
        <v>89.142857142857153</v>
      </c>
      <c r="AC35" s="52">
        <f t="shared" si="27"/>
        <v>169.57142857142856</v>
      </c>
      <c r="AD35" s="52">
        <f t="shared" si="27"/>
        <v>4.4285714285714288</v>
      </c>
      <c r="AE35" s="40">
        <f t="shared" si="27"/>
        <v>657.85714285714289</v>
      </c>
      <c r="AF35" s="40">
        <f t="shared" si="27"/>
        <v>808.28571428571433</v>
      </c>
    </row>
    <row r="36" spans="2:32" ht="23.1" customHeight="1" x14ac:dyDescent="0.25">
      <c r="B36" s="24" t="s">
        <v>63</v>
      </c>
      <c r="C36" s="49">
        <f>SUM('AvgWeek Jinja-Kampala'!C36+'Avg Week Kampala-Jinja'!C36)</f>
        <v>31.857142857142854</v>
      </c>
      <c r="D36" s="49">
        <f>SUM('AvgWeek Jinja-Kampala'!D36+'Avg Week Kampala-Jinja'!D36)</f>
        <v>14.571428571428573</v>
      </c>
      <c r="E36" s="49">
        <f>SUM('AvgWeek Jinja-Kampala'!E36+'Avg Week Kampala-Jinja'!E36)</f>
        <v>9.5714285714285712</v>
      </c>
      <c r="F36" s="49">
        <f>SUM('AvgWeek Jinja-Kampala'!F36+'Avg Week Kampala-Jinja'!F36)</f>
        <v>54.428571428571431</v>
      </c>
      <c r="G36" s="49">
        <f>SUM('AvgWeek Jinja-Kampala'!G36+'Avg Week Kampala-Jinja'!G36)</f>
        <v>1.1428571428571428</v>
      </c>
      <c r="H36" s="49">
        <f>SUM('AvgWeek Jinja-Kampala'!H36+'Avg Week Kampala-Jinja'!H36)</f>
        <v>0.8571428571428571</v>
      </c>
      <c r="I36" s="49">
        <f>SUM('AvgWeek Jinja-Kampala'!I36+'Avg Week Kampala-Jinja'!I36)</f>
        <v>7.4285714285714288</v>
      </c>
      <c r="J36" s="49">
        <f>SUM('AvgWeek Jinja-Kampala'!J36+'Avg Week Kampala-Jinja'!J36)</f>
        <v>10.857142857142858</v>
      </c>
      <c r="K36" s="49">
        <f>SUM('AvgWeek Jinja-Kampala'!K36+'Avg Week Kampala-Jinja'!K36)</f>
        <v>2.7142857142857144</v>
      </c>
      <c r="L36" s="49">
        <f>SUM('AvgWeek Jinja-Kampala'!L36+'Avg Week Kampala-Jinja'!L36)</f>
        <v>23.571428571428569</v>
      </c>
      <c r="M36" s="49">
        <f>SUM('AvgWeek Jinja-Kampala'!M36+'Avg Week Kampala-Jinja'!M36)</f>
        <v>44.142857142857139</v>
      </c>
      <c r="N36" s="49">
        <f>SUM('AvgWeek Jinja-Kampala'!N36+'Avg Week Kampala-Jinja'!N36)</f>
        <v>0</v>
      </c>
      <c r="O36" s="15">
        <f t="shared" si="0"/>
        <v>157</v>
      </c>
      <c r="P36" s="15">
        <f t="shared" si="1"/>
        <v>201.14285714285714</v>
      </c>
      <c r="R36" s="51" t="s">
        <v>92</v>
      </c>
      <c r="S36" s="52">
        <f t="shared" ref="S36:AF36" si="28">MAX(S19:S21)</f>
        <v>141.57142857142856</v>
      </c>
      <c r="T36" s="52">
        <f t="shared" si="28"/>
        <v>55</v>
      </c>
      <c r="U36" s="52">
        <f t="shared" si="28"/>
        <v>37.714285714285708</v>
      </c>
      <c r="V36" s="52">
        <f t="shared" si="28"/>
        <v>256.71428571428572</v>
      </c>
      <c r="W36" s="52">
        <f t="shared" si="28"/>
        <v>12.571428571428573</v>
      </c>
      <c r="X36" s="52">
        <f t="shared" si="28"/>
        <v>6.1428571428571432</v>
      </c>
      <c r="Y36" s="52">
        <f t="shared" si="28"/>
        <v>35.857142857142861</v>
      </c>
      <c r="Z36" s="52">
        <f t="shared" si="28"/>
        <v>50.714285714285708</v>
      </c>
      <c r="AA36" s="52">
        <f t="shared" si="28"/>
        <v>16.142857142857142</v>
      </c>
      <c r="AB36" s="52">
        <f t="shared" si="28"/>
        <v>120</v>
      </c>
      <c r="AC36" s="52">
        <f t="shared" si="28"/>
        <v>180.42857142857139</v>
      </c>
      <c r="AD36" s="52">
        <f t="shared" si="28"/>
        <v>0.5714285714285714</v>
      </c>
      <c r="AE36" s="40">
        <f t="shared" si="28"/>
        <v>711.85714285714278</v>
      </c>
      <c r="AF36" s="40">
        <f t="shared" si="28"/>
        <v>889.71428571428578</v>
      </c>
    </row>
    <row r="37" spans="2:32" ht="23.1" customHeight="1" x14ac:dyDescent="0.25">
      <c r="B37" s="23" t="s">
        <v>64</v>
      </c>
      <c r="C37" s="49">
        <f>SUM('AvgWeek Jinja-Kampala'!C37+'Avg Week Kampala-Jinja'!C37)</f>
        <v>30.857142857142858</v>
      </c>
      <c r="D37" s="49">
        <f>SUM('AvgWeek Jinja-Kampala'!D37+'Avg Week Kampala-Jinja'!D37)</f>
        <v>12.714285714285715</v>
      </c>
      <c r="E37" s="49">
        <f>SUM('AvgWeek Jinja-Kampala'!E37+'Avg Week Kampala-Jinja'!E37)</f>
        <v>7.5714285714285712</v>
      </c>
      <c r="F37" s="49">
        <f>SUM('AvgWeek Jinja-Kampala'!F37+'Avg Week Kampala-Jinja'!F37)</f>
        <v>58.857142857142861</v>
      </c>
      <c r="G37" s="49">
        <f>SUM('AvgWeek Jinja-Kampala'!G37+'Avg Week Kampala-Jinja'!G37)</f>
        <v>2.1428571428571428</v>
      </c>
      <c r="H37" s="49">
        <f>SUM('AvgWeek Jinja-Kampala'!H37+'Avg Week Kampala-Jinja'!H37)</f>
        <v>1.1428571428571428</v>
      </c>
      <c r="I37" s="49">
        <f>SUM('AvgWeek Jinja-Kampala'!I37+'Avg Week Kampala-Jinja'!I37)</f>
        <v>8.4285714285714288</v>
      </c>
      <c r="J37" s="49">
        <f>SUM('AvgWeek Jinja-Kampala'!J37+'Avg Week Kampala-Jinja'!J37)</f>
        <v>8.8571428571428577</v>
      </c>
      <c r="K37" s="49">
        <f>SUM('AvgWeek Jinja-Kampala'!K37+'Avg Week Kampala-Jinja'!K37)</f>
        <v>1.2857142857142856</v>
      </c>
      <c r="L37" s="49">
        <f>SUM('AvgWeek Jinja-Kampala'!L37+'Avg Week Kampala-Jinja'!L37)</f>
        <v>23.285714285714285</v>
      </c>
      <c r="M37" s="49">
        <f>SUM('AvgWeek Jinja-Kampala'!M37+'Avg Week Kampala-Jinja'!M37)</f>
        <v>37.714285714285715</v>
      </c>
      <c r="N37" s="49">
        <f>SUM('AvgWeek Jinja-Kampala'!N37+'Avg Week Kampala-Jinja'!N37)</f>
        <v>0.14285714285714285</v>
      </c>
      <c r="O37" s="15">
        <f t="shared" si="0"/>
        <v>155.28571428571425</v>
      </c>
      <c r="P37" s="15">
        <f t="shared" si="1"/>
        <v>192.99999999999997</v>
      </c>
      <c r="R37" s="37" t="s">
        <v>85</v>
      </c>
      <c r="S37" s="35">
        <f t="shared" ref="S37:AF37" si="29">SUM(S10:S12)</f>
        <v>288.85714285714289</v>
      </c>
      <c r="T37" s="16">
        <f t="shared" si="29"/>
        <v>122.14285714285715</v>
      </c>
      <c r="U37" s="16">
        <f t="shared" si="29"/>
        <v>76.285714285714278</v>
      </c>
      <c r="V37" s="16">
        <f t="shared" si="29"/>
        <v>708.71428571428578</v>
      </c>
      <c r="W37" s="16">
        <f t="shared" si="29"/>
        <v>30.428571428571427</v>
      </c>
      <c r="X37" s="16">
        <f t="shared" si="29"/>
        <v>16.142857142857146</v>
      </c>
      <c r="Y37" s="16">
        <f t="shared" si="29"/>
        <v>56.142857142857139</v>
      </c>
      <c r="Z37" s="16">
        <f t="shared" si="29"/>
        <v>89.142857142857139</v>
      </c>
      <c r="AA37" s="16">
        <f t="shared" si="29"/>
        <v>30.571428571428569</v>
      </c>
      <c r="AB37" s="16">
        <f t="shared" si="29"/>
        <v>206.85714285714289</v>
      </c>
      <c r="AC37" s="16">
        <f t="shared" si="29"/>
        <v>423.42857142857139</v>
      </c>
      <c r="AD37" s="16">
        <f t="shared" si="29"/>
        <v>4.1428571428571432</v>
      </c>
      <c r="AE37" s="32">
        <f t="shared" si="29"/>
        <v>1629.4285714285716</v>
      </c>
      <c r="AF37" s="32">
        <f t="shared" si="29"/>
        <v>2052.8571428571427</v>
      </c>
    </row>
    <row r="38" spans="2:32" ht="23.1" customHeight="1" x14ac:dyDescent="0.25">
      <c r="B38" s="24" t="s">
        <v>65</v>
      </c>
      <c r="C38" s="49">
        <f>SUM('AvgWeek Jinja-Kampala'!C38+'Avg Week Kampala-Jinja'!C38)</f>
        <v>26.714285714285715</v>
      </c>
      <c r="D38" s="49">
        <f>SUM('AvgWeek Jinja-Kampala'!D38+'Avg Week Kampala-Jinja'!D38)</f>
        <v>13.285714285714285</v>
      </c>
      <c r="E38" s="49">
        <f>SUM('AvgWeek Jinja-Kampala'!E38+'Avg Week Kampala-Jinja'!E38)</f>
        <v>7.4285714285714288</v>
      </c>
      <c r="F38" s="49">
        <f>SUM('AvgWeek Jinja-Kampala'!F38+'Avg Week Kampala-Jinja'!F38)</f>
        <v>60</v>
      </c>
      <c r="G38" s="49">
        <f>SUM('AvgWeek Jinja-Kampala'!G38+'Avg Week Kampala-Jinja'!G38)</f>
        <v>2.1428571428571428</v>
      </c>
      <c r="H38" s="49">
        <f>SUM('AvgWeek Jinja-Kampala'!H38+'Avg Week Kampala-Jinja'!H38)</f>
        <v>1.4285714285714284</v>
      </c>
      <c r="I38" s="49">
        <f>SUM('AvgWeek Jinja-Kampala'!I38+'Avg Week Kampala-Jinja'!I38)</f>
        <v>9.1428571428571423</v>
      </c>
      <c r="J38" s="49">
        <f>SUM('AvgWeek Jinja-Kampala'!J38+'Avg Week Kampala-Jinja'!J38)</f>
        <v>8.4285714285714288</v>
      </c>
      <c r="K38" s="49">
        <f>SUM('AvgWeek Jinja-Kampala'!K38+'Avg Week Kampala-Jinja'!K38)</f>
        <v>3.4285714285714284</v>
      </c>
      <c r="L38" s="49">
        <f>SUM('AvgWeek Jinja-Kampala'!L38+'Avg Week Kampala-Jinja'!L38)</f>
        <v>19.285714285714285</v>
      </c>
      <c r="M38" s="49">
        <f>SUM('AvgWeek Jinja-Kampala'!M38+'Avg Week Kampala-Jinja'!M38)</f>
        <v>37.714285714285715</v>
      </c>
      <c r="N38" s="49">
        <f>SUM('AvgWeek Jinja-Kampala'!N38+'Avg Week Kampala-Jinja'!N38)</f>
        <v>0.14285714285714285</v>
      </c>
      <c r="O38" s="15">
        <f t="shared" si="0"/>
        <v>151.42857142857139</v>
      </c>
      <c r="P38" s="15">
        <f t="shared" si="1"/>
        <v>189.14285714285711</v>
      </c>
      <c r="R38" s="28" t="s">
        <v>86</v>
      </c>
      <c r="S38" s="16">
        <f t="shared" ref="S38:AF38" si="30">SUM(S13:S18)</f>
        <v>723.42857142857133</v>
      </c>
      <c r="T38" s="16">
        <f t="shared" si="30"/>
        <v>297.14285714285711</v>
      </c>
      <c r="U38" s="16">
        <f t="shared" si="30"/>
        <v>189</v>
      </c>
      <c r="V38" s="16">
        <f t="shared" si="30"/>
        <v>1369.7142857142858</v>
      </c>
      <c r="W38" s="16">
        <f t="shared" si="30"/>
        <v>49.285714285714278</v>
      </c>
      <c r="X38" s="16">
        <f t="shared" si="30"/>
        <v>24.857142857142854</v>
      </c>
      <c r="Y38" s="16">
        <f t="shared" si="30"/>
        <v>173.28571428571431</v>
      </c>
      <c r="Z38" s="16">
        <f t="shared" si="30"/>
        <v>252.42857142857144</v>
      </c>
      <c r="AA38" s="16">
        <f t="shared" si="30"/>
        <v>59.142857142857139</v>
      </c>
      <c r="AB38" s="16">
        <f t="shared" si="30"/>
        <v>463.85714285714283</v>
      </c>
      <c r="AC38" s="16">
        <f t="shared" si="30"/>
        <v>942.71428571428567</v>
      </c>
      <c r="AD38" s="16">
        <f t="shared" si="30"/>
        <v>5.2857142857142856</v>
      </c>
      <c r="AE38" s="32">
        <f t="shared" si="30"/>
        <v>3607.4285714285716</v>
      </c>
      <c r="AF38" s="32">
        <f t="shared" si="30"/>
        <v>4550.1428571428569</v>
      </c>
    </row>
    <row r="39" spans="2:32" ht="23.1" customHeight="1" x14ac:dyDescent="0.25">
      <c r="B39" s="24" t="s">
        <v>66</v>
      </c>
      <c r="C39" s="49">
        <f>SUM('AvgWeek Jinja-Kampala'!C39+'Avg Week Kampala-Jinja'!C39)</f>
        <v>27.571428571428569</v>
      </c>
      <c r="D39" s="49">
        <f>SUM('AvgWeek Jinja-Kampala'!D39+'Avg Week Kampala-Jinja'!D39)</f>
        <v>13.571428571428571</v>
      </c>
      <c r="E39" s="49">
        <f>SUM('AvgWeek Jinja-Kampala'!E39+'Avg Week Kampala-Jinja'!E39)</f>
        <v>6.2857142857142856</v>
      </c>
      <c r="F39" s="49">
        <f>SUM('AvgWeek Jinja-Kampala'!F39+'Avg Week Kampala-Jinja'!F39)</f>
        <v>50</v>
      </c>
      <c r="G39" s="49">
        <f>SUM('AvgWeek Jinja-Kampala'!G39+'Avg Week Kampala-Jinja'!G39)</f>
        <v>1.4285714285714286</v>
      </c>
      <c r="H39" s="49">
        <f>SUM('AvgWeek Jinja-Kampala'!H39+'Avg Week Kampala-Jinja'!H39)</f>
        <v>1.2857142857142856</v>
      </c>
      <c r="I39" s="49">
        <f>SUM('AvgWeek Jinja-Kampala'!I39+'Avg Week Kampala-Jinja'!I39)</f>
        <v>7.7142857142857144</v>
      </c>
      <c r="J39" s="49">
        <f>SUM('AvgWeek Jinja-Kampala'!J39+'Avg Week Kampala-Jinja'!J39)</f>
        <v>10.571428571428573</v>
      </c>
      <c r="K39" s="49">
        <f>SUM('AvgWeek Jinja-Kampala'!K39+'Avg Week Kampala-Jinja'!K39)</f>
        <v>1.8571428571428572</v>
      </c>
      <c r="L39" s="49">
        <f>SUM('AvgWeek Jinja-Kampala'!L39+'Avg Week Kampala-Jinja'!L39)</f>
        <v>20.142857142857142</v>
      </c>
      <c r="M39" s="49">
        <f>SUM('AvgWeek Jinja-Kampala'!M39+'Avg Week Kampala-Jinja'!M39)</f>
        <v>31.857142857142861</v>
      </c>
      <c r="N39" s="49">
        <f>SUM('AvgWeek Jinja-Kampala'!N39+'Avg Week Kampala-Jinja'!N39)</f>
        <v>0</v>
      </c>
      <c r="O39" s="15">
        <f t="shared" si="0"/>
        <v>140.42857142857142</v>
      </c>
      <c r="P39" s="15">
        <f t="shared" si="1"/>
        <v>172.28571428571428</v>
      </c>
      <c r="R39" s="29" t="s">
        <v>87</v>
      </c>
      <c r="S39" s="16">
        <f t="shared" ref="S39:AF39" si="31">SUM(S19:S21)</f>
        <v>392.28571428571428</v>
      </c>
      <c r="T39" s="16">
        <f t="shared" si="31"/>
        <v>153.85714285714283</v>
      </c>
      <c r="U39" s="16">
        <f t="shared" si="31"/>
        <v>105.14285714285712</v>
      </c>
      <c r="V39" s="16">
        <f t="shared" si="31"/>
        <v>735.85714285714278</v>
      </c>
      <c r="W39" s="16">
        <f t="shared" si="31"/>
        <v>31.285714285714288</v>
      </c>
      <c r="X39" s="16">
        <f t="shared" si="31"/>
        <v>16.714285714285715</v>
      </c>
      <c r="Y39" s="16">
        <f t="shared" si="31"/>
        <v>100.42857142857143</v>
      </c>
      <c r="Z39" s="16">
        <f t="shared" si="31"/>
        <v>146.28571428571428</v>
      </c>
      <c r="AA39" s="16">
        <f t="shared" si="31"/>
        <v>43</v>
      </c>
      <c r="AB39" s="16">
        <f t="shared" si="31"/>
        <v>344.57142857142856</v>
      </c>
      <c r="AC39" s="16">
        <f t="shared" si="31"/>
        <v>525.19047619047615</v>
      </c>
      <c r="AD39" s="16">
        <f t="shared" si="31"/>
        <v>0.8571428571428571</v>
      </c>
      <c r="AE39" s="32">
        <f t="shared" si="31"/>
        <v>2070.2857142857142</v>
      </c>
      <c r="AF39" s="32">
        <f t="shared" si="31"/>
        <v>2595.4761904761904</v>
      </c>
    </row>
    <row r="40" spans="2:32" ht="23.1" customHeight="1" x14ac:dyDescent="0.25">
      <c r="B40" s="24" t="s">
        <v>67</v>
      </c>
      <c r="C40" s="49">
        <f>SUM('AvgWeek Jinja-Kampala'!C40+'Avg Week Kampala-Jinja'!C40)</f>
        <v>27.857142857142854</v>
      </c>
      <c r="D40" s="49">
        <f>SUM('AvgWeek Jinja-Kampala'!D40+'Avg Week Kampala-Jinja'!D40)</f>
        <v>12.857142857142858</v>
      </c>
      <c r="E40" s="49">
        <f>SUM('AvgWeek Jinja-Kampala'!E40+'Avg Week Kampala-Jinja'!E40)</f>
        <v>9.8571428571428577</v>
      </c>
      <c r="F40" s="49">
        <f>SUM('AvgWeek Jinja-Kampala'!F40+'Avg Week Kampala-Jinja'!F40)</f>
        <v>64.428571428571431</v>
      </c>
      <c r="G40" s="49">
        <f>SUM('AvgWeek Jinja-Kampala'!G40+'Avg Week Kampala-Jinja'!G40)</f>
        <v>1.4285714285714286</v>
      </c>
      <c r="H40" s="49">
        <f>SUM('AvgWeek Jinja-Kampala'!H40+'Avg Week Kampala-Jinja'!H40)</f>
        <v>1</v>
      </c>
      <c r="I40" s="49">
        <f>SUM('AvgWeek Jinja-Kampala'!I40+'Avg Week Kampala-Jinja'!I40)</f>
        <v>8</v>
      </c>
      <c r="J40" s="49">
        <f>SUM('AvgWeek Jinja-Kampala'!J40+'Avg Week Kampala-Jinja'!J40)</f>
        <v>11.428571428571429</v>
      </c>
      <c r="K40" s="49">
        <f>SUM('AvgWeek Jinja-Kampala'!K40+'Avg Week Kampala-Jinja'!K40)</f>
        <v>5.4285714285714288</v>
      </c>
      <c r="L40" s="49">
        <f>SUM('AvgWeek Jinja-Kampala'!L40+'Avg Week Kampala-Jinja'!L40)</f>
        <v>21.285714285714285</v>
      </c>
      <c r="M40" s="49">
        <f>SUM('AvgWeek Jinja-Kampala'!M40+'Avg Week Kampala-Jinja'!M40)</f>
        <v>33.142857142857139</v>
      </c>
      <c r="N40" s="49">
        <f>SUM('AvgWeek Jinja-Kampala'!N40+'Avg Week Kampala-Jinja'!N40)</f>
        <v>0</v>
      </c>
      <c r="O40" s="15">
        <f t="shared" si="0"/>
        <v>163.57142857142856</v>
      </c>
      <c r="P40" s="15">
        <f t="shared" si="1"/>
        <v>196.71428571428569</v>
      </c>
      <c r="R40" s="5" t="s">
        <v>17</v>
      </c>
      <c r="S40" s="16">
        <f t="shared" ref="S40:AF40" si="32">SUM(S10:S21)</f>
        <v>1404.5714285714284</v>
      </c>
      <c r="T40" s="16">
        <f t="shared" si="32"/>
        <v>573.14285714285722</v>
      </c>
      <c r="U40" s="16">
        <f t="shared" si="32"/>
        <v>370.42857142857139</v>
      </c>
      <c r="V40" s="16">
        <f t="shared" si="32"/>
        <v>2814.2857142857142</v>
      </c>
      <c r="W40" s="16">
        <f t="shared" si="32"/>
        <v>110.99999999999997</v>
      </c>
      <c r="X40" s="16">
        <f t="shared" si="32"/>
        <v>57.714285714285722</v>
      </c>
      <c r="Y40" s="16">
        <f t="shared" si="32"/>
        <v>329.85714285714289</v>
      </c>
      <c r="Z40" s="16">
        <f t="shared" si="32"/>
        <v>487.85714285714283</v>
      </c>
      <c r="AA40" s="16">
        <f t="shared" si="32"/>
        <v>132.71428571428572</v>
      </c>
      <c r="AB40" s="16">
        <f t="shared" si="32"/>
        <v>1015.2857142857142</v>
      </c>
      <c r="AC40" s="16">
        <f t="shared" si="32"/>
        <v>1891.3333333333335</v>
      </c>
      <c r="AD40" s="16">
        <f t="shared" si="32"/>
        <v>10.285714285714288</v>
      </c>
      <c r="AE40" s="32">
        <f t="shared" si="32"/>
        <v>7307.1428571428587</v>
      </c>
      <c r="AF40" s="32">
        <f t="shared" si="32"/>
        <v>9198.4761904761908</v>
      </c>
    </row>
    <row r="41" spans="2:32" ht="23.1" customHeight="1" x14ac:dyDescent="0.25">
      <c r="B41" s="23" t="s">
        <v>68</v>
      </c>
      <c r="C41" s="49">
        <f>SUM('AvgWeek Jinja-Kampala'!C41+'Avg Week Kampala-Jinja'!C41)</f>
        <v>29.571428571428569</v>
      </c>
      <c r="D41" s="49">
        <f>SUM('AvgWeek Jinja-Kampala'!D41+'Avg Week Kampala-Jinja'!D41)</f>
        <v>9</v>
      </c>
      <c r="E41" s="49">
        <f>SUM('AvgWeek Jinja-Kampala'!E41+'Avg Week Kampala-Jinja'!E41)</f>
        <v>7.1428571428571432</v>
      </c>
      <c r="F41" s="49">
        <f>SUM('AvgWeek Jinja-Kampala'!F41+'Avg Week Kampala-Jinja'!F41)</f>
        <v>52.857142857142861</v>
      </c>
      <c r="G41" s="49">
        <f>SUM('AvgWeek Jinja-Kampala'!G41+'Avg Week Kampala-Jinja'!G41)</f>
        <v>2.1428571428571428</v>
      </c>
      <c r="H41" s="49">
        <f>SUM('AvgWeek Jinja-Kampala'!H41+'Avg Week Kampala-Jinja'!H41)</f>
        <v>0.8571428571428571</v>
      </c>
      <c r="I41" s="49">
        <f>SUM('AvgWeek Jinja-Kampala'!I41+'Avg Week Kampala-Jinja'!I41)</f>
        <v>9.5714285714285712</v>
      </c>
      <c r="J41" s="49">
        <f>SUM('AvgWeek Jinja-Kampala'!J41+'Avg Week Kampala-Jinja'!J41)</f>
        <v>10.714285714285714</v>
      </c>
      <c r="K41" s="49">
        <f>SUM('AvgWeek Jinja-Kampala'!K41+'Avg Week Kampala-Jinja'!K41)</f>
        <v>2.2857142857142856</v>
      </c>
      <c r="L41" s="49">
        <f>SUM('AvgWeek Jinja-Kampala'!L41+'Avg Week Kampala-Jinja'!L41)</f>
        <v>23.285714285714285</v>
      </c>
      <c r="M41" s="49">
        <f>SUM('AvgWeek Jinja-Kampala'!M41+'Avg Week Kampala-Jinja'!M41)</f>
        <v>36</v>
      </c>
      <c r="N41" s="49">
        <f>SUM('AvgWeek Jinja-Kampala'!N41+'Avg Week Kampala-Jinja'!N41)</f>
        <v>0</v>
      </c>
      <c r="O41" s="15">
        <f t="shared" si="0"/>
        <v>147.42857142857144</v>
      </c>
      <c r="P41" s="15">
        <f t="shared" si="1"/>
        <v>183.42857142857144</v>
      </c>
      <c r="R41" s="5" t="s">
        <v>182</v>
      </c>
      <c r="S41" s="16">
        <f>SUM(S10:S33)</f>
        <v>2060.5714285714284</v>
      </c>
      <c r="T41" s="16">
        <f t="shared" ref="T41:AD41" si="33">SUM(T10:T33)</f>
        <v>833.14285714285722</v>
      </c>
      <c r="U41" s="16">
        <f t="shared" si="33"/>
        <v>526.92857142857133</v>
      </c>
      <c r="V41" s="16">
        <f t="shared" si="33"/>
        <v>3776.7857142857142</v>
      </c>
      <c r="W41" s="16">
        <f t="shared" si="33"/>
        <v>174.99999999999997</v>
      </c>
      <c r="X41" s="16">
        <f t="shared" si="33"/>
        <v>116.71428571428572</v>
      </c>
      <c r="Y41" s="16">
        <f t="shared" si="33"/>
        <v>515.35714285714289</v>
      </c>
      <c r="Z41" s="16">
        <f t="shared" si="33"/>
        <v>876.35714285714289</v>
      </c>
      <c r="AA41" s="16">
        <f t="shared" si="33"/>
        <v>328.71428571428572</v>
      </c>
      <c r="AB41" s="16">
        <f t="shared" si="33"/>
        <v>1719.7857142857142</v>
      </c>
      <c r="AC41" s="16">
        <f t="shared" si="33"/>
        <v>2740.3333333333335</v>
      </c>
      <c r="AD41" s="16">
        <f t="shared" si="33"/>
        <v>21.285714285714288</v>
      </c>
      <c r="AE41" s="32">
        <f>SUM(AE10:AE33)</f>
        <v>10950.642857142859</v>
      </c>
      <c r="AF41" s="32">
        <f>SUM(AF10:AF33)</f>
        <v>13690.976190476191</v>
      </c>
    </row>
    <row r="42" spans="2:32" ht="23.1" customHeight="1" x14ac:dyDescent="0.25">
      <c r="B42" s="24" t="s">
        <v>69</v>
      </c>
      <c r="C42" s="49">
        <f>SUM('AvgWeek Jinja-Kampala'!C42+'Avg Week Kampala-Jinja'!C42)</f>
        <v>29.857142857142858</v>
      </c>
      <c r="D42" s="49">
        <f>SUM('AvgWeek Jinja-Kampala'!D42+'Avg Week Kampala-Jinja'!D42)</f>
        <v>16</v>
      </c>
      <c r="E42" s="49">
        <f>SUM('AvgWeek Jinja-Kampala'!E42+'Avg Week Kampala-Jinja'!E42)</f>
        <v>7.4285714285714288</v>
      </c>
      <c r="F42" s="49">
        <f>SUM('AvgWeek Jinja-Kampala'!F42+'Avg Week Kampala-Jinja'!F42)</f>
        <v>62</v>
      </c>
      <c r="G42" s="49">
        <f>SUM('AvgWeek Jinja-Kampala'!G42+'Avg Week Kampala-Jinja'!G42)</f>
        <v>2.8571428571428572</v>
      </c>
      <c r="H42" s="49">
        <f>SUM('AvgWeek Jinja-Kampala'!H42+'Avg Week Kampala-Jinja'!H42)</f>
        <v>1</v>
      </c>
      <c r="I42" s="49">
        <f>SUM('AvgWeek Jinja-Kampala'!I42+'Avg Week Kampala-Jinja'!I42)</f>
        <v>7.1428571428571432</v>
      </c>
      <c r="J42" s="49">
        <f>SUM('AvgWeek Jinja-Kampala'!J42+'Avg Week Kampala-Jinja'!J42)</f>
        <v>13.857142857142858</v>
      </c>
      <c r="K42" s="49">
        <f>SUM('AvgWeek Jinja-Kampala'!K42+'Avg Week Kampala-Jinja'!K42)</f>
        <v>1.8571428571428572</v>
      </c>
      <c r="L42" s="49">
        <f>SUM('AvgWeek Jinja-Kampala'!L42+'Avg Week Kampala-Jinja'!L42)</f>
        <v>25.857142857142858</v>
      </c>
      <c r="M42" s="49">
        <f>SUM('AvgWeek Jinja-Kampala'!M42+'Avg Week Kampala-Jinja'!M42)</f>
        <v>40.142857142857146</v>
      </c>
      <c r="N42" s="49">
        <f>SUM('AvgWeek Jinja-Kampala'!N42+'Avg Week Kampala-Jinja'!N42)</f>
        <v>0.14285714285714285</v>
      </c>
      <c r="O42" s="15">
        <f t="shared" si="0"/>
        <v>168</v>
      </c>
      <c r="P42" s="15">
        <f t="shared" si="1"/>
        <v>208.14285714285714</v>
      </c>
      <c r="R42" s="5" t="s">
        <v>160</v>
      </c>
      <c r="S42" s="48">
        <f>S41/S40</f>
        <v>1.467046379170057</v>
      </c>
      <c r="T42" s="48">
        <f t="shared" ref="T42:AF42" si="34">T41/T40</f>
        <v>1.4536390827517447</v>
      </c>
      <c r="U42" s="48">
        <f t="shared" si="34"/>
        <v>1.4224836097184728</v>
      </c>
      <c r="V42" s="48">
        <f t="shared" si="34"/>
        <v>1.342005076142132</v>
      </c>
      <c r="W42" s="48">
        <f t="shared" si="34"/>
        <v>1.5765765765765767</v>
      </c>
      <c r="X42" s="48">
        <f t="shared" si="34"/>
        <v>2.0222772277227721</v>
      </c>
      <c r="Y42" s="48">
        <f t="shared" si="34"/>
        <v>1.5623646600259853</v>
      </c>
      <c r="Z42" s="48">
        <f t="shared" si="34"/>
        <v>1.7963396778916547</v>
      </c>
      <c r="AA42" s="48">
        <f t="shared" si="34"/>
        <v>2.4768568353067812</v>
      </c>
      <c r="AB42" s="48">
        <f t="shared" si="34"/>
        <v>1.693893344589841</v>
      </c>
      <c r="AC42" s="48">
        <f t="shared" si="34"/>
        <v>1.4488896721889319</v>
      </c>
      <c r="AD42" s="48">
        <f t="shared" si="34"/>
        <v>2.0694444444444442</v>
      </c>
      <c r="AE42" s="53">
        <f t="shared" si="34"/>
        <v>1.4986217008797653</v>
      </c>
      <c r="AF42" s="53">
        <f t="shared" si="34"/>
        <v>1.4883961111571276</v>
      </c>
    </row>
    <row r="43" spans="2:32" ht="23.1" customHeight="1" x14ac:dyDescent="0.25">
      <c r="B43" s="23" t="s">
        <v>70</v>
      </c>
      <c r="C43" s="49">
        <f>SUM('AvgWeek Jinja-Kampala'!C43+'Avg Week Kampala-Jinja'!C43)</f>
        <v>30.857142857142854</v>
      </c>
      <c r="D43" s="49">
        <f>SUM('AvgWeek Jinja-Kampala'!D43+'Avg Week Kampala-Jinja'!D43)</f>
        <v>12.285714285714286</v>
      </c>
      <c r="E43" s="49">
        <f>SUM('AvgWeek Jinja-Kampala'!E43+'Avg Week Kampala-Jinja'!E43)</f>
        <v>7.7142857142857135</v>
      </c>
      <c r="F43" s="49">
        <f>SUM('AvgWeek Jinja-Kampala'!F43+'Avg Week Kampala-Jinja'!F43)</f>
        <v>57</v>
      </c>
      <c r="G43" s="49">
        <f>SUM('AvgWeek Jinja-Kampala'!G43+'Avg Week Kampala-Jinja'!G43)</f>
        <v>1.8571428571428572</v>
      </c>
      <c r="H43" s="49">
        <f>SUM('AvgWeek Jinja-Kampala'!H43+'Avg Week Kampala-Jinja'!H43)</f>
        <v>1.1428571428571428</v>
      </c>
      <c r="I43" s="49">
        <f>SUM('AvgWeek Jinja-Kampala'!I43+'Avg Week Kampala-Jinja'!I43)</f>
        <v>7.4285714285714288</v>
      </c>
      <c r="J43" s="49">
        <f>SUM('AvgWeek Jinja-Kampala'!J43+'Avg Week Kampala-Jinja'!J43)</f>
        <v>7.5714285714285712</v>
      </c>
      <c r="K43" s="49">
        <f>SUM('AvgWeek Jinja-Kampala'!K43+'Avg Week Kampala-Jinja'!K43)</f>
        <v>2.8571428571428572</v>
      </c>
      <c r="L43" s="49">
        <f>SUM('AvgWeek Jinja-Kampala'!L43+'Avg Week Kampala-Jinja'!L43)</f>
        <v>20</v>
      </c>
      <c r="M43" s="49">
        <f>SUM('AvgWeek Jinja-Kampala'!M43+'Avg Week Kampala-Jinja'!M43)</f>
        <v>35.857142857142861</v>
      </c>
      <c r="N43" s="49">
        <f>SUM('AvgWeek Jinja-Kampala'!N43+'Avg Week Kampala-Jinja'!N43)</f>
        <v>0.14285714285714285</v>
      </c>
      <c r="O43" s="15">
        <f t="shared" si="0"/>
        <v>148.85714285714286</v>
      </c>
      <c r="P43" s="15">
        <f t="shared" si="1"/>
        <v>184.71428571428572</v>
      </c>
    </row>
    <row r="44" spans="2:32" ht="23.1" customHeight="1" x14ac:dyDescent="0.25">
      <c r="B44" s="25" t="s">
        <v>71</v>
      </c>
      <c r="C44" s="49">
        <f>SUM('AvgWeek Jinja-Kampala'!C44+'Avg Week Kampala-Jinja'!C44)</f>
        <v>32.285714285714285</v>
      </c>
      <c r="D44" s="49">
        <f>SUM('AvgWeek Jinja-Kampala'!D44+'Avg Week Kampala-Jinja'!D44)</f>
        <v>12.714285714285715</v>
      </c>
      <c r="E44" s="49">
        <f>SUM('AvgWeek Jinja-Kampala'!E44+'Avg Week Kampala-Jinja'!E44)</f>
        <v>11.714285714285714</v>
      </c>
      <c r="F44" s="49">
        <f>SUM('AvgWeek Jinja-Kampala'!F44+'Avg Week Kampala-Jinja'!F44)</f>
        <v>57.571428571428569</v>
      </c>
      <c r="G44" s="49">
        <f>SUM('AvgWeek Jinja-Kampala'!G44+'Avg Week Kampala-Jinja'!G44)</f>
        <v>0.8571428571428571</v>
      </c>
      <c r="H44" s="49">
        <f>SUM('AvgWeek Jinja-Kampala'!H44+'Avg Week Kampala-Jinja'!H44)</f>
        <v>1.4285714285714286</v>
      </c>
      <c r="I44" s="49">
        <f>SUM('AvgWeek Jinja-Kampala'!I44+'Avg Week Kampala-Jinja'!I44)</f>
        <v>7.4285714285714288</v>
      </c>
      <c r="J44" s="49">
        <f>SUM('AvgWeek Jinja-Kampala'!J44+'Avg Week Kampala-Jinja'!J44)</f>
        <v>13.571428571428571</v>
      </c>
      <c r="K44" s="49">
        <f>SUM('AvgWeek Jinja-Kampala'!K44+'Avg Week Kampala-Jinja'!K44)</f>
        <v>2.5714285714285712</v>
      </c>
      <c r="L44" s="49">
        <f>SUM('AvgWeek Jinja-Kampala'!L44+'Avg Week Kampala-Jinja'!L44)</f>
        <v>22.428571428571427</v>
      </c>
      <c r="M44" s="49">
        <f>SUM('AvgWeek Jinja-Kampala'!M44+'Avg Week Kampala-Jinja'!M44)</f>
        <v>36.571428571428569</v>
      </c>
      <c r="N44" s="49">
        <f>SUM('AvgWeek Jinja-Kampala'!N44+'Avg Week Kampala-Jinja'!N44)</f>
        <v>0</v>
      </c>
      <c r="O44" s="15">
        <f t="shared" si="0"/>
        <v>162.57142857142858</v>
      </c>
      <c r="P44" s="15">
        <f t="shared" si="1"/>
        <v>199.14285714285717</v>
      </c>
    </row>
    <row r="45" spans="2:32" ht="23.1" customHeight="1" x14ac:dyDescent="0.25">
      <c r="B45" s="23" t="s">
        <v>72</v>
      </c>
      <c r="C45" s="49">
        <f>SUM('AvgWeek Jinja-Kampala'!C45+'Avg Week Kampala-Jinja'!C45)</f>
        <v>39</v>
      </c>
      <c r="D45" s="49">
        <f>SUM('AvgWeek Jinja-Kampala'!D45+'Avg Week Kampala-Jinja'!D45)</f>
        <v>10.857142857142858</v>
      </c>
      <c r="E45" s="49">
        <f>SUM('AvgWeek Jinja-Kampala'!E45+'Avg Week Kampala-Jinja'!E45)</f>
        <v>9.2857142857142847</v>
      </c>
      <c r="F45" s="49">
        <f>SUM('AvgWeek Jinja-Kampala'!F45+'Avg Week Kampala-Jinja'!F45)</f>
        <v>64.142857142857139</v>
      </c>
      <c r="G45" s="49">
        <f>SUM('AvgWeek Jinja-Kampala'!G45+'Avg Week Kampala-Jinja'!G45)</f>
        <v>1.5714285714285714</v>
      </c>
      <c r="H45" s="49">
        <f>SUM('AvgWeek Jinja-Kampala'!H45+'Avg Week Kampala-Jinja'!H45)</f>
        <v>1.1428571428571428</v>
      </c>
      <c r="I45" s="49">
        <f>SUM('AvgWeek Jinja-Kampala'!I45+'Avg Week Kampala-Jinja'!I45)</f>
        <v>9.1428571428571423</v>
      </c>
      <c r="J45" s="49">
        <f>SUM('AvgWeek Jinja-Kampala'!J45+'Avg Week Kampala-Jinja'!J45)</f>
        <v>15.571428571428573</v>
      </c>
      <c r="K45" s="49">
        <f>SUM('AvgWeek Jinja-Kampala'!K45+'Avg Week Kampala-Jinja'!K45)</f>
        <v>2.7142857142857144</v>
      </c>
      <c r="L45" s="49">
        <f>SUM('AvgWeek Jinja-Kampala'!L45+'Avg Week Kampala-Jinja'!L45)</f>
        <v>20.857142857142858</v>
      </c>
      <c r="M45" s="49">
        <f>SUM('AvgWeek Jinja-Kampala'!M45+'Avg Week Kampala-Jinja'!M45)</f>
        <v>37.857142857142861</v>
      </c>
      <c r="N45" s="49">
        <f>SUM('AvgWeek Jinja-Kampala'!N45+'Avg Week Kampala-Jinja'!N45)</f>
        <v>4.1428571428571432</v>
      </c>
      <c r="O45" s="15">
        <f t="shared" si="0"/>
        <v>178.42857142857144</v>
      </c>
      <c r="P45" s="15">
        <f t="shared" si="1"/>
        <v>216.28571428571431</v>
      </c>
    </row>
    <row r="46" spans="2:32" ht="23.1" customHeight="1" x14ac:dyDescent="0.25">
      <c r="B46" s="24" t="s">
        <v>73</v>
      </c>
      <c r="C46" s="49">
        <f>SUM('AvgWeek Jinja-Kampala'!C46+'Avg Week Kampala-Jinja'!C46)</f>
        <v>28.571428571428569</v>
      </c>
      <c r="D46" s="49">
        <f>SUM('AvgWeek Jinja-Kampala'!D46+'Avg Week Kampala-Jinja'!D46)</f>
        <v>12.285714285714285</v>
      </c>
      <c r="E46" s="49">
        <f>SUM('AvgWeek Jinja-Kampala'!E46+'Avg Week Kampala-Jinja'!E46)</f>
        <v>8.2857142857142847</v>
      </c>
      <c r="F46" s="49">
        <f>SUM('AvgWeek Jinja-Kampala'!F46+'Avg Week Kampala-Jinja'!F46)</f>
        <v>54.285714285714285</v>
      </c>
      <c r="G46" s="49">
        <f>SUM('AvgWeek Jinja-Kampala'!G46+'Avg Week Kampala-Jinja'!G46)</f>
        <v>1.1428571428571428</v>
      </c>
      <c r="H46" s="49">
        <f>SUM('AvgWeek Jinja-Kampala'!H46+'Avg Week Kampala-Jinja'!H46)</f>
        <v>1.5714285714285714</v>
      </c>
      <c r="I46" s="49">
        <f>SUM('AvgWeek Jinja-Kampala'!I46+'Avg Week Kampala-Jinja'!I46)</f>
        <v>7.4285714285714288</v>
      </c>
      <c r="J46" s="49">
        <f>SUM('AvgWeek Jinja-Kampala'!J46+'Avg Week Kampala-Jinja'!J46)</f>
        <v>13.428571428571429</v>
      </c>
      <c r="K46" s="49">
        <f>SUM('AvgWeek Jinja-Kampala'!K46+'Avg Week Kampala-Jinja'!K46)</f>
        <v>2.4285714285714288</v>
      </c>
      <c r="L46" s="49">
        <f>SUM('AvgWeek Jinja-Kampala'!L46+'Avg Week Kampala-Jinja'!L46)</f>
        <v>28.142857142857146</v>
      </c>
      <c r="M46" s="49">
        <f>SUM('AvgWeek Jinja-Kampala'!M46+'Avg Week Kampala-Jinja'!M46)</f>
        <v>46.714285714285715</v>
      </c>
      <c r="N46" s="49">
        <f>SUM('AvgWeek Jinja-Kampala'!N46+'Avg Week Kampala-Jinja'!N46)</f>
        <v>0</v>
      </c>
      <c r="O46" s="15">
        <f t="shared" si="0"/>
        <v>157.57142857142856</v>
      </c>
      <c r="P46" s="15">
        <f t="shared" si="1"/>
        <v>204.28571428571428</v>
      </c>
      <c r="R46" s="8"/>
      <c r="T46"/>
    </row>
    <row r="47" spans="2:32" ht="23.1" customHeight="1" x14ac:dyDescent="0.25">
      <c r="B47" s="24" t="s">
        <v>74</v>
      </c>
      <c r="C47" s="49">
        <f>SUM('AvgWeek Jinja-Kampala'!C47+'Avg Week Kampala-Jinja'!C47)</f>
        <v>28.285714285714285</v>
      </c>
      <c r="D47" s="49">
        <f>SUM('AvgWeek Jinja-Kampala'!D47+'Avg Week Kampala-Jinja'!D47)</f>
        <v>11.714285714285715</v>
      </c>
      <c r="E47" s="49">
        <f>SUM('AvgWeek Jinja-Kampala'!E47+'Avg Week Kampala-Jinja'!E47)</f>
        <v>9.5714285714285712</v>
      </c>
      <c r="F47" s="49">
        <f>SUM('AvgWeek Jinja-Kampala'!F47+'Avg Week Kampala-Jinja'!F47)</f>
        <v>55.714285714285708</v>
      </c>
      <c r="G47" s="49">
        <f>SUM('AvgWeek Jinja-Kampala'!G47+'Avg Week Kampala-Jinja'!G47)</f>
        <v>2</v>
      </c>
      <c r="H47" s="49">
        <f>SUM('AvgWeek Jinja-Kampala'!H47+'Avg Week Kampala-Jinja'!H47)</f>
        <v>0.8571428571428571</v>
      </c>
      <c r="I47" s="49">
        <f>SUM('AvgWeek Jinja-Kampala'!I47+'Avg Week Kampala-Jinja'!I47)</f>
        <v>7.1428571428571423</v>
      </c>
      <c r="J47" s="49">
        <f>SUM('AvgWeek Jinja-Kampala'!J47+'Avg Week Kampala-Jinja'!J47)</f>
        <v>11.857142857142858</v>
      </c>
      <c r="K47" s="49">
        <f>SUM('AvgWeek Jinja-Kampala'!K47+'Avg Week Kampala-Jinja'!K47)</f>
        <v>3.4285714285714288</v>
      </c>
      <c r="L47" s="49">
        <f>SUM('AvgWeek Jinja-Kampala'!L47+'Avg Week Kampala-Jinja'!L47)</f>
        <v>23.571428571428569</v>
      </c>
      <c r="M47" s="49">
        <f>SUM('AvgWeek Jinja-Kampala'!M47+'Avg Week Kampala-Jinja'!M47)</f>
        <v>40.857142857142854</v>
      </c>
      <c r="N47" s="49">
        <f>SUM('AvgWeek Jinja-Kampala'!N47+'Avg Week Kampala-Jinja'!N47)</f>
        <v>0</v>
      </c>
      <c r="O47" s="15">
        <f t="shared" si="0"/>
        <v>154.14285714285711</v>
      </c>
      <c r="P47" s="15">
        <f t="shared" si="1"/>
        <v>194.99999999999997</v>
      </c>
      <c r="R47" s="8"/>
      <c r="T47"/>
    </row>
    <row r="48" spans="2:32" ht="23.1" customHeight="1" x14ac:dyDescent="0.25">
      <c r="B48" s="24" t="s">
        <v>75</v>
      </c>
      <c r="C48" s="49">
        <f>SUM('AvgWeek Jinja-Kampala'!C48+'Avg Week Kampala-Jinja'!C48)</f>
        <v>30.571428571428569</v>
      </c>
      <c r="D48" s="49">
        <f>SUM('AvgWeek Jinja-Kampala'!D48+'Avg Week Kampala-Jinja'!D48)</f>
        <v>14.142857142857142</v>
      </c>
      <c r="E48" s="49">
        <f>SUM('AvgWeek Jinja-Kampala'!E48+'Avg Week Kampala-Jinja'!E48)</f>
        <v>11.571428571428573</v>
      </c>
      <c r="F48" s="49">
        <f>SUM('AvgWeek Jinja-Kampala'!F48+'Avg Week Kampala-Jinja'!F48)</f>
        <v>62.285714285714285</v>
      </c>
      <c r="G48" s="49">
        <f>SUM('AvgWeek Jinja-Kampala'!G48+'Avg Week Kampala-Jinja'!G48)</f>
        <v>1.7142857142857142</v>
      </c>
      <c r="H48" s="49">
        <f>SUM('AvgWeek Jinja-Kampala'!H48+'Avg Week Kampala-Jinja'!H48)</f>
        <v>0.85714285714285721</v>
      </c>
      <c r="I48" s="49">
        <f>SUM('AvgWeek Jinja-Kampala'!I48+'Avg Week Kampala-Jinja'!I48)</f>
        <v>7</v>
      </c>
      <c r="J48" s="49">
        <f>SUM('AvgWeek Jinja-Kampala'!J48+'Avg Week Kampala-Jinja'!J48)</f>
        <v>13.142857142857142</v>
      </c>
      <c r="K48" s="49">
        <f>SUM('AvgWeek Jinja-Kampala'!K48+'Avg Week Kampala-Jinja'!K48)</f>
        <v>3.5714285714285716</v>
      </c>
      <c r="L48" s="49">
        <f>SUM('AvgWeek Jinja-Kampala'!L48+'Avg Week Kampala-Jinja'!L48)</f>
        <v>26.285714285714285</v>
      </c>
      <c r="M48" s="49">
        <f>SUM('AvgWeek Jinja-Kampala'!M48+'Avg Week Kampala-Jinja'!M48)</f>
        <v>43.285714285714285</v>
      </c>
      <c r="N48" s="49">
        <f>SUM('AvgWeek Jinja-Kampala'!N48+'Avg Week Kampala-Jinja'!N48)</f>
        <v>0</v>
      </c>
      <c r="O48" s="15">
        <f t="shared" si="0"/>
        <v>171.14285714285711</v>
      </c>
      <c r="P48" s="15">
        <f t="shared" si="1"/>
        <v>214.42857142857139</v>
      </c>
      <c r="R48" s="8"/>
      <c r="T48"/>
    </row>
    <row r="49" spans="2:20" ht="23.1" customHeight="1" x14ac:dyDescent="0.25">
      <c r="B49" s="23" t="s">
        <v>76</v>
      </c>
      <c r="C49" s="49">
        <f>SUM('AvgWeek Jinja-Kampala'!C49+'Avg Week Kampala-Jinja'!C49)</f>
        <v>33</v>
      </c>
      <c r="D49" s="49">
        <f>SUM('AvgWeek Jinja-Kampala'!D49+'Avg Week Kampala-Jinja'!D49)</f>
        <v>10.285714285714286</v>
      </c>
      <c r="E49" s="49">
        <f>SUM('AvgWeek Jinja-Kampala'!E49+'Avg Week Kampala-Jinja'!E49)</f>
        <v>8.2857142857142847</v>
      </c>
      <c r="F49" s="49">
        <f>SUM('AvgWeek Jinja-Kampala'!F49+'Avg Week Kampala-Jinja'!F49)</f>
        <v>58.142857142857139</v>
      </c>
      <c r="G49" s="49">
        <f>SUM('AvgWeek Jinja-Kampala'!G49+'Avg Week Kampala-Jinja'!G49)</f>
        <v>3.4285714285714288</v>
      </c>
      <c r="H49" s="49">
        <f>SUM('AvgWeek Jinja-Kampala'!H49+'Avg Week Kampala-Jinja'!H49)</f>
        <v>1.2857142857142856</v>
      </c>
      <c r="I49" s="49">
        <f>SUM('AvgWeek Jinja-Kampala'!I49+'Avg Week Kampala-Jinja'!I49)</f>
        <v>7.4285714285714288</v>
      </c>
      <c r="J49" s="49">
        <f>SUM('AvgWeek Jinja-Kampala'!J49+'Avg Week Kampala-Jinja'!J49)</f>
        <v>12.142857142857142</v>
      </c>
      <c r="K49" s="49">
        <f>SUM('AvgWeek Jinja-Kampala'!K49+'Avg Week Kampala-Jinja'!K49)</f>
        <v>2.8571428571428568</v>
      </c>
      <c r="L49" s="49">
        <f>SUM('AvgWeek Jinja-Kampala'!L49+'Avg Week Kampala-Jinja'!L49)</f>
        <v>29.428571428571431</v>
      </c>
      <c r="M49" s="49">
        <f>SUM('AvgWeek Jinja-Kampala'!M49+'Avg Week Kampala-Jinja'!M49)</f>
        <v>42.285714285714285</v>
      </c>
      <c r="N49" s="49">
        <f>SUM('AvgWeek Jinja-Kampala'!N49+'Avg Week Kampala-Jinja'!N49)</f>
        <v>0</v>
      </c>
      <c r="O49" s="15">
        <f t="shared" si="0"/>
        <v>166.28571428571428</v>
      </c>
      <c r="P49" s="15">
        <f t="shared" si="1"/>
        <v>208.57142857142856</v>
      </c>
      <c r="R49" s="8"/>
      <c r="T49"/>
    </row>
    <row r="50" spans="2:20" ht="23.1" customHeight="1" x14ac:dyDescent="0.25">
      <c r="B50" s="24" t="s">
        <v>77</v>
      </c>
      <c r="C50" s="49">
        <f>SUM('AvgWeek Jinja-Kampala'!C50+'Avg Week Kampala-Jinja'!C50)</f>
        <v>36.857142857142861</v>
      </c>
      <c r="D50" s="49">
        <f>SUM('AvgWeek Jinja-Kampala'!D50+'Avg Week Kampala-Jinja'!D50)</f>
        <v>13.428571428571427</v>
      </c>
      <c r="E50" s="49">
        <f>SUM('AvgWeek Jinja-Kampala'!E50+'Avg Week Kampala-Jinja'!E50)</f>
        <v>8.4285714285714288</v>
      </c>
      <c r="F50" s="49">
        <f>SUM('AvgWeek Jinja-Kampala'!F50+'Avg Week Kampala-Jinja'!F50)</f>
        <v>74.714285714285722</v>
      </c>
      <c r="G50" s="49">
        <f>SUM('AvgWeek Jinja-Kampala'!G50+'Avg Week Kampala-Jinja'!G50)</f>
        <v>2.7142857142857144</v>
      </c>
      <c r="H50" s="49">
        <f>SUM('AvgWeek Jinja-Kampala'!H50+'Avg Week Kampala-Jinja'!H50)</f>
        <v>1.5714285714285714</v>
      </c>
      <c r="I50" s="49">
        <f>SUM('AvgWeek Jinja-Kampala'!I50+'Avg Week Kampala-Jinja'!I50)</f>
        <v>9.1428571428571423</v>
      </c>
      <c r="J50" s="49">
        <f>SUM('AvgWeek Jinja-Kampala'!J50+'Avg Week Kampala-Jinja'!J50)</f>
        <v>12.142857142857142</v>
      </c>
      <c r="K50" s="49">
        <f>SUM('AvgWeek Jinja-Kampala'!K50+'Avg Week Kampala-Jinja'!K50)</f>
        <v>3.1428571428571432</v>
      </c>
      <c r="L50" s="49">
        <f>SUM('AvgWeek Jinja-Kampala'!L50+'Avg Week Kampala-Jinja'!L50)</f>
        <v>30.571428571428573</v>
      </c>
      <c r="M50" s="49">
        <f>SUM('AvgWeek Jinja-Kampala'!M50+'Avg Week Kampala-Jinja'!M50)</f>
        <v>43.714285714285708</v>
      </c>
      <c r="N50" s="49">
        <f>SUM('AvgWeek Jinja-Kampala'!N50+'Avg Week Kampala-Jinja'!N50)</f>
        <v>0.14285714285714285</v>
      </c>
      <c r="O50" s="15">
        <f t="shared" si="0"/>
        <v>192.85714285714289</v>
      </c>
      <c r="P50" s="15">
        <f t="shared" si="1"/>
        <v>236.57142857142858</v>
      </c>
      <c r="R50" s="8"/>
      <c r="T50"/>
    </row>
    <row r="51" spans="2:20" ht="23.1" customHeight="1" x14ac:dyDescent="0.25">
      <c r="B51" s="24" t="s">
        <v>78</v>
      </c>
      <c r="C51" s="49">
        <f>SUM('AvgWeek Jinja-Kampala'!C51+'Avg Week Kampala-Jinja'!C51)</f>
        <v>32.857142857142854</v>
      </c>
      <c r="D51" s="49">
        <f>SUM('AvgWeek Jinja-Kampala'!D51+'Avg Week Kampala-Jinja'!D51)</f>
        <v>12.714285714285714</v>
      </c>
      <c r="E51" s="49">
        <f>SUM('AvgWeek Jinja-Kampala'!E51+'Avg Week Kampala-Jinja'!E51)</f>
        <v>7.8571428571428577</v>
      </c>
      <c r="F51" s="49">
        <f>SUM('AvgWeek Jinja-Kampala'!F51+'Avg Week Kampala-Jinja'!F51)</f>
        <v>57</v>
      </c>
      <c r="G51" s="49">
        <f>SUM('AvgWeek Jinja-Kampala'!G51+'Avg Week Kampala-Jinja'!G51)</f>
        <v>2.2857142857142856</v>
      </c>
      <c r="H51" s="49">
        <f>SUM('AvgWeek Jinja-Kampala'!H51+'Avg Week Kampala-Jinja'!H51)</f>
        <v>1.8571428571428572</v>
      </c>
      <c r="I51" s="49">
        <f>SUM('AvgWeek Jinja-Kampala'!I51+'Avg Week Kampala-Jinja'!I51)</f>
        <v>10.714285714285715</v>
      </c>
      <c r="J51" s="49">
        <f>SUM('AvgWeek Jinja-Kampala'!J51+'Avg Week Kampala-Jinja'!J51)</f>
        <v>11.714285714285714</v>
      </c>
      <c r="K51" s="49">
        <f>SUM('AvgWeek Jinja-Kampala'!K51+'Avg Week Kampala-Jinja'!K51)</f>
        <v>3.7142857142857144</v>
      </c>
      <c r="L51" s="49">
        <f>SUM('AvgWeek Jinja-Kampala'!L51+'Avg Week Kampala-Jinja'!L51)</f>
        <v>25.285714285714285</v>
      </c>
      <c r="M51" s="49">
        <f>SUM('AvgWeek Jinja-Kampala'!M51+'Avg Week Kampala-Jinja'!M51)</f>
        <v>45.714285714285708</v>
      </c>
      <c r="N51" s="49">
        <f>SUM('AvgWeek Jinja-Kampala'!N51+'Avg Week Kampala-Jinja'!N51)</f>
        <v>0.14285714285714285</v>
      </c>
      <c r="O51" s="15">
        <f t="shared" si="0"/>
        <v>166.14285714285717</v>
      </c>
      <c r="P51" s="15">
        <f t="shared" si="1"/>
        <v>211.85714285714286</v>
      </c>
      <c r="R51" s="8"/>
      <c r="T51"/>
    </row>
    <row r="52" spans="2:20" ht="23.1" customHeight="1" x14ac:dyDescent="0.25">
      <c r="B52" s="24" t="s">
        <v>79</v>
      </c>
      <c r="C52" s="49">
        <f>SUM('AvgWeek Jinja-Kampala'!C52+'Avg Week Kampala-Jinja'!C52)</f>
        <v>30.714285714285715</v>
      </c>
      <c r="D52" s="49">
        <f>SUM('AvgWeek Jinja-Kampala'!D52+'Avg Week Kampala-Jinja'!D52)</f>
        <v>15.857142857142858</v>
      </c>
      <c r="E52" s="49">
        <f>SUM('AvgWeek Jinja-Kampala'!E52+'Avg Week Kampala-Jinja'!E52)</f>
        <v>7.5714285714285712</v>
      </c>
      <c r="F52" s="49">
        <f>SUM('AvgWeek Jinja-Kampala'!F52+'Avg Week Kampala-Jinja'!F52)</f>
        <v>62</v>
      </c>
      <c r="G52" s="49">
        <f>SUM('AvgWeek Jinja-Kampala'!G52+'Avg Week Kampala-Jinja'!G52)</f>
        <v>2.4285714285714288</v>
      </c>
      <c r="H52" s="49">
        <f>SUM('AvgWeek Jinja-Kampala'!H52+'Avg Week Kampala-Jinja'!H52)</f>
        <v>1.2857142857142858</v>
      </c>
      <c r="I52" s="49">
        <f>SUM('AvgWeek Jinja-Kampala'!I52+'Avg Week Kampala-Jinja'!I52)</f>
        <v>7.5714285714285712</v>
      </c>
      <c r="J52" s="49">
        <f>SUM('AvgWeek Jinja-Kampala'!J52+'Avg Week Kampala-Jinja'!J52)</f>
        <v>13</v>
      </c>
      <c r="K52" s="49">
        <f>SUM('AvgWeek Jinja-Kampala'!K52+'Avg Week Kampala-Jinja'!K52)</f>
        <v>4.1428571428571423</v>
      </c>
      <c r="L52" s="49">
        <f>SUM('AvgWeek Jinja-Kampala'!L52+'Avg Week Kampala-Jinja'!L52)</f>
        <v>30.857142857142858</v>
      </c>
      <c r="M52" s="49">
        <f>SUM('AvgWeek Jinja-Kampala'!M52+'Avg Week Kampala-Jinja'!M52)</f>
        <v>47.714285714285708</v>
      </c>
      <c r="N52" s="49">
        <f>SUM('AvgWeek Jinja-Kampala'!N52+'Avg Week Kampala-Jinja'!N52)</f>
        <v>0.2857142857142857</v>
      </c>
      <c r="O52" s="15">
        <f t="shared" si="0"/>
        <v>175.71428571428572</v>
      </c>
      <c r="P52" s="15">
        <f t="shared" si="1"/>
        <v>223.42857142857144</v>
      </c>
      <c r="R52" s="8"/>
      <c r="T52"/>
    </row>
    <row r="53" spans="2:20" ht="23.1" customHeight="1" x14ac:dyDescent="0.25">
      <c r="B53" s="23" t="s">
        <v>80</v>
      </c>
      <c r="C53" s="49">
        <f>SUM('AvgWeek Jinja-Kampala'!C53+'Avg Week Kampala-Jinja'!C53)</f>
        <v>29.857142857142854</v>
      </c>
      <c r="D53" s="49">
        <f>SUM('AvgWeek Jinja-Kampala'!D53+'Avg Week Kampala-Jinja'!D53)</f>
        <v>13</v>
      </c>
      <c r="E53" s="49">
        <f>SUM('AvgWeek Jinja-Kampala'!E53+'Avg Week Kampala-Jinja'!E53)</f>
        <v>8</v>
      </c>
      <c r="F53" s="49">
        <f>SUM('AvgWeek Jinja-Kampala'!F53+'Avg Week Kampala-Jinja'!F53)</f>
        <v>63</v>
      </c>
      <c r="G53" s="49">
        <f>SUM('AvgWeek Jinja-Kampala'!G53+'Avg Week Kampala-Jinja'!G53)</f>
        <v>3</v>
      </c>
      <c r="H53" s="49">
        <f>SUM('AvgWeek Jinja-Kampala'!H53+'Avg Week Kampala-Jinja'!H53)</f>
        <v>1.4285714285714286</v>
      </c>
      <c r="I53" s="49">
        <f>SUM('AvgWeek Jinja-Kampala'!I53+'Avg Week Kampala-Jinja'!I53)</f>
        <v>8.4285714285714288</v>
      </c>
      <c r="J53" s="49">
        <f>SUM('AvgWeek Jinja-Kampala'!J53+'Avg Week Kampala-Jinja'!J53)</f>
        <v>13.857142857142858</v>
      </c>
      <c r="K53" s="49">
        <f>SUM('AvgWeek Jinja-Kampala'!K53+'Avg Week Kampala-Jinja'!K53)</f>
        <v>3.5714285714285712</v>
      </c>
      <c r="L53" s="49">
        <f>SUM('AvgWeek Jinja-Kampala'!L53+'Avg Week Kampala-Jinja'!L53)</f>
        <v>30.428571428571427</v>
      </c>
      <c r="M53" s="49">
        <f>SUM('AvgWeek Jinja-Kampala'!M53+'Avg Week Kampala-Jinja'!M53)</f>
        <v>43.285714285714285</v>
      </c>
      <c r="N53" s="49">
        <f>SUM('AvgWeek Jinja-Kampala'!N53+'Avg Week Kampala-Jinja'!N53)</f>
        <v>0</v>
      </c>
      <c r="O53" s="15">
        <f t="shared" si="0"/>
        <v>174.57142857142858</v>
      </c>
      <c r="P53" s="15">
        <f t="shared" si="1"/>
        <v>217.85714285714286</v>
      </c>
      <c r="R53" s="8"/>
      <c r="T53"/>
    </row>
    <row r="54" spans="2:20" ht="23.1" customHeight="1" x14ac:dyDescent="0.25">
      <c r="B54" s="23" t="s">
        <v>81</v>
      </c>
      <c r="C54" s="49">
        <f>SUM('AvgWeek Jinja-Kampala'!C54+'Avg Week Kampala-Jinja'!C54)</f>
        <v>39.285714285714285</v>
      </c>
      <c r="D54" s="49">
        <f>SUM('AvgWeek Jinja-Kampala'!D54+'Avg Week Kampala-Jinja'!D54)</f>
        <v>15.571428571428573</v>
      </c>
      <c r="E54" s="49">
        <f>SUM('AvgWeek Jinja-Kampala'!E54+'Avg Week Kampala-Jinja'!E54)</f>
        <v>8.8571428571428577</v>
      </c>
      <c r="F54" s="49">
        <f>SUM('AvgWeek Jinja-Kampala'!F54+'Avg Week Kampala-Jinja'!F54)</f>
        <v>75.428571428571416</v>
      </c>
      <c r="G54" s="49">
        <f>SUM('AvgWeek Jinja-Kampala'!G54+'Avg Week Kampala-Jinja'!G54)</f>
        <v>4</v>
      </c>
      <c r="H54" s="49">
        <f>SUM('AvgWeek Jinja-Kampala'!H54+'Avg Week Kampala-Jinja'!H54)</f>
        <v>1.8571428571428572</v>
      </c>
      <c r="I54" s="49">
        <f>SUM('AvgWeek Jinja-Kampala'!I54+'Avg Week Kampala-Jinja'!I54)</f>
        <v>9.1428571428571423</v>
      </c>
      <c r="J54" s="49">
        <f>SUM('AvgWeek Jinja-Kampala'!J54+'Avg Week Kampala-Jinja'!J54)</f>
        <v>15.857142857142858</v>
      </c>
      <c r="K54" s="49">
        <f>SUM('AvgWeek Jinja-Kampala'!K54+'Avg Week Kampala-Jinja'!K54)</f>
        <v>4.4285714285714288</v>
      </c>
      <c r="L54" s="49">
        <f>SUM('AvgWeek Jinja-Kampala'!L54+'Avg Week Kampala-Jinja'!L54)</f>
        <v>33.142857142857139</v>
      </c>
      <c r="M54" s="49">
        <f>SUM('AvgWeek Jinja-Kampala'!M54+'Avg Week Kampala-Jinja'!M54)</f>
        <v>41</v>
      </c>
      <c r="N54" s="49">
        <f>SUM('AvgWeek Jinja-Kampala'!N54+'Avg Week Kampala-Jinja'!N54)</f>
        <v>0.2857142857142857</v>
      </c>
      <c r="O54" s="15">
        <f t="shared" si="0"/>
        <v>207.85714285714283</v>
      </c>
      <c r="P54" s="15">
        <f t="shared" si="1"/>
        <v>248.85714285714283</v>
      </c>
      <c r="R54" s="8"/>
      <c r="T54"/>
    </row>
    <row r="55" spans="2:20" ht="23.1" customHeight="1" x14ac:dyDescent="0.25">
      <c r="B55" s="23" t="s">
        <v>82</v>
      </c>
      <c r="C55" s="49">
        <f>SUM('AvgWeek Jinja-Kampala'!C55+'Avg Week Kampala-Jinja'!C55)</f>
        <v>41.285714285714285</v>
      </c>
      <c r="D55" s="49">
        <f>SUM('AvgWeek Jinja-Kampala'!D55+'Avg Week Kampala-Jinja'!D55)</f>
        <v>11.857142857142858</v>
      </c>
      <c r="E55" s="49">
        <f>SUM('AvgWeek Jinja-Kampala'!E55+'Avg Week Kampala-Jinja'!E55)</f>
        <v>12.428571428571429</v>
      </c>
      <c r="F55" s="49">
        <f>SUM('AvgWeek Jinja-Kampala'!F55+'Avg Week Kampala-Jinja'!F55)</f>
        <v>69.285714285714278</v>
      </c>
      <c r="G55" s="49">
        <f>SUM('AvgWeek Jinja-Kampala'!G55+'Avg Week Kampala-Jinja'!G55)</f>
        <v>2.4285714285714288</v>
      </c>
      <c r="H55" s="49">
        <f>SUM('AvgWeek Jinja-Kampala'!H55+'Avg Week Kampala-Jinja'!H55)</f>
        <v>1.8571428571428572</v>
      </c>
      <c r="I55" s="49">
        <f>SUM('AvgWeek Jinja-Kampala'!I55+'Avg Week Kampala-Jinja'!I55)</f>
        <v>10.857142857142858</v>
      </c>
      <c r="J55" s="49">
        <f>SUM('AvgWeek Jinja-Kampala'!J55+'Avg Week Kampala-Jinja'!J55)</f>
        <v>13.142857142857142</v>
      </c>
      <c r="K55" s="49">
        <f>SUM('AvgWeek Jinja-Kampala'!K55+'Avg Week Kampala-Jinja'!K55)</f>
        <v>5</v>
      </c>
      <c r="L55" s="49">
        <f>SUM('AvgWeek Jinja-Kampala'!L55+'Avg Week Kampala-Jinja'!L55)</f>
        <v>31.714285714285715</v>
      </c>
      <c r="M55" s="49">
        <f>SUM('AvgWeek Jinja-Kampala'!M55+'Avg Week Kampala-Jinja'!M55)</f>
        <v>46.714285714285715</v>
      </c>
      <c r="N55" s="49">
        <f>SUM('AvgWeek Jinja-Kampala'!N55+'Avg Week Kampala-Jinja'!N55)</f>
        <v>0</v>
      </c>
      <c r="O55" s="15">
        <f t="shared" si="0"/>
        <v>199.85714285714283</v>
      </c>
      <c r="P55" s="15">
        <f t="shared" si="1"/>
        <v>246.57142857142856</v>
      </c>
      <c r="R55" s="8"/>
      <c r="T55"/>
    </row>
    <row r="56" spans="2:20" ht="23.1" customHeight="1" x14ac:dyDescent="0.25">
      <c r="B56" s="23" t="s">
        <v>83</v>
      </c>
      <c r="C56" s="49">
        <f>SUM('AvgWeek Jinja-Kampala'!C56+'Avg Week Kampala-Jinja'!C56)</f>
        <v>36.428571428571431</v>
      </c>
      <c r="D56" s="49">
        <f>SUM('AvgWeek Jinja-Kampala'!D56+'Avg Week Kampala-Jinja'!D56)</f>
        <v>14.428571428571427</v>
      </c>
      <c r="E56" s="49">
        <f>SUM('AvgWeek Jinja-Kampala'!E56+'Avg Week Kampala-Jinja'!E56)</f>
        <v>9.2857142857142865</v>
      </c>
      <c r="F56" s="49">
        <f>SUM('AvgWeek Jinja-Kampala'!F56+'Avg Week Kampala-Jinja'!F56)</f>
        <v>56</v>
      </c>
      <c r="G56" s="49">
        <f>SUM('AvgWeek Jinja-Kampala'!G56+'Avg Week Kampala-Jinja'!G56)</f>
        <v>3.1428571428571432</v>
      </c>
      <c r="H56" s="49">
        <f>SUM('AvgWeek Jinja-Kampala'!H56+'Avg Week Kampala-Jinja'!H56)</f>
        <v>1</v>
      </c>
      <c r="I56" s="49">
        <f>SUM('AvgWeek Jinja-Kampala'!I56+'Avg Week Kampala-Jinja'!I56)</f>
        <v>10</v>
      </c>
      <c r="J56" s="49">
        <f>SUM('AvgWeek Jinja-Kampala'!J56+'Avg Week Kampala-Jinja'!J56)</f>
        <v>9.7142857142857153</v>
      </c>
      <c r="K56" s="49">
        <f>SUM('AvgWeek Jinja-Kampala'!K56+'Avg Week Kampala-Jinja'!K56)</f>
        <v>3.4285714285714284</v>
      </c>
      <c r="L56" s="49">
        <f>SUM('AvgWeek Jinja-Kampala'!L56+'Avg Week Kampala-Jinja'!L56)</f>
        <v>32.428571428571431</v>
      </c>
      <c r="M56" s="49">
        <f>SUM('AvgWeek Jinja-Kampala'!M56+'Avg Week Kampala-Jinja'!M56)</f>
        <v>41.714285714285708</v>
      </c>
      <c r="N56" s="49">
        <f>SUM('AvgWeek Jinja-Kampala'!N56+'Avg Week Kampala-Jinja'!N56)</f>
        <v>0</v>
      </c>
      <c r="O56" s="15">
        <f t="shared" si="0"/>
        <v>175.85714285714283</v>
      </c>
      <c r="P56" s="15">
        <f t="shared" si="1"/>
        <v>217.57142857142856</v>
      </c>
      <c r="R56" s="8"/>
      <c r="T56"/>
    </row>
    <row r="57" spans="2:20" ht="23.1" customHeight="1" x14ac:dyDescent="0.25">
      <c r="B57" s="23" t="s">
        <v>84</v>
      </c>
      <c r="C57" s="49">
        <f>SUM('AvgWeek Jinja-Kampala'!C57+'Avg Week Kampala-Jinja'!C57)</f>
        <v>24.571428571428569</v>
      </c>
      <c r="D57" s="49">
        <f>SUM('AvgWeek Jinja-Kampala'!D57+'Avg Week Kampala-Jinja'!D57)</f>
        <v>8.5714285714285712</v>
      </c>
      <c r="E57" s="49">
        <f>SUM('AvgWeek Jinja-Kampala'!E57+'Avg Week Kampala-Jinja'!E57)</f>
        <v>5</v>
      </c>
      <c r="F57" s="49">
        <f>SUM('AvgWeek Jinja-Kampala'!F57+'Avg Week Kampala-Jinja'!F57)</f>
        <v>48</v>
      </c>
      <c r="G57" s="49">
        <f>SUM('AvgWeek Jinja-Kampala'!G57+'Avg Week Kampala-Jinja'!G57)</f>
        <v>3</v>
      </c>
      <c r="H57" s="49">
        <f>SUM('AvgWeek Jinja-Kampala'!H57+'Avg Week Kampala-Jinja'!H57)</f>
        <v>1.2857142857142858</v>
      </c>
      <c r="I57" s="49">
        <f>SUM('AvgWeek Jinja-Kampala'!I57+'Avg Week Kampala-Jinja'!I57)</f>
        <v>5.5714285714285712</v>
      </c>
      <c r="J57" s="49">
        <f>SUM('AvgWeek Jinja-Kampala'!J57+'Avg Week Kampala-Jinja'!J57)</f>
        <v>6.2857142857142856</v>
      </c>
      <c r="K57" s="49">
        <f>SUM('AvgWeek Jinja-Kampala'!K57+'Avg Week Kampala-Jinja'!K57)</f>
        <v>3.2857142857142856</v>
      </c>
      <c r="L57" s="49">
        <f>SUM('AvgWeek Jinja-Kampala'!L57+'Avg Week Kampala-Jinja'!L57)</f>
        <v>22.714285714285715</v>
      </c>
      <c r="M57" s="49">
        <f>SUM('AvgWeek Jinja-Kampala'!M57+'Avg Week Kampala-Jinja'!M57)</f>
        <v>42.19047619047619</v>
      </c>
      <c r="N57" s="49">
        <f>SUM('AvgWeek Jinja-Kampala'!N57+'Avg Week Kampala-Jinja'!N57)</f>
        <v>0</v>
      </c>
      <c r="O57" s="15">
        <f t="shared" si="0"/>
        <v>128.28571428571431</v>
      </c>
      <c r="P57" s="15">
        <f t="shared" si="1"/>
        <v>170.47619047619048</v>
      </c>
      <c r="R57" s="8"/>
      <c r="T57"/>
    </row>
    <row r="58" spans="2:20" ht="23.1" customHeight="1" x14ac:dyDescent="0.25">
      <c r="B58" s="23" t="s">
        <v>99</v>
      </c>
      <c r="C58" s="49">
        <f>'AvgWeek Jinja-Kampala'!C58+'Avg Week Kampala-Jinja'!C58</f>
        <v>30</v>
      </c>
      <c r="D58" s="49">
        <f>'AvgWeek Jinja-Kampala'!D58+'Avg Week Kampala-Jinja'!D58</f>
        <v>7</v>
      </c>
      <c r="E58" s="49">
        <f>'AvgWeek Jinja-Kampala'!E58+'Avg Week Kampala-Jinja'!E58</f>
        <v>5</v>
      </c>
      <c r="F58" s="49">
        <f>'AvgWeek Jinja-Kampala'!F58+'Avg Week Kampala-Jinja'!F58</f>
        <v>32.5</v>
      </c>
      <c r="G58" s="49">
        <f>'AvgWeek Jinja-Kampala'!G58+'Avg Week Kampala-Jinja'!G58</f>
        <v>1</v>
      </c>
      <c r="H58" s="49">
        <f>'AvgWeek Jinja-Kampala'!H58+'Avg Week Kampala-Jinja'!H58</f>
        <v>0</v>
      </c>
      <c r="I58" s="49">
        <f>'AvgWeek Jinja-Kampala'!I58+'Avg Week Kampala-Jinja'!I58</f>
        <v>5</v>
      </c>
      <c r="J58" s="49">
        <f>'AvgWeek Jinja-Kampala'!J58+'Avg Week Kampala-Jinja'!J58</f>
        <v>4</v>
      </c>
      <c r="K58" s="49">
        <f>'AvgWeek Jinja-Kampala'!K58+'Avg Week Kampala-Jinja'!K58</f>
        <v>5</v>
      </c>
      <c r="L58" s="49">
        <f>'AvgWeek Jinja-Kampala'!L58+'Avg Week Kampala-Jinja'!L58</f>
        <v>13.5</v>
      </c>
      <c r="M58" s="49">
        <f>'AvgWeek Jinja-Kampala'!M58+'Avg Week Kampala-Jinja'!M58</f>
        <v>31</v>
      </c>
      <c r="N58" s="49">
        <f>'AvgWeek Jinja-Kampala'!N58+'Avg Week Kampala-Jinja'!N58</f>
        <v>0</v>
      </c>
      <c r="O58" s="15">
        <f t="shared" si="0"/>
        <v>103</v>
      </c>
      <c r="P58" s="15">
        <f t="shared" si="1"/>
        <v>134</v>
      </c>
      <c r="R58" s="8"/>
      <c r="T58"/>
    </row>
    <row r="59" spans="2:20" ht="23.1" customHeight="1" x14ac:dyDescent="0.25">
      <c r="B59" s="23" t="s">
        <v>100</v>
      </c>
      <c r="C59" s="49">
        <f>'AvgWeek Jinja-Kampala'!C59+'Avg Week Kampala-Jinja'!C59</f>
        <v>34</v>
      </c>
      <c r="D59" s="49">
        <f>'AvgWeek Jinja-Kampala'!D59+'Avg Week Kampala-Jinja'!D59</f>
        <v>11.5</v>
      </c>
      <c r="E59" s="49">
        <f>'AvgWeek Jinja-Kampala'!E59+'Avg Week Kampala-Jinja'!E59</f>
        <v>8</v>
      </c>
      <c r="F59" s="49">
        <f>'AvgWeek Jinja-Kampala'!F59+'Avg Week Kampala-Jinja'!F59</f>
        <v>70</v>
      </c>
      <c r="G59" s="49">
        <f>'AvgWeek Jinja-Kampala'!G59+'Avg Week Kampala-Jinja'!G59</f>
        <v>4</v>
      </c>
      <c r="H59" s="49">
        <f>'AvgWeek Jinja-Kampala'!H59+'Avg Week Kampala-Jinja'!H59</f>
        <v>0.5</v>
      </c>
      <c r="I59" s="49">
        <f>'AvgWeek Jinja-Kampala'!I59+'Avg Week Kampala-Jinja'!I59</f>
        <v>11.5</v>
      </c>
      <c r="J59" s="49">
        <f>'AvgWeek Jinja-Kampala'!J59+'Avg Week Kampala-Jinja'!J59</f>
        <v>10</v>
      </c>
      <c r="K59" s="49">
        <f>'AvgWeek Jinja-Kampala'!K59+'Avg Week Kampala-Jinja'!K59</f>
        <v>7.5</v>
      </c>
      <c r="L59" s="49">
        <f>'AvgWeek Jinja-Kampala'!L59+'Avg Week Kampala-Jinja'!L59</f>
        <v>23.5</v>
      </c>
      <c r="M59" s="49">
        <f>'AvgWeek Jinja-Kampala'!M59+'Avg Week Kampala-Jinja'!M59</f>
        <v>47</v>
      </c>
      <c r="N59" s="49">
        <f>'AvgWeek Jinja-Kampala'!N59+'Avg Week Kampala-Jinja'!N59</f>
        <v>0</v>
      </c>
      <c r="O59" s="15">
        <f t="shared" si="0"/>
        <v>180.5</v>
      </c>
      <c r="P59" s="15">
        <f t="shared" si="1"/>
        <v>227.5</v>
      </c>
      <c r="R59" s="8"/>
      <c r="T59"/>
    </row>
    <row r="60" spans="2:20" ht="23.1" customHeight="1" x14ac:dyDescent="0.25">
      <c r="B60" s="23" t="s">
        <v>101</v>
      </c>
      <c r="C60" s="49">
        <f>'AvgWeek Jinja-Kampala'!C60+'Avg Week Kampala-Jinja'!C60</f>
        <v>35.5</v>
      </c>
      <c r="D60" s="49">
        <f>'AvgWeek Jinja-Kampala'!D60+'Avg Week Kampala-Jinja'!D60</f>
        <v>15</v>
      </c>
      <c r="E60" s="49">
        <f>'AvgWeek Jinja-Kampala'!E60+'Avg Week Kampala-Jinja'!E60</f>
        <v>9.5</v>
      </c>
      <c r="F60" s="49">
        <f>'AvgWeek Jinja-Kampala'!F60+'Avg Week Kampala-Jinja'!F60</f>
        <v>60.5</v>
      </c>
      <c r="G60" s="49">
        <f>'AvgWeek Jinja-Kampala'!G60+'Avg Week Kampala-Jinja'!G60</f>
        <v>3</v>
      </c>
      <c r="H60" s="49">
        <f>'AvgWeek Jinja-Kampala'!H60+'Avg Week Kampala-Jinja'!H60</f>
        <v>4</v>
      </c>
      <c r="I60" s="49">
        <f>'AvgWeek Jinja-Kampala'!I60+'Avg Week Kampala-Jinja'!I60</f>
        <v>6.5</v>
      </c>
      <c r="J60" s="49">
        <f>'AvgWeek Jinja-Kampala'!J60+'Avg Week Kampala-Jinja'!J60</f>
        <v>11.5</v>
      </c>
      <c r="K60" s="49">
        <f>'AvgWeek Jinja-Kampala'!K60+'Avg Week Kampala-Jinja'!K60</f>
        <v>6.5</v>
      </c>
      <c r="L60" s="49">
        <f>'AvgWeek Jinja-Kampala'!L60+'Avg Week Kampala-Jinja'!L60</f>
        <v>21</v>
      </c>
      <c r="M60" s="49">
        <f>'AvgWeek Jinja-Kampala'!M60+'Avg Week Kampala-Jinja'!M60</f>
        <v>47.5</v>
      </c>
      <c r="N60" s="49">
        <f>'AvgWeek Jinja-Kampala'!N60+'Avg Week Kampala-Jinja'!N60</f>
        <v>0</v>
      </c>
      <c r="O60" s="15">
        <f t="shared" si="0"/>
        <v>173</v>
      </c>
      <c r="P60" s="15">
        <f t="shared" si="1"/>
        <v>220.5</v>
      </c>
      <c r="R60" s="8"/>
      <c r="T60"/>
    </row>
    <row r="61" spans="2:20" ht="23.1" customHeight="1" x14ac:dyDescent="0.25">
      <c r="B61" s="23" t="s">
        <v>102</v>
      </c>
      <c r="C61" s="49">
        <f>'AvgWeek Jinja-Kampala'!C61+'Avg Week Kampala-Jinja'!C61</f>
        <v>38.5</v>
      </c>
      <c r="D61" s="49">
        <f>'AvgWeek Jinja-Kampala'!D61+'Avg Week Kampala-Jinja'!D61</f>
        <v>19</v>
      </c>
      <c r="E61" s="49">
        <f>'AvgWeek Jinja-Kampala'!E61+'Avg Week Kampala-Jinja'!E61</f>
        <v>9.5</v>
      </c>
      <c r="F61" s="49">
        <f>'AvgWeek Jinja-Kampala'!F61+'Avg Week Kampala-Jinja'!F61</f>
        <v>47</v>
      </c>
      <c r="G61" s="49">
        <f>'AvgWeek Jinja-Kampala'!G61+'Avg Week Kampala-Jinja'!G61</f>
        <v>3.5</v>
      </c>
      <c r="H61" s="49">
        <f>'AvgWeek Jinja-Kampala'!H61+'Avg Week Kampala-Jinja'!H61</f>
        <v>2.5</v>
      </c>
      <c r="I61" s="49">
        <f>'AvgWeek Jinja-Kampala'!I61+'Avg Week Kampala-Jinja'!I61</f>
        <v>11</v>
      </c>
      <c r="J61" s="49">
        <f>'AvgWeek Jinja-Kampala'!J61+'Avg Week Kampala-Jinja'!J61</f>
        <v>9.5</v>
      </c>
      <c r="K61" s="49">
        <f>'AvgWeek Jinja-Kampala'!K61+'Avg Week Kampala-Jinja'!K61</f>
        <v>5.5</v>
      </c>
      <c r="L61" s="49">
        <f>'AvgWeek Jinja-Kampala'!L61+'Avg Week Kampala-Jinja'!L61</f>
        <v>40</v>
      </c>
      <c r="M61" s="49">
        <f>'AvgWeek Jinja-Kampala'!M61+'Avg Week Kampala-Jinja'!M61</f>
        <v>39</v>
      </c>
      <c r="N61" s="49">
        <f>'AvgWeek Jinja-Kampala'!N61+'Avg Week Kampala-Jinja'!N61</f>
        <v>0</v>
      </c>
      <c r="O61" s="15">
        <f t="shared" si="0"/>
        <v>186</v>
      </c>
      <c r="P61" s="15">
        <f t="shared" si="1"/>
        <v>225</v>
      </c>
      <c r="R61" s="8"/>
      <c r="T61"/>
    </row>
    <row r="62" spans="2:20" ht="23.1" customHeight="1" x14ac:dyDescent="0.25">
      <c r="B62" s="23" t="s">
        <v>107</v>
      </c>
      <c r="C62" s="49">
        <f>'AvgWeek Jinja-Kampala'!C62+'Avg Week Kampala-Jinja'!C62</f>
        <v>37</v>
      </c>
      <c r="D62" s="49">
        <f>'AvgWeek Jinja-Kampala'!D62+'Avg Week Kampala-Jinja'!D62</f>
        <v>20.5</v>
      </c>
      <c r="E62" s="49">
        <f>'AvgWeek Jinja-Kampala'!E62+'Avg Week Kampala-Jinja'!E62</f>
        <v>8</v>
      </c>
      <c r="F62" s="49">
        <f>'AvgWeek Jinja-Kampala'!F62+'Avg Week Kampala-Jinja'!F62</f>
        <v>57.5</v>
      </c>
      <c r="G62" s="49">
        <f>'AvgWeek Jinja-Kampala'!G62+'Avg Week Kampala-Jinja'!G62</f>
        <v>5.5</v>
      </c>
      <c r="H62" s="49">
        <f>'AvgWeek Jinja-Kampala'!H62+'Avg Week Kampala-Jinja'!H62</f>
        <v>3</v>
      </c>
      <c r="I62" s="49">
        <f>'AvgWeek Jinja-Kampala'!I62+'Avg Week Kampala-Jinja'!I62</f>
        <v>18</v>
      </c>
      <c r="J62" s="49">
        <f>'AvgWeek Jinja-Kampala'!J62+'Avg Week Kampala-Jinja'!J62</f>
        <v>14</v>
      </c>
      <c r="K62" s="49">
        <f>'AvgWeek Jinja-Kampala'!K62+'Avg Week Kampala-Jinja'!K62</f>
        <v>9</v>
      </c>
      <c r="L62" s="49">
        <f>'AvgWeek Jinja-Kampala'!L62+'Avg Week Kampala-Jinja'!L62</f>
        <v>31.5</v>
      </c>
      <c r="M62" s="49">
        <f>'AvgWeek Jinja-Kampala'!M62+'Avg Week Kampala-Jinja'!M62</f>
        <v>35.5</v>
      </c>
      <c r="N62" s="49">
        <f>'AvgWeek Jinja-Kampala'!N62+'Avg Week Kampala-Jinja'!N62</f>
        <v>0</v>
      </c>
      <c r="O62" s="15">
        <f t="shared" si="0"/>
        <v>204</v>
      </c>
      <c r="P62" s="15">
        <f t="shared" si="1"/>
        <v>239.5</v>
      </c>
      <c r="R62" s="8"/>
      <c r="T62"/>
    </row>
    <row r="63" spans="2:20" ht="23.1" customHeight="1" x14ac:dyDescent="0.25">
      <c r="B63" s="23" t="s">
        <v>108</v>
      </c>
      <c r="C63" s="49">
        <f>'AvgWeek Jinja-Kampala'!C63+'Avg Week Kampala-Jinja'!C63</f>
        <v>36.5</v>
      </c>
      <c r="D63" s="49">
        <f>'AvgWeek Jinja-Kampala'!D63+'Avg Week Kampala-Jinja'!D63</f>
        <v>14</v>
      </c>
      <c r="E63" s="49">
        <f>'AvgWeek Jinja-Kampala'!E63+'Avg Week Kampala-Jinja'!E63</f>
        <v>10.5</v>
      </c>
      <c r="F63" s="49">
        <f>'AvgWeek Jinja-Kampala'!F63+'Avg Week Kampala-Jinja'!F63</f>
        <v>48</v>
      </c>
      <c r="G63" s="49">
        <f>'AvgWeek Jinja-Kampala'!G63+'Avg Week Kampala-Jinja'!G63</f>
        <v>3.5</v>
      </c>
      <c r="H63" s="49">
        <f>'AvgWeek Jinja-Kampala'!H63+'Avg Week Kampala-Jinja'!H63</f>
        <v>0.5</v>
      </c>
      <c r="I63" s="49">
        <f>'AvgWeek Jinja-Kampala'!I63+'Avg Week Kampala-Jinja'!I63</f>
        <v>11.5</v>
      </c>
      <c r="J63" s="49">
        <f>'AvgWeek Jinja-Kampala'!J63+'Avg Week Kampala-Jinja'!J63</f>
        <v>14</v>
      </c>
      <c r="K63" s="49">
        <f>'AvgWeek Jinja-Kampala'!K63+'Avg Week Kampala-Jinja'!K63</f>
        <v>8.5</v>
      </c>
      <c r="L63" s="49">
        <f>'AvgWeek Jinja-Kampala'!L63+'Avg Week Kampala-Jinja'!L63</f>
        <v>32</v>
      </c>
      <c r="M63" s="49">
        <f>'AvgWeek Jinja-Kampala'!M63+'Avg Week Kampala-Jinja'!M63</f>
        <v>51</v>
      </c>
      <c r="N63" s="49">
        <f>'AvgWeek Jinja-Kampala'!N63+'Avg Week Kampala-Jinja'!N63</f>
        <v>0</v>
      </c>
      <c r="O63" s="15">
        <f t="shared" si="0"/>
        <v>179</v>
      </c>
      <c r="P63" s="15">
        <f t="shared" si="1"/>
        <v>230</v>
      </c>
      <c r="R63" s="8"/>
      <c r="T63"/>
    </row>
    <row r="64" spans="2:20" ht="23.1" customHeight="1" x14ac:dyDescent="0.25">
      <c r="B64" s="23" t="s">
        <v>109</v>
      </c>
      <c r="C64" s="49">
        <f>'AvgWeek Jinja-Kampala'!C64+'Avg Week Kampala-Jinja'!C64</f>
        <v>36.5</v>
      </c>
      <c r="D64" s="49">
        <f>'AvgWeek Jinja-Kampala'!D64+'Avg Week Kampala-Jinja'!D64</f>
        <v>14</v>
      </c>
      <c r="E64" s="49">
        <f>'AvgWeek Jinja-Kampala'!E64+'Avg Week Kampala-Jinja'!E64</f>
        <v>7</v>
      </c>
      <c r="F64" s="49">
        <f>'AvgWeek Jinja-Kampala'!F64+'Avg Week Kampala-Jinja'!F64</f>
        <v>43</v>
      </c>
      <c r="G64" s="49">
        <f>'AvgWeek Jinja-Kampala'!G64+'Avg Week Kampala-Jinja'!G64</f>
        <v>2</v>
      </c>
      <c r="H64" s="49">
        <f>'AvgWeek Jinja-Kampala'!H64+'Avg Week Kampala-Jinja'!H64</f>
        <v>2</v>
      </c>
      <c r="I64" s="49">
        <f>'AvgWeek Jinja-Kampala'!I64+'Avg Week Kampala-Jinja'!I64</f>
        <v>3</v>
      </c>
      <c r="J64" s="49">
        <f>'AvgWeek Jinja-Kampala'!J64+'Avg Week Kampala-Jinja'!J64</f>
        <v>13</v>
      </c>
      <c r="K64" s="49">
        <f>'AvgWeek Jinja-Kampala'!K64+'Avg Week Kampala-Jinja'!K64</f>
        <v>7</v>
      </c>
      <c r="L64" s="49">
        <f>'AvgWeek Jinja-Kampala'!L64+'Avg Week Kampala-Jinja'!L64</f>
        <v>27</v>
      </c>
      <c r="M64" s="49">
        <f>'AvgWeek Jinja-Kampala'!M64+'Avg Week Kampala-Jinja'!M64</f>
        <v>49.5</v>
      </c>
      <c r="N64" s="49">
        <f>'AvgWeek Jinja-Kampala'!N64+'Avg Week Kampala-Jinja'!N64</f>
        <v>0</v>
      </c>
      <c r="O64" s="15">
        <f t="shared" si="0"/>
        <v>154.5</v>
      </c>
      <c r="P64" s="15">
        <f t="shared" si="1"/>
        <v>204</v>
      </c>
      <c r="R64" s="8"/>
      <c r="T64"/>
    </row>
    <row r="65" spans="2:20" ht="23.1" customHeight="1" x14ac:dyDescent="0.25">
      <c r="B65" s="23" t="s">
        <v>158</v>
      </c>
      <c r="C65" s="49">
        <f>'AvgWeek Jinja-Kampala'!C65+'Avg Week Kampala-Jinja'!C65</f>
        <v>27</v>
      </c>
      <c r="D65" s="49">
        <f>'AvgWeek Jinja-Kampala'!D65+'Avg Week Kampala-Jinja'!D65</f>
        <v>13.5</v>
      </c>
      <c r="E65" s="49">
        <f>'AvgWeek Jinja-Kampala'!E65+'Avg Week Kampala-Jinja'!E65</f>
        <v>4</v>
      </c>
      <c r="F65" s="49">
        <f>'AvgWeek Jinja-Kampala'!F65+'Avg Week Kampala-Jinja'!F65</f>
        <v>38</v>
      </c>
      <c r="G65" s="49">
        <f>'AvgWeek Jinja-Kampala'!G65+'Avg Week Kampala-Jinja'!G65</f>
        <v>0.5</v>
      </c>
      <c r="H65" s="49">
        <f>'AvgWeek Jinja-Kampala'!H65+'Avg Week Kampala-Jinja'!H65</f>
        <v>1</v>
      </c>
      <c r="I65" s="49">
        <f>'AvgWeek Jinja-Kampala'!I65+'Avg Week Kampala-Jinja'!I65</f>
        <v>6</v>
      </c>
      <c r="J65" s="49">
        <f>'AvgWeek Jinja-Kampala'!J65+'Avg Week Kampala-Jinja'!J65</f>
        <v>10.5</v>
      </c>
      <c r="K65" s="49">
        <f>'AvgWeek Jinja-Kampala'!K65+'Avg Week Kampala-Jinja'!K65</f>
        <v>6.5</v>
      </c>
      <c r="L65" s="49">
        <f>'AvgWeek Jinja-Kampala'!L65+'Avg Week Kampala-Jinja'!L65</f>
        <v>19</v>
      </c>
      <c r="M65" s="49">
        <f>'AvgWeek Jinja-Kampala'!M65+'Avg Week Kampala-Jinja'!M65</f>
        <v>37</v>
      </c>
      <c r="N65" s="49">
        <f>'AvgWeek Jinja-Kampala'!N65+'Avg Week Kampala-Jinja'!N65</f>
        <v>0</v>
      </c>
      <c r="O65" s="15">
        <f t="shared" si="0"/>
        <v>126</v>
      </c>
      <c r="P65" s="15">
        <f t="shared" si="1"/>
        <v>163</v>
      </c>
      <c r="R65" s="8"/>
      <c r="T65"/>
    </row>
    <row r="66" spans="2:20" ht="23.1" customHeight="1" x14ac:dyDescent="0.25">
      <c r="B66" s="23" t="s">
        <v>103</v>
      </c>
      <c r="C66" s="49">
        <f>'AvgWeek Jinja-Kampala'!C66+'Avg Week Kampala-Jinja'!C66</f>
        <v>27</v>
      </c>
      <c r="D66" s="49">
        <f>'AvgWeek Jinja-Kampala'!D66+'Avg Week Kampala-Jinja'!D66</f>
        <v>15.5</v>
      </c>
      <c r="E66" s="49">
        <f>'AvgWeek Jinja-Kampala'!E66+'Avg Week Kampala-Jinja'!E66</f>
        <v>7</v>
      </c>
      <c r="F66" s="49">
        <f>'AvgWeek Jinja-Kampala'!F66+'Avg Week Kampala-Jinja'!F66</f>
        <v>25.5</v>
      </c>
      <c r="G66" s="49">
        <f>'AvgWeek Jinja-Kampala'!G66+'Avg Week Kampala-Jinja'!G66</f>
        <v>12.5</v>
      </c>
      <c r="H66" s="49">
        <f>'AvgWeek Jinja-Kampala'!H66+'Avg Week Kampala-Jinja'!H66</f>
        <v>1</v>
      </c>
      <c r="I66" s="49">
        <f>'AvgWeek Jinja-Kampala'!I66+'Avg Week Kampala-Jinja'!I66</f>
        <v>3</v>
      </c>
      <c r="J66" s="49">
        <f>'AvgWeek Jinja-Kampala'!J66+'Avg Week Kampala-Jinja'!J66</f>
        <v>5</v>
      </c>
      <c r="K66" s="49">
        <f>'AvgWeek Jinja-Kampala'!K66+'Avg Week Kampala-Jinja'!K66</f>
        <v>9.5</v>
      </c>
      <c r="L66" s="49">
        <f>'AvgWeek Jinja-Kampala'!L66+'Avg Week Kampala-Jinja'!L66</f>
        <v>11</v>
      </c>
      <c r="M66" s="49">
        <f>'AvgWeek Jinja-Kampala'!M66+'Avg Week Kampala-Jinja'!M66</f>
        <v>42.5</v>
      </c>
      <c r="N66" s="49">
        <f>'AvgWeek Jinja-Kampala'!N66+'Avg Week Kampala-Jinja'!N66</f>
        <v>6.5</v>
      </c>
      <c r="O66" s="15">
        <f t="shared" si="0"/>
        <v>123.5</v>
      </c>
      <c r="P66" s="15">
        <f t="shared" si="1"/>
        <v>166</v>
      </c>
      <c r="R66" s="8"/>
      <c r="T66"/>
    </row>
    <row r="67" spans="2:20" ht="23.1" customHeight="1" x14ac:dyDescent="0.25">
      <c r="B67" s="23" t="s">
        <v>104</v>
      </c>
      <c r="C67" s="49">
        <f>'AvgWeek Jinja-Kampala'!C67+'Avg Week Kampala-Jinja'!C67</f>
        <v>36</v>
      </c>
      <c r="D67" s="49">
        <f>'AvgWeek Jinja-Kampala'!D67+'Avg Week Kampala-Jinja'!D67</f>
        <v>13.5</v>
      </c>
      <c r="E67" s="49">
        <f>'AvgWeek Jinja-Kampala'!E67+'Avg Week Kampala-Jinja'!E67</f>
        <v>6</v>
      </c>
      <c r="F67" s="49">
        <f>'AvgWeek Jinja-Kampala'!F67+'Avg Week Kampala-Jinja'!F67</f>
        <v>38.5</v>
      </c>
      <c r="G67" s="49">
        <f>'AvgWeek Jinja-Kampala'!G67+'Avg Week Kampala-Jinja'!G67</f>
        <v>2</v>
      </c>
      <c r="H67" s="49">
        <f>'AvgWeek Jinja-Kampala'!H67+'Avg Week Kampala-Jinja'!H67</f>
        <v>1</v>
      </c>
      <c r="I67" s="49">
        <f>'AvgWeek Jinja-Kampala'!I67+'Avg Week Kampala-Jinja'!I67</f>
        <v>8</v>
      </c>
      <c r="J67" s="49">
        <f>'AvgWeek Jinja-Kampala'!J67+'Avg Week Kampala-Jinja'!J67</f>
        <v>13</v>
      </c>
      <c r="K67" s="49">
        <f>'AvgWeek Jinja-Kampala'!K67+'Avg Week Kampala-Jinja'!K67</f>
        <v>3.5</v>
      </c>
      <c r="L67" s="49">
        <f>'AvgWeek Jinja-Kampala'!L67+'Avg Week Kampala-Jinja'!L67</f>
        <v>24.5</v>
      </c>
      <c r="M67" s="49">
        <f>'AvgWeek Jinja-Kampala'!M67+'Avg Week Kampala-Jinja'!M67</f>
        <v>37.5</v>
      </c>
      <c r="N67" s="49">
        <f>'AvgWeek Jinja-Kampala'!N67+'Avg Week Kampala-Jinja'!N67</f>
        <v>0</v>
      </c>
      <c r="O67" s="15">
        <f t="shared" si="0"/>
        <v>146</v>
      </c>
      <c r="P67" s="15">
        <f t="shared" si="1"/>
        <v>183.5</v>
      </c>
      <c r="R67" s="8"/>
      <c r="T67"/>
    </row>
    <row r="68" spans="2:20" ht="23.1" customHeight="1" x14ac:dyDescent="0.25">
      <c r="B68" s="23" t="s">
        <v>105</v>
      </c>
      <c r="C68" s="49">
        <f>'AvgWeek Jinja-Kampala'!C68+'Avg Week Kampala-Jinja'!C68</f>
        <v>27.5</v>
      </c>
      <c r="D68" s="49">
        <f>'AvgWeek Jinja-Kampala'!D68+'Avg Week Kampala-Jinja'!D68</f>
        <v>11.5</v>
      </c>
      <c r="E68" s="49">
        <f>'AvgWeek Jinja-Kampala'!E68+'Avg Week Kampala-Jinja'!E68</f>
        <v>5.5</v>
      </c>
      <c r="F68" s="49">
        <f>'AvgWeek Jinja-Kampala'!F68+'Avg Week Kampala-Jinja'!F68</f>
        <v>31</v>
      </c>
      <c r="G68" s="49">
        <f>'AvgWeek Jinja-Kampala'!G68+'Avg Week Kampala-Jinja'!G68</f>
        <v>0.5</v>
      </c>
      <c r="H68" s="49">
        <f>'AvgWeek Jinja-Kampala'!H68+'Avg Week Kampala-Jinja'!H68</f>
        <v>1</v>
      </c>
      <c r="I68" s="49">
        <f>'AvgWeek Jinja-Kampala'!I68+'Avg Week Kampala-Jinja'!I68</f>
        <v>4.5</v>
      </c>
      <c r="J68" s="49">
        <f>'AvgWeek Jinja-Kampala'!J68+'Avg Week Kampala-Jinja'!J68</f>
        <v>8</v>
      </c>
      <c r="K68" s="49">
        <f>'AvgWeek Jinja-Kampala'!K68+'Avg Week Kampala-Jinja'!K68</f>
        <v>5.5</v>
      </c>
      <c r="L68" s="49">
        <f>'AvgWeek Jinja-Kampala'!L68+'Avg Week Kampala-Jinja'!L68</f>
        <v>10.5</v>
      </c>
      <c r="M68" s="49">
        <f>'AvgWeek Jinja-Kampala'!M68+'Avg Week Kampala-Jinja'!M68</f>
        <v>41.5</v>
      </c>
      <c r="N68" s="49">
        <f>'AvgWeek Jinja-Kampala'!N68+'Avg Week Kampala-Jinja'!N68</f>
        <v>0</v>
      </c>
      <c r="O68" s="15">
        <f t="shared" si="0"/>
        <v>105.5</v>
      </c>
      <c r="P68" s="15">
        <f t="shared" si="1"/>
        <v>147</v>
      </c>
      <c r="R68" s="8"/>
      <c r="T68"/>
    </row>
    <row r="69" spans="2:20" ht="23.1" customHeight="1" x14ac:dyDescent="0.25">
      <c r="B69" s="23" t="s">
        <v>106</v>
      </c>
      <c r="C69" s="49">
        <f>'AvgWeek Jinja-Kampala'!C69+'Avg Week Kampala-Jinja'!C69</f>
        <v>33.5</v>
      </c>
      <c r="D69" s="49">
        <f>'AvgWeek Jinja-Kampala'!D69+'Avg Week Kampala-Jinja'!D69</f>
        <v>9.5</v>
      </c>
      <c r="E69" s="49">
        <f>'AvgWeek Jinja-Kampala'!E69+'Avg Week Kampala-Jinja'!E69</f>
        <v>17</v>
      </c>
      <c r="F69" s="49">
        <f>'AvgWeek Jinja-Kampala'!F69+'Avg Week Kampala-Jinja'!F69</f>
        <v>46.5</v>
      </c>
      <c r="G69" s="49">
        <f>'AvgWeek Jinja-Kampala'!G69+'Avg Week Kampala-Jinja'!G69</f>
        <v>5</v>
      </c>
      <c r="H69" s="49">
        <f>'AvgWeek Jinja-Kampala'!H69+'Avg Week Kampala-Jinja'!H69</f>
        <v>1</v>
      </c>
      <c r="I69" s="49">
        <f>'AvgWeek Jinja-Kampala'!I69+'Avg Week Kampala-Jinja'!I69</f>
        <v>4</v>
      </c>
      <c r="J69" s="49">
        <f>'AvgWeek Jinja-Kampala'!J69+'Avg Week Kampala-Jinja'!J69</f>
        <v>10.5</v>
      </c>
      <c r="K69" s="49">
        <f>'AvgWeek Jinja-Kampala'!K69+'Avg Week Kampala-Jinja'!K69</f>
        <v>4</v>
      </c>
      <c r="L69" s="49">
        <f>'AvgWeek Jinja-Kampala'!L69+'Avg Week Kampala-Jinja'!L69</f>
        <v>13.5</v>
      </c>
      <c r="M69" s="49">
        <f>'AvgWeek Jinja-Kampala'!M69+'Avg Week Kampala-Jinja'!M69</f>
        <v>38</v>
      </c>
      <c r="N69" s="49">
        <f>'AvgWeek Jinja-Kampala'!N69+'Avg Week Kampala-Jinja'!N69</f>
        <v>0</v>
      </c>
      <c r="O69" s="15">
        <f t="shared" si="0"/>
        <v>144.5</v>
      </c>
      <c r="P69" s="15">
        <f t="shared" si="1"/>
        <v>182.5</v>
      </c>
      <c r="R69" s="8"/>
      <c r="T69"/>
    </row>
    <row r="70" spans="2:20" ht="23.1" customHeight="1" x14ac:dyDescent="0.25">
      <c r="B70" s="23" t="s">
        <v>110</v>
      </c>
      <c r="C70" s="49">
        <f>'AvgWeek Jinja-Kampala'!C70+'Avg Week Kampala-Jinja'!C70</f>
        <v>28</v>
      </c>
      <c r="D70" s="49">
        <f>'AvgWeek Jinja-Kampala'!D70+'Avg Week Kampala-Jinja'!D70</f>
        <v>10.5</v>
      </c>
      <c r="E70" s="49">
        <f>'AvgWeek Jinja-Kampala'!E70+'Avg Week Kampala-Jinja'!E70</f>
        <v>6.5</v>
      </c>
      <c r="F70" s="49">
        <f>'AvgWeek Jinja-Kampala'!F70+'Avg Week Kampala-Jinja'!F70</f>
        <v>34.5</v>
      </c>
      <c r="G70" s="49">
        <f>'AvgWeek Jinja-Kampala'!G70+'Avg Week Kampala-Jinja'!G70</f>
        <v>2.5</v>
      </c>
      <c r="H70" s="49">
        <f>'AvgWeek Jinja-Kampala'!H70+'Avg Week Kampala-Jinja'!H70</f>
        <v>1</v>
      </c>
      <c r="I70" s="49">
        <f>'AvgWeek Jinja-Kampala'!I70+'Avg Week Kampala-Jinja'!I70</f>
        <v>2</v>
      </c>
      <c r="J70" s="49">
        <f>'AvgWeek Jinja-Kampala'!J70+'Avg Week Kampala-Jinja'!J70</f>
        <v>13.5</v>
      </c>
      <c r="K70" s="49">
        <f>'AvgWeek Jinja-Kampala'!K70+'Avg Week Kampala-Jinja'!K70</f>
        <v>3</v>
      </c>
      <c r="L70" s="49">
        <f>'AvgWeek Jinja-Kampala'!L70+'Avg Week Kampala-Jinja'!L70</f>
        <v>16.5</v>
      </c>
      <c r="M70" s="49">
        <f>'AvgWeek Jinja-Kampala'!M70+'Avg Week Kampala-Jinja'!M70</f>
        <v>36.5</v>
      </c>
      <c r="N70" s="49">
        <f>'AvgWeek Jinja-Kampala'!N70+'Avg Week Kampala-Jinja'!N70</f>
        <v>0</v>
      </c>
      <c r="O70" s="15">
        <f t="shared" si="0"/>
        <v>118</v>
      </c>
      <c r="P70" s="15">
        <f t="shared" si="1"/>
        <v>154.5</v>
      </c>
      <c r="R70" s="8"/>
      <c r="T70"/>
    </row>
    <row r="71" spans="2:20" ht="23.1" customHeight="1" x14ac:dyDescent="0.25">
      <c r="B71" s="23" t="s">
        <v>111</v>
      </c>
      <c r="C71" s="49">
        <f>'AvgWeek Jinja-Kampala'!C71+'Avg Week Kampala-Jinja'!C71</f>
        <v>14</v>
      </c>
      <c r="D71" s="49">
        <f>'AvgWeek Jinja-Kampala'!D71+'Avg Week Kampala-Jinja'!D71</f>
        <v>6</v>
      </c>
      <c r="E71" s="49">
        <f>'AvgWeek Jinja-Kampala'!E71+'Avg Week Kampala-Jinja'!E71</f>
        <v>5</v>
      </c>
      <c r="F71" s="49">
        <f>'AvgWeek Jinja-Kampala'!F71+'Avg Week Kampala-Jinja'!F71</f>
        <v>37.5</v>
      </c>
      <c r="G71" s="49">
        <f>'AvgWeek Jinja-Kampala'!G71+'Avg Week Kampala-Jinja'!G71</f>
        <v>2.5</v>
      </c>
      <c r="H71" s="49">
        <f>'AvgWeek Jinja-Kampala'!H71+'Avg Week Kampala-Jinja'!H71</f>
        <v>1.5</v>
      </c>
      <c r="I71" s="49">
        <f>'AvgWeek Jinja-Kampala'!I71+'Avg Week Kampala-Jinja'!I71</f>
        <v>7</v>
      </c>
      <c r="J71" s="49">
        <f>'AvgWeek Jinja-Kampala'!J71+'Avg Week Kampala-Jinja'!J71</f>
        <v>14</v>
      </c>
      <c r="K71" s="49">
        <f>'AvgWeek Jinja-Kampala'!K71+'Avg Week Kampala-Jinja'!K71</f>
        <v>2</v>
      </c>
      <c r="L71" s="49">
        <f>'AvgWeek Jinja-Kampala'!L71+'Avg Week Kampala-Jinja'!L71</f>
        <v>14.5</v>
      </c>
      <c r="M71" s="49">
        <f>'AvgWeek Jinja-Kampala'!M71+'Avg Week Kampala-Jinja'!M71</f>
        <v>24.5</v>
      </c>
      <c r="N71" s="49">
        <f>'AvgWeek Jinja-Kampala'!N71+'Avg Week Kampala-Jinja'!N71</f>
        <v>0</v>
      </c>
      <c r="O71" s="15">
        <f t="shared" si="0"/>
        <v>104</v>
      </c>
      <c r="P71" s="15">
        <f t="shared" si="1"/>
        <v>128.5</v>
      </c>
      <c r="R71" s="8"/>
      <c r="T71"/>
    </row>
    <row r="72" spans="2:20" ht="23.1" customHeight="1" x14ac:dyDescent="0.25">
      <c r="B72" s="23" t="s">
        <v>112</v>
      </c>
      <c r="C72" s="49">
        <f>'AvgWeek Jinja-Kampala'!C72+'Avg Week Kampala-Jinja'!C72</f>
        <v>19.5</v>
      </c>
      <c r="D72" s="49">
        <f>'AvgWeek Jinja-Kampala'!D72+'Avg Week Kampala-Jinja'!D72</f>
        <v>4</v>
      </c>
      <c r="E72" s="49">
        <f>'AvgWeek Jinja-Kampala'!E72+'Avg Week Kampala-Jinja'!E72</f>
        <v>6</v>
      </c>
      <c r="F72" s="49">
        <f>'AvgWeek Jinja-Kampala'!F72+'Avg Week Kampala-Jinja'!F72</f>
        <v>22</v>
      </c>
      <c r="G72" s="49">
        <f>'AvgWeek Jinja-Kampala'!G72+'Avg Week Kampala-Jinja'!G72</f>
        <v>0</v>
      </c>
      <c r="H72" s="49">
        <f>'AvgWeek Jinja-Kampala'!H72+'Avg Week Kampala-Jinja'!H72</f>
        <v>0.5</v>
      </c>
      <c r="I72" s="49">
        <f>'AvgWeek Jinja-Kampala'!I72+'Avg Week Kampala-Jinja'!I72</f>
        <v>5</v>
      </c>
      <c r="J72" s="49">
        <f>'AvgWeek Jinja-Kampala'!J72+'Avg Week Kampala-Jinja'!J72</f>
        <v>9</v>
      </c>
      <c r="K72" s="49">
        <f>'AvgWeek Jinja-Kampala'!K72+'Avg Week Kampala-Jinja'!K72</f>
        <v>3</v>
      </c>
      <c r="L72" s="49">
        <f>'AvgWeek Jinja-Kampala'!L72+'Avg Week Kampala-Jinja'!L72</f>
        <v>12.5</v>
      </c>
      <c r="M72" s="49">
        <f>'AvgWeek Jinja-Kampala'!M72+'Avg Week Kampala-Jinja'!M72</f>
        <v>23.5</v>
      </c>
      <c r="N72" s="49">
        <f>'AvgWeek Jinja-Kampala'!N72+'Avg Week Kampala-Jinja'!N72</f>
        <v>0</v>
      </c>
      <c r="O72" s="15">
        <f t="shared" si="0"/>
        <v>81.5</v>
      </c>
      <c r="P72" s="15">
        <f t="shared" si="1"/>
        <v>105</v>
      </c>
      <c r="R72" s="8"/>
      <c r="T72"/>
    </row>
    <row r="73" spans="2:20" ht="23.1" customHeight="1" x14ac:dyDescent="0.25">
      <c r="B73" s="23" t="s">
        <v>113</v>
      </c>
      <c r="C73" s="49">
        <f>'AvgWeek Jinja-Kampala'!C73+'Avg Week Kampala-Jinja'!C73</f>
        <v>16.5</v>
      </c>
      <c r="D73" s="49">
        <f>'AvgWeek Jinja-Kampala'!D73+'Avg Week Kampala-Jinja'!D73</f>
        <v>3</v>
      </c>
      <c r="E73" s="49">
        <f>'AvgWeek Jinja-Kampala'!E73+'Avg Week Kampala-Jinja'!E73</f>
        <v>1.5</v>
      </c>
      <c r="F73" s="49">
        <f>'AvgWeek Jinja-Kampala'!F73+'Avg Week Kampala-Jinja'!F73</f>
        <v>14</v>
      </c>
      <c r="G73" s="49">
        <f>'AvgWeek Jinja-Kampala'!G73+'Avg Week Kampala-Jinja'!G73</f>
        <v>1.5</v>
      </c>
      <c r="H73" s="49">
        <f>'AvgWeek Jinja-Kampala'!H73+'Avg Week Kampala-Jinja'!H73</f>
        <v>1</v>
      </c>
      <c r="I73" s="49">
        <f>'AvgWeek Jinja-Kampala'!I73+'Avg Week Kampala-Jinja'!I73</f>
        <v>1</v>
      </c>
      <c r="J73" s="49">
        <f>'AvgWeek Jinja-Kampala'!J73+'Avg Week Kampala-Jinja'!J73</f>
        <v>5</v>
      </c>
      <c r="K73" s="49">
        <f>'AvgWeek Jinja-Kampala'!K73+'Avg Week Kampala-Jinja'!K73</f>
        <v>2.5</v>
      </c>
      <c r="L73" s="49">
        <f>'AvgWeek Jinja-Kampala'!L73+'Avg Week Kampala-Jinja'!L73</f>
        <v>10.5</v>
      </c>
      <c r="M73" s="49">
        <f>'AvgWeek Jinja-Kampala'!M73+'Avg Week Kampala-Jinja'!M73</f>
        <v>13</v>
      </c>
      <c r="N73" s="49">
        <f>'AvgWeek Jinja-Kampala'!N73+'Avg Week Kampala-Jinja'!N73</f>
        <v>0</v>
      </c>
      <c r="O73" s="15">
        <f t="shared" si="0"/>
        <v>56.5</v>
      </c>
      <c r="P73" s="15">
        <f t="shared" si="1"/>
        <v>69.5</v>
      </c>
      <c r="R73" s="8"/>
      <c r="T73"/>
    </row>
    <row r="74" spans="2:20" ht="23.1" customHeight="1" x14ac:dyDescent="0.25">
      <c r="B74" s="23" t="s">
        <v>114</v>
      </c>
      <c r="C74" s="49">
        <f>'AvgWeek Jinja-Kampala'!C74+'Avg Week Kampala-Jinja'!C74</f>
        <v>16</v>
      </c>
      <c r="D74" s="49">
        <f>'AvgWeek Jinja-Kampala'!D74+'Avg Week Kampala-Jinja'!D74</f>
        <v>4.5</v>
      </c>
      <c r="E74" s="49">
        <f>'AvgWeek Jinja-Kampala'!E74+'Avg Week Kampala-Jinja'!E74</f>
        <v>3</v>
      </c>
      <c r="F74" s="49">
        <f>'AvgWeek Jinja-Kampala'!F74+'Avg Week Kampala-Jinja'!F74</f>
        <v>16.5</v>
      </c>
      <c r="G74" s="49">
        <f>'AvgWeek Jinja-Kampala'!G74+'Avg Week Kampala-Jinja'!G74</f>
        <v>4.5</v>
      </c>
      <c r="H74" s="49">
        <f>'AvgWeek Jinja-Kampala'!H74+'Avg Week Kampala-Jinja'!H74</f>
        <v>0</v>
      </c>
      <c r="I74" s="49">
        <f>'AvgWeek Jinja-Kampala'!I74+'Avg Week Kampala-Jinja'!I74</f>
        <v>7.5</v>
      </c>
      <c r="J74" s="49">
        <f>'AvgWeek Jinja-Kampala'!J74+'Avg Week Kampala-Jinja'!J74</f>
        <v>5.5</v>
      </c>
      <c r="K74" s="49">
        <f>'AvgWeek Jinja-Kampala'!K74+'Avg Week Kampala-Jinja'!K74</f>
        <v>3.5</v>
      </c>
      <c r="L74" s="49">
        <f>'AvgWeek Jinja-Kampala'!L74+'Avg Week Kampala-Jinja'!L74</f>
        <v>11</v>
      </c>
      <c r="M74" s="49">
        <f>'AvgWeek Jinja-Kampala'!M74+'Avg Week Kampala-Jinja'!M74</f>
        <v>21.5</v>
      </c>
      <c r="N74" s="49">
        <f>'AvgWeek Jinja-Kampala'!N74+'Avg Week Kampala-Jinja'!N74</f>
        <v>0</v>
      </c>
      <c r="O74" s="15">
        <f t="shared" ref="O74:O105" si="35">SUM(C74:L74,N74)</f>
        <v>72</v>
      </c>
      <c r="P74" s="15">
        <f t="shared" ref="P74:P105" si="36">SUM(C74:N74)</f>
        <v>93.5</v>
      </c>
      <c r="R74" s="8"/>
      <c r="T74"/>
    </row>
    <row r="75" spans="2:20" ht="23.1" customHeight="1" x14ac:dyDescent="0.25">
      <c r="B75" s="23" t="s">
        <v>115</v>
      </c>
      <c r="C75" s="49">
        <f>'AvgWeek Jinja-Kampala'!C75+'Avg Week Kampala-Jinja'!C75</f>
        <v>19</v>
      </c>
      <c r="D75" s="49">
        <f>'AvgWeek Jinja-Kampala'!D75+'Avg Week Kampala-Jinja'!D75</f>
        <v>3</v>
      </c>
      <c r="E75" s="49">
        <f>'AvgWeek Jinja-Kampala'!E75+'Avg Week Kampala-Jinja'!E75</f>
        <v>1.5</v>
      </c>
      <c r="F75" s="49">
        <f>'AvgWeek Jinja-Kampala'!F75+'Avg Week Kampala-Jinja'!F75</f>
        <v>18</v>
      </c>
      <c r="G75" s="49">
        <f>'AvgWeek Jinja-Kampala'!G75+'Avg Week Kampala-Jinja'!G75</f>
        <v>1</v>
      </c>
      <c r="H75" s="49">
        <f>'AvgWeek Jinja-Kampala'!H75+'Avg Week Kampala-Jinja'!H75</f>
        <v>2.5</v>
      </c>
      <c r="I75" s="49">
        <f>'AvgWeek Jinja-Kampala'!I75+'Avg Week Kampala-Jinja'!I75</f>
        <v>6.5</v>
      </c>
      <c r="J75" s="49">
        <f>'AvgWeek Jinja-Kampala'!J75+'Avg Week Kampala-Jinja'!J75</f>
        <v>6</v>
      </c>
      <c r="K75" s="49">
        <f>'AvgWeek Jinja-Kampala'!K75+'Avg Week Kampala-Jinja'!K75</f>
        <v>3.5</v>
      </c>
      <c r="L75" s="49">
        <f>'AvgWeek Jinja-Kampala'!L75+'Avg Week Kampala-Jinja'!L75</f>
        <v>16.5</v>
      </c>
      <c r="M75" s="49">
        <f>'AvgWeek Jinja-Kampala'!M75+'Avg Week Kampala-Jinja'!M75</f>
        <v>22</v>
      </c>
      <c r="N75" s="49">
        <f>'AvgWeek Jinja-Kampala'!N75+'Avg Week Kampala-Jinja'!N75</f>
        <v>0</v>
      </c>
      <c r="O75" s="15">
        <f t="shared" si="35"/>
        <v>77.5</v>
      </c>
      <c r="P75" s="15">
        <f t="shared" si="36"/>
        <v>99.5</v>
      </c>
      <c r="R75" s="8"/>
      <c r="T75"/>
    </row>
    <row r="76" spans="2:20" ht="23.1" customHeight="1" x14ac:dyDescent="0.25">
      <c r="B76" s="23" t="s">
        <v>116</v>
      </c>
      <c r="C76" s="49">
        <f>'AvgWeek Jinja-Kampala'!C76+'Avg Week Kampala-Jinja'!C76</f>
        <v>13</v>
      </c>
      <c r="D76" s="49">
        <f>'AvgWeek Jinja-Kampala'!D76+'Avg Week Kampala-Jinja'!D76</f>
        <v>9.5</v>
      </c>
      <c r="E76" s="49">
        <f>'AvgWeek Jinja-Kampala'!E76+'Avg Week Kampala-Jinja'!E76</f>
        <v>3</v>
      </c>
      <c r="F76" s="49">
        <f>'AvgWeek Jinja-Kampala'!F76+'Avg Week Kampala-Jinja'!F76</f>
        <v>12</v>
      </c>
      <c r="G76" s="49">
        <f>'AvgWeek Jinja-Kampala'!G76+'Avg Week Kampala-Jinja'!G76</f>
        <v>1</v>
      </c>
      <c r="H76" s="49">
        <f>'AvgWeek Jinja-Kampala'!H76+'Avg Week Kampala-Jinja'!H76</f>
        <v>0.5</v>
      </c>
      <c r="I76" s="49">
        <f>'AvgWeek Jinja-Kampala'!I76+'Avg Week Kampala-Jinja'!I76</f>
        <v>2.5</v>
      </c>
      <c r="J76" s="49">
        <f>'AvgWeek Jinja-Kampala'!J76+'Avg Week Kampala-Jinja'!J76</f>
        <v>9.5</v>
      </c>
      <c r="K76" s="49">
        <f>'AvgWeek Jinja-Kampala'!K76+'Avg Week Kampala-Jinja'!K76</f>
        <v>0.5</v>
      </c>
      <c r="L76" s="49">
        <f>'AvgWeek Jinja-Kampala'!L76+'Avg Week Kampala-Jinja'!L76</f>
        <v>8.5</v>
      </c>
      <c r="M76" s="49">
        <f>'AvgWeek Jinja-Kampala'!M76+'Avg Week Kampala-Jinja'!M76</f>
        <v>16</v>
      </c>
      <c r="N76" s="49">
        <f>'AvgWeek Jinja-Kampala'!N76+'Avg Week Kampala-Jinja'!N76</f>
        <v>3</v>
      </c>
      <c r="O76" s="15">
        <f t="shared" si="35"/>
        <v>63</v>
      </c>
      <c r="P76" s="15">
        <f t="shared" si="36"/>
        <v>79</v>
      </c>
      <c r="R76" s="8"/>
      <c r="T76"/>
    </row>
    <row r="77" spans="2:20" ht="23.1" customHeight="1" x14ac:dyDescent="0.25">
      <c r="B77" s="23" t="s">
        <v>117</v>
      </c>
      <c r="C77" s="49">
        <f>'AvgWeek Jinja-Kampala'!C77+'Avg Week Kampala-Jinja'!C77</f>
        <v>4.5</v>
      </c>
      <c r="D77" s="49">
        <f>'AvgWeek Jinja-Kampala'!D77+'Avg Week Kampala-Jinja'!D77</f>
        <v>4.5</v>
      </c>
      <c r="E77" s="49">
        <f>'AvgWeek Jinja-Kampala'!E77+'Avg Week Kampala-Jinja'!E77</f>
        <v>0.5</v>
      </c>
      <c r="F77" s="49">
        <f>'AvgWeek Jinja-Kampala'!F77+'Avg Week Kampala-Jinja'!F77</f>
        <v>3</v>
      </c>
      <c r="G77" s="49">
        <f>'AvgWeek Jinja-Kampala'!G77+'Avg Week Kampala-Jinja'!G77</f>
        <v>0.5</v>
      </c>
      <c r="H77" s="49">
        <f>'AvgWeek Jinja-Kampala'!H77+'Avg Week Kampala-Jinja'!H77</f>
        <v>0</v>
      </c>
      <c r="I77" s="49">
        <f>'AvgWeek Jinja-Kampala'!I77+'Avg Week Kampala-Jinja'!I77</f>
        <v>2</v>
      </c>
      <c r="J77" s="49">
        <f>'AvgWeek Jinja-Kampala'!J77+'Avg Week Kampala-Jinja'!J77</f>
        <v>3.5</v>
      </c>
      <c r="K77" s="49">
        <f>'AvgWeek Jinja-Kampala'!K77+'Avg Week Kampala-Jinja'!K77</f>
        <v>3</v>
      </c>
      <c r="L77" s="49">
        <f>'AvgWeek Jinja-Kampala'!L77+'Avg Week Kampala-Jinja'!L77</f>
        <v>9.5</v>
      </c>
      <c r="M77" s="49">
        <f>'AvgWeek Jinja-Kampala'!M77+'Avg Week Kampala-Jinja'!M77</f>
        <v>10.5</v>
      </c>
      <c r="N77" s="49">
        <f>'AvgWeek Jinja-Kampala'!N77+'Avg Week Kampala-Jinja'!N77</f>
        <v>0</v>
      </c>
      <c r="O77" s="15">
        <f t="shared" si="35"/>
        <v>31</v>
      </c>
      <c r="P77" s="15">
        <f t="shared" si="36"/>
        <v>41.5</v>
      </c>
      <c r="R77" s="8"/>
      <c r="T77"/>
    </row>
    <row r="78" spans="2:20" ht="23.1" customHeight="1" x14ac:dyDescent="0.25">
      <c r="B78" s="24" t="s">
        <v>118</v>
      </c>
      <c r="C78" s="49">
        <f>'AvgWeek Jinja-Kampala'!C78+'Avg Week Kampala-Jinja'!C78</f>
        <v>3</v>
      </c>
      <c r="D78" s="49">
        <f>'AvgWeek Jinja-Kampala'!D78+'Avg Week Kampala-Jinja'!D78</f>
        <v>2</v>
      </c>
      <c r="E78" s="49">
        <f>'AvgWeek Jinja-Kampala'!E78+'Avg Week Kampala-Jinja'!E78</f>
        <v>2.5</v>
      </c>
      <c r="F78" s="49">
        <f>'AvgWeek Jinja-Kampala'!F78+'Avg Week Kampala-Jinja'!F78</f>
        <v>4.5</v>
      </c>
      <c r="G78" s="49">
        <f>'AvgWeek Jinja-Kampala'!G78+'Avg Week Kampala-Jinja'!G78</f>
        <v>0.5</v>
      </c>
      <c r="H78" s="49">
        <f>'AvgWeek Jinja-Kampala'!H78+'Avg Week Kampala-Jinja'!H78</f>
        <v>0.5</v>
      </c>
      <c r="I78" s="49">
        <f>'AvgWeek Jinja-Kampala'!I78+'Avg Week Kampala-Jinja'!I78</f>
        <v>0.5</v>
      </c>
      <c r="J78" s="49">
        <f>'AvgWeek Jinja-Kampala'!J78+'Avg Week Kampala-Jinja'!J78</f>
        <v>4</v>
      </c>
      <c r="K78" s="49">
        <f>'AvgWeek Jinja-Kampala'!K78+'Avg Week Kampala-Jinja'!K78</f>
        <v>4</v>
      </c>
      <c r="L78" s="49">
        <f>'AvgWeek Jinja-Kampala'!L78+'Avg Week Kampala-Jinja'!L78</f>
        <v>6</v>
      </c>
      <c r="M78" s="49">
        <f>'AvgWeek Jinja-Kampala'!M78+'Avg Week Kampala-Jinja'!M78</f>
        <v>7</v>
      </c>
      <c r="N78" s="49">
        <f>'AvgWeek Jinja-Kampala'!N78+'Avg Week Kampala-Jinja'!N78</f>
        <v>0</v>
      </c>
      <c r="O78" s="15">
        <f t="shared" si="35"/>
        <v>27.5</v>
      </c>
      <c r="P78" s="15">
        <f t="shared" si="36"/>
        <v>34.5</v>
      </c>
      <c r="R78" s="8"/>
      <c r="T78"/>
    </row>
    <row r="79" spans="2:20" ht="23.1" customHeight="1" x14ac:dyDescent="0.25">
      <c r="B79" s="23" t="s">
        <v>119</v>
      </c>
      <c r="C79" s="49">
        <f>'AvgWeek Jinja-Kampala'!C79+'Avg Week Kampala-Jinja'!C79</f>
        <v>6</v>
      </c>
      <c r="D79" s="49">
        <f>'AvgWeek Jinja-Kampala'!D79+'Avg Week Kampala-Jinja'!D79</f>
        <v>0.5</v>
      </c>
      <c r="E79" s="49">
        <f>'AvgWeek Jinja-Kampala'!E79+'Avg Week Kampala-Jinja'!E79</f>
        <v>0</v>
      </c>
      <c r="F79" s="49">
        <f>'AvgWeek Jinja-Kampala'!F79+'Avg Week Kampala-Jinja'!F79</f>
        <v>4.5</v>
      </c>
      <c r="G79" s="49">
        <f>'AvgWeek Jinja-Kampala'!G79+'Avg Week Kampala-Jinja'!G79</f>
        <v>0</v>
      </c>
      <c r="H79" s="49">
        <f>'AvgWeek Jinja-Kampala'!H79+'Avg Week Kampala-Jinja'!H79</f>
        <v>1.5</v>
      </c>
      <c r="I79" s="49">
        <f>'AvgWeek Jinja-Kampala'!I79+'Avg Week Kampala-Jinja'!I79</f>
        <v>2.5</v>
      </c>
      <c r="J79" s="49">
        <f>'AvgWeek Jinja-Kampala'!J79+'Avg Week Kampala-Jinja'!J79</f>
        <v>9</v>
      </c>
      <c r="K79" s="49">
        <f>'AvgWeek Jinja-Kampala'!K79+'Avg Week Kampala-Jinja'!K79</f>
        <v>2</v>
      </c>
      <c r="L79" s="49">
        <f>'AvgWeek Jinja-Kampala'!L79+'Avg Week Kampala-Jinja'!L79</f>
        <v>12.5</v>
      </c>
      <c r="M79" s="49">
        <f>'AvgWeek Jinja-Kampala'!M79+'Avg Week Kampala-Jinja'!M79</f>
        <v>10.5</v>
      </c>
      <c r="N79" s="49">
        <f>'AvgWeek Jinja-Kampala'!N79+'Avg Week Kampala-Jinja'!N79</f>
        <v>0</v>
      </c>
      <c r="O79" s="15">
        <f t="shared" si="35"/>
        <v>38.5</v>
      </c>
      <c r="P79" s="15">
        <f t="shared" si="36"/>
        <v>49</v>
      </c>
      <c r="R79" s="8"/>
      <c r="T79"/>
    </row>
    <row r="80" spans="2:20" ht="23.1" customHeight="1" x14ac:dyDescent="0.25">
      <c r="B80" s="25" t="s">
        <v>120</v>
      </c>
      <c r="C80" s="49">
        <f>'AvgWeek Jinja-Kampala'!C80+'Avg Week Kampala-Jinja'!C80</f>
        <v>2.5</v>
      </c>
      <c r="D80" s="49">
        <f>'AvgWeek Jinja-Kampala'!D80+'Avg Week Kampala-Jinja'!D80</f>
        <v>2</v>
      </c>
      <c r="E80" s="49">
        <f>'AvgWeek Jinja-Kampala'!E80+'Avg Week Kampala-Jinja'!E80</f>
        <v>1</v>
      </c>
      <c r="F80" s="49">
        <f>'AvgWeek Jinja-Kampala'!F80+'Avg Week Kampala-Jinja'!F80</f>
        <v>4.5</v>
      </c>
      <c r="G80" s="49">
        <f>'AvgWeek Jinja-Kampala'!G80+'Avg Week Kampala-Jinja'!G80</f>
        <v>0</v>
      </c>
      <c r="H80" s="49">
        <f>'AvgWeek Jinja-Kampala'!H80+'Avg Week Kampala-Jinja'!H80</f>
        <v>1</v>
      </c>
      <c r="I80" s="49">
        <f>'AvgWeek Jinja-Kampala'!I80+'Avg Week Kampala-Jinja'!I80</f>
        <v>1</v>
      </c>
      <c r="J80" s="49">
        <f>'AvgWeek Jinja-Kampala'!J80+'Avg Week Kampala-Jinja'!J80</f>
        <v>7.5</v>
      </c>
      <c r="K80" s="49">
        <f>'AvgWeek Jinja-Kampala'!K80+'Avg Week Kampala-Jinja'!K80</f>
        <v>1</v>
      </c>
      <c r="L80" s="49">
        <f>'AvgWeek Jinja-Kampala'!L80+'Avg Week Kampala-Jinja'!L80</f>
        <v>3</v>
      </c>
      <c r="M80" s="49">
        <f>'AvgWeek Jinja-Kampala'!M80+'Avg Week Kampala-Jinja'!M80</f>
        <v>6</v>
      </c>
      <c r="N80" s="49">
        <f>'AvgWeek Jinja-Kampala'!N80+'Avg Week Kampala-Jinja'!N80</f>
        <v>0</v>
      </c>
      <c r="O80" s="15">
        <f t="shared" si="35"/>
        <v>23.5</v>
      </c>
      <c r="P80" s="15">
        <f t="shared" si="36"/>
        <v>29.5</v>
      </c>
      <c r="R80" s="8"/>
      <c r="T80"/>
    </row>
    <row r="81" spans="2:20" ht="23.1" customHeight="1" x14ac:dyDescent="0.25">
      <c r="B81" s="23" t="s">
        <v>121</v>
      </c>
      <c r="C81" s="49">
        <f>'AvgWeek Jinja-Kampala'!C81+'Avg Week Kampala-Jinja'!C81</f>
        <v>2.5</v>
      </c>
      <c r="D81" s="49">
        <f>'AvgWeek Jinja-Kampala'!D81+'Avg Week Kampala-Jinja'!D81</f>
        <v>0.5</v>
      </c>
      <c r="E81" s="49">
        <f>'AvgWeek Jinja-Kampala'!E81+'Avg Week Kampala-Jinja'!E81</f>
        <v>0.5</v>
      </c>
      <c r="F81" s="49">
        <f>'AvgWeek Jinja-Kampala'!F81+'Avg Week Kampala-Jinja'!F81</f>
        <v>1</v>
      </c>
      <c r="G81" s="49">
        <f>'AvgWeek Jinja-Kampala'!G81+'Avg Week Kampala-Jinja'!G81</f>
        <v>0.5</v>
      </c>
      <c r="H81" s="49">
        <f>'AvgWeek Jinja-Kampala'!H81+'Avg Week Kampala-Jinja'!H81</f>
        <v>0</v>
      </c>
      <c r="I81" s="49">
        <f>'AvgWeek Jinja-Kampala'!I81+'Avg Week Kampala-Jinja'!I81</f>
        <v>1</v>
      </c>
      <c r="J81" s="49">
        <f>'AvgWeek Jinja-Kampala'!J81+'Avg Week Kampala-Jinja'!J81</f>
        <v>3</v>
      </c>
      <c r="K81" s="49">
        <f>'AvgWeek Jinja-Kampala'!K81+'Avg Week Kampala-Jinja'!K81</f>
        <v>1</v>
      </c>
      <c r="L81" s="49">
        <f>'AvgWeek Jinja-Kampala'!L81+'Avg Week Kampala-Jinja'!L81</f>
        <v>3.5</v>
      </c>
      <c r="M81" s="49">
        <f>'AvgWeek Jinja-Kampala'!M81+'Avg Week Kampala-Jinja'!M81</f>
        <v>1.5</v>
      </c>
      <c r="N81" s="49">
        <f>'AvgWeek Jinja-Kampala'!N81+'Avg Week Kampala-Jinja'!N81</f>
        <v>0</v>
      </c>
      <c r="O81" s="15">
        <f t="shared" si="35"/>
        <v>13.5</v>
      </c>
      <c r="P81" s="15">
        <f t="shared" si="36"/>
        <v>15</v>
      </c>
      <c r="R81" s="8"/>
      <c r="T81"/>
    </row>
    <row r="82" spans="2:20" ht="23.1" customHeight="1" x14ac:dyDescent="0.25">
      <c r="B82" s="24" t="s">
        <v>122</v>
      </c>
      <c r="C82" s="49">
        <f>'AvgWeek Jinja-Kampala'!C82+'Avg Week Kampala-Jinja'!C82</f>
        <v>4.5</v>
      </c>
      <c r="D82" s="49">
        <f>'AvgWeek Jinja-Kampala'!D82+'Avg Week Kampala-Jinja'!D82</f>
        <v>1.5</v>
      </c>
      <c r="E82" s="49">
        <f>'AvgWeek Jinja-Kampala'!E82+'Avg Week Kampala-Jinja'!E82</f>
        <v>0.5</v>
      </c>
      <c r="F82" s="49">
        <f>'AvgWeek Jinja-Kampala'!F82+'Avg Week Kampala-Jinja'!F82</f>
        <v>4.5</v>
      </c>
      <c r="G82" s="49">
        <f>'AvgWeek Jinja-Kampala'!G82+'Avg Week Kampala-Jinja'!G82</f>
        <v>0</v>
      </c>
      <c r="H82" s="49">
        <f>'AvgWeek Jinja-Kampala'!H82+'Avg Week Kampala-Jinja'!H82</f>
        <v>0.5</v>
      </c>
      <c r="I82" s="49">
        <f>'AvgWeek Jinja-Kampala'!I82+'Avg Week Kampala-Jinja'!I82</f>
        <v>2</v>
      </c>
      <c r="J82" s="49">
        <f>'AvgWeek Jinja-Kampala'!J82+'Avg Week Kampala-Jinja'!J82</f>
        <v>8</v>
      </c>
      <c r="K82" s="49">
        <f>'AvgWeek Jinja-Kampala'!K82+'Avg Week Kampala-Jinja'!K82</f>
        <v>1.5</v>
      </c>
      <c r="L82" s="49">
        <f>'AvgWeek Jinja-Kampala'!L82+'Avg Week Kampala-Jinja'!L82</f>
        <v>10</v>
      </c>
      <c r="M82" s="49">
        <f>'AvgWeek Jinja-Kampala'!M82+'Avg Week Kampala-Jinja'!M82</f>
        <v>3.5</v>
      </c>
      <c r="N82" s="49">
        <f>'AvgWeek Jinja-Kampala'!N82+'Avg Week Kampala-Jinja'!N82</f>
        <v>0.5</v>
      </c>
      <c r="O82" s="15">
        <f t="shared" si="35"/>
        <v>33.5</v>
      </c>
      <c r="P82" s="15">
        <f t="shared" si="36"/>
        <v>37</v>
      </c>
      <c r="R82" s="8"/>
      <c r="T82"/>
    </row>
    <row r="83" spans="2:20" ht="23.1" customHeight="1" x14ac:dyDescent="0.25">
      <c r="B83" s="23" t="s">
        <v>123</v>
      </c>
      <c r="C83" s="49">
        <f>'AvgWeek Jinja-Kampala'!C83+'Avg Week Kampala-Jinja'!C83</f>
        <v>2.5</v>
      </c>
      <c r="D83" s="49">
        <f>'AvgWeek Jinja-Kampala'!D83+'Avg Week Kampala-Jinja'!D83</f>
        <v>0</v>
      </c>
      <c r="E83" s="49">
        <f>'AvgWeek Jinja-Kampala'!E83+'Avg Week Kampala-Jinja'!E83</f>
        <v>0.5</v>
      </c>
      <c r="F83" s="49">
        <f>'AvgWeek Jinja-Kampala'!F83+'Avg Week Kampala-Jinja'!F83</f>
        <v>2</v>
      </c>
      <c r="G83" s="49">
        <f>'AvgWeek Jinja-Kampala'!G83+'Avg Week Kampala-Jinja'!G83</f>
        <v>0</v>
      </c>
      <c r="H83" s="49">
        <f>'AvgWeek Jinja-Kampala'!H83+'Avg Week Kampala-Jinja'!H83</f>
        <v>1</v>
      </c>
      <c r="I83" s="49">
        <f>'AvgWeek Jinja-Kampala'!I83+'Avg Week Kampala-Jinja'!I83</f>
        <v>4.5</v>
      </c>
      <c r="J83" s="49">
        <f>'AvgWeek Jinja-Kampala'!J83+'Avg Week Kampala-Jinja'!J83</f>
        <v>9</v>
      </c>
      <c r="K83" s="49">
        <f>'AvgWeek Jinja-Kampala'!K83+'Avg Week Kampala-Jinja'!K83</f>
        <v>2</v>
      </c>
      <c r="L83" s="49">
        <f>'AvgWeek Jinja-Kampala'!L83+'Avg Week Kampala-Jinja'!L83</f>
        <v>8</v>
      </c>
      <c r="M83" s="49">
        <f>'AvgWeek Jinja-Kampala'!M83+'Avg Week Kampala-Jinja'!M83</f>
        <v>1.5</v>
      </c>
      <c r="N83" s="49">
        <f>'AvgWeek Jinja-Kampala'!N83+'Avg Week Kampala-Jinja'!N83</f>
        <v>0</v>
      </c>
      <c r="O83" s="15">
        <f t="shared" si="35"/>
        <v>29.5</v>
      </c>
      <c r="P83" s="15">
        <f t="shared" si="36"/>
        <v>31</v>
      </c>
      <c r="R83" s="8"/>
      <c r="T83"/>
    </row>
    <row r="84" spans="2:20" ht="23.1" customHeight="1" x14ac:dyDescent="0.25">
      <c r="B84" s="25" t="s">
        <v>124</v>
      </c>
      <c r="C84" s="49">
        <f>'AvgWeek Jinja-Kampala'!C84+'Avg Week Kampala-Jinja'!C84</f>
        <v>2</v>
      </c>
      <c r="D84" s="49">
        <f>'AvgWeek Jinja-Kampala'!D84+'Avg Week Kampala-Jinja'!D84</f>
        <v>2</v>
      </c>
      <c r="E84" s="49">
        <f>'AvgWeek Jinja-Kampala'!E84+'Avg Week Kampala-Jinja'!E84</f>
        <v>0.5</v>
      </c>
      <c r="F84" s="49">
        <f>'AvgWeek Jinja-Kampala'!F84+'Avg Week Kampala-Jinja'!F84</f>
        <v>2</v>
      </c>
      <c r="G84" s="49">
        <f>'AvgWeek Jinja-Kampala'!G84+'Avg Week Kampala-Jinja'!G84</f>
        <v>0</v>
      </c>
      <c r="H84" s="49">
        <f>'AvgWeek Jinja-Kampala'!H84+'Avg Week Kampala-Jinja'!H84</f>
        <v>1.5</v>
      </c>
      <c r="I84" s="49">
        <f>'AvgWeek Jinja-Kampala'!I84+'Avg Week Kampala-Jinja'!I84</f>
        <v>1.5</v>
      </c>
      <c r="J84" s="49">
        <f>'AvgWeek Jinja-Kampala'!J84+'Avg Week Kampala-Jinja'!J84</f>
        <v>6</v>
      </c>
      <c r="K84" s="49">
        <f>'AvgWeek Jinja-Kampala'!K84+'Avg Week Kampala-Jinja'!K84</f>
        <v>1.5</v>
      </c>
      <c r="L84" s="49">
        <f>'AvgWeek Jinja-Kampala'!L84+'Avg Week Kampala-Jinja'!L84</f>
        <v>8</v>
      </c>
      <c r="M84" s="49">
        <f>'AvgWeek Jinja-Kampala'!M84+'Avg Week Kampala-Jinja'!M84</f>
        <v>2</v>
      </c>
      <c r="N84" s="49">
        <f>'AvgWeek Jinja-Kampala'!N84+'Avg Week Kampala-Jinja'!N84</f>
        <v>0.5</v>
      </c>
      <c r="O84" s="15">
        <f t="shared" si="35"/>
        <v>25.5</v>
      </c>
      <c r="P84" s="15">
        <f t="shared" si="36"/>
        <v>27.5</v>
      </c>
      <c r="R84" s="8"/>
      <c r="T84"/>
    </row>
    <row r="85" spans="2:20" ht="23.1" customHeight="1" x14ac:dyDescent="0.25">
      <c r="B85" s="23" t="s">
        <v>125</v>
      </c>
      <c r="C85" s="49">
        <f>'AvgWeek Jinja-Kampala'!C85+'Avg Week Kampala-Jinja'!C85</f>
        <v>2.5</v>
      </c>
      <c r="D85" s="49">
        <f>'AvgWeek Jinja-Kampala'!D85+'Avg Week Kampala-Jinja'!D85</f>
        <v>0.5</v>
      </c>
      <c r="E85" s="49">
        <f>'AvgWeek Jinja-Kampala'!E85+'Avg Week Kampala-Jinja'!E85</f>
        <v>0.5</v>
      </c>
      <c r="F85" s="49">
        <f>'AvgWeek Jinja-Kampala'!F85+'Avg Week Kampala-Jinja'!F85</f>
        <v>4.5</v>
      </c>
      <c r="G85" s="49">
        <f>'AvgWeek Jinja-Kampala'!G85+'Avg Week Kampala-Jinja'!G85</f>
        <v>0.5</v>
      </c>
      <c r="H85" s="49">
        <f>'AvgWeek Jinja-Kampala'!H85+'Avg Week Kampala-Jinja'!H85</f>
        <v>1</v>
      </c>
      <c r="I85" s="49">
        <f>'AvgWeek Jinja-Kampala'!I85+'Avg Week Kampala-Jinja'!I85</f>
        <v>4</v>
      </c>
      <c r="J85" s="49">
        <f>'AvgWeek Jinja-Kampala'!J85+'Avg Week Kampala-Jinja'!J85</f>
        <v>9.5</v>
      </c>
      <c r="K85" s="49">
        <f>'AvgWeek Jinja-Kampala'!K85+'Avg Week Kampala-Jinja'!K85</f>
        <v>1</v>
      </c>
      <c r="L85" s="49">
        <f>'AvgWeek Jinja-Kampala'!L85+'Avg Week Kampala-Jinja'!L85</f>
        <v>7.5</v>
      </c>
      <c r="M85" s="49">
        <f>'AvgWeek Jinja-Kampala'!M85+'Avg Week Kampala-Jinja'!M85</f>
        <v>2</v>
      </c>
      <c r="N85" s="49">
        <f>'AvgWeek Jinja-Kampala'!N85+'Avg Week Kampala-Jinja'!N85</f>
        <v>0.5</v>
      </c>
      <c r="O85" s="15">
        <f t="shared" si="35"/>
        <v>32</v>
      </c>
      <c r="P85" s="15">
        <f t="shared" si="36"/>
        <v>34</v>
      </c>
      <c r="R85" s="8"/>
      <c r="T85"/>
    </row>
    <row r="86" spans="2:20" ht="23.1" customHeight="1" x14ac:dyDescent="0.25">
      <c r="B86" s="24" t="s">
        <v>126</v>
      </c>
      <c r="C86" s="49">
        <f>'AvgWeek Jinja-Kampala'!C86+'Avg Week Kampala-Jinja'!C86</f>
        <v>3</v>
      </c>
      <c r="D86" s="49">
        <f>'AvgWeek Jinja-Kampala'!D86+'Avg Week Kampala-Jinja'!D86</f>
        <v>1.5</v>
      </c>
      <c r="E86" s="49">
        <f>'AvgWeek Jinja-Kampala'!E86+'Avg Week Kampala-Jinja'!E86</f>
        <v>1.5</v>
      </c>
      <c r="F86" s="49">
        <f>'AvgWeek Jinja-Kampala'!F86+'Avg Week Kampala-Jinja'!F86</f>
        <v>1.5</v>
      </c>
      <c r="G86" s="49">
        <f>'AvgWeek Jinja-Kampala'!G86+'Avg Week Kampala-Jinja'!G86</f>
        <v>0</v>
      </c>
      <c r="H86" s="49">
        <f>'AvgWeek Jinja-Kampala'!H86+'Avg Week Kampala-Jinja'!H86</f>
        <v>1.5</v>
      </c>
      <c r="I86" s="49">
        <f>'AvgWeek Jinja-Kampala'!I86+'Avg Week Kampala-Jinja'!I86</f>
        <v>1.5</v>
      </c>
      <c r="J86" s="49">
        <f>'AvgWeek Jinja-Kampala'!J86+'Avg Week Kampala-Jinja'!J86</f>
        <v>12.5</v>
      </c>
      <c r="K86" s="49">
        <f>'AvgWeek Jinja-Kampala'!K86+'Avg Week Kampala-Jinja'!K86</f>
        <v>2</v>
      </c>
      <c r="L86" s="49">
        <f>'AvgWeek Jinja-Kampala'!L86+'Avg Week Kampala-Jinja'!L86</f>
        <v>8.5</v>
      </c>
      <c r="M86" s="49">
        <f>'AvgWeek Jinja-Kampala'!M86+'Avg Week Kampala-Jinja'!M86</f>
        <v>2.5</v>
      </c>
      <c r="N86" s="49">
        <f>'AvgWeek Jinja-Kampala'!N86+'Avg Week Kampala-Jinja'!N86</f>
        <v>0</v>
      </c>
      <c r="O86" s="15">
        <f t="shared" si="35"/>
        <v>33.5</v>
      </c>
      <c r="P86" s="15">
        <f t="shared" si="36"/>
        <v>36</v>
      </c>
      <c r="R86" s="8"/>
      <c r="T86"/>
    </row>
    <row r="87" spans="2:20" ht="23.1" customHeight="1" x14ac:dyDescent="0.25">
      <c r="B87" s="23" t="s">
        <v>127</v>
      </c>
      <c r="C87" s="49">
        <f>'AvgWeek Jinja-Kampala'!C87+'Avg Week Kampala-Jinja'!C87</f>
        <v>2</v>
      </c>
      <c r="D87" s="49">
        <f>'AvgWeek Jinja-Kampala'!D87+'Avg Week Kampala-Jinja'!D87</f>
        <v>2.5</v>
      </c>
      <c r="E87" s="49">
        <f>'AvgWeek Jinja-Kampala'!E87+'Avg Week Kampala-Jinja'!E87</f>
        <v>0.5</v>
      </c>
      <c r="F87" s="49">
        <f>'AvgWeek Jinja-Kampala'!F87+'Avg Week Kampala-Jinja'!F87</f>
        <v>1</v>
      </c>
      <c r="G87" s="49">
        <f>'AvgWeek Jinja-Kampala'!G87+'Avg Week Kampala-Jinja'!G87</f>
        <v>0</v>
      </c>
      <c r="H87" s="49">
        <f>'AvgWeek Jinja-Kampala'!H87+'Avg Week Kampala-Jinja'!H87</f>
        <v>1.5</v>
      </c>
      <c r="I87" s="49">
        <f>'AvgWeek Jinja-Kampala'!I87+'Avg Week Kampala-Jinja'!I87</f>
        <v>3.5</v>
      </c>
      <c r="J87" s="49">
        <f>'AvgWeek Jinja-Kampala'!J87+'Avg Week Kampala-Jinja'!J87</f>
        <v>8</v>
      </c>
      <c r="K87" s="49">
        <f>'AvgWeek Jinja-Kampala'!K87+'Avg Week Kampala-Jinja'!K87</f>
        <v>1</v>
      </c>
      <c r="L87" s="49">
        <f>'AvgWeek Jinja-Kampala'!L87+'Avg Week Kampala-Jinja'!L87</f>
        <v>11</v>
      </c>
      <c r="M87" s="49">
        <f>'AvgWeek Jinja-Kampala'!M87+'Avg Week Kampala-Jinja'!M87</f>
        <v>2</v>
      </c>
      <c r="N87" s="49">
        <f>'AvgWeek Jinja-Kampala'!N87+'Avg Week Kampala-Jinja'!N87</f>
        <v>0</v>
      </c>
      <c r="O87" s="15">
        <f t="shared" si="35"/>
        <v>31</v>
      </c>
      <c r="P87" s="15">
        <f t="shared" si="36"/>
        <v>33</v>
      </c>
      <c r="R87" s="8"/>
      <c r="T87"/>
    </row>
    <row r="88" spans="2:20" ht="23.1" customHeight="1" x14ac:dyDescent="0.25">
      <c r="B88" s="25" t="s">
        <v>128</v>
      </c>
      <c r="C88" s="49">
        <f>'AvgWeek Jinja-Kampala'!C88+'Avg Week Kampala-Jinja'!C88</f>
        <v>2</v>
      </c>
      <c r="D88" s="49">
        <f>'AvgWeek Jinja-Kampala'!D88+'Avg Week Kampala-Jinja'!D88</f>
        <v>0</v>
      </c>
      <c r="E88" s="49">
        <f>'AvgWeek Jinja-Kampala'!E88+'Avg Week Kampala-Jinja'!E88</f>
        <v>0.5</v>
      </c>
      <c r="F88" s="49">
        <f>'AvgWeek Jinja-Kampala'!F88+'Avg Week Kampala-Jinja'!F88</f>
        <v>2</v>
      </c>
      <c r="G88" s="49">
        <f>'AvgWeek Jinja-Kampala'!G88+'Avg Week Kampala-Jinja'!G88</f>
        <v>0.5</v>
      </c>
      <c r="H88" s="49">
        <f>'AvgWeek Jinja-Kampala'!H88+'Avg Week Kampala-Jinja'!H88</f>
        <v>1</v>
      </c>
      <c r="I88" s="49">
        <f>'AvgWeek Jinja-Kampala'!I88+'Avg Week Kampala-Jinja'!I88</f>
        <v>1.5</v>
      </c>
      <c r="J88" s="49">
        <f>'AvgWeek Jinja-Kampala'!J88+'Avg Week Kampala-Jinja'!J88</f>
        <v>7</v>
      </c>
      <c r="K88" s="49">
        <f>'AvgWeek Jinja-Kampala'!K88+'Avg Week Kampala-Jinja'!K88</f>
        <v>8.5</v>
      </c>
      <c r="L88" s="49">
        <f>'AvgWeek Jinja-Kampala'!L88+'Avg Week Kampala-Jinja'!L88</f>
        <v>7.5</v>
      </c>
      <c r="M88" s="49">
        <f>'AvgWeek Jinja-Kampala'!M88+'Avg Week Kampala-Jinja'!M88</f>
        <v>2</v>
      </c>
      <c r="N88" s="49">
        <f>'AvgWeek Jinja-Kampala'!N88+'Avg Week Kampala-Jinja'!N88</f>
        <v>0</v>
      </c>
      <c r="O88" s="15">
        <f t="shared" si="35"/>
        <v>30.5</v>
      </c>
      <c r="P88" s="15">
        <f t="shared" si="36"/>
        <v>32.5</v>
      </c>
      <c r="R88" s="8"/>
      <c r="T88"/>
    </row>
    <row r="89" spans="2:20" ht="23.1" customHeight="1" x14ac:dyDescent="0.25">
      <c r="B89" s="23" t="s">
        <v>129</v>
      </c>
      <c r="C89" s="49">
        <f>'AvgWeek Jinja-Kampala'!C89+'Avg Week Kampala-Jinja'!C89</f>
        <v>4</v>
      </c>
      <c r="D89" s="49">
        <f>'AvgWeek Jinja-Kampala'!D89+'Avg Week Kampala-Jinja'!D89</f>
        <v>0.5</v>
      </c>
      <c r="E89" s="49">
        <f>'AvgWeek Jinja-Kampala'!E89+'Avg Week Kampala-Jinja'!E89</f>
        <v>0.5</v>
      </c>
      <c r="F89" s="49">
        <f>'AvgWeek Jinja-Kampala'!F89+'Avg Week Kampala-Jinja'!F89</f>
        <v>2</v>
      </c>
      <c r="G89" s="49">
        <f>'AvgWeek Jinja-Kampala'!G89+'Avg Week Kampala-Jinja'!G89</f>
        <v>0</v>
      </c>
      <c r="H89" s="49">
        <f>'AvgWeek Jinja-Kampala'!H89+'Avg Week Kampala-Jinja'!H89</f>
        <v>1.5</v>
      </c>
      <c r="I89" s="49">
        <f>'AvgWeek Jinja-Kampala'!I89+'Avg Week Kampala-Jinja'!I89</f>
        <v>2.5</v>
      </c>
      <c r="J89" s="49">
        <f>'AvgWeek Jinja-Kampala'!J89+'Avg Week Kampala-Jinja'!J89</f>
        <v>7</v>
      </c>
      <c r="K89" s="49">
        <f>'AvgWeek Jinja-Kampala'!K89+'Avg Week Kampala-Jinja'!K89</f>
        <v>4</v>
      </c>
      <c r="L89" s="49">
        <f>'AvgWeek Jinja-Kampala'!L89+'Avg Week Kampala-Jinja'!L89</f>
        <v>8</v>
      </c>
      <c r="M89" s="49">
        <f>'AvgWeek Jinja-Kampala'!M89+'Avg Week Kampala-Jinja'!M89</f>
        <v>1.5</v>
      </c>
      <c r="N89" s="49">
        <f>'AvgWeek Jinja-Kampala'!N89+'Avg Week Kampala-Jinja'!N89</f>
        <v>0</v>
      </c>
      <c r="O89" s="15">
        <f t="shared" si="35"/>
        <v>30</v>
      </c>
      <c r="P89" s="15">
        <f t="shared" si="36"/>
        <v>31.5</v>
      </c>
      <c r="R89" s="8"/>
      <c r="T89"/>
    </row>
    <row r="90" spans="2:20" ht="23.1" customHeight="1" x14ac:dyDescent="0.25">
      <c r="B90" s="24" t="s">
        <v>130</v>
      </c>
      <c r="C90" s="49">
        <f>'AvgWeek Jinja-Kampala'!C90+'Avg Week Kampala-Jinja'!C90</f>
        <v>2</v>
      </c>
      <c r="D90" s="49">
        <f>'AvgWeek Jinja-Kampala'!D90+'Avg Week Kampala-Jinja'!D90</f>
        <v>0.5</v>
      </c>
      <c r="E90" s="49">
        <f>'AvgWeek Jinja-Kampala'!E90+'Avg Week Kampala-Jinja'!E90</f>
        <v>1.5</v>
      </c>
      <c r="F90" s="49">
        <f>'AvgWeek Jinja-Kampala'!F90+'Avg Week Kampala-Jinja'!F90</f>
        <v>0.5</v>
      </c>
      <c r="G90" s="49">
        <f>'AvgWeek Jinja-Kampala'!G90+'Avg Week Kampala-Jinja'!G90</f>
        <v>0.5</v>
      </c>
      <c r="H90" s="49">
        <f>'AvgWeek Jinja-Kampala'!H90+'Avg Week Kampala-Jinja'!H90</f>
        <v>1</v>
      </c>
      <c r="I90" s="49">
        <f>'AvgWeek Jinja-Kampala'!I90+'Avg Week Kampala-Jinja'!I90</f>
        <v>1.5</v>
      </c>
      <c r="J90" s="49">
        <f>'AvgWeek Jinja-Kampala'!J90+'Avg Week Kampala-Jinja'!J90</f>
        <v>9.5</v>
      </c>
      <c r="K90" s="49">
        <f>'AvgWeek Jinja-Kampala'!K90+'Avg Week Kampala-Jinja'!K90</f>
        <v>3.5</v>
      </c>
      <c r="L90" s="49">
        <f>'AvgWeek Jinja-Kampala'!L90+'Avg Week Kampala-Jinja'!L90</f>
        <v>9</v>
      </c>
      <c r="M90" s="49">
        <f>'AvgWeek Jinja-Kampala'!M90+'Avg Week Kampala-Jinja'!M90</f>
        <v>1</v>
      </c>
      <c r="N90" s="49">
        <f>'AvgWeek Jinja-Kampala'!N90+'Avg Week Kampala-Jinja'!N90</f>
        <v>0</v>
      </c>
      <c r="O90" s="15">
        <f t="shared" si="35"/>
        <v>29.5</v>
      </c>
      <c r="P90" s="15">
        <f t="shared" si="36"/>
        <v>30.5</v>
      </c>
      <c r="R90" s="8"/>
      <c r="T90"/>
    </row>
    <row r="91" spans="2:20" ht="23.1" customHeight="1" x14ac:dyDescent="0.25">
      <c r="B91" s="23" t="s">
        <v>131</v>
      </c>
      <c r="C91" s="49">
        <f>'AvgWeek Jinja-Kampala'!C91+'Avg Week Kampala-Jinja'!C91</f>
        <v>0</v>
      </c>
      <c r="D91" s="49">
        <f>'AvgWeek Jinja-Kampala'!D91+'Avg Week Kampala-Jinja'!D91</f>
        <v>0</v>
      </c>
      <c r="E91" s="49">
        <f>'AvgWeek Jinja-Kampala'!E91+'Avg Week Kampala-Jinja'!E91</f>
        <v>0.5</v>
      </c>
      <c r="F91" s="49">
        <f>'AvgWeek Jinja-Kampala'!F91+'Avg Week Kampala-Jinja'!F91</f>
        <v>0.5</v>
      </c>
      <c r="G91" s="49">
        <f>'AvgWeek Jinja-Kampala'!G91+'Avg Week Kampala-Jinja'!G91</f>
        <v>0</v>
      </c>
      <c r="H91" s="49">
        <f>'AvgWeek Jinja-Kampala'!H91+'Avg Week Kampala-Jinja'!H91</f>
        <v>1.5</v>
      </c>
      <c r="I91" s="49">
        <f>'AvgWeek Jinja-Kampala'!I91+'Avg Week Kampala-Jinja'!I91</f>
        <v>1</v>
      </c>
      <c r="J91" s="49">
        <f>'AvgWeek Jinja-Kampala'!J91+'Avg Week Kampala-Jinja'!J91</f>
        <v>6.5</v>
      </c>
      <c r="K91" s="49">
        <f>'AvgWeek Jinja-Kampala'!K91+'Avg Week Kampala-Jinja'!K91</f>
        <v>2.5</v>
      </c>
      <c r="L91" s="49">
        <f>'AvgWeek Jinja-Kampala'!L91+'Avg Week Kampala-Jinja'!L91</f>
        <v>5.5</v>
      </c>
      <c r="M91" s="49">
        <f>'AvgWeek Jinja-Kampala'!M91+'Avg Week Kampala-Jinja'!M91</f>
        <v>1</v>
      </c>
      <c r="N91" s="49">
        <f>'AvgWeek Jinja-Kampala'!N91+'Avg Week Kampala-Jinja'!N91</f>
        <v>0</v>
      </c>
      <c r="O91" s="15">
        <f t="shared" si="35"/>
        <v>18</v>
      </c>
      <c r="P91" s="15">
        <f t="shared" si="36"/>
        <v>19</v>
      </c>
      <c r="R91" s="8"/>
      <c r="T91"/>
    </row>
    <row r="92" spans="2:20" ht="23.1" customHeight="1" x14ac:dyDescent="0.25">
      <c r="B92" s="25" t="s">
        <v>132</v>
      </c>
      <c r="C92" s="49">
        <f>'AvgWeek Jinja-Kampala'!C92+'Avg Week Kampala-Jinja'!C92</f>
        <v>1</v>
      </c>
      <c r="D92" s="49">
        <f>'AvgWeek Jinja-Kampala'!D92+'Avg Week Kampala-Jinja'!D92</f>
        <v>0</v>
      </c>
      <c r="E92" s="49">
        <f>'AvgWeek Jinja-Kampala'!E92+'Avg Week Kampala-Jinja'!E92</f>
        <v>0</v>
      </c>
      <c r="F92" s="49">
        <f>'AvgWeek Jinja-Kampala'!F92+'Avg Week Kampala-Jinja'!F92</f>
        <v>2</v>
      </c>
      <c r="G92" s="49">
        <f>'AvgWeek Jinja-Kampala'!G92+'Avg Week Kampala-Jinja'!G92</f>
        <v>0</v>
      </c>
      <c r="H92" s="49">
        <f>'AvgWeek Jinja-Kampala'!H92+'Avg Week Kampala-Jinja'!H92</f>
        <v>1</v>
      </c>
      <c r="I92" s="49">
        <f>'AvgWeek Jinja-Kampala'!I92+'Avg Week Kampala-Jinja'!I92</f>
        <v>2</v>
      </c>
      <c r="J92" s="49">
        <f>'AvgWeek Jinja-Kampala'!J92+'Avg Week Kampala-Jinja'!J92</f>
        <v>5.5</v>
      </c>
      <c r="K92" s="49">
        <f>'AvgWeek Jinja-Kampala'!K92+'Avg Week Kampala-Jinja'!K92</f>
        <v>3.5</v>
      </c>
      <c r="L92" s="49">
        <f>'AvgWeek Jinja-Kampala'!L92+'Avg Week Kampala-Jinja'!L92</f>
        <v>6</v>
      </c>
      <c r="M92" s="49">
        <f>'AvgWeek Jinja-Kampala'!M92+'Avg Week Kampala-Jinja'!M92</f>
        <v>1.5</v>
      </c>
      <c r="N92" s="49">
        <f>'AvgWeek Jinja-Kampala'!N92+'Avg Week Kampala-Jinja'!N92</f>
        <v>0</v>
      </c>
      <c r="O92" s="15">
        <f t="shared" si="35"/>
        <v>21</v>
      </c>
      <c r="P92" s="15">
        <f t="shared" si="36"/>
        <v>22.5</v>
      </c>
      <c r="R92" s="8"/>
      <c r="T92"/>
    </row>
    <row r="93" spans="2:20" ht="23.1" customHeight="1" x14ac:dyDescent="0.25">
      <c r="B93" s="23" t="s">
        <v>133</v>
      </c>
      <c r="C93" s="49">
        <f>'AvgWeek Jinja-Kampala'!C93+'Avg Week Kampala-Jinja'!C93</f>
        <v>3.5</v>
      </c>
      <c r="D93" s="49">
        <f>'AvgWeek Jinja-Kampala'!D93+'Avg Week Kampala-Jinja'!D93</f>
        <v>0.5</v>
      </c>
      <c r="E93" s="49">
        <f>'AvgWeek Jinja-Kampala'!E93+'Avg Week Kampala-Jinja'!E93</f>
        <v>0.5</v>
      </c>
      <c r="F93" s="49">
        <f>'AvgWeek Jinja-Kampala'!F93+'Avg Week Kampala-Jinja'!F93</f>
        <v>6.5</v>
      </c>
      <c r="G93" s="49">
        <f>'AvgWeek Jinja-Kampala'!G93+'Avg Week Kampala-Jinja'!G93</f>
        <v>0</v>
      </c>
      <c r="H93" s="49">
        <f>'AvgWeek Jinja-Kampala'!H93+'Avg Week Kampala-Jinja'!H93</f>
        <v>0.5</v>
      </c>
      <c r="I93" s="49">
        <f>'AvgWeek Jinja-Kampala'!I93+'Avg Week Kampala-Jinja'!I93</f>
        <v>0</v>
      </c>
      <c r="J93" s="49">
        <f>'AvgWeek Jinja-Kampala'!J93+'Avg Week Kampala-Jinja'!J93</f>
        <v>5.5</v>
      </c>
      <c r="K93" s="49">
        <f>'AvgWeek Jinja-Kampala'!K93+'Avg Week Kampala-Jinja'!K93</f>
        <v>3</v>
      </c>
      <c r="L93" s="49">
        <f>'AvgWeek Jinja-Kampala'!L93+'Avg Week Kampala-Jinja'!L93</f>
        <v>11.5</v>
      </c>
      <c r="M93" s="49">
        <f>'AvgWeek Jinja-Kampala'!M93+'Avg Week Kampala-Jinja'!M93</f>
        <v>2</v>
      </c>
      <c r="N93" s="49">
        <f>'AvgWeek Jinja-Kampala'!N93+'Avg Week Kampala-Jinja'!N93</f>
        <v>0</v>
      </c>
      <c r="O93" s="15">
        <f t="shared" si="35"/>
        <v>31.5</v>
      </c>
      <c r="P93" s="15">
        <f t="shared" si="36"/>
        <v>33.5</v>
      </c>
      <c r="R93" s="8"/>
      <c r="T93"/>
    </row>
    <row r="94" spans="2:20" ht="23.1" customHeight="1" x14ac:dyDescent="0.25">
      <c r="B94" s="24" t="s">
        <v>134</v>
      </c>
      <c r="C94" s="49">
        <f>'AvgWeek Jinja-Kampala'!C94+'Avg Week Kampala-Jinja'!C94</f>
        <v>3.5</v>
      </c>
      <c r="D94" s="49">
        <f>'AvgWeek Jinja-Kampala'!D94+'Avg Week Kampala-Jinja'!D94</f>
        <v>2</v>
      </c>
      <c r="E94" s="49">
        <f>'AvgWeek Jinja-Kampala'!E94+'Avg Week Kampala-Jinja'!E94</f>
        <v>0.5</v>
      </c>
      <c r="F94" s="49">
        <f>'AvgWeek Jinja-Kampala'!F94+'Avg Week Kampala-Jinja'!F94</f>
        <v>5</v>
      </c>
      <c r="G94" s="49">
        <f>'AvgWeek Jinja-Kampala'!G94+'Avg Week Kampala-Jinja'!G94</f>
        <v>1</v>
      </c>
      <c r="H94" s="49">
        <f>'AvgWeek Jinja-Kampala'!H94+'Avg Week Kampala-Jinja'!H94</f>
        <v>1</v>
      </c>
      <c r="I94" s="49">
        <f>'AvgWeek Jinja-Kampala'!I94+'Avg Week Kampala-Jinja'!I94</f>
        <v>2.5</v>
      </c>
      <c r="J94" s="49">
        <f>'AvgWeek Jinja-Kampala'!J94+'Avg Week Kampala-Jinja'!J94</f>
        <v>8</v>
      </c>
      <c r="K94" s="49">
        <f>'AvgWeek Jinja-Kampala'!K94+'Avg Week Kampala-Jinja'!K94</f>
        <v>4.5</v>
      </c>
      <c r="L94" s="49">
        <f>'AvgWeek Jinja-Kampala'!L94+'Avg Week Kampala-Jinja'!L94</f>
        <v>12.5</v>
      </c>
      <c r="M94" s="49">
        <f>'AvgWeek Jinja-Kampala'!M94+'Avg Week Kampala-Jinja'!M94</f>
        <v>1</v>
      </c>
      <c r="N94" s="49">
        <f>'AvgWeek Jinja-Kampala'!N94+'Avg Week Kampala-Jinja'!N94</f>
        <v>0</v>
      </c>
      <c r="O94" s="15">
        <f t="shared" si="35"/>
        <v>40.5</v>
      </c>
      <c r="P94" s="15">
        <f t="shared" si="36"/>
        <v>41.5</v>
      </c>
      <c r="R94" s="8"/>
      <c r="T94"/>
    </row>
    <row r="95" spans="2:20" ht="23.1" customHeight="1" x14ac:dyDescent="0.25">
      <c r="B95" s="23" t="s">
        <v>135</v>
      </c>
      <c r="C95" s="49">
        <f>'AvgWeek Jinja-Kampala'!C95+'Avg Week Kampala-Jinja'!C95</f>
        <v>3</v>
      </c>
      <c r="D95" s="49">
        <f>'AvgWeek Jinja-Kampala'!D95+'Avg Week Kampala-Jinja'!D95</f>
        <v>2</v>
      </c>
      <c r="E95" s="49">
        <f>'AvgWeek Jinja-Kampala'!E95+'Avg Week Kampala-Jinja'!E95</f>
        <v>2</v>
      </c>
      <c r="F95" s="49">
        <f>'AvgWeek Jinja-Kampala'!F95+'Avg Week Kampala-Jinja'!F95</f>
        <v>5</v>
      </c>
      <c r="G95" s="49">
        <f>'AvgWeek Jinja-Kampala'!G95+'Avg Week Kampala-Jinja'!G95</f>
        <v>1.5</v>
      </c>
      <c r="H95" s="49">
        <f>'AvgWeek Jinja-Kampala'!H95+'Avg Week Kampala-Jinja'!H95</f>
        <v>2</v>
      </c>
      <c r="I95" s="49">
        <f>'AvgWeek Jinja-Kampala'!I95+'Avg Week Kampala-Jinja'!I95</f>
        <v>1</v>
      </c>
      <c r="J95" s="49">
        <f>'AvgWeek Jinja-Kampala'!J95+'Avg Week Kampala-Jinja'!J95</f>
        <v>4</v>
      </c>
      <c r="K95" s="49">
        <f>'AvgWeek Jinja-Kampala'!K95+'Avg Week Kampala-Jinja'!K95</f>
        <v>2.5</v>
      </c>
      <c r="L95" s="49">
        <f>'AvgWeek Jinja-Kampala'!L95+'Avg Week Kampala-Jinja'!L95</f>
        <v>13.5</v>
      </c>
      <c r="M95" s="49">
        <f>'AvgWeek Jinja-Kampala'!M95+'Avg Week Kampala-Jinja'!M95</f>
        <v>2.5</v>
      </c>
      <c r="N95" s="49">
        <f>'AvgWeek Jinja-Kampala'!N95+'Avg Week Kampala-Jinja'!N95</f>
        <v>0</v>
      </c>
      <c r="O95" s="15">
        <f t="shared" si="35"/>
        <v>36.5</v>
      </c>
      <c r="P95" s="15">
        <f t="shared" si="36"/>
        <v>39</v>
      </c>
      <c r="R95" s="8"/>
      <c r="T95"/>
    </row>
    <row r="96" spans="2:20" ht="23.1" customHeight="1" x14ac:dyDescent="0.25">
      <c r="B96" s="25" t="s">
        <v>136</v>
      </c>
      <c r="C96" s="49">
        <f>'AvgWeek Jinja-Kampala'!C96+'Avg Week Kampala-Jinja'!C96</f>
        <v>4</v>
      </c>
      <c r="D96" s="49">
        <f>'AvgWeek Jinja-Kampala'!D96+'Avg Week Kampala-Jinja'!D96</f>
        <v>0.5</v>
      </c>
      <c r="E96" s="49">
        <f>'AvgWeek Jinja-Kampala'!E96+'Avg Week Kampala-Jinja'!E96</f>
        <v>0</v>
      </c>
      <c r="F96" s="49">
        <f>'AvgWeek Jinja-Kampala'!F96+'Avg Week Kampala-Jinja'!F96</f>
        <v>5</v>
      </c>
      <c r="G96" s="49">
        <f>'AvgWeek Jinja-Kampala'!G96+'Avg Week Kampala-Jinja'!G96</f>
        <v>0</v>
      </c>
      <c r="H96" s="49">
        <f>'AvgWeek Jinja-Kampala'!H96+'Avg Week Kampala-Jinja'!H96</f>
        <v>1</v>
      </c>
      <c r="I96" s="49">
        <f>'AvgWeek Jinja-Kampala'!I96+'Avg Week Kampala-Jinja'!I96</f>
        <v>1.5</v>
      </c>
      <c r="J96" s="49">
        <f>'AvgWeek Jinja-Kampala'!J96+'Avg Week Kampala-Jinja'!J96</f>
        <v>9</v>
      </c>
      <c r="K96" s="49">
        <f>'AvgWeek Jinja-Kampala'!K96+'Avg Week Kampala-Jinja'!K96</f>
        <v>1.5</v>
      </c>
      <c r="L96" s="49">
        <f>'AvgWeek Jinja-Kampala'!L96+'Avg Week Kampala-Jinja'!L96</f>
        <v>5.5</v>
      </c>
      <c r="M96" s="49">
        <f>'AvgWeek Jinja-Kampala'!M96+'Avg Week Kampala-Jinja'!M96</f>
        <v>32</v>
      </c>
      <c r="N96" s="49">
        <f>'AvgWeek Jinja-Kampala'!N96+'Avg Week Kampala-Jinja'!N96</f>
        <v>0</v>
      </c>
      <c r="O96" s="15">
        <f t="shared" si="35"/>
        <v>28</v>
      </c>
      <c r="P96" s="15">
        <f t="shared" si="36"/>
        <v>60</v>
      </c>
      <c r="R96" s="8"/>
      <c r="T96"/>
    </row>
    <row r="97" spans="2:20" ht="23.1" customHeight="1" x14ac:dyDescent="0.25">
      <c r="B97" s="23" t="s">
        <v>137</v>
      </c>
      <c r="C97" s="49">
        <f>'AvgWeek Jinja-Kampala'!C97+'Avg Week Kampala-Jinja'!C97</f>
        <v>4</v>
      </c>
      <c r="D97" s="49">
        <f>'AvgWeek Jinja-Kampala'!D97+'Avg Week Kampala-Jinja'!D97</f>
        <v>0</v>
      </c>
      <c r="E97" s="49">
        <f>'AvgWeek Jinja-Kampala'!E97+'Avg Week Kampala-Jinja'!E97</f>
        <v>0</v>
      </c>
      <c r="F97" s="49">
        <f>'AvgWeek Jinja-Kampala'!F97+'Avg Week Kampala-Jinja'!F97</f>
        <v>9</v>
      </c>
      <c r="G97" s="49">
        <f>'AvgWeek Jinja-Kampala'!G97+'Avg Week Kampala-Jinja'!G97</f>
        <v>0</v>
      </c>
      <c r="H97" s="49">
        <f>'AvgWeek Jinja-Kampala'!H97+'Avg Week Kampala-Jinja'!H97</f>
        <v>1.5</v>
      </c>
      <c r="I97" s="49">
        <f>'AvgWeek Jinja-Kampala'!I97+'Avg Week Kampala-Jinja'!I97</f>
        <v>1</v>
      </c>
      <c r="J97" s="49">
        <f>'AvgWeek Jinja-Kampala'!J97+'Avg Week Kampala-Jinja'!J97</f>
        <v>6</v>
      </c>
      <c r="K97" s="49">
        <f>'AvgWeek Jinja-Kampala'!K97+'Avg Week Kampala-Jinja'!K97</f>
        <v>3.5</v>
      </c>
      <c r="L97" s="49">
        <f>'AvgWeek Jinja-Kampala'!L97+'Avg Week Kampala-Jinja'!L97</f>
        <v>14.5</v>
      </c>
      <c r="M97" s="49">
        <f>'AvgWeek Jinja-Kampala'!M97+'Avg Week Kampala-Jinja'!M97</f>
        <v>5</v>
      </c>
      <c r="N97" s="49">
        <f>'AvgWeek Jinja-Kampala'!N97+'Avg Week Kampala-Jinja'!N97</f>
        <v>0</v>
      </c>
      <c r="O97" s="15">
        <f t="shared" si="35"/>
        <v>39.5</v>
      </c>
      <c r="P97" s="15">
        <f t="shared" si="36"/>
        <v>44.5</v>
      </c>
      <c r="R97" s="8"/>
      <c r="T97"/>
    </row>
    <row r="98" spans="2:20" ht="23.1" customHeight="1" x14ac:dyDescent="0.25">
      <c r="B98" s="24" t="s">
        <v>138</v>
      </c>
      <c r="C98" s="49">
        <f>'AvgWeek Jinja-Kampala'!C98+'Avg Week Kampala-Jinja'!C98</f>
        <v>2.5</v>
      </c>
      <c r="D98" s="49">
        <f>'AvgWeek Jinja-Kampala'!D98+'Avg Week Kampala-Jinja'!D98</f>
        <v>1</v>
      </c>
      <c r="E98" s="49">
        <f>'AvgWeek Jinja-Kampala'!E98+'Avg Week Kampala-Jinja'!E98</f>
        <v>2</v>
      </c>
      <c r="F98" s="49">
        <f>'AvgWeek Jinja-Kampala'!F98+'Avg Week Kampala-Jinja'!F98</f>
        <v>11.5</v>
      </c>
      <c r="G98" s="49">
        <f>'AvgWeek Jinja-Kampala'!G98+'Avg Week Kampala-Jinja'!G98</f>
        <v>0</v>
      </c>
      <c r="H98" s="49">
        <f>'AvgWeek Jinja-Kampala'!H98+'Avg Week Kampala-Jinja'!H98</f>
        <v>2</v>
      </c>
      <c r="I98" s="49">
        <f>'AvgWeek Jinja-Kampala'!I98+'Avg Week Kampala-Jinja'!I98</f>
        <v>2.5</v>
      </c>
      <c r="J98" s="49">
        <f>'AvgWeek Jinja-Kampala'!J98+'Avg Week Kampala-Jinja'!J98</f>
        <v>8</v>
      </c>
      <c r="K98" s="49">
        <f>'AvgWeek Jinja-Kampala'!K98+'Avg Week Kampala-Jinja'!K98</f>
        <v>6</v>
      </c>
      <c r="L98" s="49">
        <f>'AvgWeek Jinja-Kampala'!L98+'Avg Week Kampala-Jinja'!L98</f>
        <v>12</v>
      </c>
      <c r="M98" s="49">
        <f>'AvgWeek Jinja-Kampala'!M98+'Avg Week Kampala-Jinja'!M98</f>
        <v>5</v>
      </c>
      <c r="N98" s="49">
        <f>'AvgWeek Jinja-Kampala'!N98+'Avg Week Kampala-Jinja'!N98</f>
        <v>0</v>
      </c>
      <c r="O98" s="15">
        <f t="shared" si="35"/>
        <v>47.5</v>
      </c>
      <c r="P98" s="15">
        <f t="shared" si="36"/>
        <v>52.5</v>
      </c>
      <c r="R98" s="8"/>
      <c r="T98"/>
    </row>
    <row r="99" spans="2:20" ht="23.1" customHeight="1" x14ac:dyDescent="0.25">
      <c r="B99" s="23" t="s">
        <v>139</v>
      </c>
      <c r="C99" s="49">
        <f>'AvgWeek Jinja-Kampala'!C99+'Avg Week Kampala-Jinja'!C99</f>
        <v>4.5</v>
      </c>
      <c r="D99" s="49">
        <f>'AvgWeek Jinja-Kampala'!D99+'Avg Week Kampala-Jinja'!D99</f>
        <v>5.5</v>
      </c>
      <c r="E99" s="49">
        <f>'AvgWeek Jinja-Kampala'!E99+'Avg Week Kampala-Jinja'!E99</f>
        <v>1.5</v>
      </c>
      <c r="F99" s="49">
        <f>'AvgWeek Jinja-Kampala'!F99+'Avg Week Kampala-Jinja'!F99</f>
        <v>18</v>
      </c>
      <c r="G99" s="49">
        <f>'AvgWeek Jinja-Kampala'!G99+'Avg Week Kampala-Jinja'!G99</f>
        <v>0.5</v>
      </c>
      <c r="H99" s="49">
        <f>'AvgWeek Jinja-Kampala'!H99+'Avg Week Kampala-Jinja'!H99</f>
        <v>2</v>
      </c>
      <c r="I99" s="49">
        <f>'AvgWeek Jinja-Kampala'!I99+'Avg Week Kampala-Jinja'!I99</f>
        <v>3.5</v>
      </c>
      <c r="J99" s="49">
        <f>'AvgWeek Jinja-Kampala'!J99+'Avg Week Kampala-Jinja'!J99</f>
        <v>5.5</v>
      </c>
      <c r="K99" s="49">
        <f>'AvgWeek Jinja-Kampala'!K99+'Avg Week Kampala-Jinja'!K99</f>
        <v>4.5</v>
      </c>
      <c r="L99" s="49">
        <f>'AvgWeek Jinja-Kampala'!L99+'Avg Week Kampala-Jinja'!L99</f>
        <v>18.5</v>
      </c>
      <c r="M99" s="49">
        <f>'AvgWeek Jinja-Kampala'!M99+'Avg Week Kampala-Jinja'!M99</f>
        <v>6</v>
      </c>
      <c r="N99" s="49">
        <f>'AvgWeek Jinja-Kampala'!N99+'Avg Week Kampala-Jinja'!N99</f>
        <v>0</v>
      </c>
      <c r="O99" s="15">
        <f t="shared" si="35"/>
        <v>64</v>
      </c>
      <c r="P99" s="15">
        <f t="shared" si="36"/>
        <v>70</v>
      </c>
      <c r="R99" s="8"/>
      <c r="T99"/>
    </row>
    <row r="100" spans="2:20" ht="23.1" customHeight="1" x14ac:dyDescent="0.25">
      <c r="B100" s="25" t="s">
        <v>140</v>
      </c>
      <c r="C100" s="49">
        <f>'AvgWeek Jinja-Kampala'!C100+'Avg Week Kampala-Jinja'!C100</f>
        <v>9.5</v>
      </c>
      <c r="D100" s="49">
        <f>'AvgWeek Jinja-Kampala'!D100+'Avg Week Kampala-Jinja'!D100</f>
        <v>4.5</v>
      </c>
      <c r="E100" s="49">
        <f>'AvgWeek Jinja-Kampala'!E100+'Avg Week Kampala-Jinja'!E100</f>
        <v>0.5</v>
      </c>
      <c r="F100" s="49">
        <f>'AvgWeek Jinja-Kampala'!F100+'Avg Week Kampala-Jinja'!F100</f>
        <v>22.5</v>
      </c>
      <c r="G100" s="49">
        <f>'AvgWeek Jinja-Kampala'!G100+'Avg Week Kampala-Jinja'!G100</f>
        <v>0</v>
      </c>
      <c r="H100" s="49">
        <f>'AvgWeek Jinja-Kampala'!H100+'Avg Week Kampala-Jinja'!H100</f>
        <v>2</v>
      </c>
      <c r="I100" s="49">
        <f>'AvgWeek Jinja-Kampala'!I100+'Avg Week Kampala-Jinja'!I100</f>
        <v>2.5</v>
      </c>
      <c r="J100" s="49">
        <f>'AvgWeek Jinja-Kampala'!J100+'Avg Week Kampala-Jinja'!J100</f>
        <v>9.5</v>
      </c>
      <c r="K100" s="49">
        <f>'AvgWeek Jinja-Kampala'!K100+'Avg Week Kampala-Jinja'!K100</f>
        <v>12</v>
      </c>
      <c r="L100" s="49">
        <f>'AvgWeek Jinja-Kampala'!L100+'Avg Week Kampala-Jinja'!L100</f>
        <v>22</v>
      </c>
      <c r="M100" s="49">
        <f>'AvgWeek Jinja-Kampala'!M100+'Avg Week Kampala-Jinja'!M100</f>
        <v>7</v>
      </c>
      <c r="N100" s="49">
        <f>'AvgWeek Jinja-Kampala'!N100+'Avg Week Kampala-Jinja'!N100</f>
        <v>0</v>
      </c>
      <c r="O100" s="15">
        <f t="shared" si="35"/>
        <v>85</v>
      </c>
      <c r="P100" s="15">
        <f t="shared" si="36"/>
        <v>92</v>
      </c>
      <c r="R100" s="8"/>
      <c r="T100"/>
    </row>
    <row r="101" spans="2:20" ht="23.1" customHeight="1" x14ac:dyDescent="0.25">
      <c r="B101" s="23" t="s">
        <v>141</v>
      </c>
      <c r="C101" s="49">
        <f>'AvgWeek Jinja-Kampala'!C101+'Avg Week Kampala-Jinja'!C101</f>
        <v>3</v>
      </c>
      <c r="D101" s="49">
        <f>'AvgWeek Jinja-Kampala'!D101+'Avg Week Kampala-Jinja'!D101</f>
        <v>1</v>
      </c>
      <c r="E101" s="49">
        <f>'AvgWeek Jinja-Kampala'!E101+'Avg Week Kampala-Jinja'!E101</f>
        <v>2</v>
      </c>
      <c r="F101" s="49">
        <f>'AvgWeek Jinja-Kampala'!F101+'Avg Week Kampala-Jinja'!F101</f>
        <v>16.5</v>
      </c>
      <c r="G101" s="49">
        <f>'AvgWeek Jinja-Kampala'!G101+'Avg Week Kampala-Jinja'!G101</f>
        <v>0</v>
      </c>
      <c r="H101" s="49">
        <f>'AvgWeek Jinja-Kampala'!H101+'Avg Week Kampala-Jinja'!H101</f>
        <v>0.5</v>
      </c>
      <c r="I101" s="49">
        <f>'AvgWeek Jinja-Kampala'!I101+'Avg Week Kampala-Jinja'!I101</f>
        <v>2</v>
      </c>
      <c r="J101" s="49">
        <f>'AvgWeek Jinja-Kampala'!J101+'Avg Week Kampala-Jinja'!J101</f>
        <v>5.5</v>
      </c>
      <c r="K101" s="49">
        <f>'AvgWeek Jinja-Kampala'!K101+'Avg Week Kampala-Jinja'!K101</f>
        <v>4</v>
      </c>
      <c r="L101" s="49">
        <f>'AvgWeek Jinja-Kampala'!L101+'Avg Week Kampala-Jinja'!L101</f>
        <v>10</v>
      </c>
      <c r="M101" s="49">
        <f>'AvgWeek Jinja-Kampala'!M101+'Avg Week Kampala-Jinja'!M101</f>
        <v>4.5</v>
      </c>
      <c r="N101" s="49">
        <f>'AvgWeek Jinja-Kampala'!N101+'Avg Week Kampala-Jinja'!N101</f>
        <v>0</v>
      </c>
      <c r="O101" s="15">
        <f t="shared" si="35"/>
        <v>44.5</v>
      </c>
      <c r="P101" s="15">
        <f t="shared" si="36"/>
        <v>49</v>
      </c>
      <c r="R101" s="8"/>
      <c r="T101"/>
    </row>
    <row r="102" spans="2:20" ht="23.1" customHeight="1" x14ac:dyDescent="0.25">
      <c r="B102" s="24" t="s">
        <v>142</v>
      </c>
      <c r="C102" s="49">
        <f>'AvgWeek Jinja-Kampala'!C102+'Avg Week Kampala-Jinja'!C102</f>
        <v>7.5</v>
      </c>
      <c r="D102" s="49">
        <f>'AvgWeek Jinja-Kampala'!D102+'Avg Week Kampala-Jinja'!D102</f>
        <v>3</v>
      </c>
      <c r="E102" s="49">
        <f>'AvgWeek Jinja-Kampala'!E102+'Avg Week Kampala-Jinja'!E102</f>
        <v>0.5</v>
      </c>
      <c r="F102" s="49">
        <f>'AvgWeek Jinja-Kampala'!F102+'Avg Week Kampala-Jinja'!F102</f>
        <v>20</v>
      </c>
      <c r="G102" s="49">
        <f>'AvgWeek Jinja-Kampala'!G102+'Avg Week Kampala-Jinja'!G102</f>
        <v>0.5</v>
      </c>
      <c r="H102" s="49">
        <f>'AvgWeek Jinja-Kampala'!H102+'Avg Week Kampala-Jinja'!H102</f>
        <v>2.5</v>
      </c>
      <c r="I102" s="49">
        <f>'AvgWeek Jinja-Kampala'!I102+'Avg Week Kampala-Jinja'!I102</f>
        <v>2</v>
      </c>
      <c r="J102" s="49">
        <f>'AvgWeek Jinja-Kampala'!J102+'Avg Week Kampala-Jinja'!J102</f>
        <v>8</v>
      </c>
      <c r="K102" s="49">
        <f>'AvgWeek Jinja-Kampala'!K102+'Avg Week Kampala-Jinja'!K102</f>
        <v>3</v>
      </c>
      <c r="L102" s="49">
        <f>'AvgWeek Jinja-Kampala'!L102+'Avg Week Kampala-Jinja'!L102</f>
        <v>13.5</v>
      </c>
      <c r="M102" s="49">
        <f>'AvgWeek Jinja-Kampala'!M102+'Avg Week Kampala-Jinja'!M102</f>
        <v>19</v>
      </c>
      <c r="N102" s="49">
        <f>'AvgWeek Jinja-Kampala'!N102+'Avg Week Kampala-Jinja'!N102</f>
        <v>0</v>
      </c>
      <c r="O102" s="15">
        <f t="shared" si="35"/>
        <v>60.5</v>
      </c>
      <c r="P102" s="15">
        <f t="shared" si="36"/>
        <v>79.5</v>
      </c>
      <c r="R102" s="8"/>
      <c r="T102"/>
    </row>
    <row r="103" spans="2:20" ht="23.1" customHeight="1" x14ac:dyDescent="0.25">
      <c r="B103" s="23" t="s">
        <v>143</v>
      </c>
      <c r="C103" s="49">
        <f>'AvgWeek Jinja-Kampala'!C103+'Avg Week Kampala-Jinja'!C103</f>
        <v>10</v>
      </c>
      <c r="D103" s="49">
        <f>'AvgWeek Jinja-Kampala'!D103+'Avg Week Kampala-Jinja'!D103</f>
        <v>3.5</v>
      </c>
      <c r="E103" s="49">
        <f>'AvgWeek Jinja-Kampala'!E103+'Avg Week Kampala-Jinja'!E103</f>
        <v>0.5</v>
      </c>
      <c r="F103" s="49">
        <f>'AvgWeek Jinja-Kampala'!F103+'Avg Week Kampala-Jinja'!F103</f>
        <v>31</v>
      </c>
      <c r="G103" s="49">
        <f>'AvgWeek Jinja-Kampala'!G103+'Avg Week Kampala-Jinja'!G103</f>
        <v>0</v>
      </c>
      <c r="H103" s="49">
        <f>'AvgWeek Jinja-Kampala'!H103+'Avg Week Kampala-Jinja'!H103</f>
        <v>1.5</v>
      </c>
      <c r="I103" s="49">
        <f>'AvgWeek Jinja-Kampala'!I103+'Avg Week Kampala-Jinja'!I103</f>
        <v>1.5</v>
      </c>
      <c r="J103" s="49">
        <f>'AvgWeek Jinja-Kampala'!J103+'Avg Week Kampala-Jinja'!J103</f>
        <v>3</v>
      </c>
      <c r="K103" s="49">
        <f>'AvgWeek Jinja-Kampala'!K103+'Avg Week Kampala-Jinja'!K103</f>
        <v>3</v>
      </c>
      <c r="L103" s="49">
        <f>'AvgWeek Jinja-Kampala'!L103+'Avg Week Kampala-Jinja'!L103</f>
        <v>51.5</v>
      </c>
      <c r="M103" s="49">
        <f>'AvgWeek Jinja-Kampala'!M103+'Avg Week Kampala-Jinja'!M103</f>
        <v>5.5</v>
      </c>
      <c r="N103" s="49">
        <f>'AvgWeek Jinja-Kampala'!N103+'Avg Week Kampala-Jinja'!N103</f>
        <v>0</v>
      </c>
      <c r="O103" s="15">
        <f t="shared" si="35"/>
        <v>105.5</v>
      </c>
      <c r="P103" s="15">
        <f t="shared" si="36"/>
        <v>111</v>
      </c>
      <c r="R103" s="8"/>
      <c r="T103"/>
    </row>
    <row r="104" spans="2:20" ht="23.1" customHeight="1" x14ac:dyDescent="0.25">
      <c r="B104" s="25" t="s">
        <v>144</v>
      </c>
      <c r="C104" s="49">
        <f>'AvgWeek Jinja-Kampala'!C104+'Avg Week Kampala-Jinja'!C104</f>
        <v>18</v>
      </c>
      <c r="D104" s="49">
        <f>'AvgWeek Jinja-Kampala'!D104+'Avg Week Kampala-Jinja'!D104</f>
        <v>8</v>
      </c>
      <c r="E104" s="49">
        <f>'AvgWeek Jinja-Kampala'!E104+'Avg Week Kampala-Jinja'!E104</f>
        <v>8.5</v>
      </c>
      <c r="F104" s="49">
        <f>'AvgWeek Jinja-Kampala'!F104+'Avg Week Kampala-Jinja'!F104</f>
        <v>44.5</v>
      </c>
      <c r="G104" s="49">
        <f>'AvgWeek Jinja-Kampala'!G104+'Avg Week Kampala-Jinja'!G104</f>
        <v>0.5</v>
      </c>
      <c r="H104" s="49">
        <f>'AvgWeek Jinja-Kampala'!H104+'Avg Week Kampala-Jinja'!H104</f>
        <v>0.5</v>
      </c>
      <c r="I104" s="49">
        <f>'AvgWeek Jinja-Kampala'!I104+'Avg Week Kampala-Jinja'!I104</f>
        <v>6.5</v>
      </c>
      <c r="J104" s="49">
        <f>'AvgWeek Jinja-Kampala'!J104+'Avg Week Kampala-Jinja'!J104</f>
        <v>6.5</v>
      </c>
      <c r="K104" s="49">
        <f>'AvgWeek Jinja-Kampala'!K104+'Avg Week Kampala-Jinja'!K104</f>
        <v>6</v>
      </c>
      <c r="L104" s="49">
        <f>'AvgWeek Jinja-Kampala'!L104+'Avg Week Kampala-Jinja'!L104</f>
        <v>16.5</v>
      </c>
      <c r="M104" s="49">
        <f>'AvgWeek Jinja-Kampala'!M104+'Avg Week Kampala-Jinja'!M104</f>
        <v>26</v>
      </c>
      <c r="N104" s="49">
        <f>'AvgWeek Jinja-Kampala'!N104+'Avg Week Kampala-Jinja'!N104</f>
        <v>0</v>
      </c>
      <c r="O104" s="15">
        <f t="shared" si="35"/>
        <v>115.5</v>
      </c>
      <c r="P104" s="15">
        <f t="shared" si="36"/>
        <v>141.5</v>
      </c>
      <c r="R104" s="8"/>
      <c r="T104"/>
    </row>
    <row r="105" spans="2:20" ht="23.1" customHeight="1" x14ac:dyDescent="0.25">
      <c r="B105" s="23" t="s">
        <v>145</v>
      </c>
      <c r="C105" s="49">
        <f>'AvgWeek Jinja-Kampala'!C105+'Avg Week Kampala-Jinja'!C105</f>
        <v>14</v>
      </c>
      <c r="D105" s="49">
        <f>'AvgWeek Jinja-Kampala'!D105+'Avg Week Kampala-Jinja'!D105</f>
        <v>5</v>
      </c>
      <c r="E105" s="49">
        <f>'AvgWeek Jinja-Kampala'!E105+'Avg Week Kampala-Jinja'!E105</f>
        <v>3</v>
      </c>
      <c r="F105" s="49">
        <f>'AvgWeek Jinja-Kampala'!F105+'Avg Week Kampala-Jinja'!F105</f>
        <v>35.5</v>
      </c>
      <c r="G105" s="49">
        <f>'AvgWeek Jinja-Kampala'!G105+'Avg Week Kampala-Jinja'!G105</f>
        <v>1</v>
      </c>
      <c r="H105" s="49">
        <f>'AvgWeek Jinja-Kampala'!H105+'Avg Week Kampala-Jinja'!H105</f>
        <v>1.5</v>
      </c>
      <c r="I105" s="49">
        <f>'AvgWeek Jinja-Kampala'!I105+'Avg Week Kampala-Jinja'!I105</f>
        <v>3</v>
      </c>
      <c r="J105" s="49">
        <f>'AvgWeek Jinja-Kampala'!J105+'Avg Week Kampala-Jinja'!J105</f>
        <v>9</v>
      </c>
      <c r="K105" s="49">
        <f>'AvgWeek Jinja-Kampala'!K105+'Avg Week Kampala-Jinja'!K105</f>
        <v>4.5</v>
      </c>
      <c r="L105" s="49">
        <f>'AvgWeek Jinja-Kampala'!L105+'Avg Week Kampala-Jinja'!L105</f>
        <v>22.5</v>
      </c>
      <c r="M105" s="49">
        <f>'AvgWeek Jinja-Kampala'!M105+'Avg Week Kampala-Jinja'!M105</f>
        <v>23.5</v>
      </c>
      <c r="N105" s="49">
        <f>'AvgWeek Jinja-Kampala'!N105+'Avg Week Kampala-Jinja'!N105</f>
        <v>0</v>
      </c>
      <c r="O105" s="15">
        <f t="shared" si="35"/>
        <v>99</v>
      </c>
      <c r="P105" s="15">
        <f t="shared" si="36"/>
        <v>122.5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2060.5714285714284</v>
      </c>
      <c r="D106" s="16">
        <f t="shared" ref="D106:P106" si="37">SUM(D10:D105)</f>
        <v>833.14285714285711</v>
      </c>
      <c r="E106" s="16">
        <f t="shared" si="37"/>
        <v>526.92857142857133</v>
      </c>
      <c r="F106" s="16">
        <f t="shared" si="37"/>
        <v>3776.7857142857147</v>
      </c>
      <c r="G106" s="16">
        <f t="shared" si="37"/>
        <v>175</v>
      </c>
      <c r="H106" s="16">
        <f t="shared" si="37"/>
        <v>116.71428571428569</v>
      </c>
      <c r="I106" s="16">
        <f t="shared" si="37"/>
        <v>515.35714285714289</v>
      </c>
      <c r="J106" s="16">
        <f t="shared" si="37"/>
        <v>876.35714285714289</v>
      </c>
      <c r="K106" s="16">
        <f t="shared" si="37"/>
        <v>328.71428571428567</v>
      </c>
      <c r="L106" s="16">
        <f t="shared" si="37"/>
        <v>1719.7857142857142</v>
      </c>
      <c r="M106" s="16">
        <f t="shared" si="37"/>
        <v>2740.3333333333339</v>
      </c>
      <c r="N106" s="16">
        <f t="shared" si="37"/>
        <v>21.285714285714292</v>
      </c>
      <c r="O106" s="16">
        <f t="shared" si="37"/>
        <v>10950.642857142857</v>
      </c>
      <c r="P106" s="16">
        <f t="shared" si="37"/>
        <v>13690.976190476193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0.15050580761398277</v>
      </c>
      <c r="D107" s="43">
        <f t="shared" si="38"/>
        <v>6.0853429700828306E-2</v>
      </c>
      <c r="E107" s="43">
        <f t="shared" si="38"/>
        <v>3.8487290029407609E-2</v>
      </c>
      <c r="F107" s="43">
        <f t="shared" si="38"/>
        <v>0.27585949034904811</v>
      </c>
      <c r="G107" s="43">
        <f t="shared" si="38"/>
        <v>1.2782141869601282E-2</v>
      </c>
      <c r="H107" s="43">
        <f t="shared" si="38"/>
        <v>8.5249060469095878E-3</v>
      </c>
      <c r="I107" s="43">
        <f t="shared" si="38"/>
        <v>3.7642103505785E-2</v>
      </c>
      <c r="J107" s="43">
        <f t="shared" si="38"/>
        <v>6.4009836162505357E-2</v>
      </c>
      <c r="K107" s="43">
        <f t="shared" si="38"/>
        <v>2.4009557911797996E-2</v>
      </c>
      <c r="L107" s="43">
        <f t="shared" si="38"/>
        <v>0.12561454277322043</v>
      </c>
      <c r="M107" s="43">
        <f t="shared" si="38"/>
        <v>0.20015616820950888</v>
      </c>
      <c r="N107" s="43">
        <f t="shared" si="38"/>
        <v>1.5547258274045646E-3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0.18816899203569262</v>
      </c>
      <c r="D108" s="44">
        <f t="shared" ref="D108:N108" si="39">D106/$O$106</f>
        <v>7.6081639042717641E-2</v>
      </c>
      <c r="E108" s="44">
        <f t="shared" si="39"/>
        <v>4.8118505762871057E-2</v>
      </c>
      <c r="F108" s="44">
        <f t="shared" si="39"/>
        <v>0.34489168933330727</v>
      </c>
      <c r="G108" s="44">
        <f t="shared" si="39"/>
        <v>1.5980796952559863E-2</v>
      </c>
      <c r="H108" s="44">
        <f t="shared" si="39"/>
        <v>1.0658213151217474E-2</v>
      </c>
      <c r="I108" s="44">
        <f t="shared" si="39"/>
        <v>4.7061816331722212E-2</v>
      </c>
      <c r="J108" s="44">
        <f t="shared" si="39"/>
        <v>8.0027917473859983E-2</v>
      </c>
      <c r="K108" s="44">
        <f t="shared" si="39"/>
        <v>3.0017807173747135E-2</v>
      </c>
      <c r="L108" s="44">
        <f t="shared" si="39"/>
        <v>0.15704883601093217</v>
      </c>
      <c r="M108" s="44"/>
      <c r="N108" s="44">
        <f t="shared" si="39"/>
        <v>1.943786731372588E-3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17.10 jinja-kampala</vt:lpstr>
      <vt:lpstr>17.10 Kampala-Jinja</vt:lpstr>
      <vt:lpstr>18.10 Jinja-Kampala</vt:lpstr>
      <vt:lpstr>18.10 Kampala-Jinja</vt:lpstr>
      <vt:lpstr>19.10 Jinja-Kampala-24hr</vt:lpstr>
      <vt:lpstr>19.10 Kampala-Jinja-24hr</vt:lpstr>
      <vt:lpstr>20.10 Jinja-Kampala</vt:lpstr>
      <vt:lpstr>20.10 Kampala-Jinja</vt:lpstr>
      <vt:lpstr>21.10 jinja-Kampala-24h</vt:lpstr>
      <vt:lpstr>21.10 Kampala-Jinja-24h</vt:lpstr>
      <vt:lpstr>23.10 JINJA-KAMPALA</vt:lpstr>
      <vt:lpstr>23.10 KAMPALA-JINJA</vt:lpstr>
      <vt:lpstr>27.10 JINJA-KAMPALA</vt:lpstr>
      <vt:lpstr>27.10 KAMPALA-JINJA</vt:lpstr>
      <vt:lpstr>AvgWeek Jinja-Kampala</vt:lpstr>
      <vt:lpstr>Avg Week Kampala-Jinja</vt:lpstr>
      <vt:lpstr>Avg Week Jinja-Kampala-2Dir</vt:lpstr>
      <vt:lpstr>'17.10 jinja-kampala'!Print_Area</vt:lpstr>
      <vt:lpstr>'17.10 Kampala-Jinja'!Print_Area</vt:lpstr>
      <vt:lpstr>'18.10 Jinja-Kampala'!Print_Area</vt:lpstr>
      <vt:lpstr>'18.10 Kampala-Jinja'!Print_Area</vt:lpstr>
      <vt:lpstr>'19.10 Jinja-Kampala-24hr'!Print_Area</vt:lpstr>
      <vt:lpstr>'19.10 Kampala-Jinja-24hr'!Print_Area</vt:lpstr>
      <vt:lpstr>'20.10 Jinja-Kampala'!Print_Area</vt:lpstr>
      <vt:lpstr>'20.10 Kampala-Jinja'!Print_Area</vt:lpstr>
      <vt:lpstr>'21.10 jinja-Kampala-24h'!Print_Area</vt:lpstr>
      <vt:lpstr>'21.10 Kampala-Jinja-24h'!Print_Area</vt:lpstr>
      <vt:lpstr>'23.10 JINJA-KAMPALA'!Print_Area</vt:lpstr>
      <vt:lpstr>'23.10 KAMPALA-JINJA'!Print_Area</vt:lpstr>
      <vt:lpstr>'27.10 JINJA-KAMPALA'!Print_Area</vt:lpstr>
      <vt:lpstr>'27.10 KAMPALA-JINJA'!Print_Area</vt:lpstr>
      <vt:lpstr>'Avg Week Jinja-Kampala-2Dir'!Print_Area</vt:lpstr>
      <vt:lpstr>'Avg Week Kampala-Jinja'!Print_Area</vt:lpstr>
      <vt:lpstr>'AvgWeek Jinja-Kampala'!Print_Area</vt:lpstr>
      <vt:lpstr>'17.10 jinja-kampala'!Print_Titles</vt:lpstr>
      <vt:lpstr>'17.10 Kampala-Jinja'!Print_Titles</vt:lpstr>
      <vt:lpstr>'18.10 Jinja-Kampala'!Print_Titles</vt:lpstr>
      <vt:lpstr>'18.10 Kampala-Jinja'!Print_Titles</vt:lpstr>
      <vt:lpstr>'19.10 Jinja-Kampala-24hr'!Print_Titles</vt:lpstr>
      <vt:lpstr>'19.10 Kampala-Jinja-24hr'!Print_Titles</vt:lpstr>
      <vt:lpstr>'20.10 Jinja-Kampala'!Print_Titles</vt:lpstr>
      <vt:lpstr>'20.10 Kampala-Jinja'!Print_Titles</vt:lpstr>
      <vt:lpstr>'21.10 jinja-Kampala-24h'!Print_Titles</vt:lpstr>
      <vt:lpstr>'21.10 Kampala-Jinja-24h'!Print_Titles</vt:lpstr>
      <vt:lpstr>'23.10 JINJA-KAMPALA'!Print_Titles</vt:lpstr>
      <vt:lpstr>'23.10 KAMPALA-JINJA'!Print_Titles</vt:lpstr>
      <vt:lpstr>'27.10 JINJA-KAMPALA'!Print_Titles</vt:lpstr>
      <vt:lpstr>'27.10 KAMPALA-JINJA'!Print_Titles</vt:lpstr>
      <vt:lpstr>'Avg Week Jinja-Kampala-2Dir'!Print_Titles</vt:lpstr>
      <vt:lpstr>'Avg Week Kampala-Jinja'!Print_Titles</vt:lpstr>
      <vt:lpstr>'AvgWeek Jinja-Kampala'!Print_Titles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2019-07-25T18:18:41Z</cp:lastPrinted>
  <dcterms:created xsi:type="dcterms:W3CDTF">2010-07-06T07:39:49Z</dcterms:created>
  <dcterms:modified xsi:type="dcterms:W3CDTF">2020-04-06T16:43:48Z</dcterms:modified>
</cp:coreProperties>
</file>